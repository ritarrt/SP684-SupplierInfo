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/Desktop/SP684-SupplierInfo/excel/"/>
    </mc:Choice>
  </mc:AlternateContent>
  <xr:revisionPtr revIDLastSave="0" documentId="13_ncr:1_{BBEF80D5-FF8B-2C4E-8937-1CFCE5050005}" xr6:coauthVersionLast="47" xr6:coauthVersionMax="47" xr10:uidLastSave="{00000000-0000-0000-0000-000000000000}"/>
  <bookViews>
    <workbookView xWindow="2440" yWindow="600" windowWidth="28800" windowHeight="18000" activeTab="2" xr2:uid="{B65FD770-DD92-4482-9918-5A5A9EBC3770}"/>
  </bookViews>
  <sheets>
    <sheet name="Sheet1" sheetId="1" r:id="rId1"/>
    <sheet name="Sheet2" sheetId="2" r:id="rId2"/>
    <sheet name="Ref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6" i="1" l="1"/>
  <c r="A167" i="1"/>
  <c r="A168" i="1"/>
  <c r="A169" i="1"/>
  <c r="A170" i="1"/>
  <c r="A171" i="1"/>
  <c r="A172" i="1"/>
  <c r="A173" i="1"/>
  <c r="A174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14" i="1"/>
  <c r="A95" i="1"/>
  <c r="A94" i="1"/>
  <c r="A90" i="1"/>
  <c r="A89" i="1"/>
  <c r="A85" i="1"/>
  <c r="A84" i="1"/>
  <c r="A31" i="1"/>
  <c r="A32" i="1"/>
  <c r="A33" i="1"/>
  <c r="A34" i="1"/>
  <c r="A35" i="1"/>
  <c r="A36" i="1"/>
  <c r="A37" i="1"/>
  <c r="A38" i="1"/>
  <c r="A30" i="1"/>
  <c r="N174" i="1"/>
  <c r="L174" i="1"/>
  <c r="J174" i="1"/>
  <c r="H174" i="1"/>
  <c r="N173" i="1"/>
  <c r="L173" i="1"/>
  <c r="J173" i="1"/>
  <c r="H173" i="1"/>
  <c r="N172" i="1"/>
  <c r="L172" i="1"/>
  <c r="J172" i="1"/>
  <c r="H172" i="1"/>
  <c r="N171" i="1"/>
  <c r="L171" i="1"/>
  <c r="J171" i="1"/>
  <c r="H171" i="1"/>
  <c r="N170" i="1"/>
  <c r="L170" i="1"/>
  <c r="J170" i="1"/>
  <c r="H170" i="1"/>
  <c r="N169" i="1"/>
  <c r="L169" i="1"/>
  <c r="J169" i="1"/>
  <c r="H169" i="1"/>
  <c r="N168" i="1"/>
  <c r="L168" i="1"/>
  <c r="J168" i="1"/>
  <c r="H168" i="1"/>
  <c r="N167" i="1"/>
  <c r="L167" i="1"/>
  <c r="J167" i="1"/>
  <c r="H167" i="1"/>
  <c r="N166" i="1"/>
  <c r="L166" i="1"/>
  <c r="J166" i="1"/>
  <c r="H166" i="1"/>
  <c r="N165" i="1"/>
  <c r="L165" i="1"/>
  <c r="J165" i="1"/>
  <c r="H165" i="1"/>
  <c r="N164" i="1"/>
  <c r="L164" i="1"/>
  <c r="J164" i="1"/>
  <c r="H164" i="1"/>
  <c r="N163" i="1"/>
  <c r="L163" i="1"/>
  <c r="J163" i="1"/>
  <c r="H163" i="1"/>
  <c r="N162" i="1"/>
  <c r="L162" i="1"/>
  <c r="J162" i="1"/>
  <c r="H162" i="1"/>
  <c r="N161" i="1"/>
  <c r="L161" i="1"/>
  <c r="J161" i="1"/>
  <c r="H161" i="1"/>
  <c r="N160" i="1"/>
  <c r="L160" i="1"/>
  <c r="J160" i="1"/>
  <c r="H160" i="1"/>
  <c r="N159" i="1"/>
  <c r="L159" i="1"/>
  <c r="J159" i="1"/>
  <c r="H159" i="1"/>
  <c r="N158" i="1"/>
  <c r="L158" i="1"/>
  <c r="J158" i="1"/>
  <c r="H158" i="1"/>
  <c r="N157" i="1"/>
  <c r="L157" i="1"/>
  <c r="J157" i="1"/>
  <c r="H157" i="1"/>
  <c r="N156" i="1"/>
  <c r="L156" i="1"/>
  <c r="J156" i="1"/>
  <c r="H156" i="1"/>
  <c r="N155" i="1"/>
  <c r="L155" i="1"/>
  <c r="J155" i="1"/>
  <c r="H155" i="1"/>
  <c r="N154" i="1"/>
  <c r="L154" i="1"/>
  <c r="J154" i="1"/>
  <c r="H154" i="1"/>
  <c r="N153" i="1"/>
  <c r="L153" i="1"/>
  <c r="J153" i="1"/>
  <c r="H153" i="1"/>
  <c r="N152" i="1"/>
  <c r="L152" i="1"/>
  <c r="J152" i="1"/>
  <c r="H152" i="1"/>
  <c r="N151" i="1"/>
  <c r="L151" i="1"/>
  <c r="J151" i="1"/>
  <c r="H151" i="1"/>
  <c r="N150" i="1"/>
  <c r="L150" i="1"/>
  <c r="J150" i="1"/>
  <c r="H150" i="1"/>
  <c r="N149" i="1"/>
  <c r="L149" i="1"/>
  <c r="J149" i="1"/>
  <c r="H149" i="1"/>
  <c r="N148" i="1"/>
  <c r="L148" i="1"/>
  <c r="J148" i="1"/>
  <c r="H148" i="1"/>
  <c r="N147" i="1"/>
  <c r="L147" i="1"/>
  <c r="J147" i="1"/>
  <c r="H147" i="1"/>
  <c r="N146" i="1"/>
  <c r="L146" i="1"/>
  <c r="J146" i="1"/>
  <c r="H146" i="1"/>
  <c r="N145" i="1"/>
  <c r="L145" i="1"/>
  <c r="J145" i="1"/>
  <c r="H145" i="1"/>
  <c r="N144" i="1"/>
  <c r="L144" i="1"/>
  <c r="J144" i="1"/>
  <c r="H144" i="1"/>
  <c r="N143" i="1"/>
  <c r="L143" i="1"/>
  <c r="J143" i="1"/>
  <c r="H143" i="1"/>
  <c r="N142" i="1"/>
  <c r="L142" i="1"/>
  <c r="J142" i="1"/>
  <c r="H142" i="1"/>
  <c r="N141" i="1"/>
  <c r="L141" i="1"/>
  <c r="J141" i="1"/>
  <c r="H141" i="1"/>
  <c r="N140" i="1"/>
  <c r="L140" i="1"/>
  <c r="J140" i="1"/>
  <c r="H140" i="1"/>
  <c r="N139" i="1"/>
  <c r="L139" i="1"/>
  <c r="J139" i="1"/>
  <c r="H139" i="1"/>
  <c r="N138" i="1"/>
  <c r="L138" i="1"/>
  <c r="J138" i="1"/>
  <c r="H138" i="1"/>
  <c r="N137" i="1"/>
  <c r="L137" i="1"/>
  <c r="J137" i="1"/>
  <c r="H137" i="1"/>
  <c r="N136" i="1"/>
  <c r="L136" i="1"/>
  <c r="J136" i="1"/>
  <c r="H136" i="1"/>
  <c r="N135" i="1"/>
  <c r="L135" i="1"/>
  <c r="J135" i="1"/>
  <c r="H135" i="1"/>
  <c r="N134" i="1"/>
  <c r="L134" i="1"/>
  <c r="J134" i="1"/>
  <c r="H134" i="1"/>
  <c r="N133" i="1"/>
  <c r="L133" i="1"/>
  <c r="J133" i="1"/>
  <c r="H133" i="1"/>
  <c r="N132" i="1"/>
  <c r="L132" i="1"/>
  <c r="J132" i="1"/>
  <c r="H132" i="1"/>
  <c r="N131" i="1"/>
  <c r="L131" i="1"/>
  <c r="J131" i="1"/>
  <c r="H131" i="1"/>
  <c r="N130" i="1"/>
  <c r="L130" i="1"/>
  <c r="J130" i="1"/>
  <c r="H130" i="1"/>
  <c r="N129" i="1"/>
  <c r="L129" i="1"/>
  <c r="J129" i="1"/>
  <c r="H129" i="1"/>
  <c r="N128" i="1"/>
  <c r="L128" i="1"/>
  <c r="J128" i="1"/>
  <c r="H128" i="1"/>
  <c r="N127" i="1"/>
  <c r="L127" i="1"/>
  <c r="J127" i="1"/>
  <c r="H127" i="1"/>
  <c r="N126" i="1"/>
  <c r="L126" i="1"/>
  <c r="J126" i="1"/>
  <c r="H126" i="1"/>
  <c r="N125" i="1"/>
  <c r="L125" i="1"/>
  <c r="J125" i="1"/>
  <c r="H125" i="1"/>
  <c r="N124" i="1"/>
  <c r="L124" i="1"/>
  <c r="J124" i="1"/>
  <c r="H124" i="1"/>
  <c r="N123" i="1"/>
  <c r="L123" i="1"/>
  <c r="J123" i="1"/>
  <c r="H123" i="1"/>
  <c r="N122" i="1"/>
  <c r="L122" i="1"/>
  <c r="J122" i="1"/>
  <c r="H122" i="1"/>
  <c r="N121" i="1"/>
  <c r="L121" i="1"/>
  <c r="J121" i="1"/>
  <c r="H121" i="1"/>
  <c r="N120" i="1"/>
  <c r="L120" i="1"/>
  <c r="J120" i="1"/>
  <c r="H120" i="1"/>
  <c r="N119" i="1"/>
  <c r="L119" i="1"/>
  <c r="J119" i="1"/>
  <c r="H119" i="1"/>
  <c r="N118" i="1"/>
  <c r="L118" i="1"/>
  <c r="J118" i="1"/>
  <c r="H118" i="1"/>
  <c r="N117" i="1"/>
  <c r="L117" i="1"/>
  <c r="J117" i="1"/>
  <c r="H117" i="1"/>
  <c r="N116" i="1"/>
  <c r="L116" i="1"/>
  <c r="J116" i="1"/>
  <c r="H116" i="1"/>
  <c r="N115" i="1"/>
  <c r="L115" i="1"/>
  <c r="J115" i="1"/>
  <c r="H115" i="1"/>
  <c r="N114" i="1"/>
  <c r="L114" i="1"/>
  <c r="J114" i="1"/>
  <c r="H114" i="1"/>
  <c r="N112" i="1"/>
  <c r="L112" i="1"/>
  <c r="J112" i="1"/>
  <c r="H112" i="1"/>
  <c r="D112" i="1"/>
  <c r="N111" i="1"/>
  <c r="L111" i="1"/>
  <c r="J111" i="1"/>
  <c r="H111" i="1"/>
  <c r="D111" i="1"/>
  <c r="N110" i="1"/>
  <c r="L110" i="1"/>
  <c r="J110" i="1"/>
  <c r="H110" i="1"/>
  <c r="D110" i="1"/>
  <c r="N107" i="1"/>
  <c r="L107" i="1"/>
  <c r="J107" i="1"/>
  <c r="H107" i="1"/>
  <c r="N106" i="1"/>
  <c r="L106" i="1"/>
  <c r="J106" i="1"/>
  <c r="H106" i="1"/>
  <c r="N105" i="1"/>
  <c r="L105" i="1"/>
  <c r="J105" i="1"/>
  <c r="H105" i="1"/>
  <c r="N102" i="1"/>
  <c r="L102" i="1"/>
  <c r="J102" i="1"/>
  <c r="H102" i="1"/>
  <c r="N101" i="1"/>
  <c r="L101" i="1"/>
  <c r="J101" i="1"/>
  <c r="H101" i="1"/>
  <c r="N100" i="1"/>
  <c r="L100" i="1"/>
  <c r="J100" i="1"/>
  <c r="H100" i="1"/>
  <c r="N99" i="1"/>
  <c r="L99" i="1"/>
  <c r="J99" i="1"/>
  <c r="H99" i="1"/>
  <c r="N98" i="1"/>
  <c r="L98" i="1"/>
  <c r="J98" i="1"/>
  <c r="H98" i="1"/>
  <c r="N95" i="1"/>
  <c r="L95" i="1"/>
  <c r="J95" i="1"/>
  <c r="H95" i="1"/>
  <c r="N94" i="1"/>
  <c r="L94" i="1"/>
  <c r="J94" i="1"/>
  <c r="H94" i="1"/>
  <c r="N90" i="1"/>
  <c r="L90" i="1"/>
  <c r="J90" i="1"/>
  <c r="H90" i="1"/>
  <c r="N89" i="1"/>
  <c r="L89" i="1"/>
  <c r="J89" i="1"/>
  <c r="H89" i="1"/>
  <c r="N85" i="1"/>
  <c r="L85" i="1"/>
  <c r="J85" i="1"/>
  <c r="H85" i="1"/>
  <c r="N84" i="1"/>
  <c r="L84" i="1"/>
  <c r="J84" i="1"/>
  <c r="H84" i="1"/>
  <c r="N81" i="1"/>
  <c r="L81" i="1"/>
  <c r="J81" i="1"/>
  <c r="H81" i="1"/>
  <c r="N80" i="1"/>
  <c r="L80" i="1"/>
  <c r="J80" i="1"/>
  <c r="H80" i="1"/>
  <c r="N79" i="1"/>
  <c r="L79" i="1"/>
  <c r="J79" i="1"/>
  <c r="H79" i="1"/>
  <c r="N78" i="1"/>
  <c r="L78" i="1"/>
  <c r="J78" i="1"/>
  <c r="H78" i="1"/>
  <c r="N77" i="1"/>
  <c r="L77" i="1"/>
  <c r="J77" i="1"/>
  <c r="H77" i="1"/>
  <c r="N76" i="1"/>
  <c r="L76" i="1"/>
  <c r="J76" i="1"/>
  <c r="H76" i="1"/>
  <c r="N75" i="1"/>
  <c r="L75" i="1"/>
  <c r="J75" i="1"/>
  <c r="H75" i="1"/>
  <c r="N74" i="1"/>
  <c r="L74" i="1"/>
  <c r="J74" i="1"/>
  <c r="H74" i="1"/>
  <c r="N73" i="1"/>
  <c r="L73" i="1"/>
  <c r="J73" i="1"/>
  <c r="H73" i="1"/>
  <c r="N72" i="1"/>
  <c r="L72" i="1"/>
  <c r="J72" i="1"/>
  <c r="H72" i="1"/>
  <c r="N71" i="1"/>
  <c r="L71" i="1"/>
  <c r="J71" i="1"/>
  <c r="H71" i="1"/>
  <c r="N70" i="1"/>
  <c r="L70" i="1"/>
  <c r="J70" i="1"/>
  <c r="H70" i="1"/>
  <c r="N69" i="1"/>
  <c r="L69" i="1"/>
  <c r="J69" i="1"/>
  <c r="H69" i="1"/>
  <c r="N68" i="1"/>
  <c r="L68" i="1"/>
  <c r="J68" i="1"/>
  <c r="H68" i="1"/>
  <c r="N67" i="1"/>
  <c r="L67" i="1"/>
  <c r="J67" i="1"/>
  <c r="H67" i="1"/>
  <c r="N66" i="1"/>
  <c r="L66" i="1"/>
  <c r="J66" i="1"/>
  <c r="H66" i="1"/>
  <c r="N65" i="1"/>
  <c r="L65" i="1"/>
  <c r="J65" i="1"/>
  <c r="H65" i="1"/>
  <c r="N64" i="1"/>
  <c r="L64" i="1"/>
  <c r="J64" i="1"/>
  <c r="H64" i="1"/>
  <c r="N61" i="1"/>
  <c r="L61" i="1"/>
  <c r="J61" i="1"/>
  <c r="H61" i="1"/>
  <c r="N60" i="1"/>
  <c r="L60" i="1"/>
  <c r="J60" i="1"/>
  <c r="H60" i="1"/>
  <c r="N59" i="1"/>
  <c r="L59" i="1"/>
  <c r="J59" i="1"/>
  <c r="H59" i="1"/>
  <c r="N58" i="1"/>
  <c r="L58" i="1"/>
  <c r="J58" i="1"/>
  <c r="H58" i="1"/>
  <c r="N57" i="1"/>
  <c r="L57" i="1"/>
  <c r="J57" i="1"/>
  <c r="H57" i="1"/>
  <c r="N56" i="1"/>
  <c r="L56" i="1"/>
  <c r="J56" i="1"/>
  <c r="H56" i="1"/>
  <c r="N55" i="1"/>
  <c r="L55" i="1"/>
  <c r="J55" i="1"/>
  <c r="H55" i="1"/>
  <c r="N54" i="1"/>
  <c r="L54" i="1"/>
  <c r="J54" i="1"/>
  <c r="H54" i="1"/>
  <c r="N53" i="1"/>
  <c r="L53" i="1"/>
  <c r="J53" i="1"/>
  <c r="H53" i="1"/>
  <c r="N52" i="1"/>
  <c r="L52" i="1"/>
  <c r="J52" i="1"/>
  <c r="H52" i="1"/>
  <c r="N51" i="1"/>
  <c r="L51" i="1"/>
  <c r="J51" i="1"/>
  <c r="H51" i="1"/>
  <c r="N50" i="1"/>
  <c r="L50" i="1"/>
  <c r="J50" i="1"/>
  <c r="H50" i="1"/>
  <c r="N49" i="1"/>
  <c r="L49" i="1"/>
  <c r="J49" i="1"/>
  <c r="H49" i="1"/>
  <c r="N48" i="1"/>
  <c r="L48" i="1"/>
  <c r="J48" i="1"/>
  <c r="H48" i="1"/>
  <c r="N47" i="1"/>
  <c r="L47" i="1"/>
  <c r="J47" i="1"/>
  <c r="H47" i="1"/>
  <c r="N46" i="1"/>
  <c r="L46" i="1"/>
  <c r="J46" i="1"/>
  <c r="H46" i="1"/>
  <c r="N45" i="1"/>
  <c r="L45" i="1"/>
  <c r="J45" i="1"/>
  <c r="H45" i="1"/>
  <c r="N44" i="1"/>
  <c r="L44" i="1"/>
  <c r="J44" i="1"/>
  <c r="H44" i="1"/>
  <c r="N43" i="1"/>
  <c r="L43" i="1"/>
  <c r="J43" i="1"/>
  <c r="H43" i="1"/>
  <c r="N42" i="1"/>
  <c r="L42" i="1"/>
  <c r="J42" i="1"/>
  <c r="H42" i="1"/>
  <c r="N38" i="1"/>
  <c r="L38" i="1"/>
  <c r="J38" i="1"/>
  <c r="H38" i="1"/>
  <c r="N37" i="1"/>
  <c r="L37" i="1"/>
  <c r="J37" i="1"/>
  <c r="H37" i="1"/>
  <c r="N36" i="1"/>
  <c r="L36" i="1"/>
  <c r="J36" i="1"/>
  <c r="H36" i="1"/>
  <c r="N35" i="1"/>
  <c r="L35" i="1"/>
  <c r="J35" i="1"/>
  <c r="H35" i="1"/>
  <c r="N34" i="1"/>
  <c r="L34" i="1"/>
  <c r="J34" i="1"/>
  <c r="H34" i="1"/>
  <c r="N33" i="1"/>
  <c r="L33" i="1"/>
  <c r="J33" i="1"/>
  <c r="H33" i="1"/>
  <c r="N32" i="1"/>
  <c r="L32" i="1"/>
  <c r="J32" i="1"/>
  <c r="H32" i="1"/>
  <c r="N31" i="1"/>
  <c r="L31" i="1"/>
  <c r="J31" i="1"/>
  <c r="H31" i="1"/>
  <c r="N30" i="1"/>
  <c r="L30" i="1"/>
  <c r="J30" i="1"/>
  <c r="H30" i="1"/>
  <c r="N27" i="1"/>
  <c r="L27" i="1"/>
  <c r="J27" i="1"/>
  <c r="H27" i="1"/>
  <c r="H26" i="1"/>
  <c r="N26" i="1"/>
  <c r="N25" i="1"/>
  <c r="N24" i="1"/>
  <c r="H23" i="1"/>
  <c r="N23" i="1"/>
  <c r="N22" i="1"/>
  <c r="L22" i="1"/>
  <c r="J22" i="1"/>
  <c r="N21" i="1"/>
  <c r="L21" i="1"/>
  <c r="J21" i="1"/>
  <c r="H21" i="1"/>
  <c r="H20" i="1"/>
  <c r="N20" i="1"/>
  <c r="L17" i="1"/>
  <c r="N16" i="1"/>
  <c r="H15" i="1"/>
  <c r="N15" i="1"/>
  <c r="N14" i="1"/>
  <c r="L14" i="1"/>
  <c r="J14" i="1"/>
  <c r="N13" i="1"/>
  <c r="L13" i="1"/>
  <c r="J13" i="1"/>
  <c r="H13" i="1"/>
  <c r="H12" i="1"/>
  <c r="N12" i="1"/>
  <c r="L11" i="1"/>
  <c r="N10" i="1"/>
  <c r="H9" i="1"/>
  <c r="N9" i="1"/>
  <c r="J12" i="1" l="1"/>
  <c r="J20" i="1"/>
  <c r="J26" i="1"/>
  <c r="H11" i="1"/>
  <c r="L12" i="1"/>
  <c r="H17" i="1"/>
  <c r="L20" i="1"/>
  <c r="H25" i="1"/>
  <c r="L26" i="1"/>
  <c r="J11" i="1"/>
  <c r="J17" i="1"/>
  <c r="J25" i="1"/>
  <c r="H16" i="1"/>
  <c r="L25" i="1"/>
  <c r="J10" i="1"/>
  <c r="N11" i="1"/>
  <c r="J16" i="1"/>
  <c r="N17" i="1"/>
  <c r="J24" i="1"/>
  <c r="H10" i="1"/>
  <c r="L10" i="1"/>
  <c r="L16" i="1"/>
  <c r="L24" i="1"/>
  <c r="H24" i="1"/>
  <c r="J9" i="1"/>
  <c r="J15" i="1"/>
  <c r="J23" i="1"/>
  <c r="L9" i="1"/>
  <c r="H14" i="1"/>
  <c r="L15" i="1"/>
  <c r="H22" i="1"/>
  <c r="L23" i="1"/>
</calcChain>
</file>

<file path=xl/sharedStrings.xml><?xml version="1.0" encoding="utf-8"?>
<sst xmlns="http://schemas.openxmlformats.org/spreadsheetml/2006/main" count="394" uniqueCount="165">
  <si>
    <t>Internal Memo</t>
  </si>
  <si>
    <t>No.</t>
  </si>
  <si>
    <t>ทีรกร</t>
  </si>
  <si>
    <t>C&amp;T</t>
  </si>
  <si>
    <t>To  :</t>
  </si>
  <si>
    <t>ผู้จัดการเขต / ผู้จัดการสาขา</t>
  </si>
  <si>
    <t>Date  :</t>
  </si>
  <si>
    <t>RE  :</t>
  </si>
  <si>
    <t>W1</t>
  </si>
  <si>
    <t>W2</t>
  </si>
  <si>
    <t>W</t>
  </si>
  <si>
    <t>R</t>
  </si>
  <si>
    <t>ชื่อสินค้า</t>
  </si>
  <si>
    <t>RE</t>
  </si>
  <si>
    <t>RE inv.</t>
  </si>
  <si>
    <t>ร้านค้าส่งทั่วไป</t>
  </si>
  <si>
    <t>ขายปลีก</t>
  </si>
  <si>
    <t>1. โครงซีลายน์ - โรงงานทีรกร</t>
  </si>
  <si>
    <t>ซีลายน์  5.0-5.5 กก.</t>
  </si>
  <si>
    <t>ซีลายน์  5.6-5.9 กก.</t>
  </si>
  <si>
    <t>ซีลายน์  6.0-6.5 กก.</t>
  </si>
  <si>
    <t>ซีลายน์  6.6-6.9 กก.</t>
  </si>
  <si>
    <t>ซีลายน์  7.0-7.5 กก.</t>
  </si>
  <si>
    <t>1. โครงซีลายน์ - โรงงาน C&amp;T</t>
  </si>
  <si>
    <t>2. ฉากสังกะสี</t>
  </si>
  <si>
    <t>อมรชัย</t>
  </si>
  <si>
    <t>ฉากสังกะสี 6 หุน No.30 (บาง) 3.0kg-3.5kg</t>
  </si>
  <si>
    <t>ฉากสังกะสี 6 หุน No.30 (บาง) 4.0kg-4.5kg</t>
  </si>
  <si>
    <t>ฉากสังกะสี 1"x 1" No.26 (6.0-6.5 kg)</t>
  </si>
  <si>
    <t>ฉากสังกะสี 6 หุน No.30  (หนา) 4.0kg-4.5 kg</t>
  </si>
  <si>
    <t>ฉากสังกะสี 6 หุน No.30  (หนา) 5.0kg-5.5 kg</t>
  </si>
  <si>
    <t>ฉากสังกะสี 6 หุน No.30  (บาง) 3.0kg-3.5 kg</t>
  </si>
  <si>
    <t>ฉากสังกะสี 1"x 1" No.26 (6.0-8.0 kg)</t>
  </si>
  <si>
    <t>3. โครงผนัง (ซี ยู) โรงงาน ทีรกร / C&amp;T</t>
  </si>
  <si>
    <t>โครงผนังตัว C 6.5 x 240 cm. No.24</t>
  </si>
  <si>
    <t>โครงผนังตัว C 6.5 x 300 cm. No.24</t>
  </si>
  <si>
    <t>โครงผนังตัว C 7.5 x 240 cm. No.24</t>
  </si>
  <si>
    <t>โครงผนังตัว C 7.5 x 300 cm. No.24</t>
  </si>
  <si>
    <t>โครงผนังตัว C 6.5 x 240 cm. No.26</t>
  </si>
  <si>
    <t>โครงผนังตัว C 6.5 x 300 cm. No.26</t>
  </si>
  <si>
    <t>โครงผนังตัว C 7.5 x 240 cm. No.26</t>
  </si>
  <si>
    <t>โครงผนังตัว C 7.5 x 300 cm. No.26</t>
  </si>
  <si>
    <t>โครงผนังตัว U 6.5 x 240 cm. No.24</t>
  </si>
  <si>
    <t>โครงผนังตัว U 6.5 x 300 cm. No.24</t>
  </si>
  <si>
    <t>โครงผนังตัว U 7.5 x 240 cm. No.24</t>
  </si>
  <si>
    <t>โครงผนังตัว U 7.5 x 300 cm. No.24</t>
  </si>
  <si>
    <t>โครงผนังตัว U 6.5 x 240 cm. No.26</t>
  </si>
  <si>
    <t>โครงผนังตัว U 6.5 x 300 cm. No.26</t>
  </si>
  <si>
    <t>โครงผนังตัว U 7.5 x 240 cm. No.26</t>
  </si>
  <si>
    <t>โครงผนังตัว U 7.5 x 300 cm. No.26</t>
  </si>
  <si>
    <t>ซอยผนัง 6.5 x 60 cm. No.24</t>
  </si>
  <si>
    <t>ซอยผนัง 7.5 x 60 cm. No.24</t>
  </si>
  <si>
    <t>ซอยผนัง 6.5 x 60 cm. No.26</t>
  </si>
  <si>
    <t>ซอยผนัง 7.5 x 60 cm. No.26</t>
  </si>
  <si>
    <t>3. โครงผนัง (ซี ยู) โรงงาน อมรชัย</t>
  </si>
  <si>
    <t>4. โครงทีบาร์</t>
  </si>
  <si>
    <t>โครงทีซอย 60 cm. สีอบขาว บาง</t>
  </si>
  <si>
    <t>โครงทีซอย 60 ซม. สีขาว บาง</t>
  </si>
  <si>
    <t>โครงทีซอย 60 ซม. สีขาว กลาง</t>
  </si>
  <si>
    <t>โครงทีซอย 60 ซม. สีขาว หนา</t>
  </si>
  <si>
    <t>โครงทีเมน 1"x1" สีอบขาว บาง</t>
  </si>
  <si>
    <t>โครงทีเมน 1" x 1" สีขาว บาง</t>
  </si>
  <si>
    <t>โครงทีเมน 1"x1" สีขาว กลาง</t>
  </si>
  <si>
    <t>โครงทีเมน 1" x 1" สีขาว หนา</t>
  </si>
  <si>
    <t>โครงริม 6 หุน สีอบขาว (ฉากระดับเคลือบสี)</t>
  </si>
  <si>
    <t>แปสังกะสี ทีรกร</t>
  </si>
  <si>
    <t>แปสังกะสี 0.50 - 0.54 กก</t>
  </si>
  <si>
    <t>แปสังกะสี 0.55 - 0.59 กก</t>
  </si>
  <si>
    <t>แปสังกะสี 0.60 - 0.64 กก</t>
  </si>
  <si>
    <t>แปสังกะสี 0.65 - 0.69 กก (ซิงค์สีเทา)</t>
  </si>
  <si>
    <t>แปสังกะสี 0.70 - 0.75 กก (ซิงค์สีเทา)</t>
  </si>
  <si>
    <t>แปสังกะสี C&amp;T</t>
  </si>
  <si>
    <t>แปสังกะสี Globlex</t>
  </si>
  <si>
    <t>แปหลังคา 1.90 - 2.00 กก</t>
  </si>
  <si>
    <t>แปสังกะสี 2.10 - 2.20 กก</t>
  </si>
  <si>
    <t>แปสังกะสี 2.40 - 2.50 กก</t>
  </si>
  <si>
    <t>5. อุปกรณ์ยิปซั่ม</t>
  </si>
  <si>
    <t>ล็อคกิ้งคีย์ (บาง) (ทีรกร)</t>
  </si>
  <si>
    <t>ล็อคกิ้งคีย์ (หนา) (ทีรกร)</t>
  </si>
  <si>
    <t>ล็อคกิ้งคีย์  (C&amp;T)</t>
  </si>
  <si>
    <r>
      <t>ล็อคกิ้งคีย์ บาง (อมรชัย)</t>
    </r>
    <r>
      <rPr>
        <sz val="8"/>
        <color rgb="FFFF0000"/>
        <rFont val="Calibri"/>
        <family val="2"/>
        <scheme val="minor"/>
      </rPr>
      <t xml:space="preserve"> ** 2,000 ตัว / ลัง** </t>
    </r>
  </si>
  <si>
    <r>
      <t>ล็อคกิ้งคีย์ หนา (อมรชัย)</t>
    </r>
    <r>
      <rPr>
        <sz val="8"/>
        <color rgb="FFFF0000"/>
        <rFont val="Calibri"/>
        <family val="2"/>
        <scheme val="minor"/>
      </rPr>
      <t xml:space="preserve"> ** 2,000 ตัว / ลัง** </t>
    </r>
  </si>
  <si>
    <t>ประวิทย์</t>
  </si>
  <si>
    <t>ล็อคกิ้งคีย์ B (บาง) (ประวิทย์)</t>
  </si>
  <si>
    <t>ล็อคกิ้งคีย์ A (หนา) (ประวิทย์)</t>
  </si>
  <si>
    <t>ตะขอแขวน (ทีรกร)</t>
  </si>
  <si>
    <t>ตะขอแขวน (C&amp;T)</t>
  </si>
  <si>
    <r>
      <t xml:space="preserve">ตะขอแขวน (อมรชัย) </t>
    </r>
    <r>
      <rPr>
        <sz val="8"/>
        <color rgb="FFFF0000"/>
        <rFont val="Calibri"/>
        <family val="2"/>
        <scheme val="minor"/>
      </rPr>
      <t>** 2,000 ตัว/กระสอบ **</t>
    </r>
  </si>
  <si>
    <t>ตะขอแขวน (ประวิทย์)</t>
  </si>
  <si>
    <t>สปริงดำ (ทีรกร)</t>
  </si>
  <si>
    <t>สปริงดำ (อมรชัย)</t>
  </si>
  <si>
    <t>สปริงดำ (C&amp;T)</t>
  </si>
  <si>
    <t>สปริงดำ (ประวิทย์)</t>
  </si>
  <si>
    <t>ลวดซีลาย 3.1 ม (ทีรกร)</t>
  </si>
  <si>
    <t>ลวดซีลาย 4.0 ม (ทีรกร)</t>
  </si>
  <si>
    <t>ลวดซีลาย 3.1 ม (C&amp;T)</t>
  </si>
  <si>
    <t>ลวดซีลาย 4.0 ม (C&amp;T)</t>
  </si>
  <si>
    <t>ลวดซีลาย 3.1 ม (อมรชัย) แบบชุบ</t>
  </si>
  <si>
    <t>ลวดซีลาย (หนา 4.0 มม.)</t>
  </si>
  <si>
    <t>ฉาก 2 รู (ทีรกร)</t>
  </si>
  <si>
    <t>ฉาก 2 รู (C&amp;T)</t>
  </si>
  <si>
    <r>
      <t xml:space="preserve">ฉาก 2 รู (อมรชัย) </t>
    </r>
    <r>
      <rPr>
        <sz val="8"/>
        <color rgb="FFFF0000"/>
        <rFont val="Calibri"/>
        <family val="2"/>
        <scheme val="minor"/>
      </rPr>
      <t>** 3,000 ตัว/ลัง **</t>
    </r>
  </si>
  <si>
    <t>พุกเหล็ก 1.5หุน (100 ตัว/ถุง)</t>
  </si>
  <si>
    <t>พุกเหล็ก 2หุน (100 ตัว/ถุง)</t>
  </si>
  <si>
    <t>สยาม</t>
  </si>
  <si>
    <t>ผ้าฉาบ (3 ม้วน/ห่อ)</t>
  </si>
  <si>
    <r>
      <t xml:space="preserve">ผ้าฉาบ (3 ม้วน/ห่อ) </t>
    </r>
    <r>
      <rPr>
        <sz val="8"/>
        <color rgb="FFFF0000"/>
        <rFont val="Calibri"/>
        <family val="2"/>
        <scheme val="minor"/>
      </rPr>
      <t>** 50 ห่อ/ลัง **</t>
    </r>
  </si>
  <si>
    <t>โพลีแมท</t>
  </si>
  <si>
    <t>ผ้าฉาบ ไฟเบอร์กลาส 3 ซม. x 20 ม. (72ม้วน/ลัง)</t>
  </si>
  <si>
    <t>ผ้าฉาบ ไฟเบอร์กลาส 5 ซม. x 20 ม. (72 ม้วน/ลัง)</t>
  </si>
  <si>
    <t>ผ้าฉาบ ไฟเบอร์กลาส 5 ซม. x 45 ม. (54 ม้วน/ลัง)</t>
  </si>
  <si>
    <t>เจมยี</t>
  </si>
  <si>
    <t>สกรูยิปซั่ม 6 หุน (19 มม. - ญ) 7 ขีด</t>
  </si>
  <si>
    <t>สกรูยิปซั่ม 6 หุน (19 มม. - ญ) 6 ขีด</t>
  </si>
  <si>
    <t>สกรูยิปซั่ม 6 หุน (19 มม.- ล) 5 ขีด</t>
  </si>
  <si>
    <t>สกรูยิปซั่ม 1 นิ้ว (25.4 มม.-  ญ) 7 ขีด</t>
  </si>
  <si>
    <t>สกรูยิปซั่ม 1 นิ้ว (25.4 มม.-  ญ) 6 ขีด</t>
  </si>
  <si>
    <t>สกรูยิปซั่ม 1 นิ้ว (25.4 มม.-  ล) 5 ขีด</t>
  </si>
  <si>
    <t>สกรูยิปซั่ม 1  1/2 นิ้ว (38.1 มม.) 7 ขีด</t>
  </si>
  <si>
    <t>สกรูยิปซั่ม 1  1/2 นิ้ว (38.1 มม.) 6 ขีด</t>
  </si>
  <si>
    <t>สกรูยิปซั่ม 1  1/2 นิ้ว (38.1 มม.) 5 ขีด</t>
  </si>
  <si>
    <t>สกรูยิปซั่ม 2 นิ้ว (50.8 มม.) 7 ขีด</t>
  </si>
  <si>
    <t>สกรูยิปซั่ม 2 นิ้ว (50.8 มม.) 6 ขีด</t>
  </si>
  <si>
    <t>สกรูยิปซั่ม 2 นิ้ว (50.8 มม.) 5 ขีด</t>
  </si>
  <si>
    <t xml:space="preserve">สกรูยิงสมาร์ทบอร์ด 6X1 </t>
  </si>
  <si>
    <t>สกรูยิงสมาร์ทบอร์ด 6 X 3/4</t>
  </si>
  <si>
    <t>สกรูยิงโครงคร่าว 3 หุน (10 มม.) No.6</t>
  </si>
  <si>
    <t>ตระกูลไทย</t>
  </si>
  <si>
    <t>กระดาษทราย No.3</t>
  </si>
  <si>
    <t>กระดาษทราย No.4</t>
  </si>
  <si>
    <t>ลวดเบอร์ 18</t>
  </si>
  <si>
    <t xml:space="preserve"> </t>
  </si>
  <si>
    <t>ตะปูตีฉาก (1 Kg.)</t>
  </si>
  <si>
    <t>ตะปูตีฉาก (0.5 Kg.)</t>
  </si>
  <si>
    <t xml:space="preserve">สีอะครีลิค TG 5.0 แกลลอน สีควันบุหรี่ </t>
  </si>
  <si>
    <t>แปรงทาสีด้ามไม้ PUMKIN  1"</t>
  </si>
  <si>
    <t>แปรงทาสีด้ามไม้ PUMKIN  2"</t>
  </si>
  <si>
    <t>แปรงทาสีด้ามไม้ PUMKIN  4"</t>
  </si>
  <si>
    <t>แปรงลูกกลิ้งทาสี 10 นิ้ว รุ่นมืออาชีพ PUMPKIN-PRO</t>
  </si>
  <si>
    <t>ราคาขาย เดือน</t>
  </si>
  <si>
    <t>ชื่อผู้ขาย</t>
  </si>
  <si>
    <t>หมายเลข</t>
  </si>
  <si>
    <t>1,2</t>
  </si>
  <si>
    <t>ทีรกร ซีลายน์  5.0-5.5 กก.</t>
  </si>
  <si>
    <t>ทีรกร ซีลายน์  5.6-5.9 กก.</t>
  </si>
  <si>
    <t>ทีรกร ซีลายน์  6.0-6.5 กก.</t>
  </si>
  <si>
    <t>ทีรกร ซีลายน์  6.6-6.9 กก.</t>
  </si>
  <si>
    <t>ทีรกร ซีลายน์  7.0-7.5 กก.</t>
  </si>
  <si>
    <t>ทีรกร ซีลายน์  7.6-7.9 กก.</t>
  </si>
  <si>
    <t>ทีรกร ซีลายน์  8.0-8.5 กก.</t>
  </si>
  <si>
    <t>ทีรกร ซีลายน์  9.0-9.5 กก.</t>
  </si>
  <si>
    <t>ทีรกร ซีลายน์ 10.0-10.5 กก.</t>
  </si>
  <si>
    <t>C&amp;T ซีลายน์  5.3-5.5 กก.</t>
  </si>
  <si>
    <t>C&amp;T ซีลายน์  5.6-5.8 กก.</t>
  </si>
  <si>
    <t>C&amp;T ซีลายน์  6.2-6.4 กก.</t>
  </si>
  <si>
    <t>C&amp;T ซีลายน์  6.5-6.7 กก.</t>
  </si>
  <si>
    <t>C&amp;T ซีลายน์  7.1-7.3 กก.</t>
  </si>
  <si>
    <t>C&amp;T ซีลายน์  7.7-7.9 กก.</t>
  </si>
  <si>
    <t>C&amp;T ซีลายน์  8.0-8.2 กก.</t>
  </si>
  <si>
    <t>C&amp;T ซีลายน์  9.0-9.5 กก.</t>
  </si>
  <si>
    <r>
      <t xml:space="preserve">ฉาก 2 รู (อมรชัย) </t>
    </r>
    <r>
      <rPr>
        <sz val="8"/>
        <color theme="1"/>
        <rFont val="Calibri"/>
        <family val="2"/>
        <scheme val="minor"/>
      </rPr>
      <t>** 3,000 ตัว/ลัง **</t>
    </r>
  </si>
  <si>
    <r>
      <t xml:space="preserve">ผ้าฉาบ (3 ม้วน/ห่อ) </t>
    </r>
    <r>
      <rPr>
        <sz val="8"/>
        <color theme="1"/>
        <rFont val="Calibri"/>
        <family val="2"/>
        <scheme val="minor"/>
      </rPr>
      <t>** 50 ห่อ/ลัง **</t>
    </r>
  </si>
  <si>
    <t xml:space="preserve">ล็อคกิ้งคีย์ บาง (อมรชัย) ** 2,000 ตัว / ลัง** </t>
  </si>
  <si>
    <t xml:space="preserve">ล็อคกิ้งคีย์ หนา (อมรชัย) ** 2,000 ตัว / ลัง** </t>
  </si>
  <si>
    <t>ตะขอแขวน (อมรชัย) ** 2,000 ตัว/กระสอบ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</si>
</sst>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70000]d/mm/yyyy;@"/>
    <numFmt numFmtId="166" formatCode="0.0%"/>
    <numFmt numFmtId="167" formatCode="0.000"/>
  </numFmts>
  <fonts count="32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4"/>
      <name val="Cordia New"/>
      <family val="2"/>
    </font>
    <font>
      <b/>
      <sz val="28"/>
      <name val="Bodoni MT Condensed"/>
      <family val="1"/>
    </font>
    <font>
      <b/>
      <sz val="11"/>
      <color theme="1"/>
      <name val="Calibri"/>
      <family val="2"/>
      <scheme val="minor"/>
    </font>
    <font>
      <b/>
      <sz val="16"/>
      <name val="CordiaUPC"/>
      <family val="2"/>
    </font>
    <font>
      <b/>
      <sz val="18"/>
      <name val="CordiaUPC"/>
      <family val="2"/>
    </font>
    <font>
      <b/>
      <sz val="11"/>
      <color rgb="FFFF0000"/>
      <name val="Calibri"/>
      <family val="2"/>
      <scheme val="minor"/>
    </font>
    <font>
      <sz val="16"/>
      <name val="CordiaUPC"/>
      <family val="2"/>
      <charset val="222"/>
    </font>
    <font>
      <b/>
      <u/>
      <sz val="16"/>
      <name val="CordiaUPC"/>
      <family val="2"/>
    </font>
    <font>
      <b/>
      <sz val="16"/>
      <color rgb="FFFFFF00"/>
      <name val="CordiaUPC"/>
      <family val="2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ordiaUPC"/>
      <family val="2"/>
    </font>
    <font>
      <b/>
      <sz val="16"/>
      <color theme="7" tint="-0.249977111117893"/>
      <name val="CordiaUPC"/>
      <family val="2"/>
    </font>
    <font>
      <sz val="11"/>
      <color theme="7" tint="-0.249977111117893"/>
      <name val="Calibri"/>
      <family val="2"/>
      <charset val="222"/>
      <scheme val="minor"/>
    </font>
    <font>
      <b/>
      <u/>
      <sz val="11"/>
      <color theme="7" tint="-0.249977111117893"/>
      <name val="Calibri"/>
      <family val="2"/>
      <scheme val="minor"/>
    </font>
    <font>
      <sz val="11"/>
      <color rgb="FFFFFF00"/>
      <name val="Calibri"/>
      <family val="2"/>
      <charset val="222"/>
      <scheme val="minor"/>
    </font>
    <font>
      <sz val="16"/>
      <color rgb="FFFFFF00"/>
      <name val="CordiaUPC"/>
      <family val="2"/>
      <charset val="222"/>
    </font>
    <font>
      <b/>
      <sz val="11"/>
      <color theme="9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1" tint="4.9989318521683403E-2"/>
      <name val="Calibri"/>
      <family val="2"/>
      <charset val="222"/>
      <scheme val="minor"/>
    </font>
    <font>
      <sz val="11"/>
      <color theme="4"/>
      <name val="Calibri"/>
      <family val="2"/>
      <charset val="222"/>
      <scheme val="minor"/>
    </font>
    <font>
      <sz val="11"/>
      <color theme="9" tint="-0.249977111117893"/>
      <name val="Calibri"/>
      <family val="2"/>
      <charset val="22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201">
    <xf numFmtId="0" fontId="0" fillId="0" borderId="0" xfId="0"/>
    <xf numFmtId="0" fontId="0" fillId="2" borderId="0" xfId="0" applyFill="1"/>
    <xf numFmtId="164" fontId="0" fillId="2" borderId="0" xfId="1" applyFont="1" applyFill="1"/>
    <xf numFmtId="164" fontId="0" fillId="0" borderId="0" xfId="1" applyFont="1"/>
    <xf numFmtId="0" fontId="0" fillId="0" borderId="0" xfId="0" applyAlignment="1">
      <alignment horizontal="center"/>
    </xf>
    <xf numFmtId="0" fontId="6" fillId="0" borderId="0" xfId="3" applyFont="1" applyAlignment="1" applyProtection="1">
      <alignment horizontal="left"/>
      <protection locked="0"/>
    </xf>
    <xf numFmtId="0" fontId="0" fillId="4" borderId="0" xfId="0" applyFill="1"/>
    <xf numFmtId="0" fontId="8" fillId="0" borderId="0" xfId="3" applyFont="1" applyAlignment="1" applyProtection="1">
      <alignment horizontal="right" vertical="center"/>
      <protection locked="0"/>
    </xf>
    <xf numFmtId="164" fontId="9" fillId="0" borderId="0" xfId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3" applyFont="1" applyAlignment="1" applyProtection="1">
      <alignment horizontal="righ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0" fillId="0" borderId="1" xfId="0" applyBorder="1"/>
    <xf numFmtId="164" fontId="0" fillId="0" borderId="1" xfId="1" applyFont="1" applyBorder="1"/>
    <xf numFmtId="0" fontId="7" fillId="0" borderId="0" xfId="0" applyFont="1" applyAlignment="1">
      <alignment horizontal="center"/>
    </xf>
    <xf numFmtId="0" fontId="1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 applyProtection="1">
      <alignment horizontal="left" vertical="center"/>
      <protection locked="0"/>
    </xf>
    <xf numFmtId="0" fontId="8" fillId="3" borderId="3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2" fillId="2" borderId="0" xfId="0" applyFont="1" applyFill="1"/>
    <xf numFmtId="164" fontId="14" fillId="0" borderId="0" xfId="1" applyFont="1" applyAlignment="1">
      <alignment horizontal="center"/>
    </xf>
    <xf numFmtId="167" fontId="15" fillId="0" borderId="0" xfId="0" applyNumberFormat="1" applyFont="1"/>
    <xf numFmtId="0" fontId="16" fillId="0" borderId="4" xfId="0" applyFont="1" applyBorder="1"/>
    <xf numFmtId="164" fontId="16" fillId="0" borderId="4" xfId="1" applyFont="1" applyFill="1" applyBorder="1"/>
    <xf numFmtId="164" fontId="16" fillId="0" borderId="5" xfId="1" applyFont="1" applyFill="1" applyBorder="1"/>
    <xf numFmtId="0" fontId="16" fillId="0" borderId="0" xfId="0" applyFont="1"/>
    <xf numFmtId="164" fontId="16" fillId="2" borderId="3" xfId="1" applyFont="1" applyFill="1" applyBorder="1"/>
    <xf numFmtId="10" fontId="16" fillId="2" borderId="3" xfId="2" applyNumberFormat="1" applyFont="1" applyFill="1" applyBorder="1"/>
    <xf numFmtId="164" fontId="16" fillId="0" borderId="3" xfId="1" applyFont="1" applyFill="1" applyBorder="1"/>
    <xf numFmtId="10" fontId="16" fillId="6" borderId="3" xfId="2" applyNumberFormat="1" applyFont="1" applyFill="1" applyBorder="1"/>
    <xf numFmtId="164" fontId="0" fillId="0" borderId="0" xfId="1" applyFont="1" applyFill="1"/>
    <xf numFmtId="2" fontId="0" fillId="0" borderId="0" xfId="0" applyNumberFormat="1"/>
    <xf numFmtId="164" fontId="0" fillId="0" borderId="0" xfId="0" applyNumberFormat="1"/>
    <xf numFmtId="0" fontId="16" fillId="0" borderId="6" xfId="0" applyFont="1" applyBorder="1"/>
    <xf numFmtId="164" fontId="16" fillId="0" borderId="6" xfId="1" applyFont="1" applyFill="1" applyBorder="1"/>
    <xf numFmtId="164" fontId="16" fillId="0" borderId="7" xfId="1" applyFont="1" applyFill="1" applyBorder="1"/>
    <xf numFmtId="0" fontId="17" fillId="0" borderId="0" xfId="0" applyFont="1"/>
    <xf numFmtId="164" fontId="16" fillId="2" borderId="8" xfId="1" applyFont="1" applyFill="1" applyBorder="1"/>
    <xf numFmtId="10" fontId="16" fillId="2" borderId="8" xfId="2" applyNumberFormat="1" applyFont="1" applyFill="1" applyBorder="1"/>
    <xf numFmtId="164" fontId="16" fillId="0" borderId="8" xfId="1" applyFont="1" applyFill="1" applyBorder="1"/>
    <xf numFmtId="10" fontId="16" fillId="6" borderId="8" xfId="2" applyNumberFormat="1" applyFont="1" applyFill="1" applyBorder="1"/>
    <xf numFmtId="0" fontId="16" fillId="0" borderId="9" xfId="0" applyFont="1" applyBorder="1"/>
    <xf numFmtId="164" fontId="16" fillId="0" borderId="9" xfId="1" applyFont="1" applyFill="1" applyBorder="1"/>
    <xf numFmtId="164" fontId="16" fillId="0" borderId="10" xfId="1" applyFont="1" applyFill="1" applyBorder="1"/>
    <xf numFmtId="164" fontId="16" fillId="2" borderId="11" xfId="1" applyFont="1" applyFill="1" applyBorder="1"/>
    <xf numFmtId="10" fontId="16" fillId="2" borderId="11" xfId="2" applyNumberFormat="1" applyFont="1" applyFill="1" applyBorder="1"/>
    <xf numFmtId="164" fontId="16" fillId="0" borderId="11" xfId="1" applyFont="1" applyFill="1" applyBorder="1"/>
    <xf numFmtId="10" fontId="16" fillId="6" borderId="11" xfId="2" applyNumberFormat="1" applyFont="1" applyFill="1" applyBorder="1"/>
    <xf numFmtId="164" fontId="16" fillId="0" borderId="0" xfId="1" applyFont="1" applyFill="1" applyBorder="1"/>
    <xf numFmtId="164" fontId="16" fillId="2" borderId="0" xfId="1" applyFont="1" applyFill="1" applyBorder="1"/>
    <xf numFmtId="10" fontId="16" fillId="2" borderId="0" xfId="2" applyNumberFormat="1" applyFont="1" applyFill="1" applyBorder="1"/>
    <xf numFmtId="10" fontId="16" fillId="0" borderId="0" xfId="2" applyNumberFormat="1" applyFont="1" applyFill="1" applyBorder="1"/>
    <xf numFmtId="0" fontId="18" fillId="3" borderId="3" xfId="0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20" fillId="0" borderId="0" xfId="0" applyFont="1"/>
    <xf numFmtId="0" fontId="20" fillId="2" borderId="0" xfId="0" applyFont="1" applyFill="1"/>
    <xf numFmtId="164" fontId="20" fillId="2" borderId="0" xfId="1" applyFont="1" applyFill="1"/>
    <xf numFmtId="164" fontId="21" fillId="0" borderId="0" xfId="1" applyFont="1" applyAlignment="1">
      <alignment horizontal="center"/>
    </xf>
    <xf numFmtId="0" fontId="4" fillId="0" borderId="0" xfId="0" applyFont="1"/>
    <xf numFmtId="0" fontId="16" fillId="0" borderId="12" xfId="0" applyFont="1" applyBorder="1"/>
    <xf numFmtId="167" fontId="22" fillId="0" borderId="0" xfId="0" applyNumberFormat="1" applyFont="1"/>
    <xf numFmtId="164" fontId="10" fillId="0" borderId="0" xfId="1" applyFont="1" applyFill="1"/>
    <xf numFmtId="0" fontId="23" fillId="0" borderId="0" xfId="0" applyFont="1" applyAlignment="1" applyProtection="1">
      <alignment horizontal="left" vertical="center"/>
      <protection locked="0"/>
    </xf>
    <xf numFmtId="164" fontId="8" fillId="0" borderId="0" xfId="1" applyFont="1" applyFill="1" applyAlignment="1" applyProtection="1">
      <alignment horizontal="left" vertical="center"/>
      <protection locked="0"/>
    </xf>
    <xf numFmtId="164" fontId="24" fillId="0" borderId="0" xfId="1" applyFont="1" applyFill="1" applyBorder="1" applyAlignment="1">
      <alignment horizontal="center" vertical="top"/>
    </xf>
    <xf numFmtId="0" fontId="2" fillId="0" borderId="3" xfId="0" applyFont="1" applyBorder="1"/>
    <xf numFmtId="164" fontId="2" fillId="0" borderId="4" xfId="1" applyFont="1" applyFill="1" applyBorder="1"/>
    <xf numFmtId="164" fontId="2" fillId="0" borderId="5" xfId="1" applyFont="1" applyFill="1" applyBorder="1"/>
    <xf numFmtId="0" fontId="2" fillId="0" borderId="0" xfId="0" applyFont="1"/>
    <xf numFmtId="164" fontId="2" fillId="2" borderId="3" xfId="1" applyFont="1" applyFill="1" applyBorder="1"/>
    <xf numFmtId="10" fontId="2" fillId="2" borderId="3" xfId="2" applyNumberFormat="1" applyFont="1" applyFill="1" applyBorder="1"/>
    <xf numFmtId="164" fontId="2" fillId="0" borderId="3" xfId="1" applyFont="1" applyFill="1" applyBorder="1"/>
    <xf numFmtId="10" fontId="2" fillId="6" borderId="3" xfId="2" applyNumberFormat="1" applyFont="1" applyFill="1" applyBorder="1"/>
    <xf numFmtId="0" fontId="2" fillId="0" borderId="8" xfId="0" applyFont="1" applyBorder="1"/>
    <xf numFmtId="164" fontId="2" fillId="0" borderId="6" xfId="1" applyFont="1" applyFill="1" applyBorder="1"/>
    <xf numFmtId="164" fontId="2" fillId="0" borderId="7" xfId="1" applyFont="1" applyFill="1" applyBorder="1"/>
    <xf numFmtId="164" fontId="2" fillId="2" borderId="8" xfId="1" applyFont="1" applyFill="1" applyBorder="1"/>
    <xf numFmtId="10" fontId="2" fillId="2" borderId="8" xfId="2" applyNumberFormat="1" applyFont="1" applyFill="1" applyBorder="1"/>
    <xf numFmtId="164" fontId="2" fillId="0" borderId="8" xfId="1" applyFont="1" applyFill="1" applyBorder="1"/>
    <xf numFmtId="10" fontId="2" fillId="6" borderId="8" xfId="2" applyNumberFormat="1" applyFont="1" applyFill="1" applyBorder="1"/>
    <xf numFmtId="0" fontId="25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2" fillId="0" borderId="13" xfId="0" applyFont="1" applyBorder="1"/>
    <xf numFmtId="164" fontId="2" fillId="0" borderId="14" xfId="1" applyFont="1" applyFill="1" applyBorder="1"/>
    <xf numFmtId="164" fontId="2" fillId="0" borderId="15" xfId="1" applyFont="1" applyFill="1" applyBorder="1"/>
    <xf numFmtId="0" fontId="2" fillId="0" borderId="1" xfId="0" applyFont="1" applyBorder="1"/>
    <xf numFmtId="164" fontId="2" fillId="2" borderId="11" xfId="1" applyFont="1" applyFill="1" applyBorder="1"/>
    <xf numFmtId="164" fontId="2" fillId="2" borderId="13" xfId="1" applyFont="1" applyFill="1" applyBorder="1"/>
    <xf numFmtId="10" fontId="2" fillId="2" borderId="13" xfId="2" applyNumberFormat="1" applyFont="1" applyFill="1" applyBorder="1"/>
    <xf numFmtId="164" fontId="2" fillId="0" borderId="13" xfId="1" applyFont="1" applyFill="1" applyBorder="1"/>
    <xf numFmtId="10" fontId="2" fillId="6" borderId="13" xfId="2" applyNumberFormat="1" applyFont="1" applyFill="1" applyBorder="1"/>
    <xf numFmtId="0" fontId="26" fillId="0" borderId="0" xfId="0" applyFont="1"/>
    <xf numFmtId="164" fontId="2" fillId="0" borderId="0" xfId="1" applyFont="1" applyFill="1"/>
    <xf numFmtId="0" fontId="22" fillId="0" borderId="0" xfId="0" applyFont="1"/>
    <xf numFmtId="0" fontId="0" fillId="0" borderId="0" xfId="0" applyAlignment="1">
      <alignment vertical="top"/>
    </xf>
    <xf numFmtId="164" fontId="0" fillId="0" borderId="0" xfId="1" applyFont="1" applyFill="1" applyBorder="1"/>
    <xf numFmtId="164" fontId="2" fillId="0" borderId="0" xfId="1" applyFont="1" applyFill="1" applyBorder="1"/>
    <xf numFmtId="164" fontId="0" fillId="2" borderId="0" xfId="1" applyFont="1" applyFill="1" applyBorder="1"/>
    <xf numFmtId="0" fontId="8" fillId="0" borderId="3" xfId="0" applyFont="1" applyBorder="1" applyAlignment="1" applyProtection="1">
      <alignment horizontal="left" vertical="center"/>
      <protection locked="0"/>
    </xf>
    <xf numFmtId="2" fontId="0" fillId="2" borderId="0" xfId="2" applyNumberFormat="1" applyFont="1" applyFill="1"/>
    <xf numFmtId="2" fontId="0" fillId="0" borderId="0" xfId="2" applyNumberFormat="1" applyFont="1" applyFill="1"/>
    <xf numFmtId="0" fontId="2" fillId="0" borderId="3" xfId="0" applyFont="1" applyBorder="1" applyAlignment="1">
      <alignment vertical="top"/>
    </xf>
    <xf numFmtId="2" fontId="2" fillId="2" borderId="3" xfId="2" applyNumberFormat="1" applyFont="1" applyFill="1" applyBorder="1"/>
    <xf numFmtId="2" fontId="2" fillId="0" borderId="3" xfId="2" applyNumberFormat="1" applyFont="1" applyFill="1" applyBorder="1"/>
    <xf numFmtId="0" fontId="2" fillId="0" borderId="8" xfId="0" applyFont="1" applyBorder="1" applyAlignment="1">
      <alignment vertical="top"/>
    </xf>
    <xf numFmtId="2" fontId="2" fillId="2" borderId="8" xfId="2" applyNumberFormat="1" applyFont="1" applyFill="1" applyBorder="1"/>
    <xf numFmtId="2" fontId="2" fillId="0" borderId="8" xfId="2" applyNumberFormat="1" applyFont="1" applyFill="1" applyBorder="1"/>
    <xf numFmtId="0" fontId="2" fillId="0" borderId="11" xfId="0" applyFont="1" applyBorder="1" applyAlignment="1">
      <alignment vertical="top"/>
    </xf>
    <xf numFmtId="164" fontId="2" fillId="0" borderId="9" xfId="1" applyFont="1" applyFill="1" applyBorder="1"/>
    <xf numFmtId="164" fontId="2" fillId="0" borderId="10" xfId="1" applyFont="1" applyFill="1" applyBorder="1"/>
    <xf numFmtId="10" fontId="2" fillId="2" borderId="11" xfId="2" applyNumberFormat="1" applyFont="1" applyFill="1" applyBorder="1"/>
    <xf numFmtId="2" fontId="2" fillId="2" borderId="11" xfId="2" applyNumberFormat="1" applyFont="1" applyFill="1" applyBorder="1"/>
    <xf numFmtId="2" fontId="2" fillId="0" borderId="11" xfId="2" applyNumberFormat="1" applyFont="1" applyFill="1" applyBorder="1"/>
    <xf numFmtId="10" fontId="2" fillId="6" borderId="11" xfId="2" applyNumberFormat="1" applyFont="1" applyFill="1" applyBorder="1"/>
    <xf numFmtId="2" fontId="0" fillId="2" borderId="0" xfId="2" applyNumberFormat="1" applyFont="1" applyFill="1" applyBorder="1"/>
    <xf numFmtId="2" fontId="0" fillId="0" borderId="0" xfId="2" applyNumberFormat="1" applyFont="1" applyFill="1" applyBorder="1"/>
    <xf numFmtId="0" fontId="8" fillId="7" borderId="3" xfId="0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>
      <alignment vertical="top"/>
    </xf>
    <xf numFmtId="164" fontId="0" fillId="0" borderId="6" xfId="1" applyFont="1" applyFill="1" applyBorder="1"/>
    <xf numFmtId="164" fontId="0" fillId="0" borderId="7" xfId="1" applyFont="1" applyFill="1" applyBorder="1"/>
    <xf numFmtId="164" fontId="0" fillId="2" borderId="8" xfId="1" applyFont="1" applyFill="1" applyBorder="1"/>
    <xf numFmtId="2" fontId="0" fillId="2" borderId="8" xfId="2" applyNumberFormat="1" applyFont="1" applyFill="1" applyBorder="1"/>
    <xf numFmtId="10" fontId="0" fillId="2" borderId="8" xfId="2" applyNumberFormat="1" applyFont="1" applyFill="1" applyBorder="1"/>
    <xf numFmtId="2" fontId="0" fillId="0" borderId="8" xfId="2" applyNumberFormat="1" applyFont="1" applyFill="1" applyBorder="1"/>
    <xf numFmtId="10" fontId="0" fillId="6" borderId="8" xfId="2" applyNumberFormat="1" applyFont="1" applyFill="1" applyBorder="1"/>
    <xf numFmtId="0" fontId="0" fillId="0" borderId="11" xfId="0" applyBorder="1" applyAlignment="1">
      <alignment vertical="top"/>
    </xf>
    <xf numFmtId="164" fontId="0" fillId="0" borderId="9" xfId="1" applyFont="1" applyFill="1" applyBorder="1"/>
    <xf numFmtId="164" fontId="0" fillId="0" borderId="10" xfId="1" applyFont="1" applyFill="1" applyBorder="1"/>
    <xf numFmtId="164" fontId="0" fillId="2" borderId="11" xfId="1" applyFont="1" applyFill="1" applyBorder="1"/>
    <xf numFmtId="2" fontId="0" fillId="2" borderId="11" xfId="2" applyNumberFormat="1" applyFont="1" applyFill="1" applyBorder="1"/>
    <xf numFmtId="10" fontId="0" fillId="2" borderId="11" xfId="2" applyNumberFormat="1" applyFont="1" applyFill="1" applyBorder="1"/>
    <xf numFmtId="2" fontId="0" fillId="0" borderId="11" xfId="2" applyNumberFormat="1" applyFont="1" applyFill="1" applyBorder="1"/>
    <xf numFmtId="10" fontId="0" fillId="6" borderId="11" xfId="2" applyNumberFormat="1" applyFont="1" applyFill="1" applyBorder="1"/>
    <xf numFmtId="0" fontId="27" fillId="0" borderId="4" xfId="0" applyFont="1" applyBorder="1" applyAlignment="1">
      <alignment vertical="top"/>
    </xf>
    <xf numFmtId="164" fontId="27" fillId="0" borderId="4" xfId="1" applyFont="1" applyFill="1" applyBorder="1"/>
    <xf numFmtId="164" fontId="27" fillId="0" borderId="5" xfId="1" applyFont="1" applyFill="1" applyBorder="1"/>
    <xf numFmtId="0" fontId="27" fillId="0" borderId="0" xfId="0" applyFont="1"/>
    <xf numFmtId="164" fontId="27" fillId="2" borderId="3" xfId="1" applyFont="1" applyFill="1" applyBorder="1"/>
    <xf numFmtId="10" fontId="27" fillId="2" borderId="3" xfId="2" applyNumberFormat="1" applyFont="1" applyFill="1" applyBorder="1"/>
    <xf numFmtId="2" fontId="27" fillId="2" borderId="3" xfId="2" applyNumberFormat="1" applyFont="1" applyFill="1" applyBorder="1"/>
    <xf numFmtId="2" fontId="27" fillId="0" borderId="3" xfId="2" applyNumberFormat="1" applyFont="1" applyFill="1" applyBorder="1"/>
    <xf numFmtId="10" fontId="27" fillId="6" borderId="3" xfId="2" applyNumberFormat="1" applyFont="1" applyFill="1" applyBorder="1"/>
    <xf numFmtId="0" fontId="2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164" fontId="0" fillId="0" borderId="6" xfId="1" applyFont="1" applyFill="1" applyBorder="1" applyAlignment="1">
      <alignment vertical="top"/>
    </xf>
    <xf numFmtId="164" fontId="0" fillId="0" borderId="7" xfId="1" applyFont="1" applyFill="1" applyBorder="1" applyAlignment="1">
      <alignment vertical="top"/>
    </xf>
    <xf numFmtId="0" fontId="0" fillId="2" borderId="8" xfId="0" applyFill="1" applyBorder="1"/>
    <xf numFmtId="2" fontId="0" fillId="6" borderId="8" xfId="2" applyNumberFormat="1" applyFont="1" applyFill="1" applyBorder="1"/>
    <xf numFmtId="0" fontId="2" fillId="0" borderId="9" xfId="0" applyFont="1" applyBorder="1" applyAlignment="1">
      <alignment vertical="top"/>
    </xf>
    <xf numFmtId="10" fontId="0" fillId="2" borderId="0" xfId="2" applyNumberFormat="1" applyFont="1" applyFill="1" applyBorder="1"/>
    <xf numFmtId="10" fontId="0" fillId="0" borderId="0" xfId="2" applyNumberFormat="1" applyFont="1" applyFill="1" applyBorder="1"/>
    <xf numFmtId="0" fontId="0" fillId="0" borderId="4" xfId="0" applyBorder="1" applyAlignment="1">
      <alignment vertical="top"/>
    </xf>
    <xf numFmtId="164" fontId="0" fillId="0" borderId="4" xfId="1" applyFont="1" applyFill="1" applyBorder="1"/>
    <xf numFmtId="164" fontId="0" fillId="0" borderId="5" xfId="1" applyFont="1" applyFill="1" applyBorder="1"/>
    <xf numFmtId="164" fontId="0" fillId="2" borderId="3" xfId="1" applyFont="1" applyFill="1" applyBorder="1"/>
    <xf numFmtId="10" fontId="0" fillId="2" borderId="3" xfId="2" applyNumberFormat="1" applyFont="1" applyFill="1" applyBorder="1"/>
    <xf numFmtId="2" fontId="0" fillId="2" borderId="3" xfId="2" applyNumberFormat="1" applyFont="1" applyFill="1" applyBorder="1"/>
    <xf numFmtId="2" fontId="0" fillId="0" borderId="3" xfId="2" applyNumberFormat="1" applyFont="1" applyFill="1" applyBorder="1"/>
    <xf numFmtId="10" fontId="0" fillId="6" borderId="3" xfId="2" applyNumberFormat="1" applyFont="1" applyFill="1" applyBorder="1"/>
    <xf numFmtId="0" fontId="0" fillId="0" borderId="9" xfId="0" applyBorder="1" applyAlignment="1">
      <alignment vertical="top"/>
    </xf>
    <xf numFmtId="0" fontId="8" fillId="8" borderId="3" xfId="0" applyFont="1" applyFill="1" applyBorder="1" applyAlignment="1" applyProtection="1">
      <alignment horizontal="left" vertical="center"/>
      <protection locked="0"/>
    </xf>
    <xf numFmtId="164" fontId="0" fillId="0" borderId="10" xfId="1" applyFont="1" applyFill="1" applyBorder="1" applyAlignment="1">
      <alignment vertical="top"/>
    </xf>
    <xf numFmtId="164" fontId="0" fillId="0" borderId="0" xfId="1" applyFont="1" applyFill="1" applyBorder="1" applyAlignment="1">
      <alignment vertical="top"/>
    </xf>
    <xf numFmtId="0" fontId="8" fillId="0" borderId="16" xfId="0" applyFont="1" applyBorder="1" applyAlignment="1" applyProtection="1">
      <alignment horizontal="left" vertical="center"/>
      <protection locked="0"/>
    </xf>
    <xf numFmtId="0" fontId="28" fillId="0" borderId="0" xfId="0" applyFont="1" applyAlignment="1">
      <alignment horizontal="center" vertical="top"/>
    </xf>
    <xf numFmtId="0" fontId="16" fillId="0" borderId="3" xfId="0" applyFont="1" applyBorder="1" applyAlignment="1">
      <alignment vertical="top"/>
    </xf>
    <xf numFmtId="2" fontId="16" fillId="2" borderId="3" xfId="2" applyNumberFormat="1" applyFont="1" applyFill="1" applyBorder="1"/>
    <xf numFmtId="2" fontId="16" fillId="0" borderId="3" xfId="2" applyNumberFormat="1" applyFont="1" applyFill="1" applyBorder="1"/>
    <xf numFmtId="0" fontId="16" fillId="0" borderId="8" xfId="0" applyFont="1" applyBorder="1" applyAlignment="1">
      <alignment vertical="top"/>
    </xf>
    <xf numFmtId="2" fontId="16" fillId="2" borderId="8" xfId="2" applyNumberFormat="1" applyFont="1" applyFill="1" applyBorder="1"/>
    <xf numFmtId="2" fontId="16" fillId="0" borderId="8" xfId="2" applyNumberFormat="1" applyFont="1" applyFill="1" applyBorder="1"/>
    <xf numFmtId="0" fontId="2" fillId="0" borderId="0" xfId="0" applyFont="1" applyAlignment="1">
      <alignment horizontal="center" vertical="top"/>
    </xf>
    <xf numFmtId="164" fontId="29" fillId="0" borderId="0" xfId="1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28" fillId="0" borderId="0" xfId="1" applyFont="1" applyFill="1" applyBorder="1" applyAlignment="1">
      <alignment horizontal="center" vertical="top"/>
    </xf>
    <xf numFmtId="164" fontId="2" fillId="0" borderId="0" xfId="1" applyFont="1" applyFill="1" applyBorder="1" applyAlignment="1">
      <alignment horizontal="center" vertical="top"/>
    </xf>
    <xf numFmtId="164" fontId="1" fillId="0" borderId="0" xfId="1" applyFont="1" applyFill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6" fillId="0" borderId="8" xfId="0" applyFont="1" applyBorder="1" applyAlignment="1">
      <alignment vertical="center" wrapText="1"/>
    </xf>
    <xf numFmtId="0" fontId="16" fillId="0" borderId="11" xfId="0" applyFont="1" applyBorder="1"/>
    <xf numFmtId="166" fontId="16" fillId="2" borderId="11" xfId="2" applyNumberFormat="1" applyFont="1" applyFill="1" applyBorder="1"/>
    <xf numFmtId="164" fontId="16" fillId="0" borderId="11" xfId="1" applyFont="1" applyBorder="1"/>
    <xf numFmtId="0" fontId="7" fillId="0" borderId="0" xfId="0" applyFont="1"/>
    <xf numFmtId="164" fontId="0" fillId="0" borderId="1" xfId="1" applyFont="1" applyFill="1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165" fontId="8" fillId="0" borderId="0" xfId="1" applyNumberFormat="1" applyFont="1" applyAlignment="1" applyProtection="1">
      <alignment horizontal="left"/>
      <protection locked="0"/>
    </xf>
    <xf numFmtId="0" fontId="7" fillId="2" borderId="2" xfId="0" applyFont="1" applyFill="1" applyBorder="1" applyAlignment="1">
      <alignment horizontal="center" wrapText="1"/>
    </xf>
    <xf numFmtId="164" fontId="7" fillId="2" borderId="2" xfId="1" applyFont="1" applyFill="1" applyBorder="1" applyAlignment="1">
      <alignment horizontal="center" wrapText="1"/>
    </xf>
    <xf numFmtId="164" fontId="7" fillId="5" borderId="2" xfId="1" applyFont="1" applyFill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17" fillId="0" borderId="0" xfId="0" applyFont="1" applyBorder="1" applyAlignment="1">
      <alignment vertical="top"/>
    </xf>
    <xf numFmtId="0" fontId="0" fillId="0" borderId="0" xfId="0" applyFill="1" applyBorder="1" applyAlignment="1">
      <alignment vertical="top"/>
    </xf>
    <xf numFmtId="0" fontId="16" fillId="0" borderId="8" xfId="0" applyFont="1" applyBorder="1" applyAlignment="1"/>
    <xf numFmtId="0" fontId="17" fillId="0" borderId="0" xfId="0" applyFont="1" applyBorder="1" applyAlignment="1"/>
    <xf numFmtId="0" fontId="17" fillId="0" borderId="0" xfId="0" applyFont="1" applyFill="1" applyBorder="1" applyAlignment="1">
      <alignment vertical="top"/>
    </xf>
  </cellXfs>
  <cellStyles count="4">
    <cellStyle name="Comma" xfId="1" builtinId="3"/>
    <cellStyle name="Normal" xfId="0" builtinId="0"/>
    <cellStyle name="Normal 2" xfId="3" xr:uid="{8A2F16F6-F194-4FC5-ADCF-B6FAF19DD05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B341-87EB-4BFD-B8FF-9B1B02D4E48C}">
  <dimension ref="A1:BR174"/>
  <sheetViews>
    <sheetView topLeftCell="A150" zoomScale="150" zoomScaleNormal="150" workbookViewId="0">
      <selection activeCell="C174" sqref="C174"/>
    </sheetView>
  </sheetViews>
  <sheetFormatPr baseColWidth="10" defaultColWidth="8.83203125" defaultRowHeight="15" x14ac:dyDescent="0.2"/>
  <cols>
    <col min="1" max="1" width="14" customWidth="1"/>
    <col min="2" max="2" width="8.6640625" customWidth="1"/>
    <col min="3" max="3" width="36.83203125" customWidth="1"/>
    <col min="4" max="5" width="8" customWidth="1"/>
    <col min="6" max="6" width="4.1640625" customWidth="1"/>
    <col min="7" max="8" width="8.33203125" style="1" customWidth="1"/>
    <col min="9" max="10" width="8.33203125" style="2" customWidth="1"/>
    <col min="11" max="14" width="8.33203125" style="3" customWidth="1"/>
  </cols>
  <sheetData>
    <row r="1" spans="1:70" x14ac:dyDescent="0.2">
      <c r="G1"/>
      <c r="H1"/>
      <c r="I1" s="32"/>
      <c r="J1" s="32"/>
    </row>
    <row r="2" spans="1:70" ht="34" x14ac:dyDescent="0.4">
      <c r="B2" s="5" t="s">
        <v>0</v>
      </c>
      <c r="D2" s="185"/>
      <c r="G2"/>
      <c r="H2"/>
      <c r="I2" s="32"/>
      <c r="J2" s="32"/>
      <c r="K2" s="7" t="s">
        <v>1</v>
      </c>
      <c r="M2" s="8"/>
      <c r="N2" s="7"/>
    </row>
    <row r="3" spans="1:70" ht="21" x14ac:dyDescent="0.25">
      <c r="B3" s="9" t="s">
        <v>4</v>
      </c>
      <c r="C3" s="10" t="s">
        <v>5</v>
      </c>
      <c r="D3" s="20"/>
      <c r="E3" s="185"/>
      <c r="G3"/>
      <c r="H3"/>
      <c r="I3" s="32"/>
      <c r="J3" s="32"/>
      <c r="K3" s="11" t="s">
        <v>6</v>
      </c>
      <c r="M3" s="189"/>
      <c r="N3" s="189"/>
    </row>
    <row r="4" spans="1:70" ht="21" x14ac:dyDescent="0.25">
      <c r="B4" s="9" t="s">
        <v>7</v>
      </c>
      <c r="C4" s="10" t="s">
        <v>139</v>
      </c>
      <c r="D4" s="20"/>
      <c r="E4" s="185"/>
      <c r="G4"/>
      <c r="H4"/>
      <c r="I4" s="32"/>
      <c r="J4" s="32"/>
    </row>
    <row r="5" spans="1:70" ht="6.75" customHeight="1" x14ac:dyDescent="0.25">
      <c r="B5" s="12"/>
      <c r="C5" s="13"/>
      <c r="D5" s="13"/>
      <c r="E5" s="13"/>
      <c r="F5" s="13"/>
      <c r="G5" s="13"/>
      <c r="H5" s="13"/>
      <c r="I5" s="186"/>
      <c r="J5" s="186"/>
      <c r="K5" s="14"/>
      <c r="L5" s="14"/>
      <c r="M5" s="14"/>
      <c r="N5" s="14"/>
    </row>
    <row r="6" spans="1:70" ht="28.25" customHeight="1" x14ac:dyDescent="0.25">
      <c r="B6" s="9"/>
      <c r="G6" s="190" t="s">
        <v>8</v>
      </c>
      <c r="H6" s="190"/>
      <c r="I6" s="191" t="s">
        <v>9</v>
      </c>
      <c r="J6" s="191"/>
      <c r="K6" s="192" t="s">
        <v>10</v>
      </c>
      <c r="L6" s="192"/>
      <c r="M6" s="192" t="s">
        <v>11</v>
      </c>
      <c r="N6" s="192"/>
      <c r="P6" s="15"/>
    </row>
    <row r="7" spans="1:70" ht="40.25" customHeight="1" thickBot="1" x14ac:dyDescent="0.3">
      <c r="B7" s="9"/>
      <c r="C7" s="16" t="s">
        <v>12</v>
      </c>
      <c r="D7" s="17" t="s">
        <v>13</v>
      </c>
      <c r="E7" s="17" t="s">
        <v>14</v>
      </c>
      <c r="F7" s="17"/>
      <c r="G7" s="187"/>
      <c r="H7" s="187"/>
      <c r="I7" s="187" t="s">
        <v>15</v>
      </c>
      <c r="J7" s="187"/>
      <c r="K7" s="187"/>
      <c r="L7" s="187"/>
      <c r="M7" s="187" t="s">
        <v>16</v>
      </c>
      <c r="N7" s="187"/>
      <c r="O7" s="188"/>
      <c r="P7" s="188"/>
    </row>
    <row r="8" spans="1:70" ht="24.75" customHeight="1" thickBot="1" x14ac:dyDescent="0.25">
      <c r="A8" s="6">
        <v>1</v>
      </c>
      <c r="B8" s="18"/>
      <c r="C8" s="19" t="s">
        <v>17</v>
      </c>
      <c r="D8" s="20"/>
      <c r="G8" s="21"/>
      <c r="H8" s="21"/>
      <c r="K8" s="22"/>
      <c r="L8" s="22"/>
      <c r="M8" s="22"/>
      <c r="N8" s="22"/>
      <c r="O8" s="15"/>
      <c r="P8" s="4"/>
    </row>
    <row r="9" spans="1:70" s="6" customFormat="1" ht="19.25" customHeight="1" x14ac:dyDescent="0.2">
      <c r="A9"/>
      <c r="B9" s="23">
        <v>0.52500000000000002</v>
      </c>
      <c r="C9" s="24" t="s">
        <v>143</v>
      </c>
      <c r="D9" s="25"/>
      <c r="E9" s="26"/>
      <c r="F9" s="27"/>
      <c r="G9" s="28">
        <v>17.75</v>
      </c>
      <c r="H9" s="29" t="e">
        <f>G9/$E9-1</f>
        <v>#DIV/0!</v>
      </c>
      <c r="I9" s="28">
        <v>18.5</v>
      </c>
      <c r="J9" s="29" t="e">
        <f>I9/$E9-1</f>
        <v>#DIV/0!</v>
      </c>
      <c r="K9" s="30">
        <v>19</v>
      </c>
      <c r="L9" s="31" t="e">
        <f>K9/$E9-1</f>
        <v>#DIV/0!</v>
      </c>
      <c r="M9" s="30">
        <v>20.25</v>
      </c>
      <c r="N9" s="31" t="e">
        <f>M9/$E9-1</f>
        <v>#DIV/0!</v>
      </c>
      <c r="O9" s="33"/>
      <c r="P9" s="34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s="6" customFormat="1" x14ac:dyDescent="0.2">
      <c r="A10"/>
      <c r="B10" s="23">
        <v>0.57499999999999996</v>
      </c>
      <c r="C10" s="35" t="s">
        <v>144</v>
      </c>
      <c r="D10" s="36"/>
      <c r="E10" s="37"/>
      <c r="F10" s="38"/>
      <c r="G10" s="39">
        <v>19.5</v>
      </c>
      <c r="H10" s="40" t="e">
        <f t="shared" ref="H10:H17" si="0">G10/$E10-1</f>
        <v>#DIV/0!</v>
      </c>
      <c r="I10" s="39">
        <v>20.25</v>
      </c>
      <c r="J10" s="40" t="e">
        <f t="shared" ref="J10:J17" si="1">I10/$E10-1</f>
        <v>#DIV/0!</v>
      </c>
      <c r="K10" s="41">
        <v>20.75</v>
      </c>
      <c r="L10" s="42" t="e">
        <f>K10/$E10-1</f>
        <v>#DIV/0!</v>
      </c>
      <c r="M10" s="41">
        <v>22</v>
      </c>
      <c r="N10" s="42" t="e">
        <f t="shared" ref="N10:N17" si="2">M10/$E10-1</f>
        <v>#DIV/0!</v>
      </c>
      <c r="O10" s="33"/>
      <c r="P10" s="34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s="6" customFormat="1" x14ac:dyDescent="0.2">
      <c r="A11"/>
      <c r="B11" s="23">
        <v>0.625</v>
      </c>
      <c r="C11" s="35" t="s">
        <v>145</v>
      </c>
      <c r="D11" s="36"/>
      <c r="E11" s="37"/>
      <c r="F11" s="38"/>
      <c r="G11" s="39">
        <v>21</v>
      </c>
      <c r="H11" s="40" t="e">
        <f t="shared" si="0"/>
        <v>#DIV/0!</v>
      </c>
      <c r="I11" s="39">
        <v>22</v>
      </c>
      <c r="J11" s="40" t="e">
        <f t="shared" si="1"/>
        <v>#DIV/0!</v>
      </c>
      <c r="K11" s="41">
        <v>22.5</v>
      </c>
      <c r="L11" s="42" t="e">
        <f>K11/$E11-1</f>
        <v>#DIV/0!</v>
      </c>
      <c r="M11" s="41">
        <v>24</v>
      </c>
      <c r="N11" s="42" t="e">
        <f t="shared" si="2"/>
        <v>#DIV/0!</v>
      </c>
      <c r="O11" s="33"/>
      <c r="P11" s="34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s="6" customFormat="1" x14ac:dyDescent="0.2">
      <c r="A12"/>
      <c r="B12" s="23">
        <v>0.67500000000000004</v>
      </c>
      <c r="C12" s="35" t="s">
        <v>146</v>
      </c>
      <c r="D12" s="36"/>
      <c r="E12" s="37"/>
      <c r="F12" s="38"/>
      <c r="G12" s="39">
        <v>22.75</v>
      </c>
      <c r="H12" s="40" t="e">
        <f t="shared" si="0"/>
        <v>#DIV/0!</v>
      </c>
      <c r="I12" s="39">
        <v>23.75</v>
      </c>
      <c r="J12" s="40" t="e">
        <f t="shared" si="1"/>
        <v>#DIV/0!</v>
      </c>
      <c r="K12" s="41">
        <v>24.5</v>
      </c>
      <c r="L12" s="42" t="e">
        <f>K12/$E12-1</f>
        <v>#DIV/0!</v>
      </c>
      <c r="M12" s="41">
        <v>26</v>
      </c>
      <c r="N12" s="42" t="e">
        <f t="shared" si="2"/>
        <v>#DIV/0!</v>
      </c>
      <c r="O12" s="33"/>
      <c r="P12" s="34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s="6" customFormat="1" x14ac:dyDescent="0.2">
      <c r="A13"/>
      <c r="B13" s="23">
        <v>0.72499999999999998</v>
      </c>
      <c r="C13" s="35" t="s">
        <v>147</v>
      </c>
      <c r="D13" s="36"/>
      <c r="E13" s="37"/>
      <c r="F13" s="38"/>
      <c r="G13" s="39">
        <v>24.5</v>
      </c>
      <c r="H13" s="40" t="e">
        <f t="shared" si="0"/>
        <v>#DIV/0!</v>
      </c>
      <c r="I13" s="39">
        <v>25.5</v>
      </c>
      <c r="J13" s="40" t="e">
        <f t="shared" si="1"/>
        <v>#DIV/0!</v>
      </c>
      <c r="K13" s="41">
        <v>26.25</v>
      </c>
      <c r="L13" s="42" t="e">
        <f t="shared" ref="L13:L17" si="3">K13/$E13-1</f>
        <v>#DIV/0!</v>
      </c>
      <c r="M13" s="41">
        <v>27.75</v>
      </c>
      <c r="N13" s="42" t="e">
        <f t="shared" si="2"/>
        <v>#DIV/0!</v>
      </c>
      <c r="O13" s="33"/>
      <c r="P13" s="34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s="6" customFormat="1" x14ac:dyDescent="0.2">
      <c r="A14"/>
      <c r="B14" s="23">
        <v>0.77500000000000002</v>
      </c>
      <c r="C14" s="35" t="s">
        <v>148</v>
      </c>
      <c r="D14" s="36"/>
      <c r="E14" s="37"/>
      <c r="F14" s="38"/>
      <c r="G14" s="39">
        <v>26.25</v>
      </c>
      <c r="H14" s="40" t="e">
        <f t="shared" si="0"/>
        <v>#DIV/0!</v>
      </c>
      <c r="I14" s="39">
        <v>27.25</v>
      </c>
      <c r="J14" s="40" t="e">
        <f t="shared" si="1"/>
        <v>#DIV/0!</v>
      </c>
      <c r="K14" s="41">
        <v>28</v>
      </c>
      <c r="L14" s="42" t="e">
        <f>K14/$E14-1</f>
        <v>#DIV/0!</v>
      </c>
      <c r="M14" s="41">
        <v>29.75</v>
      </c>
      <c r="N14" s="42" t="e">
        <f t="shared" si="2"/>
        <v>#DIV/0!</v>
      </c>
      <c r="O14" s="33"/>
      <c r="P14" s="3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s="6" customFormat="1" x14ac:dyDescent="0.2">
      <c r="A15"/>
      <c r="B15" s="23">
        <v>0.82499999999999996</v>
      </c>
      <c r="C15" s="35" t="s">
        <v>149</v>
      </c>
      <c r="D15" s="36"/>
      <c r="E15" s="37"/>
      <c r="F15" s="38"/>
      <c r="G15" s="39">
        <v>28</v>
      </c>
      <c r="H15" s="40" t="e">
        <f t="shared" si="0"/>
        <v>#DIV/0!</v>
      </c>
      <c r="I15" s="39">
        <v>29</v>
      </c>
      <c r="J15" s="40" t="e">
        <f t="shared" si="1"/>
        <v>#DIV/0!</v>
      </c>
      <c r="K15" s="41">
        <v>29.75</v>
      </c>
      <c r="L15" s="42" t="e">
        <f>K15/$E15-1</f>
        <v>#DIV/0!</v>
      </c>
      <c r="M15" s="41">
        <v>31.5</v>
      </c>
      <c r="N15" s="42" t="e">
        <f t="shared" si="2"/>
        <v>#DIV/0!</v>
      </c>
      <c r="O15" s="33"/>
      <c r="P15" s="34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s="6" customFormat="1" x14ac:dyDescent="0.2">
      <c r="A16"/>
      <c r="B16" s="23">
        <v>0.92500000000000004</v>
      </c>
      <c r="C16" s="35" t="s">
        <v>150</v>
      </c>
      <c r="D16" s="36"/>
      <c r="E16" s="37"/>
      <c r="F16" s="38"/>
      <c r="G16" s="39">
        <v>31.5</v>
      </c>
      <c r="H16" s="40" t="e">
        <f t="shared" si="0"/>
        <v>#DIV/0!</v>
      </c>
      <c r="I16" s="39">
        <v>32.5</v>
      </c>
      <c r="J16" s="40" t="e">
        <f t="shared" si="1"/>
        <v>#DIV/0!</v>
      </c>
      <c r="K16" s="41">
        <v>33.5</v>
      </c>
      <c r="L16" s="42" t="e">
        <f t="shared" si="3"/>
        <v>#DIV/0!</v>
      </c>
      <c r="M16" s="41">
        <v>35.25</v>
      </c>
      <c r="N16" s="42" t="e">
        <f t="shared" si="2"/>
        <v>#DIV/0!</v>
      </c>
      <c r="O16" s="33"/>
      <c r="P16" s="34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s="6" customFormat="1" ht="16" thickBot="1" x14ac:dyDescent="0.25">
      <c r="A17"/>
      <c r="B17" s="23">
        <v>1.0249999999999999</v>
      </c>
      <c r="C17" s="43" t="s">
        <v>151</v>
      </c>
      <c r="D17" s="44"/>
      <c r="E17" s="45"/>
      <c r="F17" s="38"/>
      <c r="G17" s="46">
        <v>35</v>
      </c>
      <c r="H17" s="47" t="e">
        <f t="shared" si="0"/>
        <v>#DIV/0!</v>
      </c>
      <c r="I17" s="46">
        <v>36</v>
      </c>
      <c r="J17" s="47" t="e">
        <f t="shared" si="1"/>
        <v>#DIV/0!</v>
      </c>
      <c r="K17" s="48">
        <v>37</v>
      </c>
      <c r="L17" s="49" t="e">
        <f t="shared" si="3"/>
        <v>#DIV/0!</v>
      </c>
      <c r="M17" s="48">
        <v>39</v>
      </c>
      <c r="N17" s="49" t="e">
        <f t="shared" si="2"/>
        <v>#DIV/0!</v>
      </c>
      <c r="O17" s="33"/>
      <c r="P17" s="34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s="6" customFormat="1" ht="16" thickBot="1" x14ac:dyDescent="0.25">
      <c r="A18"/>
      <c r="B18" s="23"/>
      <c r="C18" s="27"/>
      <c r="D18" s="50"/>
      <c r="E18" s="50"/>
      <c r="F18" s="27"/>
      <c r="G18" s="51"/>
      <c r="H18" s="52"/>
      <c r="I18" s="51"/>
      <c r="J18" s="52"/>
      <c r="K18" s="50"/>
      <c r="L18" s="53"/>
      <c r="M18" s="50"/>
      <c r="N18" s="53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24.75" customHeight="1" thickBot="1" x14ac:dyDescent="0.25">
      <c r="A19" s="6">
        <v>2</v>
      </c>
      <c r="B19" s="18"/>
      <c r="C19" s="54" t="s">
        <v>23</v>
      </c>
      <c r="D19" s="55"/>
      <c r="E19" s="56"/>
      <c r="F19" s="56"/>
      <c r="G19" s="57"/>
      <c r="H19" s="57"/>
      <c r="I19" s="58"/>
      <c r="J19" s="58"/>
      <c r="K19" s="59"/>
      <c r="L19" s="59"/>
      <c r="M19" s="59"/>
      <c r="N19" s="59"/>
    </row>
    <row r="20" spans="1:70" s="6" customFormat="1" x14ac:dyDescent="0.2">
      <c r="A20"/>
      <c r="B20" s="23">
        <v>0.54</v>
      </c>
      <c r="C20" s="24" t="s">
        <v>152</v>
      </c>
      <c r="D20" s="25"/>
      <c r="E20" s="26"/>
      <c r="F20" s="27"/>
      <c r="G20" s="28">
        <v>22</v>
      </c>
      <c r="H20" s="29" t="e">
        <f>G20/$E20-1</f>
        <v>#DIV/0!</v>
      </c>
      <c r="I20" s="28">
        <v>22.75</v>
      </c>
      <c r="J20" s="29" t="e">
        <f>I20/$E20-1</f>
        <v>#DIV/0!</v>
      </c>
      <c r="K20" s="30">
        <v>23.5</v>
      </c>
      <c r="L20" s="31" t="e">
        <f>K20/$E20-1</f>
        <v>#DIV/0!</v>
      </c>
      <c r="M20" s="30">
        <v>24.75</v>
      </c>
      <c r="N20" s="31" t="e">
        <f>M20/$E20-1</f>
        <v>#DIV/0!</v>
      </c>
      <c r="O20"/>
      <c r="P20"/>
      <c r="Q20"/>
      <c r="R20"/>
      <c r="S20"/>
      <c r="T20"/>
      <c r="U20" s="15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s="6" customFormat="1" x14ac:dyDescent="0.2">
      <c r="A21"/>
      <c r="B21" s="23">
        <v>0.56999999999999995</v>
      </c>
      <c r="C21" s="35" t="s">
        <v>153</v>
      </c>
      <c r="D21" s="36"/>
      <c r="E21" s="37"/>
      <c r="F21" s="27"/>
      <c r="G21" s="39">
        <v>23.25</v>
      </c>
      <c r="H21" s="40" t="e">
        <f t="shared" ref="H21:J27" si="4">G21/$E21-1</f>
        <v>#DIV/0!</v>
      </c>
      <c r="I21" s="39">
        <v>24</v>
      </c>
      <c r="J21" s="40" t="e">
        <f t="shared" si="4"/>
        <v>#DIV/0!</v>
      </c>
      <c r="K21" s="41">
        <v>24.75</v>
      </c>
      <c r="L21" s="42" t="e">
        <f>K21/$E21-1</f>
        <v>#DIV/0!</v>
      </c>
      <c r="M21" s="41">
        <v>26.25</v>
      </c>
      <c r="N21" s="42" t="e">
        <f t="shared" ref="N21:N27" si="5">M21/$E21-1</f>
        <v>#DIV/0!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</row>
    <row r="22" spans="1:70" s="6" customFormat="1" x14ac:dyDescent="0.2">
      <c r="A22"/>
      <c r="B22" s="23">
        <v>0.63</v>
      </c>
      <c r="C22" s="35" t="s">
        <v>154</v>
      </c>
      <c r="D22" s="36"/>
      <c r="E22" s="37"/>
      <c r="F22" s="27"/>
      <c r="G22" s="39">
        <v>25.75</v>
      </c>
      <c r="H22" s="40" t="e">
        <f t="shared" si="4"/>
        <v>#DIV/0!</v>
      </c>
      <c r="I22" s="39">
        <v>26.5</v>
      </c>
      <c r="J22" s="40" t="e">
        <f t="shared" si="4"/>
        <v>#DIV/0!</v>
      </c>
      <c r="K22" s="41">
        <v>27.25</v>
      </c>
      <c r="L22" s="42" t="e">
        <f>K22/$E22-1</f>
        <v>#DIV/0!</v>
      </c>
      <c r="M22" s="41">
        <v>29</v>
      </c>
      <c r="N22" s="42" t="e">
        <f t="shared" si="5"/>
        <v>#DIV/0!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s="6" customFormat="1" x14ac:dyDescent="0.2">
      <c r="A23"/>
      <c r="B23" s="23">
        <v>0.66</v>
      </c>
      <c r="C23" s="35" t="s">
        <v>155</v>
      </c>
      <c r="D23" s="36"/>
      <c r="E23" s="37"/>
      <c r="F23" s="27"/>
      <c r="G23" s="39">
        <v>27</v>
      </c>
      <c r="H23" s="40" t="e">
        <f t="shared" si="4"/>
        <v>#DIV/0!</v>
      </c>
      <c r="I23" s="39">
        <v>27.75</v>
      </c>
      <c r="J23" s="40" t="e">
        <f t="shared" si="4"/>
        <v>#DIV/0!</v>
      </c>
      <c r="K23" s="41">
        <v>28.5</v>
      </c>
      <c r="L23" s="42" t="e">
        <f>K23/$E23-1</f>
        <v>#DIV/0!</v>
      </c>
      <c r="M23" s="41">
        <v>30.25</v>
      </c>
      <c r="N23" s="42" t="e">
        <f t="shared" si="5"/>
        <v>#DIV/0!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s="6" customFormat="1" x14ac:dyDescent="0.2">
      <c r="A24"/>
      <c r="B24" s="23">
        <v>0.72</v>
      </c>
      <c r="C24" s="35" t="s">
        <v>156</v>
      </c>
      <c r="D24" s="36"/>
      <c r="E24" s="37"/>
      <c r="F24" s="27"/>
      <c r="G24" s="39">
        <v>29.25</v>
      </c>
      <c r="H24" s="40" t="e">
        <f t="shared" si="4"/>
        <v>#DIV/0!</v>
      </c>
      <c r="I24" s="39">
        <v>30.25</v>
      </c>
      <c r="J24" s="40" t="e">
        <f t="shared" si="4"/>
        <v>#DIV/0!</v>
      </c>
      <c r="K24" s="41">
        <v>31.25</v>
      </c>
      <c r="L24" s="42" t="e">
        <f t="shared" ref="L24" si="6">K24/$E24-1</f>
        <v>#DIV/0!</v>
      </c>
      <c r="M24" s="41">
        <v>33</v>
      </c>
      <c r="N24" s="42" t="e">
        <f t="shared" si="5"/>
        <v>#DIV/0!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s="6" customFormat="1" x14ac:dyDescent="0.2">
      <c r="A25"/>
      <c r="B25" s="23">
        <v>0.78</v>
      </c>
      <c r="C25" s="35" t="s">
        <v>157</v>
      </c>
      <c r="D25" s="36"/>
      <c r="E25" s="37"/>
      <c r="F25" s="27"/>
      <c r="G25" s="39">
        <v>31.75</v>
      </c>
      <c r="H25" s="40" t="e">
        <f t="shared" si="4"/>
        <v>#DIV/0!</v>
      </c>
      <c r="I25" s="39">
        <v>33</v>
      </c>
      <c r="J25" s="40" t="e">
        <f t="shared" si="4"/>
        <v>#DIV/0!</v>
      </c>
      <c r="K25" s="41">
        <v>33.75</v>
      </c>
      <c r="L25" s="42" t="e">
        <f>K25/$E25-1</f>
        <v>#DIV/0!</v>
      </c>
      <c r="M25" s="41">
        <v>35.75</v>
      </c>
      <c r="N25" s="42" t="e">
        <f t="shared" si="5"/>
        <v>#DIV/0!</v>
      </c>
      <c r="O25"/>
      <c r="P25"/>
      <c r="Q25"/>
      <c r="R25"/>
      <c r="S25"/>
      <c r="T25"/>
      <c r="U25" s="60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s="6" customFormat="1" x14ac:dyDescent="0.2">
      <c r="A26"/>
      <c r="B26" s="23">
        <v>0.81</v>
      </c>
      <c r="C26" s="35" t="s">
        <v>158</v>
      </c>
      <c r="D26" s="36"/>
      <c r="E26" s="37"/>
      <c r="F26" s="27"/>
      <c r="G26" s="39">
        <v>33</v>
      </c>
      <c r="H26" s="40" t="e">
        <f t="shared" si="4"/>
        <v>#DIV/0!</v>
      </c>
      <c r="I26" s="39">
        <v>34.25</v>
      </c>
      <c r="J26" s="40" t="e">
        <f t="shared" si="4"/>
        <v>#DIV/0!</v>
      </c>
      <c r="K26" s="41">
        <v>35</v>
      </c>
      <c r="L26" s="42" t="e">
        <f>K26/$E26-1</f>
        <v>#DIV/0!</v>
      </c>
      <c r="M26" s="41">
        <v>37</v>
      </c>
      <c r="N26" s="42" t="e">
        <f t="shared" si="5"/>
        <v>#DIV/0!</v>
      </c>
      <c r="O26"/>
      <c r="P26"/>
      <c r="Q26"/>
      <c r="R26"/>
      <c r="S26"/>
      <c r="T26"/>
      <c r="U26" s="15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s="6" customFormat="1" ht="16" thickBot="1" x14ac:dyDescent="0.25">
      <c r="A27"/>
      <c r="B27" s="23">
        <v>0.92500000000000004</v>
      </c>
      <c r="C27" s="43" t="s">
        <v>159</v>
      </c>
      <c r="D27" s="44"/>
      <c r="E27" s="45"/>
      <c r="F27" s="61"/>
      <c r="G27" s="46">
        <v>37.75</v>
      </c>
      <c r="H27" s="47" t="e">
        <f t="shared" si="4"/>
        <v>#DIV/0!</v>
      </c>
      <c r="I27" s="46">
        <v>39</v>
      </c>
      <c r="J27" s="47" t="e">
        <f t="shared" si="4"/>
        <v>#DIV/0!</v>
      </c>
      <c r="K27" s="48">
        <v>40</v>
      </c>
      <c r="L27" s="49" t="e">
        <f t="shared" ref="L27" si="7">K27/$E27-1</f>
        <v>#DIV/0!</v>
      </c>
      <c r="M27" s="48">
        <v>42.25</v>
      </c>
      <c r="N27" s="49" t="e">
        <f t="shared" si="5"/>
        <v>#DIV/0!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s="6" customFormat="1" ht="16" thickBot="1" x14ac:dyDescent="0.25">
      <c r="A28"/>
      <c r="B28" s="62"/>
      <c r="C28"/>
      <c r="D28" s="32"/>
      <c r="E28" s="63"/>
      <c r="F28"/>
      <c r="G28" s="2"/>
      <c r="H28" s="2"/>
      <c r="I28" s="2"/>
      <c r="J28" s="2"/>
      <c r="K28" s="32"/>
      <c r="L28" s="32"/>
      <c r="M28" s="32"/>
      <c r="N28" s="32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22" thickBot="1" x14ac:dyDescent="0.25">
      <c r="B29" s="64"/>
      <c r="C29" s="19" t="s">
        <v>24</v>
      </c>
      <c r="D29" s="65"/>
      <c r="E29" s="32"/>
      <c r="G29" s="21"/>
      <c r="H29" s="21"/>
      <c r="K29" s="32"/>
      <c r="L29" s="32"/>
      <c r="M29" s="32"/>
      <c r="N29" s="32"/>
    </row>
    <row r="30" spans="1:70" x14ac:dyDescent="0.2">
      <c r="A30">
        <f>_xlfn.XLOOKUP(Sheet1!B30,Sheet2!$A$2:$A$9,Sheet2!$B$2:$B$9)</f>
        <v>3</v>
      </c>
      <c r="B30" s="66" t="s">
        <v>25</v>
      </c>
      <c r="C30" s="67" t="s">
        <v>26</v>
      </c>
      <c r="D30" s="68"/>
      <c r="E30" s="69"/>
      <c r="F30" s="70"/>
      <c r="G30" s="71">
        <v>7.25</v>
      </c>
      <c r="H30" s="72" t="e">
        <f t="shared" ref="H30:H38" si="8">G30/$E30-1</f>
        <v>#DIV/0!</v>
      </c>
      <c r="I30" s="71">
        <v>7.5</v>
      </c>
      <c r="J30" s="72" t="e">
        <f t="shared" ref="J30:J38" si="9">I30/$E30-1</f>
        <v>#DIV/0!</v>
      </c>
      <c r="K30" s="73">
        <v>7.75</v>
      </c>
      <c r="L30" s="74" t="e">
        <f t="shared" ref="L30:L38" si="10">K30/$E30-1</f>
        <v>#DIV/0!</v>
      </c>
      <c r="M30" s="73">
        <v>8</v>
      </c>
      <c r="N30" s="74" t="e">
        <f t="shared" ref="N30:N38" si="11">M30/$E30-1</f>
        <v>#DIV/0!</v>
      </c>
    </row>
    <row r="31" spans="1:70" x14ac:dyDescent="0.2">
      <c r="A31">
        <f>_xlfn.XLOOKUP(Sheet1!B31,Sheet2!$A$2:$A$9,Sheet2!$B$2:$B$9)</f>
        <v>3</v>
      </c>
      <c r="B31" s="66" t="s">
        <v>25</v>
      </c>
      <c r="C31" s="75" t="s">
        <v>27</v>
      </c>
      <c r="D31" s="76"/>
      <c r="E31" s="77"/>
      <c r="F31" s="70"/>
      <c r="G31" s="78">
        <v>9.5</v>
      </c>
      <c r="H31" s="79" t="e">
        <f t="shared" si="8"/>
        <v>#DIV/0!</v>
      </c>
      <c r="I31" s="78">
        <v>9.75</v>
      </c>
      <c r="J31" s="79" t="e">
        <f t="shared" si="9"/>
        <v>#DIV/0!</v>
      </c>
      <c r="K31" s="80">
        <v>10</v>
      </c>
      <c r="L31" s="81" t="e">
        <f t="shared" si="10"/>
        <v>#DIV/0!</v>
      </c>
      <c r="M31" s="80">
        <v>10.25</v>
      </c>
      <c r="N31" s="81" t="e">
        <f t="shared" si="11"/>
        <v>#DIV/0!</v>
      </c>
    </row>
    <row r="32" spans="1:70" x14ac:dyDescent="0.2">
      <c r="A32">
        <f>_xlfn.XLOOKUP(Sheet1!B32,Sheet2!$A$2:$A$9,Sheet2!$B$2:$B$9)</f>
        <v>3</v>
      </c>
      <c r="B32" s="66" t="s">
        <v>25</v>
      </c>
      <c r="C32" s="75" t="s">
        <v>28</v>
      </c>
      <c r="D32" s="76"/>
      <c r="E32" s="77"/>
      <c r="F32" s="70"/>
      <c r="G32" s="78">
        <v>12</v>
      </c>
      <c r="H32" s="79" t="e">
        <f t="shared" si="8"/>
        <v>#DIV/0!</v>
      </c>
      <c r="I32" s="78">
        <v>12.25</v>
      </c>
      <c r="J32" s="79" t="e">
        <f t="shared" si="9"/>
        <v>#DIV/0!</v>
      </c>
      <c r="K32" s="80">
        <v>12.5</v>
      </c>
      <c r="L32" s="81" t="e">
        <f t="shared" si="10"/>
        <v>#DIV/0!</v>
      </c>
      <c r="M32" s="80">
        <v>12.75</v>
      </c>
      <c r="N32" s="81" t="e">
        <f t="shared" si="11"/>
        <v>#DIV/0!</v>
      </c>
    </row>
    <row r="33" spans="1:70" x14ac:dyDescent="0.2">
      <c r="A33">
        <f>_xlfn.XLOOKUP(Sheet1!B33,Sheet2!$A$2:$A$9,Sheet2!$B$2:$B$9)</f>
        <v>1</v>
      </c>
      <c r="B33" s="82" t="s">
        <v>2</v>
      </c>
      <c r="C33" s="75" t="s">
        <v>29</v>
      </c>
      <c r="D33" s="76"/>
      <c r="E33" s="77"/>
      <c r="F33" s="70"/>
      <c r="G33" s="78">
        <v>6.75</v>
      </c>
      <c r="H33" s="79" t="e">
        <f t="shared" si="8"/>
        <v>#DIV/0!</v>
      </c>
      <c r="I33" s="78">
        <v>7</v>
      </c>
      <c r="J33" s="79" t="e">
        <f t="shared" si="9"/>
        <v>#DIV/0!</v>
      </c>
      <c r="K33" s="80">
        <v>7.25</v>
      </c>
      <c r="L33" s="81" t="e">
        <f t="shared" si="10"/>
        <v>#DIV/0!</v>
      </c>
      <c r="M33" s="80">
        <v>7.5</v>
      </c>
      <c r="N33" s="81" t="e">
        <f t="shared" si="11"/>
        <v>#DIV/0!</v>
      </c>
    </row>
    <row r="34" spans="1:70" x14ac:dyDescent="0.2">
      <c r="A34">
        <f>_xlfn.XLOOKUP(Sheet1!B34,Sheet2!$A$2:$A$9,Sheet2!$B$2:$B$9)</f>
        <v>1</v>
      </c>
      <c r="B34" s="82" t="s">
        <v>2</v>
      </c>
      <c r="C34" s="75" t="s">
        <v>30</v>
      </c>
      <c r="D34" s="76"/>
      <c r="E34" s="77"/>
      <c r="F34" s="70"/>
      <c r="G34" s="78">
        <v>7.75</v>
      </c>
      <c r="H34" s="79" t="e">
        <f t="shared" si="8"/>
        <v>#DIV/0!</v>
      </c>
      <c r="I34" s="78">
        <v>8</v>
      </c>
      <c r="J34" s="79" t="e">
        <f t="shared" si="9"/>
        <v>#DIV/0!</v>
      </c>
      <c r="K34" s="80">
        <v>8.25</v>
      </c>
      <c r="L34" s="81" t="e">
        <f t="shared" si="10"/>
        <v>#DIV/0!</v>
      </c>
      <c r="M34" s="80">
        <v>8.5</v>
      </c>
      <c r="N34" s="81" t="e">
        <f t="shared" si="11"/>
        <v>#DIV/0!</v>
      </c>
    </row>
    <row r="35" spans="1:70" x14ac:dyDescent="0.2">
      <c r="A35">
        <f>_xlfn.XLOOKUP(Sheet1!B35,Sheet2!$A$2:$A$9,Sheet2!$B$2:$B$9)</f>
        <v>2</v>
      </c>
      <c r="B35" s="83" t="s">
        <v>3</v>
      </c>
      <c r="C35" s="75" t="s">
        <v>30</v>
      </c>
      <c r="D35" s="76"/>
      <c r="E35" s="77"/>
      <c r="F35" s="70"/>
      <c r="G35" s="78">
        <v>6.75</v>
      </c>
      <c r="H35" s="79" t="e">
        <f t="shared" si="8"/>
        <v>#DIV/0!</v>
      </c>
      <c r="I35" s="78">
        <v>7</v>
      </c>
      <c r="J35" s="79" t="e">
        <f t="shared" si="9"/>
        <v>#DIV/0!</v>
      </c>
      <c r="K35" s="80">
        <v>7.25</v>
      </c>
      <c r="L35" s="81" t="e">
        <f t="shared" si="10"/>
        <v>#DIV/0!</v>
      </c>
      <c r="M35" s="80">
        <v>7.5</v>
      </c>
      <c r="N35" s="81" t="e">
        <f t="shared" si="11"/>
        <v>#DIV/0!</v>
      </c>
    </row>
    <row r="36" spans="1:70" x14ac:dyDescent="0.2">
      <c r="A36">
        <f>_xlfn.XLOOKUP(Sheet1!B36,Sheet2!$A$2:$A$9,Sheet2!$B$2:$B$9)</f>
        <v>2</v>
      </c>
      <c r="B36" s="83" t="s">
        <v>3</v>
      </c>
      <c r="C36" s="75" t="s">
        <v>31</v>
      </c>
      <c r="D36" s="76"/>
      <c r="E36" s="77"/>
      <c r="F36" s="70"/>
      <c r="G36" s="78">
        <v>5.75</v>
      </c>
      <c r="H36" s="79" t="e">
        <f t="shared" si="8"/>
        <v>#DIV/0!</v>
      </c>
      <c r="I36" s="78">
        <v>6</v>
      </c>
      <c r="J36" s="79" t="e">
        <f t="shared" si="9"/>
        <v>#DIV/0!</v>
      </c>
      <c r="K36" s="80">
        <v>6.25</v>
      </c>
      <c r="L36" s="81" t="e">
        <f t="shared" si="10"/>
        <v>#DIV/0!</v>
      </c>
      <c r="M36" s="80">
        <v>6.5</v>
      </c>
      <c r="N36" s="81" t="e">
        <f t="shared" si="11"/>
        <v>#DIV/0!</v>
      </c>
    </row>
    <row r="37" spans="1:70" x14ac:dyDescent="0.2">
      <c r="A37">
        <f>_xlfn.XLOOKUP(Sheet1!B37,Sheet2!$A$2:$A$9,Sheet2!$B$2:$B$9)</f>
        <v>2</v>
      </c>
      <c r="B37" s="83" t="s">
        <v>3</v>
      </c>
      <c r="C37" s="75" t="s">
        <v>32</v>
      </c>
      <c r="D37" s="76"/>
      <c r="E37" s="77"/>
      <c r="F37" s="70"/>
      <c r="G37" s="78">
        <v>9</v>
      </c>
      <c r="H37" s="79" t="e">
        <f t="shared" si="8"/>
        <v>#DIV/0!</v>
      </c>
      <c r="I37" s="78">
        <v>9.25</v>
      </c>
      <c r="J37" s="79" t="e">
        <f t="shared" si="9"/>
        <v>#DIV/0!</v>
      </c>
      <c r="K37" s="80">
        <v>9.5</v>
      </c>
      <c r="L37" s="81" t="e">
        <f t="shared" si="10"/>
        <v>#DIV/0!</v>
      </c>
      <c r="M37" s="80">
        <v>9.75</v>
      </c>
      <c r="N37" s="81" t="e">
        <f t="shared" si="11"/>
        <v>#DIV/0!</v>
      </c>
    </row>
    <row r="38" spans="1:70" x14ac:dyDescent="0.2">
      <c r="A38">
        <f>_xlfn.XLOOKUP(Sheet1!B38,Sheet2!$A$2:$A$9,Sheet2!$B$2:$B$9)</f>
        <v>1</v>
      </c>
      <c r="B38" s="82" t="s">
        <v>2</v>
      </c>
      <c r="C38" s="84" t="s">
        <v>28</v>
      </c>
      <c r="D38" s="85"/>
      <c r="E38" s="86"/>
      <c r="F38" s="87"/>
      <c r="G38" s="89">
        <v>10</v>
      </c>
      <c r="H38" s="90" t="e">
        <f t="shared" si="8"/>
        <v>#DIV/0!</v>
      </c>
      <c r="I38" s="89">
        <v>10.25</v>
      </c>
      <c r="J38" s="90" t="e">
        <f t="shared" si="9"/>
        <v>#DIV/0!</v>
      </c>
      <c r="K38" s="91">
        <v>10.5</v>
      </c>
      <c r="L38" s="92" t="e">
        <f t="shared" si="10"/>
        <v>#DIV/0!</v>
      </c>
      <c r="M38" s="91">
        <v>10.75</v>
      </c>
      <c r="N38" s="92" t="e">
        <f t="shared" si="11"/>
        <v>#DIV/0!</v>
      </c>
    </row>
    <row r="39" spans="1:70" x14ac:dyDescent="0.2">
      <c r="B39" s="93"/>
      <c r="D39" s="32"/>
      <c r="E39" s="94"/>
      <c r="G39" s="2"/>
      <c r="H39" s="2"/>
      <c r="K39" s="32"/>
      <c r="L39" s="32"/>
      <c r="M39" s="32"/>
      <c r="N39" s="32"/>
    </row>
    <row r="40" spans="1:70" s="6" customFormat="1" ht="16" thickBot="1" x14ac:dyDescent="0.25">
      <c r="A40"/>
      <c r="B40" s="95"/>
      <c r="C40" s="96"/>
      <c r="D40" s="97"/>
      <c r="E40" s="98"/>
      <c r="F40"/>
      <c r="G40" s="99"/>
      <c r="H40" s="99"/>
      <c r="I40" s="99"/>
      <c r="J40" s="99"/>
      <c r="K40" s="97"/>
      <c r="L40" s="97"/>
      <c r="M40" s="97"/>
      <c r="N40" s="97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s="6" customFormat="1" ht="22" thickBot="1" x14ac:dyDescent="0.25">
      <c r="A41" s="6" t="s">
        <v>142</v>
      </c>
      <c r="B41" s="95"/>
      <c r="C41" s="100" t="s">
        <v>33</v>
      </c>
      <c r="D41" s="32"/>
      <c r="E41" s="94"/>
      <c r="F41"/>
      <c r="G41" s="2"/>
      <c r="H41" s="2"/>
      <c r="I41" s="101"/>
      <c r="J41" s="101"/>
      <c r="K41" s="102"/>
      <c r="L41" s="102"/>
      <c r="M41" s="102"/>
      <c r="N41" s="102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s="6" customFormat="1" x14ac:dyDescent="0.2">
      <c r="A42"/>
      <c r="B42" s="95"/>
      <c r="C42" s="103" t="s">
        <v>34</v>
      </c>
      <c r="D42" s="68"/>
      <c r="E42" s="69"/>
      <c r="F42"/>
      <c r="G42" s="71">
        <v>48</v>
      </c>
      <c r="H42" s="72" t="e">
        <f t="shared" ref="H42:H61" si="12">G42/$E42-1</f>
        <v>#DIV/0!</v>
      </c>
      <c r="I42" s="104">
        <v>50</v>
      </c>
      <c r="J42" s="72" t="e">
        <f>I42/$E42-1</f>
        <v>#DIV/0!</v>
      </c>
      <c r="K42" s="105">
        <v>51.5</v>
      </c>
      <c r="L42" s="74" t="e">
        <f t="shared" ref="L42:L61" si="13">K42/$E42-1</f>
        <v>#DIV/0!</v>
      </c>
      <c r="M42" s="105">
        <v>52.5</v>
      </c>
      <c r="N42" s="74" t="e">
        <f>M42/$E42-1</f>
        <v>#DIV/0!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6" customFormat="1" x14ac:dyDescent="0.2">
      <c r="A43"/>
      <c r="B43" s="95"/>
      <c r="C43" s="106" t="s">
        <v>35</v>
      </c>
      <c r="D43" s="76"/>
      <c r="E43" s="77"/>
      <c r="F43" s="70"/>
      <c r="G43" s="78">
        <v>59.5</v>
      </c>
      <c r="H43" s="79" t="e">
        <f t="shared" si="12"/>
        <v>#DIV/0!</v>
      </c>
      <c r="I43" s="107">
        <v>61.75</v>
      </c>
      <c r="J43" s="79" t="e">
        <f t="shared" ref="J43:J61" si="14">I43/$E43-1</f>
        <v>#DIV/0!</v>
      </c>
      <c r="K43" s="108">
        <v>63.5</v>
      </c>
      <c r="L43" s="81" t="e">
        <f t="shared" si="13"/>
        <v>#DIV/0!</v>
      </c>
      <c r="M43" s="108">
        <v>65</v>
      </c>
      <c r="N43" s="81" t="e">
        <f t="shared" ref="N43:N61" si="15">M43/$E43-1</f>
        <v>#DIV/0!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s="6" customFormat="1" x14ac:dyDescent="0.2">
      <c r="A44"/>
      <c r="B44" s="95"/>
      <c r="C44" s="106" t="s">
        <v>36</v>
      </c>
      <c r="D44" s="76"/>
      <c r="E44" s="77"/>
      <c r="F44" s="70"/>
      <c r="G44" s="78">
        <v>51</v>
      </c>
      <c r="H44" s="79" t="e">
        <f t="shared" si="12"/>
        <v>#DIV/0!</v>
      </c>
      <c r="I44" s="107">
        <v>53</v>
      </c>
      <c r="J44" s="79" t="e">
        <f t="shared" si="14"/>
        <v>#DIV/0!</v>
      </c>
      <c r="K44" s="108">
        <v>54.5</v>
      </c>
      <c r="L44" s="81" t="e">
        <f t="shared" si="13"/>
        <v>#DIV/0!</v>
      </c>
      <c r="M44" s="108">
        <v>55.25</v>
      </c>
      <c r="N44" s="81" t="e">
        <f t="shared" si="15"/>
        <v>#DIV/0!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s="6" customFormat="1" x14ac:dyDescent="0.2">
      <c r="A45"/>
      <c r="B45" s="95"/>
      <c r="C45" s="106" t="s">
        <v>37</v>
      </c>
      <c r="D45" s="76"/>
      <c r="E45" s="77"/>
      <c r="F45" s="70"/>
      <c r="G45" s="78">
        <v>62.5</v>
      </c>
      <c r="H45" s="79" t="e">
        <f t="shared" si="12"/>
        <v>#DIV/0!</v>
      </c>
      <c r="I45" s="107">
        <v>65.5</v>
      </c>
      <c r="J45" s="79" t="e">
        <f t="shared" si="14"/>
        <v>#DIV/0!</v>
      </c>
      <c r="K45" s="108">
        <v>67</v>
      </c>
      <c r="L45" s="81" t="e">
        <f t="shared" si="13"/>
        <v>#DIV/0!</v>
      </c>
      <c r="M45" s="108">
        <v>68.5</v>
      </c>
      <c r="N45" s="81" t="e">
        <f t="shared" si="15"/>
        <v>#DIV/0!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s="6" customFormat="1" x14ac:dyDescent="0.2">
      <c r="A46"/>
      <c r="B46" s="95"/>
      <c r="C46" s="106" t="s">
        <v>38</v>
      </c>
      <c r="D46" s="76"/>
      <c r="E46" s="77"/>
      <c r="F46" s="70"/>
      <c r="G46" s="78">
        <v>36.25</v>
      </c>
      <c r="H46" s="79" t="e">
        <f t="shared" si="12"/>
        <v>#DIV/0!</v>
      </c>
      <c r="I46" s="107">
        <v>37.75</v>
      </c>
      <c r="J46" s="79" t="e">
        <f t="shared" si="14"/>
        <v>#DIV/0!</v>
      </c>
      <c r="K46" s="108">
        <v>38.75</v>
      </c>
      <c r="L46" s="81" t="e">
        <f t="shared" si="13"/>
        <v>#DIV/0!</v>
      </c>
      <c r="M46" s="108">
        <v>39.5</v>
      </c>
      <c r="N46" s="81" t="e">
        <f t="shared" si="15"/>
        <v>#DIV/0!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s="6" customFormat="1" x14ac:dyDescent="0.2">
      <c r="A47"/>
      <c r="B47" s="95"/>
      <c r="C47" s="106" t="s">
        <v>39</v>
      </c>
      <c r="D47" s="76"/>
      <c r="E47" s="77"/>
      <c r="F47" s="70"/>
      <c r="G47" s="78">
        <v>43.75</v>
      </c>
      <c r="H47" s="79" t="e">
        <f t="shared" si="12"/>
        <v>#DIV/0!</v>
      </c>
      <c r="I47" s="107">
        <v>46</v>
      </c>
      <c r="J47" s="79" t="e">
        <f t="shared" si="14"/>
        <v>#DIV/0!</v>
      </c>
      <c r="K47" s="108">
        <v>47</v>
      </c>
      <c r="L47" s="81" t="e">
        <f t="shared" si="13"/>
        <v>#DIV/0!</v>
      </c>
      <c r="M47" s="108">
        <v>48</v>
      </c>
      <c r="N47" s="81" t="e">
        <f t="shared" si="15"/>
        <v>#DIV/0!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s="6" customFormat="1" x14ac:dyDescent="0.2">
      <c r="A48"/>
      <c r="B48" s="95"/>
      <c r="C48" s="106" t="s">
        <v>40</v>
      </c>
      <c r="D48" s="76"/>
      <c r="E48" s="77"/>
      <c r="F48" s="70"/>
      <c r="G48" s="78">
        <v>36.25</v>
      </c>
      <c r="H48" s="79" t="e">
        <f t="shared" si="12"/>
        <v>#DIV/0!</v>
      </c>
      <c r="I48" s="107">
        <v>37.75</v>
      </c>
      <c r="J48" s="79" t="e">
        <f t="shared" si="14"/>
        <v>#DIV/0!</v>
      </c>
      <c r="K48" s="108">
        <v>38.75</v>
      </c>
      <c r="L48" s="81" t="e">
        <f t="shared" si="13"/>
        <v>#DIV/0!</v>
      </c>
      <c r="M48" s="108">
        <v>39.5</v>
      </c>
      <c r="N48" s="81" t="e">
        <f t="shared" si="15"/>
        <v>#DIV/0!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s="6" customFormat="1" x14ac:dyDescent="0.2">
      <c r="A49"/>
      <c r="B49" s="95"/>
      <c r="C49" s="106" t="s">
        <v>41</v>
      </c>
      <c r="D49" s="76"/>
      <c r="E49" s="77"/>
      <c r="F49" s="70"/>
      <c r="G49" s="78">
        <v>44</v>
      </c>
      <c r="H49" s="79" t="e">
        <f t="shared" si="12"/>
        <v>#DIV/0!</v>
      </c>
      <c r="I49" s="107">
        <v>46</v>
      </c>
      <c r="J49" s="79" t="e">
        <f t="shared" si="14"/>
        <v>#DIV/0!</v>
      </c>
      <c r="K49" s="108">
        <v>47</v>
      </c>
      <c r="L49" s="81" t="e">
        <f t="shared" si="13"/>
        <v>#DIV/0!</v>
      </c>
      <c r="M49" s="108">
        <v>48</v>
      </c>
      <c r="N49" s="81" t="e">
        <f t="shared" si="15"/>
        <v>#DIV/0!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s="6" customFormat="1" x14ac:dyDescent="0.2">
      <c r="A50"/>
      <c r="B50" s="95"/>
      <c r="C50" s="106" t="s">
        <v>42</v>
      </c>
      <c r="D50" s="76"/>
      <c r="E50" s="77"/>
      <c r="F50" s="70"/>
      <c r="G50" s="78">
        <v>48</v>
      </c>
      <c r="H50" s="79" t="e">
        <f t="shared" si="12"/>
        <v>#DIV/0!</v>
      </c>
      <c r="I50" s="107">
        <v>50</v>
      </c>
      <c r="J50" s="79" t="e">
        <f t="shared" si="14"/>
        <v>#DIV/0!</v>
      </c>
      <c r="K50" s="108">
        <v>51.5</v>
      </c>
      <c r="L50" s="81" t="e">
        <f t="shared" si="13"/>
        <v>#DIV/0!</v>
      </c>
      <c r="M50" s="108">
        <v>52.5</v>
      </c>
      <c r="N50" s="81" t="e">
        <f t="shared" si="15"/>
        <v>#DIV/0!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6" customFormat="1" x14ac:dyDescent="0.2">
      <c r="A51"/>
      <c r="B51" s="95"/>
      <c r="C51" s="106" t="s">
        <v>43</v>
      </c>
      <c r="D51" s="76"/>
      <c r="E51" s="77"/>
      <c r="F51"/>
      <c r="G51" s="78">
        <v>59.25</v>
      </c>
      <c r="H51" s="79" t="e">
        <f t="shared" si="12"/>
        <v>#DIV/0!</v>
      </c>
      <c r="I51" s="107">
        <v>62</v>
      </c>
      <c r="J51" s="79" t="e">
        <f t="shared" si="14"/>
        <v>#DIV/0!</v>
      </c>
      <c r="K51" s="108">
        <v>63.5</v>
      </c>
      <c r="L51" s="81" t="e">
        <f t="shared" si="13"/>
        <v>#DIV/0!</v>
      </c>
      <c r="M51" s="108">
        <v>64.5</v>
      </c>
      <c r="N51" s="81" t="e">
        <f t="shared" si="15"/>
        <v>#DIV/0!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s="6" customFormat="1" x14ac:dyDescent="0.2">
      <c r="A52"/>
      <c r="B52" s="95"/>
      <c r="C52" s="106" t="s">
        <v>44</v>
      </c>
      <c r="D52" s="76"/>
      <c r="E52" s="77"/>
      <c r="F52" s="70"/>
      <c r="G52" s="78">
        <v>43.5</v>
      </c>
      <c r="H52" s="79" t="e">
        <f t="shared" si="12"/>
        <v>#DIV/0!</v>
      </c>
      <c r="I52" s="107">
        <v>45.5</v>
      </c>
      <c r="J52" s="79" t="e">
        <f t="shared" si="14"/>
        <v>#DIV/0!</v>
      </c>
      <c r="K52" s="108">
        <v>46.75</v>
      </c>
      <c r="L52" s="81" t="e">
        <f t="shared" si="13"/>
        <v>#DIV/0!</v>
      </c>
      <c r="M52" s="108">
        <v>47.5</v>
      </c>
      <c r="N52" s="81" t="e">
        <f t="shared" si="15"/>
        <v>#DIV/0!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s="6" customFormat="1" x14ac:dyDescent="0.2">
      <c r="A53"/>
      <c r="B53" s="95"/>
      <c r="C53" s="106" t="s">
        <v>45</v>
      </c>
      <c r="D53" s="76"/>
      <c r="E53" s="77"/>
      <c r="F53" s="70"/>
      <c r="G53" s="78">
        <v>53.75</v>
      </c>
      <c r="H53" s="79" t="e">
        <f t="shared" si="12"/>
        <v>#DIV/0!</v>
      </c>
      <c r="I53" s="107">
        <v>56.25</v>
      </c>
      <c r="J53" s="79" t="e">
        <f t="shared" si="14"/>
        <v>#DIV/0!</v>
      </c>
      <c r="K53" s="108">
        <v>58</v>
      </c>
      <c r="L53" s="81" t="e">
        <f t="shared" si="13"/>
        <v>#DIV/0!</v>
      </c>
      <c r="M53" s="108">
        <v>58.5</v>
      </c>
      <c r="N53" s="81" t="e">
        <f t="shared" si="15"/>
        <v>#DIV/0!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s="6" customFormat="1" x14ac:dyDescent="0.2">
      <c r="A54"/>
      <c r="B54" s="95"/>
      <c r="C54" s="106" t="s">
        <v>46</v>
      </c>
      <c r="D54" s="76"/>
      <c r="E54" s="77"/>
      <c r="F54" s="70"/>
      <c r="G54" s="78">
        <v>29.5</v>
      </c>
      <c r="H54" s="79" t="e">
        <f t="shared" si="12"/>
        <v>#DIV/0!</v>
      </c>
      <c r="I54" s="107">
        <v>31</v>
      </c>
      <c r="J54" s="79" t="e">
        <f t="shared" si="14"/>
        <v>#DIV/0!</v>
      </c>
      <c r="K54" s="108">
        <v>31.75</v>
      </c>
      <c r="L54" s="81" t="e">
        <f t="shared" si="13"/>
        <v>#DIV/0!</v>
      </c>
      <c r="M54" s="108">
        <v>32.25</v>
      </c>
      <c r="N54" s="81" t="e">
        <f t="shared" si="15"/>
        <v>#DIV/0!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s="6" customFormat="1" x14ac:dyDescent="0.2">
      <c r="A55"/>
      <c r="B55" s="95"/>
      <c r="C55" s="106" t="s">
        <v>47</v>
      </c>
      <c r="D55" s="76"/>
      <c r="E55" s="77"/>
      <c r="F55" s="70"/>
      <c r="G55" s="78">
        <v>36</v>
      </c>
      <c r="H55" s="79" t="e">
        <f t="shared" si="12"/>
        <v>#DIV/0!</v>
      </c>
      <c r="I55" s="107">
        <v>37.5</v>
      </c>
      <c r="J55" s="79" t="e">
        <f t="shared" si="14"/>
        <v>#DIV/0!</v>
      </c>
      <c r="K55" s="108">
        <v>38.5</v>
      </c>
      <c r="L55" s="81" t="e">
        <f t="shared" si="13"/>
        <v>#DIV/0!</v>
      </c>
      <c r="M55" s="108">
        <v>39</v>
      </c>
      <c r="N55" s="81" t="e">
        <f t="shared" si="15"/>
        <v>#DIV/0!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 s="6" customFormat="1" x14ac:dyDescent="0.2">
      <c r="A56"/>
      <c r="B56" s="95"/>
      <c r="C56" s="106" t="s">
        <v>48</v>
      </c>
      <c r="D56" s="76"/>
      <c r="E56" s="77"/>
      <c r="F56" s="70"/>
      <c r="G56" s="78">
        <v>34.25</v>
      </c>
      <c r="H56" s="79" t="e">
        <f t="shared" si="12"/>
        <v>#DIV/0!</v>
      </c>
      <c r="I56" s="107">
        <v>35.75</v>
      </c>
      <c r="J56" s="79" t="e">
        <f t="shared" si="14"/>
        <v>#DIV/0!</v>
      </c>
      <c r="K56" s="108">
        <v>36.75</v>
      </c>
      <c r="L56" s="81" t="e">
        <f t="shared" si="13"/>
        <v>#DIV/0!</v>
      </c>
      <c r="M56" s="108">
        <v>37.5</v>
      </c>
      <c r="N56" s="81" t="e">
        <f t="shared" si="15"/>
        <v>#DIV/0!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 s="6" customFormat="1" x14ac:dyDescent="0.2">
      <c r="A57"/>
      <c r="B57" s="95"/>
      <c r="C57" s="106" t="s">
        <v>49</v>
      </c>
      <c r="D57" s="76"/>
      <c r="E57" s="77"/>
      <c r="F57" s="70"/>
      <c r="G57" s="78">
        <v>39.5</v>
      </c>
      <c r="H57" s="79" t="e">
        <f t="shared" si="12"/>
        <v>#DIV/0!</v>
      </c>
      <c r="I57" s="107">
        <v>41.25</v>
      </c>
      <c r="J57" s="79" t="e">
        <f t="shared" si="14"/>
        <v>#DIV/0!</v>
      </c>
      <c r="K57" s="108">
        <v>42.5</v>
      </c>
      <c r="L57" s="81" t="e">
        <f t="shared" si="13"/>
        <v>#DIV/0!</v>
      </c>
      <c r="M57" s="108">
        <v>43</v>
      </c>
      <c r="N57" s="81" t="e">
        <f t="shared" si="15"/>
        <v>#DIV/0!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 s="6" customFormat="1" x14ac:dyDescent="0.2">
      <c r="A58"/>
      <c r="B58" s="95"/>
      <c r="C58" s="106" t="s">
        <v>50</v>
      </c>
      <c r="D58" s="76"/>
      <c r="E58" s="77"/>
      <c r="F58"/>
      <c r="G58" s="78">
        <v>12.25</v>
      </c>
      <c r="H58" s="79" t="e">
        <f t="shared" si="12"/>
        <v>#DIV/0!</v>
      </c>
      <c r="I58" s="107">
        <v>12.5</v>
      </c>
      <c r="J58" s="79" t="e">
        <f t="shared" si="14"/>
        <v>#DIV/0!</v>
      </c>
      <c r="K58" s="108">
        <v>13</v>
      </c>
      <c r="L58" s="81" t="e">
        <f t="shared" si="13"/>
        <v>#DIV/0!</v>
      </c>
      <c r="M58" s="108">
        <v>13.25</v>
      </c>
      <c r="N58" s="81" t="e">
        <f t="shared" si="15"/>
        <v>#DIV/0!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 s="6" customFormat="1" x14ac:dyDescent="0.2">
      <c r="A59"/>
      <c r="B59" s="95"/>
      <c r="C59" s="106" t="s">
        <v>51</v>
      </c>
      <c r="D59" s="76"/>
      <c r="E59" s="77"/>
      <c r="F59"/>
      <c r="G59" s="78">
        <v>13.25</v>
      </c>
      <c r="H59" s="79" t="e">
        <f t="shared" si="12"/>
        <v>#DIV/0!</v>
      </c>
      <c r="I59" s="107">
        <v>13.75</v>
      </c>
      <c r="J59" s="79" t="e">
        <f t="shared" si="14"/>
        <v>#DIV/0!</v>
      </c>
      <c r="K59" s="108">
        <v>14.25</v>
      </c>
      <c r="L59" s="81" t="e">
        <f t="shared" si="13"/>
        <v>#DIV/0!</v>
      </c>
      <c r="M59" s="108">
        <v>14.5</v>
      </c>
      <c r="N59" s="81" t="e">
        <f t="shared" si="15"/>
        <v>#DIV/0!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 s="6" customFormat="1" x14ac:dyDescent="0.2">
      <c r="A60"/>
      <c r="B60" s="95"/>
      <c r="C60" s="106" t="s">
        <v>52</v>
      </c>
      <c r="D60" s="76"/>
      <c r="E60" s="77"/>
      <c r="F60"/>
      <c r="G60" s="78">
        <v>11</v>
      </c>
      <c r="H60" s="79" t="e">
        <f t="shared" si="12"/>
        <v>#DIV/0!</v>
      </c>
      <c r="I60" s="107">
        <v>11.5</v>
      </c>
      <c r="J60" s="79" t="e">
        <f t="shared" si="14"/>
        <v>#DIV/0!</v>
      </c>
      <c r="K60" s="108">
        <v>11.75</v>
      </c>
      <c r="L60" s="81" t="e">
        <f t="shared" si="13"/>
        <v>#DIV/0!</v>
      </c>
      <c r="M60" s="108">
        <v>12</v>
      </c>
      <c r="N60" s="81" t="e">
        <f t="shared" si="15"/>
        <v>#DIV/0!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 s="6" customFormat="1" ht="16" thickBot="1" x14ac:dyDescent="0.25">
      <c r="A61"/>
      <c r="B61" s="95"/>
      <c r="C61" s="109" t="s">
        <v>53</v>
      </c>
      <c r="D61" s="110"/>
      <c r="E61" s="111"/>
      <c r="F61"/>
      <c r="G61" s="88">
        <v>12.25</v>
      </c>
      <c r="H61" s="112" t="e">
        <f t="shared" si="12"/>
        <v>#DIV/0!</v>
      </c>
      <c r="I61" s="113">
        <v>12.75</v>
      </c>
      <c r="J61" s="112" t="e">
        <f t="shared" si="14"/>
        <v>#DIV/0!</v>
      </c>
      <c r="K61" s="114">
        <v>13</v>
      </c>
      <c r="L61" s="115" t="e">
        <f t="shared" si="13"/>
        <v>#DIV/0!</v>
      </c>
      <c r="M61" s="114">
        <v>13.25</v>
      </c>
      <c r="N61" s="115" t="e">
        <f t="shared" si="15"/>
        <v>#DIV/0!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 s="6" customFormat="1" ht="16" thickBot="1" x14ac:dyDescent="0.25">
      <c r="A62"/>
      <c r="B62" s="95"/>
      <c r="C62" s="96"/>
      <c r="D62" s="97"/>
      <c r="E62" s="98"/>
      <c r="F62"/>
      <c r="G62" s="99"/>
      <c r="H62" s="99"/>
      <c r="I62" s="116"/>
      <c r="J62" s="116"/>
      <c r="K62" s="117"/>
      <c r="L62" s="117"/>
      <c r="M62" s="117"/>
      <c r="N62" s="117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 s="6" customFormat="1" ht="22" thickBot="1" x14ac:dyDescent="0.25">
      <c r="A63"/>
      <c r="B63" s="95"/>
      <c r="C63" s="118" t="s">
        <v>54</v>
      </c>
      <c r="D63" s="32"/>
      <c r="E63" s="94"/>
      <c r="F63"/>
      <c r="G63" s="2"/>
      <c r="H63" s="2"/>
      <c r="I63" s="101"/>
      <c r="J63" s="101"/>
      <c r="K63" s="102"/>
      <c r="L63" s="102"/>
      <c r="M63" s="102"/>
      <c r="N63" s="102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 s="6" customFormat="1" x14ac:dyDescent="0.2">
      <c r="A64"/>
      <c r="B64" s="95"/>
      <c r="C64" s="103" t="s">
        <v>34</v>
      </c>
      <c r="D64" s="68"/>
      <c r="E64" s="69"/>
      <c r="F64"/>
      <c r="G64" s="104">
        <v>52</v>
      </c>
      <c r="H64" s="72" t="e">
        <f t="shared" ref="H64:H81" si="16">G64/$E64-1</f>
        <v>#DIV/0!</v>
      </c>
      <c r="I64" s="104">
        <v>54.25</v>
      </c>
      <c r="J64" s="72" t="e">
        <f t="shared" ref="J64:J81" si="17">I64/$E64-1</f>
        <v>#DIV/0!</v>
      </c>
      <c r="K64" s="105">
        <v>55.75</v>
      </c>
      <c r="L64" s="74" t="e">
        <f t="shared" ref="L64:L81" si="18">K64/$E64-1</f>
        <v>#DIV/0!</v>
      </c>
      <c r="M64" s="105">
        <v>56.5</v>
      </c>
      <c r="N64" s="74" t="e">
        <f t="shared" ref="N64:N81" si="19">M64/$E64-1</f>
        <v>#DIV/0!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1:70" s="6" customFormat="1" x14ac:dyDescent="0.2">
      <c r="A65"/>
      <c r="B65" s="95"/>
      <c r="C65" s="106" t="s">
        <v>35</v>
      </c>
      <c r="D65" s="76"/>
      <c r="E65" s="77"/>
      <c r="F65"/>
      <c r="G65" s="107">
        <v>65.25</v>
      </c>
      <c r="H65" s="79" t="e">
        <f t="shared" si="16"/>
        <v>#DIV/0!</v>
      </c>
      <c r="I65" s="107">
        <v>68</v>
      </c>
      <c r="J65" s="79" t="e">
        <f t="shared" si="17"/>
        <v>#DIV/0!</v>
      </c>
      <c r="K65" s="108">
        <v>69.5</v>
      </c>
      <c r="L65" s="81" t="e">
        <f t="shared" si="18"/>
        <v>#DIV/0!</v>
      </c>
      <c r="M65" s="108">
        <v>71</v>
      </c>
      <c r="N65" s="81" t="e">
        <f t="shared" si="19"/>
        <v>#DIV/0!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1:70" s="6" customFormat="1" x14ac:dyDescent="0.2">
      <c r="A66"/>
      <c r="B66" s="95"/>
      <c r="C66" s="106" t="s">
        <v>36</v>
      </c>
      <c r="D66" s="76"/>
      <c r="E66" s="77"/>
      <c r="F66"/>
      <c r="G66" s="107">
        <v>55.5</v>
      </c>
      <c r="H66" s="79" t="e">
        <f t="shared" si="16"/>
        <v>#DIV/0!</v>
      </c>
      <c r="I66" s="107">
        <v>58</v>
      </c>
      <c r="J66" s="79" t="e">
        <f t="shared" si="17"/>
        <v>#DIV/0!</v>
      </c>
      <c r="K66" s="108">
        <v>59.5</v>
      </c>
      <c r="L66" s="81" t="e">
        <f t="shared" si="18"/>
        <v>#DIV/0!</v>
      </c>
      <c r="M66" s="108">
        <v>60.5</v>
      </c>
      <c r="N66" s="81" t="e">
        <f t="shared" si="19"/>
        <v>#DIV/0!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1:70" s="6" customFormat="1" x14ac:dyDescent="0.2">
      <c r="A67"/>
      <c r="B67" s="95"/>
      <c r="C67" s="106" t="s">
        <v>37</v>
      </c>
      <c r="D67" s="76"/>
      <c r="E67" s="77"/>
      <c r="F67"/>
      <c r="G67" s="107">
        <v>68.5</v>
      </c>
      <c r="H67" s="79" t="e">
        <f t="shared" si="16"/>
        <v>#DIV/0!</v>
      </c>
      <c r="I67" s="107">
        <v>71.5</v>
      </c>
      <c r="J67" s="79" t="e">
        <f t="shared" si="17"/>
        <v>#DIV/0!</v>
      </c>
      <c r="K67" s="108">
        <v>73.5</v>
      </c>
      <c r="L67" s="81" t="e">
        <f t="shared" si="18"/>
        <v>#DIV/0!</v>
      </c>
      <c r="M67" s="108">
        <v>74.5</v>
      </c>
      <c r="N67" s="81" t="e">
        <f t="shared" si="19"/>
        <v>#DIV/0!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1:70" s="6" customFormat="1" x14ac:dyDescent="0.2">
      <c r="A68"/>
      <c r="B68" s="95"/>
      <c r="C68" s="106" t="s">
        <v>38</v>
      </c>
      <c r="D68" s="76"/>
      <c r="E68" s="77"/>
      <c r="F68"/>
      <c r="G68" s="107">
        <v>33</v>
      </c>
      <c r="H68" s="79" t="e">
        <f t="shared" si="16"/>
        <v>#DIV/0!</v>
      </c>
      <c r="I68" s="107">
        <v>34.5</v>
      </c>
      <c r="J68" s="79" t="e">
        <f t="shared" si="17"/>
        <v>#DIV/0!</v>
      </c>
      <c r="K68" s="108">
        <v>35.5</v>
      </c>
      <c r="L68" s="81" t="e">
        <f t="shared" si="18"/>
        <v>#DIV/0!</v>
      </c>
      <c r="M68" s="108">
        <v>36</v>
      </c>
      <c r="N68" s="81" t="e">
        <f t="shared" si="19"/>
        <v>#DIV/0!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1:70" s="6" customFormat="1" x14ac:dyDescent="0.2">
      <c r="A69"/>
      <c r="B69" s="95"/>
      <c r="C69" s="106" t="s">
        <v>39</v>
      </c>
      <c r="D69" s="76"/>
      <c r="E69" s="77"/>
      <c r="F69"/>
      <c r="G69" s="107">
        <v>42.5</v>
      </c>
      <c r="H69" s="79" t="e">
        <f t="shared" si="16"/>
        <v>#DIV/0!</v>
      </c>
      <c r="I69" s="107">
        <v>44.5</v>
      </c>
      <c r="J69" s="79" t="e">
        <f t="shared" si="17"/>
        <v>#DIV/0!</v>
      </c>
      <c r="K69" s="108">
        <v>45.5</v>
      </c>
      <c r="L69" s="81" t="e">
        <f t="shared" si="18"/>
        <v>#DIV/0!</v>
      </c>
      <c r="M69" s="108">
        <v>46.25</v>
      </c>
      <c r="N69" s="81" t="e">
        <f t="shared" si="19"/>
        <v>#DIV/0!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1:70" s="6" customFormat="1" x14ac:dyDescent="0.2">
      <c r="A70"/>
      <c r="B70" s="95"/>
      <c r="C70" s="106" t="s">
        <v>40</v>
      </c>
      <c r="D70" s="76"/>
      <c r="E70" s="77"/>
      <c r="F70"/>
      <c r="G70" s="107">
        <v>34.25</v>
      </c>
      <c r="H70" s="79" t="e">
        <f t="shared" si="16"/>
        <v>#DIV/0!</v>
      </c>
      <c r="I70" s="107">
        <v>35.75</v>
      </c>
      <c r="J70" s="79" t="e">
        <f t="shared" si="17"/>
        <v>#DIV/0!</v>
      </c>
      <c r="K70" s="108">
        <v>36.75</v>
      </c>
      <c r="L70" s="81" t="e">
        <f t="shared" si="18"/>
        <v>#DIV/0!</v>
      </c>
      <c r="M70" s="108">
        <v>37.25</v>
      </c>
      <c r="N70" s="81" t="e">
        <f t="shared" si="19"/>
        <v>#DIV/0!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1:70" s="6" customFormat="1" x14ac:dyDescent="0.2">
      <c r="A71"/>
      <c r="B71" s="95"/>
      <c r="C71" s="106" t="s">
        <v>41</v>
      </c>
      <c r="D71" s="76"/>
      <c r="E71" s="77"/>
      <c r="F71"/>
      <c r="G71" s="107">
        <v>42.5</v>
      </c>
      <c r="H71" s="79" t="e">
        <f t="shared" si="16"/>
        <v>#DIV/0!</v>
      </c>
      <c r="I71" s="107">
        <v>44.25</v>
      </c>
      <c r="J71" s="79" t="e">
        <f t="shared" si="17"/>
        <v>#DIV/0!</v>
      </c>
      <c r="K71" s="108">
        <v>45.5</v>
      </c>
      <c r="L71" s="81" t="e">
        <f t="shared" si="18"/>
        <v>#DIV/0!</v>
      </c>
      <c r="M71" s="108">
        <v>46.25</v>
      </c>
      <c r="N71" s="81" t="e">
        <f t="shared" si="19"/>
        <v>#DIV/0!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1:70" s="6" customFormat="1" x14ac:dyDescent="0.2">
      <c r="A72"/>
      <c r="B72" s="95"/>
      <c r="C72" s="106" t="s">
        <v>42</v>
      </c>
      <c r="D72" s="76"/>
      <c r="E72" s="77"/>
      <c r="F72"/>
      <c r="G72" s="107">
        <v>45</v>
      </c>
      <c r="H72" s="79" t="e">
        <f t="shared" si="16"/>
        <v>#DIV/0!</v>
      </c>
      <c r="I72" s="107">
        <v>46.75</v>
      </c>
      <c r="J72" s="79" t="e">
        <f t="shared" si="17"/>
        <v>#DIV/0!</v>
      </c>
      <c r="K72" s="108">
        <v>48</v>
      </c>
      <c r="L72" s="81" t="e">
        <f t="shared" si="18"/>
        <v>#DIV/0!</v>
      </c>
      <c r="M72" s="108">
        <v>49</v>
      </c>
      <c r="N72" s="81" t="e">
        <f t="shared" si="19"/>
        <v>#DIV/0!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1:70" s="6" customFormat="1" x14ac:dyDescent="0.2">
      <c r="A73"/>
      <c r="B73" s="95"/>
      <c r="C73" s="106" t="s">
        <v>43</v>
      </c>
      <c r="D73" s="76"/>
      <c r="E73" s="77"/>
      <c r="F73"/>
      <c r="G73" s="107">
        <v>55.5</v>
      </c>
      <c r="H73" s="79" t="e">
        <f t="shared" si="16"/>
        <v>#DIV/0!</v>
      </c>
      <c r="I73" s="107">
        <v>57.5</v>
      </c>
      <c r="J73" s="79" t="e">
        <f t="shared" si="17"/>
        <v>#DIV/0!</v>
      </c>
      <c r="K73" s="108">
        <v>59.5</v>
      </c>
      <c r="L73" s="81" t="e">
        <f t="shared" si="18"/>
        <v>#DIV/0!</v>
      </c>
      <c r="M73" s="108">
        <v>60.5</v>
      </c>
      <c r="N73" s="81" t="e">
        <f t="shared" si="19"/>
        <v>#DIV/0!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1:70" s="6" customFormat="1" x14ac:dyDescent="0.2">
      <c r="A74"/>
      <c r="B74" s="95"/>
      <c r="C74" s="106" t="s">
        <v>44</v>
      </c>
      <c r="D74" s="76"/>
      <c r="E74" s="77"/>
      <c r="F74"/>
      <c r="G74" s="107">
        <v>48.5</v>
      </c>
      <c r="H74" s="79" t="e">
        <f t="shared" si="16"/>
        <v>#DIV/0!</v>
      </c>
      <c r="I74" s="107">
        <v>50.5</v>
      </c>
      <c r="J74" s="79" t="e">
        <f t="shared" si="17"/>
        <v>#DIV/0!</v>
      </c>
      <c r="K74" s="108">
        <v>51.75</v>
      </c>
      <c r="L74" s="81" t="e">
        <f t="shared" si="18"/>
        <v>#DIV/0!</v>
      </c>
      <c r="M74" s="108">
        <v>52.75</v>
      </c>
      <c r="N74" s="81" t="e">
        <f t="shared" si="19"/>
        <v>#DIV/0!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1:70" s="6" customFormat="1" x14ac:dyDescent="0.2">
      <c r="A75"/>
      <c r="B75" s="95"/>
      <c r="C75" s="106" t="s">
        <v>45</v>
      </c>
      <c r="D75" s="76"/>
      <c r="E75" s="77"/>
      <c r="F75"/>
      <c r="G75" s="107">
        <v>60</v>
      </c>
      <c r="H75" s="79" t="e">
        <f t="shared" si="16"/>
        <v>#DIV/0!</v>
      </c>
      <c r="I75" s="107">
        <v>63</v>
      </c>
      <c r="J75" s="79" t="e">
        <f t="shared" si="17"/>
        <v>#DIV/0!</v>
      </c>
      <c r="K75" s="108">
        <v>64</v>
      </c>
      <c r="L75" s="81" t="e">
        <f t="shared" si="18"/>
        <v>#DIV/0!</v>
      </c>
      <c r="M75" s="108">
        <v>65.5</v>
      </c>
      <c r="N75" s="81" t="e">
        <f t="shared" si="19"/>
        <v>#DIV/0!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1:70" s="6" customFormat="1" x14ac:dyDescent="0.2">
      <c r="A76"/>
      <c r="B76" s="95"/>
      <c r="C76" s="106" t="s">
        <v>46</v>
      </c>
      <c r="D76" s="76"/>
      <c r="E76" s="77"/>
      <c r="F76"/>
      <c r="G76" s="107">
        <v>29.5</v>
      </c>
      <c r="H76" s="79" t="e">
        <f t="shared" si="16"/>
        <v>#DIV/0!</v>
      </c>
      <c r="I76" s="107">
        <v>30.75</v>
      </c>
      <c r="J76" s="79" t="e">
        <f t="shared" si="17"/>
        <v>#DIV/0!</v>
      </c>
      <c r="K76" s="108">
        <v>31.5</v>
      </c>
      <c r="L76" s="81" t="e">
        <f t="shared" si="18"/>
        <v>#DIV/0!</v>
      </c>
      <c r="M76" s="108">
        <v>32.25</v>
      </c>
      <c r="N76" s="81" t="e">
        <f t="shared" si="19"/>
        <v>#DIV/0!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1:70" s="6" customFormat="1" x14ac:dyDescent="0.2">
      <c r="A77"/>
      <c r="B77" s="95"/>
      <c r="C77" s="106" t="s">
        <v>47</v>
      </c>
      <c r="D77" s="76"/>
      <c r="E77" s="77"/>
      <c r="F77"/>
      <c r="G77" s="107">
        <v>35.5</v>
      </c>
      <c r="H77" s="79" t="e">
        <f t="shared" si="16"/>
        <v>#DIV/0!</v>
      </c>
      <c r="I77" s="107">
        <v>37</v>
      </c>
      <c r="J77" s="79" t="e">
        <f t="shared" si="17"/>
        <v>#DIV/0!</v>
      </c>
      <c r="K77" s="108">
        <v>38</v>
      </c>
      <c r="L77" s="81" t="e">
        <f t="shared" si="18"/>
        <v>#DIV/0!</v>
      </c>
      <c r="M77" s="108">
        <v>38.5</v>
      </c>
      <c r="N77" s="81" t="e">
        <f t="shared" si="19"/>
        <v>#DIV/0!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1:70" s="6" customFormat="1" x14ac:dyDescent="0.2">
      <c r="A78"/>
      <c r="B78" s="95"/>
      <c r="C78" s="106" t="s">
        <v>48</v>
      </c>
      <c r="D78" s="76"/>
      <c r="E78" s="77"/>
      <c r="F78"/>
      <c r="G78" s="107">
        <v>30.75</v>
      </c>
      <c r="H78" s="79" t="e">
        <f t="shared" si="16"/>
        <v>#DIV/0!</v>
      </c>
      <c r="I78" s="107">
        <v>32</v>
      </c>
      <c r="J78" s="79" t="e">
        <f t="shared" si="17"/>
        <v>#DIV/0!</v>
      </c>
      <c r="K78" s="108">
        <v>33</v>
      </c>
      <c r="L78" s="81" t="e">
        <f t="shared" si="18"/>
        <v>#DIV/0!</v>
      </c>
      <c r="M78" s="108">
        <v>33.25</v>
      </c>
      <c r="N78" s="81" t="e">
        <f t="shared" si="19"/>
        <v>#DIV/0!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1:70" s="6" customFormat="1" x14ac:dyDescent="0.2">
      <c r="A79"/>
      <c r="B79" s="95"/>
      <c r="C79" s="106" t="s">
        <v>49</v>
      </c>
      <c r="D79" s="76"/>
      <c r="E79" s="77"/>
      <c r="F79"/>
      <c r="G79" s="107">
        <v>36.5</v>
      </c>
      <c r="H79" s="79" t="e">
        <f t="shared" si="16"/>
        <v>#DIV/0!</v>
      </c>
      <c r="I79" s="107">
        <v>38.25</v>
      </c>
      <c r="J79" s="79" t="e">
        <f t="shared" si="17"/>
        <v>#DIV/0!</v>
      </c>
      <c r="K79" s="108">
        <v>39.25</v>
      </c>
      <c r="L79" s="81" t="e">
        <f t="shared" si="18"/>
        <v>#DIV/0!</v>
      </c>
      <c r="M79" s="108">
        <v>40</v>
      </c>
      <c r="N79" s="81" t="e">
        <f t="shared" si="19"/>
        <v>#DIV/0!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1:70" s="6" customFormat="1" x14ac:dyDescent="0.2">
      <c r="A80"/>
      <c r="B80" s="95"/>
      <c r="C80" s="119" t="s">
        <v>52</v>
      </c>
      <c r="D80" s="120"/>
      <c r="E80" s="121"/>
      <c r="F80"/>
      <c r="G80" s="123">
        <v>10.5</v>
      </c>
      <c r="H80" s="124" t="e">
        <f t="shared" si="16"/>
        <v>#DIV/0!</v>
      </c>
      <c r="I80" s="123">
        <v>11</v>
      </c>
      <c r="J80" s="124" t="e">
        <f t="shared" si="17"/>
        <v>#DIV/0!</v>
      </c>
      <c r="K80" s="125">
        <v>11.25</v>
      </c>
      <c r="L80" s="126" t="e">
        <f t="shared" si="18"/>
        <v>#DIV/0!</v>
      </c>
      <c r="M80" s="125">
        <v>11.5</v>
      </c>
      <c r="N80" s="126" t="e">
        <f t="shared" si="19"/>
        <v>#DIV/0!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1:70" s="6" customFormat="1" ht="16" thickBot="1" x14ac:dyDescent="0.25">
      <c r="A81"/>
      <c r="B81" s="95"/>
      <c r="C81" s="127" t="s">
        <v>53</v>
      </c>
      <c r="D81" s="128"/>
      <c r="E81" s="129"/>
      <c r="F81"/>
      <c r="G81" s="131">
        <v>11.5</v>
      </c>
      <c r="H81" s="132" t="e">
        <f t="shared" si="16"/>
        <v>#DIV/0!</v>
      </c>
      <c r="I81" s="131">
        <v>12</v>
      </c>
      <c r="J81" s="132" t="e">
        <f t="shared" si="17"/>
        <v>#DIV/0!</v>
      </c>
      <c r="K81" s="133">
        <v>12.5</v>
      </c>
      <c r="L81" s="134" t="e">
        <f t="shared" si="18"/>
        <v>#DIV/0!</v>
      </c>
      <c r="M81" s="133">
        <v>12.75</v>
      </c>
      <c r="N81" s="134" t="e">
        <f t="shared" si="19"/>
        <v>#DIV/0!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1:70" s="6" customFormat="1" ht="16" thickBot="1" x14ac:dyDescent="0.25">
      <c r="A82"/>
      <c r="B82" s="95"/>
      <c r="C82" s="96"/>
      <c r="D82" s="97"/>
      <c r="E82" s="98"/>
      <c r="F82"/>
      <c r="G82" s="99"/>
      <c r="H82" s="99"/>
      <c r="I82" s="116"/>
      <c r="J82" s="116"/>
      <c r="K82" s="117"/>
      <c r="L82" s="117"/>
      <c r="M82" s="117"/>
      <c r="N82" s="117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1:70" ht="22" thickBot="1" x14ac:dyDescent="0.25">
      <c r="B83" s="95"/>
      <c r="C83" s="19" t="s">
        <v>55</v>
      </c>
      <c r="D83" s="65"/>
      <c r="E83" s="32"/>
      <c r="I83" s="101"/>
      <c r="J83" s="101"/>
      <c r="K83" s="102"/>
      <c r="L83" s="102"/>
      <c r="M83" s="102"/>
      <c r="N83" s="102"/>
    </row>
    <row r="84" spans="1:70" x14ac:dyDescent="0.2">
      <c r="A84">
        <f>_xlfn.XLOOKUP(Sheet1!B84,Sheet2!$A$2:$A$9,Sheet2!$B$2:$B$9)</f>
        <v>1</v>
      </c>
      <c r="B84" s="82" t="s">
        <v>2</v>
      </c>
      <c r="C84" s="135" t="s">
        <v>56</v>
      </c>
      <c r="D84" s="136"/>
      <c r="E84" s="137"/>
      <c r="F84" s="138"/>
      <c r="G84" s="139"/>
      <c r="H84" s="140" t="e">
        <f t="shared" ref="H84:H85" si="20">G84/$E84-1</f>
        <v>#DIV/0!</v>
      </c>
      <c r="I84" s="141"/>
      <c r="J84" s="140" t="e">
        <f t="shared" ref="J84:J85" si="21">I84/$E84-1</f>
        <v>#DIV/0!</v>
      </c>
      <c r="K84" s="142"/>
      <c r="L84" s="143" t="e">
        <f t="shared" ref="L84:L85" si="22">K84/$E84-1</f>
        <v>#DIV/0!</v>
      </c>
      <c r="M84" s="142"/>
      <c r="N84" s="143" t="e">
        <f t="shared" ref="N84:N85" si="23">M84/$E84-1</f>
        <v>#DIV/0!</v>
      </c>
    </row>
    <row r="85" spans="1:70" x14ac:dyDescent="0.2">
      <c r="A85">
        <f>_xlfn.XLOOKUP(Sheet1!B85,Sheet2!$A$2:$A$9,Sheet2!$B$2:$B$9)</f>
        <v>2</v>
      </c>
      <c r="B85" s="83" t="s">
        <v>3</v>
      </c>
      <c r="C85" s="144" t="s">
        <v>56</v>
      </c>
      <c r="D85" s="76"/>
      <c r="E85" s="77"/>
      <c r="F85" s="70"/>
      <c r="G85" s="78">
        <v>7.75</v>
      </c>
      <c r="H85" s="79" t="e">
        <f t="shared" si="20"/>
        <v>#DIV/0!</v>
      </c>
      <c r="I85" s="107">
        <v>8</v>
      </c>
      <c r="J85" s="79" t="e">
        <f t="shared" si="21"/>
        <v>#DIV/0!</v>
      </c>
      <c r="K85" s="108">
        <v>8.5</v>
      </c>
      <c r="L85" s="81" t="e">
        <f t="shared" si="22"/>
        <v>#DIV/0!</v>
      </c>
      <c r="M85" s="108">
        <v>8.75</v>
      </c>
      <c r="N85" s="81" t="e">
        <f t="shared" si="23"/>
        <v>#DIV/0!</v>
      </c>
    </row>
    <row r="86" spans="1:70" x14ac:dyDescent="0.2">
      <c r="B86" s="95"/>
      <c r="C86" s="145" t="s">
        <v>57</v>
      </c>
      <c r="D86" s="146"/>
      <c r="E86" s="147"/>
      <c r="G86" s="148"/>
      <c r="H86" s="148"/>
      <c r="I86" s="123"/>
      <c r="J86" s="123"/>
      <c r="K86" s="125"/>
      <c r="L86" s="149"/>
      <c r="M86" s="125"/>
      <c r="N86" s="149"/>
    </row>
    <row r="87" spans="1:70" x14ac:dyDescent="0.2">
      <c r="B87" s="95"/>
      <c r="C87" s="145" t="s">
        <v>58</v>
      </c>
      <c r="D87" s="146"/>
      <c r="E87" s="147"/>
      <c r="G87" s="148"/>
      <c r="H87" s="148"/>
      <c r="I87" s="123"/>
      <c r="J87" s="123"/>
      <c r="K87" s="125"/>
      <c r="L87" s="149"/>
      <c r="M87" s="125"/>
      <c r="N87" s="149"/>
    </row>
    <row r="88" spans="1:70" x14ac:dyDescent="0.2">
      <c r="B88" s="95"/>
      <c r="C88" s="145" t="s">
        <v>59</v>
      </c>
      <c r="D88" s="146"/>
      <c r="E88" s="147"/>
      <c r="G88" s="148"/>
      <c r="H88" s="148"/>
      <c r="I88" s="123"/>
      <c r="J88" s="123"/>
      <c r="K88" s="125"/>
      <c r="L88" s="149"/>
      <c r="M88" s="125"/>
      <c r="N88" s="149"/>
    </row>
    <row r="89" spans="1:70" x14ac:dyDescent="0.2">
      <c r="A89">
        <f>_xlfn.XLOOKUP(Sheet1!B89,Sheet2!$A$2:$A$9,Sheet2!$B$2:$B$9)</f>
        <v>1</v>
      </c>
      <c r="B89" s="82" t="s">
        <v>2</v>
      </c>
      <c r="C89" s="145" t="s">
        <v>60</v>
      </c>
      <c r="D89" s="120"/>
      <c r="E89" s="121"/>
      <c r="G89" s="122"/>
      <c r="H89" s="124" t="e">
        <f t="shared" ref="H89:H90" si="24">G89/$E89-1</f>
        <v>#DIV/0!</v>
      </c>
      <c r="I89" s="123"/>
      <c r="J89" s="124" t="e">
        <f t="shared" ref="J89:J90" si="25">I89/$E89-1</f>
        <v>#DIV/0!</v>
      </c>
      <c r="K89" s="125"/>
      <c r="L89" s="126" t="e">
        <f t="shared" ref="L89:L90" si="26">K89/$E89-1</f>
        <v>#DIV/0!</v>
      </c>
      <c r="M89" s="125"/>
      <c r="N89" s="126" t="e">
        <f t="shared" ref="N89:N90" si="27">M89/$E89-1</f>
        <v>#DIV/0!</v>
      </c>
    </row>
    <row r="90" spans="1:70" x14ac:dyDescent="0.2">
      <c r="A90">
        <f>_xlfn.XLOOKUP(Sheet1!B90,Sheet2!$A$2:$A$9,Sheet2!$B$2:$B$9)</f>
        <v>2</v>
      </c>
      <c r="B90" s="83" t="s">
        <v>3</v>
      </c>
      <c r="C90" s="144" t="s">
        <v>60</v>
      </c>
      <c r="D90" s="76"/>
      <c r="E90" s="77"/>
      <c r="F90" s="70"/>
      <c r="G90" s="78">
        <v>35.5</v>
      </c>
      <c r="H90" s="79" t="e">
        <f t="shared" si="24"/>
        <v>#DIV/0!</v>
      </c>
      <c r="I90" s="107">
        <v>36.5</v>
      </c>
      <c r="J90" s="79" t="e">
        <f t="shared" si="25"/>
        <v>#DIV/0!</v>
      </c>
      <c r="K90" s="108">
        <v>39</v>
      </c>
      <c r="L90" s="81" t="e">
        <f t="shared" si="26"/>
        <v>#DIV/0!</v>
      </c>
      <c r="M90" s="108">
        <v>40</v>
      </c>
      <c r="N90" s="81" t="e">
        <f t="shared" si="27"/>
        <v>#DIV/0!</v>
      </c>
    </row>
    <row r="91" spans="1:70" x14ac:dyDescent="0.2">
      <c r="B91" s="95"/>
      <c r="C91" s="145" t="s">
        <v>61</v>
      </c>
      <c r="D91" s="146"/>
      <c r="E91" s="147"/>
      <c r="G91" s="148"/>
      <c r="H91" s="148"/>
      <c r="I91" s="123"/>
      <c r="J91" s="123"/>
      <c r="K91" s="125"/>
      <c r="L91" s="149"/>
      <c r="M91" s="125"/>
      <c r="N91" s="149"/>
    </row>
    <row r="92" spans="1:70" x14ac:dyDescent="0.2">
      <c r="B92" s="95"/>
      <c r="C92" s="145" t="s">
        <v>62</v>
      </c>
      <c r="D92" s="146"/>
      <c r="E92" s="147"/>
      <c r="G92" s="148"/>
      <c r="H92" s="148"/>
      <c r="I92" s="123"/>
      <c r="J92" s="123"/>
      <c r="K92" s="125"/>
      <c r="L92" s="149"/>
      <c r="M92" s="125"/>
      <c r="N92" s="149"/>
    </row>
    <row r="93" spans="1:70" x14ac:dyDescent="0.2">
      <c r="B93" s="95"/>
      <c r="C93" s="145" t="s">
        <v>63</v>
      </c>
      <c r="D93" s="146"/>
      <c r="E93" s="147"/>
      <c r="G93" s="148"/>
      <c r="H93" s="148"/>
      <c r="I93" s="123"/>
      <c r="J93" s="123"/>
      <c r="K93" s="125"/>
      <c r="L93" s="149"/>
      <c r="M93" s="125"/>
      <c r="N93" s="149"/>
    </row>
    <row r="94" spans="1:70" x14ac:dyDescent="0.2">
      <c r="A94">
        <f>_xlfn.XLOOKUP(Sheet1!B94,Sheet2!$A$2:$A$9,Sheet2!$B$2:$B$9)</f>
        <v>1</v>
      </c>
      <c r="B94" s="82" t="s">
        <v>2</v>
      </c>
      <c r="C94" s="145" t="s">
        <v>64</v>
      </c>
      <c r="D94" s="120"/>
      <c r="E94" s="121"/>
      <c r="G94" s="122"/>
      <c r="H94" s="124" t="e">
        <f t="shared" ref="H94:H95" si="28">G94/$E94-1</f>
        <v>#DIV/0!</v>
      </c>
      <c r="I94" s="123"/>
      <c r="J94" s="124" t="e">
        <f t="shared" ref="J94:J95" si="29">I94/$E94-1</f>
        <v>#DIV/0!</v>
      </c>
      <c r="K94" s="125"/>
      <c r="L94" s="126" t="e">
        <f t="shared" ref="L94:L95" si="30">K94/$E94-1</f>
        <v>#DIV/0!</v>
      </c>
      <c r="M94" s="125"/>
      <c r="N94" s="126" t="e">
        <f t="shared" ref="N94:N95" si="31">M94/$E94-1</f>
        <v>#DIV/0!</v>
      </c>
    </row>
    <row r="95" spans="1:70" ht="16" thickBot="1" x14ac:dyDescent="0.25">
      <c r="A95">
        <f>_xlfn.XLOOKUP(Sheet1!B95,Sheet2!$A$2:$A$9,Sheet2!$B$2:$B$9)</f>
        <v>2</v>
      </c>
      <c r="B95" s="83" t="s">
        <v>3</v>
      </c>
      <c r="C95" s="150" t="s">
        <v>64</v>
      </c>
      <c r="D95" s="110"/>
      <c r="E95" s="111"/>
      <c r="G95" s="88">
        <v>23.5</v>
      </c>
      <c r="H95" s="112" t="e">
        <f t="shared" si="28"/>
        <v>#DIV/0!</v>
      </c>
      <c r="I95" s="113">
        <v>24</v>
      </c>
      <c r="J95" s="112" t="e">
        <f t="shared" si="29"/>
        <v>#DIV/0!</v>
      </c>
      <c r="K95" s="114">
        <v>25.5</v>
      </c>
      <c r="L95" s="115" t="e">
        <f t="shared" si="30"/>
        <v>#DIV/0!</v>
      </c>
      <c r="M95" s="114">
        <v>26.25</v>
      </c>
      <c r="N95" s="115" t="e">
        <f t="shared" si="31"/>
        <v>#DIV/0!</v>
      </c>
    </row>
    <row r="96" spans="1:70" ht="16" thickBot="1" x14ac:dyDescent="0.25">
      <c r="B96" s="95"/>
      <c r="C96" s="96"/>
      <c r="D96" s="97"/>
      <c r="E96" s="97"/>
      <c r="G96" s="99"/>
      <c r="H96" s="151"/>
      <c r="I96" s="116"/>
      <c r="J96" s="151"/>
      <c r="K96" s="117"/>
      <c r="L96" s="152"/>
      <c r="M96" s="117"/>
      <c r="N96" s="152"/>
    </row>
    <row r="97" spans="2:14" ht="22" thickBot="1" x14ac:dyDescent="0.25">
      <c r="B97" s="95"/>
      <c r="C97" s="19" t="s">
        <v>65</v>
      </c>
      <c r="D97" s="65"/>
      <c r="E97" s="32"/>
      <c r="G97" s="99"/>
      <c r="H97" s="151"/>
      <c r="I97" s="116"/>
      <c r="J97" s="151"/>
      <c r="K97" s="117"/>
      <c r="L97" s="152"/>
      <c r="M97" s="117"/>
      <c r="N97" s="152"/>
    </row>
    <row r="98" spans="2:14" x14ac:dyDescent="0.2">
      <c r="B98" s="95"/>
      <c r="C98" s="153" t="s">
        <v>66</v>
      </c>
      <c r="D98" s="154"/>
      <c r="E98" s="155"/>
      <c r="G98" s="156"/>
      <c r="H98" s="157" t="e">
        <f t="shared" ref="H98:H102" si="32">G98/$E98-1</f>
        <v>#DIV/0!</v>
      </c>
      <c r="I98" s="158"/>
      <c r="J98" s="157" t="e">
        <f t="shared" ref="J98:J102" si="33">I98/$E98-1</f>
        <v>#DIV/0!</v>
      </c>
      <c r="K98" s="159"/>
      <c r="L98" s="160" t="e">
        <f t="shared" ref="L98:L102" si="34">K98/$E98-1</f>
        <v>#DIV/0!</v>
      </c>
      <c r="M98" s="159"/>
      <c r="N98" s="160" t="e">
        <f t="shared" ref="N98:N102" si="35">M98/$E98-1</f>
        <v>#DIV/0!</v>
      </c>
    </row>
    <row r="99" spans="2:14" x14ac:dyDescent="0.2">
      <c r="B99" s="95"/>
      <c r="C99" s="145" t="s">
        <v>67</v>
      </c>
      <c r="D99" s="120"/>
      <c r="E99" s="147"/>
      <c r="G99" s="122"/>
      <c r="H99" s="124" t="e">
        <f t="shared" si="32"/>
        <v>#DIV/0!</v>
      </c>
      <c r="I99" s="123"/>
      <c r="J99" s="124" t="e">
        <f t="shared" si="33"/>
        <v>#DIV/0!</v>
      </c>
      <c r="K99" s="125"/>
      <c r="L99" s="126" t="e">
        <f t="shared" si="34"/>
        <v>#DIV/0!</v>
      </c>
      <c r="M99" s="125"/>
      <c r="N99" s="126" t="e">
        <f t="shared" si="35"/>
        <v>#DIV/0!</v>
      </c>
    </row>
    <row r="100" spans="2:14" x14ac:dyDescent="0.2">
      <c r="B100" s="95"/>
      <c r="C100" s="145" t="s">
        <v>68</v>
      </c>
      <c r="D100" s="120"/>
      <c r="E100" s="147"/>
      <c r="G100" s="122"/>
      <c r="H100" s="124" t="e">
        <f t="shared" si="32"/>
        <v>#DIV/0!</v>
      </c>
      <c r="I100" s="123"/>
      <c r="J100" s="124" t="e">
        <f t="shared" si="33"/>
        <v>#DIV/0!</v>
      </c>
      <c r="K100" s="125"/>
      <c r="L100" s="126" t="e">
        <f t="shared" si="34"/>
        <v>#DIV/0!</v>
      </c>
      <c r="M100" s="125"/>
      <c r="N100" s="126" t="e">
        <f t="shared" si="35"/>
        <v>#DIV/0!</v>
      </c>
    </row>
    <row r="101" spans="2:14" x14ac:dyDescent="0.2">
      <c r="B101" s="95"/>
      <c r="C101" s="145" t="s">
        <v>69</v>
      </c>
      <c r="D101" s="120"/>
      <c r="E101" s="147"/>
      <c r="G101" s="122"/>
      <c r="H101" s="124" t="e">
        <f t="shared" si="32"/>
        <v>#DIV/0!</v>
      </c>
      <c r="I101" s="123"/>
      <c r="J101" s="124" t="e">
        <f t="shared" si="33"/>
        <v>#DIV/0!</v>
      </c>
      <c r="K101" s="125"/>
      <c r="L101" s="126" t="e">
        <f t="shared" si="34"/>
        <v>#DIV/0!</v>
      </c>
      <c r="M101" s="125"/>
      <c r="N101" s="126" t="e">
        <f t="shared" si="35"/>
        <v>#DIV/0!</v>
      </c>
    </row>
    <row r="102" spans="2:14" ht="16" thickBot="1" x14ac:dyDescent="0.25">
      <c r="B102" s="95"/>
      <c r="C102" s="161" t="s">
        <v>70</v>
      </c>
      <c r="D102" s="128"/>
      <c r="E102" s="129"/>
      <c r="G102" s="130"/>
      <c r="H102" s="132" t="e">
        <f t="shared" si="32"/>
        <v>#DIV/0!</v>
      </c>
      <c r="I102" s="131"/>
      <c r="J102" s="132" t="e">
        <f t="shared" si="33"/>
        <v>#DIV/0!</v>
      </c>
      <c r="K102" s="133"/>
      <c r="L102" s="134" t="e">
        <f t="shared" si="34"/>
        <v>#DIV/0!</v>
      </c>
      <c r="M102" s="133"/>
      <c r="N102" s="134" t="e">
        <f t="shared" si="35"/>
        <v>#DIV/0!</v>
      </c>
    </row>
    <row r="103" spans="2:14" ht="16" thickBot="1" x14ac:dyDescent="0.25">
      <c r="B103" s="95"/>
      <c r="C103" s="96"/>
      <c r="D103" s="97"/>
      <c r="E103" s="97"/>
      <c r="G103" s="99"/>
      <c r="H103" s="151"/>
      <c r="I103" s="116"/>
      <c r="J103" s="151"/>
      <c r="K103" s="117"/>
      <c r="L103" s="152"/>
      <c r="M103" s="117"/>
      <c r="N103" s="152"/>
    </row>
    <row r="104" spans="2:14" ht="22" thickBot="1" x14ac:dyDescent="0.25">
      <c r="B104" s="95"/>
      <c r="C104" s="162" t="s">
        <v>71</v>
      </c>
      <c r="D104" s="65"/>
      <c r="E104" s="32"/>
      <c r="G104" s="99"/>
      <c r="H104" s="151"/>
      <c r="I104" s="116"/>
      <c r="J104" s="151"/>
      <c r="K104" s="117"/>
      <c r="L104" s="152"/>
      <c r="M104" s="117"/>
      <c r="N104" s="152"/>
    </row>
    <row r="105" spans="2:14" x14ac:dyDescent="0.2">
      <c r="B105" s="95"/>
      <c r="C105" s="153" t="s">
        <v>66</v>
      </c>
      <c r="D105" s="154"/>
      <c r="E105" s="155"/>
      <c r="G105" s="156"/>
      <c r="H105" s="157" t="e">
        <f t="shared" ref="H105:H107" si="36">G105/$E105-1</f>
        <v>#DIV/0!</v>
      </c>
      <c r="I105" s="158"/>
      <c r="J105" s="157" t="e">
        <f t="shared" ref="J105:J107" si="37">I105/$E105-1</f>
        <v>#DIV/0!</v>
      </c>
      <c r="K105" s="159"/>
      <c r="L105" s="160" t="e">
        <f t="shared" ref="L105:L107" si="38">K105/$E105-1</f>
        <v>#DIV/0!</v>
      </c>
      <c r="M105" s="159"/>
      <c r="N105" s="160" t="e">
        <f t="shared" ref="N105:N107" si="39">M105/$E105-1</f>
        <v>#DIV/0!</v>
      </c>
    </row>
    <row r="106" spans="2:14" x14ac:dyDescent="0.2">
      <c r="B106" s="95"/>
      <c r="C106" s="145" t="s">
        <v>67</v>
      </c>
      <c r="D106" s="120"/>
      <c r="E106" s="147"/>
      <c r="G106" s="122"/>
      <c r="H106" s="124" t="e">
        <f t="shared" si="36"/>
        <v>#DIV/0!</v>
      </c>
      <c r="I106" s="123"/>
      <c r="J106" s="124" t="e">
        <f t="shared" si="37"/>
        <v>#DIV/0!</v>
      </c>
      <c r="K106" s="125"/>
      <c r="L106" s="126" t="e">
        <f t="shared" si="38"/>
        <v>#DIV/0!</v>
      </c>
      <c r="M106" s="125"/>
      <c r="N106" s="126" t="e">
        <f t="shared" si="39"/>
        <v>#DIV/0!</v>
      </c>
    </row>
    <row r="107" spans="2:14" ht="16" thickBot="1" x14ac:dyDescent="0.25">
      <c r="B107" s="95"/>
      <c r="C107" s="161" t="s">
        <v>68</v>
      </c>
      <c r="D107" s="128"/>
      <c r="E107" s="163"/>
      <c r="G107" s="130"/>
      <c r="H107" s="132" t="e">
        <f t="shared" si="36"/>
        <v>#DIV/0!</v>
      </c>
      <c r="I107" s="131"/>
      <c r="J107" s="132" t="e">
        <f t="shared" si="37"/>
        <v>#DIV/0!</v>
      </c>
      <c r="K107" s="133"/>
      <c r="L107" s="134" t="e">
        <f t="shared" si="38"/>
        <v>#DIV/0!</v>
      </c>
      <c r="M107" s="133"/>
      <c r="N107" s="134" t="e">
        <f t="shared" si="39"/>
        <v>#DIV/0!</v>
      </c>
    </row>
    <row r="108" spans="2:14" ht="16" thickBot="1" x14ac:dyDescent="0.25">
      <c r="B108" s="95"/>
      <c r="C108" s="96"/>
      <c r="D108" s="97"/>
      <c r="E108" s="164"/>
      <c r="G108" s="99"/>
      <c r="H108" s="151"/>
      <c r="I108" s="116"/>
      <c r="J108" s="151"/>
      <c r="K108" s="117"/>
      <c r="L108" s="152"/>
      <c r="M108" s="117"/>
      <c r="N108" s="152"/>
    </row>
    <row r="109" spans="2:14" ht="22" thickBot="1" x14ac:dyDescent="0.25">
      <c r="B109" s="95"/>
      <c r="C109" s="100" t="s">
        <v>72</v>
      </c>
      <c r="D109" s="65"/>
      <c r="E109" s="32"/>
      <c r="G109" s="99"/>
      <c r="H109" s="151"/>
      <c r="I109" s="116"/>
      <c r="J109" s="151"/>
      <c r="K109" s="117"/>
      <c r="L109" s="152"/>
      <c r="M109" s="117"/>
      <c r="N109" s="152"/>
    </row>
    <row r="110" spans="2:14" x14ac:dyDescent="0.2">
      <c r="B110" s="95"/>
      <c r="C110" s="153" t="s">
        <v>73</v>
      </c>
      <c r="D110" s="154">
        <f>E110/1.07</f>
        <v>0</v>
      </c>
      <c r="E110" s="155">
        <v>0</v>
      </c>
      <c r="G110" s="156"/>
      <c r="H110" s="157" t="e">
        <f t="shared" ref="H110:H112" si="40">G110/$E110-1</f>
        <v>#DIV/0!</v>
      </c>
      <c r="I110" s="158"/>
      <c r="J110" s="157" t="e">
        <f t="shared" ref="J110:J112" si="41">I110/$E110-1</f>
        <v>#DIV/0!</v>
      </c>
      <c r="K110" s="159"/>
      <c r="L110" s="160" t="e">
        <f t="shared" ref="L110:L112" si="42">K110/$E110-1</f>
        <v>#DIV/0!</v>
      </c>
      <c r="M110" s="159"/>
      <c r="N110" s="160" t="e">
        <f t="shared" ref="N110:N112" si="43">M110/$E110-1</f>
        <v>#DIV/0!</v>
      </c>
    </row>
    <row r="111" spans="2:14" x14ac:dyDescent="0.2">
      <c r="B111" s="95"/>
      <c r="C111" s="145" t="s">
        <v>74</v>
      </c>
      <c r="D111" s="120">
        <f t="shared" ref="D111:D112" si="44">E111/1.07</f>
        <v>0</v>
      </c>
      <c r="E111" s="147">
        <v>0</v>
      </c>
      <c r="G111" s="122"/>
      <c r="H111" s="124" t="e">
        <f t="shared" si="40"/>
        <v>#DIV/0!</v>
      </c>
      <c r="I111" s="123"/>
      <c r="J111" s="124" t="e">
        <f t="shared" si="41"/>
        <v>#DIV/0!</v>
      </c>
      <c r="K111" s="125"/>
      <c r="L111" s="126" t="e">
        <f t="shared" si="42"/>
        <v>#DIV/0!</v>
      </c>
      <c r="M111" s="125"/>
      <c r="N111" s="126" t="e">
        <f t="shared" si="43"/>
        <v>#DIV/0!</v>
      </c>
    </row>
    <row r="112" spans="2:14" ht="16" thickBot="1" x14ac:dyDescent="0.25">
      <c r="B112" s="95"/>
      <c r="C112" s="161" t="s">
        <v>75</v>
      </c>
      <c r="D112" s="128">
        <f t="shared" si="44"/>
        <v>0</v>
      </c>
      <c r="E112" s="163">
        <v>0</v>
      </c>
      <c r="G112" s="130"/>
      <c r="H112" s="132" t="e">
        <f t="shared" si="40"/>
        <v>#DIV/0!</v>
      </c>
      <c r="I112" s="131"/>
      <c r="J112" s="132" t="e">
        <f t="shared" si="41"/>
        <v>#DIV/0!</v>
      </c>
      <c r="K112" s="133"/>
      <c r="L112" s="134" t="e">
        <f t="shared" si="42"/>
        <v>#DIV/0!</v>
      </c>
      <c r="M112" s="133"/>
      <c r="N112" s="134" t="e">
        <f t="shared" si="43"/>
        <v>#DIV/0!</v>
      </c>
    </row>
    <row r="113" spans="1:14" ht="22" thickBot="1" x14ac:dyDescent="0.25">
      <c r="B113" s="95"/>
      <c r="C113" s="165" t="s">
        <v>76</v>
      </c>
      <c r="D113" s="65"/>
      <c r="E113" s="32"/>
      <c r="I113" s="101"/>
      <c r="J113" s="101"/>
      <c r="K113" s="102"/>
      <c r="L113" s="102"/>
      <c r="M113" s="102"/>
      <c r="N113" s="102"/>
    </row>
    <row r="114" spans="1:14" x14ac:dyDescent="0.2">
      <c r="A114">
        <f>IFERROR(_xlfn.XLOOKUP(Sheet1!B114,Sheet2!$A$2:$A$9,Sheet2!$B$2:$B$9),"")</f>
        <v>1</v>
      </c>
      <c r="B114" s="166" t="s">
        <v>2</v>
      </c>
      <c r="C114" s="167" t="s">
        <v>77</v>
      </c>
      <c r="D114" s="25"/>
      <c r="E114" s="26"/>
      <c r="F114" s="27"/>
      <c r="G114" s="28">
        <v>0.53</v>
      </c>
      <c r="H114" s="29" t="e">
        <f t="shared" ref="H114:H173" si="45">G114/$E114-1</f>
        <v>#DIV/0!</v>
      </c>
      <c r="I114" s="168">
        <v>0.55000000000000004</v>
      </c>
      <c r="J114" s="29" t="e">
        <f t="shared" ref="J114:J174" si="46">I114/$E114-1</f>
        <v>#DIV/0!</v>
      </c>
      <c r="K114" s="169">
        <v>0.56999999999999995</v>
      </c>
      <c r="L114" s="31" t="e">
        <f t="shared" ref="L114:L174" si="47">K114/$E114-1</f>
        <v>#DIV/0!</v>
      </c>
      <c r="M114" s="169">
        <v>0.6</v>
      </c>
      <c r="N114" s="31" t="e">
        <f t="shared" ref="N114:N174" si="48">M114/$E114-1</f>
        <v>#DIV/0!</v>
      </c>
    </row>
    <row r="115" spans="1:14" x14ac:dyDescent="0.2">
      <c r="A115">
        <f>IFERROR(_xlfn.XLOOKUP(Sheet1!B115,Sheet2!$A$2:$A$9,Sheet2!$B$2:$B$9),"")</f>
        <v>1</v>
      </c>
      <c r="B115" s="166" t="s">
        <v>2</v>
      </c>
      <c r="C115" s="170" t="s">
        <v>78</v>
      </c>
      <c r="D115" s="36"/>
      <c r="E115" s="37"/>
      <c r="F115" s="27"/>
      <c r="G115" s="39">
        <v>0.59</v>
      </c>
      <c r="H115" s="40" t="e">
        <f t="shared" si="45"/>
        <v>#DIV/0!</v>
      </c>
      <c r="I115" s="171">
        <v>0.61</v>
      </c>
      <c r="J115" s="40" t="e">
        <f t="shared" si="46"/>
        <v>#DIV/0!</v>
      </c>
      <c r="K115" s="172">
        <v>0.63</v>
      </c>
      <c r="L115" s="42" t="e">
        <f t="shared" si="47"/>
        <v>#DIV/0!</v>
      </c>
      <c r="M115" s="172">
        <v>0.66</v>
      </c>
      <c r="N115" s="42" t="e">
        <f t="shared" si="48"/>
        <v>#DIV/0!</v>
      </c>
    </row>
    <row r="116" spans="1:14" x14ac:dyDescent="0.2">
      <c r="A116">
        <f>IFERROR(_xlfn.XLOOKUP(Sheet1!B116,Sheet2!$A$2:$A$9,Sheet2!$B$2:$B$9),"")</f>
        <v>2</v>
      </c>
      <c r="B116" s="173" t="s">
        <v>3</v>
      </c>
      <c r="C116" s="170" t="s">
        <v>79</v>
      </c>
      <c r="D116" s="36"/>
      <c r="E116" s="37"/>
      <c r="F116" s="27"/>
      <c r="G116" s="39">
        <v>0.72</v>
      </c>
      <c r="H116" s="40" t="e">
        <f t="shared" si="45"/>
        <v>#DIV/0!</v>
      </c>
      <c r="I116" s="171">
        <v>0.74</v>
      </c>
      <c r="J116" s="40" t="e">
        <f t="shared" si="46"/>
        <v>#DIV/0!</v>
      </c>
      <c r="K116" s="172">
        <v>0.77</v>
      </c>
      <c r="L116" s="42" t="e">
        <f t="shared" si="47"/>
        <v>#DIV/0!</v>
      </c>
      <c r="M116" s="172">
        <v>0.8</v>
      </c>
      <c r="N116" s="42" t="e">
        <f t="shared" si="48"/>
        <v>#DIV/0!</v>
      </c>
    </row>
    <row r="117" spans="1:14" x14ac:dyDescent="0.2">
      <c r="A117">
        <f>IFERROR(_xlfn.XLOOKUP(Sheet1!B117,Sheet2!$A$2:$A$9,Sheet2!$B$2:$B$9),"")</f>
        <v>3</v>
      </c>
      <c r="B117" s="174" t="s">
        <v>25</v>
      </c>
      <c r="C117" s="170" t="s">
        <v>80</v>
      </c>
      <c r="D117" s="36"/>
      <c r="E117" s="37"/>
      <c r="F117" s="27"/>
      <c r="G117" s="39">
        <v>0.7</v>
      </c>
      <c r="H117" s="40" t="e">
        <f t="shared" si="45"/>
        <v>#DIV/0!</v>
      </c>
      <c r="I117" s="171">
        <v>0.72</v>
      </c>
      <c r="J117" s="40" t="e">
        <f t="shared" si="46"/>
        <v>#DIV/0!</v>
      </c>
      <c r="K117" s="172">
        <v>0.75</v>
      </c>
      <c r="L117" s="42" t="e">
        <f t="shared" si="47"/>
        <v>#DIV/0!</v>
      </c>
      <c r="M117" s="172">
        <v>0.78</v>
      </c>
      <c r="N117" s="42" t="e">
        <f t="shared" si="48"/>
        <v>#DIV/0!</v>
      </c>
    </row>
    <row r="118" spans="1:14" x14ac:dyDescent="0.2">
      <c r="A118" t="str">
        <f>IFERROR(_xlfn.XLOOKUP(Sheet1!B118,Sheet2!$A$2:$A$9,Sheet2!$B$2:$B$9),"")</f>
        <v/>
      </c>
      <c r="B118" s="174"/>
      <c r="C118" s="170" t="s">
        <v>81</v>
      </c>
      <c r="D118" s="36"/>
      <c r="E118" s="37"/>
      <c r="F118" s="27"/>
      <c r="G118" s="39">
        <v>0.89</v>
      </c>
      <c r="H118" s="40" t="e">
        <f t="shared" si="45"/>
        <v>#DIV/0!</v>
      </c>
      <c r="I118" s="171">
        <v>0.92</v>
      </c>
      <c r="J118" s="40" t="e">
        <f t="shared" si="46"/>
        <v>#DIV/0!</v>
      </c>
      <c r="K118" s="172">
        <v>0.96</v>
      </c>
      <c r="L118" s="42" t="e">
        <f t="shared" si="47"/>
        <v>#DIV/0!</v>
      </c>
      <c r="M118" s="172">
        <v>1</v>
      </c>
      <c r="N118" s="42" t="e">
        <f t="shared" si="48"/>
        <v>#DIV/0!</v>
      </c>
    </row>
    <row r="119" spans="1:14" x14ac:dyDescent="0.2">
      <c r="A119">
        <f>IFERROR(_xlfn.XLOOKUP(Sheet1!B119,Sheet2!$A$2:$A$9,Sheet2!$B$2:$B$9),"")</f>
        <v>4</v>
      </c>
      <c r="B119" s="175" t="s">
        <v>82</v>
      </c>
      <c r="C119" s="170" t="s">
        <v>83</v>
      </c>
      <c r="D119" s="36"/>
      <c r="E119" s="37"/>
      <c r="F119" s="27"/>
      <c r="G119" s="39">
        <v>0.69</v>
      </c>
      <c r="H119" s="40" t="e">
        <f t="shared" si="45"/>
        <v>#DIV/0!</v>
      </c>
      <c r="I119" s="171">
        <v>0.71</v>
      </c>
      <c r="J119" s="40" t="e">
        <f t="shared" si="46"/>
        <v>#DIV/0!</v>
      </c>
      <c r="K119" s="172">
        <v>0.74</v>
      </c>
      <c r="L119" s="42" t="e">
        <f t="shared" si="47"/>
        <v>#DIV/0!</v>
      </c>
      <c r="M119" s="172">
        <v>0.77</v>
      </c>
      <c r="N119" s="42" t="e">
        <f t="shared" si="48"/>
        <v>#DIV/0!</v>
      </c>
    </row>
    <row r="120" spans="1:14" x14ac:dyDescent="0.2">
      <c r="A120" t="str">
        <f>IFERROR(_xlfn.XLOOKUP(Sheet1!B120,Sheet2!$A$2:$A$9,Sheet2!$B$2:$B$9),"")</f>
        <v/>
      </c>
      <c r="B120" s="166"/>
      <c r="C120" s="170" t="s">
        <v>84</v>
      </c>
      <c r="D120" s="36"/>
      <c r="E120" s="37"/>
      <c r="F120" s="27"/>
      <c r="G120" s="39">
        <v>0.8</v>
      </c>
      <c r="H120" s="40" t="e">
        <f t="shared" si="45"/>
        <v>#DIV/0!</v>
      </c>
      <c r="I120" s="171">
        <v>0.83</v>
      </c>
      <c r="J120" s="40" t="e">
        <f t="shared" si="46"/>
        <v>#DIV/0!</v>
      </c>
      <c r="K120" s="172">
        <v>0.86</v>
      </c>
      <c r="L120" s="42" t="e">
        <f t="shared" si="47"/>
        <v>#DIV/0!</v>
      </c>
      <c r="M120" s="172">
        <v>0.9</v>
      </c>
      <c r="N120" s="42" t="e">
        <f t="shared" si="48"/>
        <v>#DIV/0!</v>
      </c>
    </row>
    <row r="121" spans="1:14" x14ac:dyDescent="0.2">
      <c r="A121">
        <f>IFERROR(_xlfn.XLOOKUP(Sheet1!B121,Sheet2!$A$2:$A$9,Sheet2!$B$2:$B$9),"")</f>
        <v>1</v>
      </c>
      <c r="B121" s="176" t="s">
        <v>2</v>
      </c>
      <c r="C121" s="170" t="s">
        <v>85</v>
      </c>
      <c r="D121" s="36"/>
      <c r="E121" s="37"/>
      <c r="F121" s="27"/>
      <c r="G121" s="39">
        <v>0.59</v>
      </c>
      <c r="H121" s="40" t="e">
        <f t="shared" si="45"/>
        <v>#DIV/0!</v>
      </c>
      <c r="I121" s="171">
        <v>0.61</v>
      </c>
      <c r="J121" s="40" t="e">
        <f t="shared" si="46"/>
        <v>#DIV/0!</v>
      </c>
      <c r="K121" s="172">
        <v>0.63</v>
      </c>
      <c r="L121" s="42" t="e">
        <f t="shared" si="47"/>
        <v>#DIV/0!</v>
      </c>
      <c r="M121" s="172">
        <v>0.66</v>
      </c>
      <c r="N121" s="42" t="e">
        <f t="shared" si="48"/>
        <v>#DIV/0!</v>
      </c>
    </row>
    <row r="122" spans="1:14" x14ac:dyDescent="0.2">
      <c r="A122">
        <f>IFERROR(_xlfn.XLOOKUP(Sheet1!B122,Sheet2!$A$2:$A$9,Sheet2!$B$2:$B$9),"")</f>
        <v>2</v>
      </c>
      <c r="B122" s="177" t="s">
        <v>3</v>
      </c>
      <c r="C122" s="170" t="s">
        <v>86</v>
      </c>
      <c r="D122" s="36"/>
      <c r="E122" s="37"/>
      <c r="F122" s="27"/>
      <c r="G122" s="39">
        <v>0.91</v>
      </c>
      <c r="H122" s="40" t="e">
        <f t="shared" si="45"/>
        <v>#DIV/0!</v>
      </c>
      <c r="I122" s="171">
        <v>0.94</v>
      </c>
      <c r="J122" s="40" t="e">
        <f t="shared" si="46"/>
        <v>#DIV/0!</v>
      </c>
      <c r="K122" s="172">
        <v>0.98</v>
      </c>
      <c r="L122" s="42" t="e">
        <f t="shared" si="47"/>
        <v>#DIV/0!</v>
      </c>
      <c r="M122" s="172">
        <v>1.02</v>
      </c>
      <c r="N122" s="42" t="e">
        <f t="shared" si="48"/>
        <v>#DIV/0!</v>
      </c>
    </row>
    <row r="123" spans="1:14" x14ac:dyDescent="0.2">
      <c r="A123">
        <f>IFERROR(_xlfn.XLOOKUP(Sheet1!B123,Sheet2!$A$2:$A$9,Sheet2!$B$2:$B$9),"")</f>
        <v>3</v>
      </c>
      <c r="B123" s="174" t="s">
        <v>25</v>
      </c>
      <c r="C123" s="170" t="s">
        <v>87</v>
      </c>
      <c r="D123" s="36"/>
      <c r="E123" s="37"/>
      <c r="F123" s="27"/>
      <c r="G123" s="39">
        <v>0.85</v>
      </c>
      <c r="H123" s="40" t="e">
        <f t="shared" si="45"/>
        <v>#DIV/0!</v>
      </c>
      <c r="I123" s="171">
        <v>0.87</v>
      </c>
      <c r="J123" s="40" t="e">
        <f t="shared" si="46"/>
        <v>#DIV/0!</v>
      </c>
      <c r="K123" s="172">
        <v>0.91</v>
      </c>
      <c r="L123" s="42" t="e">
        <f t="shared" si="47"/>
        <v>#DIV/0!</v>
      </c>
      <c r="M123" s="172">
        <v>0.95</v>
      </c>
      <c r="N123" s="42" t="e">
        <f t="shared" si="48"/>
        <v>#DIV/0!</v>
      </c>
    </row>
    <row r="124" spans="1:14" x14ac:dyDescent="0.2">
      <c r="A124">
        <f>IFERROR(_xlfn.XLOOKUP(Sheet1!B124,Sheet2!$A$2:$A$9,Sheet2!$B$2:$B$9),"")</f>
        <v>4</v>
      </c>
      <c r="B124" s="178" t="s">
        <v>82</v>
      </c>
      <c r="C124" s="170" t="s">
        <v>88</v>
      </c>
      <c r="D124" s="36"/>
      <c r="E124" s="37"/>
      <c r="F124" s="27"/>
      <c r="G124" s="39">
        <v>0.8</v>
      </c>
      <c r="H124" s="40" t="e">
        <f t="shared" si="45"/>
        <v>#DIV/0!</v>
      </c>
      <c r="I124" s="171">
        <v>0.83</v>
      </c>
      <c r="J124" s="40" t="e">
        <f t="shared" si="46"/>
        <v>#DIV/0!</v>
      </c>
      <c r="K124" s="172">
        <v>0.87</v>
      </c>
      <c r="L124" s="42" t="e">
        <f t="shared" si="47"/>
        <v>#DIV/0!</v>
      </c>
      <c r="M124" s="172">
        <v>0.9</v>
      </c>
      <c r="N124" s="42" t="e">
        <f t="shared" si="48"/>
        <v>#DIV/0!</v>
      </c>
    </row>
    <row r="125" spans="1:14" x14ac:dyDescent="0.2">
      <c r="A125">
        <f>IFERROR(_xlfn.XLOOKUP(Sheet1!B125,Sheet2!$A$2:$A$9,Sheet2!$B$2:$B$9),"")</f>
        <v>1</v>
      </c>
      <c r="B125" s="176" t="s">
        <v>2</v>
      </c>
      <c r="C125" s="170" t="s">
        <v>89</v>
      </c>
      <c r="D125" s="36"/>
      <c r="E125" s="37"/>
      <c r="F125" s="27"/>
      <c r="G125" s="39">
        <v>0.59</v>
      </c>
      <c r="H125" s="40" t="e">
        <f t="shared" si="45"/>
        <v>#DIV/0!</v>
      </c>
      <c r="I125" s="171">
        <v>0.61</v>
      </c>
      <c r="J125" s="40" t="e">
        <f t="shared" si="46"/>
        <v>#DIV/0!</v>
      </c>
      <c r="K125" s="172">
        <v>0.64</v>
      </c>
      <c r="L125" s="42" t="e">
        <f t="shared" si="47"/>
        <v>#DIV/0!</v>
      </c>
      <c r="M125" s="172">
        <v>0.66</v>
      </c>
      <c r="N125" s="42" t="e">
        <f t="shared" si="48"/>
        <v>#DIV/0!</v>
      </c>
    </row>
    <row r="126" spans="1:14" x14ac:dyDescent="0.2">
      <c r="A126">
        <f>IFERROR(_xlfn.XLOOKUP(Sheet1!B126,Sheet2!$A$2:$A$9,Sheet2!$B$2:$B$9),"")</f>
        <v>3</v>
      </c>
      <c r="B126" s="174" t="s">
        <v>25</v>
      </c>
      <c r="C126" s="170" t="s">
        <v>90</v>
      </c>
      <c r="D126" s="36"/>
      <c r="E126" s="37"/>
      <c r="F126" s="27"/>
      <c r="G126" s="39">
        <v>0.89</v>
      </c>
      <c r="H126" s="40" t="e">
        <f t="shared" si="45"/>
        <v>#DIV/0!</v>
      </c>
      <c r="I126" s="171">
        <v>0.92</v>
      </c>
      <c r="J126" s="40" t="e">
        <f t="shared" si="46"/>
        <v>#DIV/0!</v>
      </c>
      <c r="K126" s="172">
        <v>0.96</v>
      </c>
      <c r="L126" s="42" t="e">
        <f t="shared" si="47"/>
        <v>#DIV/0!</v>
      </c>
      <c r="M126" s="172">
        <v>1</v>
      </c>
      <c r="N126" s="42" t="e">
        <f t="shared" si="48"/>
        <v>#DIV/0!</v>
      </c>
    </row>
    <row r="127" spans="1:14" x14ac:dyDescent="0.2">
      <c r="A127">
        <f>IFERROR(_xlfn.XLOOKUP(Sheet1!B127,Sheet2!$A$2:$A$9,Sheet2!$B$2:$B$9),"")</f>
        <v>2</v>
      </c>
      <c r="B127" s="177" t="s">
        <v>3</v>
      </c>
      <c r="C127" s="170" t="s">
        <v>91</v>
      </c>
      <c r="D127" s="36"/>
      <c r="E127" s="37"/>
      <c r="F127" s="27"/>
      <c r="G127" s="39">
        <v>0.86</v>
      </c>
      <c r="H127" s="40" t="e">
        <f t="shared" si="45"/>
        <v>#DIV/0!</v>
      </c>
      <c r="I127" s="171">
        <v>0.88</v>
      </c>
      <c r="J127" s="40" t="e">
        <f t="shared" si="46"/>
        <v>#DIV/0!</v>
      </c>
      <c r="K127" s="172">
        <v>0.92</v>
      </c>
      <c r="L127" s="42" t="e">
        <f t="shared" si="47"/>
        <v>#DIV/0!</v>
      </c>
      <c r="M127" s="172">
        <v>0.96</v>
      </c>
      <c r="N127" s="42" t="e">
        <f t="shared" si="48"/>
        <v>#DIV/0!</v>
      </c>
    </row>
    <row r="128" spans="1:14" x14ac:dyDescent="0.2">
      <c r="A128">
        <f>IFERROR(_xlfn.XLOOKUP(Sheet1!B128,Sheet2!$A$2:$A$9,Sheet2!$B$2:$B$9),"")</f>
        <v>4</v>
      </c>
      <c r="B128" s="178" t="s">
        <v>82</v>
      </c>
      <c r="C128" s="170" t="s">
        <v>92</v>
      </c>
      <c r="D128" s="36"/>
      <c r="E128" s="37"/>
      <c r="F128" s="27"/>
      <c r="G128" s="39">
        <v>0.8</v>
      </c>
      <c r="H128" s="40" t="e">
        <f t="shared" si="45"/>
        <v>#DIV/0!</v>
      </c>
      <c r="I128" s="171">
        <v>0.82</v>
      </c>
      <c r="J128" s="40" t="e">
        <f t="shared" si="46"/>
        <v>#DIV/0!</v>
      </c>
      <c r="K128" s="172">
        <v>0.87</v>
      </c>
      <c r="L128" s="42" t="e">
        <f t="shared" si="47"/>
        <v>#DIV/0!</v>
      </c>
      <c r="M128" s="172">
        <v>0.9</v>
      </c>
      <c r="N128" s="42" t="e">
        <f t="shared" si="48"/>
        <v>#DIV/0!</v>
      </c>
    </row>
    <row r="129" spans="1:14" x14ac:dyDescent="0.2">
      <c r="A129">
        <f>IFERROR(_xlfn.XLOOKUP(Sheet1!B129,Sheet2!$A$2:$A$9,Sheet2!$B$2:$B$9),"")</f>
        <v>1</v>
      </c>
      <c r="B129" s="166" t="s">
        <v>2</v>
      </c>
      <c r="C129" s="198" t="s">
        <v>93</v>
      </c>
      <c r="D129" s="36"/>
      <c r="E129" s="37"/>
      <c r="F129" s="27"/>
      <c r="G129" s="39">
        <v>5.5</v>
      </c>
      <c r="H129" s="40" t="e">
        <f t="shared" si="45"/>
        <v>#DIV/0!</v>
      </c>
      <c r="I129" s="171">
        <v>5.75</v>
      </c>
      <c r="J129" s="40" t="e">
        <f t="shared" si="46"/>
        <v>#DIV/0!</v>
      </c>
      <c r="K129" s="172">
        <v>6</v>
      </c>
      <c r="L129" s="42" t="e">
        <f t="shared" si="47"/>
        <v>#DIV/0!</v>
      </c>
      <c r="M129" s="172">
        <v>6.25</v>
      </c>
      <c r="N129" s="42" t="e">
        <f t="shared" si="48"/>
        <v>#DIV/0!</v>
      </c>
    </row>
    <row r="130" spans="1:14" x14ac:dyDescent="0.2">
      <c r="A130">
        <f>IFERROR(_xlfn.XLOOKUP(Sheet1!B130,Sheet2!$A$2:$A$9,Sheet2!$B$2:$B$9),"")</f>
        <v>1</v>
      </c>
      <c r="B130" s="166" t="s">
        <v>2</v>
      </c>
      <c r="C130" s="198" t="s">
        <v>94</v>
      </c>
      <c r="D130" s="36"/>
      <c r="E130" s="37"/>
      <c r="F130" s="27"/>
      <c r="G130" s="39">
        <v>10.75</v>
      </c>
      <c r="H130" s="40" t="e">
        <f t="shared" si="45"/>
        <v>#DIV/0!</v>
      </c>
      <c r="I130" s="171">
        <v>11</v>
      </c>
      <c r="J130" s="40" t="e">
        <f t="shared" si="46"/>
        <v>#DIV/0!</v>
      </c>
      <c r="K130" s="172">
        <v>11.5</v>
      </c>
      <c r="L130" s="42" t="e">
        <f t="shared" si="47"/>
        <v>#DIV/0!</v>
      </c>
      <c r="M130" s="172">
        <v>12</v>
      </c>
      <c r="N130" s="42" t="e">
        <f t="shared" si="48"/>
        <v>#DIV/0!</v>
      </c>
    </row>
    <row r="131" spans="1:14" x14ac:dyDescent="0.2">
      <c r="A131">
        <f>IFERROR(_xlfn.XLOOKUP(Sheet1!B131,Sheet2!$A$2:$A$9,Sheet2!$B$2:$B$9),"")</f>
        <v>2</v>
      </c>
      <c r="B131" s="177" t="s">
        <v>3</v>
      </c>
      <c r="C131" s="198" t="s">
        <v>95</v>
      </c>
      <c r="D131" s="36"/>
      <c r="E131" s="37"/>
      <c r="F131" s="27"/>
      <c r="G131" s="39">
        <v>9.25</v>
      </c>
      <c r="H131" s="40" t="e">
        <f t="shared" si="45"/>
        <v>#DIV/0!</v>
      </c>
      <c r="I131" s="171">
        <v>9.5</v>
      </c>
      <c r="J131" s="40" t="e">
        <f t="shared" si="46"/>
        <v>#DIV/0!</v>
      </c>
      <c r="K131" s="172">
        <v>9.75</v>
      </c>
      <c r="L131" s="42" t="e">
        <f t="shared" si="47"/>
        <v>#DIV/0!</v>
      </c>
      <c r="M131" s="172">
        <v>10.25</v>
      </c>
      <c r="N131" s="42" t="e">
        <f t="shared" si="48"/>
        <v>#DIV/0!</v>
      </c>
    </row>
    <row r="132" spans="1:14" x14ac:dyDescent="0.2">
      <c r="A132">
        <f>IFERROR(_xlfn.XLOOKUP(Sheet1!B132,Sheet2!$A$2:$A$9,Sheet2!$B$2:$B$9),"")</f>
        <v>2</v>
      </c>
      <c r="B132" s="177" t="s">
        <v>3</v>
      </c>
      <c r="C132" s="198" t="s">
        <v>96</v>
      </c>
      <c r="D132" s="36"/>
      <c r="E132" s="37"/>
      <c r="F132" s="27"/>
      <c r="G132" s="39">
        <v>14</v>
      </c>
      <c r="H132" s="40" t="e">
        <f t="shared" si="45"/>
        <v>#DIV/0!</v>
      </c>
      <c r="I132" s="171">
        <v>14.25</v>
      </c>
      <c r="J132" s="40" t="e">
        <f t="shared" si="46"/>
        <v>#DIV/0!</v>
      </c>
      <c r="K132" s="172">
        <v>15</v>
      </c>
      <c r="L132" s="42" t="e">
        <f t="shared" si="47"/>
        <v>#DIV/0!</v>
      </c>
      <c r="M132" s="172">
        <v>15.5</v>
      </c>
      <c r="N132" s="42" t="e">
        <f t="shared" si="48"/>
        <v>#DIV/0!</v>
      </c>
    </row>
    <row r="133" spans="1:14" x14ac:dyDescent="0.2">
      <c r="A133">
        <f>IFERROR(_xlfn.XLOOKUP(Sheet1!B133,Sheet2!$A$2:$A$9,Sheet2!$B$2:$B$9),"")</f>
        <v>3</v>
      </c>
      <c r="B133" s="174" t="s">
        <v>25</v>
      </c>
      <c r="C133" s="198" t="s">
        <v>97</v>
      </c>
      <c r="D133" s="36"/>
      <c r="E133" s="37"/>
      <c r="F133" s="27"/>
      <c r="G133" s="39">
        <v>8.25</v>
      </c>
      <c r="H133" s="40" t="e">
        <f t="shared" si="45"/>
        <v>#DIV/0!</v>
      </c>
      <c r="I133" s="171">
        <v>8.5</v>
      </c>
      <c r="J133" s="40" t="e">
        <f t="shared" si="46"/>
        <v>#DIV/0!</v>
      </c>
      <c r="K133" s="172">
        <v>8.75</v>
      </c>
      <c r="L133" s="42" t="e">
        <f t="shared" si="47"/>
        <v>#DIV/0!</v>
      </c>
      <c r="M133" s="172">
        <v>9</v>
      </c>
      <c r="N133" s="42" t="e">
        <f t="shared" si="48"/>
        <v>#DIV/0!</v>
      </c>
    </row>
    <row r="134" spans="1:14" x14ac:dyDescent="0.2">
      <c r="A134" t="str">
        <f>IFERROR(_xlfn.XLOOKUP(Sheet1!B134,Sheet2!$A$2:$A$9,Sheet2!$B$2:$B$9),"")</f>
        <v/>
      </c>
      <c r="B134" s="175"/>
      <c r="C134" s="198" t="s">
        <v>98</v>
      </c>
      <c r="D134" s="36"/>
      <c r="E134" s="37"/>
      <c r="F134" s="27"/>
      <c r="G134" s="39">
        <v>17.75</v>
      </c>
      <c r="H134" s="40" t="e">
        <f t="shared" si="45"/>
        <v>#DIV/0!</v>
      </c>
      <c r="I134" s="171">
        <v>18.25</v>
      </c>
      <c r="J134" s="40" t="e">
        <f t="shared" si="46"/>
        <v>#DIV/0!</v>
      </c>
      <c r="K134" s="172">
        <v>19.25</v>
      </c>
      <c r="L134" s="42" t="e">
        <f t="shared" si="47"/>
        <v>#DIV/0!</v>
      </c>
      <c r="M134" s="172">
        <v>20</v>
      </c>
      <c r="N134" s="42" t="e">
        <f t="shared" si="48"/>
        <v>#DIV/0!</v>
      </c>
    </row>
    <row r="135" spans="1:14" x14ac:dyDescent="0.2">
      <c r="A135">
        <f>IFERROR(_xlfn.XLOOKUP(Sheet1!B135,Sheet2!$A$2:$A$9,Sheet2!$B$2:$B$9),"")</f>
        <v>1</v>
      </c>
      <c r="B135" s="166" t="s">
        <v>2</v>
      </c>
      <c r="C135" s="198" t="s">
        <v>99</v>
      </c>
      <c r="D135" s="36"/>
      <c r="E135" s="37"/>
      <c r="F135" s="27"/>
      <c r="G135" s="39">
        <v>0.33</v>
      </c>
      <c r="H135" s="40" t="e">
        <f t="shared" si="45"/>
        <v>#DIV/0!</v>
      </c>
      <c r="I135" s="171">
        <v>0.34</v>
      </c>
      <c r="J135" s="40" t="e">
        <f t="shared" si="46"/>
        <v>#DIV/0!</v>
      </c>
      <c r="K135" s="172">
        <v>0.35</v>
      </c>
      <c r="L135" s="42" t="e">
        <f t="shared" si="47"/>
        <v>#DIV/0!</v>
      </c>
      <c r="M135" s="172">
        <v>0.36</v>
      </c>
      <c r="N135" s="42" t="e">
        <f t="shared" si="48"/>
        <v>#DIV/0!</v>
      </c>
    </row>
    <row r="136" spans="1:14" x14ac:dyDescent="0.2">
      <c r="A136">
        <f>IFERROR(_xlfn.XLOOKUP(Sheet1!B136,Sheet2!$A$2:$A$9,Sheet2!$B$2:$B$9),"")</f>
        <v>2</v>
      </c>
      <c r="B136" s="173" t="s">
        <v>3</v>
      </c>
      <c r="C136" s="198" t="s">
        <v>100</v>
      </c>
      <c r="D136" s="36"/>
      <c r="E136" s="37"/>
      <c r="F136" s="27"/>
      <c r="G136" s="39">
        <v>0.61</v>
      </c>
      <c r="H136" s="40" t="e">
        <f t="shared" si="45"/>
        <v>#DIV/0!</v>
      </c>
      <c r="I136" s="171">
        <v>0.63</v>
      </c>
      <c r="J136" s="40" t="e">
        <f t="shared" si="46"/>
        <v>#DIV/0!</v>
      </c>
      <c r="K136" s="172">
        <v>0.66</v>
      </c>
      <c r="L136" s="42" t="e">
        <f t="shared" si="47"/>
        <v>#DIV/0!</v>
      </c>
      <c r="M136" s="172">
        <v>0.69</v>
      </c>
      <c r="N136" s="42" t="e">
        <f t="shared" si="48"/>
        <v>#DIV/0!</v>
      </c>
    </row>
    <row r="137" spans="1:14" x14ac:dyDescent="0.2">
      <c r="A137">
        <f>IFERROR(_xlfn.XLOOKUP(Sheet1!B137,Sheet2!$A$2:$A$9,Sheet2!$B$2:$B$9),"")</f>
        <v>3</v>
      </c>
      <c r="B137" s="174" t="s">
        <v>25</v>
      </c>
      <c r="C137" s="198" t="s">
        <v>101</v>
      </c>
      <c r="D137" s="36"/>
      <c r="E137" s="37"/>
      <c r="F137" s="27"/>
      <c r="G137" s="39">
        <v>0.54</v>
      </c>
      <c r="H137" s="40" t="e">
        <f t="shared" si="45"/>
        <v>#DIV/0!</v>
      </c>
      <c r="I137" s="171">
        <v>0.55000000000000004</v>
      </c>
      <c r="J137" s="40" t="e">
        <f t="shared" si="46"/>
        <v>#DIV/0!</v>
      </c>
      <c r="K137" s="172">
        <v>0.57999999999999996</v>
      </c>
      <c r="L137" s="42" t="e">
        <f t="shared" si="47"/>
        <v>#DIV/0!</v>
      </c>
      <c r="M137" s="172">
        <v>0.6</v>
      </c>
      <c r="N137" s="42" t="e">
        <f t="shared" si="48"/>
        <v>#DIV/0!</v>
      </c>
    </row>
    <row r="138" spans="1:14" x14ac:dyDescent="0.2">
      <c r="A138" t="str">
        <f>IFERROR(_xlfn.XLOOKUP(Sheet1!B138,Sheet2!$A$2:$A$9,Sheet2!$B$2:$B$9),"")</f>
        <v/>
      </c>
      <c r="B138" s="175"/>
      <c r="C138" s="170" t="s">
        <v>102</v>
      </c>
      <c r="D138" s="36"/>
      <c r="E138" s="37"/>
      <c r="F138" s="27"/>
      <c r="G138" s="39">
        <v>0.89</v>
      </c>
      <c r="H138" s="40" t="e">
        <f t="shared" si="45"/>
        <v>#DIV/0!</v>
      </c>
      <c r="I138" s="171">
        <v>0.91</v>
      </c>
      <c r="J138" s="40" t="e">
        <f t="shared" si="46"/>
        <v>#DIV/0!</v>
      </c>
      <c r="K138" s="172">
        <v>0.96</v>
      </c>
      <c r="L138" s="42" t="e">
        <f t="shared" si="47"/>
        <v>#DIV/0!</v>
      </c>
      <c r="M138" s="172">
        <v>1</v>
      </c>
      <c r="N138" s="42" t="e">
        <f t="shared" si="48"/>
        <v>#DIV/0!</v>
      </c>
    </row>
    <row r="139" spans="1:14" x14ac:dyDescent="0.2">
      <c r="A139" t="str">
        <f>IFERROR(_xlfn.XLOOKUP(Sheet1!B139,Sheet2!$A$2:$A$9,Sheet2!$B$2:$B$9),"")</f>
        <v/>
      </c>
      <c r="B139" s="175"/>
      <c r="C139" s="170" t="s">
        <v>103</v>
      </c>
      <c r="D139" s="36"/>
      <c r="E139" s="37"/>
      <c r="F139" s="27"/>
      <c r="G139" s="39">
        <v>1.2</v>
      </c>
      <c r="H139" s="40" t="e">
        <f t="shared" si="45"/>
        <v>#DIV/0!</v>
      </c>
      <c r="I139" s="171">
        <v>1.23</v>
      </c>
      <c r="J139" s="40" t="e">
        <f t="shared" si="46"/>
        <v>#DIV/0!</v>
      </c>
      <c r="K139" s="172">
        <v>1.29</v>
      </c>
      <c r="L139" s="42" t="e">
        <f t="shared" si="47"/>
        <v>#DIV/0!</v>
      </c>
      <c r="M139" s="172">
        <v>1.35</v>
      </c>
      <c r="N139" s="42" t="e">
        <f t="shared" si="48"/>
        <v>#DIV/0!</v>
      </c>
    </row>
    <row r="140" spans="1:14" x14ac:dyDescent="0.2">
      <c r="A140">
        <f>IFERROR(_xlfn.XLOOKUP(Sheet1!B140,Sheet2!$A$2:$A$9,Sheet2!$B$2:$B$9),"")</f>
        <v>4</v>
      </c>
      <c r="B140" s="175" t="s">
        <v>82</v>
      </c>
      <c r="C140" s="170" t="s">
        <v>102</v>
      </c>
      <c r="D140" s="36"/>
      <c r="E140" s="37"/>
      <c r="F140" s="27"/>
      <c r="G140" s="39">
        <v>0.69</v>
      </c>
      <c r="H140" s="40" t="e">
        <f t="shared" si="45"/>
        <v>#DIV/0!</v>
      </c>
      <c r="I140" s="171">
        <v>0.7</v>
      </c>
      <c r="J140" s="40" t="e">
        <f t="shared" si="46"/>
        <v>#DIV/0!</v>
      </c>
      <c r="K140" s="172">
        <v>0.74</v>
      </c>
      <c r="L140" s="42" t="e">
        <f t="shared" si="47"/>
        <v>#DIV/0!</v>
      </c>
      <c r="M140" s="172">
        <v>0.77</v>
      </c>
      <c r="N140" s="42" t="e">
        <f t="shared" si="48"/>
        <v>#DIV/0!</v>
      </c>
    </row>
    <row r="141" spans="1:14" s="27" customFormat="1" x14ac:dyDescent="0.2">
      <c r="A141">
        <f>IFERROR(_xlfn.XLOOKUP(Sheet1!B141,Sheet2!$A$2:$A$9,Sheet2!$B$2:$B$9),"")</f>
        <v>6</v>
      </c>
      <c r="B141" s="179" t="s">
        <v>104</v>
      </c>
      <c r="C141" s="170" t="s">
        <v>105</v>
      </c>
      <c r="D141" s="36"/>
      <c r="E141" s="37"/>
      <c r="G141" s="39">
        <v>16.25</v>
      </c>
      <c r="H141" s="40" t="e">
        <f t="shared" si="45"/>
        <v>#DIV/0!</v>
      </c>
      <c r="I141" s="171">
        <v>16.75</v>
      </c>
      <c r="J141" s="40" t="e">
        <f t="shared" si="46"/>
        <v>#DIV/0!</v>
      </c>
      <c r="K141" s="172">
        <v>17.5</v>
      </c>
      <c r="L141" s="42" t="e">
        <f t="shared" si="47"/>
        <v>#DIV/0!</v>
      </c>
      <c r="M141" s="172">
        <v>18.25</v>
      </c>
      <c r="N141" s="42" t="e">
        <f t="shared" si="48"/>
        <v>#DIV/0!</v>
      </c>
    </row>
    <row r="142" spans="1:14" x14ac:dyDescent="0.2">
      <c r="A142">
        <f>IFERROR(_xlfn.XLOOKUP(Sheet1!B142,Sheet2!$A$2:$A$9,Sheet2!$B$2:$B$9),"")</f>
        <v>3</v>
      </c>
      <c r="B142" s="174" t="s">
        <v>25</v>
      </c>
      <c r="C142" s="170" t="s">
        <v>106</v>
      </c>
      <c r="D142" s="36"/>
      <c r="E142" s="37"/>
      <c r="F142" s="27"/>
      <c r="G142" s="39">
        <v>15.5</v>
      </c>
      <c r="H142" s="40" t="e">
        <f t="shared" si="45"/>
        <v>#DIV/0!</v>
      </c>
      <c r="I142" s="171">
        <v>16</v>
      </c>
      <c r="J142" s="40" t="e">
        <f t="shared" si="46"/>
        <v>#DIV/0!</v>
      </c>
      <c r="K142" s="172">
        <v>16.75</v>
      </c>
      <c r="L142" s="42" t="e">
        <f t="shared" si="47"/>
        <v>#DIV/0!</v>
      </c>
      <c r="M142" s="172">
        <v>17.5</v>
      </c>
      <c r="N142" s="42" t="e">
        <f t="shared" si="48"/>
        <v>#DIV/0!</v>
      </c>
    </row>
    <row r="143" spans="1:14" x14ac:dyDescent="0.2">
      <c r="A143">
        <f>IFERROR(_xlfn.XLOOKUP(Sheet1!B143,Sheet2!$A$2:$A$9,Sheet2!$B$2:$B$9),"")</f>
        <v>1</v>
      </c>
      <c r="B143" s="166" t="s">
        <v>2</v>
      </c>
      <c r="C143" s="170" t="s">
        <v>105</v>
      </c>
      <c r="D143" s="36"/>
      <c r="E143" s="37"/>
      <c r="F143" s="27"/>
      <c r="G143" s="39">
        <v>13</v>
      </c>
      <c r="H143" s="40" t="e">
        <f t="shared" si="45"/>
        <v>#DIV/0!</v>
      </c>
      <c r="I143" s="171">
        <v>13.25</v>
      </c>
      <c r="J143" s="40" t="e">
        <f t="shared" si="46"/>
        <v>#DIV/0!</v>
      </c>
      <c r="K143" s="172">
        <v>14</v>
      </c>
      <c r="L143" s="42" t="e">
        <f t="shared" si="47"/>
        <v>#DIV/0!</v>
      </c>
      <c r="M143" s="172">
        <v>14.5</v>
      </c>
      <c r="N143" s="42" t="e">
        <f t="shared" si="48"/>
        <v>#DIV/0!</v>
      </c>
    </row>
    <row r="144" spans="1:14" x14ac:dyDescent="0.2">
      <c r="A144">
        <f>IFERROR(_xlfn.XLOOKUP(Sheet1!B144,Sheet2!$A$2:$A$9,Sheet2!$B$2:$B$9),"")</f>
        <v>5</v>
      </c>
      <c r="B144" s="175" t="s">
        <v>107</v>
      </c>
      <c r="C144" s="170" t="s">
        <v>108</v>
      </c>
      <c r="D144" s="36"/>
      <c r="E144" s="37"/>
      <c r="F144" s="27"/>
      <c r="G144" s="39">
        <v>14.75</v>
      </c>
      <c r="H144" s="40" t="e">
        <f t="shared" si="45"/>
        <v>#DIV/0!</v>
      </c>
      <c r="I144" s="171">
        <v>15.25</v>
      </c>
      <c r="J144" s="40" t="e">
        <f t="shared" si="46"/>
        <v>#DIV/0!</v>
      </c>
      <c r="K144" s="172">
        <v>16</v>
      </c>
      <c r="L144" s="42" t="e">
        <f t="shared" si="47"/>
        <v>#DIV/0!</v>
      </c>
      <c r="M144" s="172">
        <v>16.5</v>
      </c>
      <c r="N144" s="42" t="e">
        <f t="shared" si="48"/>
        <v>#DIV/0!</v>
      </c>
    </row>
    <row r="145" spans="1:70" x14ac:dyDescent="0.2">
      <c r="A145" t="str">
        <f>IFERROR(_xlfn.XLOOKUP(Sheet1!B145,Sheet2!$A$2:$A$9,Sheet2!$B$2:$B$9),"")</f>
        <v/>
      </c>
      <c r="B145" s="175"/>
      <c r="C145" s="170" t="s">
        <v>109</v>
      </c>
      <c r="D145" s="36"/>
      <c r="E145" s="37"/>
      <c r="F145" s="27"/>
      <c r="G145" s="39">
        <v>20</v>
      </c>
      <c r="H145" s="40" t="e">
        <f t="shared" si="45"/>
        <v>#DIV/0!</v>
      </c>
      <c r="I145" s="171">
        <v>20.75</v>
      </c>
      <c r="J145" s="40" t="e">
        <f t="shared" si="46"/>
        <v>#DIV/0!</v>
      </c>
      <c r="K145" s="172">
        <v>21.75</v>
      </c>
      <c r="L145" s="42" t="e">
        <f t="shared" si="47"/>
        <v>#DIV/0!</v>
      </c>
      <c r="M145" s="172">
        <v>22.75</v>
      </c>
      <c r="N145" s="42" t="e">
        <f t="shared" si="48"/>
        <v>#DIV/0!</v>
      </c>
    </row>
    <row r="146" spans="1:70" x14ac:dyDescent="0.2">
      <c r="A146" t="str">
        <f>IFERROR(_xlfn.XLOOKUP(Sheet1!B146,Sheet2!$A$2:$A$9,Sheet2!$B$2:$B$9),"")</f>
        <v/>
      </c>
      <c r="B146" s="175"/>
      <c r="C146" s="170" t="s">
        <v>110</v>
      </c>
      <c r="D146" s="36"/>
      <c r="E146" s="37"/>
      <c r="F146" s="27"/>
      <c r="G146" s="39">
        <v>37</v>
      </c>
      <c r="H146" s="40" t="e">
        <f t="shared" si="45"/>
        <v>#DIV/0!</v>
      </c>
      <c r="I146" s="171">
        <v>38.25</v>
      </c>
      <c r="J146" s="40" t="e">
        <f t="shared" si="46"/>
        <v>#DIV/0!</v>
      </c>
      <c r="K146" s="172">
        <v>40</v>
      </c>
      <c r="L146" s="42" t="e">
        <f t="shared" si="47"/>
        <v>#DIV/0!</v>
      </c>
      <c r="M146" s="172">
        <v>41.75</v>
      </c>
      <c r="N146" s="42" t="e">
        <f t="shared" si="48"/>
        <v>#DIV/0!</v>
      </c>
    </row>
    <row r="147" spans="1:70" s="6" customFormat="1" x14ac:dyDescent="0.2">
      <c r="A147">
        <f>IFERROR(_xlfn.XLOOKUP(Sheet1!B147,Sheet2!$A$2:$A$9,Sheet2!$B$2:$B$9),"")</f>
        <v>7</v>
      </c>
      <c r="B147" s="175" t="s">
        <v>111</v>
      </c>
      <c r="C147" s="170" t="s">
        <v>112</v>
      </c>
      <c r="D147" s="36"/>
      <c r="E147" s="37"/>
      <c r="F147" s="27"/>
      <c r="G147" s="39">
        <v>53.5</v>
      </c>
      <c r="H147" s="40" t="e">
        <f t="shared" si="45"/>
        <v>#DIV/0!</v>
      </c>
      <c r="I147" s="171">
        <v>55</v>
      </c>
      <c r="J147" s="40" t="e">
        <f t="shared" si="46"/>
        <v>#DIV/0!</v>
      </c>
      <c r="K147" s="172">
        <v>57.5</v>
      </c>
      <c r="L147" s="42" t="e">
        <f t="shared" si="47"/>
        <v>#DIV/0!</v>
      </c>
      <c r="M147" s="172">
        <v>60</v>
      </c>
      <c r="N147" s="42" t="e">
        <f t="shared" si="48"/>
        <v>#DIV/0!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1:70" s="6" customFormat="1" x14ac:dyDescent="0.2">
      <c r="A148">
        <f>IFERROR(_xlfn.XLOOKUP(Sheet1!B148,Sheet2!$A$2:$A$9,Sheet2!$B$2:$B$9),"")</f>
        <v>7</v>
      </c>
      <c r="B148" s="175" t="s">
        <v>111</v>
      </c>
      <c r="C148" s="170" t="s">
        <v>113</v>
      </c>
      <c r="D148" s="36"/>
      <c r="E148" s="37"/>
      <c r="F148" s="27"/>
      <c r="G148" s="39">
        <v>46.25</v>
      </c>
      <c r="H148" s="40" t="e">
        <f t="shared" si="45"/>
        <v>#DIV/0!</v>
      </c>
      <c r="I148" s="171">
        <v>47.5</v>
      </c>
      <c r="J148" s="40" t="e">
        <f t="shared" si="46"/>
        <v>#DIV/0!</v>
      </c>
      <c r="K148" s="172">
        <v>49.5</v>
      </c>
      <c r="L148" s="42" t="e">
        <f t="shared" si="47"/>
        <v>#DIV/0!</v>
      </c>
      <c r="M148" s="172">
        <v>51.75</v>
      </c>
      <c r="N148" s="42" t="e">
        <f t="shared" si="48"/>
        <v>#DIV/0!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1:70" s="6" customFormat="1" x14ac:dyDescent="0.2">
      <c r="A149">
        <f>IFERROR(_xlfn.XLOOKUP(Sheet1!B149,Sheet2!$A$2:$A$9,Sheet2!$B$2:$B$9),"")</f>
        <v>7</v>
      </c>
      <c r="B149" s="175" t="s">
        <v>111</v>
      </c>
      <c r="C149" s="170" t="s">
        <v>114</v>
      </c>
      <c r="D149" s="36"/>
      <c r="E149" s="37"/>
      <c r="F149" s="27"/>
      <c r="G149" s="39">
        <v>37.75</v>
      </c>
      <c r="H149" s="40" t="e">
        <f t="shared" si="45"/>
        <v>#DIV/0!</v>
      </c>
      <c r="I149" s="171">
        <v>38.75</v>
      </c>
      <c r="J149" s="40" t="e">
        <f t="shared" si="46"/>
        <v>#DIV/0!</v>
      </c>
      <c r="K149" s="172">
        <v>40.5</v>
      </c>
      <c r="L149" s="42" t="e">
        <f t="shared" si="47"/>
        <v>#DIV/0!</v>
      </c>
      <c r="M149" s="172">
        <v>42</v>
      </c>
      <c r="N149" s="42" t="e">
        <f t="shared" si="48"/>
        <v>#DIV/0!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1:70" s="6" customFormat="1" x14ac:dyDescent="0.2">
      <c r="A150">
        <f>IFERROR(_xlfn.XLOOKUP(Sheet1!B150,Sheet2!$A$2:$A$9,Sheet2!$B$2:$B$9),"")</f>
        <v>1</v>
      </c>
      <c r="B150" s="176" t="s">
        <v>2</v>
      </c>
      <c r="C150" s="170" t="s">
        <v>114</v>
      </c>
      <c r="D150" s="36"/>
      <c r="E150" s="37"/>
      <c r="F150" s="27"/>
      <c r="G150" s="39">
        <v>35.25</v>
      </c>
      <c r="H150" s="40" t="e">
        <f t="shared" si="45"/>
        <v>#DIV/0!</v>
      </c>
      <c r="I150" s="171">
        <v>36.25</v>
      </c>
      <c r="J150" s="40" t="e">
        <f t="shared" si="46"/>
        <v>#DIV/0!</v>
      </c>
      <c r="K150" s="172">
        <v>38</v>
      </c>
      <c r="L150" s="42" t="e">
        <f t="shared" si="47"/>
        <v>#DIV/0!</v>
      </c>
      <c r="M150" s="172">
        <v>39.75</v>
      </c>
      <c r="N150" s="42" t="e">
        <f t="shared" si="48"/>
        <v>#DIV/0!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1:70" s="6" customFormat="1" x14ac:dyDescent="0.2">
      <c r="A151">
        <f>IFERROR(_xlfn.XLOOKUP(Sheet1!B151,Sheet2!$A$2:$A$9,Sheet2!$B$2:$B$9),"")</f>
        <v>7</v>
      </c>
      <c r="B151" s="175" t="s">
        <v>111</v>
      </c>
      <c r="C151" s="170" t="s">
        <v>115</v>
      </c>
      <c r="D151" s="36"/>
      <c r="E151" s="37"/>
      <c r="F151" s="27"/>
      <c r="G151" s="39">
        <v>53.5</v>
      </c>
      <c r="H151" s="40" t="e">
        <f t="shared" si="45"/>
        <v>#DIV/0!</v>
      </c>
      <c r="I151" s="171">
        <v>55</v>
      </c>
      <c r="J151" s="40" t="e">
        <f t="shared" si="46"/>
        <v>#DIV/0!</v>
      </c>
      <c r="K151" s="172">
        <v>57.5</v>
      </c>
      <c r="L151" s="42" t="e">
        <f t="shared" si="47"/>
        <v>#DIV/0!</v>
      </c>
      <c r="M151" s="172">
        <v>60</v>
      </c>
      <c r="N151" s="42" t="e">
        <f t="shared" si="48"/>
        <v>#DIV/0!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1:70" s="6" customFormat="1" x14ac:dyDescent="0.2">
      <c r="A152">
        <f>IFERROR(_xlfn.XLOOKUP(Sheet1!B152,Sheet2!$A$2:$A$9,Sheet2!$B$2:$B$9),"")</f>
        <v>7</v>
      </c>
      <c r="B152" s="175" t="s">
        <v>111</v>
      </c>
      <c r="C152" s="170" t="s">
        <v>116</v>
      </c>
      <c r="D152" s="36"/>
      <c r="E152" s="37"/>
      <c r="F152" s="27"/>
      <c r="G152" s="39">
        <v>46.25</v>
      </c>
      <c r="H152" s="40" t="e">
        <f t="shared" si="45"/>
        <v>#DIV/0!</v>
      </c>
      <c r="I152" s="171">
        <v>47.5</v>
      </c>
      <c r="J152" s="40" t="e">
        <f t="shared" si="46"/>
        <v>#DIV/0!</v>
      </c>
      <c r="K152" s="172">
        <v>49.5</v>
      </c>
      <c r="L152" s="42" t="e">
        <f t="shared" si="47"/>
        <v>#DIV/0!</v>
      </c>
      <c r="M152" s="172">
        <v>51.75</v>
      </c>
      <c r="N152" s="42" t="e">
        <f t="shared" si="48"/>
        <v>#DIV/0!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1:70" s="6" customFormat="1" x14ac:dyDescent="0.2">
      <c r="A153">
        <f>IFERROR(_xlfn.XLOOKUP(Sheet1!B153,Sheet2!$A$2:$A$9,Sheet2!$B$2:$B$9),"")</f>
        <v>7</v>
      </c>
      <c r="B153" s="175" t="s">
        <v>111</v>
      </c>
      <c r="C153" s="170" t="s">
        <v>117</v>
      </c>
      <c r="D153" s="36"/>
      <c r="E153" s="37"/>
      <c r="F153" s="27"/>
      <c r="G153" s="39">
        <v>37.75</v>
      </c>
      <c r="H153" s="40" t="e">
        <f t="shared" si="45"/>
        <v>#DIV/0!</v>
      </c>
      <c r="I153" s="171">
        <v>38.75</v>
      </c>
      <c r="J153" s="40" t="e">
        <f t="shared" si="46"/>
        <v>#DIV/0!</v>
      </c>
      <c r="K153" s="172">
        <v>40.25</v>
      </c>
      <c r="L153" s="42" t="e">
        <f t="shared" si="47"/>
        <v>#DIV/0!</v>
      </c>
      <c r="M153" s="172">
        <v>42</v>
      </c>
      <c r="N153" s="42" t="e">
        <f t="shared" si="48"/>
        <v>#DIV/0!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1:70" s="6" customFormat="1" x14ac:dyDescent="0.2">
      <c r="A154">
        <f>IFERROR(_xlfn.XLOOKUP(Sheet1!B154,Sheet2!$A$2:$A$9,Sheet2!$B$2:$B$9),"")</f>
        <v>1</v>
      </c>
      <c r="B154" s="176" t="s">
        <v>2</v>
      </c>
      <c r="C154" s="170" t="s">
        <v>117</v>
      </c>
      <c r="D154" s="36"/>
      <c r="E154" s="37"/>
      <c r="F154" s="27"/>
      <c r="G154" s="39">
        <v>35.5</v>
      </c>
      <c r="H154" s="40" t="e">
        <f t="shared" si="45"/>
        <v>#DIV/0!</v>
      </c>
      <c r="I154" s="171">
        <v>36.5</v>
      </c>
      <c r="J154" s="40" t="e">
        <f t="shared" si="46"/>
        <v>#DIV/0!</v>
      </c>
      <c r="K154" s="172">
        <v>38</v>
      </c>
      <c r="L154" s="42" t="e">
        <f t="shared" si="47"/>
        <v>#DIV/0!</v>
      </c>
      <c r="M154" s="172">
        <v>39.75</v>
      </c>
      <c r="N154" s="42" t="e">
        <f t="shared" si="48"/>
        <v>#DIV/0!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1:70" s="6" customFormat="1" x14ac:dyDescent="0.2">
      <c r="A155">
        <f>IFERROR(_xlfn.XLOOKUP(Sheet1!B155,Sheet2!$A$2:$A$9,Sheet2!$B$2:$B$9),"")</f>
        <v>7</v>
      </c>
      <c r="B155" s="175" t="s">
        <v>111</v>
      </c>
      <c r="C155" s="170" t="s">
        <v>118</v>
      </c>
      <c r="D155" s="36"/>
      <c r="E155" s="37"/>
      <c r="F155" s="27"/>
      <c r="G155" s="39">
        <v>54.75</v>
      </c>
      <c r="H155" s="40" t="e">
        <f t="shared" si="45"/>
        <v>#DIV/0!</v>
      </c>
      <c r="I155" s="171">
        <v>56.5</v>
      </c>
      <c r="J155" s="40" t="e">
        <f t="shared" si="46"/>
        <v>#DIV/0!</v>
      </c>
      <c r="K155" s="172">
        <v>58.75</v>
      </c>
      <c r="L155" s="42" t="e">
        <f t="shared" si="47"/>
        <v>#DIV/0!</v>
      </c>
      <c r="M155" s="172">
        <v>61.5</v>
      </c>
      <c r="N155" s="42" t="e">
        <f t="shared" si="48"/>
        <v>#DIV/0!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1:70" s="6" customFormat="1" x14ac:dyDescent="0.2">
      <c r="A156">
        <f>IFERROR(_xlfn.XLOOKUP(Sheet1!B156,Sheet2!$A$2:$A$9,Sheet2!$B$2:$B$9),"")</f>
        <v>7</v>
      </c>
      <c r="B156" s="175" t="s">
        <v>111</v>
      </c>
      <c r="C156" s="170" t="s">
        <v>119</v>
      </c>
      <c r="D156" s="36"/>
      <c r="E156" s="37"/>
      <c r="F156" s="27"/>
      <c r="G156" s="39">
        <v>47.25</v>
      </c>
      <c r="H156" s="40" t="e">
        <f t="shared" si="45"/>
        <v>#DIV/0!</v>
      </c>
      <c r="I156" s="171">
        <v>48.5</v>
      </c>
      <c r="J156" s="40" t="e">
        <f t="shared" si="46"/>
        <v>#DIV/0!</v>
      </c>
      <c r="K156" s="172">
        <v>50.75</v>
      </c>
      <c r="L156" s="42" t="e">
        <f t="shared" si="47"/>
        <v>#DIV/0!</v>
      </c>
      <c r="M156" s="172">
        <v>53</v>
      </c>
      <c r="N156" s="42" t="e">
        <f t="shared" si="48"/>
        <v>#DIV/0!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1:70" s="6" customFormat="1" x14ac:dyDescent="0.2">
      <c r="A157">
        <f>IFERROR(_xlfn.XLOOKUP(Sheet1!B157,Sheet2!$A$2:$A$9,Sheet2!$B$2:$B$9),"")</f>
        <v>7</v>
      </c>
      <c r="B157" s="175" t="s">
        <v>111</v>
      </c>
      <c r="C157" s="170" t="s">
        <v>120</v>
      </c>
      <c r="D157" s="36"/>
      <c r="E157" s="37"/>
      <c r="F157" s="27"/>
      <c r="G157" s="39">
        <v>38.75</v>
      </c>
      <c r="H157" s="40" t="e">
        <f t="shared" si="45"/>
        <v>#DIV/0!</v>
      </c>
      <c r="I157" s="171">
        <v>39.75</v>
      </c>
      <c r="J157" s="40" t="e">
        <f t="shared" si="46"/>
        <v>#DIV/0!</v>
      </c>
      <c r="K157" s="172">
        <v>41.5</v>
      </c>
      <c r="L157" s="42" t="e">
        <f t="shared" si="47"/>
        <v>#DIV/0!</v>
      </c>
      <c r="M157" s="172">
        <v>43.25</v>
      </c>
      <c r="N157" s="42" t="e">
        <f t="shared" si="48"/>
        <v>#DIV/0!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1:70" s="6" customFormat="1" x14ac:dyDescent="0.2">
      <c r="A158" t="str">
        <f>IFERROR(_xlfn.XLOOKUP(Sheet1!B158,Sheet2!$A$2:$A$9,Sheet2!$B$2:$B$9),"")</f>
        <v/>
      </c>
      <c r="B158" s="175"/>
      <c r="C158" s="170" t="s">
        <v>121</v>
      </c>
      <c r="D158" s="36"/>
      <c r="E158" s="37"/>
      <c r="F158" s="27"/>
      <c r="G158" s="39">
        <v>55</v>
      </c>
      <c r="H158" s="40" t="e">
        <f t="shared" si="45"/>
        <v>#DIV/0!</v>
      </c>
      <c r="I158" s="171">
        <v>56.5</v>
      </c>
      <c r="J158" s="40" t="e">
        <f t="shared" si="46"/>
        <v>#DIV/0!</v>
      </c>
      <c r="K158" s="172">
        <v>59</v>
      </c>
      <c r="L158" s="42" t="e">
        <f t="shared" si="47"/>
        <v>#DIV/0!</v>
      </c>
      <c r="M158" s="172">
        <v>61.5</v>
      </c>
      <c r="N158" s="42" t="e">
        <f t="shared" si="48"/>
        <v>#DIV/0!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1:70" s="6" customFormat="1" x14ac:dyDescent="0.2">
      <c r="A159" t="str">
        <f>IFERROR(_xlfn.XLOOKUP(Sheet1!B159,Sheet2!$A$2:$A$9,Sheet2!$B$2:$B$9),"")</f>
        <v/>
      </c>
      <c r="B159" s="175"/>
      <c r="C159" s="170" t="s">
        <v>122</v>
      </c>
      <c r="D159" s="36"/>
      <c r="E159" s="37"/>
      <c r="F159" s="27"/>
      <c r="G159" s="39">
        <v>47.25</v>
      </c>
      <c r="H159" s="40" t="e">
        <f t="shared" si="45"/>
        <v>#DIV/0!</v>
      </c>
      <c r="I159" s="171">
        <v>48.5</v>
      </c>
      <c r="J159" s="40" t="e">
        <f t="shared" si="46"/>
        <v>#DIV/0!</v>
      </c>
      <c r="K159" s="172">
        <v>50.75</v>
      </c>
      <c r="L159" s="42" t="e">
        <f t="shared" si="47"/>
        <v>#DIV/0!</v>
      </c>
      <c r="M159" s="172">
        <v>53</v>
      </c>
      <c r="N159" s="42" t="e">
        <f t="shared" si="48"/>
        <v>#DIV/0!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1:70" s="6" customFormat="1" x14ac:dyDescent="0.2">
      <c r="A160" t="str">
        <f>IFERROR(_xlfn.XLOOKUP(Sheet1!B160,Sheet2!$A$2:$A$9,Sheet2!$B$2:$B$9),"")</f>
        <v/>
      </c>
      <c r="B160" s="175"/>
      <c r="C160" s="170" t="s">
        <v>123</v>
      </c>
      <c r="D160" s="36"/>
      <c r="E160" s="37"/>
      <c r="F160" s="27"/>
      <c r="G160" s="39">
        <v>38.5</v>
      </c>
      <c r="H160" s="40" t="e">
        <f t="shared" si="45"/>
        <v>#DIV/0!</v>
      </c>
      <c r="I160" s="171">
        <v>39.75</v>
      </c>
      <c r="J160" s="40" t="e">
        <f t="shared" si="46"/>
        <v>#DIV/0!</v>
      </c>
      <c r="K160" s="172">
        <v>41.5</v>
      </c>
      <c r="L160" s="42" t="e">
        <f t="shared" si="47"/>
        <v>#DIV/0!</v>
      </c>
      <c r="M160" s="172">
        <v>43.5</v>
      </c>
      <c r="N160" s="42" t="e">
        <f t="shared" si="48"/>
        <v>#DIV/0!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1:70" s="6" customFormat="1" x14ac:dyDescent="0.2">
      <c r="A161">
        <f>IFERROR(_xlfn.XLOOKUP(Sheet1!B161,Sheet2!$A$2:$A$9,Sheet2!$B$2:$B$9),"")</f>
        <v>7</v>
      </c>
      <c r="B161" s="175" t="s">
        <v>111</v>
      </c>
      <c r="C161" s="170" t="s">
        <v>124</v>
      </c>
      <c r="D161" s="36"/>
      <c r="E161" s="37"/>
      <c r="F161" s="27"/>
      <c r="G161" s="39">
        <v>66.5</v>
      </c>
      <c r="H161" s="40" t="e">
        <f t="shared" si="45"/>
        <v>#DIV/0!</v>
      </c>
      <c r="I161" s="171">
        <v>68.5</v>
      </c>
      <c r="J161" s="40" t="e">
        <f t="shared" si="46"/>
        <v>#DIV/0!</v>
      </c>
      <c r="K161" s="172">
        <v>71.5</v>
      </c>
      <c r="L161" s="42" t="e">
        <f t="shared" si="47"/>
        <v>#DIV/0!</v>
      </c>
      <c r="M161" s="172">
        <v>74.5</v>
      </c>
      <c r="N161" s="42" t="e">
        <f t="shared" si="48"/>
        <v>#DIV/0!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1:70" s="6" customFormat="1" x14ac:dyDescent="0.2">
      <c r="A162">
        <f>IFERROR(_xlfn.XLOOKUP(Sheet1!B162,Sheet2!$A$2:$A$9,Sheet2!$B$2:$B$9),"")</f>
        <v>7</v>
      </c>
      <c r="B162" s="175" t="s">
        <v>111</v>
      </c>
      <c r="C162" s="170" t="s">
        <v>125</v>
      </c>
      <c r="D162" s="36"/>
      <c r="E162" s="37"/>
      <c r="F162" s="27"/>
      <c r="G162" s="39">
        <v>56</v>
      </c>
      <c r="H162" s="40" t="e">
        <f t="shared" si="45"/>
        <v>#DIV/0!</v>
      </c>
      <c r="I162" s="171">
        <v>57.5</v>
      </c>
      <c r="J162" s="40" t="e">
        <f t="shared" si="46"/>
        <v>#DIV/0!</v>
      </c>
      <c r="K162" s="172">
        <v>60</v>
      </c>
      <c r="L162" s="42" t="e">
        <f t="shared" si="47"/>
        <v>#DIV/0!</v>
      </c>
      <c r="M162" s="172">
        <v>62.5</v>
      </c>
      <c r="N162" s="42" t="e">
        <f t="shared" si="48"/>
        <v>#DIV/0!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1:70" s="6" customFormat="1" x14ac:dyDescent="0.2">
      <c r="A163" t="str">
        <f>IFERROR(_xlfn.XLOOKUP(Sheet1!B163,Sheet2!$A$2:$A$9,Sheet2!$B$2:$B$9),"")</f>
        <v/>
      </c>
      <c r="B163" s="175"/>
      <c r="C163" s="170" t="s">
        <v>126</v>
      </c>
      <c r="D163" s="36"/>
      <c r="E163" s="37"/>
      <c r="F163" s="27"/>
      <c r="G163" s="39">
        <v>177</v>
      </c>
      <c r="H163" s="40" t="e">
        <f t="shared" si="45"/>
        <v>#DIV/0!</v>
      </c>
      <c r="I163" s="171">
        <v>182</v>
      </c>
      <c r="J163" s="40" t="e">
        <f t="shared" si="46"/>
        <v>#DIV/0!</v>
      </c>
      <c r="K163" s="172">
        <v>190</v>
      </c>
      <c r="L163" s="42" t="e">
        <f t="shared" si="47"/>
        <v>#DIV/0!</v>
      </c>
      <c r="M163" s="172">
        <v>199</v>
      </c>
      <c r="N163" s="42" t="e">
        <f t="shared" si="48"/>
        <v>#DIV/0!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1:70" x14ac:dyDescent="0.2">
      <c r="A164">
        <f>IFERROR(_xlfn.XLOOKUP(Sheet1!B164,Sheet2!$A$2:$A$9,Sheet2!$B$2:$B$9),"")</f>
        <v>8</v>
      </c>
      <c r="B164" s="180" t="s">
        <v>127</v>
      </c>
      <c r="C164" s="170" t="s">
        <v>128</v>
      </c>
      <c r="D164" s="36"/>
      <c r="E164" s="37"/>
      <c r="F164" s="27"/>
      <c r="G164" s="39">
        <v>6.75</v>
      </c>
      <c r="H164" s="40" t="e">
        <f t="shared" si="45"/>
        <v>#DIV/0!</v>
      </c>
      <c r="I164" s="171">
        <v>7</v>
      </c>
      <c r="J164" s="40" t="e">
        <f t="shared" si="46"/>
        <v>#DIV/0!</v>
      </c>
      <c r="K164" s="172">
        <v>7.25</v>
      </c>
      <c r="L164" s="42" t="e">
        <f t="shared" si="47"/>
        <v>#DIV/0!</v>
      </c>
      <c r="M164" s="172">
        <v>7.5</v>
      </c>
      <c r="N164" s="42" t="e">
        <f t="shared" si="48"/>
        <v>#DIV/0!</v>
      </c>
    </row>
    <row r="165" spans="1:70" x14ac:dyDescent="0.2">
      <c r="A165" t="str">
        <f>IFERROR(_xlfn.XLOOKUP(Sheet1!B165,Sheet2!$A$2:$A$9,Sheet2!$B$2:$B$9),"")</f>
        <v/>
      </c>
      <c r="B165" s="175"/>
      <c r="C165" s="170" t="s">
        <v>129</v>
      </c>
      <c r="D165" s="36"/>
      <c r="E165" s="37"/>
      <c r="F165" s="27"/>
      <c r="G165" s="39">
        <v>7</v>
      </c>
      <c r="H165" s="40" t="e">
        <f t="shared" si="45"/>
        <v>#DIV/0!</v>
      </c>
      <c r="I165" s="171">
        <v>7.25</v>
      </c>
      <c r="J165" s="40" t="e">
        <f t="shared" si="46"/>
        <v>#DIV/0!</v>
      </c>
      <c r="K165" s="172">
        <v>7.5</v>
      </c>
      <c r="L165" s="42" t="e">
        <f t="shared" si="47"/>
        <v>#DIV/0!</v>
      </c>
      <c r="M165" s="172">
        <v>7.75</v>
      </c>
      <c r="N165" s="42" t="e">
        <f t="shared" si="48"/>
        <v>#DIV/0!</v>
      </c>
    </row>
    <row r="166" spans="1:70" x14ac:dyDescent="0.2">
      <c r="A166">
        <f>IFERROR(_xlfn.XLOOKUP(Sheet1!B166,Sheet2!$A$2:$A$9,Sheet2!$B$2:$B$9),"")</f>
        <v>3</v>
      </c>
      <c r="B166" s="174" t="s">
        <v>25</v>
      </c>
      <c r="C166" s="170" t="s">
        <v>130</v>
      </c>
      <c r="D166" s="36"/>
      <c r="E166" s="37"/>
      <c r="F166" s="27"/>
      <c r="G166" s="39">
        <v>59.5</v>
      </c>
      <c r="H166" s="40" t="e">
        <f t="shared" si="45"/>
        <v>#DIV/0!</v>
      </c>
      <c r="I166" s="171">
        <v>61</v>
      </c>
      <c r="J166" s="40" t="e">
        <f t="shared" si="46"/>
        <v>#DIV/0!</v>
      </c>
      <c r="K166" s="172">
        <v>64</v>
      </c>
      <c r="L166" s="42" t="e">
        <f t="shared" si="47"/>
        <v>#DIV/0!</v>
      </c>
      <c r="M166" s="172">
        <v>67</v>
      </c>
      <c r="N166" s="42" t="e">
        <f t="shared" si="48"/>
        <v>#DIV/0!</v>
      </c>
    </row>
    <row r="167" spans="1:70" x14ac:dyDescent="0.2">
      <c r="A167">
        <f>IFERROR(_xlfn.XLOOKUP(Sheet1!B167,Sheet2!$A$2:$A$9,Sheet2!$B$2:$B$9),"")</f>
        <v>1</v>
      </c>
      <c r="B167" s="176" t="s">
        <v>2</v>
      </c>
      <c r="C167" s="170" t="s">
        <v>130</v>
      </c>
      <c r="D167" s="36"/>
      <c r="E167" s="37"/>
      <c r="F167" s="27"/>
      <c r="G167" s="39">
        <v>37.5</v>
      </c>
      <c r="H167" s="40" t="e">
        <f t="shared" si="45"/>
        <v>#DIV/0!</v>
      </c>
      <c r="I167" s="171">
        <v>38.5</v>
      </c>
      <c r="J167" s="40" t="e">
        <f t="shared" si="46"/>
        <v>#DIV/0!</v>
      </c>
      <c r="K167" s="172">
        <v>40.5</v>
      </c>
      <c r="L167" s="42" t="e">
        <f t="shared" si="47"/>
        <v>#DIV/0!</v>
      </c>
      <c r="M167" s="172">
        <v>42</v>
      </c>
      <c r="N167" s="42" t="e">
        <f t="shared" si="48"/>
        <v>#DIV/0!</v>
      </c>
    </row>
    <row r="168" spans="1:70" x14ac:dyDescent="0.2">
      <c r="A168" t="str">
        <f>IFERROR(_xlfn.XLOOKUP(Sheet1!B168,Sheet2!$A$2:$A$9,Sheet2!$B$2:$B$9),"")</f>
        <v/>
      </c>
      <c r="B168" s="175" t="s">
        <v>131</v>
      </c>
      <c r="C168" s="170" t="s">
        <v>132</v>
      </c>
      <c r="D168" s="36"/>
      <c r="E168" s="37"/>
      <c r="F168" s="27"/>
      <c r="G168" s="39"/>
      <c r="H168" s="40" t="e">
        <f t="shared" si="45"/>
        <v>#DIV/0!</v>
      </c>
      <c r="I168" s="171"/>
      <c r="J168" s="40" t="e">
        <f t="shared" si="46"/>
        <v>#DIV/0!</v>
      </c>
      <c r="K168" s="172"/>
      <c r="L168" s="42" t="e">
        <f t="shared" si="47"/>
        <v>#DIV/0!</v>
      </c>
      <c r="M168" s="172"/>
      <c r="N168" s="42" t="e">
        <f t="shared" si="48"/>
        <v>#DIV/0!</v>
      </c>
    </row>
    <row r="169" spans="1:70" ht="17.25" customHeight="1" x14ac:dyDescent="0.2">
      <c r="A169">
        <f>IFERROR(_xlfn.XLOOKUP(Sheet1!B169,Sheet2!$A$2:$A$9,Sheet2!$B$2:$B$9),"")</f>
        <v>4</v>
      </c>
      <c r="B169" s="175" t="s">
        <v>82</v>
      </c>
      <c r="C169" s="170" t="s">
        <v>133</v>
      </c>
      <c r="D169" s="36"/>
      <c r="E169" s="37"/>
      <c r="F169" s="27"/>
      <c r="G169" s="39">
        <v>52</v>
      </c>
      <c r="H169" s="40" t="e">
        <f t="shared" si="45"/>
        <v>#DIV/0!</v>
      </c>
      <c r="I169" s="171">
        <v>53</v>
      </c>
      <c r="J169" s="40" t="e">
        <f t="shared" si="46"/>
        <v>#DIV/0!</v>
      </c>
      <c r="K169" s="172">
        <v>55.5</v>
      </c>
      <c r="L169" s="42" t="e">
        <f t="shared" si="47"/>
        <v>#DIV/0!</v>
      </c>
      <c r="M169" s="172">
        <v>58</v>
      </c>
      <c r="N169" s="42" t="e">
        <f t="shared" si="48"/>
        <v>#DIV/0!</v>
      </c>
    </row>
    <row r="170" spans="1:70" ht="15.5" customHeight="1" x14ac:dyDescent="0.2">
      <c r="A170" t="str">
        <f>IFERROR(_xlfn.XLOOKUP(Sheet1!B170,Sheet2!$A$2:$A$9,Sheet2!$B$2:$B$9),"")</f>
        <v/>
      </c>
      <c r="B170" s="175"/>
      <c r="C170" s="181" t="s">
        <v>134</v>
      </c>
      <c r="D170" s="36"/>
      <c r="E170" s="37"/>
      <c r="F170" s="27"/>
      <c r="G170" s="39">
        <v>475</v>
      </c>
      <c r="H170" s="40" t="e">
        <f>G170/$E170-1</f>
        <v>#DIV/0!</v>
      </c>
      <c r="I170" s="39">
        <v>500</v>
      </c>
      <c r="J170" s="40" t="e">
        <f t="shared" si="46"/>
        <v>#DIV/0!</v>
      </c>
      <c r="K170" s="41">
        <v>535</v>
      </c>
      <c r="L170" s="42" t="e">
        <f t="shared" si="47"/>
        <v>#DIV/0!</v>
      </c>
      <c r="M170" s="41">
        <v>570</v>
      </c>
      <c r="N170" s="42" t="e">
        <f t="shared" si="48"/>
        <v>#DIV/0!</v>
      </c>
    </row>
    <row r="171" spans="1:70" x14ac:dyDescent="0.2">
      <c r="A171" t="str">
        <f>IFERROR(_xlfn.XLOOKUP(Sheet1!B171,Sheet2!$A$2:$A$9,Sheet2!$B$2:$B$9),"")</f>
        <v/>
      </c>
      <c r="B171" s="175"/>
      <c r="C171" s="170" t="s">
        <v>135</v>
      </c>
      <c r="D171" s="36"/>
      <c r="E171" s="37"/>
      <c r="F171" s="27"/>
      <c r="G171" s="39">
        <v>28.5</v>
      </c>
      <c r="H171" s="40" t="e">
        <f t="shared" si="45"/>
        <v>#DIV/0!</v>
      </c>
      <c r="I171" s="39">
        <v>30</v>
      </c>
      <c r="J171" s="40" t="e">
        <f t="shared" si="46"/>
        <v>#DIV/0!</v>
      </c>
      <c r="K171" s="41">
        <v>31</v>
      </c>
      <c r="L171" s="42" t="e">
        <f t="shared" si="47"/>
        <v>#DIV/0!</v>
      </c>
      <c r="M171" s="41">
        <v>32</v>
      </c>
      <c r="N171" s="42" t="e">
        <f t="shared" si="48"/>
        <v>#DIV/0!</v>
      </c>
    </row>
    <row r="172" spans="1:70" x14ac:dyDescent="0.2">
      <c r="A172" t="str">
        <f>IFERROR(_xlfn.XLOOKUP(Sheet1!B172,Sheet2!$A$2:$A$9,Sheet2!$B$2:$B$9),"")</f>
        <v/>
      </c>
      <c r="B172" s="175"/>
      <c r="C172" s="170" t="s">
        <v>136</v>
      </c>
      <c r="D172" s="36"/>
      <c r="E172" s="37"/>
      <c r="F172" s="27"/>
      <c r="G172" s="39">
        <v>53</v>
      </c>
      <c r="H172" s="40" t="e">
        <f t="shared" si="45"/>
        <v>#DIV/0!</v>
      </c>
      <c r="I172" s="39">
        <v>56</v>
      </c>
      <c r="J172" s="40" t="e">
        <f t="shared" si="46"/>
        <v>#DIV/0!</v>
      </c>
      <c r="K172" s="41">
        <v>58</v>
      </c>
      <c r="L172" s="42" t="e">
        <f t="shared" si="47"/>
        <v>#DIV/0!</v>
      </c>
      <c r="M172" s="41">
        <v>60</v>
      </c>
      <c r="N172" s="42" t="e">
        <f t="shared" si="48"/>
        <v>#DIV/0!</v>
      </c>
    </row>
    <row r="173" spans="1:70" x14ac:dyDescent="0.2">
      <c r="A173" t="str">
        <f>IFERROR(_xlfn.XLOOKUP(Sheet1!B173,Sheet2!$A$2:$A$9,Sheet2!$B$2:$B$9),"")</f>
        <v/>
      </c>
      <c r="B173" s="175"/>
      <c r="C173" s="170" t="s">
        <v>137</v>
      </c>
      <c r="D173" s="36"/>
      <c r="E173" s="37"/>
      <c r="F173" s="27"/>
      <c r="G173" s="39">
        <v>118</v>
      </c>
      <c r="H173" s="40" t="e">
        <f t="shared" si="45"/>
        <v>#DIV/0!</v>
      </c>
      <c r="I173" s="39">
        <v>125</v>
      </c>
      <c r="J173" s="40" t="e">
        <f t="shared" si="46"/>
        <v>#DIV/0!</v>
      </c>
      <c r="K173" s="41">
        <v>130</v>
      </c>
      <c r="L173" s="42" t="e">
        <f t="shared" si="47"/>
        <v>#DIV/0!</v>
      </c>
      <c r="M173" s="41">
        <v>135</v>
      </c>
      <c r="N173" s="42" t="e">
        <f t="shared" si="48"/>
        <v>#DIV/0!</v>
      </c>
    </row>
    <row r="174" spans="1:70" ht="16" thickBot="1" x14ac:dyDescent="0.25">
      <c r="A174" t="str">
        <f>IFERROR(_xlfn.XLOOKUP(Sheet1!B174,Sheet2!$A$2:$A$9,Sheet2!$B$2:$B$9),"")</f>
        <v/>
      </c>
      <c r="C174" s="182" t="s">
        <v>138</v>
      </c>
      <c r="D174" s="44"/>
      <c r="E174" s="45"/>
      <c r="F174" s="182"/>
      <c r="G174" s="46">
        <v>48</v>
      </c>
      <c r="H174" s="183" t="e">
        <f>G174/$E174-1</f>
        <v>#DIV/0!</v>
      </c>
      <c r="I174" s="46">
        <v>50</v>
      </c>
      <c r="J174" s="47" t="e">
        <f t="shared" si="46"/>
        <v>#DIV/0!</v>
      </c>
      <c r="K174" s="184">
        <v>52</v>
      </c>
      <c r="L174" s="49" t="e">
        <f t="shared" si="47"/>
        <v>#DIV/0!</v>
      </c>
      <c r="M174" s="184">
        <v>54</v>
      </c>
      <c r="N174" s="49" t="e">
        <f t="shared" si="48"/>
        <v>#DIV/0!</v>
      </c>
    </row>
  </sheetData>
  <mergeCells count="9">
    <mergeCell ref="G7:H7"/>
    <mergeCell ref="I7:L7"/>
    <mergeCell ref="M7:N7"/>
    <mergeCell ref="O7:P7"/>
    <mergeCell ref="M3:N3"/>
    <mergeCell ref="G6:H6"/>
    <mergeCell ref="I6:J6"/>
    <mergeCell ref="K6:L6"/>
    <mergeCell ref="M6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872B-DCF5-A540-A3FF-1D5752D00686}">
  <dimension ref="A1:B9"/>
  <sheetViews>
    <sheetView zoomScale="140" zoomScaleNormal="140" workbookViewId="0">
      <selection activeCell="B10" sqref="B10"/>
    </sheetView>
  </sheetViews>
  <sheetFormatPr baseColWidth="10" defaultRowHeight="15" x14ac:dyDescent="0.2"/>
  <sheetData>
    <row r="1" spans="1:2" x14ac:dyDescent="0.2">
      <c r="A1" t="s">
        <v>140</v>
      </c>
      <c r="B1" t="s">
        <v>141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25</v>
      </c>
      <c r="B4">
        <v>3</v>
      </c>
    </row>
    <row r="5" spans="1:2" x14ac:dyDescent="0.2">
      <c r="A5" t="s">
        <v>82</v>
      </c>
      <c r="B5">
        <v>4</v>
      </c>
    </row>
    <row r="6" spans="1:2" x14ac:dyDescent="0.2">
      <c r="A6" t="s">
        <v>107</v>
      </c>
      <c r="B6">
        <v>5</v>
      </c>
    </row>
    <row r="7" spans="1:2" x14ac:dyDescent="0.2">
      <c r="A7" t="s">
        <v>104</v>
      </c>
      <c r="B7">
        <v>6</v>
      </c>
    </row>
    <row r="8" spans="1:2" x14ac:dyDescent="0.2">
      <c r="A8" t="s">
        <v>111</v>
      </c>
      <c r="B8">
        <v>7</v>
      </c>
    </row>
    <row r="9" spans="1:2" x14ac:dyDescent="0.2">
      <c r="A9" t="s">
        <v>127</v>
      </c>
      <c r="B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C35A-077A-F44E-B3BD-0C30C4418089}">
  <dimension ref="A1:ET1"/>
  <sheetViews>
    <sheetView tabSelected="1" topLeftCell="EF1" workbookViewId="0">
      <selection activeCell="EP9" sqref="EP9"/>
    </sheetView>
  </sheetViews>
  <sheetFormatPr baseColWidth="10" defaultRowHeight="15" x14ac:dyDescent="0.2"/>
  <cols>
    <col min="1" max="5" width="16.5" bestFit="1" customWidth="1"/>
    <col min="6" max="13" width="21.1640625" bestFit="1" customWidth="1"/>
    <col min="14" max="14" width="22.5" bestFit="1" customWidth="1"/>
    <col min="15" max="22" width="20.1640625" bestFit="1" customWidth="1"/>
    <col min="23" max="24" width="32.83203125" bestFit="1" customWidth="1"/>
    <col min="25" max="25" width="29" bestFit="1" customWidth="1"/>
    <col min="26" max="28" width="33.83203125" bestFit="1" customWidth="1"/>
    <col min="29" max="29" width="33.5" bestFit="1" customWidth="1"/>
    <col min="30" max="31" width="29" bestFit="1" customWidth="1"/>
    <col min="32" max="39" width="27" bestFit="1" customWidth="1"/>
    <col min="40" max="47" width="27.33203125" bestFit="1" customWidth="1"/>
    <col min="48" max="51" width="22.5" bestFit="1" customWidth="1"/>
    <col min="52" max="59" width="27" bestFit="1" customWidth="1"/>
    <col min="60" max="67" width="27.33203125" bestFit="1" customWidth="1"/>
    <col min="68" max="69" width="22.5" bestFit="1" customWidth="1"/>
    <col min="70" max="71" width="25.5" bestFit="1" customWidth="1"/>
    <col min="72" max="72" width="23.5" bestFit="1" customWidth="1"/>
    <col min="73" max="73" width="24.6640625" bestFit="1" customWidth="1"/>
    <col min="74" max="74" width="23.83203125" bestFit="1" customWidth="1"/>
    <col min="75" max="76" width="24.33203125" bestFit="1" customWidth="1"/>
    <col min="77" max="77" width="22.83203125" bestFit="1" customWidth="1"/>
    <col min="78" max="79" width="23.1640625" bestFit="1" customWidth="1"/>
    <col min="80" max="81" width="33.6640625" bestFit="1" customWidth="1"/>
    <col min="82" max="84" width="20.33203125" bestFit="1" customWidth="1"/>
    <col min="85" max="86" width="29.5" bestFit="1" customWidth="1"/>
    <col min="87" max="89" width="20.33203125" bestFit="1" customWidth="1"/>
    <col min="90" max="90" width="18.83203125" bestFit="1" customWidth="1"/>
    <col min="91" max="91" width="19.1640625" bestFit="1" customWidth="1"/>
    <col min="92" max="92" width="14" bestFit="1" customWidth="1"/>
    <col min="93" max="93" width="34.83203125" bestFit="1" customWidth="1"/>
    <col min="94" max="94" width="35.1640625" bestFit="1" customWidth="1"/>
    <col min="95" max="95" width="22.1640625" bestFit="1" customWidth="1"/>
    <col min="96" max="96" width="22.6640625" bestFit="1" customWidth="1"/>
    <col min="97" max="97" width="15.5" bestFit="1" customWidth="1"/>
    <col min="98" max="98" width="14.5" bestFit="1" customWidth="1"/>
    <col min="99" max="99" width="36" bestFit="1" customWidth="1"/>
    <col min="100" max="100" width="17.5" bestFit="1" customWidth="1"/>
    <col min="101" max="101" width="12.83203125" bestFit="1" customWidth="1"/>
    <col min="102" max="102" width="14" bestFit="1" customWidth="1"/>
    <col min="103" max="103" width="11.83203125" bestFit="1" customWidth="1"/>
    <col min="104" max="104" width="14.6640625" bestFit="1" customWidth="1"/>
    <col min="105" max="106" width="19" bestFit="1" customWidth="1"/>
    <col min="107" max="108" width="18" bestFit="1" customWidth="1"/>
    <col min="109" max="109" width="26.6640625" bestFit="1" customWidth="1"/>
    <col min="110" max="110" width="19.6640625" bestFit="1" customWidth="1"/>
    <col min="111" max="111" width="12.6640625" bestFit="1" customWidth="1"/>
    <col min="112" max="112" width="11.6640625" bestFit="1" customWidth="1"/>
    <col min="113" max="113" width="24.83203125" bestFit="1" customWidth="1"/>
    <col min="114" max="114" width="22.6640625" bestFit="1" customWidth="1"/>
    <col min="115" max="115" width="21" bestFit="1" customWidth="1"/>
    <col min="116" max="116" width="22.6640625" bestFit="1" customWidth="1"/>
    <col min="117" max="117" width="15.33203125" bestFit="1" customWidth="1"/>
    <col min="118" max="118" width="24.83203125" bestFit="1" customWidth="1"/>
    <col min="119" max="119" width="15.33203125" bestFit="1" customWidth="1"/>
    <col min="120" max="120" width="37.5" bestFit="1" customWidth="1"/>
    <col min="121" max="122" width="38" bestFit="1" customWidth="1"/>
    <col min="123" max="124" width="27.1640625" bestFit="1" customWidth="1"/>
    <col min="125" max="126" width="26.33203125" bestFit="1" customWidth="1"/>
    <col min="127" max="128" width="28.1640625" bestFit="1" customWidth="1"/>
    <col min="129" max="130" width="27.83203125" bestFit="1" customWidth="1"/>
    <col min="131" max="133" width="28.6640625" bestFit="1" customWidth="1"/>
    <col min="134" max="136" width="25.1640625" bestFit="1" customWidth="1"/>
    <col min="137" max="137" width="19.83203125" bestFit="1" customWidth="1"/>
    <col min="138" max="138" width="22" bestFit="1" customWidth="1"/>
    <col min="139" max="139" width="28.83203125" bestFit="1" customWidth="1"/>
    <col min="140" max="141" width="15.5" bestFit="1" customWidth="1"/>
    <col min="142" max="143" width="10.5" bestFit="1" customWidth="1"/>
    <col min="144" max="144" width="13.83203125" bestFit="1" customWidth="1"/>
    <col min="145" max="145" width="15.33203125" bestFit="1" customWidth="1"/>
    <col min="146" max="146" width="30.5" bestFit="1" customWidth="1"/>
    <col min="147" max="149" width="23.5" bestFit="1" customWidth="1"/>
    <col min="150" max="150" width="40.33203125" bestFit="1" customWidth="1"/>
  </cols>
  <sheetData>
    <row r="1" spans="1:150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s="193" t="s">
        <v>26</v>
      </c>
      <c r="X1" s="193" t="s">
        <v>27</v>
      </c>
      <c r="Y1" s="193" t="s">
        <v>28</v>
      </c>
      <c r="Z1" s="193" t="s">
        <v>29</v>
      </c>
      <c r="AA1" s="193" t="s">
        <v>30</v>
      </c>
      <c r="AB1" s="193" t="s">
        <v>30</v>
      </c>
      <c r="AC1" s="193" t="s">
        <v>31</v>
      </c>
      <c r="AD1" s="193" t="s">
        <v>32</v>
      </c>
      <c r="AE1" s="193" t="s">
        <v>28</v>
      </c>
      <c r="AF1" s="194" t="s">
        <v>34</v>
      </c>
      <c r="AG1" s="194" t="s">
        <v>35</v>
      </c>
      <c r="AH1" s="194" t="s">
        <v>36</v>
      </c>
      <c r="AI1" s="194" t="s">
        <v>37</v>
      </c>
      <c r="AJ1" s="194" t="s">
        <v>38</v>
      </c>
      <c r="AK1" s="194" t="s">
        <v>39</v>
      </c>
      <c r="AL1" s="194" t="s">
        <v>40</v>
      </c>
      <c r="AM1" s="194" t="s">
        <v>41</v>
      </c>
      <c r="AN1" s="194" t="s">
        <v>42</v>
      </c>
      <c r="AO1" s="194" t="s">
        <v>43</v>
      </c>
      <c r="AP1" s="194" t="s">
        <v>44</v>
      </c>
      <c r="AQ1" s="194" t="s">
        <v>45</v>
      </c>
      <c r="AR1" s="194" t="s">
        <v>46</v>
      </c>
      <c r="AS1" s="194" t="s">
        <v>47</v>
      </c>
      <c r="AT1" s="194" t="s">
        <v>48</v>
      </c>
      <c r="AU1" s="194" t="s">
        <v>49</v>
      </c>
      <c r="AV1" s="194" t="s">
        <v>50</v>
      </c>
      <c r="AW1" s="194" t="s">
        <v>51</v>
      </c>
      <c r="AX1" s="194" t="s">
        <v>52</v>
      </c>
      <c r="AY1" s="194" t="s">
        <v>53</v>
      </c>
      <c r="AZ1" s="194" t="s">
        <v>34</v>
      </c>
      <c r="BA1" s="194" t="s">
        <v>35</v>
      </c>
      <c r="BB1" s="194" t="s">
        <v>36</v>
      </c>
      <c r="BC1" s="194" t="s">
        <v>37</v>
      </c>
      <c r="BD1" s="194" t="s">
        <v>38</v>
      </c>
      <c r="BE1" s="194" t="s">
        <v>39</v>
      </c>
      <c r="BF1" s="194" t="s">
        <v>40</v>
      </c>
      <c r="BG1" s="194" t="s">
        <v>41</v>
      </c>
      <c r="BH1" s="194" t="s">
        <v>42</v>
      </c>
      <c r="BI1" s="194" t="s">
        <v>43</v>
      </c>
      <c r="BJ1" s="194" t="s">
        <v>44</v>
      </c>
      <c r="BK1" s="194" t="s">
        <v>45</v>
      </c>
      <c r="BL1" s="194" t="s">
        <v>46</v>
      </c>
      <c r="BM1" s="194" t="s">
        <v>47</v>
      </c>
      <c r="BN1" s="194" t="s">
        <v>48</v>
      </c>
      <c r="BO1" s="194" t="s">
        <v>49</v>
      </c>
      <c r="BP1" s="194" t="s">
        <v>52</v>
      </c>
      <c r="BQ1" s="194" t="s">
        <v>53</v>
      </c>
      <c r="BR1" s="194" t="s">
        <v>56</v>
      </c>
      <c r="BS1" s="194" t="s">
        <v>56</v>
      </c>
      <c r="BT1" s="194" t="s">
        <v>57</v>
      </c>
      <c r="BU1" s="194" t="s">
        <v>58</v>
      </c>
      <c r="BV1" s="194" t="s">
        <v>59</v>
      </c>
      <c r="BW1" s="194" t="s">
        <v>60</v>
      </c>
      <c r="BX1" s="194" t="s">
        <v>60</v>
      </c>
      <c r="BY1" s="194" t="s">
        <v>61</v>
      </c>
      <c r="BZ1" s="194" t="s">
        <v>62</v>
      </c>
      <c r="CA1" s="194" t="s">
        <v>63</v>
      </c>
      <c r="CB1" s="194" t="s">
        <v>64</v>
      </c>
      <c r="CC1" s="194" t="s">
        <v>64</v>
      </c>
      <c r="CD1" s="194" t="s">
        <v>66</v>
      </c>
      <c r="CE1" s="194" t="s">
        <v>67</v>
      </c>
      <c r="CF1" s="194" t="s">
        <v>68</v>
      </c>
      <c r="CG1" s="194" t="s">
        <v>69</v>
      </c>
      <c r="CH1" s="194" t="s">
        <v>70</v>
      </c>
      <c r="CI1" s="195" t="s">
        <v>66</v>
      </c>
      <c r="CJ1" s="195" t="s">
        <v>67</v>
      </c>
      <c r="CK1" s="195" t="s">
        <v>68</v>
      </c>
      <c r="CL1" s="197" t="s">
        <v>77</v>
      </c>
      <c r="CM1" s="197" t="s">
        <v>78</v>
      </c>
      <c r="CN1" s="197" t="s">
        <v>79</v>
      </c>
      <c r="CO1" s="197" t="s">
        <v>162</v>
      </c>
      <c r="CP1" s="197" t="s">
        <v>163</v>
      </c>
      <c r="CQ1" s="197" t="s">
        <v>83</v>
      </c>
      <c r="CR1" s="197" t="s">
        <v>84</v>
      </c>
      <c r="CS1" s="197" t="s">
        <v>85</v>
      </c>
      <c r="CT1" s="197" t="s">
        <v>86</v>
      </c>
      <c r="CU1" s="197" t="s">
        <v>164</v>
      </c>
      <c r="CV1" s="197" t="s">
        <v>88</v>
      </c>
      <c r="CW1" s="197" t="s">
        <v>89</v>
      </c>
      <c r="CX1" s="197" t="s">
        <v>90</v>
      </c>
      <c r="CY1" s="197" t="s">
        <v>91</v>
      </c>
      <c r="CZ1" s="197" t="s">
        <v>92</v>
      </c>
      <c r="DA1" s="199" t="s">
        <v>93</v>
      </c>
      <c r="DB1" s="199" t="s">
        <v>94</v>
      </c>
      <c r="DC1" s="199" t="s">
        <v>95</v>
      </c>
      <c r="DD1" s="199" t="s">
        <v>96</v>
      </c>
      <c r="DE1" s="199" t="s">
        <v>97</v>
      </c>
      <c r="DF1" s="199" t="s">
        <v>98</v>
      </c>
      <c r="DG1" s="199" t="s">
        <v>99</v>
      </c>
      <c r="DH1" s="199" t="s">
        <v>100</v>
      </c>
      <c r="DI1" s="199" t="s">
        <v>160</v>
      </c>
      <c r="DJ1" s="196" t="s">
        <v>102</v>
      </c>
      <c r="DK1" s="196" t="s">
        <v>103</v>
      </c>
      <c r="DL1" s="196" t="s">
        <v>102</v>
      </c>
      <c r="DM1" s="196" t="s">
        <v>105</v>
      </c>
      <c r="DN1" s="196" t="s">
        <v>161</v>
      </c>
      <c r="DO1" s="196" t="s">
        <v>105</v>
      </c>
      <c r="DP1" s="196" t="s">
        <v>108</v>
      </c>
      <c r="DQ1" s="196" t="s">
        <v>109</v>
      </c>
      <c r="DR1" s="196" t="s">
        <v>110</v>
      </c>
      <c r="DS1" s="196" t="s">
        <v>112</v>
      </c>
      <c r="DT1" s="196" t="s">
        <v>113</v>
      </c>
      <c r="DU1" s="196" t="s">
        <v>114</v>
      </c>
      <c r="DV1" s="196" t="s">
        <v>114</v>
      </c>
      <c r="DW1" s="196" t="s">
        <v>115</v>
      </c>
      <c r="DX1" s="196" t="s">
        <v>116</v>
      </c>
      <c r="DY1" s="196" t="s">
        <v>117</v>
      </c>
      <c r="DZ1" s="196" t="s">
        <v>117</v>
      </c>
      <c r="EA1" s="196" t="s">
        <v>118</v>
      </c>
      <c r="EB1" s="196" t="s">
        <v>119</v>
      </c>
      <c r="EC1" s="196" t="s">
        <v>120</v>
      </c>
      <c r="ED1" s="196" t="s">
        <v>121</v>
      </c>
      <c r="EE1" s="196" t="s">
        <v>122</v>
      </c>
      <c r="EF1" s="196" t="s">
        <v>123</v>
      </c>
      <c r="EG1" s="196" t="s">
        <v>124</v>
      </c>
      <c r="EH1" s="196" t="s">
        <v>125</v>
      </c>
      <c r="EI1" s="196" t="s">
        <v>126</v>
      </c>
      <c r="EJ1" s="196" t="s">
        <v>128</v>
      </c>
      <c r="EK1" s="196" t="s">
        <v>129</v>
      </c>
      <c r="EL1" s="196" t="s">
        <v>130</v>
      </c>
      <c r="EM1" s="196" t="s">
        <v>130</v>
      </c>
      <c r="EN1" s="196" t="s">
        <v>132</v>
      </c>
      <c r="EO1" s="196" t="s">
        <v>133</v>
      </c>
      <c r="EP1" s="200" t="s">
        <v>134</v>
      </c>
      <c r="EQ1" s="200" t="s">
        <v>135</v>
      </c>
      <c r="ER1" s="200" t="s">
        <v>136</v>
      </c>
      <c r="ES1" s="200" t="s">
        <v>137</v>
      </c>
      <c r="ET1" s="20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MKT_INTERNET04</dc:creator>
  <cp:lastModifiedBy>Paphatsara Phuengkasem</cp:lastModifiedBy>
  <dcterms:created xsi:type="dcterms:W3CDTF">2026-04-24T03:20:08Z</dcterms:created>
  <dcterms:modified xsi:type="dcterms:W3CDTF">2026-05-08T06:12:30Z</dcterms:modified>
</cp:coreProperties>
</file>