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ireen Jrk\Downloads\"/>
    </mc:Choice>
  </mc:AlternateContent>
  <xr:revisionPtr revIDLastSave="0" documentId="8_{D111CFD2-FA7B-4ED7-BAA1-63D37BC91730}" xr6:coauthVersionLast="47" xr6:coauthVersionMax="47" xr10:uidLastSave="{00000000-0000-0000-0000-000000000000}"/>
  <bookViews>
    <workbookView xWindow="-96" yWindow="0" windowWidth="11712" windowHeight="13776" tabRatio="908" activeTab="2" xr2:uid="{00000000-000D-0000-FFFF-FFFF00000000}"/>
  </bookViews>
  <sheets>
    <sheet name="C-Line_BKK-C-E_16 May" sheetId="13" r:id="rId1"/>
    <sheet name="C-Line_N-NE-S_16 May" sheetId="20" r:id="rId2"/>
    <sheet name="Ref." sheetId="21" r:id="rId3"/>
  </sheets>
  <definedNames>
    <definedName name="_xlnm._FilterDatabase" localSheetId="0" hidden="1">'C-Line_BKK-C-E_16 May'!$A$7:$W$7</definedName>
    <definedName name="_xlnm._FilterDatabase" localSheetId="1" hidden="1">'C-Line_N-NE-S_16 May'!$A$7:$W$7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4" i="20" l="1"/>
  <c r="M174" i="20"/>
  <c r="K174" i="20"/>
  <c r="I174" i="20"/>
  <c r="G174" i="20"/>
  <c r="C174" i="20"/>
  <c r="O173" i="20"/>
  <c r="M173" i="20"/>
  <c r="K173" i="20"/>
  <c r="I173" i="20"/>
  <c r="G173" i="20"/>
  <c r="C173" i="20"/>
  <c r="O172" i="20"/>
  <c r="M172" i="20"/>
  <c r="K172" i="20"/>
  <c r="I172" i="20"/>
  <c r="G172" i="20"/>
  <c r="C172" i="20"/>
  <c r="O171" i="20"/>
  <c r="M171" i="20"/>
  <c r="K171" i="20"/>
  <c r="I171" i="20"/>
  <c r="G171" i="20"/>
  <c r="C171" i="20"/>
  <c r="O170" i="20"/>
  <c r="M170" i="20"/>
  <c r="K170" i="20"/>
  <c r="I170" i="20"/>
  <c r="G170" i="20"/>
  <c r="C170" i="20"/>
  <c r="O169" i="20"/>
  <c r="M169" i="20"/>
  <c r="K169" i="20"/>
  <c r="I169" i="20"/>
  <c r="G169" i="20"/>
  <c r="C169" i="20"/>
  <c r="O168" i="20"/>
  <c r="M168" i="20"/>
  <c r="K168" i="20"/>
  <c r="I168" i="20"/>
  <c r="G168" i="20"/>
  <c r="O167" i="20"/>
  <c r="M167" i="20"/>
  <c r="K167" i="20"/>
  <c r="I167" i="20"/>
  <c r="G167" i="20"/>
  <c r="C167" i="20"/>
  <c r="O166" i="20"/>
  <c r="M166" i="20"/>
  <c r="K166" i="20"/>
  <c r="I166" i="20"/>
  <c r="G166" i="20"/>
  <c r="C166" i="20"/>
  <c r="O165" i="20"/>
  <c r="M165" i="20"/>
  <c r="K165" i="20"/>
  <c r="I165" i="20"/>
  <c r="G165" i="20"/>
  <c r="C165" i="20"/>
  <c r="O164" i="20"/>
  <c r="M164" i="20"/>
  <c r="K164" i="20"/>
  <c r="I164" i="20"/>
  <c r="G164" i="20"/>
  <c r="C164" i="20"/>
  <c r="O163" i="20"/>
  <c r="M163" i="20"/>
  <c r="K163" i="20"/>
  <c r="I163" i="20"/>
  <c r="G163" i="20"/>
  <c r="C163" i="20"/>
  <c r="O162" i="20"/>
  <c r="M162" i="20"/>
  <c r="K162" i="20"/>
  <c r="I162" i="20"/>
  <c r="G162" i="20"/>
  <c r="C162" i="20"/>
  <c r="O161" i="20"/>
  <c r="M161" i="20"/>
  <c r="K161" i="20"/>
  <c r="I161" i="20"/>
  <c r="G161" i="20"/>
  <c r="C161" i="20"/>
  <c r="O160" i="20"/>
  <c r="M160" i="20"/>
  <c r="K160" i="20"/>
  <c r="I160" i="20"/>
  <c r="G160" i="20"/>
  <c r="C160" i="20"/>
  <c r="O159" i="20"/>
  <c r="M159" i="20"/>
  <c r="K159" i="20"/>
  <c r="I159" i="20"/>
  <c r="G159" i="20"/>
  <c r="C159" i="20"/>
  <c r="O158" i="20"/>
  <c r="M158" i="20"/>
  <c r="K158" i="20"/>
  <c r="I158" i="20"/>
  <c r="G158" i="20"/>
  <c r="C158" i="20"/>
  <c r="O157" i="20"/>
  <c r="M157" i="20"/>
  <c r="K157" i="20"/>
  <c r="I157" i="20"/>
  <c r="G157" i="20"/>
  <c r="C157" i="20"/>
  <c r="O156" i="20"/>
  <c r="M156" i="20"/>
  <c r="K156" i="20"/>
  <c r="I156" i="20"/>
  <c r="G156" i="20"/>
  <c r="C156" i="20"/>
  <c r="O155" i="20"/>
  <c r="M155" i="20"/>
  <c r="K155" i="20"/>
  <c r="I155" i="20"/>
  <c r="G155" i="20"/>
  <c r="C155" i="20"/>
  <c r="O154" i="20"/>
  <c r="M154" i="20"/>
  <c r="K154" i="20"/>
  <c r="I154" i="20"/>
  <c r="G154" i="20"/>
  <c r="C154" i="20"/>
  <c r="O153" i="20"/>
  <c r="M153" i="20"/>
  <c r="K153" i="20"/>
  <c r="I153" i="20"/>
  <c r="G153" i="20"/>
  <c r="C153" i="20"/>
  <c r="O152" i="20"/>
  <c r="M152" i="20"/>
  <c r="K152" i="20"/>
  <c r="I152" i="20"/>
  <c r="G152" i="20"/>
  <c r="C152" i="20"/>
  <c r="O151" i="20"/>
  <c r="M151" i="20"/>
  <c r="K151" i="20"/>
  <c r="I151" i="20"/>
  <c r="G151" i="20"/>
  <c r="C151" i="20"/>
  <c r="O150" i="20"/>
  <c r="M150" i="20"/>
  <c r="K150" i="20"/>
  <c r="I150" i="20"/>
  <c r="G150" i="20"/>
  <c r="C150" i="20"/>
  <c r="O149" i="20"/>
  <c r="M149" i="20"/>
  <c r="K149" i="20"/>
  <c r="I149" i="20"/>
  <c r="G149" i="20"/>
  <c r="C149" i="20"/>
  <c r="O148" i="20"/>
  <c r="M148" i="20"/>
  <c r="K148" i="20"/>
  <c r="I148" i="20"/>
  <c r="G148" i="20"/>
  <c r="C148" i="20"/>
  <c r="O147" i="20"/>
  <c r="M147" i="20"/>
  <c r="K147" i="20"/>
  <c r="I147" i="20"/>
  <c r="G147" i="20"/>
  <c r="C147" i="20"/>
  <c r="O146" i="20"/>
  <c r="M146" i="20"/>
  <c r="K146" i="20"/>
  <c r="I146" i="20"/>
  <c r="G146" i="20"/>
  <c r="C146" i="20"/>
  <c r="O145" i="20"/>
  <c r="M145" i="20"/>
  <c r="K145" i="20"/>
  <c r="I145" i="20"/>
  <c r="G145" i="20"/>
  <c r="C145" i="20"/>
  <c r="O144" i="20"/>
  <c r="M144" i="20"/>
  <c r="K144" i="20"/>
  <c r="I144" i="20"/>
  <c r="G144" i="20"/>
  <c r="C144" i="20"/>
  <c r="O143" i="20"/>
  <c r="M143" i="20"/>
  <c r="K143" i="20"/>
  <c r="I143" i="20"/>
  <c r="G143" i="20"/>
  <c r="C143" i="20"/>
  <c r="O142" i="20"/>
  <c r="M142" i="20"/>
  <c r="K142" i="20"/>
  <c r="I142" i="20"/>
  <c r="G142" i="20"/>
  <c r="C142" i="20"/>
  <c r="O141" i="20"/>
  <c r="M141" i="20"/>
  <c r="K141" i="20"/>
  <c r="I141" i="20"/>
  <c r="G141" i="20"/>
  <c r="C141" i="20"/>
  <c r="O140" i="20"/>
  <c r="M140" i="20"/>
  <c r="K140" i="20"/>
  <c r="I140" i="20"/>
  <c r="G140" i="20"/>
  <c r="C140" i="20"/>
  <c r="O139" i="20"/>
  <c r="M139" i="20"/>
  <c r="K139" i="20"/>
  <c r="I139" i="20"/>
  <c r="G139" i="20"/>
  <c r="C139" i="20"/>
  <c r="O138" i="20"/>
  <c r="M138" i="20"/>
  <c r="K138" i="20"/>
  <c r="I138" i="20"/>
  <c r="G138" i="20"/>
  <c r="C138" i="20"/>
  <c r="O137" i="20"/>
  <c r="M137" i="20"/>
  <c r="K137" i="20"/>
  <c r="I137" i="20"/>
  <c r="G137" i="20"/>
  <c r="C137" i="20"/>
  <c r="O136" i="20"/>
  <c r="M136" i="20"/>
  <c r="K136" i="20"/>
  <c r="I136" i="20"/>
  <c r="G136" i="20"/>
  <c r="C136" i="20"/>
  <c r="O135" i="20"/>
  <c r="M135" i="20"/>
  <c r="K135" i="20"/>
  <c r="I135" i="20"/>
  <c r="G135" i="20"/>
  <c r="C135" i="20"/>
  <c r="O134" i="20"/>
  <c r="M134" i="20"/>
  <c r="K134" i="20"/>
  <c r="I134" i="20"/>
  <c r="G134" i="20"/>
  <c r="C134" i="20"/>
  <c r="O133" i="20"/>
  <c r="M133" i="20"/>
  <c r="K133" i="20"/>
  <c r="I133" i="20"/>
  <c r="G133" i="20"/>
  <c r="C133" i="20"/>
  <c r="O132" i="20"/>
  <c r="M132" i="20"/>
  <c r="K132" i="20"/>
  <c r="I132" i="20"/>
  <c r="G132" i="20"/>
  <c r="C132" i="20"/>
  <c r="O131" i="20"/>
  <c r="M131" i="20"/>
  <c r="K131" i="20"/>
  <c r="I131" i="20"/>
  <c r="G131" i="20"/>
  <c r="C131" i="20"/>
  <c r="O130" i="20"/>
  <c r="M130" i="20"/>
  <c r="K130" i="20"/>
  <c r="I130" i="20"/>
  <c r="G130" i="20"/>
  <c r="C130" i="20"/>
  <c r="O129" i="20"/>
  <c r="M129" i="20"/>
  <c r="K129" i="20"/>
  <c r="I129" i="20"/>
  <c r="G129" i="20"/>
  <c r="C129" i="20"/>
  <c r="O128" i="20"/>
  <c r="M128" i="20"/>
  <c r="K128" i="20"/>
  <c r="I128" i="20"/>
  <c r="G128" i="20"/>
  <c r="C128" i="20"/>
  <c r="O127" i="20"/>
  <c r="M127" i="20"/>
  <c r="K127" i="20"/>
  <c r="I127" i="20"/>
  <c r="G127" i="20"/>
  <c r="C127" i="20"/>
  <c r="O126" i="20"/>
  <c r="M126" i="20"/>
  <c r="K126" i="20"/>
  <c r="I126" i="20"/>
  <c r="G126" i="20"/>
  <c r="C126" i="20"/>
  <c r="O125" i="20"/>
  <c r="M125" i="20"/>
  <c r="K125" i="20"/>
  <c r="I125" i="20"/>
  <c r="G125" i="20"/>
  <c r="C125" i="20"/>
  <c r="O124" i="20"/>
  <c r="M124" i="20"/>
  <c r="K124" i="20"/>
  <c r="I124" i="20"/>
  <c r="G124" i="20"/>
  <c r="C124" i="20"/>
  <c r="O123" i="20"/>
  <c r="M123" i="20"/>
  <c r="K123" i="20"/>
  <c r="I123" i="20"/>
  <c r="G123" i="20"/>
  <c r="C123" i="20"/>
  <c r="O122" i="20"/>
  <c r="M122" i="20"/>
  <c r="K122" i="20"/>
  <c r="I122" i="20"/>
  <c r="G122" i="20"/>
  <c r="C122" i="20"/>
  <c r="O121" i="20"/>
  <c r="M121" i="20"/>
  <c r="K121" i="20"/>
  <c r="I121" i="20"/>
  <c r="G121" i="20"/>
  <c r="C121" i="20"/>
  <c r="O120" i="20"/>
  <c r="M120" i="20"/>
  <c r="K120" i="20"/>
  <c r="I120" i="20"/>
  <c r="G120" i="20"/>
  <c r="C120" i="20"/>
  <c r="O119" i="20"/>
  <c r="M119" i="20"/>
  <c r="K119" i="20"/>
  <c r="I119" i="20"/>
  <c r="G119" i="20"/>
  <c r="C119" i="20"/>
  <c r="O118" i="20"/>
  <c r="M118" i="20"/>
  <c r="K118" i="20"/>
  <c r="I118" i="20"/>
  <c r="G118" i="20"/>
  <c r="C118" i="20"/>
  <c r="O117" i="20"/>
  <c r="M117" i="20"/>
  <c r="K117" i="20"/>
  <c r="I117" i="20"/>
  <c r="G117" i="20"/>
  <c r="C117" i="20"/>
  <c r="O116" i="20"/>
  <c r="M116" i="20"/>
  <c r="K116" i="20"/>
  <c r="I116" i="20"/>
  <c r="G116" i="20"/>
  <c r="C116" i="20"/>
  <c r="O115" i="20"/>
  <c r="M115" i="20"/>
  <c r="K115" i="20"/>
  <c r="I115" i="20"/>
  <c r="G115" i="20"/>
  <c r="C115" i="20"/>
  <c r="O114" i="20"/>
  <c r="M114" i="20"/>
  <c r="K114" i="20"/>
  <c r="I114" i="20"/>
  <c r="G114" i="20"/>
  <c r="C114" i="20"/>
  <c r="O112" i="20"/>
  <c r="M112" i="20"/>
  <c r="K112" i="20"/>
  <c r="I112" i="20"/>
  <c r="G112" i="20"/>
  <c r="C112" i="20"/>
  <c r="O111" i="20"/>
  <c r="M111" i="20"/>
  <c r="K111" i="20"/>
  <c r="I111" i="20"/>
  <c r="G111" i="20"/>
  <c r="C111" i="20"/>
  <c r="O110" i="20"/>
  <c r="M110" i="20"/>
  <c r="K110" i="20"/>
  <c r="I110" i="20"/>
  <c r="G110" i="20"/>
  <c r="C110" i="20"/>
  <c r="O107" i="20"/>
  <c r="M107" i="20"/>
  <c r="K107" i="20"/>
  <c r="I107" i="20"/>
  <c r="G107" i="20"/>
  <c r="O106" i="20"/>
  <c r="M106" i="20"/>
  <c r="K106" i="20"/>
  <c r="I106" i="20"/>
  <c r="G106" i="20"/>
  <c r="O105" i="20"/>
  <c r="M105" i="20"/>
  <c r="K105" i="20"/>
  <c r="I105" i="20"/>
  <c r="G105" i="20"/>
  <c r="O102" i="20"/>
  <c r="M102" i="20"/>
  <c r="K102" i="20"/>
  <c r="I102" i="20"/>
  <c r="O101" i="20"/>
  <c r="M101" i="20"/>
  <c r="K101" i="20"/>
  <c r="I101" i="20"/>
  <c r="O100" i="20"/>
  <c r="M100" i="20"/>
  <c r="K100" i="20"/>
  <c r="I100" i="20"/>
  <c r="O99" i="20"/>
  <c r="M99" i="20"/>
  <c r="K99" i="20"/>
  <c r="I99" i="20"/>
  <c r="O98" i="20"/>
  <c r="M98" i="20"/>
  <c r="K98" i="20"/>
  <c r="I98" i="20"/>
  <c r="O95" i="20"/>
  <c r="M95" i="20"/>
  <c r="K95" i="20"/>
  <c r="I95" i="20"/>
  <c r="G95" i="20"/>
  <c r="C95" i="20"/>
  <c r="O94" i="20"/>
  <c r="M94" i="20"/>
  <c r="K94" i="20"/>
  <c r="I94" i="20"/>
  <c r="G94" i="20"/>
  <c r="C94" i="20"/>
  <c r="G93" i="20"/>
  <c r="G92" i="20"/>
  <c r="G91" i="20"/>
  <c r="O90" i="20"/>
  <c r="M90" i="20"/>
  <c r="K90" i="20"/>
  <c r="I90" i="20"/>
  <c r="G90" i="20"/>
  <c r="C90" i="20"/>
  <c r="O89" i="20"/>
  <c r="M89" i="20"/>
  <c r="K89" i="20"/>
  <c r="I89" i="20"/>
  <c r="G89" i="20"/>
  <c r="C89" i="20"/>
  <c r="G88" i="20"/>
  <c r="G87" i="20"/>
  <c r="G86" i="20"/>
  <c r="O85" i="20"/>
  <c r="M85" i="20"/>
  <c r="K85" i="20"/>
  <c r="I85" i="20"/>
  <c r="G85" i="20"/>
  <c r="C85" i="20"/>
  <c r="O84" i="20"/>
  <c r="M84" i="20"/>
  <c r="K84" i="20"/>
  <c r="I84" i="20"/>
  <c r="G84" i="20"/>
  <c r="C84" i="20"/>
  <c r="O81" i="20"/>
  <c r="M81" i="20"/>
  <c r="K81" i="20"/>
  <c r="I81" i="20"/>
  <c r="G81" i="20"/>
  <c r="C81" i="20"/>
  <c r="O80" i="20"/>
  <c r="M80" i="20"/>
  <c r="K80" i="20"/>
  <c r="I80" i="20"/>
  <c r="G80" i="20"/>
  <c r="C80" i="20"/>
  <c r="O79" i="20"/>
  <c r="M79" i="20"/>
  <c r="K79" i="20"/>
  <c r="I79" i="20"/>
  <c r="G79" i="20"/>
  <c r="C79" i="20"/>
  <c r="O78" i="20"/>
  <c r="M78" i="20"/>
  <c r="K78" i="20"/>
  <c r="I78" i="20"/>
  <c r="G78" i="20"/>
  <c r="C78" i="20"/>
  <c r="O77" i="20"/>
  <c r="M77" i="20"/>
  <c r="K77" i="20"/>
  <c r="I77" i="20"/>
  <c r="G77" i="20"/>
  <c r="C77" i="20"/>
  <c r="O76" i="20"/>
  <c r="M76" i="20"/>
  <c r="K76" i="20"/>
  <c r="I76" i="20"/>
  <c r="G76" i="20"/>
  <c r="C76" i="20"/>
  <c r="O75" i="20"/>
  <c r="M75" i="20"/>
  <c r="K75" i="20"/>
  <c r="I75" i="20"/>
  <c r="G75" i="20"/>
  <c r="C75" i="20"/>
  <c r="O74" i="20"/>
  <c r="M74" i="20"/>
  <c r="K74" i="20"/>
  <c r="I74" i="20"/>
  <c r="G74" i="20"/>
  <c r="C74" i="20"/>
  <c r="O73" i="20"/>
  <c r="M73" i="20"/>
  <c r="K73" i="20"/>
  <c r="I73" i="20"/>
  <c r="G73" i="20"/>
  <c r="C73" i="20"/>
  <c r="O72" i="20"/>
  <c r="M72" i="20"/>
  <c r="K72" i="20"/>
  <c r="I72" i="20"/>
  <c r="G72" i="20"/>
  <c r="C72" i="20"/>
  <c r="O71" i="20"/>
  <c r="M71" i="20"/>
  <c r="K71" i="20"/>
  <c r="I71" i="20"/>
  <c r="G71" i="20"/>
  <c r="C71" i="20"/>
  <c r="O70" i="20"/>
  <c r="M70" i="20"/>
  <c r="K70" i="20"/>
  <c r="I70" i="20"/>
  <c r="G70" i="20"/>
  <c r="C70" i="20"/>
  <c r="O69" i="20"/>
  <c r="M69" i="20"/>
  <c r="K69" i="20"/>
  <c r="I69" i="20"/>
  <c r="G69" i="20"/>
  <c r="C69" i="20"/>
  <c r="O68" i="20"/>
  <c r="M68" i="20"/>
  <c r="K68" i="20"/>
  <c r="I68" i="20"/>
  <c r="G68" i="20"/>
  <c r="C68" i="20"/>
  <c r="O67" i="20"/>
  <c r="M67" i="20"/>
  <c r="K67" i="20"/>
  <c r="I67" i="20"/>
  <c r="G67" i="20"/>
  <c r="C67" i="20"/>
  <c r="O66" i="20"/>
  <c r="M66" i="20"/>
  <c r="K66" i="20"/>
  <c r="I66" i="20"/>
  <c r="G66" i="20"/>
  <c r="C66" i="20"/>
  <c r="O65" i="20"/>
  <c r="M65" i="20"/>
  <c r="K65" i="20"/>
  <c r="I65" i="20"/>
  <c r="G65" i="20"/>
  <c r="C65" i="20"/>
  <c r="O64" i="20"/>
  <c r="M64" i="20"/>
  <c r="K64" i="20"/>
  <c r="I64" i="20"/>
  <c r="G64" i="20"/>
  <c r="C64" i="20"/>
  <c r="O61" i="20"/>
  <c r="M61" i="20"/>
  <c r="K61" i="20"/>
  <c r="I61" i="20"/>
  <c r="G61" i="20"/>
  <c r="C61" i="20"/>
  <c r="O60" i="20"/>
  <c r="M60" i="20"/>
  <c r="K60" i="20"/>
  <c r="I60" i="20"/>
  <c r="G60" i="20"/>
  <c r="C60" i="20"/>
  <c r="O59" i="20"/>
  <c r="M59" i="20"/>
  <c r="K59" i="20"/>
  <c r="I59" i="20"/>
  <c r="G59" i="20"/>
  <c r="C59" i="20"/>
  <c r="O58" i="20"/>
  <c r="M58" i="20"/>
  <c r="K58" i="20"/>
  <c r="I58" i="20"/>
  <c r="G58" i="20"/>
  <c r="C58" i="20"/>
  <c r="O57" i="20"/>
  <c r="M57" i="20"/>
  <c r="K57" i="20"/>
  <c r="I57" i="20"/>
  <c r="G57" i="20"/>
  <c r="C57" i="20"/>
  <c r="O56" i="20"/>
  <c r="M56" i="20"/>
  <c r="K56" i="20"/>
  <c r="I56" i="20"/>
  <c r="G56" i="20"/>
  <c r="C56" i="20"/>
  <c r="O55" i="20"/>
  <c r="M55" i="20"/>
  <c r="K55" i="20"/>
  <c r="I55" i="20"/>
  <c r="G55" i="20"/>
  <c r="C55" i="20"/>
  <c r="O54" i="20"/>
  <c r="M54" i="20"/>
  <c r="K54" i="20"/>
  <c r="I54" i="20"/>
  <c r="G54" i="20"/>
  <c r="C54" i="20"/>
  <c r="O53" i="20"/>
  <c r="M53" i="20"/>
  <c r="K53" i="20"/>
  <c r="I53" i="20"/>
  <c r="G53" i="20"/>
  <c r="C53" i="20"/>
  <c r="O52" i="20"/>
  <c r="M52" i="20"/>
  <c r="K52" i="20"/>
  <c r="I52" i="20"/>
  <c r="G52" i="20"/>
  <c r="C52" i="20"/>
  <c r="O51" i="20"/>
  <c r="M51" i="20"/>
  <c r="K51" i="20"/>
  <c r="I51" i="20"/>
  <c r="G51" i="20"/>
  <c r="C51" i="20"/>
  <c r="O50" i="20"/>
  <c r="M50" i="20"/>
  <c r="K50" i="20"/>
  <c r="I50" i="20"/>
  <c r="G50" i="20"/>
  <c r="C50" i="20"/>
  <c r="O49" i="20"/>
  <c r="M49" i="20"/>
  <c r="K49" i="20"/>
  <c r="I49" i="20"/>
  <c r="G49" i="20"/>
  <c r="C49" i="20"/>
  <c r="O48" i="20"/>
  <c r="M48" i="20"/>
  <c r="K48" i="20"/>
  <c r="I48" i="20"/>
  <c r="G48" i="20"/>
  <c r="C48" i="20"/>
  <c r="O47" i="20"/>
  <c r="M47" i="20"/>
  <c r="K47" i="20"/>
  <c r="I47" i="20"/>
  <c r="G47" i="20"/>
  <c r="C47" i="20"/>
  <c r="O46" i="20"/>
  <c r="M46" i="20"/>
  <c r="K46" i="20"/>
  <c r="I46" i="20"/>
  <c r="G46" i="20"/>
  <c r="C46" i="20"/>
  <c r="O45" i="20"/>
  <c r="M45" i="20"/>
  <c r="K45" i="20"/>
  <c r="I45" i="20"/>
  <c r="G45" i="20"/>
  <c r="C45" i="20"/>
  <c r="O44" i="20"/>
  <c r="M44" i="20"/>
  <c r="K44" i="20"/>
  <c r="I44" i="20"/>
  <c r="G44" i="20"/>
  <c r="C44" i="20"/>
  <c r="O43" i="20"/>
  <c r="M43" i="20"/>
  <c r="K43" i="20"/>
  <c r="I43" i="20"/>
  <c r="G43" i="20"/>
  <c r="C43" i="20"/>
  <c r="O42" i="20"/>
  <c r="M42" i="20"/>
  <c r="K42" i="20"/>
  <c r="I42" i="20"/>
  <c r="G42" i="20"/>
  <c r="C42" i="20"/>
  <c r="O38" i="20"/>
  <c r="M38" i="20"/>
  <c r="K38" i="20"/>
  <c r="I38" i="20"/>
  <c r="G38" i="20"/>
  <c r="C38" i="20"/>
  <c r="O37" i="20"/>
  <c r="M37" i="20"/>
  <c r="K37" i="20"/>
  <c r="I37" i="20"/>
  <c r="G37" i="20"/>
  <c r="C37" i="20"/>
  <c r="O36" i="20"/>
  <c r="M36" i="20"/>
  <c r="K36" i="20"/>
  <c r="I36" i="20"/>
  <c r="G36" i="20"/>
  <c r="C36" i="20"/>
  <c r="O35" i="20"/>
  <c r="M35" i="20"/>
  <c r="K35" i="20"/>
  <c r="I35" i="20"/>
  <c r="G35" i="20"/>
  <c r="C35" i="20"/>
  <c r="O34" i="20"/>
  <c r="M34" i="20"/>
  <c r="K34" i="20"/>
  <c r="I34" i="20"/>
  <c r="G34" i="20"/>
  <c r="C34" i="20"/>
  <c r="O33" i="20"/>
  <c r="M33" i="20"/>
  <c r="K33" i="20"/>
  <c r="I33" i="20"/>
  <c r="G33" i="20"/>
  <c r="C33" i="20"/>
  <c r="O32" i="20"/>
  <c r="M32" i="20"/>
  <c r="K32" i="20"/>
  <c r="I32" i="20"/>
  <c r="G32" i="20"/>
  <c r="C32" i="20"/>
  <c r="O31" i="20"/>
  <c r="M31" i="20"/>
  <c r="K31" i="20"/>
  <c r="I31" i="20"/>
  <c r="G31" i="20"/>
  <c r="C31" i="20"/>
  <c r="O30" i="20"/>
  <c r="M30" i="20"/>
  <c r="K30" i="20"/>
  <c r="I30" i="20"/>
  <c r="G30" i="20"/>
  <c r="C30" i="20"/>
  <c r="U27" i="20"/>
  <c r="T27" i="20"/>
  <c r="S27" i="20"/>
  <c r="R27" i="20"/>
  <c r="Q27" i="20"/>
  <c r="D27" i="20"/>
  <c r="U26" i="20"/>
  <c r="T26" i="20"/>
  <c r="S26" i="20"/>
  <c r="R26" i="20"/>
  <c r="Q26" i="20"/>
  <c r="D26" i="20"/>
  <c r="U25" i="20"/>
  <c r="T25" i="20"/>
  <c r="S25" i="20"/>
  <c r="R25" i="20"/>
  <c r="Q25" i="20"/>
  <c r="D25" i="20"/>
  <c r="U24" i="20"/>
  <c r="T24" i="20"/>
  <c r="S24" i="20"/>
  <c r="R24" i="20"/>
  <c r="Q24" i="20"/>
  <c r="D24" i="20"/>
  <c r="U23" i="20"/>
  <c r="T23" i="20"/>
  <c r="S23" i="20"/>
  <c r="R23" i="20"/>
  <c r="Q23" i="20"/>
  <c r="D23" i="20"/>
  <c r="C23" i="20"/>
  <c r="U22" i="20"/>
  <c r="T22" i="20"/>
  <c r="S22" i="20"/>
  <c r="R22" i="20"/>
  <c r="Q22" i="20"/>
  <c r="D22" i="20"/>
  <c r="U21" i="20"/>
  <c r="T21" i="20"/>
  <c r="S21" i="20"/>
  <c r="R21" i="20"/>
  <c r="Q21" i="20"/>
  <c r="D21" i="20"/>
  <c r="U20" i="20"/>
  <c r="T20" i="20"/>
  <c r="S20" i="20"/>
  <c r="R20" i="20"/>
  <c r="Q20" i="20"/>
  <c r="D20" i="20"/>
  <c r="U17" i="20"/>
  <c r="T17" i="20"/>
  <c r="S17" i="20"/>
  <c r="R17" i="20"/>
  <c r="Q17" i="20"/>
  <c r="D17" i="20"/>
  <c r="U16" i="20"/>
  <c r="T16" i="20"/>
  <c r="S16" i="20"/>
  <c r="R16" i="20"/>
  <c r="Q16" i="20"/>
  <c r="D16" i="20"/>
  <c r="U15" i="20"/>
  <c r="T15" i="20"/>
  <c r="S15" i="20"/>
  <c r="R15" i="20"/>
  <c r="Q15" i="20"/>
  <c r="D15" i="20"/>
  <c r="U14" i="20"/>
  <c r="T14" i="20"/>
  <c r="S14" i="20"/>
  <c r="R14" i="20"/>
  <c r="Q14" i="20"/>
  <c r="D14" i="20"/>
  <c r="C14" i="20"/>
  <c r="U13" i="20"/>
  <c r="T13" i="20"/>
  <c r="S13" i="20"/>
  <c r="R13" i="20"/>
  <c r="Q13" i="20"/>
  <c r="D13" i="20"/>
  <c r="U12" i="20"/>
  <c r="T12" i="20"/>
  <c r="S12" i="20"/>
  <c r="R12" i="20"/>
  <c r="Q12" i="20"/>
  <c r="D12" i="20"/>
  <c r="U11" i="20"/>
  <c r="T11" i="20"/>
  <c r="S11" i="20"/>
  <c r="R11" i="20"/>
  <c r="Q11" i="20"/>
  <c r="D11" i="20"/>
  <c r="U10" i="20"/>
  <c r="T10" i="20"/>
  <c r="S10" i="20"/>
  <c r="R10" i="20"/>
  <c r="Q10" i="20"/>
  <c r="D10" i="20"/>
  <c r="U9" i="20"/>
  <c r="T9" i="20"/>
  <c r="S9" i="20"/>
  <c r="R9" i="20"/>
  <c r="Q9" i="20"/>
  <c r="D9" i="20"/>
  <c r="AD3" i="20"/>
  <c r="AD4" i="20" s="1"/>
  <c r="AC3" i="20"/>
  <c r="AC4" i="20" s="1"/>
  <c r="AB3" i="20"/>
  <c r="AB4" i="20" s="1"/>
  <c r="AA3" i="20"/>
  <c r="AA4" i="20" s="1"/>
  <c r="Z3" i="20"/>
  <c r="Z4" i="20" s="1"/>
  <c r="V3" i="20"/>
  <c r="V4" i="20" s="1"/>
  <c r="U3" i="20"/>
  <c r="U4" i="20" s="1"/>
  <c r="T3" i="20"/>
  <c r="T4" i="20" s="1"/>
  <c r="S3" i="20"/>
  <c r="S4" i="20" s="1"/>
  <c r="R3" i="20"/>
  <c r="R4" i="20" s="1"/>
  <c r="Q9" i="13"/>
  <c r="D20" i="13"/>
  <c r="I20" i="13" s="1"/>
  <c r="AA3" i="13"/>
  <c r="D9" i="13"/>
  <c r="C9" i="13"/>
  <c r="K85" i="13"/>
  <c r="C32" i="13"/>
  <c r="Q20" i="13"/>
  <c r="R17" i="13"/>
  <c r="R9" i="13"/>
  <c r="S3" i="13"/>
  <c r="O9" i="20" l="1"/>
  <c r="G9" i="20"/>
  <c r="I9" i="20"/>
  <c r="O17" i="20"/>
  <c r="G17" i="20"/>
  <c r="I17" i="20"/>
  <c r="O12" i="20"/>
  <c r="G12" i="20"/>
  <c r="I12" i="20"/>
  <c r="O20" i="20"/>
  <c r="I20" i="20"/>
  <c r="K20" i="20"/>
  <c r="O27" i="20"/>
  <c r="K27" i="20"/>
  <c r="I27" i="20"/>
  <c r="O22" i="20"/>
  <c r="I22" i="20"/>
  <c r="K22" i="20"/>
  <c r="O10" i="20"/>
  <c r="G10" i="20"/>
  <c r="I10" i="20"/>
  <c r="O23" i="20"/>
  <c r="I23" i="20"/>
  <c r="K23" i="20"/>
  <c r="O16" i="20"/>
  <c r="G16" i="20"/>
  <c r="I16" i="20"/>
  <c r="O14" i="20"/>
  <c r="G14" i="20"/>
  <c r="I14" i="20"/>
  <c r="K20" i="13"/>
  <c r="O15" i="20"/>
  <c r="G15" i="20"/>
  <c r="I15" i="20"/>
  <c r="O25" i="20"/>
  <c r="K25" i="20"/>
  <c r="I25" i="20"/>
  <c r="O13" i="20"/>
  <c r="G13" i="20"/>
  <c r="I13" i="20"/>
  <c r="O11" i="20"/>
  <c r="G11" i="20"/>
  <c r="I11" i="20"/>
  <c r="O26" i="20"/>
  <c r="K26" i="20"/>
  <c r="I26" i="20"/>
  <c r="O24" i="20"/>
  <c r="I24" i="20"/>
  <c r="K24" i="20"/>
  <c r="O21" i="20"/>
  <c r="I21" i="20"/>
  <c r="K21" i="20"/>
  <c r="C25" i="20"/>
  <c r="C20" i="20"/>
  <c r="C22" i="20"/>
  <c r="C24" i="20"/>
  <c r="C26" i="20"/>
  <c r="C21" i="20"/>
  <c r="C16" i="20"/>
  <c r="C13" i="20"/>
  <c r="C15" i="20"/>
  <c r="C17" i="20"/>
  <c r="C9" i="20"/>
  <c r="C10" i="20"/>
  <c r="C11" i="20"/>
  <c r="C12" i="20"/>
  <c r="C27" i="20"/>
  <c r="G20" i="20"/>
  <c r="G21" i="20"/>
  <c r="G22" i="20"/>
  <c r="G23" i="20"/>
  <c r="G24" i="20"/>
  <c r="G25" i="20"/>
  <c r="G26" i="20"/>
  <c r="G27" i="20"/>
  <c r="K9" i="20"/>
  <c r="K10" i="20"/>
  <c r="K11" i="20"/>
  <c r="K12" i="20"/>
  <c r="K13" i="20"/>
  <c r="K14" i="20"/>
  <c r="K15" i="20"/>
  <c r="K16" i="20"/>
  <c r="K17" i="20"/>
  <c r="M9" i="20"/>
  <c r="M10" i="20"/>
  <c r="M11" i="20"/>
  <c r="M12" i="20"/>
  <c r="M13" i="20"/>
  <c r="M14" i="20"/>
  <c r="M15" i="20"/>
  <c r="M16" i="20"/>
  <c r="M17" i="20"/>
  <c r="M20" i="20"/>
  <c r="M21" i="20"/>
  <c r="M22" i="20"/>
  <c r="M23" i="20"/>
  <c r="M24" i="20"/>
  <c r="M25" i="20"/>
  <c r="M26" i="20"/>
  <c r="M27" i="20"/>
  <c r="M9" i="13" l="1"/>
  <c r="U27" i="13"/>
  <c r="U26" i="13"/>
  <c r="U25" i="13"/>
  <c r="U24" i="13"/>
  <c r="U23" i="13"/>
  <c r="U22" i="13"/>
  <c r="U21" i="13"/>
  <c r="U20" i="13"/>
  <c r="T27" i="13"/>
  <c r="T26" i="13"/>
  <c r="T25" i="13"/>
  <c r="T24" i="13"/>
  <c r="T23" i="13"/>
  <c r="T22" i="13"/>
  <c r="T21" i="13"/>
  <c r="T20" i="13"/>
  <c r="S20" i="13"/>
  <c r="S27" i="13"/>
  <c r="S26" i="13"/>
  <c r="S25" i="13"/>
  <c r="S24" i="13"/>
  <c r="S23" i="13"/>
  <c r="S22" i="13"/>
  <c r="S21" i="13"/>
  <c r="R27" i="13"/>
  <c r="R26" i="13"/>
  <c r="R25" i="13"/>
  <c r="R24" i="13"/>
  <c r="R23" i="13"/>
  <c r="R22" i="13"/>
  <c r="R21" i="13"/>
  <c r="R20" i="13"/>
  <c r="Q27" i="13"/>
  <c r="Q26" i="13"/>
  <c r="Q25" i="13"/>
  <c r="Q24" i="13"/>
  <c r="Q23" i="13"/>
  <c r="Q22" i="13"/>
  <c r="Q21" i="13"/>
  <c r="U17" i="13"/>
  <c r="U16" i="13"/>
  <c r="U15" i="13"/>
  <c r="U14" i="13"/>
  <c r="U13" i="13"/>
  <c r="U12" i="13"/>
  <c r="U11" i="13"/>
  <c r="U10" i="13"/>
  <c r="U9" i="13"/>
  <c r="T17" i="13"/>
  <c r="T16" i="13"/>
  <c r="T15" i="13"/>
  <c r="T14" i="13"/>
  <c r="T13" i="13"/>
  <c r="T12" i="13"/>
  <c r="T11" i="13"/>
  <c r="T10" i="13"/>
  <c r="T9" i="13"/>
  <c r="S17" i="13"/>
  <c r="S16" i="13"/>
  <c r="S15" i="13"/>
  <c r="S14" i="13"/>
  <c r="S13" i="13"/>
  <c r="S12" i="13"/>
  <c r="S11" i="13"/>
  <c r="S10" i="13"/>
  <c r="S9" i="13"/>
  <c r="R16" i="13"/>
  <c r="R15" i="13"/>
  <c r="R14" i="13"/>
  <c r="R13" i="13"/>
  <c r="R12" i="13"/>
  <c r="R11" i="13"/>
  <c r="R10" i="13"/>
  <c r="Q17" i="13"/>
  <c r="Q16" i="13"/>
  <c r="Q15" i="13"/>
  <c r="Q14" i="13"/>
  <c r="Q13" i="13"/>
  <c r="Q12" i="13"/>
  <c r="Q11" i="13"/>
  <c r="Q10" i="13"/>
  <c r="R3" i="13"/>
  <c r="R4" i="13" s="1"/>
  <c r="O174" i="13"/>
  <c r="M174" i="13"/>
  <c r="K174" i="13"/>
  <c r="I174" i="13"/>
  <c r="G174" i="13"/>
  <c r="C174" i="13"/>
  <c r="O173" i="13"/>
  <c r="M173" i="13"/>
  <c r="K173" i="13"/>
  <c r="I173" i="13"/>
  <c r="G173" i="13"/>
  <c r="C173" i="13"/>
  <c r="O172" i="13"/>
  <c r="M172" i="13"/>
  <c r="K172" i="13"/>
  <c r="I172" i="13"/>
  <c r="G172" i="13"/>
  <c r="C172" i="13"/>
  <c r="O171" i="13"/>
  <c r="M171" i="13"/>
  <c r="K171" i="13"/>
  <c r="I171" i="13"/>
  <c r="G171" i="13"/>
  <c r="C171" i="13"/>
  <c r="O170" i="13"/>
  <c r="M170" i="13"/>
  <c r="K170" i="13"/>
  <c r="I170" i="13"/>
  <c r="G170" i="13"/>
  <c r="C170" i="13"/>
  <c r="O169" i="13"/>
  <c r="M169" i="13"/>
  <c r="K169" i="13"/>
  <c r="I169" i="13"/>
  <c r="G169" i="13"/>
  <c r="C169" i="13"/>
  <c r="O168" i="13"/>
  <c r="M168" i="13"/>
  <c r="K168" i="13"/>
  <c r="I168" i="13"/>
  <c r="G168" i="13"/>
  <c r="O167" i="13"/>
  <c r="M167" i="13"/>
  <c r="K167" i="13"/>
  <c r="I167" i="13"/>
  <c r="G167" i="13"/>
  <c r="C167" i="13"/>
  <c r="O166" i="13"/>
  <c r="M166" i="13"/>
  <c r="K166" i="13"/>
  <c r="I166" i="13"/>
  <c r="G166" i="13"/>
  <c r="C166" i="13"/>
  <c r="O165" i="13"/>
  <c r="M165" i="13"/>
  <c r="K165" i="13"/>
  <c r="I165" i="13"/>
  <c r="G165" i="13"/>
  <c r="C165" i="13"/>
  <c r="O164" i="13"/>
  <c r="M164" i="13"/>
  <c r="K164" i="13"/>
  <c r="I164" i="13"/>
  <c r="G164" i="13"/>
  <c r="C164" i="13"/>
  <c r="O163" i="13"/>
  <c r="M163" i="13"/>
  <c r="K163" i="13"/>
  <c r="I163" i="13"/>
  <c r="G163" i="13"/>
  <c r="C163" i="13"/>
  <c r="O162" i="13"/>
  <c r="M162" i="13"/>
  <c r="K162" i="13"/>
  <c r="I162" i="13"/>
  <c r="G162" i="13"/>
  <c r="C162" i="13"/>
  <c r="O161" i="13"/>
  <c r="M161" i="13"/>
  <c r="K161" i="13"/>
  <c r="I161" i="13"/>
  <c r="G161" i="13"/>
  <c r="C161" i="13"/>
  <c r="O160" i="13"/>
  <c r="M160" i="13"/>
  <c r="K160" i="13"/>
  <c r="I160" i="13"/>
  <c r="G160" i="13"/>
  <c r="C160" i="13"/>
  <c r="O159" i="13"/>
  <c r="M159" i="13"/>
  <c r="K159" i="13"/>
  <c r="I159" i="13"/>
  <c r="G159" i="13"/>
  <c r="C159" i="13"/>
  <c r="O158" i="13"/>
  <c r="M158" i="13"/>
  <c r="K158" i="13"/>
  <c r="I158" i="13"/>
  <c r="G158" i="13"/>
  <c r="C158" i="13"/>
  <c r="O157" i="13"/>
  <c r="M157" i="13"/>
  <c r="K157" i="13"/>
  <c r="I157" i="13"/>
  <c r="G157" i="13"/>
  <c r="C157" i="13"/>
  <c r="O156" i="13"/>
  <c r="M156" i="13"/>
  <c r="K156" i="13"/>
  <c r="I156" i="13"/>
  <c r="G156" i="13"/>
  <c r="C156" i="13"/>
  <c r="O155" i="13"/>
  <c r="M155" i="13"/>
  <c r="K155" i="13"/>
  <c r="I155" i="13"/>
  <c r="G155" i="13"/>
  <c r="C155" i="13"/>
  <c r="O154" i="13"/>
  <c r="M154" i="13"/>
  <c r="K154" i="13"/>
  <c r="I154" i="13"/>
  <c r="G154" i="13"/>
  <c r="C154" i="13"/>
  <c r="O153" i="13"/>
  <c r="M153" i="13"/>
  <c r="K153" i="13"/>
  <c r="I153" i="13"/>
  <c r="G153" i="13"/>
  <c r="C153" i="13"/>
  <c r="O152" i="13"/>
  <c r="M152" i="13"/>
  <c r="K152" i="13"/>
  <c r="I152" i="13"/>
  <c r="G152" i="13"/>
  <c r="C152" i="13"/>
  <c r="O151" i="13"/>
  <c r="M151" i="13"/>
  <c r="K151" i="13"/>
  <c r="I151" i="13"/>
  <c r="G151" i="13"/>
  <c r="C151" i="13"/>
  <c r="O150" i="13"/>
  <c r="M150" i="13"/>
  <c r="K150" i="13"/>
  <c r="I150" i="13"/>
  <c r="G150" i="13"/>
  <c r="C150" i="13"/>
  <c r="O149" i="13"/>
  <c r="M149" i="13"/>
  <c r="K149" i="13"/>
  <c r="I149" i="13"/>
  <c r="G149" i="13"/>
  <c r="C149" i="13"/>
  <c r="O148" i="13"/>
  <c r="M148" i="13"/>
  <c r="K148" i="13"/>
  <c r="I148" i="13"/>
  <c r="G148" i="13"/>
  <c r="C148" i="13"/>
  <c r="O147" i="13"/>
  <c r="M147" i="13"/>
  <c r="K147" i="13"/>
  <c r="I147" i="13"/>
  <c r="G147" i="13"/>
  <c r="C147" i="13"/>
  <c r="O146" i="13"/>
  <c r="M146" i="13"/>
  <c r="K146" i="13"/>
  <c r="I146" i="13"/>
  <c r="G146" i="13"/>
  <c r="C146" i="13"/>
  <c r="O145" i="13"/>
  <c r="M145" i="13"/>
  <c r="K145" i="13"/>
  <c r="I145" i="13"/>
  <c r="G145" i="13"/>
  <c r="C145" i="13"/>
  <c r="O144" i="13"/>
  <c r="M144" i="13"/>
  <c r="K144" i="13"/>
  <c r="I144" i="13"/>
  <c r="G144" i="13"/>
  <c r="C144" i="13"/>
  <c r="O143" i="13"/>
  <c r="M143" i="13"/>
  <c r="K143" i="13"/>
  <c r="I143" i="13"/>
  <c r="G143" i="13"/>
  <c r="C143" i="13"/>
  <c r="O142" i="13"/>
  <c r="M142" i="13"/>
  <c r="K142" i="13"/>
  <c r="I142" i="13"/>
  <c r="G142" i="13"/>
  <c r="C142" i="13"/>
  <c r="O141" i="13"/>
  <c r="M141" i="13"/>
  <c r="K141" i="13"/>
  <c r="I141" i="13"/>
  <c r="G141" i="13"/>
  <c r="C141" i="13"/>
  <c r="O140" i="13"/>
  <c r="M140" i="13"/>
  <c r="K140" i="13"/>
  <c r="I140" i="13"/>
  <c r="G140" i="13"/>
  <c r="C140" i="13"/>
  <c r="O139" i="13"/>
  <c r="M139" i="13"/>
  <c r="K139" i="13"/>
  <c r="I139" i="13"/>
  <c r="G139" i="13"/>
  <c r="C139" i="13"/>
  <c r="O138" i="13"/>
  <c r="M138" i="13"/>
  <c r="K138" i="13"/>
  <c r="I138" i="13"/>
  <c r="G138" i="13"/>
  <c r="C138" i="13"/>
  <c r="O137" i="13"/>
  <c r="M137" i="13"/>
  <c r="K137" i="13"/>
  <c r="I137" i="13"/>
  <c r="G137" i="13"/>
  <c r="C137" i="13"/>
  <c r="O136" i="13"/>
  <c r="M136" i="13"/>
  <c r="K136" i="13"/>
  <c r="I136" i="13"/>
  <c r="G136" i="13"/>
  <c r="C136" i="13"/>
  <c r="O135" i="13"/>
  <c r="M135" i="13"/>
  <c r="K135" i="13"/>
  <c r="I135" i="13"/>
  <c r="G135" i="13"/>
  <c r="C135" i="13"/>
  <c r="O134" i="13"/>
  <c r="M134" i="13"/>
  <c r="K134" i="13"/>
  <c r="I134" i="13"/>
  <c r="G134" i="13"/>
  <c r="C134" i="13"/>
  <c r="O133" i="13"/>
  <c r="M133" i="13"/>
  <c r="K133" i="13"/>
  <c r="I133" i="13"/>
  <c r="G133" i="13"/>
  <c r="C133" i="13"/>
  <c r="O132" i="13"/>
  <c r="M132" i="13"/>
  <c r="K132" i="13"/>
  <c r="I132" i="13"/>
  <c r="G132" i="13"/>
  <c r="C132" i="13"/>
  <c r="O131" i="13"/>
  <c r="M131" i="13"/>
  <c r="K131" i="13"/>
  <c r="I131" i="13"/>
  <c r="G131" i="13"/>
  <c r="C131" i="13"/>
  <c r="O130" i="13"/>
  <c r="M130" i="13"/>
  <c r="K130" i="13"/>
  <c r="I130" i="13"/>
  <c r="G130" i="13"/>
  <c r="C130" i="13"/>
  <c r="O129" i="13"/>
  <c r="M129" i="13"/>
  <c r="K129" i="13"/>
  <c r="I129" i="13"/>
  <c r="G129" i="13"/>
  <c r="C129" i="13"/>
  <c r="O128" i="13"/>
  <c r="M128" i="13"/>
  <c r="K128" i="13"/>
  <c r="I128" i="13"/>
  <c r="G128" i="13"/>
  <c r="C128" i="13"/>
  <c r="O127" i="13"/>
  <c r="M127" i="13"/>
  <c r="K127" i="13"/>
  <c r="I127" i="13"/>
  <c r="G127" i="13"/>
  <c r="C127" i="13"/>
  <c r="O126" i="13"/>
  <c r="M126" i="13"/>
  <c r="K126" i="13"/>
  <c r="I126" i="13"/>
  <c r="G126" i="13"/>
  <c r="C126" i="13"/>
  <c r="O125" i="13"/>
  <c r="M125" i="13"/>
  <c r="K125" i="13"/>
  <c r="I125" i="13"/>
  <c r="G125" i="13"/>
  <c r="C125" i="13"/>
  <c r="O124" i="13"/>
  <c r="M124" i="13"/>
  <c r="K124" i="13"/>
  <c r="I124" i="13"/>
  <c r="G124" i="13"/>
  <c r="C124" i="13"/>
  <c r="O123" i="13"/>
  <c r="M123" i="13"/>
  <c r="K123" i="13"/>
  <c r="I123" i="13"/>
  <c r="G123" i="13"/>
  <c r="C123" i="13"/>
  <c r="O122" i="13"/>
  <c r="M122" i="13"/>
  <c r="K122" i="13"/>
  <c r="I122" i="13"/>
  <c r="G122" i="13"/>
  <c r="C122" i="13"/>
  <c r="O121" i="13"/>
  <c r="M121" i="13"/>
  <c r="K121" i="13"/>
  <c r="I121" i="13"/>
  <c r="G121" i="13"/>
  <c r="C121" i="13"/>
  <c r="O120" i="13"/>
  <c r="M120" i="13"/>
  <c r="K120" i="13"/>
  <c r="I120" i="13"/>
  <c r="G120" i="13"/>
  <c r="C120" i="13"/>
  <c r="O119" i="13"/>
  <c r="M119" i="13"/>
  <c r="K119" i="13"/>
  <c r="I119" i="13"/>
  <c r="G119" i="13"/>
  <c r="C119" i="13"/>
  <c r="O118" i="13"/>
  <c r="M118" i="13"/>
  <c r="K118" i="13"/>
  <c r="I118" i="13"/>
  <c r="G118" i="13"/>
  <c r="C118" i="13"/>
  <c r="O117" i="13"/>
  <c r="M117" i="13"/>
  <c r="K117" i="13"/>
  <c r="I117" i="13"/>
  <c r="G117" i="13"/>
  <c r="C117" i="13"/>
  <c r="O116" i="13"/>
  <c r="M116" i="13"/>
  <c r="K116" i="13"/>
  <c r="I116" i="13"/>
  <c r="G116" i="13"/>
  <c r="C116" i="13"/>
  <c r="O115" i="13"/>
  <c r="M115" i="13"/>
  <c r="K115" i="13"/>
  <c r="I115" i="13"/>
  <c r="G115" i="13"/>
  <c r="C115" i="13"/>
  <c r="O114" i="13"/>
  <c r="M114" i="13"/>
  <c r="K114" i="13"/>
  <c r="I114" i="13"/>
  <c r="G114" i="13"/>
  <c r="C114" i="13"/>
  <c r="O112" i="13"/>
  <c r="M112" i="13"/>
  <c r="K112" i="13"/>
  <c r="I112" i="13"/>
  <c r="G112" i="13"/>
  <c r="C112" i="13"/>
  <c r="O111" i="13"/>
  <c r="M111" i="13"/>
  <c r="K111" i="13"/>
  <c r="I111" i="13"/>
  <c r="G111" i="13"/>
  <c r="C111" i="13"/>
  <c r="O110" i="13"/>
  <c r="M110" i="13"/>
  <c r="K110" i="13"/>
  <c r="I110" i="13"/>
  <c r="G110" i="13"/>
  <c r="C110" i="13"/>
  <c r="O107" i="13"/>
  <c r="M107" i="13"/>
  <c r="K107" i="13"/>
  <c r="I107" i="13"/>
  <c r="G107" i="13"/>
  <c r="O106" i="13"/>
  <c r="M106" i="13"/>
  <c r="K106" i="13"/>
  <c r="I106" i="13"/>
  <c r="G106" i="13"/>
  <c r="O105" i="13"/>
  <c r="M105" i="13"/>
  <c r="K105" i="13"/>
  <c r="I105" i="13"/>
  <c r="G105" i="13"/>
  <c r="O102" i="13"/>
  <c r="M102" i="13"/>
  <c r="K102" i="13"/>
  <c r="I102" i="13"/>
  <c r="O101" i="13"/>
  <c r="M101" i="13"/>
  <c r="K101" i="13"/>
  <c r="I101" i="13"/>
  <c r="O100" i="13"/>
  <c r="M100" i="13"/>
  <c r="K100" i="13"/>
  <c r="I100" i="13"/>
  <c r="O99" i="13"/>
  <c r="M99" i="13"/>
  <c r="K99" i="13"/>
  <c r="I99" i="13"/>
  <c r="O98" i="13"/>
  <c r="M98" i="13"/>
  <c r="K98" i="13"/>
  <c r="I98" i="13"/>
  <c r="O95" i="13"/>
  <c r="M95" i="13"/>
  <c r="K95" i="13"/>
  <c r="I95" i="13"/>
  <c r="G95" i="13"/>
  <c r="C95" i="13"/>
  <c r="O94" i="13"/>
  <c r="M94" i="13"/>
  <c r="K94" i="13"/>
  <c r="I94" i="13"/>
  <c r="G94" i="13"/>
  <c r="C94" i="13"/>
  <c r="G93" i="13"/>
  <c r="G92" i="13"/>
  <c r="G91" i="13"/>
  <c r="O90" i="13"/>
  <c r="M90" i="13"/>
  <c r="K90" i="13"/>
  <c r="I90" i="13"/>
  <c r="G90" i="13"/>
  <c r="C90" i="13"/>
  <c r="O89" i="13"/>
  <c r="M89" i="13"/>
  <c r="K89" i="13"/>
  <c r="I89" i="13"/>
  <c r="G89" i="13"/>
  <c r="C89" i="13"/>
  <c r="G88" i="13"/>
  <c r="G87" i="13"/>
  <c r="G86" i="13"/>
  <c r="O85" i="13"/>
  <c r="M85" i="13"/>
  <c r="I85" i="13"/>
  <c r="G85" i="13"/>
  <c r="C85" i="13"/>
  <c r="O84" i="13"/>
  <c r="M84" i="13"/>
  <c r="K84" i="13"/>
  <c r="I84" i="13"/>
  <c r="G84" i="13"/>
  <c r="C84" i="13"/>
  <c r="O81" i="13"/>
  <c r="M81" i="13"/>
  <c r="K81" i="13"/>
  <c r="I81" i="13"/>
  <c r="G81" i="13"/>
  <c r="C81" i="13"/>
  <c r="O80" i="13"/>
  <c r="M80" i="13"/>
  <c r="K80" i="13"/>
  <c r="I80" i="13"/>
  <c r="G80" i="13"/>
  <c r="C80" i="13"/>
  <c r="O79" i="13"/>
  <c r="M79" i="13"/>
  <c r="K79" i="13"/>
  <c r="I79" i="13"/>
  <c r="G79" i="13"/>
  <c r="C79" i="13"/>
  <c r="O78" i="13"/>
  <c r="M78" i="13"/>
  <c r="K78" i="13"/>
  <c r="I78" i="13"/>
  <c r="G78" i="13"/>
  <c r="C78" i="13"/>
  <c r="O77" i="13"/>
  <c r="M77" i="13"/>
  <c r="K77" i="13"/>
  <c r="I77" i="13"/>
  <c r="G77" i="13"/>
  <c r="C77" i="13"/>
  <c r="O76" i="13"/>
  <c r="M76" i="13"/>
  <c r="K76" i="13"/>
  <c r="I76" i="13"/>
  <c r="G76" i="13"/>
  <c r="C76" i="13"/>
  <c r="O75" i="13"/>
  <c r="M75" i="13"/>
  <c r="K75" i="13"/>
  <c r="I75" i="13"/>
  <c r="G75" i="13"/>
  <c r="C75" i="13"/>
  <c r="O74" i="13"/>
  <c r="M74" i="13"/>
  <c r="K74" i="13"/>
  <c r="I74" i="13"/>
  <c r="G74" i="13"/>
  <c r="C74" i="13"/>
  <c r="O73" i="13"/>
  <c r="M73" i="13"/>
  <c r="K73" i="13"/>
  <c r="I73" i="13"/>
  <c r="G73" i="13"/>
  <c r="C73" i="13"/>
  <c r="O72" i="13"/>
  <c r="M72" i="13"/>
  <c r="K72" i="13"/>
  <c r="I72" i="13"/>
  <c r="G72" i="13"/>
  <c r="C72" i="13"/>
  <c r="O71" i="13"/>
  <c r="M71" i="13"/>
  <c r="K71" i="13"/>
  <c r="I71" i="13"/>
  <c r="G71" i="13"/>
  <c r="C71" i="13"/>
  <c r="O70" i="13"/>
  <c r="M70" i="13"/>
  <c r="K70" i="13"/>
  <c r="I70" i="13"/>
  <c r="G70" i="13"/>
  <c r="C70" i="13"/>
  <c r="O69" i="13"/>
  <c r="M69" i="13"/>
  <c r="K69" i="13"/>
  <c r="I69" i="13"/>
  <c r="G69" i="13"/>
  <c r="C69" i="13"/>
  <c r="O68" i="13"/>
  <c r="M68" i="13"/>
  <c r="K68" i="13"/>
  <c r="I68" i="13"/>
  <c r="G68" i="13"/>
  <c r="C68" i="13"/>
  <c r="O67" i="13"/>
  <c r="M67" i="13"/>
  <c r="K67" i="13"/>
  <c r="I67" i="13"/>
  <c r="G67" i="13"/>
  <c r="C67" i="13"/>
  <c r="O66" i="13"/>
  <c r="M66" i="13"/>
  <c r="K66" i="13"/>
  <c r="I66" i="13"/>
  <c r="G66" i="13"/>
  <c r="C66" i="13"/>
  <c r="O65" i="13"/>
  <c r="M65" i="13"/>
  <c r="K65" i="13"/>
  <c r="I65" i="13"/>
  <c r="G65" i="13"/>
  <c r="C65" i="13"/>
  <c r="O64" i="13"/>
  <c r="M64" i="13"/>
  <c r="K64" i="13"/>
  <c r="I64" i="13"/>
  <c r="G64" i="13"/>
  <c r="C64" i="13"/>
  <c r="O61" i="13"/>
  <c r="M61" i="13"/>
  <c r="K61" i="13"/>
  <c r="I61" i="13"/>
  <c r="G61" i="13"/>
  <c r="C61" i="13"/>
  <c r="O60" i="13"/>
  <c r="M60" i="13"/>
  <c r="K60" i="13"/>
  <c r="I60" i="13"/>
  <c r="G60" i="13"/>
  <c r="C60" i="13"/>
  <c r="O59" i="13"/>
  <c r="M59" i="13"/>
  <c r="K59" i="13"/>
  <c r="I59" i="13"/>
  <c r="G59" i="13"/>
  <c r="C59" i="13"/>
  <c r="O58" i="13"/>
  <c r="M58" i="13"/>
  <c r="K58" i="13"/>
  <c r="I58" i="13"/>
  <c r="G58" i="13"/>
  <c r="C58" i="13"/>
  <c r="O57" i="13"/>
  <c r="M57" i="13"/>
  <c r="K57" i="13"/>
  <c r="I57" i="13"/>
  <c r="G57" i="13"/>
  <c r="C57" i="13"/>
  <c r="O56" i="13"/>
  <c r="M56" i="13"/>
  <c r="K56" i="13"/>
  <c r="I56" i="13"/>
  <c r="G56" i="13"/>
  <c r="C56" i="13"/>
  <c r="O55" i="13"/>
  <c r="M55" i="13"/>
  <c r="K55" i="13"/>
  <c r="I55" i="13"/>
  <c r="G55" i="13"/>
  <c r="C55" i="13"/>
  <c r="O54" i="13"/>
  <c r="M54" i="13"/>
  <c r="K54" i="13"/>
  <c r="I54" i="13"/>
  <c r="G54" i="13"/>
  <c r="C54" i="13"/>
  <c r="O53" i="13"/>
  <c r="M53" i="13"/>
  <c r="K53" i="13"/>
  <c r="I53" i="13"/>
  <c r="G53" i="13"/>
  <c r="C53" i="13"/>
  <c r="O52" i="13"/>
  <c r="M52" i="13"/>
  <c r="K52" i="13"/>
  <c r="I52" i="13"/>
  <c r="G52" i="13"/>
  <c r="C52" i="13"/>
  <c r="O51" i="13"/>
  <c r="M51" i="13"/>
  <c r="K51" i="13"/>
  <c r="I51" i="13"/>
  <c r="G51" i="13"/>
  <c r="C51" i="13"/>
  <c r="O50" i="13"/>
  <c r="M50" i="13"/>
  <c r="K50" i="13"/>
  <c r="I50" i="13"/>
  <c r="G50" i="13"/>
  <c r="C50" i="13"/>
  <c r="O49" i="13"/>
  <c r="M49" i="13"/>
  <c r="K49" i="13"/>
  <c r="I49" i="13"/>
  <c r="G49" i="13"/>
  <c r="C49" i="13"/>
  <c r="O48" i="13"/>
  <c r="M48" i="13"/>
  <c r="K48" i="13"/>
  <c r="I48" i="13"/>
  <c r="G48" i="13"/>
  <c r="C48" i="13"/>
  <c r="O47" i="13"/>
  <c r="M47" i="13"/>
  <c r="K47" i="13"/>
  <c r="I47" i="13"/>
  <c r="G47" i="13"/>
  <c r="C47" i="13"/>
  <c r="O46" i="13"/>
  <c r="M46" i="13"/>
  <c r="K46" i="13"/>
  <c r="I46" i="13"/>
  <c r="G46" i="13"/>
  <c r="C46" i="13"/>
  <c r="O45" i="13"/>
  <c r="M45" i="13"/>
  <c r="K45" i="13"/>
  <c r="I45" i="13"/>
  <c r="G45" i="13"/>
  <c r="C45" i="13"/>
  <c r="O44" i="13"/>
  <c r="M44" i="13"/>
  <c r="K44" i="13"/>
  <c r="I44" i="13"/>
  <c r="G44" i="13"/>
  <c r="C44" i="13"/>
  <c r="O43" i="13"/>
  <c r="M43" i="13"/>
  <c r="K43" i="13"/>
  <c r="I43" i="13"/>
  <c r="G43" i="13"/>
  <c r="C43" i="13"/>
  <c r="O42" i="13"/>
  <c r="M42" i="13"/>
  <c r="K42" i="13"/>
  <c r="I42" i="13"/>
  <c r="G42" i="13"/>
  <c r="C42" i="13"/>
  <c r="O38" i="13"/>
  <c r="M38" i="13"/>
  <c r="K38" i="13"/>
  <c r="I38" i="13"/>
  <c r="G38" i="13"/>
  <c r="C38" i="13"/>
  <c r="O37" i="13"/>
  <c r="M37" i="13"/>
  <c r="K37" i="13"/>
  <c r="I37" i="13"/>
  <c r="G37" i="13"/>
  <c r="C37" i="13"/>
  <c r="O36" i="13"/>
  <c r="M36" i="13"/>
  <c r="K36" i="13"/>
  <c r="I36" i="13"/>
  <c r="G36" i="13"/>
  <c r="C36" i="13"/>
  <c r="O35" i="13"/>
  <c r="M35" i="13"/>
  <c r="K35" i="13"/>
  <c r="I35" i="13"/>
  <c r="G35" i="13"/>
  <c r="C35" i="13"/>
  <c r="O34" i="13"/>
  <c r="M34" i="13"/>
  <c r="K34" i="13"/>
  <c r="I34" i="13"/>
  <c r="G34" i="13"/>
  <c r="C34" i="13"/>
  <c r="O33" i="13"/>
  <c r="M33" i="13"/>
  <c r="K33" i="13"/>
  <c r="I33" i="13"/>
  <c r="G33" i="13"/>
  <c r="C33" i="13"/>
  <c r="O32" i="13"/>
  <c r="M32" i="13"/>
  <c r="K32" i="13"/>
  <c r="I32" i="13"/>
  <c r="G32" i="13"/>
  <c r="O31" i="13"/>
  <c r="M31" i="13"/>
  <c r="K31" i="13"/>
  <c r="I31" i="13"/>
  <c r="G31" i="13"/>
  <c r="C31" i="13"/>
  <c r="O30" i="13"/>
  <c r="M30" i="13"/>
  <c r="K30" i="13"/>
  <c r="I30" i="13"/>
  <c r="G30" i="13"/>
  <c r="C30" i="13"/>
  <c r="D27" i="13"/>
  <c r="G27" i="13" s="1"/>
  <c r="C27" i="13"/>
  <c r="D26" i="13"/>
  <c r="D25" i="13"/>
  <c r="D24" i="13"/>
  <c r="D23" i="13"/>
  <c r="D22" i="13"/>
  <c r="D21" i="13"/>
  <c r="O20" i="13"/>
  <c r="M20" i="13"/>
  <c r="G20" i="13"/>
  <c r="D17" i="13"/>
  <c r="C17" i="13" s="1"/>
  <c r="D16" i="13"/>
  <c r="K16" i="13" s="1"/>
  <c r="D15" i="13"/>
  <c r="G15" i="13" s="1"/>
  <c r="D14" i="13"/>
  <c r="O14" i="13" s="1"/>
  <c r="D13" i="13"/>
  <c r="C13" i="13" s="1"/>
  <c r="D12" i="13"/>
  <c r="O12" i="13" s="1"/>
  <c r="D11" i="13"/>
  <c r="M11" i="13" s="1"/>
  <c r="D10" i="13"/>
  <c r="O10" i="13" s="1"/>
  <c r="AD3" i="13"/>
  <c r="AD4" i="13" s="1"/>
  <c r="AC3" i="13"/>
  <c r="AC4" i="13" s="1"/>
  <c r="AB3" i="13"/>
  <c r="AB4" i="13" s="1"/>
  <c r="AA4" i="13"/>
  <c r="Z3" i="13"/>
  <c r="Z4" i="13" s="1"/>
  <c r="V3" i="13"/>
  <c r="V4" i="13" s="1"/>
  <c r="U3" i="13"/>
  <c r="U4" i="13" s="1"/>
  <c r="T3" i="13"/>
  <c r="T4" i="13" s="1"/>
  <c r="S4" i="13"/>
  <c r="O21" i="13" l="1"/>
  <c r="K21" i="13"/>
  <c r="I21" i="13"/>
  <c r="M23" i="13"/>
  <c r="I23" i="13"/>
  <c r="K23" i="13"/>
  <c r="O24" i="13"/>
  <c r="K24" i="13"/>
  <c r="I24" i="13"/>
  <c r="O25" i="13"/>
  <c r="K25" i="13"/>
  <c r="I25" i="13"/>
  <c r="O26" i="13"/>
  <c r="I26" i="13"/>
  <c r="K26" i="13"/>
  <c r="I27" i="13"/>
  <c r="K27" i="13"/>
  <c r="K22" i="13"/>
  <c r="I22" i="13"/>
  <c r="M10" i="13"/>
  <c r="G21" i="13"/>
  <c r="G22" i="13"/>
  <c r="M25" i="13"/>
  <c r="C11" i="13"/>
  <c r="C10" i="13"/>
  <c r="M24" i="13"/>
  <c r="C24" i="13"/>
  <c r="G24" i="13"/>
  <c r="C26" i="13"/>
  <c r="C23" i="13"/>
  <c r="O23" i="13"/>
  <c r="G11" i="13"/>
  <c r="G13" i="13"/>
  <c r="I13" i="13"/>
  <c r="M13" i="13"/>
  <c r="O13" i="13"/>
  <c r="O11" i="13"/>
  <c r="I11" i="13"/>
  <c r="K11" i="13"/>
  <c r="O9" i="13"/>
  <c r="C12" i="13"/>
  <c r="C16" i="13"/>
  <c r="K13" i="13"/>
  <c r="I12" i="13"/>
  <c r="M16" i="13"/>
  <c r="G10" i="13"/>
  <c r="O16" i="13"/>
  <c r="M27" i="13"/>
  <c r="I10" i="13"/>
  <c r="K15" i="13"/>
  <c r="G17" i="13"/>
  <c r="C21" i="13"/>
  <c r="M22" i="13"/>
  <c r="O27" i="13"/>
  <c r="K10" i="13"/>
  <c r="G12" i="13"/>
  <c r="C14" i="13"/>
  <c r="M15" i="13"/>
  <c r="I17" i="13"/>
  <c r="O22" i="13"/>
  <c r="G26" i="13"/>
  <c r="O15" i="13"/>
  <c r="K17" i="13"/>
  <c r="I15" i="13"/>
  <c r="K12" i="13"/>
  <c r="G14" i="13"/>
  <c r="M17" i="13"/>
  <c r="G9" i="13"/>
  <c r="M12" i="13"/>
  <c r="I14" i="13"/>
  <c r="O17" i="13"/>
  <c r="G23" i="13"/>
  <c r="C25" i="13"/>
  <c r="M26" i="13"/>
  <c r="I9" i="13"/>
  <c r="K14" i="13"/>
  <c r="G16" i="13"/>
  <c r="C20" i="13"/>
  <c r="M21" i="13"/>
  <c r="K9" i="13"/>
  <c r="M14" i="13"/>
  <c r="I16" i="13"/>
  <c r="G25" i="13"/>
  <c r="C22" i="13"/>
  <c r="C15" i="13"/>
</calcChain>
</file>

<file path=xl/sharedStrings.xml><?xml version="1.0" encoding="utf-8"?>
<sst xmlns="http://schemas.openxmlformats.org/spreadsheetml/2006/main" count="900" uniqueCount="269">
  <si>
    <t>Internal Memo</t>
  </si>
  <si>
    <t>No.</t>
  </si>
  <si>
    <t>To  :</t>
  </si>
  <si>
    <t>ผู้จัดการเขต / ผู้จัดการสาขา</t>
  </si>
  <si>
    <t>Date  :</t>
  </si>
  <si>
    <t>RE  :</t>
  </si>
  <si>
    <t>RE</t>
  </si>
  <si>
    <t>แปรงทาสีด้ามไม้ PUMKIN  4"</t>
  </si>
  <si>
    <t>แปรงทาสีด้ามไม้ PUMKIN  2"</t>
  </si>
  <si>
    <t>แปรงทาสีด้ามไม้ PUMKIN  1"</t>
  </si>
  <si>
    <t>ลวดเบอร์ 18</t>
  </si>
  <si>
    <t>กระดาษทราย No.4</t>
  </si>
  <si>
    <t>กระดาษทราย No.3</t>
  </si>
  <si>
    <t>สกรูยิงโครงคร่าว 3 หุน (10 มม.) No.6</t>
  </si>
  <si>
    <t>ผ้าฉาบ (3 ม้วน/ห่อ)</t>
  </si>
  <si>
    <t>ลวดซีลาย (หนา 4.0 มม.)</t>
  </si>
  <si>
    <t>5. อุปกรณ์ยิปซั่ม</t>
  </si>
  <si>
    <t>โครงริม 6 หุน สีอบขาว (ฉากระดับเคลือบสี)</t>
  </si>
  <si>
    <t>โครงทีเมน 1" x 1" สีขาว หนา</t>
  </si>
  <si>
    <t>โครงทีเมน 1"x1" สีขาว กลาง</t>
  </si>
  <si>
    <t>โครงทีเมน 1" x 1" สีขาว บาง</t>
  </si>
  <si>
    <t>โครงทีเมน 1"x1" สีอบขาว บาง</t>
  </si>
  <si>
    <t>โครงทีซอย 60 ซม. สีขาว หนา</t>
  </si>
  <si>
    <t>โครงทีซอย 60 ซม. สีขาว กลาง</t>
  </si>
  <si>
    <t>โครงทีซอย 60 ซม. สีขาว บาง</t>
  </si>
  <si>
    <t>โครงทีซอย 60 cm. สีอบขาว บาง</t>
  </si>
  <si>
    <t>4. โครงทีบาร์</t>
  </si>
  <si>
    <t>ซอยผนัง 7.5 x 60 cm. No.26</t>
  </si>
  <si>
    <t>ซอยผนัง 6.5 x 60 cm. No.26</t>
  </si>
  <si>
    <t>ซอยผนัง 7.5 x 60 cm. No.24</t>
  </si>
  <si>
    <t>ซอยผนัง 6.5 x 60 cm. No.24</t>
  </si>
  <si>
    <t>โครงผนังตัว U 7.5 x 300 cm. No.26</t>
  </si>
  <si>
    <t>โครงผนังตัว U 7.5 x 240 cm. No.26</t>
  </si>
  <si>
    <t>โครงผนังตัว U 6.5 x 300 cm. No.26</t>
  </si>
  <si>
    <t>โครงผนังตัว U 6.5 x 240 cm. No.26</t>
  </si>
  <si>
    <t>โครงผนังตัว U 7.5 x 300 cm. No.24</t>
  </si>
  <si>
    <t>โครงผนังตัว U 7.5 x 240 cm. No.24</t>
  </si>
  <si>
    <t>โครงผนังตัว U 6.5 x 300 cm. No.24</t>
  </si>
  <si>
    <t>โครงผนังตัว U 6.5 x 240 cm. No.24</t>
  </si>
  <si>
    <t>โครงผนังตัว C 7.5 x 300 cm. No.26</t>
  </si>
  <si>
    <t>โครงผนังตัว C 7.5 x 240 cm. No.26</t>
  </si>
  <si>
    <t>โครงผนังตัว C 6.5 x 300 cm. No.26</t>
  </si>
  <si>
    <t>โครงผนังตัว C 6.5 x 240 cm. No.26</t>
  </si>
  <si>
    <t>โครงผนังตัว C 7.5 x 300 cm. No.24</t>
  </si>
  <si>
    <t>โครงผนังตัว C 7.5 x 240 cm. No.24</t>
  </si>
  <si>
    <t>โครงผนังตัว C 6.5 x 300 cm. No.24</t>
  </si>
  <si>
    <t>โครงผนังตัว C 6.5 x 240 cm. No.24</t>
  </si>
  <si>
    <t>2. ฉากสังกะสี</t>
  </si>
  <si>
    <t>ชื่อสินค้า</t>
  </si>
  <si>
    <t>ฉากสังกะสี 6 หุน No.30 (บาง) 3.0kg-3.5kg</t>
  </si>
  <si>
    <t>SDM</t>
  </si>
  <si>
    <t>ฉากสังกะสี 6 หุน No.30  (หนา) 5.0kg-5.5 kg</t>
  </si>
  <si>
    <t>ทีรกร</t>
  </si>
  <si>
    <t>C&amp;T</t>
  </si>
  <si>
    <t>อมรชัย</t>
  </si>
  <si>
    <t>3. โครงผนัง (ซี ยู) โรงงาน อมรชัย</t>
  </si>
  <si>
    <t xml:space="preserve">สีอะครีลิค TG 5.0 แกลลอน สีควันบุหรี่ </t>
  </si>
  <si>
    <t>Remark</t>
  </si>
  <si>
    <t>ฉากสังกะสี 6 หุน No.30 (บาง) 4.0kg-4.5kg</t>
  </si>
  <si>
    <t>แปสังกะสี ทีรกร</t>
  </si>
  <si>
    <t>แปสังกะสี C&amp;T</t>
  </si>
  <si>
    <t>เจมยี</t>
  </si>
  <si>
    <t xml:space="preserve">สกรูยิงสมาร์ทบอร์ด 6X1 </t>
  </si>
  <si>
    <t>ราคาที่สั่งตรงโรงงาน ( มีค่าขนส่ง)</t>
  </si>
  <si>
    <t>ฉากสังกะสี 1"x 1" No.26 (6.0-8.0 kg)</t>
  </si>
  <si>
    <t>สยาม</t>
  </si>
  <si>
    <t>ฉากสังกะสี 1"x 1" No.26 (6.0-6.5 kg)</t>
  </si>
  <si>
    <t>สปริงดำ (อมรชัย)</t>
  </si>
  <si>
    <t>สกรูยิปซั่ม 6 หุน (19 มม. - ญ) 7 ขีด</t>
  </si>
  <si>
    <t>สกรูยิปซั่ม 6 หุน (19 มม. - ญ) 6 ขีด</t>
  </si>
  <si>
    <t>สกรูยิปซั่ม 6 หุน (19 มม.- ล) 5 ขีด</t>
  </si>
  <si>
    <t>สกรูยิปซั่ม 1 นิ้ว (25.4 มม.-  ญ) 7 ขีด</t>
  </si>
  <si>
    <t>สกรูยิปซั่ม 1 นิ้ว (25.4 มม.-  ญ) 6 ขีด</t>
  </si>
  <si>
    <t>สกรูยิปซั่ม 1 นิ้ว (25.4 มม.-  ล) 5 ขีด</t>
  </si>
  <si>
    <t>สกรูยิปซั่ม 1  1/2 นิ้ว (38.1 มม.) 7 ขีด</t>
  </si>
  <si>
    <t>สกรูยิปซั่ม 1  1/2 นิ้ว (38.1 มม.) 6 ขีด</t>
  </si>
  <si>
    <t>สกรูยิปซั่ม 1  1/2 นิ้ว (38.1 มม.) 5 ขีด</t>
  </si>
  <si>
    <t>สกรูยิปซั่ม 2 นิ้ว (50.8 มม.) 7 ขีด</t>
  </si>
  <si>
    <t>สกรูยิปซั่ม 2 นิ้ว (50.8 มม.) 6 ขีด</t>
  </si>
  <si>
    <t>สกรูยิปซั่ม 2 นิ้ว (50.8 มม.) 5 ขีด</t>
  </si>
  <si>
    <t>พุกเหล็ก 1.5หุน (100 ตัว/ถุง)</t>
  </si>
  <si>
    <t>พุกเหล็ก 2หุน (100 ตัว/ถุง)</t>
  </si>
  <si>
    <t>สกรูยิงสมาร์ทบอร์ด 6 X 3/4</t>
  </si>
  <si>
    <t>ล็อคกิ้งคีย์  (C&amp;T)</t>
  </si>
  <si>
    <t>ตะขอแขวน (C&amp;T)</t>
  </si>
  <si>
    <t>สปริงดำ (C&amp;T)</t>
  </si>
  <si>
    <t>ลวดซีลาย 3.1 ม (C&amp;T)</t>
  </si>
  <si>
    <t>ลวดซีลาย 4.0 ม (C&amp;T)</t>
  </si>
  <si>
    <t>ฉาก 2 รู (C&amp;T)</t>
  </si>
  <si>
    <t>ลวดซีลาย 3.1 ม (ทีรกร)</t>
  </si>
  <si>
    <t>ตะขอแขวน (ทีรกร)</t>
  </si>
  <si>
    <t>สปริงดำ (ทีรกร)</t>
  </si>
  <si>
    <t>ฉาก 2 รู (ทีรกร)</t>
  </si>
  <si>
    <t>ตระกูลไทย</t>
  </si>
  <si>
    <t>ฉากสังกะสี 6 หุน No.30  (หนา) 4.0kg-4.5 kg</t>
  </si>
  <si>
    <t xml:space="preserve"> </t>
  </si>
  <si>
    <t>ลวดซีลาย 3.1 ม (อมรชัย) แบบชุบ</t>
  </si>
  <si>
    <t>ฉากสังกะสี 6 หุน No.30  (บาง) 3.0kg-3.5 kg</t>
  </si>
  <si>
    <t>โพลีแมท</t>
  </si>
  <si>
    <t>ผ้าฉาบ ไฟเบอร์กลาส 3 ซม. x 20 ม. (72ม้วน/ลัง)</t>
  </si>
  <si>
    <t>ผ้าฉาบ ไฟเบอร์กลาส 5 ซม. x 20 ม. (72 ม้วน/ลัง)</t>
  </si>
  <si>
    <t>ผ้าฉาบ ไฟเบอร์กลาส 5 ซม. x 45 ม. (54 ม้วน/ลัง)</t>
  </si>
  <si>
    <t>ตะปูตีฉาก (1 Kg.)</t>
  </si>
  <si>
    <t>ตะปูตีฉาก (0.5 Kg.)</t>
  </si>
  <si>
    <t>ลวดซีลาย 4.0 ม (ทีรกร)</t>
  </si>
  <si>
    <t>แปสังกะสี Globlex</t>
  </si>
  <si>
    <t>แปหลังคา 1.90 - 2.00 กก</t>
  </si>
  <si>
    <t>แปสังกะสี 2.10 - 2.20 กก</t>
  </si>
  <si>
    <t>แปสังกะสี 2.40 - 2.50 กก</t>
  </si>
  <si>
    <t>ตะขอแขวน (ประวิทย์)</t>
  </si>
  <si>
    <t>ประวิทย์</t>
  </si>
  <si>
    <t>สปริงดำ (ประวิทย์)</t>
  </si>
  <si>
    <t>W1</t>
  </si>
  <si>
    <t>W2</t>
  </si>
  <si>
    <t>R1</t>
  </si>
  <si>
    <t>R2</t>
  </si>
  <si>
    <t>Cost</t>
  </si>
  <si>
    <t>S-W1</t>
  </si>
  <si>
    <t>S-W2</t>
  </si>
  <si>
    <t>S-R1</t>
  </si>
  <si>
    <t>S-R2</t>
  </si>
  <si>
    <t>GP-Baht</t>
  </si>
  <si>
    <t>GP%</t>
  </si>
  <si>
    <t>S-SDM</t>
  </si>
  <si>
    <t>1. โครงซีลายน์ - โรงงาน C&amp;T</t>
  </si>
  <si>
    <t>1. โครงซีลายน์ - โรงงานทีรกร</t>
  </si>
  <si>
    <t>ร้านค้าส่งรายใหญ่</t>
  </si>
  <si>
    <t>ร้านค้าส่งทั่วไป</t>
  </si>
  <si>
    <t>ขายปลีก</t>
  </si>
  <si>
    <t>RE inv.</t>
  </si>
  <si>
    <t>Cost ที่แท้จริง (รวม Vat)</t>
  </si>
  <si>
    <t>แปรงลูกกลิ้งทาสี 10 นิ้ว รุ่นมืออาชีพ PUMPKIN-PRO</t>
  </si>
  <si>
    <t>3. โครงผนัง (ซี ยู) โรงงาน ทีรกร / C&amp;T</t>
  </si>
  <si>
    <t>ล็อคกิ้งคีย์ (บาง) (ทีรกร)</t>
  </si>
  <si>
    <t>ล็อคกิ้งคีย์ (หนา) (ทีรกร)</t>
  </si>
  <si>
    <t>ล็อคกิ้งคีย์ B (บาง) (ประวิทย์)</t>
  </si>
  <si>
    <t>ล็อคกิ้งคีย์ A (หนา) (ประวิทย์)</t>
  </si>
  <si>
    <t>ขายพ่วงแผ่น + อุปกรณ์ เท่านั้น</t>
  </si>
  <si>
    <t>ราคาขาย เดือนพฤษภาคม 2569</t>
  </si>
  <si>
    <t>XX/ kg.</t>
  </si>
  <si>
    <r>
      <t>ล็อคกิ้งคีย์ บาง (อมรชัย)</t>
    </r>
    <r>
      <rPr>
        <sz val="8"/>
        <color theme="1"/>
        <rFont val="Calibri"/>
        <family val="2"/>
        <scheme val="minor"/>
      </rPr>
      <t xml:space="preserve"> ** 2,000 ตัว / ลัง** </t>
    </r>
  </si>
  <si>
    <r>
      <t>ล็อคกิ้งคีย์ หนา (อมรชัย)</t>
    </r>
    <r>
      <rPr>
        <sz val="8"/>
        <color theme="1"/>
        <rFont val="Calibri"/>
        <family val="2"/>
        <scheme val="minor"/>
      </rPr>
      <t xml:space="preserve"> ** 2,000 ตัว / ลัง** </t>
    </r>
  </si>
  <si>
    <r>
      <t xml:space="preserve">ตะขอแขวน (อมรชัย) </t>
    </r>
    <r>
      <rPr>
        <sz val="8"/>
        <color theme="1"/>
        <rFont val="Calibri"/>
        <family val="2"/>
        <scheme val="minor"/>
      </rPr>
      <t>** 2,000 ตัว/กระสอบ **</t>
    </r>
  </si>
  <si>
    <r>
      <t xml:space="preserve">ฉาก 2 รู (อมรชัย) </t>
    </r>
    <r>
      <rPr>
        <sz val="8"/>
        <color theme="1"/>
        <rFont val="Calibri"/>
        <family val="2"/>
        <scheme val="minor"/>
      </rPr>
      <t>** 3,000 ตัว/ลัง **</t>
    </r>
  </si>
  <si>
    <r>
      <t xml:space="preserve">ผ้าฉาบ (3 ม้วน/ห่อ) </t>
    </r>
    <r>
      <rPr>
        <sz val="8"/>
        <color theme="1"/>
        <rFont val="Calibri"/>
        <family val="2"/>
        <scheme val="minor"/>
      </rPr>
      <t>** 50 ห่อ/ลัง **</t>
    </r>
  </si>
  <si>
    <t>ทีรกร ซีลายน์  5.0-5.5 กก.</t>
  </si>
  <si>
    <t>ทีรกร ซีลายน์  5.6-5.9 กก.</t>
  </si>
  <si>
    <t>ทีรกร ซีลายน์  6.0-6.5 กก.</t>
  </si>
  <si>
    <t>ทีรกร ซีลายน์  6.6-6.9 กก.</t>
  </si>
  <si>
    <t>ทีรกร ซีลายน์  7.0-7.5 กก.</t>
  </si>
  <si>
    <t>ทีรกร ซีลายน์  7.6-7.9 กก.</t>
  </si>
  <si>
    <t>ทีรกร ซีลายน์  8.0-8.5 กก.</t>
  </si>
  <si>
    <t>ทีรกร ซีลายน์  9.0-9.5 กก.</t>
  </si>
  <si>
    <t>ทีรกร ซีลายน์ 10.0-10.5 กก.</t>
  </si>
  <si>
    <t>C&amp;T ซีลายน์  5.3-5.5 กก.</t>
  </si>
  <si>
    <t>C&amp;T ซีลายน์  5.6-5.8 กก.</t>
  </si>
  <si>
    <t>C&amp;T ซีลายน์  6.2-6.4 กก.</t>
  </si>
  <si>
    <t>C&amp;T ซีลายน์  6.5-6.7 กก.</t>
  </si>
  <si>
    <t>C&amp;T ซีลายน์  7.1-7.3 กก.</t>
  </si>
  <si>
    <t>C&amp;T ซีลายน์  7.7-7.9 กก.</t>
  </si>
  <si>
    <t>C&amp;T ซีลายน์  8.0-8.2 กก.</t>
  </si>
  <si>
    <t>C&amp;T ซีลายน์  9.0-9.5 กก.</t>
  </si>
  <si>
    <t>อมรชัย โครงผนังตัว C 6.5 x 240 cm. No.24</t>
  </si>
  <si>
    <t>อมรชัย โครงผนังตัว C 6.5 x 300 cm. No.24</t>
  </si>
  <si>
    <t>อมรชัย โครงผนังตัว C 7.5 x 240 cm. No.24</t>
  </si>
  <si>
    <t>อมรชัย โครงผนังตัว C 7.5 x 300 cm. No.24</t>
  </si>
  <si>
    <t>อมรชัย โครงผนังตัว C 6.5 x 240 cm. No.26</t>
  </si>
  <si>
    <t>อมรชัย โครงผนังตัว C 6.5 x 300 cm. No.26</t>
  </si>
  <si>
    <t>อมรชัย โครงผนังตัว C 7.5 x 240 cm. No.26</t>
  </si>
  <si>
    <t>อมรชัย โครงผนังตัว C 7.5 x 300 cm. No.26</t>
  </si>
  <si>
    <t>อมรชัย โครงผนังตัว U 6.5 x 240 cm. No.24</t>
  </si>
  <si>
    <t>อมรชัย โครงผนังตัว U 6.5 x 300 cm. No.24</t>
  </si>
  <si>
    <t>อมรชัย โครงผนังตัว U 7.5 x 240 cm. No.24</t>
  </si>
  <si>
    <t>อมรชัย โครงผนังตัว U 7.5 x 300 cm. No.24</t>
  </si>
  <si>
    <t>อมรชัย โครงผนังตัว U 6.5 x 240 cm. No.26</t>
  </si>
  <si>
    <t>อมรชัย โครงผนังตัว U 6.5 x 300 cm. No.26</t>
  </si>
  <si>
    <t>อมรชัย โครงผนังตัว U 7.5 x 240 cm. No.26</t>
  </si>
  <si>
    <t>อมรชัย โครงผนังตัว U 7.5 x 300 cm. No.26</t>
  </si>
  <si>
    <t>อมรชัย ซอยผนัง 6.5 x 60 cm. No.26</t>
  </si>
  <si>
    <t>อมรชัย ซอยผนัง 7.5 x 60 cm. No.26</t>
  </si>
  <si>
    <t>ทีรกร แปสังกะสี 0.50 - 0.54 กก</t>
  </si>
  <si>
    <t>ทีรกร แปสังกะสี 0.55 - 0.59 กก</t>
  </si>
  <si>
    <t>ทีรกร แปสังกะสี 0.60 - 0.64 กก</t>
  </si>
  <si>
    <t>ทีรกร แปสังกะสี 0.65 - 0.69 กก (ซิงค์สีเทา)</t>
  </si>
  <si>
    <t>ทีรกร แปสังกะสี 0.70 - 0.75 กก (ซิงค์สีเทา)</t>
  </si>
  <si>
    <t>C&amp;T แปสังกะสี 0.50 - 0.54 กก</t>
  </si>
  <si>
    <t>C&amp;T แปสังกะสี 0.55 - 0.59 กก</t>
  </si>
  <si>
    <t>C&amp;T แปสังกะสี 0.60 - 0.64 กก</t>
  </si>
  <si>
    <t>ประวิทย์ พุกเหล็ก 1.5หุน (100 ตัว/ถุง)</t>
  </si>
  <si>
    <t>C11010130026050055</t>
  </si>
  <si>
    <t>C11010130026056059</t>
  </si>
  <si>
    <t>C11010130026060065</t>
  </si>
  <si>
    <t>C11010130026066069</t>
  </si>
  <si>
    <t>C11010130026070075</t>
  </si>
  <si>
    <t>C11010130026076079</t>
  </si>
  <si>
    <t>C11010130026080085</t>
  </si>
  <si>
    <t>C11010120024090095</t>
  </si>
  <si>
    <t>C11010120024100105</t>
  </si>
  <si>
    <t>C12010130026053055</t>
  </si>
  <si>
    <t>C12010130026056058</t>
  </si>
  <si>
    <t>C12010130026062064</t>
  </si>
  <si>
    <t>C12010130026065067</t>
  </si>
  <si>
    <t>C12010130026071073</t>
  </si>
  <si>
    <t>C12010130026077079</t>
  </si>
  <si>
    <t>C12010130026080082</t>
  </si>
  <si>
    <t>C12010120024090095</t>
  </si>
  <si>
    <t>C00020570000000000</t>
  </si>
  <si>
    <t>C00020590000000000</t>
  </si>
  <si>
    <t>C00020580000000000</t>
  </si>
  <si>
    <t>C00100020024065240</t>
  </si>
  <si>
    <t>C00100020024065300</t>
  </si>
  <si>
    <t>C00100020024075240</t>
  </si>
  <si>
    <t>C00100020024075300</t>
  </si>
  <si>
    <t>C00100020026065240</t>
  </si>
  <si>
    <t>C00100020026065300</t>
  </si>
  <si>
    <t>C00100020026075240</t>
  </si>
  <si>
    <t>C00100020026075300</t>
  </si>
  <si>
    <t>C00100030024065240</t>
  </si>
  <si>
    <t>C00100030024065300</t>
  </si>
  <si>
    <t>C00100030024075240</t>
  </si>
  <si>
    <t>C00100030024075300</t>
  </si>
  <si>
    <t>C00100030026065240</t>
  </si>
  <si>
    <t>C00100030026065300</t>
  </si>
  <si>
    <t>C00100030026075240</t>
  </si>
  <si>
    <t>C00100030026075300</t>
  </si>
  <si>
    <t>C00110000024075060</t>
  </si>
  <si>
    <t>C00110000026065060</t>
  </si>
  <si>
    <t>C00110000026075060</t>
  </si>
  <si>
    <t>C00030620200000060</t>
  </si>
  <si>
    <t>C00030620100000060</t>
  </si>
  <si>
    <t>C00030630100000060</t>
  </si>
  <si>
    <t>C00030640100000060</t>
  </si>
  <si>
    <t>C00040650200000000</t>
  </si>
  <si>
    <t>C00040650100000000</t>
  </si>
  <si>
    <t>C00040660100000000</t>
  </si>
  <si>
    <t>C00040670100000000</t>
  </si>
  <si>
    <t>C00050050200000000</t>
  </si>
  <si>
    <t>C06421040000190200</t>
  </si>
  <si>
    <t>C06421040000210220</t>
  </si>
  <si>
    <t>C06421040000240250</t>
  </si>
  <si>
    <t>C00120000000000000</t>
  </si>
  <si>
    <t>C00130000000000000</t>
  </si>
  <si>
    <t>C00140000000000000</t>
  </si>
  <si>
    <t>C00150000000000000</t>
  </si>
  <si>
    <t>C00150790000000000</t>
  </si>
  <si>
    <t>C00160000000000000</t>
  </si>
  <si>
    <t>C00170340000000000</t>
  </si>
  <si>
    <t>C00180800000000000</t>
  </si>
  <si>
    <t>C00180060000003020</t>
  </si>
  <si>
    <t>C00180060000005020</t>
  </si>
  <si>
    <t>C00180060000005045</t>
  </si>
  <si>
    <t>C00200830000000000</t>
  </si>
  <si>
    <t>C00200870000000000</t>
  </si>
  <si>
    <t>C00200840000000000</t>
  </si>
  <si>
    <t>C00200880000000000</t>
  </si>
  <si>
    <t>C00200850000000000</t>
  </si>
  <si>
    <t>C00200860000000000</t>
  </si>
  <si>
    <t>C00200940000000000</t>
  </si>
  <si>
    <t>C00200930000000000</t>
  </si>
  <si>
    <t>C00200890000000000</t>
  </si>
  <si>
    <t>C00210090000000000</t>
  </si>
  <si>
    <t>C00210100000000000</t>
  </si>
  <si>
    <t>C00410000000000000</t>
  </si>
  <si>
    <t>C00220400000000000</t>
  </si>
  <si>
    <t>C04240310400000000</t>
  </si>
  <si>
    <t>C03250950000000000</t>
  </si>
  <si>
    <t>C03250960000000000</t>
  </si>
  <si>
    <t>C03250970000000000</t>
  </si>
  <si>
    <t>C03260420000000000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</si>
</sst>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[$-1070000]d/mm/yyyy;@"/>
    <numFmt numFmtId="166" formatCode="0.0%"/>
  </numFmts>
  <fonts count="3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1"/>
      <color rgb="FF0070C0"/>
      <name val="Calibri"/>
      <family val="2"/>
      <charset val="222"/>
      <scheme val="minor"/>
    </font>
    <font>
      <sz val="16"/>
      <name val="CordiaUPC"/>
      <family val="2"/>
      <charset val="222"/>
    </font>
    <font>
      <sz val="11"/>
      <color rgb="FFFF0000"/>
      <name val="Calibri"/>
      <family val="2"/>
      <charset val="222"/>
      <scheme val="minor"/>
    </font>
    <font>
      <sz val="11"/>
      <color rgb="FFFFFF00"/>
      <name val="Calibri"/>
      <family val="2"/>
      <charset val="222"/>
      <scheme val="minor"/>
    </font>
    <font>
      <sz val="11"/>
      <color rgb="FFFF0000"/>
      <name val="Calibri"/>
      <family val="2"/>
      <scheme val="minor"/>
    </font>
    <font>
      <b/>
      <sz val="16"/>
      <name val="CordiaUPC"/>
      <family val="2"/>
    </font>
    <font>
      <sz val="16"/>
      <color rgb="FFFFFF00"/>
      <name val="CordiaUPC"/>
      <family val="2"/>
      <charset val="222"/>
    </font>
    <font>
      <b/>
      <u/>
      <sz val="11"/>
      <color theme="1"/>
      <name val="Calibri"/>
      <family val="2"/>
      <scheme val="minor"/>
    </font>
    <font>
      <b/>
      <sz val="16"/>
      <color rgb="FFFFFF00"/>
      <name val="CordiaUPC"/>
      <family val="2"/>
    </font>
    <font>
      <b/>
      <u/>
      <sz val="16"/>
      <name val="CordiaUPC"/>
      <family val="2"/>
    </font>
    <font>
      <b/>
      <sz val="28"/>
      <name val="Bodoni MT Condensed"/>
      <family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4"/>
      <name val="Calibri"/>
      <family val="2"/>
      <charset val="222"/>
      <scheme val="minor"/>
    </font>
    <font>
      <sz val="11"/>
      <color theme="9" tint="-0.249977111117893"/>
      <name val="Calibri"/>
      <family val="2"/>
      <charset val="222"/>
      <scheme val="minor"/>
    </font>
    <font>
      <b/>
      <sz val="18"/>
      <name val="CordiaUPC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22"/>
      <scheme val="minor"/>
    </font>
    <font>
      <b/>
      <sz val="11"/>
      <color theme="4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00B050"/>
      <name val="Calibri"/>
      <family val="2"/>
      <charset val="222"/>
      <scheme val="minor"/>
    </font>
    <font>
      <sz val="11"/>
      <color theme="1" tint="4.9989318521683403E-2"/>
      <name val="Calibri"/>
      <family val="2"/>
      <charset val="22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7" tint="-0.249977111117893"/>
      <name val="CordiaUPC"/>
      <family val="2"/>
    </font>
    <font>
      <sz val="11"/>
      <color theme="7" tint="-0.249977111117893"/>
      <name val="Calibri"/>
      <family val="2"/>
      <charset val="222"/>
      <scheme val="minor"/>
    </font>
    <font>
      <b/>
      <u/>
      <sz val="11"/>
      <color theme="7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ordiaUPC"/>
      <family val="2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6" fillId="0" borderId="0"/>
  </cellStyleXfs>
  <cellXfs count="242">
    <xf numFmtId="0" fontId="0" fillId="0" borderId="0" xfId="0"/>
    <xf numFmtId="43" fontId="0" fillId="0" borderId="0" xfId="1" applyFont="1"/>
    <xf numFmtId="0" fontId="4" fillId="0" borderId="0" xfId="0" applyFont="1" applyAlignment="1" applyProtection="1">
      <alignment horizontal="left" vertical="center"/>
      <protection locked="0"/>
    </xf>
    <xf numFmtId="0" fontId="0" fillId="0" borderId="1" xfId="0" applyBorder="1"/>
    <xf numFmtId="43" fontId="0" fillId="0" borderId="1" xfId="1" applyFont="1" applyBorder="1"/>
    <xf numFmtId="0" fontId="3" fillId="0" borderId="1" xfId="0" applyFont="1" applyBorder="1"/>
    <xf numFmtId="0" fontId="0" fillId="2" borderId="0" xfId="0" applyFill="1"/>
    <xf numFmtId="0" fontId="5" fillId="0" borderId="0" xfId="0" applyFont="1"/>
    <xf numFmtId="2" fontId="0" fillId="0" borderId="0" xfId="2" applyNumberFormat="1" applyFont="1" applyFill="1"/>
    <xf numFmtId="0" fontId="8" fillId="0" borderId="0" xfId="0" applyFont="1" applyAlignment="1" applyProtection="1">
      <alignment horizontal="left" vertical="center"/>
      <protection locked="0"/>
    </xf>
    <xf numFmtId="43" fontId="10" fillId="0" borderId="0" xfId="1" applyFont="1" applyAlignment="1">
      <alignment horizontal="center"/>
    </xf>
    <xf numFmtId="0" fontId="13" fillId="0" borderId="0" xfId="3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6" fillId="0" borderId="0" xfId="0" applyFont="1"/>
    <xf numFmtId="0" fontId="9" fillId="0" borderId="0" xfId="0" applyFont="1" applyAlignment="1" applyProtection="1">
      <alignment horizontal="left" vertical="center"/>
      <protection locked="0"/>
    </xf>
    <xf numFmtId="10" fontId="0" fillId="0" borderId="0" xfId="0" applyNumberFormat="1"/>
    <xf numFmtId="43" fontId="0" fillId="0" borderId="0" xfId="1" applyFont="1" applyFill="1"/>
    <xf numFmtId="43" fontId="5" fillId="0" borderId="0" xfId="1" applyFont="1" applyFill="1"/>
    <xf numFmtId="0" fontId="15" fillId="0" borderId="0" xfId="0" applyFont="1" applyAlignment="1">
      <alignment horizontal="center" vertical="center" wrapText="1"/>
    </xf>
    <xf numFmtId="43" fontId="14" fillId="0" borderId="0" xfId="1" applyFont="1" applyFill="1"/>
    <xf numFmtId="43" fontId="8" fillId="0" borderId="0" xfId="1" applyFont="1" applyFill="1" applyAlignment="1" applyProtection="1">
      <alignment horizontal="left" vertical="center"/>
      <protection locked="0"/>
    </xf>
    <xf numFmtId="10" fontId="0" fillId="0" borderId="0" xfId="2" applyNumberFormat="1" applyFont="1"/>
    <xf numFmtId="164" fontId="6" fillId="0" borderId="0" xfId="0" applyNumberFormat="1" applyFont="1"/>
    <xf numFmtId="0" fontId="12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top"/>
    </xf>
    <xf numFmtId="43" fontId="0" fillId="0" borderId="0" xfId="1" applyFont="1" applyFill="1" applyBorder="1"/>
    <xf numFmtId="2" fontId="0" fillId="0" borderId="0" xfId="2" applyNumberFormat="1" applyFont="1" applyFill="1" applyBorder="1"/>
    <xf numFmtId="43" fontId="5" fillId="0" borderId="0" xfId="1" applyFont="1" applyFill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3" fontId="17" fillId="0" borderId="0" xfId="1" applyFont="1" applyFill="1" applyBorder="1" applyAlignment="1">
      <alignment horizontal="center" vertical="top"/>
    </xf>
    <xf numFmtId="43" fontId="16" fillId="0" borderId="0" xfId="1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8" fillId="0" borderId="0" xfId="3" applyFont="1" applyAlignment="1" applyProtection="1">
      <alignment horizontal="right" vertical="center"/>
      <protection locked="0"/>
    </xf>
    <xf numFmtId="0" fontId="8" fillId="0" borderId="0" xfId="3" applyFont="1" applyAlignment="1" applyProtection="1">
      <alignment horizontal="right"/>
      <protection locked="0"/>
    </xf>
    <xf numFmtId="0" fontId="0" fillId="0" borderId="7" xfId="0" applyBorder="1"/>
    <xf numFmtId="0" fontId="0" fillId="0" borderId="10" xfId="0" applyBorder="1" applyAlignment="1">
      <alignment vertical="top"/>
    </xf>
    <xf numFmtId="0" fontId="0" fillId="0" borderId="3" xfId="0" applyBorder="1" applyAlignment="1">
      <alignment vertical="top"/>
    </xf>
    <xf numFmtId="43" fontId="5" fillId="0" borderId="0" xfId="1" applyFont="1" applyFill="1" applyBorder="1"/>
    <xf numFmtId="0" fontId="0" fillId="0" borderId="5" xfId="0" applyBorder="1" applyAlignment="1">
      <alignment vertical="top"/>
    </xf>
    <xf numFmtId="43" fontId="0" fillId="0" borderId="10" xfId="1" applyFont="1" applyFill="1" applyBorder="1"/>
    <xf numFmtId="43" fontId="0" fillId="0" borderId="3" xfId="1" applyFont="1" applyFill="1" applyBorder="1"/>
    <xf numFmtId="43" fontId="0" fillId="0" borderId="5" xfId="1" applyFont="1" applyFill="1" applyBorder="1"/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8" fillId="3" borderId="9" xfId="0" applyFont="1" applyFill="1" applyBorder="1" applyAlignment="1" applyProtection="1">
      <alignment horizontal="left" vertical="center"/>
      <protection locked="0"/>
    </xf>
    <xf numFmtId="0" fontId="8" fillId="4" borderId="9" xfId="0" applyFont="1" applyFill="1" applyBorder="1" applyAlignment="1" applyProtection="1">
      <alignment horizontal="left" vertical="center"/>
      <protection locked="0"/>
    </xf>
    <xf numFmtId="43" fontId="0" fillId="0" borderId="4" xfId="1" applyFont="1" applyFill="1" applyBorder="1"/>
    <xf numFmtId="43" fontId="0" fillId="0" borderId="6" xfId="1" applyFont="1" applyFill="1" applyBorder="1"/>
    <xf numFmtId="43" fontId="0" fillId="0" borderId="3" xfId="1" applyFont="1" applyFill="1" applyBorder="1" applyAlignment="1">
      <alignment vertical="top"/>
    </xf>
    <xf numFmtId="0" fontId="8" fillId="5" borderId="9" xfId="0" applyFont="1" applyFill="1" applyBorder="1" applyAlignment="1" applyProtection="1">
      <alignment horizontal="left" vertical="center"/>
      <protection locked="0"/>
    </xf>
    <xf numFmtId="43" fontId="0" fillId="0" borderId="11" xfId="1" applyFont="1" applyFill="1" applyBorder="1"/>
    <xf numFmtId="43" fontId="0" fillId="0" borderId="4" xfId="1" applyFont="1" applyFill="1" applyBorder="1" applyAlignment="1">
      <alignment vertical="top"/>
    </xf>
    <xf numFmtId="43" fontId="0" fillId="0" borderId="0" xfId="2" applyNumberFormat="1" applyFont="1"/>
    <xf numFmtId="10" fontId="0" fillId="0" borderId="0" xfId="2" applyNumberFormat="1" applyFont="1" applyFill="1" applyBorder="1"/>
    <xf numFmtId="0" fontId="5" fillId="2" borderId="3" xfId="0" applyFont="1" applyFill="1" applyBorder="1" applyAlignment="1">
      <alignment horizontal="left"/>
    </xf>
    <xf numFmtId="43" fontId="0" fillId="0" borderId="9" xfId="1" applyFont="1" applyFill="1" applyBorder="1"/>
    <xf numFmtId="43" fontId="0" fillId="0" borderId="7" xfId="1" applyFont="1" applyFill="1" applyBorder="1"/>
    <xf numFmtId="43" fontId="0" fillId="0" borderId="8" xfId="1" applyFont="1" applyFill="1" applyBorder="1"/>
    <xf numFmtId="2" fontId="0" fillId="0" borderId="9" xfId="2" applyNumberFormat="1" applyFont="1" applyFill="1" applyBorder="1"/>
    <xf numFmtId="2" fontId="0" fillId="0" borderId="7" xfId="2" applyNumberFormat="1" applyFont="1" applyFill="1" applyBorder="1"/>
    <xf numFmtId="2" fontId="0" fillId="0" borderId="8" xfId="2" applyNumberFormat="1" applyFont="1" applyFill="1" applyBorder="1"/>
    <xf numFmtId="0" fontId="20" fillId="0" borderId="0" xfId="0" applyFont="1"/>
    <xf numFmtId="0" fontId="21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43" fontId="22" fillId="0" borderId="0" xfId="1" applyFont="1" applyFill="1" applyBorder="1" applyAlignment="1">
      <alignment horizontal="center" vertical="top"/>
    </xf>
    <xf numFmtId="0" fontId="23" fillId="0" borderId="0" xfId="0" applyFont="1"/>
    <xf numFmtId="0" fontId="19" fillId="0" borderId="0" xfId="0" applyFont="1"/>
    <xf numFmtId="164" fontId="24" fillId="0" borderId="0" xfId="0" applyNumberFormat="1" applyFont="1"/>
    <xf numFmtId="0" fontId="25" fillId="0" borderId="0" xfId="0" applyFont="1"/>
    <xf numFmtId="0" fontId="25" fillId="0" borderId="10" xfId="0" applyFont="1" applyBorder="1" applyAlignment="1">
      <alignment vertical="top"/>
    </xf>
    <xf numFmtId="43" fontId="25" fillId="0" borderId="10" xfId="1" applyFont="1" applyFill="1" applyBorder="1"/>
    <xf numFmtId="43" fontId="25" fillId="0" borderId="11" xfId="1" applyFont="1" applyFill="1" applyBorder="1"/>
    <xf numFmtId="43" fontId="25" fillId="0" borderId="9" xfId="1" applyFont="1" applyFill="1" applyBorder="1"/>
    <xf numFmtId="2" fontId="25" fillId="0" borderId="9" xfId="2" applyNumberFormat="1" applyFont="1" applyFill="1" applyBorder="1"/>
    <xf numFmtId="0" fontId="0" fillId="0" borderId="0" xfId="0" applyAlignment="1">
      <alignment horizontal="left" vertical="top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9" xfId="0" applyFont="1" applyBorder="1" applyAlignment="1" applyProtection="1">
      <alignment horizontal="left" vertical="center"/>
      <protection locked="0"/>
    </xf>
    <xf numFmtId="43" fontId="0" fillId="0" borderId="6" xfId="1" applyFont="1" applyFill="1" applyBorder="1" applyAlignment="1">
      <alignment vertical="top"/>
    </xf>
    <xf numFmtId="0" fontId="7" fillId="0" borderId="0" xfId="0" applyFont="1"/>
    <xf numFmtId="0" fontId="7" fillId="0" borderId="0" xfId="0" applyFont="1" applyAlignment="1">
      <alignment horizontal="center" vertical="top"/>
    </xf>
    <xf numFmtId="43" fontId="0" fillId="0" borderId="0" xfId="1" applyFont="1" applyFill="1" applyBorder="1" applyAlignment="1">
      <alignment vertical="top"/>
    </xf>
    <xf numFmtId="43" fontId="1" fillId="0" borderId="0" xfId="1" applyFont="1" applyFill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166" fontId="0" fillId="0" borderId="0" xfId="2" applyNumberFormat="1" applyFont="1" applyAlignment="1">
      <alignment horizontal="center"/>
    </xf>
    <xf numFmtId="0" fontId="0" fillId="6" borderId="0" xfId="0" applyFill="1" applyAlignment="1">
      <alignment horizontal="center"/>
    </xf>
    <xf numFmtId="10" fontId="0" fillId="0" borderId="0" xfId="2" applyNumberFormat="1" applyFont="1" applyAlignment="1">
      <alignment horizontal="center"/>
    </xf>
    <xf numFmtId="0" fontId="27" fillId="0" borderId="0" xfId="0" applyFont="1" applyAlignment="1">
      <alignment horizontal="center"/>
    </xf>
    <xf numFmtId="10" fontId="27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19" fillId="0" borderId="0" xfId="2" applyFont="1" applyAlignment="1">
      <alignment horizontal="center"/>
    </xf>
    <xf numFmtId="9" fontId="1" fillId="0" borderId="0" xfId="2" applyFont="1" applyAlignment="1">
      <alignment horizontal="center"/>
    </xf>
    <xf numFmtId="9" fontId="1" fillId="0" borderId="0" xfId="2" applyFont="1" applyFill="1" applyBorder="1" applyAlignment="1">
      <alignment horizontal="center"/>
    </xf>
    <xf numFmtId="43" fontId="7" fillId="0" borderId="0" xfId="1" applyFont="1" applyFill="1" applyBorder="1"/>
    <xf numFmtId="10" fontId="7" fillId="0" borderId="0" xfId="2" applyNumberFormat="1" applyFont="1" applyFill="1" applyBorder="1"/>
    <xf numFmtId="2" fontId="0" fillId="3" borderId="0" xfId="0" applyNumberFormat="1" applyFill="1" applyAlignment="1">
      <alignment horizontal="center"/>
    </xf>
    <xf numFmtId="0" fontId="28" fillId="0" borderId="0" xfId="0" applyFont="1" applyAlignment="1" applyProtection="1">
      <alignment horizontal="left" vertical="center"/>
      <protection locked="0"/>
    </xf>
    <xf numFmtId="0" fontId="29" fillId="0" borderId="0" xfId="0" applyFont="1"/>
    <xf numFmtId="43" fontId="29" fillId="0" borderId="0" xfId="1" applyFont="1" applyFill="1"/>
    <xf numFmtId="43" fontId="3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0" fontId="27" fillId="0" borderId="0" xfId="0" applyFont="1"/>
    <xf numFmtId="2" fontId="0" fillId="6" borderId="0" xfId="0" applyNumberFormat="1" applyFill="1" applyAlignment="1">
      <alignment horizontal="center"/>
    </xf>
    <xf numFmtId="0" fontId="31" fillId="0" borderId="0" xfId="0" applyFont="1" applyAlignment="1">
      <alignment horizontal="center" vertical="center" wrapText="1"/>
    </xf>
    <xf numFmtId="2" fontId="0" fillId="0" borderId="0" xfId="0" applyNumberFormat="1"/>
    <xf numFmtId="43" fontId="0" fillId="0" borderId="0" xfId="0" applyNumberFormat="1"/>
    <xf numFmtId="0" fontId="32" fillId="0" borderId="0" xfId="0" applyFont="1" applyAlignment="1">
      <alignment horizontal="center"/>
    </xf>
    <xf numFmtId="0" fontId="33" fillId="3" borderId="9" xfId="0" applyFont="1" applyFill="1" applyBorder="1" applyAlignment="1" applyProtection="1">
      <alignment horizontal="left" vertical="center"/>
      <protection locked="0"/>
    </xf>
    <xf numFmtId="0" fontId="27" fillId="2" borderId="0" xfId="0" applyFont="1" applyFill="1"/>
    <xf numFmtId="0" fontId="8" fillId="2" borderId="0" xfId="0" applyFont="1" applyFill="1" applyAlignment="1" applyProtection="1">
      <alignment horizontal="left" vertical="center"/>
      <protection locked="0"/>
    </xf>
    <xf numFmtId="0" fontId="14" fillId="0" borderId="0" xfId="0" applyFont="1"/>
    <xf numFmtId="9" fontId="0" fillId="0" borderId="0" xfId="2" applyFont="1" applyFill="1" applyAlignment="1">
      <alignment horizontal="center"/>
    </xf>
    <xf numFmtId="0" fontId="7" fillId="0" borderId="10" xfId="0" applyFont="1" applyBorder="1"/>
    <xf numFmtId="43" fontId="7" fillId="0" borderId="10" xfId="1" applyFont="1" applyFill="1" applyBorder="1"/>
    <xf numFmtId="43" fontId="7" fillId="0" borderId="11" xfId="1" applyFont="1" applyFill="1" applyBorder="1"/>
    <xf numFmtId="43" fontId="7" fillId="0" borderId="9" xfId="1" applyFont="1" applyFill="1" applyBorder="1"/>
    <xf numFmtId="43" fontId="7" fillId="0" borderId="7" xfId="1" applyFont="1" applyFill="1" applyBorder="1"/>
    <xf numFmtId="0" fontId="5" fillId="0" borderId="7" xfId="0" applyFont="1" applyBorder="1"/>
    <xf numFmtId="43" fontId="5" fillId="0" borderId="3" xfId="1" applyFont="1" applyFill="1" applyBorder="1"/>
    <xf numFmtId="43" fontId="5" fillId="0" borderId="4" xfId="1" applyFont="1" applyFill="1" applyBorder="1"/>
    <xf numFmtId="43" fontId="5" fillId="0" borderId="7" xfId="1" applyFont="1" applyFill="1" applyBorder="1"/>
    <xf numFmtId="0" fontId="5" fillId="0" borderId="7" xfId="0" applyFont="1" applyBorder="1" applyAlignment="1">
      <alignment vertical="top"/>
    </xf>
    <xf numFmtId="2" fontId="5" fillId="0" borderId="7" xfId="2" applyNumberFormat="1" applyFont="1" applyFill="1" applyBorder="1"/>
    <xf numFmtId="0" fontId="5" fillId="0" borderId="3" xfId="0" applyFont="1" applyBorder="1" applyAlignment="1">
      <alignment vertical="top"/>
    </xf>
    <xf numFmtId="43" fontId="5" fillId="0" borderId="5" xfId="1" applyFont="1" applyFill="1" applyBorder="1"/>
    <xf numFmtId="43" fontId="5" fillId="0" borderId="6" xfId="1" applyFont="1" applyFill="1" applyBorder="1"/>
    <xf numFmtId="43" fontId="5" fillId="0" borderId="8" xfId="1" applyFont="1" applyFill="1" applyBorder="1"/>
    <xf numFmtId="2" fontId="5" fillId="0" borderId="8" xfId="2" applyNumberFormat="1" applyFont="1" applyFill="1" applyBorder="1"/>
    <xf numFmtId="0" fontId="7" fillId="0" borderId="5" xfId="0" applyFont="1" applyBorder="1"/>
    <xf numFmtId="43" fontId="7" fillId="0" borderId="5" xfId="1" applyFont="1" applyFill="1" applyBorder="1"/>
    <xf numFmtId="43" fontId="7" fillId="0" borderId="6" xfId="1" applyFont="1" applyFill="1" applyBorder="1"/>
    <xf numFmtId="0" fontId="7" fillId="0" borderId="15" xfId="0" applyFont="1" applyBorder="1"/>
    <xf numFmtId="43" fontId="7" fillId="0" borderId="8" xfId="1" applyFont="1" applyFill="1" applyBorder="1"/>
    <xf numFmtId="0" fontId="7" fillId="0" borderId="3" xfId="0" applyFont="1" applyBorder="1"/>
    <xf numFmtId="43" fontId="7" fillId="0" borderId="3" xfId="1" applyFont="1" applyFill="1" applyBorder="1"/>
    <xf numFmtId="43" fontId="7" fillId="0" borderId="4" xfId="1" applyFont="1" applyFill="1" applyBorder="1"/>
    <xf numFmtId="0" fontId="5" fillId="0" borderId="9" xfId="0" applyFont="1" applyBorder="1"/>
    <xf numFmtId="43" fontId="5" fillId="0" borderId="10" xfId="1" applyFont="1" applyFill="1" applyBorder="1"/>
    <xf numFmtId="43" fontId="5" fillId="0" borderId="11" xfId="1" applyFont="1" applyFill="1" applyBorder="1"/>
    <xf numFmtId="43" fontId="5" fillId="0" borderId="9" xfId="1" applyFont="1" applyFill="1" applyBorder="1"/>
    <xf numFmtId="0" fontId="5" fillId="0" borderId="12" xfId="0" applyFont="1" applyBorder="1"/>
    <xf numFmtId="43" fontId="5" fillId="0" borderId="13" xfId="1" applyFont="1" applyFill="1" applyBorder="1"/>
    <xf numFmtId="43" fontId="5" fillId="0" borderId="14" xfId="1" applyFont="1" applyFill="1" applyBorder="1"/>
    <xf numFmtId="0" fontId="5" fillId="0" borderId="1" xfId="0" applyFont="1" applyBorder="1"/>
    <xf numFmtId="43" fontId="5" fillId="0" borderId="12" xfId="1" applyFont="1" applyFill="1" applyBorder="1"/>
    <xf numFmtId="0" fontId="5" fillId="0" borderId="9" xfId="0" applyFont="1" applyBorder="1" applyAlignment="1">
      <alignment vertical="top"/>
    </xf>
    <xf numFmtId="2" fontId="5" fillId="0" borderId="9" xfId="2" applyNumberFormat="1" applyFont="1" applyFill="1" applyBorder="1"/>
    <xf numFmtId="2" fontId="7" fillId="0" borderId="7" xfId="2" applyNumberFormat="1" applyFont="1" applyFill="1" applyBorder="1"/>
    <xf numFmtId="0" fontId="7" fillId="0" borderId="7" xfId="0" applyFont="1" applyBorder="1" applyAlignment="1">
      <alignment vertical="center" wrapText="1"/>
    </xf>
    <xf numFmtId="2" fontId="0" fillId="3" borderId="0" xfId="2" applyNumberFormat="1" applyFont="1" applyFill="1"/>
    <xf numFmtId="0" fontId="0" fillId="3" borderId="0" xfId="0" applyFill="1" applyAlignment="1">
      <alignment horizontal="center"/>
    </xf>
    <xf numFmtId="166" fontId="0" fillId="3" borderId="0" xfId="2" applyNumberFormat="1" applyFont="1" applyFill="1" applyAlignment="1">
      <alignment horizontal="center"/>
    </xf>
    <xf numFmtId="10" fontId="0" fillId="3" borderId="0" xfId="2" applyNumberFormat="1" applyFont="1" applyFill="1" applyAlignment="1">
      <alignment horizontal="center"/>
    </xf>
    <xf numFmtId="10" fontId="5" fillId="0" borderId="0" xfId="2" applyNumberFormat="1" applyFont="1"/>
    <xf numFmtId="2" fontId="14" fillId="0" borderId="0" xfId="0" applyNumberFormat="1" applyFont="1" applyAlignment="1">
      <alignment horizontal="center"/>
    </xf>
    <xf numFmtId="43" fontId="0" fillId="0" borderId="0" xfId="1" applyFont="1" applyAlignment="1">
      <alignment horizontal="center"/>
    </xf>
    <xf numFmtId="0" fontId="0" fillId="7" borderId="0" xfId="0" applyFill="1"/>
    <xf numFmtId="0" fontId="0" fillId="7" borderId="1" xfId="0" applyFill="1" applyBorder="1"/>
    <xf numFmtId="43" fontId="7" fillId="7" borderId="9" xfId="1" applyFont="1" applyFill="1" applyBorder="1"/>
    <xf numFmtId="10" fontId="7" fillId="7" borderId="11" xfId="2" applyNumberFormat="1" applyFont="1" applyFill="1" applyBorder="1"/>
    <xf numFmtId="43" fontId="7" fillId="7" borderId="7" xfId="1" applyFont="1" applyFill="1" applyBorder="1"/>
    <xf numFmtId="10" fontId="7" fillId="7" borderId="4" xfId="2" applyNumberFormat="1" applyFont="1" applyFill="1" applyBorder="1"/>
    <xf numFmtId="43" fontId="7" fillId="7" borderId="8" xfId="1" applyFont="1" applyFill="1" applyBorder="1"/>
    <xf numFmtId="10" fontId="7" fillId="7" borderId="6" xfId="2" applyNumberFormat="1" applyFont="1" applyFill="1" applyBorder="1"/>
    <xf numFmtId="0" fontId="7" fillId="7" borderId="0" xfId="0" applyFont="1" applyFill="1"/>
    <xf numFmtId="0" fontId="29" fillId="7" borderId="0" xfId="0" applyFont="1" applyFill="1"/>
    <xf numFmtId="43" fontId="5" fillId="7" borderId="9" xfId="1" applyFont="1" applyFill="1" applyBorder="1"/>
    <xf numFmtId="10" fontId="5" fillId="7" borderId="11" xfId="2" applyNumberFormat="1" applyFont="1" applyFill="1" applyBorder="1"/>
    <xf numFmtId="43" fontId="5" fillId="7" borderId="7" xfId="1" applyFont="1" applyFill="1" applyBorder="1"/>
    <xf numFmtId="10" fontId="5" fillId="7" borderId="4" xfId="2" applyNumberFormat="1" applyFont="1" applyFill="1" applyBorder="1"/>
    <xf numFmtId="43" fontId="5" fillId="7" borderId="8" xfId="1" applyFont="1" applyFill="1" applyBorder="1"/>
    <xf numFmtId="10" fontId="5" fillId="7" borderId="6" xfId="2" applyNumberFormat="1" applyFont="1" applyFill="1" applyBorder="1"/>
    <xf numFmtId="43" fontId="0" fillId="7" borderId="7" xfId="1" applyFont="1" applyFill="1" applyBorder="1"/>
    <xf numFmtId="10" fontId="0" fillId="7" borderId="4" xfId="2" applyNumberFormat="1" applyFont="1" applyFill="1" applyBorder="1"/>
    <xf numFmtId="43" fontId="0" fillId="7" borderId="8" xfId="1" applyFont="1" applyFill="1" applyBorder="1"/>
    <xf numFmtId="10" fontId="0" fillId="7" borderId="6" xfId="2" applyNumberFormat="1" applyFont="1" applyFill="1" applyBorder="1"/>
    <xf numFmtId="43" fontId="25" fillId="7" borderId="9" xfId="1" applyFont="1" applyFill="1" applyBorder="1"/>
    <xf numFmtId="10" fontId="25" fillId="7" borderId="11" xfId="2" applyNumberFormat="1" applyFont="1" applyFill="1" applyBorder="1"/>
    <xf numFmtId="0" fontId="0" fillId="7" borderId="9" xfId="0" applyFill="1" applyBorder="1"/>
    <xf numFmtId="10" fontId="0" fillId="7" borderId="11" xfId="2" applyNumberFormat="1" applyFont="1" applyFill="1" applyBorder="1"/>
    <xf numFmtId="0" fontId="0" fillId="7" borderId="7" xfId="0" applyFill="1" applyBorder="1"/>
    <xf numFmtId="0" fontId="0" fillId="7" borderId="8" xfId="0" applyFill="1" applyBorder="1"/>
    <xf numFmtId="43" fontId="0" fillId="7" borderId="9" xfId="1" applyFont="1" applyFill="1" applyBorder="1"/>
    <xf numFmtId="43" fontId="18" fillId="0" borderId="0" xfId="1" applyFont="1" applyFill="1" applyAlignment="1" applyProtection="1">
      <alignment vertical="center"/>
      <protection locked="0"/>
    </xf>
    <xf numFmtId="43" fontId="0" fillId="0" borderId="1" xfId="1" applyFont="1" applyFill="1" applyBorder="1"/>
    <xf numFmtId="0" fontId="5" fillId="0" borderId="5" xfId="0" applyFont="1" applyBorder="1" applyAlignment="1">
      <alignment vertical="top"/>
    </xf>
    <xf numFmtId="10" fontId="7" fillId="0" borderId="9" xfId="2" applyNumberFormat="1" applyFont="1" applyFill="1" applyBorder="1"/>
    <xf numFmtId="10" fontId="7" fillId="0" borderId="7" xfId="2" applyNumberFormat="1" applyFont="1" applyFill="1" applyBorder="1"/>
    <xf numFmtId="10" fontId="7" fillId="0" borderId="8" xfId="2" applyNumberFormat="1" applyFont="1" applyFill="1" applyBorder="1"/>
    <xf numFmtId="10" fontId="5" fillId="0" borderId="9" xfId="2" applyNumberFormat="1" applyFont="1" applyFill="1" applyBorder="1"/>
    <xf numFmtId="10" fontId="5" fillId="0" borderId="7" xfId="2" applyNumberFormat="1" applyFont="1" applyFill="1" applyBorder="1"/>
    <xf numFmtId="10" fontId="5" fillId="0" borderId="12" xfId="2" applyNumberFormat="1" applyFont="1" applyFill="1" applyBorder="1"/>
    <xf numFmtId="10" fontId="5" fillId="0" borderId="8" xfId="2" applyNumberFormat="1" applyFont="1" applyFill="1" applyBorder="1"/>
    <xf numFmtId="10" fontId="0" fillId="0" borderId="7" xfId="2" applyNumberFormat="1" applyFont="1" applyFill="1" applyBorder="1"/>
    <xf numFmtId="10" fontId="0" fillId="0" borderId="8" xfId="2" applyNumberFormat="1" applyFont="1" applyFill="1" applyBorder="1"/>
    <xf numFmtId="10" fontId="25" fillId="0" borderId="9" xfId="2" applyNumberFormat="1" applyFont="1" applyFill="1" applyBorder="1"/>
    <xf numFmtId="10" fontId="0" fillId="0" borderId="9" xfId="2" applyNumberFormat="1" applyFont="1" applyFill="1" applyBorder="1"/>
    <xf numFmtId="43" fontId="1" fillId="0" borderId="10" xfId="1" applyFont="1" applyFill="1" applyBorder="1"/>
    <xf numFmtId="43" fontId="1" fillId="0" borderId="11" xfId="1" applyFont="1" applyFill="1" applyBorder="1"/>
    <xf numFmtId="0" fontId="1" fillId="0" borderId="0" xfId="0" applyFont="1"/>
    <xf numFmtId="43" fontId="1" fillId="0" borderId="3" xfId="1" applyFont="1" applyFill="1" applyBorder="1"/>
    <xf numFmtId="43" fontId="1" fillId="0" borderId="4" xfId="1" applyFont="1" applyFill="1" applyBorder="1"/>
    <xf numFmtId="0" fontId="0" fillId="0" borderId="9" xfId="0" applyBorder="1" applyAlignment="1">
      <alignment vertical="top"/>
    </xf>
    <xf numFmtId="0" fontId="19" fillId="0" borderId="9" xfId="0" applyFont="1" applyBorder="1" applyAlignment="1">
      <alignment vertical="top"/>
    </xf>
    <xf numFmtId="43" fontId="19" fillId="0" borderId="10" xfId="1" applyFont="1" applyFill="1" applyBorder="1"/>
    <xf numFmtId="43" fontId="19" fillId="0" borderId="11" xfId="1" applyFont="1" applyFill="1" applyBorder="1"/>
    <xf numFmtId="43" fontId="19" fillId="7" borderId="9" xfId="1" applyFont="1" applyFill="1" applyBorder="1"/>
    <xf numFmtId="10" fontId="19" fillId="7" borderId="11" xfId="2" applyNumberFormat="1" applyFont="1" applyFill="1" applyBorder="1"/>
    <xf numFmtId="43" fontId="19" fillId="0" borderId="9" xfId="1" applyFont="1" applyFill="1" applyBorder="1"/>
    <xf numFmtId="10" fontId="19" fillId="0" borderId="9" xfId="2" applyNumberFormat="1" applyFont="1" applyFill="1" applyBorder="1"/>
    <xf numFmtId="2" fontId="19" fillId="0" borderId="9" xfId="2" applyNumberFormat="1" applyFont="1" applyFill="1" applyBorder="1"/>
    <xf numFmtId="0" fontId="19" fillId="0" borderId="7" xfId="0" applyFont="1" applyBorder="1" applyAlignment="1">
      <alignment vertical="top"/>
    </xf>
    <xf numFmtId="43" fontId="19" fillId="0" borderId="3" xfId="1" applyFont="1" applyFill="1" applyBorder="1"/>
    <xf numFmtId="43" fontId="19" fillId="0" borderId="4" xfId="1" applyFont="1" applyFill="1" applyBorder="1"/>
    <xf numFmtId="43" fontId="19" fillId="7" borderId="7" xfId="1" applyFont="1" applyFill="1" applyBorder="1"/>
    <xf numFmtId="10" fontId="19" fillId="7" borderId="4" xfId="2" applyNumberFormat="1" applyFont="1" applyFill="1" applyBorder="1"/>
    <xf numFmtId="43" fontId="19" fillId="0" borderId="7" xfId="1" applyFont="1" applyFill="1" applyBorder="1"/>
    <xf numFmtId="10" fontId="19" fillId="0" borderId="7" xfId="2" applyNumberFormat="1" applyFont="1" applyFill="1" applyBorder="1"/>
    <xf numFmtId="2" fontId="19" fillId="0" borderId="7" xfId="2" applyNumberFormat="1" applyFont="1" applyFill="1" applyBorder="1"/>
    <xf numFmtId="0" fontId="19" fillId="0" borderId="8" xfId="0" applyFont="1" applyBorder="1"/>
    <xf numFmtId="43" fontId="19" fillId="0" borderId="5" xfId="1" applyFont="1" applyFill="1" applyBorder="1"/>
    <xf numFmtId="43" fontId="19" fillId="0" borderId="6" xfId="1" applyFont="1" applyFill="1" applyBorder="1"/>
    <xf numFmtId="43" fontId="19" fillId="7" borderId="8" xfId="1" applyFont="1" applyFill="1" applyBorder="1"/>
    <xf numFmtId="10" fontId="19" fillId="7" borderId="8" xfId="2" applyNumberFormat="1" applyFont="1" applyFill="1" applyBorder="1"/>
    <xf numFmtId="43" fontId="19" fillId="0" borderId="8" xfId="1" applyFont="1" applyFill="1" applyBorder="1"/>
    <xf numFmtId="166" fontId="19" fillId="0" borderId="8" xfId="2" applyNumberFormat="1" applyFont="1" applyFill="1" applyBorder="1"/>
    <xf numFmtId="10" fontId="19" fillId="0" borderId="8" xfId="2" applyNumberFormat="1" applyFont="1" applyFill="1" applyBorder="1"/>
    <xf numFmtId="43" fontId="19" fillId="0" borderId="8" xfId="1" applyFont="1" applyBorder="1"/>
    <xf numFmtId="43" fontId="10" fillId="0" borderId="0" xfId="1" applyFont="1" applyFill="1" applyAlignment="1">
      <alignment horizontal="center"/>
    </xf>
    <xf numFmtId="43" fontId="30" fillId="0" borderId="0" xfId="1" applyFont="1" applyFill="1" applyAlignment="1">
      <alignment horizontal="center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horizontal="center"/>
    </xf>
    <xf numFmtId="165" fontId="8" fillId="0" borderId="0" xfId="1" applyNumberFormat="1" applyFont="1" applyFill="1" applyAlignment="1" applyProtection="1">
      <alignment horizontal="left"/>
      <protection locked="0"/>
    </xf>
    <xf numFmtId="0" fontId="15" fillId="7" borderId="16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wrapText="1"/>
    </xf>
    <xf numFmtId="43" fontId="27" fillId="0" borderId="16" xfId="1" applyFont="1" applyFill="1" applyBorder="1" applyAlignment="1">
      <alignment horizontal="center" wrapText="1"/>
    </xf>
  </cellXfs>
  <cellStyles count="5">
    <cellStyle name="Comma" xfId="1" builtinId="3"/>
    <cellStyle name="Normal" xfId="0" builtinId="0"/>
    <cellStyle name="Normal 2" xfId="3" xr:uid="{00000000-0005-0000-0000-000002000000}"/>
    <cellStyle name="Normal 779" xfId="4" xr:uid="{EC637BBB-4C20-4CBC-A893-EF1D1E5C5FFC}"/>
    <cellStyle name="Percent" xfId="2" builtinId="5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502024</xdr:colOff>
      <xdr:row>162</xdr:row>
      <xdr:rowOff>152400</xdr:rowOff>
    </xdr:from>
    <xdr:to>
      <xdr:col>18</xdr:col>
      <xdr:colOff>44823</xdr:colOff>
      <xdr:row>167</xdr:row>
      <xdr:rowOff>35858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F247111A-80C4-45EB-8616-5B9F4259CEE6}"/>
            </a:ext>
          </a:extLst>
        </xdr:cNvPr>
        <xdr:cNvSpPr/>
      </xdr:nvSpPr>
      <xdr:spPr>
        <a:xfrm>
          <a:off x="10743304" y="32164020"/>
          <a:ext cx="1264919" cy="797858"/>
        </a:xfrm>
        <a:prstGeom prst="wedgeRectCallout">
          <a:avLst>
            <a:gd name="adj1" fmla="val -144812"/>
            <a:gd name="adj2" fmla="val 107328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555812</xdr:colOff>
      <xdr:row>163</xdr:row>
      <xdr:rowOff>8966</xdr:rowOff>
    </xdr:from>
    <xdr:to>
      <xdr:col>17</xdr:col>
      <xdr:colOff>493058</xdr:colOff>
      <xdr:row>166</xdr:row>
      <xdr:rowOff>170331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571901-619F-4FCC-AB78-2DB777676D8E}"/>
            </a:ext>
          </a:extLst>
        </xdr:cNvPr>
        <xdr:cNvSpPr txBox="1"/>
      </xdr:nvSpPr>
      <xdr:spPr>
        <a:xfrm>
          <a:off x="10797092" y="32203466"/>
          <a:ext cx="1148826" cy="710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โครงสร้างราคาให้ขายแบบต้นทุนโรงงานส่ง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502024</xdr:colOff>
      <xdr:row>162</xdr:row>
      <xdr:rowOff>152400</xdr:rowOff>
    </xdr:from>
    <xdr:to>
      <xdr:col>18</xdr:col>
      <xdr:colOff>44823</xdr:colOff>
      <xdr:row>167</xdr:row>
      <xdr:rowOff>35858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3C387F1C-1B94-4922-9993-0C4069615565}"/>
            </a:ext>
          </a:extLst>
        </xdr:cNvPr>
        <xdr:cNvSpPr/>
      </xdr:nvSpPr>
      <xdr:spPr>
        <a:xfrm>
          <a:off x="10789024" y="32164020"/>
          <a:ext cx="1264919" cy="797858"/>
        </a:xfrm>
        <a:prstGeom prst="wedgeRectCallout">
          <a:avLst>
            <a:gd name="adj1" fmla="val -144812"/>
            <a:gd name="adj2" fmla="val 107328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555812</xdr:colOff>
      <xdr:row>163</xdr:row>
      <xdr:rowOff>8966</xdr:rowOff>
    </xdr:from>
    <xdr:to>
      <xdr:col>17</xdr:col>
      <xdr:colOff>493058</xdr:colOff>
      <xdr:row>166</xdr:row>
      <xdr:rowOff>170331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9D0EE91-1C03-40D6-80B0-6EE9199D07CF}"/>
            </a:ext>
          </a:extLst>
        </xdr:cNvPr>
        <xdr:cNvSpPr txBox="1"/>
      </xdr:nvSpPr>
      <xdr:spPr>
        <a:xfrm>
          <a:off x="10842812" y="32203466"/>
          <a:ext cx="1148826" cy="710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/>
            <a:t>โครงสร้างราคาให้ขายแบบต้นทุนโรงงานส่ง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67F6-B43E-4C79-9069-F5CDABAEA578}">
  <dimension ref="A1:CJ174"/>
  <sheetViews>
    <sheetView zoomScale="85" zoomScaleNormal="85" workbookViewId="0">
      <pane ySplit="7" topLeftCell="A167" activePane="bottomLeft" state="frozen"/>
      <selection pane="bottomLeft" activeCell="B181" sqref="B181"/>
    </sheetView>
  </sheetViews>
  <sheetFormatPr defaultRowHeight="14.4"/>
  <cols>
    <col min="1" max="1" width="8.6640625" customWidth="1"/>
    <col min="2" max="2" width="36.77734375" customWidth="1"/>
    <col min="3" max="4" width="8" customWidth="1"/>
    <col min="5" max="5" width="4.109375" customWidth="1"/>
    <col min="6" max="7" width="8.5546875" style="160" customWidth="1"/>
    <col min="8" max="8" width="8.33203125" customWidth="1"/>
    <col min="9" max="9" width="8.6640625" customWidth="1"/>
    <col min="10" max="10" width="8.33203125" style="18" customWidth="1"/>
    <col min="11" max="11" width="8.6640625" style="18" customWidth="1"/>
    <col min="12" max="12" width="8.33203125" style="1" customWidth="1"/>
    <col min="13" max="15" width="8.33203125" style="18" customWidth="1"/>
    <col min="16" max="16" width="10.109375" customWidth="1"/>
    <col min="17" max="17" width="7.5546875" customWidth="1"/>
    <col min="18" max="21" width="7.44140625" style="23" customWidth="1"/>
    <col min="22" max="22" width="7.44140625" customWidth="1"/>
    <col min="23" max="23" width="4.6640625" customWidth="1"/>
    <col min="25" max="30" width="7.5546875" customWidth="1"/>
  </cols>
  <sheetData>
    <row r="1" spans="1:88">
      <c r="Q1" s="88" t="s">
        <v>116</v>
      </c>
      <c r="R1" s="89" t="s">
        <v>123</v>
      </c>
      <c r="S1" s="86" t="s">
        <v>117</v>
      </c>
      <c r="T1" s="86" t="s">
        <v>118</v>
      </c>
      <c r="U1" s="86" t="s">
        <v>119</v>
      </c>
      <c r="V1" s="86" t="s">
        <v>120</v>
      </c>
      <c r="Y1" s="88" t="s">
        <v>116</v>
      </c>
      <c r="Z1" s="156" t="s">
        <v>123</v>
      </c>
      <c r="AA1" s="86" t="s">
        <v>117</v>
      </c>
      <c r="AB1" s="86" t="s">
        <v>118</v>
      </c>
      <c r="AC1" s="86" t="s">
        <v>119</v>
      </c>
      <c r="AD1" s="86" t="s">
        <v>120</v>
      </c>
    </row>
    <row r="2" spans="1:88" ht="36.6">
      <c r="A2" s="11" t="s">
        <v>0</v>
      </c>
      <c r="C2" s="112" t="s">
        <v>130</v>
      </c>
      <c r="D2" s="6"/>
      <c r="E2" s="6"/>
      <c r="L2" s="35" t="s">
        <v>1</v>
      </c>
      <c r="N2" s="187"/>
      <c r="O2" s="35"/>
      <c r="P2" s="99" t="s">
        <v>52</v>
      </c>
      <c r="Q2" s="106">
        <v>29</v>
      </c>
      <c r="R2" s="153">
        <v>32</v>
      </c>
      <c r="S2" s="158">
        <v>36</v>
      </c>
      <c r="T2" s="158">
        <v>37</v>
      </c>
      <c r="U2" s="158">
        <v>38</v>
      </c>
      <c r="V2" s="158">
        <v>39</v>
      </c>
      <c r="X2" s="99" t="s">
        <v>53</v>
      </c>
      <c r="Y2" s="106">
        <v>29</v>
      </c>
      <c r="Z2" s="153">
        <v>38.75</v>
      </c>
      <c r="AA2" s="158">
        <v>36</v>
      </c>
      <c r="AB2" s="158">
        <v>37</v>
      </c>
      <c r="AC2" s="158">
        <v>38</v>
      </c>
      <c r="AD2" s="158">
        <v>39</v>
      </c>
    </row>
    <row r="3" spans="1:88" ht="24.6">
      <c r="A3" s="12" t="s">
        <v>2</v>
      </c>
      <c r="B3" s="2" t="s">
        <v>3</v>
      </c>
      <c r="C3" s="113" t="s">
        <v>52</v>
      </c>
      <c r="D3" s="112" t="s">
        <v>139</v>
      </c>
      <c r="E3" s="6"/>
      <c r="L3" s="36" t="s">
        <v>4</v>
      </c>
      <c r="N3" s="238">
        <v>46158</v>
      </c>
      <c r="O3" s="238"/>
      <c r="Q3" s="86" t="s">
        <v>121</v>
      </c>
      <c r="R3" s="99">
        <f>R2-Q2</f>
        <v>3</v>
      </c>
      <c r="S3" s="104">
        <f>S2-Q2</f>
        <v>7</v>
      </c>
      <c r="T3" s="104">
        <f>T2-Q2</f>
        <v>8</v>
      </c>
      <c r="U3" s="104">
        <f>U2-Q2</f>
        <v>9</v>
      </c>
      <c r="V3" s="104">
        <f>V2-Q2</f>
        <v>10</v>
      </c>
      <c r="Y3" s="86" t="s">
        <v>121</v>
      </c>
      <c r="Z3" s="154">
        <f>Z2-Y2</f>
        <v>9.75</v>
      </c>
      <c r="AA3" s="104">
        <f>AA2-Y2</f>
        <v>7</v>
      </c>
      <c r="AB3" s="104">
        <f>AB2-Y2</f>
        <v>8</v>
      </c>
      <c r="AC3" s="104">
        <f>AC2-Y2</f>
        <v>9</v>
      </c>
      <c r="AD3" s="104">
        <f>AD2-Y2</f>
        <v>10</v>
      </c>
    </row>
    <row r="4" spans="1:88" ht="24.6">
      <c r="A4" s="12" t="s">
        <v>5</v>
      </c>
      <c r="B4" s="2" t="s">
        <v>138</v>
      </c>
      <c r="C4" s="113" t="s">
        <v>53</v>
      </c>
      <c r="D4" s="112" t="s">
        <v>139</v>
      </c>
      <c r="E4" s="6"/>
      <c r="Q4" s="86" t="s">
        <v>122</v>
      </c>
      <c r="R4" s="155">
        <f>R3/R2</f>
        <v>9.375E-2</v>
      </c>
      <c r="S4" s="87">
        <f>S3/S2</f>
        <v>0.19444444444444445</v>
      </c>
      <c r="T4" s="87">
        <f t="shared" ref="T4:U4" si="0">T3/T2</f>
        <v>0.21621621621621623</v>
      </c>
      <c r="U4" s="87">
        <f t="shared" si="0"/>
        <v>0.23684210526315788</v>
      </c>
      <c r="V4" s="87">
        <f>V3/V2</f>
        <v>0.25641025641025639</v>
      </c>
      <c r="Y4" s="86" t="s">
        <v>122</v>
      </c>
      <c r="Z4" s="155">
        <f>Z3/Z2</f>
        <v>0.25161290322580643</v>
      </c>
      <c r="AA4" s="87">
        <f>AA3/AA2</f>
        <v>0.19444444444444445</v>
      </c>
      <c r="AB4" s="87">
        <f t="shared" ref="AB4:AD4" si="1">AB3/AB2</f>
        <v>0.21621621621621623</v>
      </c>
      <c r="AC4" s="87">
        <f t="shared" si="1"/>
        <v>0.23684210526315788</v>
      </c>
      <c r="AD4" s="87">
        <f t="shared" si="1"/>
        <v>0.25641025641025639</v>
      </c>
    </row>
    <row r="5" spans="1:88" ht="6.75" customHeight="1">
      <c r="A5" s="13"/>
      <c r="B5" s="3"/>
      <c r="C5" s="3"/>
      <c r="D5" s="3"/>
      <c r="E5" s="3"/>
      <c r="F5" s="161"/>
      <c r="G5" s="161"/>
      <c r="H5" s="3"/>
      <c r="I5" s="3"/>
      <c r="J5" s="188"/>
      <c r="K5" s="188"/>
      <c r="L5" s="4"/>
      <c r="M5" s="188"/>
      <c r="N5" s="188"/>
      <c r="O5" s="188"/>
      <c r="P5" s="5"/>
      <c r="Q5" s="85"/>
    </row>
    <row r="6" spans="1:88" ht="28.2" customHeight="1">
      <c r="A6" s="12"/>
      <c r="F6" s="239" t="s">
        <v>50</v>
      </c>
      <c r="G6" s="239"/>
      <c r="H6" s="240" t="s">
        <v>112</v>
      </c>
      <c r="I6" s="240"/>
      <c r="J6" s="241" t="s">
        <v>113</v>
      </c>
      <c r="K6" s="241"/>
      <c r="L6" s="241" t="s">
        <v>115</v>
      </c>
      <c r="M6" s="241"/>
      <c r="N6" s="241" t="s">
        <v>114</v>
      </c>
      <c r="O6" s="241"/>
      <c r="P6" s="85"/>
      <c r="Q6" s="85"/>
      <c r="S6" s="157" t="s">
        <v>137</v>
      </c>
      <c r="X6" s="90"/>
      <c r="AH6" s="90"/>
    </row>
    <row r="7" spans="1:88" ht="40.200000000000003" customHeight="1" thickBot="1">
      <c r="A7" s="12"/>
      <c r="B7" s="25" t="s">
        <v>48</v>
      </c>
      <c r="C7" s="20" t="s">
        <v>6</v>
      </c>
      <c r="D7" s="20" t="s">
        <v>129</v>
      </c>
      <c r="E7" s="20"/>
      <c r="F7" s="236" t="s">
        <v>126</v>
      </c>
      <c r="G7" s="236"/>
      <c r="H7" s="236"/>
      <c r="I7" s="236"/>
      <c r="J7" s="236" t="s">
        <v>127</v>
      </c>
      <c r="K7" s="236"/>
      <c r="L7" s="236"/>
      <c r="M7" s="236"/>
      <c r="N7" s="236" t="s">
        <v>128</v>
      </c>
      <c r="O7" s="236"/>
      <c r="P7" t="s">
        <v>57</v>
      </c>
      <c r="Q7" s="90" t="s">
        <v>50</v>
      </c>
      <c r="R7" s="91" t="s">
        <v>112</v>
      </c>
      <c r="S7" s="91" t="s">
        <v>113</v>
      </c>
      <c r="T7" s="91" t="s">
        <v>114</v>
      </c>
      <c r="U7" s="91" t="s">
        <v>115</v>
      </c>
      <c r="X7" s="107"/>
      <c r="Y7" s="237"/>
      <c r="Z7" s="237"/>
      <c r="AA7" s="237"/>
      <c r="AB7" s="237"/>
      <c r="AC7" s="237"/>
      <c r="AD7" s="237"/>
      <c r="AE7" s="237"/>
      <c r="AF7" s="237"/>
      <c r="AG7" s="237"/>
      <c r="AH7" s="237"/>
    </row>
    <row r="8" spans="1:88" ht="24.75" customHeight="1" thickBot="1">
      <c r="A8" s="14"/>
      <c r="B8" s="47" t="s">
        <v>125</v>
      </c>
      <c r="C8" s="9"/>
      <c r="H8" s="7"/>
      <c r="I8" s="7"/>
      <c r="L8" s="10"/>
      <c r="M8" s="232"/>
      <c r="N8" s="232"/>
      <c r="O8" s="232"/>
      <c r="Q8" s="92">
        <v>4.065040650406504E-2</v>
      </c>
      <c r="R8" s="92">
        <v>7.0000000000000007E-2</v>
      </c>
      <c r="S8" s="92">
        <v>0.13</v>
      </c>
      <c r="T8" s="92">
        <v>0.15</v>
      </c>
      <c r="U8" s="92">
        <v>0.17</v>
      </c>
      <c r="X8" s="110"/>
      <c r="Y8" s="90"/>
      <c r="Z8" s="86"/>
      <c r="AA8" s="90"/>
      <c r="AB8" s="86"/>
      <c r="AC8" s="90"/>
      <c r="AD8" s="86"/>
      <c r="AE8" s="90"/>
      <c r="AF8" s="86"/>
      <c r="AG8" s="90"/>
      <c r="AH8" s="86"/>
    </row>
    <row r="9" spans="1:88" s="6" customFormat="1" ht="19.2" customHeight="1">
      <c r="A9" s="70">
        <v>0.52500000000000002</v>
      </c>
      <c r="B9" s="116" t="s">
        <v>145</v>
      </c>
      <c r="C9" s="117">
        <f>D9/1.07</f>
        <v>14.228971962616823</v>
      </c>
      <c r="D9" s="118">
        <f>$Q$2*$A9</f>
        <v>15.225000000000001</v>
      </c>
      <c r="E9" s="81"/>
      <c r="F9" s="162">
        <v>16.75</v>
      </c>
      <c r="G9" s="163">
        <f>F9/$D9-1</f>
        <v>0.10016420361247946</v>
      </c>
      <c r="H9" s="119">
        <v>18.25</v>
      </c>
      <c r="I9" s="190">
        <f>H9/$D9-1</f>
        <v>0.19868637110016407</v>
      </c>
      <c r="J9" s="119">
        <v>18.5</v>
      </c>
      <c r="K9" s="190">
        <f>J9/$D9-1</f>
        <v>0.21510673234811151</v>
      </c>
      <c r="L9" s="119">
        <v>19</v>
      </c>
      <c r="M9" s="190">
        <f>L9/$D9-1</f>
        <v>0.24794745484400638</v>
      </c>
      <c r="N9" s="119">
        <v>19.5</v>
      </c>
      <c r="O9" s="190">
        <f>N9/$D9-1</f>
        <v>0.28078817733990147</v>
      </c>
      <c r="P9"/>
      <c r="Q9" s="18">
        <f>R2*A9</f>
        <v>16.8</v>
      </c>
      <c r="R9" s="18">
        <f>S2*A9</f>
        <v>18.900000000000002</v>
      </c>
      <c r="S9" s="18">
        <f>T2*A9</f>
        <v>19.425000000000001</v>
      </c>
      <c r="T9" s="18">
        <f>U2*A9</f>
        <v>19.95</v>
      </c>
      <c r="U9" s="18">
        <f>V2*A9</f>
        <v>20.475000000000001</v>
      </c>
      <c r="V9" s="55"/>
      <c r="W9"/>
      <c r="X9" s="104"/>
      <c r="Y9" s="108"/>
      <c r="Z9" s="108"/>
      <c r="AA9" s="108"/>
      <c r="AB9" s="109"/>
      <c r="AC9" s="108"/>
      <c r="AD9" s="109"/>
      <c r="AE9" s="108"/>
      <c r="AF9" s="109"/>
      <c r="AG9" s="108"/>
      <c r="AH9" s="10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</row>
    <row r="10" spans="1:88" s="6" customFormat="1">
      <c r="A10" s="70">
        <v>0.57499999999999996</v>
      </c>
      <c r="B10" s="137" t="s">
        <v>146</v>
      </c>
      <c r="C10" s="138">
        <f>D10/1.07</f>
        <v>15.584112149532707</v>
      </c>
      <c r="D10" s="139">
        <f>$Q$2*$A10</f>
        <v>16.674999999999997</v>
      </c>
      <c r="E10" s="69"/>
      <c r="F10" s="164">
        <v>18.25</v>
      </c>
      <c r="G10" s="165">
        <f>F10/$D10-1</f>
        <v>9.4452773613193486E-2</v>
      </c>
      <c r="H10" s="120">
        <v>20</v>
      </c>
      <c r="I10" s="191">
        <f t="shared" ref="I10:I17" si="2">H10/$D10-1</f>
        <v>0.19940029985007524</v>
      </c>
      <c r="J10" s="120">
        <v>20.25</v>
      </c>
      <c r="K10" s="191">
        <f t="shared" ref="K10:K17" si="3">J10/$D10-1</f>
        <v>0.21439280359820101</v>
      </c>
      <c r="L10" s="120">
        <v>20.75</v>
      </c>
      <c r="M10" s="191">
        <f>L10/$D10-1</f>
        <v>0.244377811094453</v>
      </c>
      <c r="N10" s="120">
        <v>21.25</v>
      </c>
      <c r="O10" s="191">
        <f t="shared" ref="O10:O17" si="4">N10/$D10-1</f>
        <v>0.27436281859070477</v>
      </c>
      <c r="P10"/>
      <c r="Q10" s="159">
        <f>R2*A10</f>
        <v>18.399999999999999</v>
      </c>
      <c r="R10" s="159">
        <f>S2*A10</f>
        <v>20.7</v>
      </c>
      <c r="S10" s="159">
        <f>T2*A10</f>
        <v>21.274999999999999</v>
      </c>
      <c r="T10" s="159">
        <f>U2*A10</f>
        <v>21.849999999999998</v>
      </c>
      <c r="U10" s="159">
        <f>V2*A10</f>
        <v>22.424999999999997</v>
      </c>
      <c r="V10" s="55"/>
      <c r="W10"/>
      <c r="X10" s="104"/>
      <c r="Y10" s="108"/>
      <c r="Z10" s="108"/>
      <c r="AA10" s="108"/>
      <c r="AB10" s="109"/>
      <c r="AC10" s="108"/>
      <c r="AD10" s="109"/>
      <c r="AE10" s="108"/>
      <c r="AF10" s="109"/>
      <c r="AG10" s="108"/>
      <c r="AH10" s="109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</row>
    <row r="11" spans="1:88" s="6" customFormat="1">
      <c r="A11" s="70">
        <v>0.625</v>
      </c>
      <c r="B11" s="137" t="s">
        <v>147</v>
      </c>
      <c r="C11" s="138">
        <f t="shared" ref="C11:C16" si="5">D11/1.07</f>
        <v>16.939252336448597</v>
      </c>
      <c r="D11" s="139">
        <f t="shared" ref="D11:D17" si="6">$Q$2*$A11</f>
        <v>18.125</v>
      </c>
      <c r="E11" s="69"/>
      <c r="F11" s="164">
        <v>19.75</v>
      </c>
      <c r="G11" s="165">
        <f t="shared" ref="G11:G17" si="7">F11/$D11-1</f>
        <v>8.9655172413793061E-2</v>
      </c>
      <c r="H11" s="120">
        <v>21.75</v>
      </c>
      <c r="I11" s="191">
        <f t="shared" si="2"/>
        <v>0.19999999999999996</v>
      </c>
      <c r="J11" s="120">
        <v>22</v>
      </c>
      <c r="K11" s="191">
        <f t="shared" si="3"/>
        <v>0.21379310344827585</v>
      </c>
      <c r="L11" s="120">
        <v>22.5</v>
      </c>
      <c r="M11" s="191">
        <f>L11/$D11-1</f>
        <v>0.24137931034482762</v>
      </c>
      <c r="N11" s="120">
        <v>23.25</v>
      </c>
      <c r="O11" s="191">
        <f t="shared" si="4"/>
        <v>0.28275862068965507</v>
      </c>
      <c r="P11"/>
      <c r="Q11" s="159">
        <f>R2*A11</f>
        <v>20</v>
      </c>
      <c r="R11" s="159">
        <f>S2*A11</f>
        <v>22.5</v>
      </c>
      <c r="S11" s="159">
        <f>T2*A11</f>
        <v>23.125</v>
      </c>
      <c r="T11" s="159">
        <f>U2*A11</f>
        <v>23.75</v>
      </c>
      <c r="U11" s="159">
        <f>V2*A11</f>
        <v>24.375</v>
      </c>
      <c r="V11" s="55"/>
      <c r="W11"/>
      <c r="X11" s="104"/>
      <c r="Y11" s="108"/>
      <c r="Z11" s="108"/>
      <c r="AA11" s="108"/>
      <c r="AB11" s="109"/>
      <c r="AC11" s="108"/>
      <c r="AD11" s="109"/>
      <c r="AE11" s="108"/>
      <c r="AF11" s="109"/>
      <c r="AG11" s="108"/>
      <c r="AH11" s="109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1:88" s="6" customFormat="1">
      <c r="A12" s="70">
        <v>0.67500000000000004</v>
      </c>
      <c r="B12" s="137" t="s">
        <v>148</v>
      </c>
      <c r="C12" s="138">
        <f t="shared" si="5"/>
        <v>18.294392523364486</v>
      </c>
      <c r="D12" s="139">
        <f>$Q$2*$A12</f>
        <v>19.575000000000003</v>
      </c>
      <c r="E12" s="69"/>
      <c r="F12" s="164">
        <v>21.5</v>
      </c>
      <c r="G12" s="165">
        <f>F12/$D12-1</f>
        <v>9.8339719029373995E-2</v>
      </c>
      <c r="H12" s="120">
        <v>23.5</v>
      </c>
      <c r="I12" s="191">
        <f t="shared" si="2"/>
        <v>0.20051085568326932</v>
      </c>
      <c r="J12" s="120">
        <v>23.75</v>
      </c>
      <c r="K12" s="191">
        <f t="shared" si="3"/>
        <v>0.21328224776500626</v>
      </c>
      <c r="L12" s="120">
        <v>24.25</v>
      </c>
      <c r="M12" s="191">
        <f>L12/$D12-1</f>
        <v>0.23882503192847993</v>
      </c>
      <c r="N12" s="120">
        <v>25</v>
      </c>
      <c r="O12" s="191">
        <f t="shared" si="4"/>
        <v>0.27713920817369075</v>
      </c>
      <c r="P12"/>
      <c r="Q12" s="159">
        <f>R2*A12</f>
        <v>21.6</v>
      </c>
      <c r="R12" s="159">
        <f>S2*A12</f>
        <v>24.3</v>
      </c>
      <c r="S12" s="159">
        <f>T2*A12</f>
        <v>24.975000000000001</v>
      </c>
      <c r="T12" s="159">
        <f>U2*A12</f>
        <v>25.650000000000002</v>
      </c>
      <c r="U12" s="159">
        <f>V2*A12</f>
        <v>26.325000000000003</v>
      </c>
      <c r="V12" s="55"/>
      <c r="W12"/>
      <c r="X12" s="104"/>
      <c r="Y12" s="108"/>
      <c r="Z12" s="108"/>
      <c r="AA12" s="108"/>
      <c r="AB12" s="109"/>
      <c r="AC12" s="108"/>
      <c r="AD12" s="109"/>
      <c r="AE12" s="108"/>
      <c r="AF12" s="109"/>
      <c r="AG12" s="108"/>
      <c r="AH12" s="109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pans="1:88" s="6" customFormat="1">
      <c r="A13" s="70">
        <v>0.72499999999999998</v>
      </c>
      <c r="B13" s="137" t="s">
        <v>149</v>
      </c>
      <c r="C13" s="138">
        <f t="shared" si="5"/>
        <v>19.649532710280372</v>
      </c>
      <c r="D13" s="139">
        <f>$Q$2*$A13</f>
        <v>21.024999999999999</v>
      </c>
      <c r="E13" s="69"/>
      <c r="F13" s="164">
        <v>23</v>
      </c>
      <c r="G13" s="165">
        <f t="shared" si="7"/>
        <v>9.3935790725327095E-2</v>
      </c>
      <c r="H13" s="120">
        <v>25.25</v>
      </c>
      <c r="I13" s="191">
        <f t="shared" si="2"/>
        <v>0.20095124851367419</v>
      </c>
      <c r="J13" s="120">
        <v>25.5</v>
      </c>
      <c r="K13" s="191">
        <f t="shared" si="3"/>
        <v>0.21284185493460184</v>
      </c>
      <c r="L13" s="120">
        <v>26</v>
      </c>
      <c r="M13" s="191">
        <f t="shared" ref="M13:M17" si="8">L13/$D13-1</f>
        <v>0.2366230677764567</v>
      </c>
      <c r="N13" s="120">
        <v>27</v>
      </c>
      <c r="O13" s="191">
        <f t="shared" si="4"/>
        <v>0.28418549346016664</v>
      </c>
      <c r="P13"/>
      <c r="Q13" s="159">
        <f>R2*A13</f>
        <v>23.2</v>
      </c>
      <c r="R13" s="159">
        <f>S2*A13</f>
        <v>26.099999999999998</v>
      </c>
      <c r="S13" s="159">
        <f>T2*A13</f>
        <v>26.824999999999999</v>
      </c>
      <c r="T13" s="159">
        <f>U2*A13</f>
        <v>27.55</v>
      </c>
      <c r="U13" s="159">
        <f>V2*A13</f>
        <v>28.274999999999999</v>
      </c>
      <c r="V13" s="55"/>
      <c r="W13"/>
      <c r="X13" s="104"/>
      <c r="Y13" s="108"/>
      <c r="Z13" s="108"/>
      <c r="AA13" s="108"/>
      <c r="AB13" s="109"/>
      <c r="AC13" s="108"/>
      <c r="AD13" s="109"/>
      <c r="AE13" s="108"/>
      <c r="AF13" s="109"/>
      <c r="AG13" s="108"/>
      <c r="AH13" s="109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1:88" s="6" customFormat="1">
      <c r="A14" s="70">
        <v>0.77500000000000002</v>
      </c>
      <c r="B14" s="137" t="s">
        <v>150</v>
      </c>
      <c r="C14" s="138">
        <f t="shared" si="5"/>
        <v>21.004672897196262</v>
      </c>
      <c r="D14" s="139">
        <f t="shared" si="6"/>
        <v>22.475000000000001</v>
      </c>
      <c r="E14" s="69"/>
      <c r="F14" s="164">
        <v>24.75</v>
      </c>
      <c r="G14" s="165">
        <f t="shared" si="7"/>
        <v>0.10122358175750823</v>
      </c>
      <c r="H14" s="120">
        <v>27</v>
      </c>
      <c r="I14" s="191">
        <f t="shared" si="2"/>
        <v>0.20133481646273621</v>
      </c>
      <c r="J14" s="120">
        <v>27.25</v>
      </c>
      <c r="K14" s="191">
        <f t="shared" si="3"/>
        <v>0.21245828698553937</v>
      </c>
      <c r="L14" s="120">
        <v>27.75</v>
      </c>
      <c r="M14" s="191">
        <f>L14/$D14-1</f>
        <v>0.23470522803114569</v>
      </c>
      <c r="N14" s="120">
        <v>28.75</v>
      </c>
      <c r="O14" s="191">
        <f t="shared" si="4"/>
        <v>0.2791991101223581</v>
      </c>
      <c r="P14"/>
      <c r="Q14" s="159">
        <f>R2*A14</f>
        <v>24.8</v>
      </c>
      <c r="R14" s="159">
        <f>S2*A14</f>
        <v>27.900000000000002</v>
      </c>
      <c r="S14" s="159">
        <f>T2*A14</f>
        <v>28.675000000000001</v>
      </c>
      <c r="T14" s="159">
        <f>U2*A14</f>
        <v>29.45</v>
      </c>
      <c r="U14" s="159">
        <f>V2*A14</f>
        <v>30.225000000000001</v>
      </c>
      <c r="V14" s="55"/>
      <c r="W14"/>
      <c r="X14" s="104"/>
      <c r="Y14" s="108"/>
      <c r="Z14" s="108"/>
      <c r="AA14" s="108"/>
      <c r="AB14" s="109"/>
      <c r="AC14" s="108"/>
      <c r="AD14" s="109"/>
      <c r="AE14" s="108"/>
      <c r="AF14" s="109"/>
      <c r="AG14" s="108"/>
      <c r="AH14" s="109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1:88" s="6" customFormat="1">
      <c r="A15" s="70">
        <v>0.82499999999999996</v>
      </c>
      <c r="B15" s="137" t="s">
        <v>151</v>
      </c>
      <c r="C15" s="138">
        <f t="shared" si="5"/>
        <v>22.359813084112144</v>
      </c>
      <c r="D15" s="139">
        <f t="shared" si="6"/>
        <v>23.924999999999997</v>
      </c>
      <c r="E15" s="69"/>
      <c r="F15" s="164">
        <v>26.25</v>
      </c>
      <c r="G15" s="165">
        <f t="shared" si="7"/>
        <v>9.7178683385580111E-2</v>
      </c>
      <c r="H15" s="120">
        <v>28.5</v>
      </c>
      <c r="I15" s="191">
        <f t="shared" si="2"/>
        <v>0.19122257053291558</v>
      </c>
      <c r="J15" s="120">
        <v>29</v>
      </c>
      <c r="K15" s="191">
        <f t="shared" si="3"/>
        <v>0.21212121212121215</v>
      </c>
      <c r="L15" s="120">
        <v>29.5</v>
      </c>
      <c r="M15" s="191">
        <f>L15/$D15-1</f>
        <v>0.23301985370950895</v>
      </c>
      <c r="N15" s="120">
        <v>30.5</v>
      </c>
      <c r="O15" s="191">
        <f t="shared" si="4"/>
        <v>0.27481713688610254</v>
      </c>
      <c r="P15"/>
      <c r="Q15" s="159">
        <f>R2*A15</f>
        <v>26.4</v>
      </c>
      <c r="R15" s="159">
        <f>S2*A15</f>
        <v>29.7</v>
      </c>
      <c r="S15" s="159">
        <f>T2*A15</f>
        <v>30.524999999999999</v>
      </c>
      <c r="T15" s="159">
        <f>U2*A15</f>
        <v>31.349999999999998</v>
      </c>
      <c r="U15" s="159">
        <f>V2*A15</f>
        <v>32.174999999999997</v>
      </c>
      <c r="V15" s="55"/>
      <c r="W15"/>
      <c r="X15" s="104"/>
      <c r="Y15" s="108"/>
      <c r="Z15" s="108"/>
      <c r="AA15" s="108"/>
      <c r="AB15" s="109"/>
      <c r="AC15" s="108"/>
      <c r="AD15" s="109"/>
      <c r="AE15" s="108"/>
      <c r="AF15" s="109"/>
      <c r="AG15" s="108"/>
      <c r="AH15" s="109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1:88" s="6" customFormat="1">
      <c r="A16" s="70">
        <v>0.92500000000000004</v>
      </c>
      <c r="B16" s="137" t="s">
        <v>152</v>
      </c>
      <c r="C16" s="138">
        <f t="shared" si="5"/>
        <v>25.070093457943926</v>
      </c>
      <c r="D16" s="139">
        <f t="shared" si="6"/>
        <v>26.825000000000003</v>
      </c>
      <c r="E16" s="69"/>
      <c r="F16" s="164">
        <v>29.5</v>
      </c>
      <c r="G16" s="165">
        <f>F16/$D16-1</f>
        <v>9.9720410065237575E-2</v>
      </c>
      <c r="H16" s="120">
        <v>32</v>
      </c>
      <c r="I16" s="191">
        <f t="shared" si="2"/>
        <v>0.19291705498602041</v>
      </c>
      <c r="J16" s="120">
        <v>32.5</v>
      </c>
      <c r="K16" s="191">
        <f t="shared" si="3"/>
        <v>0.21155638397017684</v>
      </c>
      <c r="L16" s="120">
        <v>33</v>
      </c>
      <c r="M16" s="191">
        <f t="shared" si="8"/>
        <v>0.2301957129543335</v>
      </c>
      <c r="N16" s="120">
        <v>34</v>
      </c>
      <c r="O16" s="191">
        <f t="shared" si="4"/>
        <v>0.26747437092264659</v>
      </c>
      <c r="P16"/>
      <c r="Q16" s="159">
        <f>R2*A16</f>
        <v>29.6</v>
      </c>
      <c r="R16" s="159">
        <f>S2*A16</f>
        <v>33.300000000000004</v>
      </c>
      <c r="S16" s="159">
        <f>T2*A16</f>
        <v>34.225000000000001</v>
      </c>
      <c r="T16" s="159">
        <f>U2*A16</f>
        <v>35.15</v>
      </c>
      <c r="U16" s="159">
        <f>V2*A16</f>
        <v>36.075000000000003</v>
      </c>
      <c r="V16" s="55"/>
      <c r="W16"/>
      <c r="X16" s="104"/>
      <c r="Y16" s="108"/>
      <c r="Z16" s="108"/>
      <c r="AA16" s="108"/>
      <c r="AB16" s="109"/>
      <c r="AC16" s="108"/>
      <c r="AD16" s="109"/>
      <c r="AE16" s="108"/>
      <c r="AF16" s="109"/>
      <c r="AG16" s="108"/>
      <c r="AH16" s="109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spans="1:88" s="6" customFormat="1" ht="15" thickBot="1">
      <c r="A17" s="70">
        <v>1.0249999999999999</v>
      </c>
      <c r="B17" s="132" t="s">
        <v>153</v>
      </c>
      <c r="C17" s="133">
        <f>D17/1.07</f>
        <v>27.780373831775698</v>
      </c>
      <c r="D17" s="134">
        <f t="shared" si="6"/>
        <v>29.724999999999998</v>
      </c>
      <c r="E17" s="69"/>
      <c r="F17" s="166">
        <v>32.75</v>
      </c>
      <c r="G17" s="167">
        <f t="shared" si="7"/>
        <v>0.10176619007569387</v>
      </c>
      <c r="H17" s="136">
        <v>35.75</v>
      </c>
      <c r="I17" s="192">
        <f t="shared" si="2"/>
        <v>0.20269133725820021</v>
      </c>
      <c r="J17" s="136">
        <v>36.25</v>
      </c>
      <c r="K17" s="192">
        <f t="shared" si="3"/>
        <v>0.21951219512195141</v>
      </c>
      <c r="L17" s="136">
        <v>36.75</v>
      </c>
      <c r="M17" s="192">
        <f t="shared" si="8"/>
        <v>0.2363330529857024</v>
      </c>
      <c r="N17" s="136">
        <v>37.75</v>
      </c>
      <c r="O17" s="192">
        <f t="shared" si="4"/>
        <v>0.26997476871320436</v>
      </c>
      <c r="P17"/>
      <c r="Q17" s="159">
        <f>R2*A17</f>
        <v>32.799999999999997</v>
      </c>
      <c r="R17" s="159">
        <f>S2*A17</f>
        <v>36.9</v>
      </c>
      <c r="S17" s="159">
        <f>T2*A17</f>
        <v>37.924999999999997</v>
      </c>
      <c r="T17" s="159">
        <f>U2*A17</f>
        <v>38.949999999999996</v>
      </c>
      <c r="U17" s="159">
        <f>V2*A17</f>
        <v>39.974999999999994</v>
      </c>
      <c r="V17" s="55"/>
      <c r="W17"/>
      <c r="X17" s="104"/>
      <c r="Y17" s="108"/>
      <c r="Z17" s="108"/>
      <c r="AA17" s="108"/>
      <c r="AB17" s="109"/>
      <c r="AC17" s="108"/>
      <c r="AD17" s="109"/>
      <c r="AE17" s="108"/>
      <c r="AF17" s="109"/>
      <c r="AG17" s="108"/>
      <c r="AH17" s="109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</row>
    <row r="18" spans="1:88" s="6" customFormat="1" ht="15" thickBot="1">
      <c r="A18" s="70"/>
      <c r="B18" s="81"/>
      <c r="C18" s="97"/>
      <c r="D18" s="97"/>
      <c r="E18" s="81"/>
      <c r="F18" s="168"/>
      <c r="G18" s="168"/>
      <c r="H18" s="97"/>
      <c r="I18" s="98"/>
      <c r="J18" s="97"/>
      <c r="K18" s="98"/>
      <c r="L18" s="97"/>
      <c r="M18" s="98"/>
      <c r="N18" s="97"/>
      <c r="O18" s="98"/>
      <c r="P18"/>
      <c r="Q18" s="92"/>
      <c r="R18" s="92"/>
      <c r="S18" s="92"/>
      <c r="T18" s="92"/>
      <c r="U18" s="92"/>
      <c r="V18" s="55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</row>
    <row r="19" spans="1:88" ht="24.75" customHeight="1" thickBot="1">
      <c r="A19" s="14"/>
      <c r="B19" s="111" t="s">
        <v>124</v>
      </c>
      <c r="C19" s="100"/>
      <c r="D19" s="101"/>
      <c r="E19" s="101"/>
      <c r="F19" s="169"/>
      <c r="G19" s="169"/>
      <c r="H19" s="101"/>
      <c r="I19" s="101"/>
      <c r="J19" s="102"/>
      <c r="K19" s="102"/>
      <c r="L19" s="103"/>
      <c r="M19" s="233"/>
      <c r="N19" s="233"/>
      <c r="O19" s="233"/>
      <c r="Q19" s="90"/>
      <c r="R19" s="91"/>
      <c r="S19" s="91"/>
      <c r="T19" s="91"/>
      <c r="U19" s="91"/>
      <c r="X19" s="91"/>
    </row>
    <row r="20" spans="1:88" s="6" customFormat="1">
      <c r="A20" s="70">
        <v>0.54</v>
      </c>
      <c r="B20" s="116" t="s">
        <v>154</v>
      </c>
      <c r="C20" s="117">
        <f>D20/1.07</f>
        <v>14.635514018691588</v>
      </c>
      <c r="D20" s="118">
        <f>$Y$2*$A20</f>
        <v>15.66</v>
      </c>
      <c r="E20" s="81"/>
      <c r="F20" s="162">
        <v>16.75</v>
      </c>
      <c r="G20" s="163">
        <f>F20/$D20-1</f>
        <v>6.9604086845466151E-2</v>
      </c>
      <c r="H20" s="119">
        <v>18.25</v>
      </c>
      <c r="I20" s="190">
        <f>H20/$D20-1</f>
        <v>0.16538952745849289</v>
      </c>
      <c r="J20" s="119">
        <v>19</v>
      </c>
      <c r="K20" s="190">
        <f>J20/$D20-1</f>
        <v>0.21328224776500648</v>
      </c>
      <c r="L20" s="119">
        <v>20.25</v>
      </c>
      <c r="M20" s="190">
        <f>L20/$D20-1</f>
        <v>0.2931034482758621</v>
      </c>
      <c r="N20" s="119">
        <v>21</v>
      </c>
      <c r="O20" s="190">
        <f>N20/$D20-1</f>
        <v>0.34099616858237547</v>
      </c>
      <c r="P20"/>
      <c r="Q20" s="159">
        <f>Z2*A20</f>
        <v>20.925000000000001</v>
      </c>
      <c r="R20" s="159">
        <f>AA2*A20</f>
        <v>19.440000000000001</v>
      </c>
      <c r="S20" s="159">
        <f>AB2*A20</f>
        <v>19.98</v>
      </c>
      <c r="T20" s="159">
        <f>AC2*A20</f>
        <v>20.520000000000003</v>
      </c>
      <c r="U20" s="159">
        <f>AD2*A20</f>
        <v>21.060000000000002</v>
      </c>
      <c r="V20" s="55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s="9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</row>
    <row r="21" spans="1:88" s="6" customFormat="1">
      <c r="A21" s="70">
        <v>0.56999999999999995</v>
      </c>
      <c r="B21" s="137" t="s">
        <v>155</v>
      </c>
      <c r="C21" s="138">
        <f>D21/1.07</f>
        <v>15.448598130841118</v>
      </c>
      <c r="D21" s="139">
        <f>$Y$2*$A21</f>
        <v>16.529999999999998</v>
      </c>
      <c r="E21" s="81"/>
      <c r="F21" s="164">
        <v>18.25</v>
      </c>
      <c r="G21" s="165">
        <f t="shared" ref="G21:K27" si="9">F21/$D21-1</f>
        <v>0.10405323653962517</v>
      </c>
      <c r="H21" s="120">
        <v>20</v>
      </c>
      <c r="I21" s="191">
        <f t="shared" si="9"/>
        <v>0.2099213551119179</v>
      </c>
      <c r="J21" s="120">
        <v>20.75</v>
      </c>
      <c r="K21" s="191">
        <f t="shared" si="9"/>
        <v>0.25529340592861471</v>
      </c>
      <c r="L21" s="120">
        <v>21.25</v>
      </c>
      <c r="M21" s="191">
        <f>L21/$D21-1</f>
        <v>0.28554143980641267</v>
      </c>
      <c r="N21" s="120">
        <v>22</v>
      </c>
      <c r="O21" s="191">
        <f t="shared" ref="O21:O27" si="10">N21/$D21-1</f>
        <v>0.33091349062310971</v>
      </c>
      <c r="P21"/>
      <c r="Q21" s="159">
        <f>Z2*A21</f>
        <v>22.087499999999999</v>
      </c>
      <c r="R21" s="159">
        <f>AA2*A21</f>
        <v>20.52</v>
      </c>
      <c r="S21" s="159">
        <f>AB2*A21</f>
        <v>21.09</v>
      </c>
      <c r="T21" s="159">
        <f>AC2*A21</f>
        <v>21.659999999999997</v>
      </c>
      <c r="U21" s="159">
        <f>AD2*A21</f>
        <v>22.229999999999997</v>
      </c>
      <c r="V21" s="55"/>
      <c r="W21"/>
      <c r="X21"/>
      <c r="Y21" s="105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</row>
    <row r="22" spans="1:88" s="6" customFormat="1">
      <c r="A22" s="70">
        <v>0.63</v>
      </c>
      <c r="B22" s="137" t="s">
        <v>156</v>
      </c>
      <c r="C22" s="138">
        <f t="shared" ref="C22:C27" si="11">D22/1.07</f>
        <v>17.074766355140184</v>
      </c>
      <c r="D22" s="139">
        <f t="shared" ref="D22:D27" si="12">$Y$2*$A22</f>
        <v>18.27</v>
      </c>
      <c r="E22" s="81"/>
      <c r="F22" s="164">
        <v>19.75</v>
      </c>
      <c r="G22" s="165">
        <f t="shared" si="9"/>
        <v>8.100711548987416E-2</v>
      </c>
      <c r="H22" s="120">
        <v>21.75</v>
      </c>
      <c r="I22" s="191">
        <f t="shared" si="9"/>
        <v>0.19047619047619047</v>
      </c>
      <c r="J22" s="120">
        <v>22.5</v>
      </c>
      <c r="K22" s="191">
        <f t="shared" si="9"/>
        <v>0.23152709359605916</v>
      </c>
      <c r="L22" s="120">
        <v>23.5</v>
      </c>
      <c r="M22" s="191">
        <f>L22/$D22-1</f>
        <v>0.28626163108921743</v>
      </c>
      <c r="N22" s="120">
        <v>24.5</v>
      </c>
      <c r="O22" s="191">
        <f t="shared" si="10"/>
        <v>0.34099616858237547</v>
      </c>
      <c r="P22"/>
      <c r="Q22" s="159">
        <f>Z2*A22</f>
        <v>24.412500000000001</v>
      </c>
      <c r="R22" s="159">
        <f>AA2*A22</f>
        <v>22.68</v>
      </c>
      <c r="S22" s="159">
        <f>AB2*A22</f>
        <v>23.31</v>
      </c>
      <c r="T22" s="159">
        <f>AC2*A22</f>
        <v>23.94</v>
      </c>
      <c r="U22" s="159">
        <f>AD2*A22</f>
        <v>24.57</v>
      </c>
      <c r="V22" s="55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</row>
    <row r="23" spans="1:88" s="6" customFormat="1">
      <c r="A23" s="70">
        <v>0.66</v>
      </c>
      <c r="B23" s="137" t="s">
        <v>157</v>
      </c>
      <c r="C23" s="138">
        <f t="shared" si="11"/>
        <v>17.88785046728972</v>
      </c>
      <c r="D23" s="139">
        <f t="shared" si="12"/>
        <v>19.14</v>
      </c>
      <c r="E23" s="81"/>
      <c r="F23" s="164">
        <v>21.5</v>
      </c>
      <c r="G23" s="165">
        <f t="shared" si="9"/>
        <v>0.12330198537095094</v>
      </c>
      <c r="H23" s="120">
        <v>23.5</v>
      </c>
      <c r="I23" s="191">
        <f t="shared" si="9"/>
        <v>0.2277951933124347</v>
      </c>
      <c r="J23" s="120">
        <v>24.25</v>
      </c>
      <c r="K23" s="191">
        <f t="shared" si="9"/>
        <v>0.26698014629049105</v>
      </c>
      <c r="L23" s="120">
        <v>24.75</v>
      </c>
      <c r="M23" s="191">
        <f>L23/$D23-1</f>
        <v>0.2931034482758621</v>
      </c>
      <c r="N23" s="120">
        <v>25.5</v>
      </c>
      <c r="O23" s="191">
        <f t="shared" si="10"/>
        <v>0.33228840125391845</v>
      </c>
      <c r="P23"/>
      <c r="Q23" s="159">
        <f>Z2*A23</f>
        <v>25.575000000000003</v>
      </c>
      <c r="R23" s="159">
        <f>AA2*A23</f>
        <v>23.76</v>
      </c>
      <c r="S23" s="159">
        <f>AB2*A23</f>
        <v>24.42</v>
      </c>
      <c r="T23" s="159">
        <f>AC2*A23</f>
        <v>25.080000000000002</v>
      </c>
      <c r="U23" s="159">
        <f>AD2*A23</f>
        <v>25.740000000000002</v>
      </c>
      <c r="V23" s="55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</row>
    <row r="24" spans="1:88" s="6" customFormat="1">
      <c r="A24" s="70">
        <v>0.72</v>
      </c>
      <c r="B24" s="137" t="s">
        <v>158</v>
      </c>
      <c r="C24" s="138">
        <f t="shared" si="11"/>
        <v>19.514018691588785</v>
      </c>
      <c r="D24" s="139">
        <f t="shared" si="12"/>
        <v>20.88</v>
      </c>
      <c r="E24" s="81"/>
      <c r="F24" s="164">
        <v>23</v>
      </c>
      <c r="G24" s="165">
        <f t="shared" si="9"/>
        <v>0.1015325670498084</v>
      </c>
      <c r="H24" s="120">
        <v>25.25</v>
      </c>
      <c r="I24" s="191">
        <f t="shared" si="9"/>
        <v>0.20929118773946365</v>
      </c>
      <c r="J24" s="120">
        <v>26</v>
      </c>
      <c r="K24" s="191">
        <f t="shared" si="9"/>
        <v>0.24521072796934873</v>
      </c>
      <c r="L24" s="120">
        <v>27</v>
      </c>
      <c r="M24" s="191">
        <f t="shared" ref="M24" si="13">L24/$D24-1</f>
        <v>0.2931034482758621</v>
      </c>
      <c r="N24" s="120">
        <v>28</v>
      </c>
      <c r="O24" s="191">
        <f t="shared" si="10"/>
        <v>0.34099616858237547</v>
      </c>
      <c r="P24"/>
      <c r="Q24" s="159">
        <f>Z2*A24</f>
        <v>27.9</v>
      </c>
      <c r="R24" s="159">
        <f>AA2*A24</f>
        <v>25.919999999999998</v>
      </c>
      <c r="S24" s="159">
        <f>AB2*A24</f>
        <v>26.64</v>
      </c>
      <c r="T24" s="159">
        <f>AC2*A24</f>
        <v>27.36</v>
      </c>
      <c r="U24" s="159">
        <f>AD2*A24</f>
        <v>28.08</v>
      </c>
      <c r="V24" s="55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</row>
    <row r="25" spans="1:88" s="6" customFormat="1">
      <c r="A25" s="70">
        <v>0.78</v>
      </c>
      <c r="B25" s="137" t="s">
        <v>159</v>
      </c>
      <c r="C25" s="138">
        <f t="shared" si="11"/>
        <v>21.140186915887849</v>
      </c>
      <c r="D25" s="139">
        <f t="shared" si="12"/>
        <v>22.62</v>
      </c>
      <c r="E25" s="81"/>
      <c r="F25" s="164">
        <v>24.75</v>
      </c>
      <c r="G25" s="165">
        <f t="shared" si="9"/>
        <v>9.4164456233421623E-2</v>
      </c>
      <c r="H25" s="120">
        <v>27</v>
      </c>
      <c r="I25" s="191">
        <f t="shared" si="9"/>
        <v>0.19363395225464175</v>
      </c>
      <c r="J25" s="120">
        <v>27.75</v>
      </c>
      <c r="K25" s="191">
        <f t="shared" si="9"/>
        <v>0.22679045092838201</v>
      </c>
      <c r="L25" s="120">
        <v>29.25</v>
      </c>
      <c r="M25" s="191">
        <f>L25/$D25-1</f>
        <v>0.2931034482758621</v>
      </c>
      <c r="N25" s="120">
        <v>30.25</v>
      </c>
      <c r="O25" s="191">
        <f t="shared" si="10"/>
        <v>0.33731211317418208</v>
      </c>
      <c r="P25"/>
      <c r="Q25" s="159">
        <f>Z2*A25</f>
        <v>30.225000000000001</v>
      </c>
      <c r="R25" s="159">
        <f>AA2*A25</f>
        <v>28.080000000000002</v>
      </c>
      <c r="S25" s="159">
        <f>AB2*A25</f>
        <v>28.86</v>
      </c>
      <c r="T25" s="159">
        <f>AC2*A25</f>
        <v>29.64</v>
      </c>
      <c r="U25" s="159">
        <f>AD2*A25</f>
        <v>30.42</v>
      </c>
      <c r="V25" s="5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 s="6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</row>
    <row r="26" spans="1:88" s="6" customFormat="1">
      <c r="A26" s="70">
        <v>0.81</v>
      </c>
      <c r="B26" s="137" t="s">
        <v>160</v>
      </c>
      <c r="C26" s="138">
        <f t="shared" si="11"/>
        <v>21.953271028037385</v>
      </c>
      <c r="D26" s="139">
        <f t="shared" si="12"/>
        <v>23.490000000000002</v>
      </c>
      <c r="E26" s="81"/>
      <c r="F26" s="164">
        <v>26.25</v>
      </c>
      <c r="G26" s="165">
        <f t="shared" si="9"/>
        <v>0.11749680715197952</v>
      </c>
      <c r="H26" s="120">
        <v>28.5</v>
      </c>
      <c r="I26" s="191">
        <f t="shared" si="9"/>
        <v>0.21328224776500626</v>
      </c>
      <c r="J26" s="120">
        <v>29.5</v>
      </c>
      <c r="K26" s="191">
        <f t="shared" si="9"/>
        <v>0.2558535547041294</v>
      </c>
      <c r="L26" s="120">
        <v>30.5</v>
      </c>
      <c r="M26" s="191">
        <f>L26/$D26-1</f>
        <v>0.29842486164325233</v>
      </c>
      <c r="N26" s="120">
        <v>31.5</v>
      </c>
      <c r="O26" s="191">
        <f t="shared" si="10"/>
        <v>0.34099616858237547</v>
      </c>
      <c r="P26"/>
      <c r="Q26" s="159">
        <f>Z2*A26</f>
        <v>31.387500000000003</v>
      </c>
      <c r="R26" s="159">
        <f>AA2*A26</f>
        <v>29.160000000000004</v>
      </c>
      <c r="S26" s="159">
        <f>AB2*A26</f>
        <v>29.970000000000002</v>
      </c>
      <c r="T26" s="159">
        <f>AC2*A26</f>
        <v>30.78</v>
      </c>
      <c r="U26" s="159">
        <f>AD2*A26</f>
        <v>31.590000000000003</v>
      </c>
      <c r="V26" s="55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 s="90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</row>
    <row r="27" spans="1:88" s="6" customFormat="1" ht="15" thickBot="1">
      <c r="A27" s="70">
        <v>0.92500000000000004</v>
      </c>
      <c r="B27" s="132" t="s">
        <v>161</v>
      </c>
      <c r="C27" s="133">
        <f t="shared" si="11"/>
        <v>25.070093457943926</v>
      </c>
      <c r="D27" s="134">
        <f t="shared" si="12"/>
        <v>26.825000000000003</v>
      </c>
      <c r="E27" s="135"/>
      <c r="F27" s="166">
        <v>29.5</v>
      </c>
      <c r="G27" s="167">
        <f t="shared" si="9"/>
        <v>9.9720410065237575E-2</v>
      </c>
      <c r="H27" s="136">
        <v>32</v>
      </c>
      <c r="I27" s="192">
        <f t="shared" si="9"/>
        <v>0.19291705498602041</v>
      </c>
      <c r="J27" s="136">
        <v>33</v>
      </c>
      <c r="K27" s="192">
        <f t="shared" si="9"/>
        <v>0.2301957129543335</v>
      </c>
      <c r="L27" s="136">
        <v>35</v>
      </c>
      <c r="M27" s="192">
        <f t="shared" ref="M27" si="14">L27/$D27-1</f>
        <v>0.30475302889095968</v>
      </c>
      <c r="N27" s="136">
        <v>36</v>
      </c>
      <c r="O27" s="192">
        <f t="shared" si="10"/>
        <v>0.34203168685927299</v>
      </c>
      <c r="P27"/>
      <c r="Q27" s="159">
        <f>Z2*A27</f>
        <v>35.84375</v>
      </c>
      <c r="R27" s="159">
        <f>AA2*A27</f>
        <v>33.300000000000004</v>
      </c>
      <c r="S27" s="159">
        <f>AB2*A27</f>
        <v>34.225000000000001</v>
      </c>
      <c r="T27" s="159">
        <f>AC2*A27</f>
        <v>35.15</v>
      </c>
      <c r="U27" s="159">
        <f>AD2*A27</f>
        <v>36.075000000000003</v>
      </c>
      <c r="V27" s="55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</row>
    <row r="28" spans="1:88" s="6" customFormat="1" ht="15" thickBot="1">
      <c r="A28" s="24"/>
      <c r="B28"/>
      <c r="C28" s="18"/>
      <c r="D28" s="21"/>
      <c r="E28"/>
      <c r="F28" s="160"/>
      <c r="G28" s="160"/>
      <c r="H28" s="18"/>
      <c r="I28" s="18"/>
      <c r="J28" s="18"/>
      <c r="K28" s="18"/>
      <c r="L28" s="18"/>
      <c r="M28" s="18"/>
      <c r="N28" s="18"/>
      <c r="O28" s="18"/>
      <c r="P28"/>
      <c r="Q28"/>
      <c r="R28" s="23"/>
      <c r="S28" s="23"/>
      <c r="T28" s="23"/>
      <c r="U28" s="23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</row>
    <row r="29" spans="1:88" ht="25.2" thickBot="1">
      <c r="A29" s="16"/>
      <c r="B29" s="47" t="s">
        <v>47</v>
      </c>
      <c r="C29" s="22"/>
      <c r="D29" s="18"/>
      <c r="H29" s="7"/>
      <c r="I29" s="7"/>
      <c r="L29" s="18"/>
      <c r="P29" s="17"/>
      <c r="Q29" s="90" t="s">
        <v>50</v>
      </c>
      <c r="R29" s="91" t="s">
        <v>112</v>
      </c>
      <c r="S29" s="91" t="s">
        <v>113</v>
      </c>
      <c r="T29" s="91" t="s">
        <v>114</v>
      </c>
      <c r="U29" s="91" t="s">
        <v>115</v>
      </c>
    </row>
    <row r="30" spans="1:88">
      <c r="A30" s="67" t="s">
        <v>54</v>
      </c>
      <c r="B30" s="140" t="s">
        <v>49</v>
      </c>
      <c r="C30" s="141">
        <f>D30/1.07</f>
        <v>9.3457943925233646</v>
      </c>
      <c r="D30" s="142">
        <v>10</v>
      </c>
      <c r="E30" s="7"/>
      <c r="F30" s="170">
        <v>11</v>
      </c>
      <c r="G30" s="171">
        <f>F30/$D30-1</f>
        <v>0.10000000000000009</v>
      </c>
      <c r="H30" s="143">
        <v>11.5</v>
      </c>
      <c r="I30" s="193">
        <f t="shared" ref="I30:I38" si="15">H30/$D30-1</f>
        <v>0.14999999999999991</v>
      </c>
      <c r="J30" s="143">
        <v>12</v>
      </c>
      <c r="K30" s="193">
        <f t="shared" ref="K30:K38" si="16">J30/$D30-1</f>
        <v>0.19999999999999996</v>
      </c>
      <c r="L30" s="143">
        <v>12.5</v>
      </c>
      <c r="M30" s="193">
        <f t="shared" ref="M30:M38" si="17">L30/$D30-1</f>
        <v>0.25</v>
      </c>
      <c r="N30" s="143">
        <v>13</v>
      </c>
      <c r="O30" s="193">
        <f t="shared" ref="O30:O38" si="18">N30/$D30-1</f>
        <v>0.30000000000000004</v>
      </c>
      <c r="Q30" s="92">
        <v>4.065040650406504E-2</v>
      </c>
      <c r="R30" s="92">
        <v>0.1</v>
      </c>
      <c r="S30" s="92">
        <v>0.13</v>
      </c>
      <c r="T30" s="92">
        <v>0.15</v>
      </c>
      <c r="U30" s="92">
        <v>0.18</v>
      </c>
    </row>
    <row r="31" spans="1:88">
      <c r="A31" s="67" t="s">
        <v>54</v>
      </c>
      <c r="B31" s="121" t="s">
        <v>58</v>
      </c>
      <c r="C31" s="122">
        <f t="shared" ref="C31:C38" si="19">D31/1.07</f>
        <v>10.2803738317757</v>
      </c>
      <c r="D31" s="123">
        <v>11</v>
      </c>
      <c r="E31" s="7"/>
      <c r="F31" s="172">
        <v>12</v>
      </c>
      <c r="G31" s="173">
        <f>F31/$D31-1</f>
        <v>9.0909090909090828E-2</v>
      </c>
      <c r="H31" s="124">
        <v>12.75</v>
      </c>
      <c r="I31" s="194">
        <f t="shared" si="15"/>
        <v>0.15909090909090917</v>
      </c>
      <c r="J31" s="124">
        <v>13.25</v>
      </c>
      <c r="K31" s="194">
        <f t="shared" si="16"/>
        <v>0.20454545454545459</v>
      </c>
      <c r="L31" s="124">
        <v>13.75</v>
      </c>
      <c r="M31" s="194">
        <f t="shared" si="17"/>
        <v>0.25</v>
      </c>
      <c r="N31" s="124">
        <v>14.25</v>
      </c>
      <c r="O31" s="194">
        <f t="shared" si="18"/>
        <v>0.29545454545454541</v>
      </c>
      <c r="Q31" s="92"/>
      <c r="R31" s="92"/>
      <c r="S31" s="92"/>
      <c r="T31" s="92"/>
      <c r="U31" s="92"/>
    </row>
    <row r="32" spans="1:88">
      <c r="A32" s="67" t="s">
        <v>54</v>
      </c>
      <c r="B32" s="121" t="s">
        <v>66</v>
      </c>
      <c r="C32" s="122">
        <f>D32/1.07</f>
        <v>14.018691588785046</v>
      </c>
      <c r="D32" s="123">
        <v>15</v>
      </c>
      <c r="E32" s="7"/>
      <c r="F32" s="172">
        <v>16</v>
      </c>
      <c r="G32" s="173">
        <f t="shared" ref="G32:G36" si="20">F32/$D32-1</f>
        <v>6.6666666666666652E-2</v>
      </c>
      <c r="H32" s="124">
        <v>17.25</v>
      </c>
      <c r="I32" s="194">
        <f t="shared" si="15"/>
        <v>0.14999999999999991</v>
      </c>
      <c r="J32" s="124">
        <v>18</v>
      </c>
      <c r="K32" s="194">
        <f t="shared" si="16"/>
        <v>0.19999999999999996</v>
      </c>
      <c r="L32" s="124">
        <v>18.75</v>
      </c>
      <c r="M32" s="194">
        <f t="shared" si="17"/>
        <v>0.25</v>
      </c>
      <c r="N32" s="124">
        <v>19.5</v>
      </c>
      <c r="O32" s="194">
        <f t="shared" si="18"/>
        <v>0.30000000000000004</v>
      </c>
      <c r="Q32" s="92"/>
      <c r="R32" s="92"/>
      <c r="S32" s="92"/>
      <c r="T32" s="92"/>
      <c r="U32" s="92"/>
    </row>
    <row r="33" spans="1:88">
      <c r="A33" s="65" t="s">
        <v>52</v>
      </c>
      <c r="B33" s="121" t="s">
        <v>94</v>
      </c>
      <c r="C33" s="122">
        <f t="shared" si="19"/>
        <v>7.4766355140186915</v>
      </c>
      <c r="D33" s="123">
        <v>8</v>
      </c>
      <c r="E33" s="7"/>
      <c r="F33" s="172">
        <v>8.5</v>
      </c>
      <c r="G33" s="173">
        <f t="shared" si="20"/>
        <v>6.25E-2</v>
      </c>
      <c r="H33" s="124">
        <v>9.25</v>
      </c>
      <c r="I33" s="194">
        <f t="shared" si="15"/>
        <v>0.15625</v>
      </c>
      <c r="J33" s="124">
        <v>9.75</v>
      </c>
      <c r="K33" s="194">
        <f t="shared" si="16"/>
        <v>0.21875</v>
      </c>
      <c r="L33" s="124">
        <v>10</v>
      </c>
      <c r="M33" s="194">
        <f t="shared" si="17"/>
        <v>0.25</v>
      </c>
      <c r="N33" s="124">
        <v>10.25</v>
      </c>
      <c r="O33" s="194">
        <f t="shared" si="18"/>
        <v>0.28125</v>
      </c>
      <c r="Q33" s="92"/>
      <c r="R33" s="92"/>
      <c r="S33" s="92"/>
      <c r="T33" s="92"/>
      <c r="U33" s="92"/>
    </row>
    <row r="34" spans="1:88">
      <c r="A34" s="65" t="s">
        <v>52</v>
      </c>
      <c r="B34" s="121" t="s">
        <v>51</v>
      </c>
      <c r="C34" s="122">
        <f t="shared" si="19"/>
        <v>9.3457943925233646</v>
      </c>
      <c r="D34" s="123">
        <v>10</v>
      </c>
      <c r="E34" s="7"/>
      <c r="F34" s="172">
        <v>10.5</v>
      </c>
      <c r="G34" s="173">
        <f t="shared" si="20"/>
        <v>5.0000000000000044E-2</v>
      </c>
      <c r="H34" s="124">
        <v>11.5</v>
      </c>
      <c r="I34" s="194">
        <f t="shared" si="15"/>
        <v>0.14999999999999991</v>
      </c>
      <c r="J34" s="124">
        <v>12</v>
      </c>
      <c r="K34" s="194">
        <f t="shared" si="16"/>
        <v>0.19999999999999996</v>
      </c>
      <c r="L34" s="124">
        <v>12.5</v>
      </c>
      <c r="M34" s="194">
        <f t="shared" si="17"/>
        <v>0.25</v>
      </c>
      <c r="N34" s="124">
        <v>12.75</v>
      </c>
      <c r="O34" s="194">
        <f t="shared" si="18"/>
        <v>0.27499999999999991</v>
      </c>
      <c r="Q34" s="92"/>
      <c r="R34" s="92"/>
      <c r="S34" s="92"/>
      <c r="T34" s="92"/>
      <c r="U34" s="92"/>
    </row>
    <row r="35" spans="1:88">
      <c r="A35" s="66" t="s">
        <v>53</v>
      </c>
      <c r="B35" s="121" t="s">
        <v>51</v>
      </c>
      <c r="C35" s="122">
        <f t="shared" si="19"/>
        <v>9.3457943925233646</v>
      </c>
      <c r="D35" s="123">
        <v>10</v>
      </c>
      <c r="E35" s="7"/>
      <c r="F35" s="172">
        <v>10.5</v>
      </c>
      <c r="G35" s="173">
        <f t="shared" si="20"/>
        <v>5.0000000000000044E-2</v>
      </c>
      <c r="H35" s="124">
        <v>11.5</v>
      </c>
      <c r="I35" s="194">
        <f t="shared" si="15"/>
        <v>0.14999999999999991</v>
      </c>
      <c r="J35" s="124">
        <v>12</v>
      </c>
      <c r="K35" s="194">
        <f t="shared" si="16"/>
        <v>0.19999999999999996</v>
      </c>
      <c r="L35" s="124">
        <v>12.5</v>
      </c>
      <c r="M35" s="194">
        <f t="shared" si="17"/>
        <v>0.25</v>
      </c>
      <c r="N35" s="124">
        <v>12.75</v>
      </c>
      <c r="O35" s="194">
        <f t="shared" si="18"/>
        <v>0.27499999999999991</v>
      </c>
      <c r="Q35" s="92"/>
      <c r="R35" s="92"/>
      <c r="S35" s="92"/>
      <c r="T35" s="92"/>
      <c r="U35" s="92"/>
    </row>
    <row r="36" spans="1:88">
      <c r="A36" s="66" t="s">
        <v>53</v>
      </c>
      <c r="B36" s="121" t="s">
        <v>97</v>
      </c>
      <c r="C36" s="122">
        <f>D36/1.07</f>
        <v>7.4766355140186915</v>
      </c>
      <c r="D36" s="123">
        <v>8</v>
      </c>
      <c r="E36" s="7"/>
      <c r="F36" s="172">
        <v>8.5</v>
      </c>
      <c r="G36" s="173">
        <f t="shared" si="20"/>
        <v>6.25E-2</v>
      </c>
      <c r="H36" s="124">
        <v>9.25</v>
      </c>
      <c r="I36" s="194">
        <f t="shared" si="15"/>
        <v>0.15625</v>
      </c>
      <c r="J36" s="124">
        <v>9.75</v>
      </c>
      <c r="K36" s="194">
        <f t="shared" si="16"/>
        <v>0.21875</v>
      </c>
      <c r="L36" s="124">
        <v>10</v>
      </c>
      <c r="M36" s="194">
        <f t="shared" si="17"/>
        <v>0.25</v>
      </c>
      <c r="N36" s="124">
        <v>10.25</v>
      </c>
      <c r="O36" s="194">
        <f t="shared" si="18"/>
        <v>0.28125</v>
      </c>
      <c r="Q36" s="92"/>
      <c r="R36" s="92"/>
      <c r="S36" s="92"/>
      <c r="T36" s="92"/>
      <c r="U36" s="92"/>
    </row>
    <row r="37" spans="1:88">
      <c r="A37" s="66" t="s">
        <v>53</v>
      </c>
      <c r="B37" s="121" t="s">
        <v>64</v>
      </c>
      <c r="C37" s="122">
        <f t="shared" si="19"/>
        <v>11.214953271028037</v>
      </c>
      <c r="D37" s="123">
        <v>12</v>
      </c>
      <c r="E37" s="7"/>
      <c r="F37" s="172">
        <v>13</v>
      </c>
      <c r="G37" s="173">
        <f>F37/$D37-1</f>
        <v>8.3333333333333259E-2</v>
      </c>
      <c r="H37" s="124">
        <v>14</v>
      </c>
      <c r="I37" s="194">
        <f t="shared" si="15"/>
        <v>0.16666666666666674</v>
      </c>
      <c r="J37" s="124">
        <v>14.5</v>
      </c>
      <c r="K37" s="194">
        <f t="shared" si="16"/>
        <v>0.20833333333333326</v>
      </c>
      <c r="L37" s="124">
        <v>15</v>
      </c>
      <c r="M37" s="194">
        <f t="shared" si="17"/>
        <v>0.25</v>
      </c>
      <c r="N37" s="124">
        <v>15.5</v>
      </c>
      <c r="O37" s="194">
        <f t="shared" si="18"/>
        <v>0.29166666666666674</v>
      </c>
      <c r="Q37" s="92"/>
      <c r="R37" s="92"/>
      <c r="S37" s="92"/>
      <c r="T37" s="92"/>
      <c r="U37" s="92"/>
    </row>
    <row r="38" spans="1:88" ht="15" thickBot="1">
      <c r="A38" s="65" t="s">
        <v>52</v>
      </c>
      <c r="B38" s="144" t="s">
        <v>66</v>
      </c>
      <c r="C38" s="145">
        <f t="shared" si="19"/>
        <v>11.214953271028037</v>
      </c>
      <c r="D38" s="146">
        <v>12</v>
      </c>
      <c r="E38" s="147"/>
      <c r="F38" s="174">
        <v>13</v>
      </c>
      <c r="G38" s="175">
        <f>F38/$D38-1</f>
        <v>8.3333333333333259E-2</v>
      </c>
      <c r="H38" s="148">
        <v>14</v>
      </c>
      <c r="I38" s="195">
        <f t="shared" si="15"/>
        <v>0.16666666666666674</v>
      </c>
      <c r="J38" s="148">
        <v>14.5</v>
      </c>
      <c r="K38" s="195">
        <f t="shared" si="16"/>
        <v>0.20833333333333326</v>
      </c>
      <c r="L38" s="148">
        <v>15</v>
      </c>
      <c r="M38" s="195">
        <f t="shared" si="17"/>
        <v>0.25</v>
      </c>
      <c r="N38" s="148">
        <v>15.5</v>
      </c>
      <c r="O38" s="195">
        <f t="shared" si="18"/>
        <v>0.29166666666666674</v>
      </c>
      <c r="P38" s="114"/>
      <c r="Q38" s="115"/>
      <c r="R38" s="115"/>
      <c r="S38" s="115"/>
      <c r="T38" s="115"/>
      <c r="U38" s="115"/>
    </row>
    <row r="39" spans="1:88">
      <c r="A39" s="68"/>
      <c r="C39" s="18"/>
      <c r="D39" s="19"/>
      <c r="H39" s="18"/>
      <c r="I39" s="18"/>
      <c r="L39" s="18"/>
    </row>
    <row r="40" spans="1:88" s="6" customFormat="1" ht="15" thickBot="1">
      <c r="A40" s="15"/>
      <c r="B40" s="31"/>
      <c r="C40" s="27"/>
      <c r="D40" s="40"/>
      <c r="E40"/>
      <c r="F40" s="160"/>
      <c r="G40" s="160"/>
      <c r="H40" s="27"/>
      <c r="I40" s="27"/>
      <c r="J40" s="27"/>
      <c r="K40" s="27"/>
      <c r="L40" s="27"/>
      <c r="M40" s="27"/>
      <c r="N40" s="27"/>
      <c r="O40" s="27"/>
      <c r="P40"/>
      <c r="Q40"/>
      <c r="R40" s="23"/>
      <c r="S40" s="23"/>
      <c r="T40" s="23"/>
      <c r="U40" s="23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</row>
    <row r="41" spans="1:88" s="6" customFormat="1" ht="24" thickBot="1">
      <c r="A41" s="15"/>
      <c r="B41" s="79" t="s">
        <v>132</v>
      </c>
      <c r="C41" s="18"/>
      <c r="D41" s="19"/>
      <c r="E41"/>
      <c r="F41" s="160"/>
      <c r="G41" s="160"/>
      <c r="H41" s="18"/>
      <c r="I41" s="18"/>
      <c r="J41" s="8"/>
      <c r="K41" s="8"/>
      <c r="L41" s="8"/>
      <c r="M41" s="8"/>
      <c r="N41" s="8"/>
      <c r="O41" s="8"/>
      <c r="P41"/>
      <c r="Q41" s="90" t="s">
        <v>50</v>
      </c>
      <c r="R41" s="91" t="s">
        <v>112</v>
      </c>
      <c r="S41" s="91" t="s">
        <v>113</v>
      </c>
      <c r="T41" s="91" t="s">
        <v>114</v>
      </c>
      <c r="U41" s="91" t="s">
        <v>115</v>
      </c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</row>
    <row r="42" spans="1:88" s="6" customFormat="1">
      <c r="A42" s="15"/>
      <c r="B42" s="206" t="s">
        <v>46</v>
      </c>
      <c r="C42" s="42">
        <f>D42/1.07</f>
        <v>40.654205607476634</v>
      </c>
      <c r="D42" s="53">
        <v>43.5</v>
      </c>
      <c r="E42"/>
      <c r="F42" s="186">
        <v>47</v>
      </c>
      <c r="G42" s="183">
        <f t="shared" ref="G42:G61" si="21">F42/$D42-1</f>
        <v>8.0459770114942541E-2</v>
      </c>
      <c r="H42" s="58">
        <v>48</v>
      </c>
      <c r="I42" s="200">
        <f t="shared" ref="I42:I61" si="22">H42/$D42-1</f>
        <v>0.10344827586206895</v>
      </c>
      <c r="J42" s="61">
        <v>50</v>
      </c>
      <c r="K42" s="200">
        <f>J42/$D42-1</f>
        <v>0.14942528735632177</v>
      </c>
      <c r="L42" s="61">
        <v>51.5</v>
      </c>
      <c r="M42" s="200">
        <f t="shared" ref="M42:M61" si="23">L42/$D42-1</f>
        <v>0.18390804597701149</v>
      </c>
      <c r="N42" s="61">
        <v>52.5</v>
      </c>
      <c r="O42" s="200">
        <f>N42/$D42-1</f>
        <v>0.2068965517241379</v>
      </c>
      <c r="P42"/>
      <c r="Q42" s="92">
        <v>4.065040650406504E-2</v>
      </c>
      <c r="R42" s="92">
        <v>0.1</v>
      </c>
      <c r="S42" s="92">
        <v>0.15</v>
      </c>
      <c r="T42" s="92">
        <v>0.18</v>
      </c>
      <c r="U42" s="92">
        <v>0.2</v>
      </c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</row>
    <row r="43" spans="1:88" s="6" customFormat="1">
      <c r="A43" s="15"/>
      <c r="B43" s="45" t="s">
        <v>45</v>
      </c>
      <c r="C43" s="43">
        <f t="shared" ref="C43:C61" si="24">D43/1.07</f>
        <v>50.233644859813083</v>
      </c>
      <c r="D43" s="49">
        <v>53.75</v>
      </c>
      <c r="E43"/>
      <c r="F43" s="176">
        <v>58</v>
      </c>
      <c r="G43" s="177">
        <f t="shared" si="21"/>
        <v>7.9069767441860561E-2</v>
      </c>
      <c r="H43" s="59">
        <v>59.5</v>
      </c>
      <c r="I43" s="197">
        <f t="shared" si="22"/>
        <v>0.10697674418604652</v>
      </c>
      <c r="J43" s="62">
        <v>61.75</v>
      </c>
      <c r="K43" s="197">
        <f t="shared" ref="K43:K61" si="25">J43/$D43-1</f>
        <v>0.14883720930232558</v>
      </c>
      <c r="L43" s="62">
        <v>63.5</v>
      </c>
      <c r="M43" s="197">
        <f t="shared" si="23"/>
        <v>0.18139534883720931</v>
      </c>
      <c r="N43" s="62">
        <v>65</v>
      </c>
      <c r="O43" s="197">
        <f t="shared" ref="O43:O61" si="26">N43/$D43-1</f>
        <v>0.20930232558139528</v>
      </c>
      <c r="P43"/>
      <c r="Q43" s="92"/>
      <c r="R43" s="92"/>
      <c r="S43" s="92"/>
      <c r="T43" s="92"/>
      <c r="U43" s="92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1:88" s="6" customFormat="1">
      <c r="A44" s="15"/>
      <c r="B44" s="45" t="s">
        <v>44</v>
      </c>
      <c r="C44" s="43">
        <f t="shared" si="24"/>
        <v>42.990654205607477</v>
      </c>
      <c r="D44" s="49">
        <v>46</v>
      </c>
      <c r="E44"/>
      <c r="F44" s="176">
        <v>49.5</v>
      </c>
      <c r="G44" s="177">
        <f t="shared" si="21"/>
        <v>7.6086956521739024E-2</v>
      </c>
      <c r="H44" s="59">
        <v>51</v>
      </c>
      <c r="I44" s="197">
        <f t="shared" si="22"/>
        <v>0.10869565217391308</v>
      </c>
      <c r="J44" s="62">
        <v>53</v>
      </c>
      <c r="K44" s="197">
        <f t="shared" si="25"/>
        <v>0.15217391304347827</v>
      </c>
      <c r="L44" s="62">
        <v>54.5</v>
      </c>
      <c r="M44" s="197">
        <f t="shared" si="23"/>
        <v>0.18478260869565211</v>
      </c>
      <c r="N44" s="62">
        <v>55.25</v>
      </c>
      <c r="O44" s="197">
        <f t="shared" si="26"/>
        <v>0.20108695652173902</v>
      </c>
      <c r="P44"/>
      <c r="Q44" s="92"/>
      <c r="R44" s="92"/>
      <c r="S44" s="92"/>
      <c r="T44" s="92"/>
      <c r="U44" s="92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</row>
    <row r="45" spans="1:88" s="6" customFormat="1">
      <c r="A45" s="15"/>
      <c r="B45" s="45" t="s">
        <v>43</v>
      </c>
      <c r="C45" s="43">
        <f t="shared" si="24"/>
        <v>53.037383177570092</v>
      </c>
      <c r="D45" s="49">
        <v>56.75</v>
      </c>
      <c r="E45"/>
      <c r="F45" s="176">
        <v>61</v>
      </c>
      <c r="G45" s="177">
        <f t="shared" si="21"/>
        <v>7.4889867841409608E-2</v>
      </c>
      <c r="H45" s="59">
        <v>62.5</v>
      </c>
      <c r="I45" s="197">
        <f t="shared" si="22"/>
        <v>0.1013215859030836</v>
      </c>
      <c r="J45" s="62">
        <v>65.5</v>
      </c>
      <c r="K45" s="197">
        <f t="shared" si="25"/>
        <v>0.15418502202643181</v>
      </c>
      <c r="L45" s="62">
        <v>67</v>
      </c>
      <c r="M45" s="197">
        <f t="shared" si="23"/>
        <v>0.1806167400881058</v>
      </c>
      <c r="N45" s="62">
        <v>68.5</v>
      </c>
      <c r="O45" s="197">
        <f t="shared" si="26"/>
        <v>0.20704845814977979</v>
      </c>
      <c r="P45"/>
      <c r="Q45" s="92"/>
      <c r="R45" s="92"/>
      <c r="S45" s="92"/>
      <c r="T45" s="92"/>
      <c r="U45" s="92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</row>
    <row r="46" spans="1:88" s="6" customFormat="1">
      <c r="A46" s="15"/>
      <c r="B46" s="45" t="s">
        <v>42</v>
      </c>
      <c r="C46" s="122">
        <f t="shared" si="24"/>
        <v>29.439252336448597</v>
      </c>
      <c r="D46" s="123">
        <v>31.5</v>
      </c>
      <c r="E46"/>
      <c r="F46" s="176">
        <v>35.25</v>
      </c>
      <c r="G46" s="177">
        <f t="shared" si="21"/>
        <v>0.11904761904761907</v>
      </c>
      <c r="H46" s="59">
        <v>36.25</v>
      </c>
      <c r="I46" s="197">
        <f t="shared" si="22"/>
        <v>0.1507936507936507</v>
      </c>
      <c r="J46" s="62">
        <v>37.75</v>
      </c>
      <c r="K46" s="197">
        <f t="shared" si="25"/>
        <v>0.19841269841269837</v>
      </c>
      <c r="L46" s="62">
        <v>38.75</v>
      </c>
      <c r="M46" s="197">
        <f t="shared" si="23"/>
        <v>0.23015873015873023</v>
      </c>
      <c r="N46" s="62">
        <v>39.5</v>
      </c>
      <c r="O46" s="197">
        <f t="shared" si="26"/>
        <v>0.25396825396825395</v>
      </c>
      <c r="P46"/>
      <c r="Q46" s="92"/>
      <c r="R46" s="92"/>
      <c r="S46" s="92"/>
      <c r="T46" s="92"/>
      <c r="U46" s="92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</row>
    <row r="47" spans="1:88" s="6" customFormat="1">
      <c r="A47" s="15"/>
      <c r="B47" s="45" t="s">
        <v>41</v>
      </c>
      <c r="C47" s="122">
        <f t="shared" si="24"/>
        <v>35.514018691588781</v>
      </c>
      <c r="D47" s="123">
        <v>38</v>
      </c>
      <c r="E47"/>
      <c r="F47" s="176">
        <v>42.5</v>
      </c>
      <c r="G47" s="177">
        <f t="shared" si="21"/>
        <v>0.11842105263157898</v>
      </c>
      <c r="H47" s="59">
        <v>43.75</v>
      </c>
      <c r="I47" s="197">
        <f t="shared" si="22"/>
        <v>0.15131578947368429</v>
      </c>
      <c r="J47" s="62">
        <v>46</v>
      </c>
      <c r="K47" s="197">
        <f t="shared" si="25"/>
        <v>0.21052631578947367</v>
      </c>
      <c r="L47" s="62">
        <v>47</v>
      </c>
      <c r="M47" s="197">
        <f t="shared" si="23"/>
        <v>0.23684210526315796</v>
      </c>
      <c r="N47" s="62">
        <v>48</v>
      </c>
      <c r="O47" s="197">
        <f t="shared" si="26"/>
        <v>0.26315789473684204</v>
      </c>
      <c r="P47"/>
      <c r="Q47" s="92"/>
      <c r="R47" s="92"/>
      <c r="S47" s="92"/>
      <c r="T47" s="92"/>
      <c r="U47" s="92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</row>
    <row r="48" spans="1:88" s="6" customFormat="1">
      <c r="A48" s="15"/>
      <c r="B48" s="45" t="s">
        <v>40</v>
      </c>
      <c r="C48" s="43">
        <f t="shared" si="24"/>
        <v>30.607476635514018</v>
      </c>
      <c r="D48" s="49">
        <v>32.75</v>
      </c>
      <c r="E48"/>
      <c r="F48" s="176">
        <v>35</v>
      </c>
      <c r="G48" s="177">
        <f t="shared" si="21"/>
        <v>6.8702290076335881E-2</v>
      </c>
      <c r="H48" s="59">
        <v>36.25</v>
      </c>
      <c r="I48" s="197">
        <f t="shared" si="22"/>
        <v>0.10687022900763354</v>
      </c>
      <c r="J48" s="62">
        <v>37.75</v>
      </c>
      <c r="K48" s="197">
        <f t="shared" si="25"/>
        <v>0.15267175572519087</v>
      </c>
      <c r="L48" s="62">
        <v>38.75</v>
      </c>
      <c r="M48" s="197">
        <f t="shared" si="23"/>
        <v>0.18320610687022909</v>
      </c>
      <c r="N48" s="62">
        <v>39.5</v>
      </c>
      <c r="O48" s="197">
        <f t="shared" si="26"/>
        <v>0.20610687022900764</v>
      </c>
      <c r="P48"/>
      <c r="Q48" s="92"/>
      <c r="R48" s="92"/>
      <c r="S48" s="92"/>
      <c r="T48" s="92"/>
      <c r="U48" s="92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</row>
    <row r="49" spans="1:88" s="6" customFormat="1">
      <c r="A49" s="15"/>
      <c r="B49" s="45" t="s">
        <v>39</v>
      </c>
      <c r="C49" s="43">
        <f t="shared" si="24"/>
        <v>37.149532710280369</v>
      </c>
      <c r="D49" s="49">
        <v>39.75</v>
      </c>
      <c r="E49"/>
      <c r="F49" s="176">
        <v>43</v>
      </c>
      <c r="G49" s="177">
        <f t="shared" si="21"/>
        <v>8.1761006289308158E-2</v>
      </c>
      <c r="H49" s="59">
        <v>44</v>
      </c>
      <c r="I49" s="197">
        <f t="shared" si="22"/>
        <v>0.10691823899371067</v>
      </c>
      <c r="J49" s="62">
        <v>46</v>
      </c>
      <c r="K49" s="197">
        <f t="shared" si="25"/>
        <v>0.15723270440251569</v>
      </c>
      <c r="L49" s="62">
        <v>47</v>
      </c>
      <c r="M49" s="197">
        <f t="shared" si="23"/>
        <v>0.1823899371069182</v>
      </c>
      <c r="N49" s="62">
        <v>48</v>
      </c>
      <c r="O49" s="197">
        <f t="shared" si="26"/>
        <v>0.20754716981132071</v>
      </c>
      <c r="P49"/>
      <c r="Q49" s="92"/>
      <c r="R49" s="92"/>
      <c r="S49" s="92"/>
      <c r="T49" s="92"/>
      <c r="U49" s="92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</row>
    <row r="50" spans="1:88" s="6" customFormat="1">
      <c r="A50" s="15"/>
      <c r="B50" s="45" t="s">
        <v>38</v>
      </c>
      <c r="C50" s="43">
        <f t="shared" si="24"/>
        <v>40.654205607476634</v>
      </c>
      <c r="D50" s="49">
        <v>43.5</v>
      </c>
      <c r="E50"/>
      <c r="F50" s="176">
        <v>47</v>
      </c>
      <c r="G50" s="177">
        <f t="shared" si="21"/>
        <v>8.0459770114942541E-2</v>
      </c>
      <c r="H50" s="59">
        <v>48</v>
      </c>
      <c r="I50" s="197">
        <f t="shared" si="22"/>
        <v>0.10344827586206895</v>
      </c>
      <c r="J50" s="62">
        <v>50</v>
      </c>
      <c r="K50" s="197">
        <f t="shared" si="25"/>
        <v>0.14942528735632177</v>
      </c>
      <c r="L50" s="62">
        <v>51.5</v>
      </c>
      <c r="M50" s="197">
        <f t="shared" si="23"/>
        <v>0.18390804597701149</v>
      </c>
      <c r="N50" s="62">
        <v>52.5</v>
      </c>
      <c r="O50" s="197">
        <f t="shared" si="26"/>
        <v>0.2068965517241379</v>
      </c>
      <c r="P50"/>
      <c r="Q50" s="92"/>
      <c r="R50" s="92"/>
      <c r="S50" s="92"/>
      <c r="T50" s="92"/>
      <c r="U50" s="92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</row>
    <row r="51" spans="1:88" s="6" customFormat="1">
      <c r="A51" s="15"/>
      <c r="B51" s="45" t="s">
        <v>37</v>
      </c>
      <c r="C51" s="43">
        <f t="shared" si="24"/>
        <v>50.233644859813083</v>
      </c>
      <c r="D51" s="49">
        <v>53.75</v>
      </c>
      <c r="E51"/>
      <c r="F51" s="176">
        <v>58</v>
      </c>
      <c r="G51" s="177">
        <f t="shared" si="21"/>
        <v>7.9069767441860561E-2</v>
      </c>
      <c r="H51" s="59">
        <v>59.25</v>
      </c>
      <c r="I51" s="197">
        <f t="shared" si="22"/>
        <v>0.10232558139534875</v>
      </c>
      <c r="J51" s="62">
        <v>62</v>
      </c>
      <c r="K51" s="197">
        <f t="shared" si="25"/>
        <v>0.15348837209302335</v>
      </c>
      <c r="L51" s="62">
        <v>63.5</v>
      </c>
      <c r="M51" s="197">
        <f t="shared" si="23"/>
        <v>0.18139534883720931</v>
      </c>
      <c r="N51" s="62">
        <v>64.5</v>
      </c>
      <c r="O51" s="197">
        <f t="shared" si="26"/>
        <v>0.19999999999999996</v>
      </c>
      <c r="P51"/>
      <c r="Q51" s="92"/>
      <c r="R51" s="92"/>
      <c r="S51" s="92"/>
      <c r="T51" s="92"/>
      <c r="U51" s="92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</row>
    <row r="52" spans="1:88" s="6" customFormat="1">
      <c r="A52" s="15"/>
      <c r="B52" s="45" t="s">
        <v>36</v>
      </c>
      <c r="C52" s="43">
        <f t="shared" si="24"/>
        <v>36.915887850467286</v>
      </c>
      <c r="D52" s="49">
        <v>39.5</v>
      </c>
      <c r="E52"/>
      <c r="F52" s="176">
        <v>42.5</v>
      </c>
      <c r="G52" s="177">
        <f t="shared" si="21"/>
        <v>7.5949367088607556E-2</v>
      </c>
      <c r="H52" s="59">
        <v>43.5</v>
      </c>
      <c r="I52" s="197">
        <f t="shared" si="22"/>
        <v>0.10126582278481022</v>
      </c>
      <c r="J52" s="62">
        <v>45.5</v>
      </c>
      <c r="K52" s="197">
        <f t="shared" si="25"/>
        <v>0.15189873417721511</v>
      </c>
      <c r="L52" s="62">
        <v>46.75</v>
      </c>
      <c r="M52" s="197">
        <f t="shared" si="23"/>
        <v>0.18354430379746844</v>
      </c>
      <c r="N52" s="62">
        <v>47.5</v>
      </c>
      <c r="O52" s="197">
        <f t="shared" si="26"/>
        <v>0.20253164556962022</v>
      </c>
      <c r="P52"/>
      <c r="Q52" s="92"/>
      <c r="R52" s="92"/>
      <c r="S52" s="92"/>
      <c r="T52" s="92"/>
      <c r="U52" s="9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</row>
    <row r="53" spans="1:88" s="6" customFormat="1">
      <c r="A53" s="15"/>
      <c r="B53" s="45" t="s">
        <v>35</v>
      </c>
      <c r="C53" s="43">
        <f t="shared" si="24"/>
        <v>45.560747663551396</v>
      </c>
      <c r="D53" s="49">
        <v>48.75</v>
      </c>
      <c r="E53"/>
      <c r="F53" s="176">
        <v>52.5</v>
      </c>
      <c r="G53" s="177">
        <f t="shared" si="21"/>
        <v>7.6923076923076872E-2</v>
      </c>
      <c r="H53" s="59">
        <v>53.75</v>
      </c>
      <c r="I53" s="197">
        <f t="shared" si="22"/>
        <v>0.10256410256410264</v>
      </c>
      <c r="J53" s="62">
        <v>56.25</v>
      </c>
      <c r="K53" s="197">
        <f t="shared" si="25"/>
        <v>0.15384615384615374</v>
      </c>
      <c r="L53" s="62">
        <v>58</v>
      </c>
      <c r="M53" s="197">
        <f t="shared" si="23"/>
        <v>0.18974358974358974</v>
      </c>
      <c r="N53" s="62">
        <v>58.5</v>
      </c>
      <c r="O53" s="197">
        <f t="shared" si="26"/>
        <v>0.19999999999999996</v>
      </c>
      <c r="P53"/>
      <c r="Q53" s="92"/>
      <c r="R53" s="92"/>
      <c r="S53" s="92"/>
      <c r="T53" s="92"/>
      <c r="U53" s="92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</row>
    <row r="54" spans="1:88" s="6" customFormat="1">
      <c r="A54" s="15"/>
      <c r="B54" s="45" t="s">
        <v>34</v>
      </c>
      <c r="C54" s="43">
        <f t="shared" si="24"/>
        <v>25</v>
      </c>
      <c r="D54" s="49">
        <v>26.75</v>
      </c>
      <c r="E54"/>
      <c r="F54" s="176">
        <v>28.75</v>
      </c>
      <c r="G54" s="177">
        <f t="shared" si="21"/>
        <v>7.4766355140186924E-2</v>
      </c>
      <c r="H54" s="59">
        <v>29.5</v>
      </c>
      <c r="I54" s="197">
        <f t="shared" si="22"/>
        <v>0.10280373831775691</v>
      </c>
      <c r="J54" s="62">
        <v>31</v>
      </c>
      <c r="K54" s="197">
        <f t="shared" si="25"/>
        <v>0.1588785046728971</v>
      </c>
      <c r="L54" s="62">
        <v>31.75</v>
      </c>
      <c r="M54" s="197">
        <f t="shared" si="23"/>
        <v>0.18691588785046731</v>
      </c>
      <c r="N54" s="62">
        <v>32.25</v>
      </c>
      <c r="O54" s="197">
        <f t="shared" si="26"/>
        <v>0.20560747663551404</v>
      </c>
      <c r="P54"/>
      <c r="Q54" s="92"/>
      <c r="R54" s="92"/>
      <c r="S54" s="92"/>
      <c r="T54" s="92"/>
      <c r="U54" s="92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</row>
    <row r="55" spans="1:88" s="6" customFormat="1">
      <c r="A55" s="15"/>
      <c r="B55" s="45" t="s">
        <v>33</v>
      </c>
      <c r="C55" s="43">
        <f t="shared" si="24"/>
        <v>30.373831775700932</v>
      </c>
      <c r="D55" s="49">
        <v>32.5</v>
      </c>
      <c r="E55"/>
      <c r="F55" s="176">
        <v>35</v>
      </c>
      <c r="G55" s="177">
        <f t="shared" si="21"/>
        <v>7.6923076923076872E-2</v>
      </c>
      <c r="H55" s="59">
        <v>36</v>
      </c>
      <c r="I55" s="197">
        <f t="shared" si="22"/>
        <v>0.10769230769230775</v>
      </c>
      <c r="J55" s="62">
        <v>37.5</v>
      </c>
      <c r="K55" s="197">
        <f t="shared" si="25"/>
        <v>0.15384615384615374</v>
      </c>
      <c r="L55" s="62">
        <v>38.5</v>
      </c>
      <c r="M55" s="197">
        <f t="shared" si="23"/>
        <v>0.18461538461538463</v>
      </c>
      <c r="N55" s="62">
        <v>39</v>
      </c>
      <c r="O55" s="197">
        <f t="shared" si="26"/>
        <v>0.19999999999999996</v>
      </c>
      <c r="P55"/>
      <c r="Q55" s="92"/>
      <c r="R55" s="92"/>
      <c r="S55" s="92"/>
      <c r="T55" s="92"/>
      <c r="U55" s="92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</row>
    <row r="56" spans="1:88" s="6" customFormat="1">
      <c r="A56" s="15"/>
      <c r="B56" s="45" t="s">
        <v>32</v>
      </c>
      <c r="C56" s="43">
        <f t="shared" si="24"/>
        <v>28.971962616822427</v>
      </c>
      <c r="D56" s="49">
        <v>31</v>
      </c>
      <c r="E56"/>
      <c r="F56" s="176">
        <v>33.25</v>
      </c>
      <c r="G56" s="177">
        <f t="shared" si="21"/>
        <v>7.2580645161290258E-2</v>
      </c>
      <c r="H56" s="59">
        <v>34.25</v>
      </c>
      <c r="I56" s="197">
        <f t="shared" si="22"/>
        <v>0.10483870967741926</v>
      </c>
      <c r="J56" s="62">
        <v>35.75</v>
      </c>
      <c r="K56" s="197">
        <f t="shared" si="25"/>
        <v>0.15322580645161299</v>
      </c>
      <c r="L56" s="62">
        <v>36.75</v>
      </c>
      <c r="M56" s="197">
        <f t="shared" si="23"/>
        <v>0.18548387096774199</v>
      </c>
      <c r="N56" s="62">
        <v>37.5</v>
      </c>
      <c r="O56" s="197">
        <f t="shared" si="26"/>
        <v>0.20967741935483875</v>
      </c>
      <c r="P56"/>
      <c r="Q56" s="92"/>
      <c r="R56" s="92"/>
      <c r="S56" s="92"/>
      <c r="T56" s="92"/>
      <c r="U56" s="92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</row>
    <row r="57" spans="1:88" s="6" customFormat="1">
      <c r="A57" s="15"/>
      <c r="B57" s="45" t="s">
        <v>31</v>
      </c>
      <c r="C57" s="43">
        <f t="shared" si="24"/>
        <v>33.411214953271028</v>
      </c>
      <c r="D57" s="49">
        <v>35.75</v>
      </c>
      <c r="E57"/>
      <c r="F57" s="176">
        <v>38.5</v>
      </c>
      <c r="G57" s="177">
        <f t="shared" si="21"/>
        <v>7.6923076923076872E-2</v>
      </c>
      <c r="H57" s="59">
        <v>39.5</v>
      </c>
      <c r="I57" s="197">
        <f t="shared" si="22"/>
        <v>0.10489510489510478</v>
      </c>
      <c r="J57" s="62">
        <v>41.25</v>
      </c>
      <c r="K57" s="197">
        <f t="shared" si="25"/>
        <v>0.15384615384615374</v>
      </c>
      <c r="L57" s="62">
        <v>42.5</v>
      </c>
      <c r="M57" s="197">
        <f t="shared" si="23"/>
        <v>0.18881118881118875</v>
      </c>
      <c r="N57" s="62">
        <v>43</v>
      </c>
      <c r="O57" s="197">
        <f t="shared" si="26"/>
        <v>0.2027972027972027</v>
      </c>
      <c r="P57"/>
      <c r="Q57" s="92"/>
      <c r="R57" s="92"/>
      <c r="S57" s="92"/>
      <c r="T57" s="92"/>
      <c r="U57" s="92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</row>
    <row r="58" spans="1:88" s="6" customFormat="1">
      <c r="A58" s="15"/>
      <c r="B58" s="45" t="s">
        <v>30</v>
      </c>
      <c r="C58" s="43">
        <f t="shared" si="24"/>
        <v>10.2803738317757</v>
      </c>
      <c r="D58" s="49">
        <v>11</v>
      </c>
      <c r="E58"/>
      <c r="F58" s="176">
        <v>11.75</v>
      </c>
      <c r="G58" s="177">
        <f t="shared" si="21"/>
        <v>6.8181818181818121E-2</v>
      </c>
      <c r="H58" s="59">
        <v>12.25</v>
      </c>
      <c r="I58" s="197">
        <f t="shared" si="22"/>
        <v>0.11363636363636354</v>
      </c>
      <c r="J58" s="62">
        <v>12.5</v>
      </c>
      <c r="K58" s="197">
        <f t="shared" si="25"/>
        <v>0.13636363636363646</v>
      </c>
      <c r="L58" s="62">
        <v>13</v>
      </c>
      <c r="M58" s="197">
        <f t="shared" si="23"/>
        <v>0.18181818181818188</v>
      </c>
      <c r="N58" s="62">
        <v>13.25</v>
      </c>
      <c r="O58" s="197">
        <f t="shared" si="26"/>
        <v>0.20454545454545459</v>
      </c>
      <c r="P58"/>
      <c r="Q58" s="92"/>
      <c r="R58" s="92"/>
      <c r="S58" s="92"/>
      <c r="T58" s="92"/>
      <c r="U58" s="92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</row>
    <row r="59" spans="1:88" s="6" customFormat="1">
      <c r="A59" s="15"/>
      <c r="B59" s="45" t="s">
        <v>29</v>
      </c>
      <c r="C59" s="43">
        <f t="shared" si="24"/>
        <v>11.214953271028037</v>
      </c>
      <c r="D59" s="49">
        <v>12</v>
      </c>
      <c r="E59"/>
      <c r="F59" s="176">
        <v>12.75</v>
      </c>
      <c r="G59" s="177">
        <f t="shared" si="21"/>
        <v>6.25E-2</v>
      </c>
      <c r="H59" s="59">
        <v>13.25</v>
      </c>
      <c r="I59" s="197">
        <f t="shared" si="22"/>
        <v>0.10416666666666674</v>
      </c>
      <c r="J59" s="62">
        <v>13.75</v>
      </c>
      <c r="K59" s="197">
        <f t="shared" si="25"/>
        <v>0.14583333333333326</v>
      </c>
      <c r="L59" s="62">
        <v>14.25</v>
      </c>
      <c r="M59" s="197">
        <f t="shared" si="23"/>
        <v>0.1875</v>
      </c>
      <c r="N59" s="62">
        <v>14.5</v>
      </c>
      <c r="O59" s="197">
        <f t="shared" si="26"/>
        <v>0.20833333333333326</v>
      </c>
      <c r="P59"/>
      <c r="Q59" s="92"/>
      <c r="R59" s="92"/>
      <c r="S59" s="92"/>
      <c r="T59" s="92"/>
      <c r="U59" s="92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</row>
    <row r="60" spans="1:88" s="6" customFormat="1">
      <c r="A60" s="15"/>
      <c r="B60" s="45" t="s">
        <v>28</v>
      </c>
      <c r="C60" s="43">
        <f t="shared" si="24"/>
        <v>9.3457943925233646</v>
      </c>
      <c r="D60" s="49">
        <v>10</v>
      </c>
      <c r="E60"/>
      <c r="F60" s="176">
        <v>10.75</v>
      </c>
      <c r="G60" s="177">
        <f t="shared" si="21"/>
        <v>7.4999999999999956E-2</v>
      </c>
      <c r="H60" s="59">
        <v>11</v>
      </c>
      <c r="I60" s="197">
        <f t="shared" si="22"/>
        <v>0.10000000000000009</v>
      </c>
      <c r="J60" s="62">
        <v>11.5</v>
      </c>
      <c r="K60" s="197">
        <f t="shared" si="25"/>
        <v>0.14999999999999991</v>
      </c>
      <c r="L60" s="62">
        <v>11.75</v>
      </c>
      <c r="M60" s="197">
        <f t="shared" si="23"/>
        <v>0.17500000000000004</v>
      </c>
      <c r="N60" s="62">
        <v>12</v>
      </c>
      <c r="O60" s="197">
        <f t="shared" si="26"/>
        <v>0.19999999999999996</v>
      </c>
      <c r="P60"/>
      <c r="Q60" s="92"/>
      <c r="R60" s="92"/>
      <c r="S60" s="92"/>
      <c r="T60" s="92"/>
      <c r="U60" s="92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</row>
    <row r="61" spans="1:88" s="6" customFormat="1" ht="15" thickBot="1">
      <c r="A61" s="15"/>
      <c r="B61" s="46" t="s">
        <v>27</v>
      </c>
      <c r="C61" s="44">
        <f t="shared" si="24"/>
        <v>10.2803738317757</v>
      </c>
      <c r="D61" s="50">
        <v>11</v>
      </c>
      <c r="E61"/>
      <c r="F61" s="178">
        <v>11.75</v>
      </c>
      <c r="G61" s="179">
        <f t="shared" si="21"/>
        <v>6.8181818181818121E-2</v>
      </c>
      <c r="H61" s="60">
        <v>12.25</v>
      </c>
      <c r="I61" s="198">
        <f t="shared" si="22"/>
        <v>0.11363636363636354</v>
      </c>
      <c r="J61" s="63">
        <v>12.75</v>
      </c>
      <c r="K61" s="198">
        <f t="shared" si="25"/>
        <v>0.15909090909090917</v>
      </c>
      <c r="L61" s="63">
        <v>13</v>
      </c>
      <c r="M61" s="198">
        <f t="shared" si="23"/>
        <v>0.18181818181818188</v>
      </c>
      <c r="N61" s="63">
        <v>13.25</v>
      </c>
      <c r="O61" s="198">
        <f t="shared" si="26"/>
        <v>0.20454545454545459</v>
      </c>
      <c r="P61"/>
      <c r="Q61" s="92"/>
      <c r="R61" s="92"/>
      <c r="S61" s="92"/>
      <c r="T61" s="92"/>
      <c r="U61" s="92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</row>
    <row r="62" spans="1:88" s="6" customFormat="1" ht="15" thickBot="1">
      <c r="A62" s="15"/>
      <c r="B62" s="31"/>
      <c r="C62" s="27"/>
      <c r="D62" s="40"/>
      <c r="E62"/>
      <c r="F62" s="160"/>
      <c r="G62" s="160"/>
      <c r="H62" s="27"/>
      <c r="I62" s="27"/>
      <c r="J62" s="28"/>
      <c r="K62" s="28"/>
      <c r="L62" s="28"/>
      <c r="M62" s="28"/>
      <c r="N62" s="28"/>
      <c r="O62" s="28"/>
      <c r="P62"/>
      <c r="Q62"/>
      <c r="R62" s="23"/>
      <c r="S62" s="23"/>
      <c r="T62" s="23"/>
      <c r="U62" s="23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</row>
    <row r="63" spans="1:88" s="6" customFormat="1" ht="24" thickBot="1">
      <c r="A63" s="15"/>
      <c r="B63" s="52" t="s">
        <v>55</v>
      </c>
      <c r="C63" s="18"/>
      <c r="D63" s="19"/>
      <c r="E63"/>
      <c r="F63" s="160"/>
      <c r="G63" s="160"/>
      <c r="H63" s="18"/>
      <c r="I63" s="18"/>
      <c r="J63" s="8"/>
      <c r="K63" s="8"/>
      <c r="L63" s="8"/>
      <c r="M63" s="8"/>
      <c r="N63" s="8"/>
      <c r="O63" s="8"/>
      <c r="P63"/>
      <c r="Q63" s="90" t="s">
        <v>50</v>
      </c>
      <c r="R63" s="91" t="s">
        <v>112</v>
      </c>
      <c r="S63" s="91" t="s">
        <v>113</v>
      </c>
      <c r="T63" s="91" t="s">
        <v>114</v>
      </c>
      <c r="U63" s="91" t="s">
        <v>115</v>
      </c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</row>
    <row r="64" spans="1:88" s="6" customFormat="1">
      <c r="A64" s="15"/>
      <c r="B64" s="149" t="s">
        <v>162</v>
      </c>
      <c r="C64" s="201">
        <f>D64/1.07</f>
        <v>45.999999999999993</v>
      </c>
      <c r="D64" s="202">
        <v>49.22</v>
      </c>
      <c r="E64" s="203"/>
      <c r="F64" s="170">
        <v>52</v>
      </c>
      <c r="G64" s="171">
        <f t="shared" ref="G64:G81" si="27">F64/$D64-1</f>
        <v>5.6481105241771745E-2</v>
      </c>
      <c r="H64" s="150">
        <v>54</v>
      </c>
      <c r="I64" s="193">
        <f t="shared" ref="I64:I81" si="28">H64/$D64-1</f>
        <v>9.7114993904916735E-2</v>
      </c>
      <c r="J64" s="150">
        <v>56.25</v>
      </c>
      <c r="K64" s="193">
        <f t="shared" ref="K64:K81" si="29">J64/$D64-1</f>
        <v>0.14282811865095502</v>
      </c>
      <c r="L64" s="150">
        <v>57.5</v>
      </c>
      <c r="M64" s="193">
        <f t="shared" ref="M64:M81" si="30">L64/$D64-1</f>
        <v>0.16822429906542058</v>
      </c>
      <c r="N64" s="150">
        <v>59</v>
      </c>
      <c r="O64" s="193">
        <f t="shared" ref="O64:O81" si="31">N64/$D64-1</f>
        <v>0.19869971556277943</v>
      </c>
      <c r="P64"/>
      <c r="Q64" s="92">
        <v>4.065040650406504E-2</v>
      </c>
      <c r="R64" s="92">
        <v>0.1</v>
      </c>
      <c r="S64" s="92">
        <v>0.15</v>
      </c>
      <c r="T64" s="92">
        <v>0.18</v>
      </c>
      <c r="U64" s="92">
        <v>0.2</v>
      </c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</row>
    <row r="65" spans="1:88" s="6" customFormat="1">
      <c r="A65" s="15"/>
      <c r="B65" s="125" t="s">
        <v>163</v>
      </c>
      <c r="C65" s="204">
        <f t="shared" ref="C65:C81" si="32">D65/1.07</f>
        <v>57</v>
      </c>
      <c r="D65" s="205">
        <v>60.99</v>
      </c>
      <c r="E65" s="203"/>
      <c r="F65" s="172">
        <v>64</v>
      </c>
      <c r="G65" s="173">
        <f t="shared" si="27"/>
        <v>4.9352352844728609E-2</v>
      </c>
      <c r="H65" s="126">
        <v>67.25</v>
      </c>
      <c r="I65" s="194">
        <f t="shared" si="28"/>
        <v>0.10263977701262506</v>
      </c>
      <c r="J65" s="126">
        <v>70</v>
      </c>
      <c r="K65" s="194">
        <f t="shared" si="29"/>
        <v>0.14772913592392189</v>
      </c>
      <c r="L65" s="126">
        <v>71</v>
      </c>
      <c r="M65" s="194">
        <f t="shared" si="30"/>
        <v>0.16412526643712089</v>
      </c>
      <c r="N65" s="126">
        <v>73</v>
      </c>
      <c r="O65" s="194">
        <f t="shared" si="31"/>
        <v>0.19691752746351865</v>
      </c>
      <c r="P65"/>
      <c r="Q65" s="92"/>
      <c r="R65" s="92"/>
      <c r="S65" s="92"/>
      <c r="T65" s="92"/>
      <c r="U65" s="92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</row>
    <row r="66" spans="1:88" s="6" customFormat="1">
      <c r="A66" s="15"/>
      <c r="B66" s="125" t="s">
        <v>164</v>
      </c>
      <c r="C66" s="204">
        <f t="shared" si="32"/>
        <v>49</v>
      </c>
      <c r="D66" s="205">
        <v>52.43</v>
      </c>
      <c r="E66" s="203"/>
      <c r="F66" s="172">
        <v>55</v>
      </c>
      <c r="G66" s="173">
        <f t="shared" si="27"/>
        <v>4.9017737936295935E-2</v>
      </c>
      <c r="H66" s="126">
        <v>57.5</v>
      </c>
      <c r="I66" s="194">
        <f t="shared" si="28"/>
        <v>9.6700362387945882E-2</v>
      </c>
      <c r="J66" s="126">
        <v>60</v>
      </c>
      <c r="K66" s="194">
        <f t="shared" si="29"/>
        <v>0.14438298683959561</v>
      </c>
      <c r="L66" s="126">
        <v>61</v>
      </c>
      <c r="M66" s="194">
        <f t="shared" si="30"/>
        <v>0.16345603662025554</v>
      </c>
      <c r="N66" s="126">
        <v>62.5</v>
      </c>
      <c r="O66" s="194">
        <f t="shared" si="31"/>
        <v>0.19206561129124555</v>
      </c>
      <c r="P66"/>
      <c r="Q66" s="92"/>
      <c r="R66" s="92"/>
      <c r="S66" s="92"/>
      <c r="T66" s="92"/>
      <c r="U66" s="92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</row>
    <row r="67" spans="1:88" s="6" customFormat="1">
      <c r="A67" s="15"/>
      <c r="B67" s="125" t="s">
        <v>165</v>
      </c>
      <c r="C67" s="204">
        <f t="shared" si="32"/>
        <v>60.999999999999993</v>
      </c>
      <c r="D67" s="205">
        <v>65.27</v>
      </c>
      <c r="E67" s="203"/>
      <c r="F67" s="172">
        <v>68</v>
      </c>
      <c r="G67" s="173">
        <f t="shared" si="27"/>
        <v>4.1826260150145567E-2</v>
      </c>
      <c r="H67" s="126">
        <v>72</v>
      </c>
      <c r="I67" s="194">
        <f t="shared" si="28"/>
        <v>0.1031101578060365</v>
      </c>
      <c r="J67" s="126">
        <v>74.5</v>
      </c>
      <c r="K67" s="194">
        <f t="shared" si="29"/>
        <v>0.14141259384096827</v>
      </c>
      <c r="L67" s="126">
        <v>76</v>
      </c>
      <c r="M67" s="194">
        <f t="shared" si="30"/>
        <v>0.16439405546192742</v>
      </c>
      <c r="N67" s="126">
        <v>78</v>
      </c>
      <c r="O67" s="194">
        <f t="shared" si="31"/>
        <v>0.19503600428987289</v>
      </c>
      <c r="P67"/>
      <c r="Q67" s="92"/>
      <c r="R67" s="92"/>
      <c r="S67" s="92"/>
      <c r="T67" s="92"/>
      <c r="U67" s="92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</row>
    <row r="68" spans="1:88" s="6" customFormat="1">
      <c r="A68" s="15"/>
      <c r="B68" s="125" t="s">
        <v>166</v>
      </c>
      <c r="C68" s="204">
        <f t="shared" si="32"/>
        <v>29</v>
      </c>
      <c r="D68" s="205">
        <v>31.03</v>
      </c>
      <c r="E68" s="203"/>
      <c r="F68" s="172">
        <v>33</v>
      </c>
      <c r="G68" s="173">
        <f t="shared" si="27"/>
        <v>6.3486948114727548E-2</v>
      </c>
      <c r="H68" s="126">
        <v>34</v>
      </c>
      <c r="I68" s="194">
        <f t="shared" si="28"/>
        <v>9.5713825330325353E-2</v>
      </c>
      <c r="J68" s="126">
        <v>35.5</v>
      </c>
      <c r="K68" s="194">
        <f t="shared" si="29"/>
        <v>0.14405414115372217</v>
      </c>
      <c r="L68" s="126">
        <v>36</v>
      </c>
      <c r="M68" s="194">
        <f t="shared" si="30"/>
        <v>0.16016757976152096</v>
      </c>
      <c r="N68" s="126">
        <v>37</v>
      </c>
      <c r="O68" s="194">
        <f t="shared" si="31"/>
        <v>0.19239445697711877</v>
      </c>
      <c r="P68"/>
      <c r="Q68" s="92"/>
      <c r="R68" s="92"/>
      <c r="S68" s="92"/>
      <c r="T68" s="92"/>
      <c r="U68" s="92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</row>
    <row r="69" spans="1:88" s="6" customFormat="1">
      <c r="A69" s="15"/>
      <c r="B69" s="125" t="s">
        <v>167</v>
      </c>
      <c r="C69" s="204">
        <f>D69/1.07</f>
        <v>37.999999999999993</v>
      </c>
      <c r="D69" s="205">
        <v>40.659999999999997</v>
      </c>
      <c r="E69" s="203"/>
      <c r="F69" s="172">
        <v>43</v>
      </c>
      <c r="G69" s="173">
        <f t="shared" si="27"/>
        <v>5.7550418101328216E-2</v>
      </c>
      <c r="H69" s="126">
        <v>45</v>
      </c>
      <c r="I69" s="194">
        <f t="shared" si="28"/>
        <v>0.10673880964092475</v>
      </c>
      <c r="J69" s="126">
        <v>46.5</v>
      </c>
      <c r="K69" s="194">
        <f t="shared" si="29"/>
        <v>0.14363010329562242</v>
      </c>
      <c r="L69" s="126">
        <v>47.25</v>
      </c>
      <c r="M69" s="194">
        <f t="shared" si="30"/>
        <v>0.16207575012297104</v>
      </c>
      <c r="N69" s="126">
        <v>48.5</v>
      </c>
      <c r="O69" s="194">
        <f t="shared" si="31"/>
        <v>0.19281849483521896</v>
      </c>
      <c r="P69"/>
      <c r="Q69" s="92"/>
      <c r="R69" s="92"/>
      <c r="S69" s="92"/>
      <c r="T69" s="92"/>
      <c r="U69" s="92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6" customFormat="1">
      <c r="A70" s="15"/>
      <c r="B70" s="125" t="s">
        <v>168</v>
      </c>
      <c r="C70" s="204">
        <f t="shared" si="32"/>
        <v>31</v>
      </c>
      <c r="D70" s="205">
        <v>33.17</v>
      </c>
      <c r="E70" s="203"/>
      <c r="F70" s="172">
        <v>35</v>
      </c>
      <c r="G70" s="173">
        <f t="shared" si="27"/>
        <v>5.5170334639734753E-2</v>
      </c>
      <c r="H70" s="126">
        <v>36.5</v>
      </c>
      <c r="I70" s="194">
        <f t="shared" si="28"/>
        <v>0.10039192041000899</v>
      </c>
      <c r="J70" s="126">
        <v>38</v>
      </c>
      <c r="K70" s="194">
        <f t="shared" si="29"/>
        <v>0.14561350618028324</v>
      </c>
      <c r="L70" s="126">
        <v>38.5</v>
      </c>
      <c r="M70" s="194">
        <f t="shared" si="30"/>
        <v>0.16068736810370821</v>
      </c>
      <c r="N70" s="126">
        <v>39.5</v>
      </c>
      <c r="O70" s="194">
        <f t="shared" si="31"/>
        <v>0.1908350919505577</v>
      </c>
      <c r="P70"/>
      <c r="Q70" s="92"/>
      <c r="R70" s="92"/>
      <c r="S70" s="92"/>
      <c r="T70" s="92"/>
      <c r="U70" s="92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6" customFormat="1">
      <c r="A71" s="15"/>
      <c r="B71" s="125" t="s">
        <v>169</v>
      </c>
      <c r="C71" s="204">
        <f t="shared" si="32"/>
        <v>38.999999999999993</v>
      </c>
      <c r="D71" s="205">
        <v>41.73</v>
      </c>
      <c r="E71" s="203"/>
      <c r="F71" s="172">
        <v>44</v>
      </c>
      <c r="G71" s="173">
        <f t="shared" si="27"/>
        <v>5.4397316079559221E-2</v>
      </c>
      <c r="H71" s="126">
        <v>46</v>
      </c>
      <c r="I71" s="194">
        <f t="shared" si="28"/>
        <v>0.10232446681044816</v>
      </c>
      <c r="J71" s="126">
        <v>47.75</v>
      </c>
      <c r="K71" s="194">
        <f t="shared" si="29"/>
        <v>0.14426072369997622</v>
      </c>
      <c r="L71" s="126">
        <v>48.5</v>
      </c>
      <c r="M71" s="194">
        <f t="shared" si="30"/>
        <v>0.16223340522405949</v>
      </c>
      <c r="N71" s="126">
        <v>50</v>
      </c>
      <c r="O71" s="194">
        <f t="shared" si="31"/>
        <v>0.19817876827222625</v>
      </c>
      <c r="P71"/>
      <c r="Q71" s="92"/>
      <c r="R71" s="92"/>
      <c r="S71" s="92"/>
      <c r="T71" s="92"/>
      <c r="U71" s="92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6" customFormat="1">
      <c r="A72" s="15"/>
      <c r="B72" s="125" t="s">
        <v>170</v>
      </c>
      <c r="C72" s="204">
        <f t="shared" si="32"/>
        <v>38.999999999999993</v>
      </c>
      <c r="D72" s="205">
        <v>41.73</v>
      </c>
      <c r="E72" s="203"/>
      <c r="F72" s="172">
        <v>44</v>
      </c>
      <c r="G72" s="173">
        <f t="shared" si="27"/>
        <v>5.4397316079559221E-2</v>
      </c>
      <c r="H72" s="126">
        <v>46</v>
      </c>
      <c r="I72" s="194">
        <f t="shared" si="28"/>
        <v>0.10232446681044816</v>
      </c>
      <c r="J72" s="126">
        <v>47.75</v>
      </c>
      <c r="K72" s="194">
        <f t="shared" si="29"/>
        <v>0.14426072369997622</v>
      </c>
      <c r="L72" s="126">
        <v>48.5</v>
      </c>
      <c r="M72" s="194">
        <f t="shared" si="30"/>
        <v>0.16223340522405949</v>
      </c>
      <c r="N72" s="126">
        <v>50</v>
      </c>
      <c r="O72" s="194">
        <f t="shared" si="31"/>
        <v>0.19817876827222625</v>
      </c>
      <c r="P72"/>
      <c r="Q72" s="92"/>
      <c r="R72" s="92"/>
      <c r="S72" s="92"/>
      <c r="T72" s="92"/>
      <c r="U72" s="9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6" customFormat="1">
      <c r="A73" s="15"/>
      <c r="B73" s="125" t="s">
        <v>171</v>
      </c>
      <c r="C73" s="204">
        <f t="shared" si="32"/>
        <v>49</v>
      </c>
      <c r="D73" s="205">
        <v>52.43</v>
      </c>
      <c r="E73" s="203"/>
      <c r="F73" s="172">
        <v>55</v>
      </c>
      <c r="G73" s="173">
        <f t="shared" si="27"/>
        <v>4.9017737936295935E-2</v>
      </c>
      <c r="H73" s="126">
        <v>58</v>
      </c>
      <c r="I73" s="194">
        <f t="shared" si="28"/>
        <v>0.10623688727827574</v>
      </c>
      <c r="J73" s="126">
        <v>60</v>
      </c>
      <c r="K73" s="194">
        <f t="shared" si="29"/>
        <v>0.14438298683959561</v>
      </c>
      <c r="L73" s="126">
        <v>61</v>
      </c>
      <c r="M73" s="194">
        <f t="shared" si="30"/>
        <v>0.16345603662025554</v>
      </c>
      <c r="N73" s="126">
        <v>62.5</v>
      </c>
      <c r="O73" s="194">
        <f t="shared" si="31"/>
        <v>0.19206561129124555</v>
      </c>
      <c r="P73"/>
      <c r="Q73" s="92"/>
      <c r="R73" s="92"/>
      <c r="S73" s="92"/>
      <c r="T73" s="92"/>
      <c r="U73" s="92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6" customFormat="1">
      <c r="A74" s="15"/>
      <c r="B74" s="125" t="s">
        <v>172</v>
      </c>
      <c r="C74" s="204">
        <f t="shared" si="32"/>
        <v>41.999999999999993</v>
      </c>
      <c r="D74" s="205">
        <v>44.94</v>
      </c>
      <c r="E74" s="203"/>
      <c r="F74" s="172">
        <v>48</v>
      </c>
      <c r="G74" s="173">
        <f t="shared" si="27"/>
        <v>6.8090787716956092E-2</v>
      </c>
      <c r="H74" s="126">
        <v>49.5</v>
      </c>
      <c r="I74" s="194">
        <f t="shared" si="28"/>
        <v>0.10146862483311092</v>
      </c>
      <c r="J74" s="126">
        <v>51.25</v>
      </c>
      <c r="K74" s="194">
        <f t="shared" si="29"/>
        <v>0.14040943480195822</v>
      </c>
      <c r="L74" s="126">
        <v>52.5</v>
      </c>
      <c r="M74" s="194">
        <f t="shared" si="30"/>
        <v>0.16822429906542058</v>
      </c>
      <c r="N74" s="126">
        <v>53.5</v>
      </c>
      <c r="O74" s="194">
        <f t="shared" si="31"/>
        <v>0.19047619047619047</v>
      </c>
      <c r="P74"/>
      <c r="Q74" s="92"/>
      <c r="R74" s="92"/>
      <c r="S74" s="92"/>
      <c r="T74" s="92"/>
      <c r="U74" s="92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6" customFormat="1">
      <c r="A75" s="15"/>
      <c r="B75" s="125" t="s">
        <v>173</v>
      </c>
      <c r="C75" s="204">
        <f t="shared" si="32"/>
        <v>53</v>
      </c>
      <c r="D75" s="205">
        <v>56.71</v>
      </c>
      <c r="E75" s="203"/>
      <c r="F75" s="172">
        <v>60</v>
      </c>
      <c r="G75" s="173">
        <f t="shared" si="27"/>
        <v>5.801445953094686E-2</v>
      </c>
      <c r="H75" s="126">
        <v>62.5</v>
      </c>
      <c r="I75" s="194">
        <f t="shared" si="28"/>
        <v>0.1020983953447363</v>
      </c>
      <c r="J75" s="126">
        <v>65</v>
      </c>
      <c r="K75" s="194">
        <f t="shared" si="29"/>
        <v>0.14618233115852575</v>
      </c>
      <c r="L75" s="126">
        <v>66</v>
      </c>
      <c r="M75" s="194">
        <f t="shared" si="30"/>
        <v>0.16381590548404157</v>
      </c>
      <c r="N75" s="126">
        <v>67.5</v>
      </c>
      <c r="O75" s="194">
        <f t="shared" si="31"/>
        <v>0.19026626697231519</v>
      </c>
      <c r="P75"/>
      <c r="Q75" s="92"/>
      <c r="R75" s="92"/>
      <c r="S75" s="92"/>
      <c r="T75" s="92"/>
      <c r="U75" s="92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6" customFormat="1">
      <c r="A76" s="15"/>
      <c r="B76" s="125" t="s">
        <v>174</v>
      </c>
      <c r="C76" s="204">
        <f t="shared" si="32"/>
        <v>26</v>
      </c>
      <c r="D76" s="205">
        <v>27.82</v>
      </c>
      <c r="E76" s="203"/>
      <c r="F76" s="172">
        <v>30</v>
      </c>
      <c r="G76" s="173">
        <f t="shared" si="27"/>
        <v>7.8360891445003578E-2</v>
      </c>
      <c r="H76" s="126">
        <v>30.75</v>
      </c>
      <c r="I76" s="194">
        <f t="shared" si="28"/>
        <v>0.1053199137311287</v>
      </c>
      <c r="J76" s="126">
        <v>31.75</v>
      </c>
      <c r="K76" s="194">
        <f t="shared" si="29"/>
        <v>0.14126527677929546</v>
      </c>
      <c r="L76" s="126">
        <v>32.5</v>
      </c>
      <c r="M76" s="194">
        <f t="shared" si="30"/>
        <v>0.16822429906542058</v>
      </c>
      <c r="N76" s="126">
        <v>33.25</v>
      </c>
      <c r="O76" s="194">
        <f t="shared" si="31"/>
        <v>0.1951833213515457</v>
      </c>
      <c r="P76"/>
      <c r="Q76" s="92"/>
      <c r="R76" s="92"/>
      <c r="S76" s="92"/>
      <c r="T76" s="92"/>
      <c r="U76" s="92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6" customFormat="1">
      <c r="A77" s="15"/>
      <c r="B77" s="125" t="s">
        <v>175</v>
      </c>
      <c r="C77" s="204">
        <f t="shared" si="32"/>
        <v>32</v>
      </c>
      <c r="D77" s="205">
        <v>34.24</v>
      </c>
      <c r="E77" s="203"/>
      <c r="F77" s="172">
        <v>36</v>
      </c>
      <c r="G77" s="173">
        <f t="shared" si="27"/>
        <v>5.1401869158878455E-2</v>
      </c>
      <c r="H77" s="126">
        <v>37.75</v>
      </c>
      <c r="I77" s="194">
        <f t="shared" si="28"/>
        <v>0.10251168224299056</v>
      </c>
      <c r="J77" s="126">
        <v>39.25</v>
      </c>
      <c r="K77" s="194">
        <f t="shared" si="29"/>
        <v>0.14632009345794383</v>
      </c>
      <c r="L77" s="126">
        <v>40</v>
      </c>
      <c r="M77" s="194">
        <f t="shared" si="30"/>
        <v>0.16822429906542058</v>
      </c>
      <c r="N77" s="126">
        <v>41</v>
      </c>
      <c r="O77" s="194">
        <f t="shared" si="31"/>
        <v>0.19742990654205594</v>
      </c>
      <c r="P77"/>
      <c r="Q77" s="92"/>
      <c r="R77" s="92"/>
      <c r="S77" s="92"/>
      <c r="T77" s="92"/>
      <c r="U77" s="92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6" customFormat="1">
      <c r="A78" s="15"/>
      <c r="B78" s="125" t="s">
        <v>176</v>
      </c>
      <c r="C78" s="204">
        <f t="shared" si="32"/>
        <v>27</v>
      </c>
      <c r="D78" s="205">
        <v>28.89</v>
      </c>
      <c r="E78" s="203"/>
      <c r="F78" s="172">
        <v>31</v>
      </c>
      <c r="G78" s="173">
        <f t="shared" si="27"/>
        <v>7.3035652474904733E-2</v>
      </c>
      <c r="H78" s="126">
        <v>32</v>
      </c>
      <c r="I78" s="194">
        <f t="shared" si="28"/>
        <v>0.10764970578054678</v>
      </c>
      <c r="J78" s="126">
        <v>33</v>
      </c>
      <c r="K78" s="194">
        <f t="shared" si="29"/>
        <v>0.14226375908618905</v>
      </c>
      <c r="L78" s="126">
        <v>33.75</v>
      </c>
      <c r="M78" s="194">
        <f t="shared" si="30"/>
        <v>0.16822429906542058</v>
      </c>
      <c r="N78" s="126">
        <v>34.5</v>
      </c>
      <c r="O78" s="194">
        <f t="shared" si="31"/>
        <v>0.19418483904465211</v>
      </c>
      <c r="P78"/>
      <c r="Q78" s="92"/>
      <c r="R78" s="92"/>
      <c r="S78" s="92"/>
      <c r="T78" s="92"/>
      <c r="U78" s="92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6" customFormat="1">
      <c r="A79" s="15"/>
      <c r="B79" s="125" t="s">
        <v>177</v>
      </c>
      <c r="C79" s="204">
        <f t="shared" si="32"/>
        <v>34</v>
      </c>
      <c r="D79" s="205">
        <v>36.380000000000003</v>
      </c>
      <c r="E79" s="203"/>
      <c r="F79" s="172">
        <v>39</v>
      </c>
      <c r="G79" s="173">
        <f t="shared" si="27"/>
        <v>7.2017592083562398E-2</v>
      </c>
      <c r="H79" s="126">
        <v>40.25</v>
      </c>
      <c r="I79" s="194">
        <f t="shared" si="28"/>
        <v>0.10637713029136875</v>
      </c>
      <c r="J79" s="126">
        <v>41.5</v>
      </c>
      <c r="K79" s="194">
        <f t="shared" si="29"/>
        <v>0.14073666849917532</v>
      </c>
      <c r="L79" s="126">
        <v>42.5</v>
      </c>
      <c r="M79" s="194">
        <f t="shared" si="30"/>
        <v>0.16822429906542058</v>
      </c>
      <c r="N79" s="126">
        <v>43.5</v>
      </c>
      <c r="O79" s="194">
        <f t="shared" si="31"/>
        <v>0.19571192963166562</v>
      </c>
      <c r="P79"/>
      <c r="Q79" s="92"/>
      <c r="R79" s="92"/>
      <c r="S79" s="92"/>
      <c r="T79" s="92"/>
      <c r="U79" s="92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6" customFormat="1">
      <c r="A80" s="15"/>
      <c r="B80" s="45" t="s">
        <v>178</v>
      </c>
      <c r="C80" s="43">
        <f t="shared" si="32"/>
        <v>9</v>
      </c>
      <c r="D80" s="49">
        <v>9.6300000000000008</v>
      </c>
      <c r="E80"/>
      <c r="F80" s="172">
        <v>10.25</v>
      </c>
      <c r="G80" s="173">
        <f t="shared" si="27"/>
        <v>6.4382139148494222E-2</v>
      </c>
      <c r="H80" s="126">
        <v>10.5</v>
      </c>
      <c r="I80" s="194">
        <f t="shared" si="28"/>
        <v>9.0342679127725756E-2</v>
      </c>
      <c r="J80" s="126">
        <v>11</v>
      </c>
      <c r="K80" s="194">
        <f t="shared" si="29"/>
        <v>0.14226375908618882</v>
      </c>
      <c r="L80" s="126">
        <v>11.25</v>
      </c>
      <c r="M80" s="194">
        <f t="shared" si="30"/>
        <v>0.16822429906542036</v>
      </c>
      <c r="N80" s="126">
        <v>11.5</v>
      </c>
      <c r="O80" s="194">
        <f t="shared" si="31"/>
        <v>0.19418483904465211</v>
      </c>
      <c r="P80"/>
      <c r="Q80" s="92"/>
      <c r="R80" s="92"/>
      <c r="S80" s="92"/>
      <c r="T80" s="92"/>
      <c r="U80" s="92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6" customFormat="1" ht="15" thickBot="1">
      <c r="A81" s="15"/>
      <c r="B81" s="46" t="s">
        <v>179</v>
      </c>
      <c r="C81" s="44">
        <f t="shared" si="32"/>
        <v>9.9999999999999982</v>
      </c>
      <c r="D81" s="50">
        <v>10.7</v>
      </c>
      <c r="E81"/>
      <c r="F81" s="174">
        <v>11.25</v>
      </c>
      <c r="G81" s="175">
        <f t="shared" si="27"/>
        <v>5.1401869158878677E-2</v>
      </c>
      <c r="H81" s="131">
        <v>11.75</v>
      </c>
      <c r="I81" s="196">
        <f t="shared" si="28"/>
        <v>9.8130841121495394E-2</v>
      </c>
      <c r="J81" s="131">
        <v>12.25</v>
      </c>
      <c r="K81" s="196">
        <f t="shared" si="29"/>
        <v>0.14485981308411233</v>
      </c>
      <c r="L81" s="131">
        <v>12.5</v>
      </c>
      <c r="M81" s="196">
        <f t="shared" si="30"/>
        <v>0.16822429906542058</v>
      </c>
      <c r="N81" s="131">
        <v>12.75</v>
      </c>
      <c r="O81" s="196">
        <f t="shared" si="31"/>
        <v>0.19158878504672905</v>
      </c>
      <c r="P81"/>
      <c r="Q81" s="92"/>
      <c r="R81" s="92"/>
      <c r="S81" s="92"/>
      <c r="T81" s="92"/>
      <c r="U81" s="92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6" customFormat="1" ht="15" thickBot="1">
      <c r="A82" s="15"/>
      <c r="B82" s="31"/>
      <c r="C82" s="27"/>
      <c r="D82" s="40"/>
      <c r="E82"/>
      <c r="F82" s="160"/>
      <c r="G82" s="160"/>
      <c r="H82" s="27"/>
      <c r="I82" s="27"/>
      <c r="J82" s="28"/>
      <c r="K82" s="28"/>
      <c r="L82" s="28"/>
      <c r="M82" s="28"/>
      <c r="N82" s="28"/>
      <c r="O82" s="28"/>
      <c r="P82"/>
      <c r="Q82"/>
      <c r="R82" s="23"/>
      <c r="S82" s="23"/>
      <c r="T82" s="23"/>
      <c r="U82" s="23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ht="24" thickBot="1">
      <c r="A83" s="15"/>
      <c r="B83" s="47" t="s">
        <v>26</v>
      </c>
      <c r="C83" s="22"/>
      <c r="D83" s="18"/>
      <c r="J83" s="8"/>
      <c r="K83" s="8"/>
      <c r="L83" s="8"/>
      <c r="M83" s="8"/>
      <c r="N83" s="8"/>
      <c r="O83" s="8"/>
      <c r="Q83" s="90" t="s">
        <v>50</v>
      </c>
      <c r="R83" s="91" t="s">
        <v>112</v>
      </c>
      <c r="S83" s="91" t="s">
        <v>113</v>
      </c>
      <c r="T83" s="91" t="s">
        <v>114</v>
      </c>
      <c r="U83" s="91" t="s">
        <v>115</v>
      </c>
    </row>
    <row r="84" spans="1:88">
      <c r="A84" s="65" t="s">
        <v>52</v>
      </c>
      <c r="B84" s="72" t="s">
        <v>25</v>
      </c>
      <c r="C84" s="73">
        <f>D84/1.07</f>
        <v>0</v>
      </c>
      <c r="D84" s="74">
        <v>0</v>
      </c>
      <c r="E84" s="71"/>
      <c r="F84" s="180"/>
      <c r="G84" s="181" t="e">
        <f t="shared" ref="G84:G95" si="33">F84/$D84-1</f>
        <v>#DIV/0!</v>
      </c>
      <c r="H84" s="75"/>
      <c r="I84" s="199" t="e">
        <f t="shared" ref="I84:I85" si="34">H84/$D84-1</f>
        <v>#DIV/0!</v>
      </c>
      <c r="J84" s="76"/>
      <c r="K84" s="199" t="e">
        <f t="shared" ref="K84" si="35">J84/$D84-1</f>
        <v>#DIV/0!</v>
      </c>
      <c r="L84" s="76"/>
      <c r="M84" s="199" t="e">
        <f t="shared" ref="M84:M85" si="36">L84/$D84-1</f>
        <v>#DIV/0!</v>
      </c>
      <c r="N84" s="76"/>
      <c r="O84" s="199" t="e">
        <f t="shared" ref="O84:O85" si="37">N84/$D84-1</f>
        <v>#DIV/0!</v>
      </c>
      <c r="Q84" s="95">
        <v>4.065040650406504E-2</v>
      </c>
      <c r="R84" s="95">
        <v>0.1</v>
      </c>
      <c r="S84" s="95">
        <v>0.15</v>
      </c>
      <c r="T84" s="95">
        <v>0.2</v>
      </c>
      <c r="U84" s="95">
        <v>0.25</v>
      </c>
    </row>
    <row r="85" spans="1:88">
      <c r="A85" s="66" t="s">
        <v>53</v>
      </c>
      <c r="B85" s="127" t="s">
        <v>25</v>
      </c>
      <c r="C85" s="122">
        <f>D85/1.07</f>
        <v>6.5420560747663545</v>
      </c>
      <c r="D85" s="123">
        <v>7</v>
      </c>
      <c r="E85" s="7"/>
      <c r="F85" s="172">
        <v>7.5</v>
      </c>
      <c r="G85" s="173">
        <f t="shared" si="33"/>
        <v>7.1428571428571397E-2</v>
      </c>
      <c r="H85" s="124">
        <v>8</v>
      </c>
      <c r="I85" s="194">
        <f t="shared" si="34"/>
        <v>0.14285714285714279</v>
      </c>
      <c r="J85" s="126">
        <v>8.25</v>
      </c>
      <c r="K85" s="194">
        <f>J85/$D85-1</f>
        <v>0.1785714285714286</v>
      </c>
      <c r="L85" s="126">
        <v>8.5</v>
      </c>
      <c r="M85" s="194">
        <f t="shared" si="36"/>
        <v>0.21428571428571419</v>
      </c>
      <c r="N85" s="126">
        <v>8.75</v>
      </c>
      <c r="O85" s="194">
        <f t="shared" si="37"/>
        <v>0.25</v>
      </c>
      <c r="Q85" s="95"/>
      <c r="R85" s="95"/>
      <c r="S85" s="95"/>
      <c r="T85" s="95"/>
      <c r="U85" s="95"/>
    </row>
    <row r="86" spans="1:88">
      <c r="A86" s="15"/>
      <c r="B86" s="39" t="s">
        <v>24</v>
      </c>
      <c r="C86" s="51"/>
      <c r="D86" s="54"/>
      <c r="F86" s="176"/>
      <c r="G86" s="177" t="e">
        <f t="shared" si="33"/>
        <v>#DIV/0!</v>
      </c>
      <c r="H86" s="37"/>
      <c r="I86" s="37"/>
      <c r="J86" s="62"/>
      <c r="K86" s="62"/>
      <c r="L86" s="62"/>
      <c r="M86" s="62"/>
      <c r="N86" s="62"/>
      <c r="O86" s="62"/>
      <c r="Q86" s="95"/>
      <c r="R86" s="95"/>
      <c r="S86" s="95"/>
      <c r="T86" s="95"/>
      <c r="U86" s="95"/>
    </row>
    <row r="87" spans="1:88">
      <c r="A87" s="15"/>
      <c r="B87" s="39" t="s">
        <v>23</v>
      </c>
      <c r="C87" s="51"/>
      <c r="D87" s="54"/>
      <c r="F87" s="176"/>
      <c r="G87" s="177" t="e">
        <f t="shared" si="33"/>
        <v>#DIV/0!</v>
      </c>
      <c r="H87" s="37"/>
      <c r="I87" s="37"/>
      <c r="J87" s="62"/>
      <c r="K87" s="62"/>
      <c r="L87" s="62"/>
      <c r="M87" s="62"/>
      <c r="N87" s="62"/>
      <c r="O87" s="62"/>
      <c r="Q87" s="95"/>
      <c r="R87" s="95"/>
      <c r="S87" s="95"/>
      <c r="T87" s="95"/>
      <c r="U87" s="95"/>
    </row>
    <row r="88" spans="1:88">
      <c r="A88" s="15"/>
      <c r="B88" s="39" t="s">
        <v>22</v>
      </c>
      <c r="C88" s="51"/>
      <c r="D88" s="54"/>
      <c r="F88" s="176"/>
      <c r="G88" s="177" t="e">
        <f t="shared" si="33"/>
        <v>#DIV/0!</v>
      </c>
      <c r="H88" s="37"/>
      <c r="I88" s="37"/>
      <c r="J88" s="62"/>
      <c r="K88" s="62"/>
      <c r="L88" s="62"/>
      <c r="M88" s="62"/>
      <c r="N88" s="62"/>
      <c r="O88" s="62"/>
      <c r="P88" s="64"/>
      <c r="Q88" s="95"/>
      <c r="R88" s="95"/>
      <c r="S88" s="95"/>
      <c r="T88" s="95"/>
      <c r="U88" s="95"/>
    </row>
    <row r="89" spans="1:88">
      <c r="A89" s="65" t="s">
        <v>52</v>
      </c>
      <c r="B89" s="39" t="s">
        <v>21</v>
      </c>
      <c r="C89" s="43">
        <f t="shared" ref="C89:C90" si="38">D89/1.07</f>
        <v>0</v>
      </c>
      <c r="D89" s="49">
        <v>0</v>
      </c>
      <c r="F89" s="176"/>
      <c r="G89" s="177" t="e">
        <f t="shared" si="33"/>
        <v>#DIV/0!</v>
      </c>
      <c r="H89" s="59"/>
      <c r="I89" s="197" t="e">
        <f t="shared" ref="I89:I90" si="39">H89/$D89-1</f>
        <v>#DIV/0!</v>
      </c>
      <c r="J89" s="62"/>
      <c r="K89" s="197" t="e">
        <f t="shared" ref="K89:K90" si="40">J89/$D89-1</f>
        <v>#DIV/0!</v>
      </c>
      <c r="L89" s="62"/>
      <c r="M89" s="197" t="e">
        <f t="shared" ref="M89:M90" si="41">L89/$D89-1</f>
        <v>#DIV/0!</v>
      </c>
      <c r="N89" s="62"/>
      <c r="O89" s="197" t="e">
        <f t="shared" ref="O89:O90" si="42">N89/$D89-1</f>
        <v>#DIV/0!</v>
      </c>
      <c r="Q89" s="95"/>
      <c r="R89" s="96"/>
      <c r="S89" s="96"/>
      <c r="T89" s="95"/>
      <c r="U89" s="95"/>
    </row>
    <row r="90" spans="1:88">
      <c r="A90" s="66" t="s">
        <v>53</v>
      </c>
      <c r="B90" s="127" t="s">
        <v>21</v>
      </c>
      <c r="C90" s="122">
        <f t="shared" si="38"/>
        <v>29.906542056074766</v>
      </c>
      <c r="D90" s="123">
        <v>32</v>
      </c>
      <c r="E90" s="7"/>
      <c r="F90" s="172">
        <v>34</v>
      </c>
      <c r="G90" s="173">
        <f t="shared" si="33"/>
        <v>6.25E-2</v>
      </c>
      <c r="H90" s="124">
        <v>36.5</v>
      </c>
      <c r="I90" s="194">
        <f t="shared" si="39"/>
        <v>0.140625</v>
      </c>
      <c r="J90" s="126">
        <v>37.5</v>
      </c>
      <c r="K90" s="194">
        <f t="shared" si="40"/>
        <v>0.171875</v>
      </c>
      <c r="L90" s="126">
        <v>39</v>
      </c>
      <c r="M90" s="194">
        <f t="shared" si="41"/>
        <v>0.21875</v>
      </c>
      <c r="N90" s="126">
        <v>40</v>
      </c>
      <c r="O90" s="194">
        <f t="shared" si="42"/>
        <v>0.25</v>
      </c>
      <c r="Q90" s="95"/>
      <c r="R90" s="96"/>
      <c r="S90" s="96"/>
      <c r="T90" s="95"/>
      <c r="U90" s="95"/>
    </row>
    <row r="91" spans="1:88">
      <c r="A91" s="15"/>
      <c r="B91" s="39" t="s">
        <v>20</v>
      </c>
      <c r="C91" s="51"/>
      <c r="D91" s="54"/>
      <c r="F91" s="176"/>
      <c r="G91" s="177" t="e">
        <f t="shared" si="33"/>
        <v>#DIV/0!</v>
      </c>
      <c r="H91" s="37"/>
      <c r="I91" s="37"/>
      <c r="J91" s="62"/>
      <c r="K91" s="62"/>
      <c r="L91" s="62"/>
      <c r="M91" s="62"/>
      <c r="N91" s="62"/>
      <c r="O91" s="62"/>
      <c r="Q91" s="95"/>
      <c r="R91" s="95"/>
      <c r="S91" s="95"/>
      <c r="T91" s="95"/>
      <c r="U91" s="95"/>
    </row>
    <row r="92" spans="1:88">
      <c r="A92" s="15"/>
      <c r="B92" s="39" t="s">
        <v>19</v>
      </c>
      <c r="C92" s="51"/>
      <c r="D92" s="54"/>
      <c r="F92" s="176"/>
      <c r="G92" s="177" t="e">
        <f t="shared" si="33"/>
        <v>#DIV/0!</v>
      </c>
      <c r="H92" s="37"/>
      <c r="I92" s="37"/>
      <c r="J92" s="62"/>
      <c r="K92" s="62"/>
      <c r="L92" s="62"/>
      <c r="M92" s="62"/>
      <c r="N92" s="62"/>
      <c r="O92" s="62"/>
      <c r="Q92" s="95"/>
      <c r="R92" s="95"/>
      <c r="S92" s="95"/>
      <c r="T92" s="95"/>
      <c r="U92" s="95"/>
    </row>
    <row r="93" spans="1:88">
      <c r="A93" s="15"/>
      <c r="B93" s="39" t="s">
        <v>18</v>
      </c>
      <c r="C93" s="51"/>
      <c r="D93" s="54"/>
      <c r="F93" s="176"/>
      <c r="G93" s="177" t="e">
        <f t="shared" si="33"/>
        <v>#DIV/0!</v>
      </c>
      <c r="H93" s="37"/>
      <c r="I93" s="37"/>
      <c r="J93" s="62"/>
      <c r="K93" s="62"/>
      <c r="L93" s="62"/>
      <c r="M93" s="62"/>
      <c r="N93" s="62"/>
      <c r="O93" s="62"/>
      <c r="Q93" s="95"/>
      <c r="R93" s="95"/>
      <c r="S93" s="95"/>
      <c r="T93" s="95"/>
      <c r="U93" s="95"/>
    </row>
    <row r="94" spans="1:88">
      <c r="A94" s="65" t="s">
        <v>52</v>
      </c>
      <c r="B94" s="39" t="s">
        <v>17</v>
      </c>
      <c r="C94" s="43">
        <f>D94/1.07</f>
        <v>0</v>
      </c>
      <c r="D94" s="49">
        <v>0</v>
      </c>
      <c r="F94" s="176"/>
      <c r="G94" s="177" t="e">
        <f t="shared" si="33"/>
        <v>#DIV/0!</v>
      </c>
      <c r="H94" s="59"/>
      <c r="I94" s="197" t="e">
        <f t="shared" ref="I94:I95" si="43">H94/$D94-1</f>
        <v>#DIV/0!</v>
      </c>
      <c r="J94" s="62"/>
      <c r="K94" s="197" t="e">
        <f t="shared" ref="K94:K95" si="44">J94/$D94-1</f>
        <v>#DIV/0!</v>
      </c>
      <c r="L94" s="62"/>
      <c r="M94" s="197" t="e">
        <f t="shared" ref="M94:M95" si="45">L94/$D94-1</f>
        <v>#DIV/0!</v>
      </c>
      <c r="N94" s="62"/>
      <c r="O94" s="197" t="e">
        <f t="shared" ref="O94:O95" si="46">N94/$D94-1</f>
        <v>#DIV/0!</v>
      </c>
      <c r="Q94" s="95"/>
      <c r="R94" s="95"/>
      <c r="S94" s="95"/>
      <c r="T94" s="95"/>
      <c r="U94" s="95"/>
    </row>
    <row r="95" spans="1:88" ht="15" thickBot="1">
      <c r="A95" s="66" t="s">
        <v>53</v>
      </c>
      <c r="B95" s="189" t="s">
        <v>17</v>
      </c>
      <c r="C95" s="128">
        <f>D95/1.07</f>
        <v>19.626168224299064</v>
      </c>
      <c r="D95" s="129">
        <v>21</v>
      </c>
      <c r="F95" s="174">
        <v>22.5</v>
      </c>
      <c r="G95" s="175">
        <f t="shared" si="33"/>
        <v>7.1428571428571397E-2</v>
      </c>
      <c r="H95" s="130">
        <v>24</v>
      </c>
      <c r="I95" s="196">
        <f t="shared" si="43"/>
        <v>0.14285714285714279</v>
      </c>
      <c r="J95" s="131">
        <v>25</v>
      </c>
      <c r="K95" s="196">
        <f t="shared" si="44"/>
        <v>0.19047619047619047</v>
      </c>
      <c r="L95" s="131">
        <v>25.5</v>
      </c>
      <c r="M95" s="196">
        <f t="shared" si="45"/>
        <v>0.21428571428571419</v>
      </c>
      <c r="N95" s="131">
        <v>26.25</v>
      </c>
      <c r="O95" s="196">
        <f t="shared" si="46"/>
        <v>0.25</v>
      </c>
      <c r="Q95" s="95"/>
      <c r="R95" s="95"/>
      <c r="S95" s="95"/>
      <c r="T95" s="95"/>
      <c r="U95" s="95"/>
    </row>
    <row r="96" spans="1:88" ht="15" thickBot="1">
      <c r="A96" s="15"/>
      <c r="B96" s="31"/>
      <c r="C96" s="27"/>
      <c r="D96" s="27"/>
      <c r="H96" s="27"/>
      <c r="I96" s="56"/>
      <c r="J96" s="28"/>
      <c r="K96" s="56"/>
      <c r="L96" s="28"/>
      <c r="M96" s="56"/>
      <c r="N96" s="28"/>
      <c r="O96" s="56"/>
    </row>
    <row r="97" spans="1:21" ht="24" thickBot="1">
      <c r="A97" s="15"/>
      <c r="B97" s="47" t="s">
        <v>59</v>
      </c>
      <c r="C97" s="22"/>
      <c r="D97" s="18"/>
      <c r="H97" s="27"/>
      <c r="I97" s="56"/>
      <c r="J97" s="28"/>
      <c r="K97" s="56"/>
      <c r="L97" s="28"/>
      <c r="M97" s="56"/>
      <c r="N97" s="28"/>
      <c r="O97" s="56"/>
      <c r="Q97" s="90" t="s">
        <v>50</v>
      </c>
      <c r="R97" s="91" t="s">
        <v>112</v>
      </c>
      <c r="S97" s="91" t="s">
        <v>113</v>
      </c>
      <c r="T97" s="91" t="s">
        <v>114</v>
      </c>
      <c r="U97" s="91" t="s">
        <v>115</v>
      </c>
    </row>
    <row r="98" spans="1:21">
      <c r="A98" s="15"/>
      <c r="B98" s="38" t="s">
        <v>180</v>
      </c>
      <c r="C98" s="42"/>
      <c r="D98" s="53"/>
      <c r="F98" s="182"/>
      <c r="G98" s="183">
        <v>-1</v>
      </c>
      <c r="H98" s="58"/>
      <c r="I98" s="200" t="e">
        <f t="shared" ref="I98:I102" si="47">H98/$D98-1</f>
        <v>#DIV/0!</v>
      </c>
      <c r="J98" s="61"/>
      <c r="K98" s="200" t="e">
        <f t="shared" ref="K98:K102" si="48">J98/$D98-1</f>
        <v>#DIV/0!</v>
      </c>
      <c r="L98" s="61"/>
      <c r="M98" s="200" t="e">
        <f t="shared" ref="M98:M102" si="49">L98/$D98-1</f>
        <v>#DIV/0!</v>
      </c>
      <c r="N98" s="61"/>
      <c r="O98" s="200" t="e">
        <f t="shared" ref="O98:O102" si="50">N98/$D98-1</f>
        <v>#DIV/0!</v>
      </c>
      <c r="Q98" s="92">
        <v>4.065040650406504E-2</v>
      </c>
      <c r="R98" s="92">
        <v>7.0000000000000007E-2</v>
      </c>
      <c r="S98" s="92">
        <v>9.9236641221374045E-2</v>
      </c>
      <c r="T98" s="92">
        <v>0.15</v>
      </c>
      <c r="U98" s="92">
        <v>0.2</v>
      </c>
    </row>
    <row r="99" spans="1:21">
      <c r="A99" s="15"/>
      <c r="B99" s="39" t="s">
        <v>181</v>
      </c>
      <c r="C99" s="43"/>
      <c r="D99" s="54"/>
      <c r="F99" s="184"/>
      <c r="G99" s="177">
        <v>-1</v>
      </c>
      <c r="H99" s="59"/>
      <c r="I99" s="197" t="e">
        <f t="shared" si="47"/>
        <v>#DIV/0!</v>
      </c>
      <c r="J99" s="62"/>
      <c r="K99" s="197" t="e">
        <f t="shared" si="48"/>
        <v>#DIV/0!</v>
      </c>
      <c r="L99" s="62"/>
      <c r="M99" s="197" t="e">
        <f t="shared" si="49"/>
        <v>#DIV/0!</v>
      </c>
      <c r="N99" s="62"/>
      <c r="O99" s="197" t="e">
        <f t="shared" si="50"/>
        <v>#DIV/0!</v>
      </c>
      <c r="Q99" s="92"/>
      <c r="R99" s="92"/>
      <c r="S99" s="92"/>
      <c r="T99" s="92"/>
      <c r="U99" s="92"/>
    </row>
    <row r="100" spans="1:21">
      <c r="A100" s="15"/>
      <c r="B100" s="39" t="s">
        <v>182</v>
      </c>
      <c r="C100" s="43"/>
      <c r="D100" s="54"/>
      <c r="F100" s="184"/>
      <c r="G100" s="177">
        <v>-1</v>
      </c>
      <c r="H100" s="59"/>
      <c r="I100" s="197" t="e">
        <f t="shared" si="47"/>
        <v>#DIV/0!</v>
      </c>
      <c r="J100" s="62"/>
      <c r="K100" s="197" t="e">
        <f t="shared" si="48"/>
        <v>#DIV/0!</v>
      </c>
      <c r="L100" s="62"/>
      <c r="M100" s="197" t="e">
        <f t="shared" si="49"/>
        <v>#DIV/0!</v>
      </c>
      <c r="N100" s="62"/>
      <c r="O100" s="197" t="e">
        <f t="shared" si="50"/>
        <v>#DIV/0!</v>
      </c>
      <c r="Q100" s="92"/>
      <c r="R100" s="92"/>
      <c r="S100" s="92"/>
      <c r="T100" s="92"/>
      <c r="U100" s="92"/>
    </row>
    <row r="101" spans="1:21">
      <c r="A101" s="15"/>
      <c r="B101" s="39" t="s">
        <v>183</v>
      </c>
      <c r="C101" s="43"/>
      <c r="D101" s="54"/>
      <c r="F101" s="184"/>
      <c r="G101" s="177">
        <v>-1</v>
      </c>
      <c r="H101" s="59"/>
      <c r="I101" s="197" t="e">
        <f t="shared" si="47"/>
        <v>#DIV/0!</v>
      </c>
      <c r="J101" s="62"/>
      <c r="K101" s="197" t="e">
        <f t="shared" si="48"/>
        <v>#DIV/0!</v>
      </c>
      <c r="L101" s="62"/>
      <c r="M101" s="197" t="e">
        <f t="shared" si="49"/>
        <v>#DIV/0!</v>
      </c>
      <c r="N101" s="62"/>
      <c r="O101" s="197" t="e">
        <f t="shared" si="50"/>
        <v>#DIV/0!</v>
      </c>
      <c r="Q101" s="92"/>
      <c r="R101" s="92"/>
      <c r="S101" s="92"/>
      <c r="T101" s="92"/>
      <c r="U101" s="92"/>
    </row>
    <row r="102" spans="1:21" ht="15" thickBot="1">
      <c r="A102" s="15"/>
      <c r="B102" s="41" t="s">
        <v>184</v>
      </c>
      <c r="C102" s="44"/>
      <c r="D102" s="50"/>
      <c r="F102" s="185"/>
      <c r="G102" s="179">
        <v>-1</v>
      </c>
      <c r="H102" s="60"/>
      <c r="I102" s="198" t="e">
        <f t="shared" si="47"/>
        <v>#DIV/0!</v>
      </c>
      <c r="J102" s="63"/>
      <c r="K102" s="198" t="e">
        <f t="shared" si="48"/>
        <v>#DIV/0!</v>
      </c>
      <c r="L102" s="63"/>
      <c r="M102" s="198" t="e">
        <f t="shared" si="49"/>
        <v>#DIV/0!</v>
      </c>
      <c r="N102" s="63"/>
      <c r="O102" s="198" t="e">
        <f t="shared" si="50"/>
        <v>#DIV/0!</v>
      </c>
      <c r="Q102" s="92"/>
      <c r="R102" s="92"/>
      <c r="S102" s="92"/>
      <c r="T102" s="92"/>
      <c r="U102" s="92"/>
    </row>
    <row r="103" spans="1:21" ht="15" thickBot="1">
      <c r="A103" s="15"/>
      <c r="B103" s="31"/>
      <c r="C103" s="27"/>
      <c r="D103" s="27"/>
      <c r="H103" s="27"/>
      <c r="I103" s="56"/>
      <c r="J103" s="28"/>
      <c r="K103" s="56"/>
      <c r="L103" s="28"/>
      <c r="M103" s="56"/>
      <c r="N103" s="28"/>
      <c r="O103" s="56"/>
    </row>
    <row r="104" spans="1:21" ht="24" thickBot="1">
      <c r="A104" s="15"/>
      <c r="B104" s="48" t="s">
        <v>60</v>
      </c>
      <c r="C104" s="22"/>
      <c r="D104" s="18"/>
      <c r="H104" s="27"/>
      <c r="I104" s="56"/>
      <c r="J104" s="28"/>
      <c r="K104" s="56"/>
      <c r="L104" s="28"/>
      <c r="M104" s="56"/>
      <c r="N104" s="28"/>
      <c r="O104" s="56"/>
      <c r="Q104" s="90" t="s">
        <v>50</v>
      </c>
      <c r="R104" s="91" t="s">
        <v>112</v>
      </c>
      <c r="S104" s="91" t="s">
        <v>113</v>
      </c>
      <c r="T104" s="91" t="s">
        <v>114</v>
      </c>
      <c r="U104" s="91" t="s">
        <v>115</v>
      </c>
    </row>
    <row r="105" spans="1:21">
      <c r="A105" s="15"/>
      <c r="B105" s="38" t="s">
        <v>185</v>
      </c>
      <c r="C105" s="42"/>
      <c r="D105" s="53"/>
      <c r="F105" s="182"/>
      <c r="G105" s="183" t="e">
        <f t="shared" ref="G105:G107" si="51">F105/$D105-1</f>
        <v>#DIV/0!</v>
      </c>
      <c r="H105" s="58"/>
      <c r="I105" s="200" t="e">
        <f t="shared" ref="I105:I107" si="52">H105/$D105-1</f>
        <v>#DIV/0!</v>
      </c>
      <c r="J105" s="61"/>
      <c r="K105" s="200" t="e">
        <f t="shared" ref="K105:K107" si="53">J105/$D105-1</f>
        <v>#DIV/0!</v>
      </c>
      <c r="L105" s="61"/>
      <c r="M105" s="200" t="e">
        <f t="shared" ref="M105:M107" si="54">L105/$D105-1</f>
        <v>#DIV/0!</v>
      </c>
      <c r="N105" s="61"/>
      <c r="O105" s="200" t="e">
        <f t="shared" ref="O105:O107" si="55">N105/$D105-1</f>
        <v>#DIV/0!</v>
      </c>
      <c r="Q105" s="92">
        <v>4.065040650406504E-2</v>
      </c>
      <c r="R105" s="92">
        <v>7.0000000000000007E-2</v>
      </c>
      <c r="S105" s="92">
        <v>9.9236641221374045E-2</v>
      </c>
      <c r="T105" s="92">
        <v>0.15</v>
      </c>
      <c r="U105" s="92">
        <v>0.2</v>
      </c>
    </row>
    <row r="106" spans="1:21">
      <c r="A106" s="15"/>
      <c r="B106" s="39" t="s">
        <v>186</v>
      </c>
      <c r="C106" s="43"/>
      <c r="D106" s="54"/>
      <c r="F106" s="184"/>
      <c r="G106" s="177" t="e">
        <f t="shared" si="51"/>
        <v>#DIV/0!</v>
      </c>
      <c r="H106" s="59"/>
      <c r="I106" s="197" t="e">
        <f t="shared" si="52"/>
        <v>#DIV/0!</v>
      </c>
      <c r="J106" s="62"/>
      <c r="K106" s="197" t="e">
        <f t="shared" si="53"/>
        <v>#DIV/0!</v>
      </c>
      <c r="L106" s="62"/>
      <c r="M106" s="197" t="e">
        <f t="shared" si="54"/>
        <v>#DIV/0!</v>
      </c>
      <c r="N106" s="62"/>
      <c r="O106" s="197" t="e">
        <f t="shared" si="55"/>
        <v>#DIV/0!</v>
      </c>
      <c r="Q106" s="92"/>
      <c r="R106" s="92"/>
      <c r="S106" s="92"/>
      <c r="T106" s="92"/>
      <c r="U106" s="92"/>
    </row>
    <row r="107" spans="1:21" ht="15" thickBot="1">
      <c r="A107" s="15"/>
      <c r="B107" s="41" t="s">
        <v>187</v>
      </c>
      <c r="C107" s="44"/>
      <c r="D107" s="80"/>
      <c r="F107" s="185"/>
      <c r="G107" s="179" t="e">
        <f t="shared" si="51"/>
        <v>#DIV/0!</v>
      </c>
      <c r="H107" s="60"/>
      <c r="I107" s="198" t="e">
        <f t="shared" si="52"/>
        <v>#DIV/0!</v>
      </c>
      <c r="J107" s="63"/>
      <c r="K107" s="198" t="e">
        <f t="shared" si="53"/>
        <v>#DIV/0!</v>
      </c>
      <c r="L107" s="63"/>
      <c r="M107" s="198" t="e">
        <f t="shared" si="54"/>
        <v>#DIV/0!</v>
      </c>
      <c r="N107" s="63"/>
      <c r="O107" s="198" t="e">
        <f t="shared" si="55"/>
        <v>#DIV/0!</v>
      </c>
      <c r="Q107" s="92"/>
      <c r="R107" s="92"/>
      <c r="S107" s="92"/>
      <c r="T107" s="92"/>
      <c r="U107" s="92"/>
    </row>
    <row r="108" spans="1:21" ht="15" thickBot="1">
      <c r="A108" s="15"/>
      <c r="B108" s="31"/>
      <c r="C108" s="27"/>
      <c r="D108" s="83"/>
      <c r="H108" s="27"/>
      <c r="I108" s="56"/>
      <c r="J108" s="28"/>
      <c r="K108" s="56"/>
      <c r="L108" s="28"/>
      <c r="M108" s="56"/>
      <c r="N108" s="28"/>
      <c r="O108" s="56"/>
    </row>
    <row r="109" spans="1:21" ht="24" thickBot="1">
      <c r="A109" s="15"/>
      <c r="B109" s="79" t="s">
        <v>105</v>
      </c>
      <c r="C109" s="22"/>
      <c r="D109" s="18"/>
      <c r="H109" s="27"/>
      <c r="I109" s="56"/>
      <c r="J109" s="28"/>
      <c r="K109" s="56"/>
      <c r="L109" s="28"/>
      <c r="M109" s="56"/>
      <c r="N109" s="28"/>
      <c r="O109" s="56"/>
      <c r="Q109" s="90" t="s">
        <v>50</v>
      </c>
      <c r="R109" s="91" t="s">
        <v>112</v>
      </c>
      <c r="S109" s="91" t="s">
        <v>113</v>
      </c>
      <c r="T109" s="91" t="s">
        <v>114</v>
      </c>
      <c r="U109" s="91" t="s">
        <v>115</v>
      </c>
    </row>
    <row r="110" spans="1:21">
      <c r="A110" s="15"/>
      <c r="B110" s="38" t="s">
        <v>106</v>
      </c>
      <c r="C110" s="42">
        <f>D110/1.07</f>
        <v>0</v>
      </c>
      <c r="D110" s="53">
        <v>0</v>
      </c>
      <c r="F110" s="186"/>
      <c r="G110" s="183" t="e">
        <f t="shared" ref="G110:G112" si="56">F110/$D110-1</f>
        <v>#DIV/0!</v>
      </c>
      <c r="H110" s="58"/>
      <c r="I110" s="200" t="e">
        <f t="shared" ref="I110:I112" si="57">H110/$D110-1</f>
        <v>#DIV/0!</v>
      </c>
      <c r="J110" s="61"/>
      <c r="K110" s="200" t="e">
        <f t="shared" ref="K110:K112" si="58">J110/$D110-1</f>
        <v>#DIV/0!</v>
      </c>
      <c r="L110" s="61"/>
      <c r="M110" s="200" t="e">
        <f t="shared" ref="M110:M112" si="59">L110/$D110-1</f>
        <v>#DIV/0!</v>
      </c>
      <c r="N110" s="61"/>
      <c r="O110" s="200" t="e">
        <f t="shared" ref="O110:O112" si="60">N110/$D110-1</f>
        <v>#DIV/0!</v>
      </c>
      <c r="Q110" s="92">
        <v>4.065040650406504E-2</v>
      </c>
      <c r="R110" s="92">
        <v>7.0000000000000007E-2</v>
      </c>
      <c r="S110" s="92">
        <v>9.9236641221374045E-2</v>
      </c>
      <c r="T110" s="92">
        <v>0.15</v>
      </c>
      <c r="U110" s="92">
        <v>0.2</v>
      </c>
    </row>
    <row r="111" spans="1:21">
      <c r="A111" s="15"/>
      <c r="B111" s="39" t="s">
        <v>107</v>
      </c>
      <c r="C111" s="43">
        <f t="shared" ref="C111:C112" si="61">D111/1.07</f>
        <v>0</v>
      </c>
      <c r="D111" s="54">
        <v>0</v>
      </c>
      <c r="F111" s="176"/>
      <c r="G111" s="177" t="e">
        <f t="shared" si="56"/>
        <v>#DIV/0!</v>
      </c>
      <c r="H111" s="59"/>
      <c r="I111" s="197" t="e">
        <f t="shared" si="57"/>
        <v>#DIV/0!</v>
      </c>
      <c r="J111" s="62"/>
      <c r="K111" s="197" t="e">
        <f t="shared" si="58"/>
        <v>#DIV/0!</v>
      </c>
      <c r="L111" s="62"/>
      <c r="M111" s="197" t="e">
        <f t="shared" si="59"/>
        <v>#DIV/0!</v>
      </c>
      <c r="N111" s="62"/>
      <c r="O111" s="197" t="e">
        <f t="shared" si="60"/>
        <v>#DIV/0!</v>
      </c>
      <c r="Q111" s="92"/>
      <c r="R111" s="92"/>
      <c r="S111" s="92"/>
      <c r="T111" s="92"/>
      <c r="U111" s="92"/>
    </row>
    <row r="112" spans="1:21" ht="15" thickBot="1">
      <c r="A112" s="15"/>
      <c r="B112" s="41" t="s">
        <v>108</v>
      </c>
      <c r="C112" s="44">
        <f t="shared" si="61"/>
        <v>0</v>
      </c>
      <c r="D112" s="80">
        <v>0</v>
      </c>
      <c r="F112" s="178"/>
      <c r="G112" s="179" t="e">
        <f t="shared" si="56"/>
        <v>#DIV/0!</v>
      </c>
      <c r="H112" s="60"/>
      <c r="I112" s="198" t="e">
        <f t="shared" si="57"/>
        <v>#DIV/0!</v>
      </c>
      <c r="J112" s="63"/>
      <c r="K112" s="198" t="e">
        <f t="shared" si="58"/>
        <v>#DIV/0!</v>
      </c>
      <c r="L112" s="63"/>
      <c r="M112" s="198" t="e">
        <f t="shared" si="59"/>
        <v>#DIV/0!</v>
      </c>
      <c r="N112" s="63"/>
      <c r="O112" s="198" t="e">
        <f t="shared" si="60"/>
        <v>#DIV/0!</v>
      </c>
      <c r="Q112" s="92"/>
      <c r="R112" s="92"/>
      <c r="S112" s="92"/>
      <c r="T112" s="92"/>
      <c r="U112" s="92"/>
    </row>
    <row r="113" spans="1:21" ht="24" thickBot="1">
      <c r="A113" s="15"/>
      <c r="B113" s="78" t="s">
        <v>16</v>
      </c>
      <c r="C113" s="22"/>
      <c r="D113" s="18"/>
      <c r="J113" s="8"/>
      <c r="K113" s="8"/>
      <c r="L113" s="8"/>
      <c r="M113" s="8"/>
      <c r="N113" s="8"/>
      <c r="O113" s="8"/>
      <c r="Q113" s="90" t="s">
        <v>50</v>
      </c>
      <c r="R113" s="91" t="s">
        <v>112</v>
      </c>
      <c r="S113" s="91" t="s">
        <v>113</v>
      </c>
      <c r="T113" s="91" t="s">
        <v>114</v>
      </c>
      <c r="U113" s="91" t="s">
        <v>115</v>
      </c>
    </row>
    <row r="114" spans="1:21">
      <c r="A114" s="30" t="s">
        <v>52</v>
      </c>
      <c r="B114" s="207" t="s">
        <v>133</v>
      </c>
      <c r="C114" s="208">
        <f>D114/1.07</f>
        <v>0.46728971962616822</v>
      </c>
      <c r="D114" s="209">
        <v>0.5</v>
      </c>
      <c r="E114" s="69"/>
      <c r="F114" s="210">
        <v>0.52</v>
      </c>
      <c r="G114" s="211">
        <f t="shared" ref="G114:G174" si="62">F114/$D114-1</f>
        <v>4.0000000000000036E-2</v>
      </c>
      <c r="H114" s="212">
        <v>0.53</v>
      </c>
      <c r="I114" s="213">
        <f t="shared" ref="I114:I173" si="63">H114/$D114-1</f>
        <v>6.0000000000000053E-2</v>
      </c>
      <c r="J114" s="214">
        <v>0.55000000000000004</v>
      </c>
      <c r="K114" s="213">
        <f t="shared" ref="K114:K174" si="64">J114/$D114-1</f>
        <v>0.10000000000000009</v>
      </c>
      <c r="L114" s="214">
        <v>0.56999999999999995</v>
      </c>
      <c r="M114" s="213">
        <f t="shared" ref="M114:M174" si="65">L114/$D114-1</f>
        <v>0.1399999999999999</v>
      </c>
      <c r="N114" s="214">
        <v>0.6</v>
      </c>
      <c r="O114" s="213">
        <f t="shared" ref="O114:O174" si="66">N114/$D114-1</f>
        <v>0.19999999999999996</v>
      </c>
      <c r="Q114" s="92">
        <v>0.05</v>
      </c>
      <c r="R114" s="92">
        <v>7.0000000000000007E-2</v>
      </c>
      <c r="S114" s="92">
        <v>0.1</v>
      </c>
      <c r="T114" s="92">
        <v>0.15</v>
      </c>
      <c r="U114" s="92">
        <v>0.2</v>
      </c>
    </row>
    <row r="115" spans="1:21">
      <c r="A115" s="30" t="s">
        <v>52</v>
      </c>
      <c r="B115" s="215" t="s">
        <v>134</v>
      </c>
      <c r="C115" s="216">
        <f t="shared" ref="C115:C174" si="67">D115/1.07</f>
        <v>0.5140186915887851</v>
      </c>
      <c r="D115" s="217">
        <v>0.55000000000000004</v>
      </c>
      <c r="E115" s="69"/>
      <c r="F115" s="218">
        <v>0.57999999999999996</v>
      </c>
      <c r="G115" s="219">
        <f t="shared" si="62"/>
        <v>5.4545454545454453E-2</v>
      </c>
      <c r="H115" s="220">
        <v>0.59</v>
      </c>
      <c r="I115" s="221">
        <f t="shared" si="63"/>
        <v>7.2727272727272529E-2</v>
      </c>
      <c r="J115" s="222">
        <v>0.61</v>
      </c>
      <c r="K115" s="221">
        <f t="shared" si="64"/>
        <v>0.10909090909090891</v>
      </c>
      <c r="L115" s="222">
        <v>0.63</v>
      </c>
      <c r="M115" s="221">
        <f t="shared" si="65"/>
        <v>0.14545454545454528</v>
      </c>
      <c r="N115" s="222">
        <v>0.66</v>
      </c>
      <c r="O115" s="221">
        <f t="shared" si="66"/>
        <v>0.19999999999999996</v>
      </c>
      <c r="Q115" s="92"/>
      <c r="R115" s="92"/>
      <c r="S115" s="92"/>
      <c r="T115" s="92"/>
      <c r="U115" s="92"/>
    </row>
    <row r="116" spans="1:21">
      <c r="A116" s="26" t="s">
        <v>53</v>
      </c>
      <c r="B116" s="215" t="s">
        <v>83</v>
      </c>
      <c r="C116" s="216">
        <f t="shared" si="67"/>
        <v>0.62616822429906538</v>
      </c>
      <c r="D116" s="217">
        <v>0.67</v>
      </c>
      <c r="E116" s="69"/>
      <c r="F116" s="218">
        <v>0.7</v>
      </c>
      <c r="G116" s="219">
        <f t="shared" si="62"/>
        <v>4.4776119402984982E-2</v>
      </c>
      <c r="H116" s="220">
        <v>0.72</v>
      </c>
      <c r="I116" s="221">
        <f t="shared" si="63"/>
        <v>7.4626865671641784E-2</v>
      </c>
      <c r="J116" s="222">
        <v>0.74</v>
      </c>
      <c r="K116" s="221">
        <f t="shared" si="64"/>
        <v>0.10447761194029836</v>
      </c>
      <c r="L116" s="222">
        <v>0.77</v>
      </c>
      <c r="M116" s="221">
        <f t="shared" si="65"/>
        <v>0.14925373134328357</v>
      </c>
      <c r="N116" s="222">
        <v>0.8</v>
      </c>
      <c r="O116" s="221">
        <f t="shared" si="66"/>
        <v>0.19402985074626855</v>
      </c>
      <c r="Q116" s="92"/>
      <c r="R116" s="92"/>
      <c r="S116" s="92"/>
      <c r="T116" s="92"/>
      <c r="U116" s="92"/>
    </row>
    <row r="117" spans="1:21">
      <c r="A117" s="32" t="s">
        <v>54</v>
      </c>
      <c r="B117" s="215" t="s">
        <v>140</v>
      </c>
      <c r="C117" s="138">
        <f t="shared" si="67"/>
        <v>0.63551401869158874</v>
      </c>
      <c r="D117" s="139">
        <v>0.68</v>
      </c>
      <c r="E117" s="69"/>
      <c r="F117" s="164">
        <v>0.72</v>
      </c>
      <c r="G117" s="165">
        <f t="shared" si="62"/>
        <v>5.8823529411764497E-2</v>
      </c>
      <c r="H117" s="120">
        <v>0.75</v>
      </c>
      <c r="I117" s="191">
        <f t="shared" si="63"/>
        <v>0.10294117647058809</v>
      </c>
      <c r="J117" s="151">
        <v>0.77</v>
      </c>
      <c r="K117" s="191">
        <f t="shared" si="64"/>
        <v>0.13235294117647056</v>
      </c>
      <c r="L117" s="151">
        <v>0.8</v>
      </c>
      <c r="M117" s="191">
        <f t="shared" si="65"/>
        <v>0.17647058823529416</v>
      </c>
      <c r="N117" s="151">
        <v>0.82</v>
      </c>
      <c r="O117" s="191">
        <f t="shared" si="66"/>
        <v>0.20588235294117641</v>
      </c>
      <c r="Q117" s="92"/>
      <c r="R117" s="92"/>
      <c r="S117" s="92"/>
      <c r="T117" s="92"/>
      <c r="U117" s="92"/>
    </row>
    <row r="118" spans="1:21">
      <c r="A118" s="32"/>
      <c r="B118" s="215" t="s">
        <v>141</v>
      </c>
      <c r="C118" s="138">
        <f t="shared" si="67"/>
        <v>0.80373831775700932</v>
      </c>
      <c r="D118" s="139">
        <v>0.86</v>
      </c>
      <c r="E118" s="69"/>
      <c r="F118" s="164">
        <v>0.9</v>
      </c>
      <c r="G118" s="165">
        <f t="shared" si="62"/>
        <v>4.6511627906976827E-2</v>
      </c>
      <c r="H118" s="120">
        <v>0.95</v>
      </c>
      <c r="I118" s="191">
        <f t="shared" si="63"/>
        <v>0.10465116279069764</v>
      </c>
      <c r="J118" s="151">
        <v>0.97</v>
      </c>
      <c r="K118" s="191">
        <f t="shared" si="64"/>
        <v>0.12790697674418605</v>
      </c>
      <c r="L118" s="151">
        <v>1</v>
      </c>
      <c r="M118" s="191">
        <f t="shared" si="65"/>
        <v>0.16279069767441867</v>
      </c>
      <c r="N118" s="151">
        <v>1.03</v>
      </c>
      <c r="O118" s="191">
        <f t="shared" si="66"/>
        <v>0.19767441860465129</v>
      </c>
      <c r="Q118" s="92"/>
      <c r="R118" s="92"/>
      <c r="S118" s="92"/>
      <c r="T118" s="92"/>
      <c r="U118" s="92"/>
    </row>
    <row r="119" spans="1:21">
      <c r="A119" s="34" t="s">
        <v>110</v>
      </c>
      <c r="B119" s="215" t="s">
        <v>135</v>
      </c>
      <c r="C119" s="138">
        <f t="shared" si="67"/>
        <v>0.63551401869158874</v>
      </c>
      <c r="D119" s="139">
        <v>0.68</v>
      </c>
      <c r="E119" s="81"/>
      <c r="F119" s="164">
        <v>0.72</v>
      </c>
      <c r="G119" s="165">
        <f t="shared" si="62"/>
        <v>5.8823529411764497E-2</v>
      </c>
      <c r="H119" s="120">
        <v>0.75</v>
      </c>
      <c r="I119" s="191">
        <f t="shared" si="63"/>
        <v>0.10294117647058809</v>
      </c>
      <c r="J119" s="151">
        <v>0.77</v>
      </c>
      <c r="K119" s="191">
        <f t="shared" si="64"/>
        <v>0.13235294117647056</v>
      </c>
      <c r="L119" s="151">
        <v>0.8</v>
      </c>
      <c r="M119" s="191">
        <f t="shared" si="65"/>
        <v>0.17647058823529416</v>
      </c>
      <c r="N119" s="151">
        <v>0.82</v>
      </c>
      <c r="O119" s="191">
        <f t="shared" si="66"/>
        <v>0.20588235294117641</v>
      </c>
      <c r="Q119" s="92"/>
      <c r="R119" s="92"/>
      <c r="S119" s="92"/>
      <c r="T119" s="92"/>
      <c r="U119" s="92"/>
    </row>
    <row r="120" spans="1:21">
      <c r="A120" s="30"/>
      <c r="B120" s="215" t="s">
        <v>136</v>
      </c>
      <c r="C120" s="138">
        <f t="shared" si="67"/>
        <v>0.73831775700934577</v>
      </c>
      <c r="D120" s="139">
        <v>0.79</v>
      </c>
      <c r="E120" s="81"/>
      <c r="F120" s="164">
        <v>0.83</v>
      </c>
      <c r="G120" s="165">
        <f t="shared" si="62"/>
        <v>5.0632911392404889E-2</v>
      </c>
      <c r="H120" s="120">
        <v>0.87</v>
      </c>
      <c r="I120" s="191">
        <f t="shared" si="63"/>
        <v>0.10126582278481</v>
      </c>
      <c r="J120" s="151">
        <v>0.9</v>
      </c>
      <c r="K120" s="191">
        <f t="shared" si="64"/>
        <v>0.139240506329114</v>
      </c>
      <c r="L120" s="151">
        <v>0.93</v>
      </c>
      <c r="M120" s="191">
        <f t="shared" si="65"/>
        <v>0.17721518987341778</v>
      </c>
      <c r="N120" s="151">
        <v>0.95</v>
      </c>
      <c r="O120" s="191">
        <f t="shared" si="66"/>
        <v>0.20253164556962022</v>
      </c>
      <c r="Q120" s="92"/>
      <c r="R120" s="92"/>
      <c r="S120" s="92"/>
      <c r="T120" s="92"/>
      <c r="U120" s="92"/>
    </row>
    <row r="121" spans="1:21">
      <c r="A121" s="33" t="s">
        <v>52</v>
      </c>
      <c r="B121" s="215" t="s">
        <v>90</v>
      </c>
      <c r="C121" s="216">
        <f t="shared" si="67"/>
        <v>0.5140186915887851</v>
      </c>
      <c r="D121" s="217">
        <v>0.55000000000000004</v>
      </c>
      <c r="E121" s="69"/>
      <c r="F121" s="218">
        <v>0.57999999999999996</v>
      </c>
      <c r="G121" s="219">
        <f t="shared" si="62"/>
        <v>5.4545454545454453E-2</v>
      </c>
      <c r="H121" s="220">
        <v>0.59</v>
      </c>
      <c r="I121" s="221">
        <f t="shared" si="63"/>
        <v>7.2727272727272529E-2</v>
      </c>
      <c r="J121" s="222">
        <v>0.61</v>
      </c>
      <c r="K121" s="221">
        <f t="shared" si="64"/>
        <v>0.10909090909090891</v>
      </c>
      <c r="L121" s="222">
        <v>0.63</v>
      </c>
      <c r="M121" s="221">
        <f t="shared" si="65"/>
        <v>0.14545454545454528</v>
      </c>
      <c r="N121" s="222">
        <v>0.66</v>
      </c>
      <c r="O121" s="221">
        <f t="shared" si="66"/>
        <v>0.19999999999999996</v>
      </c>
      <c r="Q121" s="92"/>
      <c r="R121" s="92"/>
      <c r="S121" s="92"/>
      <c r="T121" s="92"/>
      <c r="U121" s="92"/>
    </row>
    <row r="122" spans="1:21">
      <c r="A122" s="29" t="s">
        <v>53</v>
      </c>
      <c r="B122" s="215" t="s">
        <v>84</v>
      </c>
      <c r="C122" s="216">
        <f t="shared" si="67"/>
        <v>0.79439252336448596</v>
      </c>
      <c r="D122" s="217">
        <v>0.85</v>
      </c>
      <c r="E122" s="69"/>
      <c r="F122" s="218">
        <v>0.89</v>
      </c>
      <c r="G122" s="219">
        <f t="shared" si="62"/>
        <v>4.705882352941182E-2</v>
      </c>
      <c r="H122" s="220">
        <v>0.91</v>
      </c>
      <c r="I122" s="221">
        <f t="shared" si="63"/>
        <v>7.0588235294117618E-2</v>
      </c>
      <c r="J122" s="222">
        <v>0.94</v>
      </c>
      <c r="K122" s="221">
        <f t="shared" si="64"/>
        <v>0.10588235294117654</v>
      </c>
      <c r="L122" s="222">
        <v>0.98</v>
      </c>
      <c r="M122" s="221">
        <f t="shared" si="65"/>
        <v>0.15294117647058814</v>
      </c>
      <c r="N122" s="222">
        <v>1.02</v>
      </c>
      <c r="O122" s="221">
        <f t="shared" si="66"/>
        <v>0.19999999999999996</v>
      </c>
      <c r="Q122" s="92"/>
      <c r="R122" s="92"/>
      <c r="S122" s="92"/>
      <c r="T122" s="92"/>
      <c r="U122" s="92"/>
    </row>
    <row r="123" spans="1:21">
      <c r="A123" s="32" t="s">
        <v>54</v>
      </c>
      <c r="B123" s="215" t="s">
        <v>142</v>
      </c>
      <c r="C123" s="216">
        <f t="shared" si="67"/>
        <v>0.73831775700934577</v>
      </c>
      <c r="D123" s="217">
        <v>0.79</v>
      </c>
      <c r="E123" s="69"/>
      <c r="F123" s="218">
        <v>0.83</v>
      </c>
      <c r="G123" s="219">
        <f t="shared" si="62"/>
        <v>5.0632911392404889E-2</v>
      </c>
      <c r="H123" s="220">
        <v>0.85</v>
      </c>
      <c r="I123" s="221">
        <f t="shared" si="63"/>
        <v>7.5949367088607556E-2</v>
      </c>
      <c r="J123" s="222">
        <v>0.87</v>
      </c>
      <c r="K123" s="221">
        <f t="shared" si="64"/>
        <v>0.10126582278481</v>
      </c>
      <c r="L123" s="222">
        <v>0.91</v>
      </c>
      <c r="M123" s="221">
        <f t="shared" si="65"/>
        <v>0.15189873417721511</v>
      </c>
      <c r="N123" s="222">
        <v>0.95</v>
      </c>
      <c r="O123" s="221">
        <f t="shared" si="66"/>
        <v>0.20253164556962022</v>
      </c>
      <c r="Q123" s="92"/>
      <c r="R123" s="92"/>
      <c r="S123" s="92"/>
      <c r="T123" s="92"/>
      <c r="U123" s="92"/>
    </row>
    <row r="124" spans="1:21">
      <c r="A124" s="84" t="s">
        <v>110</v>
      </c>
      <c r="B124" s="215" t="s">
        <v>109</v>
      </c>
      <c r="C124" s="216">
        <f t="shared" si="67"/>
        <v>0.7009345794392523</v>
      </c>
      <c r="D124" s="217">
        <v>0.75</v>
      </c>
      <c r="E124" s="69"/>
      <c r="F124" s="218">
        <v>0.78</v>
      </c>
      <c r="G124" s="219">
        <f t="shared" si="62"/>
        <v>4.0000000000000036E-2</v>
      </c>
      <c r="H124" s="220">
        <v>0.8</v>
      </c>
      <c r="I124" s="221">
        <f t="shared" si="63"/>
        <v>6.6666666666666652E-2</v>
      </c>
      <c r="J124" s="222">
        <v>0.83</v>
      </c>
      <c r="K124" s="221">
        <f t="shared" si="64"/>
        <v>0.10666666666666669</v>
      </c>
      <c r="L124" s="222">
        <v>0.87</v>
      </c>
      <c r="M124" s="221">
        <f t="shared" si="65"/>
        <v>0.15999999999999992</v>
      </c>
      <c r="N124" s="222">
        <v>0.9</v>
      </c>
      <c r="O124" s="221">
        <f t="shared" si="66"/>
        <v>0.19999999999999996</v>
      </c>
      <c r="Q124" s="92"/>
      <c r="R124" s="92"/>
      <c r="S124" s="92"/>
      <c r="T124" s="92"/>
      <c r="U124" s="92"/>
    </row>
    <row r="125" spans="1:21">
      <c r="A125" s="33" t="s">
        <v>52</v>
      </c>
      <c r="B125" s="215" t="s">
        <v>91</v>
      </c>
      <c r="C125" s="216">
        <f t="shared" si="67"/>
        <v>0.5140186915887851</v>
      </c>
      <c r="D125" s="217">
        <v>0.55000000000000004</v>
      </c>
      <c r="E125" s="69"/>
      <c r="F125" s="218">
        <v>0.57999999999999996</v>
      </c>
      <c r="G125" s="219">
        <f t="shared" si="62"/>
        <v>5.4545454545454453E-2</v>
      </c>
      <c r="H125" s="220">
        <v>0.59</v>
      </c>
      <c r="I125" s="221">
        <f t="shared" si="63"/>
        <v>7.2727272727272529E-2</v>
      </c>
      <c r="J125" s="222">
        <v>0.61</v>
      </c>
      <c r="K125" s="221">
        <f t="shared" si="64"/>
        <v>0.10909090909090891</v>
      </c>
      <c r="L125" s="222">
        <v>0.64</v>
      </c>
      <c r="M125" s="221">
        <f t="shared" si="65"/>
        <v>0.16363636363636358</v>
      </c>
      <c r="N125" s="222">
        <v>0.66</v>
      </c>
      <c r="O125" s="221">
        <f t="shared" si="66"/>
        <v>0.19999999999999996</v>
      </c>
      <c r="Q125" s="92"/>
      <c r="R125" s="92"/>
      <c r="S125" s="92"/>
      <c r="T125" s="92"/>
      <c r="U125" s="92"/>
    </row>
    <row r="126" spans="1:21">
      <c r="A126" s="32" t="s">
        <v>54</v>
      </c>
      <c r="B126" s="215" t="s">
        <v>67</v>
      </c>
      <c r="C126" s="138">
        <f t="shared" si="67"/>
        <v>0.80373831775700932</v>
      </c>
      <c r="D126" s="139">
        <v>0.86</v>
      </c>
      <c r="E126" s="81"/>
      <c r="F126" s="164">
        <v>0.9</v>
      </c>
      <c r="G126" s="165">
        <f t="shared" si="62"/>
        <v>4.6511627906976827E-2</v>
      </c>
      <c r="H126" s="120">
        <v>0.93</v>
      </c>
      <c r="I126" s="191">
        <f t="shared" si="63"/>
        <v>8.1395348837209447E-2</v>
      </c>
      <c r="J126" s="151">
        <v>0.95</v>
      </c>
      <c r="K126" s="191">
        <f t="shared" si="64"/>
        <v>0.10465116279069764</v>
      </c>
      <c r="L126" s="151">
        <v>1</v>
      </c>
      <c r="M126" s="191">
        <f t="shared" si="65"/>
        <v>0.16279069767441867</v>
      </c>
      <c r="N126" s="151">
        <v>1.05</v>
      </c>
      <c r="O126" s="191">
        <f t="shared" si="66"/>
        <v>0.22093023255813971</v>
      </c>
      <c r="Q126" s="92"/>
      <c r="R126" s="92"/>
      <c r="S126" s="92"/>
      <c r="T126" s="92"/>
      <c r="U126" s="92"/>
    </row>
    <row r="127" spans="1:21">
      <c r="A127" s="29" t="s">
        <v>53</v>
      </c>
      <c r="B127" s="215" t="s">
        <v>85</v>
      </c>
      <c r="C127" s="216">
        <f t="shared" si="67"/>
        <v>0.74766355140186913</v>
      </c>
      <c r="D127" s="217">
        <v>0.8</v>
      </c>
      <c r="E127" s="69"/>
      <c r="F127" s="218">
        <v>0.84</v>
      </c>
      <c r="G127" s="219">
        <f t="shared" si="62"/>
        <v>4.9999999999999822E-2</v>
      </c>
      <c r="H127" s="220">
        <v>0.86</v>
      </c>
      <c r="I127" s="221">
        <f t="shared" si="63"/>
        <v>7.4999999999999956E-2</v>
      </c>
      <c r="J127" s="222">
        <v>0.88</v>
      </c>
      <c r="K127" s="221">
        <f t="shared" si="64"/>
        <v>9.9999999999999867E-2</v>
      </c>
      <c r="L127" s="222">
        <v>0.92</v>
      </c>
      <c r="M127" s="221">
        <f t="shared" si="65"/>
        <v>0.14999999999999991</v>
      </c>
      <c r="N127" s="222">
        <v>0.96</v>
      </c>
      <c r="O127" s="221">
        <f t="shared" si="66"/>
        <v>0.19999999999999996</v>
      </c>
      <c r="Q127" s="92"/>
      <c r="R127" s="92"/>
      <c r="S127" s="92"/>
      <c r="T127" s="92"/>
      <c r="U127" s="92"/>
    </row>
    <row r="128" spans="1:21">
      <c r="A128" s="84" t="s">
        <v>110</v>
      </c>
      <c r="B128" s="215" t="s">
        <v>111</v>
      </c>
      <c r="C128" s="138">
        <f t="shared" si="67"/>
        <v>0.73831775700934577</v>
      </c>
      <c r="D128" s="139">
        <v>0.79</v>
      </c>
      <c r="E128" s="81"/>
      <c r="F128" s="164">
        <v>0.85</v>
      </c>
      <c r="G128" s="165">
        <f t="shared" si="62"/>
        <v>7.5949367088607556E-2</v>
      </c>
      <c r="H128" s="120">
        <v>0.87</v>
      </c>
      <c r="I128" s="191">
        <f t="shared" si="63"/>
        <v>0.10126582278481</v>
      </c>
      <c r="J128" s="151">
        <v>0.9</v>
      </c>
      <c r="K128" s="191">
        <f t="shared" si="64"/>
        <v>0.139240506329114</v>
      </c>
      <c r="L128" s="151">
        <v>0.93</v>
      </c>
      <c r="M128" s="191">
        <f t="shared" si="65"/>
        <v>0.17721518987341778</v>
      </c>
      <c r="N128" s="151">
        <v>0.95</v>
      </c>
      <c r="O128" s="191">
        <f t="shared" si="66"/>
        <v>0.20253164556962022</v>
      </c>
      <c r="Q128" s="92"/>
      <c r="R128" s="92"/>
      <c r="S128" s="92"/>
      <c r="T128" s="92"/>
      <c r="U128" s="92"/>
    </row>
    <row r="129" spans="1:21">
      <c r="A129" s="30" t="s">
        <v>52</v>
      </c>
      <c r="B129" s="215" t="s">
        <v>89</v>
      </c>
      <c r="C129" s="138">
        <f t="shared" si="67"/>
        <v>6.5420560747663545</v>
      </c>
      <c r="D129" s="139">
        <v>7</v>
      </c>
      <c r="E129" s="81"/>
      <c r="F129" s="164">
        <v>7.5</v>
      </c>
      <c r="G129" s="165">
        <f t="shared" si="62"/>
        <v>7.1428571428571397E-2</v>
      </c>
      <c r="H129" s="120">
        <v>7.75</v>
      </c>
      <c r="I129" s="191">
        <f t="shared" si="63"/>
        <v>0.10714285714285721</v>
      </c>
      <c r="J129" s="151">
        <v>8</v>
      </c>
      <c r="K129" s="191">
        <f t="shared" si="64"/>
        <v>0.14285714285714279</v>
      </c>
      <c r="L129" s="151">
        <v>8.25</v>
      </c>
      <c r="M129" s="191">
        <f t="shared" si="65"/>
        <v>0.1785714285714286</v>
      </c>
      <c r="N129" s="151">
        <v>8.5</v>
      </c>
      <c r="O129" s="191">
        <f t="shared" si="66"/>
        <v>0.21428571428571419</v>
      </c>
      <c r="Q129" s="92"/>
      <c r="R129" s="92"/>
      <c r="S129" s="92"/>
      <c r="T129" s="92"/>
      <c r="U129" s="92"/>
    </row>
    <row r="130" spans="1:21">
      <c r="A130" s="30" t="s">
        <v>52</v>
      </c>
      <c r="B130" s="215" t="s">
        <v>104</v>
      </c>
      <c r="C130" s="138">
        <f t="shared" si="67"/>
        <v>11.214953271028037</v>
      </c>
      <c r="D130" s="139">
        <v>12</v>
      </c>
      <c r="E130" s="81"/>
      <c r="F130" s="164">
        <v>12.75</v>
      </c>
      <c r="G130" s="165">
        <f t="shared" si="62"/>
        <v>6.25E-2</v>
      </c>
      <c r="H130" s="120">
        <v>13.25</v>
      </c>
      <c r="I130" s="191">
        <f t="shared" si="63"/>
        <v>0.10416666666666674</v>
      </c>
      <c r="J130" s="151">
        <v>13.75</v>
      </c>
      <c r="K130" s="191">
        <f t="shared" si="64"/>
        <v>0.14583333333333326</v>
      </c>
      <c r="L130" s="151">
        <v>14.25</v>
      </c>
      <c r="M130" s="191">
        <f t="shared" si="65"/>
        <v>0.1875</v>
      </c>
      <c r="N130" s="151">
        <v>14.5</v>
      </c>
      <c r="O130" s="191">
        <f t="shared" si="66"/>
        <v>0.20833333333333326</v>
      </c>
      <c r="Q130" s="92"/>
      <c r="R130" s="92"/>
      <c r="S130" s="92"/>
      <c r="T130" s="92"/>
      <c r="U130" s="92"/>
    </row>
    <row r="131" spans="1:21">
      <c r="A131" s="29" t="s">
        <v>53</v>
      </c>
      <c r="B131" s="215" t="s">
        <v>86</v>
      </c>
      <c r="C131" s="138">
        <f t="shared" si="67"/>
        <v>9.3457943925233646</v>
      </c>
      <c r="D131" s="139">
        <v>10</v>
      </c>
      <c r="E131" s="81"/>
      <c r="F131" s="164">
        <v>10.75</v>
      </c>
      <c r="G131" s="165">
        <f t="shared" si="62"/>
        <v>7.4999999999999956E-2</v>
      </c>
      <c r="H131" s="120">
        <v>11</v>
      </c>
      <c r="I131" s="191">
        <f t="shared" si="63"/>
        <v>0.10000000000000009</v>
      </c>
      <c r="J131" s="151">
        <v>11.5</v>
      </c>
      <c r="K131" s="191">
        <f t="shared" si="64"/>
        <v>0.14999999999999991</v>
      </c>
      <c r="L131" s="151">
        <v>11.75</v>
      </c>
      <c r="M131" s="191">
        <f t="shared" si="65"/>
        <v>0.17500000000000004</v>
      </c>
      <c r="N131" s="151">
        <v>12.25</v>
      </c>
      <c r="O131" s="191">
        <f t="shared" si="66"/>
        <v>0.22500000000000009</v>
      </c>
      <c r="Q131" s="92"/>
      <c r="R131" s="92"/>
      <c r="S131" s="92"/>
      <c r="T131" s="92"/>
      <c r="U131" s="92"/>
    </row>
    <row r="132" spans="1:21">
      <c r="A132" s="29" t="s">
        <v>53</v>
      </c>
      <c r="B132" s="215" t="s">
        <v>87</v>
      </c>
      <c r="C132" s="138">
        <f t="shared" si="67"/>
        <v>14.018691588785046</v>
      </c>
      <c r="D132" s="139">
        <v>15</v>
      </c>
      <c r="E132" s="81"/>
      <c r="F132" s="164">
        <v>16</v>
      </c>
      <c r="G132" s="165">
        <f t="shared" si="62"/>
        <v>6.6666666666666652E-2</v>
      </c>
      <c r="H132" s="120">
        <v>16.5</v>
      </c>
      <c r="I132" s="191">
        <f t="shared" si="63"/>
        <v>0.10000000000000009</v>
      </c>
      <c r="J132" s="151">
        <v>17.25</v>
      </c>
      <c r="K132" s="191">
        <f t="shared" si="64"/>
        <v>0.14999999999999991</v>
      </c>
      <c r="L132" s="151">
        <v>17.75</v>
      </c>
      <c r="M132" s="191">
        <f t="shared" si="65"/>
        <v>0.18333333333333335</v>
      </c>
      <c r="N132" s="151">
        <v>18.25</v>
      </c>
      <c r="O132" s="191">
        <f t="shared" si="66"/>
        <v>0.21666666666666656</v>
      </c>
      <c r="Q132" s="92"/>
      <c r="R132" s="92"/>
      <c r="S132" s="92"/>
      <c r="T132" s="92"/>
      <c r="U132" s="92"/>
    </row>
    <row r="133" spans="1:21">
      <c r="A133" s="32" t="s">
        <v>54</v>
      </c>
      <c r="B133" s="215" t="s">
        <v>96</v>
      </c>
      <c r="C133" s="138">
        <f t="shared" si="67"/>
        <v>8</v>
      </c>
      <c r="D133" s="139">
        <v>8.56</v>
      </c>
      <c r="E133" s="81"/>
      <c r="F133" s="164">
        <v>9.25</v>
      </c>
      <c r="G133" s="165">
        <f t="shared" si="62"/>
        <v>8.0607476635514042E-2</v>
      </c>
      <c r="H133" s="120">
        <v>9.5</v>
      </c>
      <c r="I133" s="191">
        <f t="shared" si="63"/>
        <v>0.10981308411214941</v>
      </c>
      <c r="J133" s="151">
        <v>10</v>
      </c>
      <c r="K133" s="191">
        <f t="shared" si="64"/>
        <v>0.16822429906542058</v>
      </c>
      <c r="L133" s="151">
        <v>10.25</v>
      </c>
      <c r="M133" s="191">
        <f t="shared" si="65"/>
        <v>0.19742990654205594</v>
      </c>
      <c r="N133" s="151">
        <v>10.5</v>
      </c>
      <c r="O133" s="191">
        <f t="shared" si="66"/>
        <v>0.22663551401869153</v>
      </c>
      <c r="Q133" s="92"/>
      <c r="R133" s="92"/>
      <c r="S133" s="92"/>
      <c r="T133" s="92"/>
      <c r="U133" s="92"/>
    </row>
    <row r="134" spans="1:21">
      <c r="A134" s="34"/>
      <c r="B134" s="215" t="s">
        <v>15</v>
      </c>
      <c r="C134" s="138">
        <f t="shared" si="67"/>
        <v>17</v>
      </c>
      <c r="D134" s="139">
        <v>18.190000000000001</v>
      </c>
      <c r="E134" s="81"/>
      <c r="F134" s="164">
        <v>19.25</v>
      </c>
      <c r="G134" s="165">
        <f t="shared" si="62"/>
        <v>5.8273776800439769E-2</v>
      </c>
      <c r="H134" s="120">
        <v>20.25</v>
      </c>
      <c r="I134" s="191">
        <f t="shared" si="63"/>
        <v>0.11324903793293006</v>
      </c>
      <c r="J134" s="151">
        <v>21</v>
      </c>
      <c r="K134" s="191">
        <f t="shared" si="64"/>
        <v>0.15448048378229795</v>
      </c>
      <c r="L134" s="151">
        <v>21.5</v>
      </c>
      <c r="M134" s="191">
        <f t="shared" si="65"/>
        <v>0.18196811434854299</v>
      </c>
      <c r="N134" s="151">
        <v>22</v>
      </c>
      <c r="O134" s="191">
        <f t="shared" si="66"/>
        <v>0.20945574491478824</v>
      </c>
      <c r="Q134" s="92"/>
      <c r="R134" s="92"/>
      <c r="S134" s="92"/>
      <c r="T134" s="92"/>
      <c r="U134" s="92"/>
    </row>
    <row r="135" spans="1:21">
      <c r="A135" s="30" t="s">
        <v>52</v>
      </c>
      <c r="B135" s="215" t="s">
        <v>92</v>
      </c>
      <c r="C135" s="216">
        <f t="shared" si="67"/>
        <v>0.28037383177570091</v>
      </c>
      <c r="D135" s="217">
        <v>0.3</v>
      </c>
      <c r="E135" s="69"/>
      <c r="F135" s="218">
        <v>0.32</v>
      </c>
      <c r="G135" s="219">
        <f t="shared" si="62"/>
        <v>6.6666666666666652E-2</v>
      </c>
      <c r="H135" s="220">
        <v>0.33</v>
      </c>
      <c r="I135" s="221">
        <f t="shared" si="63"/>
        <v>0.10000000000000009</v>
      </c>
      <c r="J135" s="222">
        <v>0.34</v>
      </c>
      <c r="K135" s="221">
        <f t="shared" si="64"/>
        <v>0.13333333333333353</v>
      </c>
      <c r="L135" s="222">
        <v>0.35</v>
      </c>
      <c r="M135" s="221">
        <f t="shared" si="65"/>
        <v>0.16666666666666674</v>
      </c>
      <c r="N135" s="222">
        <v>0.36</v>
      </c>
      <c r="O135" s="221">
        <f t="shared" si="66"/>
        <v>0.19999999999999996</v>
      </c>
      <c r="Q135" s="92"/>
      <c r="R135" s="92"/>
      <c r="S135" s="92"/>
      <c r="T135" s="92"/>
      <c r="U135" s="92"/>
    </row>
    <row r="136" spans="1:21">
      <c r="A136" s="26" t="s">
        <v>53</v>
      </c>
      <c r="B136" s="215" t="s">
        <v>88</v>
      </c>
      <c r="C136" s="216">
        <f t="shared" si="67"/>
        <v>0.53271028037383172</v>
      </c>
      <c r="D136" s="217">
        <v>0.56999999999999995</v>
      </c>
      <c r="E136" s="69"/>
      <c r="F136" s="218">
        <v>0.6</v>
      </c>
      <c r="G136" s="219">
        <f t="shared" si="62"/>
        <v>5.2631578947368363E-2</v>
      </c>
      <c r="H136" s="220">
        <v>0.61</v>
      </c>
      <c r="I136" s="221">
        <f t="shared" si="63"/>
        <v>7.0175438596491224E-2</v>
      </c>
      <c r="J136" s="222">
        <v>0.63</v>
      </c>
      <c r="K136" s="221">
        <f t="shared" si="64"/>
        <v>0.10526315789473695</v>
      </c>
      <c r="L136" s="222">
        <v>0.66</v>
      </c>
      <c r="M136" s="221">
        <f t="shared" si="65"/>
        <v>0.15789473684210531</v>
      </c>
      <c r="N136" s="222">
        <v>0.69</v>
      </c>
      <c r="O136" s="221">
        <f t="shared" si="66"/>
        <v>0.21052631578947367</v>
      </c>
      <c r="Q136" s="92"/>
      <c r="R136" s="92"/>
      <c r="S136" s="92"/>
      <c r="T136" s="92"/>
      <c r="U136" s="92"/>
    </row>
    <row r="137" spans="1:21">
      <c r="A137" s="32" t="s">
        <v>54</v>
      </c>
      <c r="B137" s="215" t="s">
        <v>143</v>
      </c>
      <c r="C137" s="138">
        <f t="shared" si="67"/>
        <v>0.53271028037383172</v>
      </c>
      <c r="D137" s="139">
        <v>0.56999999999999995</v>
      </c>
      <c r="E137" s="81"/>
      <c r="F137" s="164">
        <v>0.6</v>
      </c>
      <c r="G137" s="165">
        <f t="shared" si="62"/>
        <v>5.2631578947368363E-2</v>
      </c>
      <c r="H137" s="120">
        <v>0.63</v>
      </c>
      <c r="I137" s="191">
        <f t="shared" si="63"/>
        <v>0.10526315789473695</v>
      </c>
      <c r="J137" s="151">
        <v>0.66</v>
      </c>
      <c r="K137" s="191">
        <f t="shared" si="64"/>
        <v>0.15789473684210531</v>
      </c>
      <c r="L137" s="151">
        <v>0.68</v>
      </c>
      <c r="M137" s="191">
        <f t="shared" si="65"/>
        <v>0.19298245614035103</v>
      </c>
      <c r="N137" s="151">
        <v>0.7</v>
      </c>
      <c r="O137" s="191">
        <f t="shared" si="66"/>
        <v>0.22807017543859653</v>
      </c>
      <c r="Q137" s="92"/>
      <c r="R137" s="92"/>
      <c r="S137" s="92"/>
      <c r="T137" s="92"/>
      <c r="U137" s="92"/>
    </row>
    <row r="138" spans="1:21">
      <c r="A138" s="34"/>
      <c r="B138" s="215" t="s">
        <v>80</v>
      </c>
      <c r="C138" s="138">
        <f t="shared" si="67"/>
        <v>0.80373831775700932</v>
      </c>
      <c r="D138" s="139">
        <v>0.86</v>
      </c>
      <c r="E138" s="81"/>
      <c r="F138" s="164">
        <v>0.9</v>
      </c>
      <c r="G138" s="165">
        <f t="shared" si="62"/>
        <v>4.6511627906976827E-2</v>
      </c>
      <c r="H138" s="120">
        <v>0.95</v>
      </c>
      <c r="I138" s="191">
        <f t="shared" si="63"/>
        <v>0.10465116279069764</v>
      </c>
      <c r="J138" s="151">
        <v>1</v>
      </c>
      <c r="K138" s="191">
        <f t="shared" si="64"/>
        <v>0.16279069767441867</v>
      </c>
      <c r="L138" s="151">
        <v>1.03</v>
      </c>
      <c r="M138" s="191">
        <f t="shared" si="65"/>
        <v>0.19767441860465129</v>
      </c>
      <c r="N138" s="151">
        <v>1.05</v>
      </c>
      <c r="O138" s="191">
        <f t="shared" si="66"/>
        <v>0.22093023255813971</v>
      </c>
      <c r="Q138" s="92"/>
      <c r="R138" s="92"/>
      <c r="S138" s="92"/>
      <c r="T138" s="92"/>
      <c r="U138" s="92"/>
    </row>
    <row r="139" spans="1:21">
      <c r="A139" s="34"/>
      <c r="B139" s="215" t="s">
        <v>81</v>
      </c>
      <c r="C139" s="138">
        <f t="shared" si="67"/>
        <v>1.1682242990654206</v>
      </c>
      <c r="D139" s="139">
        <v>1.25</v>
      </c>
      <c r="E139" s="81"/>
      <c r="F139" s="164">
        <v>1.33</v>
      </c>
      <c r="G139" s="165">
        <f>F139/$D139-1</f>
        <v>6.4000000000000057E-2</v>
      </c>
      <c r="H139" s="120">
        <v>1.38</v>
      </c>
      <c r="I139" s="191">
        <f t="shared" si="63"/>
        <v>0.10399999999999987</v>
      </c>
      <c r="J139" s="151">
        <v>1.45</v>
      </c>
      <c r="K139" s="191">
        <f t="shared" si="64"/>
        <v>0.15999999999999992</v>
      </c>
      <c r="L139" s="151">
        <v>1.48</v>
      </c>
      <c r="M139" s="191">
        <f t="shared" si="65"/>
        <v>0.18399999999999994</v>
      </c>
      <c r="N139" s="151">
        <v>1.5</v>
      </c>
      <c r="O139" s="191">
        <f t="shared" si="66"/>
        <v>0.19999999999999996</v>
      </c>
      <c r="Q139" s="92"/>
      <c r="R139" s="92"/>
      <c r="S139" s="92"/>
      <c r="T139" s="92"/>
      <c r="U139" s="92"/>
    </row>
    <row r="140" spans="1:21">
      <c r="A140" s="34" t="s">
        <v>110</v>
      </c>
      <c r="B140" s="215" t="s">
        <v>80</v>
      </c>
      <c r="C140" s="216">
        <f t="shared" si="67"/>
        <v>0.59813084112149528</v>
      </c>
      <c r="D140" s="217">
        <v>0.64</v>
      </c>
      <c r="E140" s="69"/>
      <c r="F140" s="218">
        <v>0.67</v>
      </c>
      <c r="G140" s="219">
        <f t="shared" si="62"/>
        <v>4.6875E-2</v>
      </c>
      <c r="H140" s="220">
        <v>0.69</v>
      </c>
      <c r="I140" s="221">
        <f t="shared" si="63"/>
        <v>7.8125E-2</v>
      </c>
      <c r="J140" s="222">
        <v>0.7</v>
      </c>
      <c r="K140" s="221">
        <f t="shared" si="64"/>
        <v>9.375E-2</v>
      </c>
      <c r="L140" s="222">
        <v>0.74</v>
      </c>
      <c r="M140" s="221">
        <f t="shared" si="65"/>
        <v>0.15625</v>
      </c>
      <c r="N140" s="222">
        <v>0.77</v>
      </c>
      <c r="O140" s="221">
        <f t="shared" si="66"/>
        <v>0.203125</v>
      </c>
      <c r="Q140" s="92"/>
      <c r="R140" s="92"/>
      <c r="S140" s="92"/>
      <c r="T140" s="92"/>
      <c r="U140" s="92"/>
    </row>
    <row r="141" spans="1:21" s="81" customFormat="1">
      <c r="A141" s="82" t="s">
        <v>65</v>
      </c>
      <c r="B141" s="215" t="s">
        <v>14</v>
      </c>
      <c r="C141" s="216">
        <f t="shared" si="67"/>
        <v>14.205607476635512</v>
      </c>
      <c r="D141" s="217">
        <v>15.2</v>
      </c>
      <c r="E141" s="69"/>
      <c r="F141" s="218">
        <v>16</v>
      </c>
      <c r="G141" s="219">
        <f t="shared" si="62"/>
        <v>5.2631578947368363E-2</v>
      </c>
      <c r="H141" s="220">
        <v>16.25</v>
      </c>
      <c r="I141" s="221">
        <f t="shared" si="63"/>
        <v>6.9078947368421018E-2</v>
      </c>
      <c r="J141" s="222">
        <v>16.75</v>
      </c>
      <c r="K141" s="221">
        <f t="shared" si="64"/>
        <v>0.10197368421052633</v>
      </c>
      <c r="L141" s="222">
        <v>17.5</v>
      </c>
      <c r="M141" s="221">
        <f t="shared" si="65"/>
        <v>0.15131578947368429</v>
      </c>
      <c r="N141" s="222">
        <v>18.25</v>
      </c>
      <c r="O141" s="221">
        <f t="shared" si="66"/>
        <v>0.20065789473684226</v>
      </c>
      <c r="Q141" s="94"/>
      <c r="R141" s="94"/>
      <c r="S141" s="94"/>
      <c r="T141" s="94"/>
      <c r="U141" s="94"/>
    </row>
    <row r="142" spans="1:21">
      <c r="A142" s="32" t="s">
        <v>54</v>
      </c>
      <c r="B142" s="215" t="s">
        <v>144</v>
      </c>
      <c r="C142" s="138">
        <f t="shared" si="67"/>
        <v>15</v>
      </c>
      <c r="D142" s="139">
        <v>16.05</v>
      </c>
      <c r="E142" s="81"/>
      <c r="F142" s="164">
        <v>17</v>
      </c>
      <c r="G142" s="165">
        <f t="shared" si="62"/>
        <v>5.9190031152647871E-2</v>
      </c>
      <c r="H142" s="120">
        <v>17.75</v>
      </c>
      <c r="I142" s="191">
        <f t="shared" si="63"/>
        <v>0.10591900311526481</v>
      </c>
      <c r="J142" s="151">
        <v>18.25</v>
      </c>
      <c r="K142" s="191">
        <f t="shared" si="64"/>
        <v>0.13707165109034269</v>
      </c>
      <c r="L142" s="151">
        <v>18.75</v>
      </c>
      <c r="M142" s="191">
        <f t="shared" si="65"/>
        <v>0.16822429906542058</v>
      </c>
      <c r="N142" s="151">
        <v>19.25</v>
      </c>
      <c r="O142" s="191">
        <f t="shared" si="66"/>
        <v>0.19937694704049846</v>
      </c>
      <c r="Q142" s="92"/>
      <c r="R142" s="92"/>
      <c r="S142" s="92"/>
      <c r="T142" s="92"/>
      <c r="U142" s="92"/>
    </row>
    <row r="143" spans="1:21">
      <c r="A143" s="30" t="s">
        <v>52</v>
      </c>
      <c r="B143" s="215" t="s">
        <v>14</v>
      </c>
      <c r="C143" s="216">
        <f t="shared" si="67"/>
        <v>11.214953271028037</v>
      </c>
      <c r="D143" s="217">
        <v>12</v>
      </c>
      <c r="E143" s="69"/>
      <c r="F143" s="218">
        <v>12.5</v>
      </c>
      <c r="G143" s="219">
        <f t="shared" si="62"/>
        <v>4.1666666666666741E-2</v>
      </c>
      <c r="H143" s="220">
        <v>13</v>
      </c>
      <c r="I143" s="221">
        <f t="shared" si="63"/>
        <v>8.3333333333333259E-2</v>
      </c>
      <c r="J143" s="222">
        <v>13.25</v>
      </c>
      <c r="K143" s="221">
        <f t="shared" si="64"/>
        <v>0.10416666666666674</v>
      </c>
      <c r="L143" s="222">
        <v>14</v>
      </c>
      <c r="M143" s="221">
        <f t="shared" si="65"/>
        <v>0.16666666666666674</v>
      </c>
      <c r="N143" s="222">
        <v>14.5</v>
      </c>
      <c r="O143" s="221">
        <f t="shared" si="66"/>
        <v>0.20833333333333326</v>
      </c>
      <c r="Q143" s="92"/>
      <c r="R143" s="92"/>
      <c r="S143" s="92"/>
      <c r="T143" s="92"/>
      <c r="U143" s="92"/>
    </row>
    <row r="144" spans="1:21">
      <c r="A144" s="34" t="s">
        <v>98</v>
      </c>
      <c r="B144" s="215" t="s">
        <v>99</v>
      </c>
      <c r="C144" s="216">
        <f t="shared" si="67"/>
        <v>12.831775700934578</v>
      </c>
      <c r="D144" s="217">
        <v>13.73</v>
      </c>
      <c r="E144" s="69"/>
      <c r="F144" s="218">
        <v>14.5</v>
      </c>
      <c r="G144" s="219">
        <f t="shared" si="62"/>
        <v>5.6081573197378054E-2</v>
      </c>
      <c r="H144" s="220">
        <v>14.75</v>
      </c>
      <c r="I144" s="221">
        <f t="shared" si="63"/>
        <v>7.4289876183539771E-2</v>
      </c>
      <c r="J144" s="222">
        <v>15.25</v>
      </c>
      <c r="K144" s="221">
        <f t="shared" si="64"/>
        <v>0.11070648215586298</v>
      </c>
      <c r="L144" s="222">
        <v>16</v>
      </c>
      <c r="M144" s="221">
        <f t="shared" si="65"/>
        <v>0.16533139111434814</v>
      </c>
      <c r="N144" s="222">
        <v>16.5</v>
      </c>
      <c r="O144" s="221">
        <f t="shared" si="66"/>
        <v>0.20174799708667157</v>
      </c>
      <c r="Q144" s="92"/>
      <c r="R144" s="92"/>
      <c r="S144" s="92"/>
      <c r="T144" s="92"/>
      <c r="U144" s="92"/>
    </row>
    <row r="145" spans="1:88">
      <c r="A145" s="34"/>
      <c r="B145" s="215" t="s">
        <v>100</v>
      </c>
      <c r="C145" s="216">
        <f t="shared" si="67"/>
        <v>17.55140186915888</v>
      </c>
      <c r="D145" s="217">
        <v>18.78</v>
      </c>
      <c r="E145" s="69"/>
      <c r="F145" s="218">
        <v>19.75</v>
      </c>
      <c r="G145" s="219">
        <f t="shared" si="62"/>
        <v>5.165069222577201E-2</v>
      </c>
      <c r="H145" s="220">
        <v>20</v>
      </c>
      <c r="I145" s="221">
        <f t="shared" si="63"/>
        <v>6.4962726304579332E-2</v>
      </c>
      <c r="J145" s="222">
        <v>20.75</v>
      </c>
      <c r="K145" s="221">
        <f t="shared" si="64"/>
        <v>0.10489882854100108</v>
      </c>
      <c r="L145" s="222">
        <v>21.75</v>
      </c>
      <c r="M145" s="221">
        <f t="shared" si="65"/>
        <v>0.15814696485622992</v>
      </c>
      <c r="N145" s="222">
        <v>22.75</v>
      </c>
      <c r="O145" s="221">
        <f t="shared" si="66"/>
        <v>0.21139510117145899</v>
      </c>
      <c r="Q145" s="92"/>
      <c r="R145" s="92"/>
      <c r="S145" s="92"/>
      <c r="T145" s="92"/>
      <c r="U145" s="92"/>
    </row>
    <row r="146" spans="1:88">
      <c r="A146" s="34"/>
      <c r="B146" s="215" t="s">
        <v>101</v>
      </c>
      <c r="C146" s="216">
        <f t="shared" si="67"/>
        <v>32.411214953271028</v>
      </c>
      <c r="D146" s="217">
        <v>34.68</v>
      </c>
      <c r="E146" s="69"/>
      <c r="F146" s="218">
        <v>36.25</v>
      </c>
      <c r="G146" s="219">
        <f t="shared" si="62"/>
        <v>4.5271049596309121E-2</v>
      </c>
      <c r="H146" s="220">
        <v>37</v>
      </c>
      <c r="I146" s="221">
        <f t="shared" si="63"/>
        <v>6.6897347174163846E-2</v>
      </c>
      <c r="J146" s="222">
        <v>38.25</v>
      </c>
      <c r="K146" s="221">
        <f t="shared" si="64"/>
        <v>0.10294117647058831</v>
      </c>
      <c r="L146" s="222">
        <v>40</v>
      </c>
      <c r="M146" s="221">
        <f t="shared" si="65"/>
        <v>0.15340253748558252</v>
      </c>
      <c r="N146" s="222">
        <v>41.75</v>
      </c>
      <c r="O146" s="221">
        <f t="shared" si="66"/>
        <v>0.20386389850057673</v>
      </c>
      <c r="Q146" s="92"/>
      <c r="R146" s="92"/>
      <c r="S146" s="92"/>
      <c r="T146" s="92"/>
      <c r="U146" s="92"/>
    </row>
    <row r="147" spans="1:88" s="6" customFormat="1">
      <c r="A147" s="34" t="s">
        <v>61</v>
      </c>
      <c r="B147" s="215" t="s">
        <v>68</v>
      </c>
      <c r="C147" s="138">
        <f t="shared" si="67"/>
        <v>51.401869158878505</v>
      </c>
      <c r="D147" s="139">
        <v>55</v>
      </c>
      <c r="E147" s="81"/>
      <c r="F147" s="164">
        <v>58</v>
      </c>
      <c r="G147" s="165">
        <f t="shared" si="62"/>
        <v>5.4545454545454453E-2</v>
      </c>
      <c r="H147" s="120">
        <v>59</v>
      </c>
      <c r="I147" s="191">
        <f t="shared" si="63"/>
        <v>7.2727272727272751E-2</v>
      </c>
      <c r="J147" s="151">
        <v>61</v>
      </c>
      <c r="K147" s="191">
        <f t="shared" si="64"/>
        <v>0.10909090909090913</v>
      </c>
      <c r="L147" s="151">
        <v>63</v>
      </c>
      <c r="M147" s="191">
        <f t="shared" si="65"/>
        <v>0.1454545454545455</v>
      </c>
      <c r="N147" s="151">
        <v>65</v>
      </c>
      <c r="O147" s="191">
        <f t="shared" si="66"/>
        <v>0.18181818181818188</v>
      </c>
      <c r="P147"/>
      <c r="Q147" s="92"/>
      <c r="R147" s="92"/>
      <c r="S147" s="92"/>
      <c r="T147" s="92"/>
      <c r="U147" s="92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</row>
    <row r="148" spans="1:88" s="6" customFormat="1">
      <c r="A148" s="34" t="s">
        <v>61</v>
      </c>
      <c r="B148" s="215" t="s">
        <v>69</v>
      </c>
      <c r="C148" s="138">
        <f t="shared" si="67"/>
        <v>43.925233644859809</v>
      </c>
      <c r="D148" s="139">
        <v>47</v>
      </c>
      <c r="E148" s="81"/>
      <c r="F148" s="164">
        <v>50</v>
      </c>
      <c r="G148" s="165">
        <f t="shared" si="62"/>
        <v>6.3829787234042534E-2</v>
      </c>
      <c r="H148" s="120">
        <v>51.5</v>
      </c>
      <c r="I148" s="191">
        <f t="shared" si="63"/>
        <v>9.5744680851063801E-2</v>
      </c>
      <c r="J148" s="151">
        <v>52.5</v>
      </c>
      <c r="K148" s="191">
        <f t="shared" si="64"/>
        <v>0.11702127659574457</v>
      </c>
      <c r="L148" s="151">
        <v>54</v>
      </c>
      <c r="M148" s="191">
        <f t="shared" si="65"/>
        <v>0.14893617021276606</v>
      </c>
      <c r="N148" s="151">
        <v>56</v>
      </c>
      <c r="O148" s="191">
        <f t="shared" si="66"/>
        <v>0.1914893617021276</v>
      </c>
      <c r="P148"/>
      <c r="Q148" s="92"/>
      <c r="R148" s="92"/>
      <c r="S148" s="92"/>
      <c r="T148" s="92"/>
      <c r="U148" s="92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</row>
    <row r="149" spans="1:88" s="6" customFormat="1">
      <c r="A149" s="34" t="s">
        <v>61</v>
      </c>
      <c r="B149" s="215" t="s">
        <v>70</v>
      </c>
      <c r="C149" s="138">
        <f t="shared" si="67"/>
        <v>38.31775700934579</v>
      </c>
      <c r="D149" s="139">
        <v>41</v>
      </c>
      <c r="E149" s="81"/>
      <c r="F149" s="164">
        <v>43</v>
      </c>
      <c r="G149" s="165">
        <f t="shared" si="62"/>
        <v>4.8780487804878092E-2</v>
      </c>
      <c r="H149" s="120">
        <v>45</v>
      </c>
      <c r="I149" s="191">
        <f t="shared" si="63"/>
        <v>9.7560975609756184E-2</v>
      </c>
      <c r="J149" s="151">
        <v>46</v>
      </c>
      <c r="K149" s="191">
        <f t="shared" si="64"/>
        <v>0.12195121951219523</v>
      </c>
      <c r="L149" s="151">
        <v>47</v>
      </c>
      <c r="M149" s="191">
        <f t="shared" si="65"/>
        <v>0.14634146341463405</v>
      </c>
      <c r="N149" s="151">
        <v>49</v>
      </c>
      <c r="O149" s="191">
        <f t="shared" si="66"/>
        <v>0.19512195121951215</v>
      </c>
      <c r="P149"/>
      <c r="Q149" s="92"/>
      <c r="R149" s="92"/>
      <c r="S149" s="92"/>
      <c r="T149" s="92"/>
      <c r="U149" s="92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</row>
    <row r="150" spans="1:88" s="6" customFormat="1">
      <c r="A150" s="33" t="s">
        <v>52</v>
      </c>
      <c r="B150" s="215" t="s">
        <v>70</v>
      </c>
      <c r="C150" s="216">
        <f t="shared" si="67"/>
        <v>30.841121495327101</v>
      </c>
      <c r="D150" s="217">
        <v>33</v>
      </c>
      <c r="E150" s="69"/>
      <c r="F150" s="218">
        <v>34.5</v>
      </c>
      <c r="G150" s="219">
        <f t="shared" si="62"/>
        <v>4.5454545454545414E-2</v>
      </c>
      <c r="H150" s="220">
        <v>35.25</v>
      </c>
      <c r="I150" s="221">
        <f t="shared" si="63"/>
        <v>6.8181818181818121E-2</v>
      </c>
      <c r="J150" s="222">
        <v>36.25</v>
      </c>
      <c r="K150" s="221">
        <f t="shared" si="64"/>
        <v>9.8484848484848397E-2</v>
      </c>
      <c r="L150" s="222">
        <v>38</v>
      </c>
      <c r="M150" s="221">
        <f t="shared" si="65"/>
        <v>0.1515151515151516</v>
      </c>
      <c r="N150" s="222">
        <v>39.75</v>
      </c>
      <c r="O150" s="221">
        <f t="shared" si="66"/>
        <v>0.20454545454545459</v>
      </c>
      <c r="P150"/>
      <c r="Q150" s="92"/>
      <c r="R150" s="92"/>
      <c r="S150" s="92"/>
      <c r="T150" s="92"/>
      <c r="U150" s="92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</row>
    <row r="151" spans="1:88" s="6" customFormat="1">
      <c r="A151" s="34" t="s">
        <v>61</v>
      </c>
      <c r="B151" s="215" t="s">
        <v>71</v>
      </c>
      <c r="C151" s="138">
        <f t="shared" si="67"/>
        <v>51.401869158878505</v>
      </c>
      <c r="D151" s="139">
        <v>55</v>
      </c>
      <c r="E151" s="81"/>
      <c r="F151" s="164">
        <v>58</v>
      </c>
      <c r="G151" s="165">
        <f t="shared" si="62"/>
        <v>5.4545454545454453E-2</v>
      </c>
      <c r="H151" s="120">
        <v>59.5</v>
      </c>
      <c r="I151" s="191">
        <f t="shared" si="63"/>
        <v>8.181818181818179E-2</v>
      </c>
      <c r="J151" s="151">
        <v>61</v>
      </c>
      <c r="K151" s="191">
        <f t="shared" si="64"/>
        <v>0.10909090909090913</v>
      </c>
      <c r="L151" s="151">
        <v>63</v>
      </c>
      <c r="M151" s="191">
        <f t="shared" si="65"/>
        <v>0.1454545454545455</v>
      </c>
      <c r="N151" s="151">
        <v>65</v>
      </c>
      <c r="O151" s="191">
        <f t="shared" si="66"/>
        <v>0.18181818181818188</v>
      </c>
      <c r="P151"/>
      <c r="Q151" s="92"/>
      <c r="R151" s="92"/>
      <c r="S151" s="92"/>
      <c r="T151" s="92"/>
      <c r="U151" s="92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</row>
    <row r="152" spans="1:88" s="6" customFormat="1">
      <c r="A152" s="34" t="s">
        <v>61</v>
      </c>
      <c r="B152" s="215" t="s">
        <v>72</v>
      </c>
      <c r="C152" s="138">
        <f t="shared" si="67"/>
        <v>43.925233644859809</v>
      </c>
      <c r="D152" s="139">
        <v>47</v>
      </c>
      <c r="E152" s="81"/>
      <c r="F152" s="164">
        <v>49</v>
      </c>
      <c r="G152" s="165">
        <f t="shared" si="62"/>
        <v>4.2553191489361764E-2</v>
      </c>
      <c r="H152" s="120">
        <v>51</v>
      </c>
      <c r="I152" s="191">
        <f t="shared" si="63"/>
        <v>8.5106382978723305E-2</v>
      </c>
      <c r="J152" s="151">
        <v>52.5</v>
      </c>
      <c r="K152" s="191">
        <f t="shared" si="64"/>
        <v>0.11702127659574457</v>
      </c>
      <c r="L152" s="151">
        <v>54</v>
      </c>
      <c r="M152" s="191">
        <f t="shared" si="65"/>
        <v>0.14893617021276606</v>
      </c>
      <c r="N152" s="151">
        <v>56</v>
      </c>
      <c r="O152" s="191">
        <f t="shared" si="66"/>
        <v>0.1914893617021276</v>
      </c>
      <c r="P152"/>
      <c r="Q152" s="92"/>
      <c r="R152" s="92"/>
      <c r="S152" s="92"/>
      <c r="T152" s="92"/>
      <c r="U152" s="9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</row>
    <row r="153" spans="1:88" s="6" customFormat="1">
      <c r="A153" s="34" t="s">
        <v>61</v>
      </c>
      <c r="B153" s="215" t="s">
        <v>73</v>
      </c>
      <c r="C153" s="138">
        <f t="shared" si="67"/>
        <v>38.31775700934579</v>
      </c>
      <c r="D153" s="139">
        <v>41</v>
      </c>
      <c r="E153" s="81"/>
      <c r="F153" s="164">
        <v>43</v>
      </c>
      <c r="G153" s="165">
        <f t="shared" si="62"/>
        <v>4.8780487804878092E-2</v>
      </c>
      <c r="H153" s="120">
        <v>45</v>
      </c>
      <c r="I153" s="191">
        <f t="shared" si="63"/>
        <v>9.7560975609756184E-2</v>
      </c>
      <c r="J153" s="151">
        <v>46</v>
      </c>
      <c r="K153" s="191">
        <f t="shared" si="64"/>
        <v>0.12195121951219523</v>
      </c>
      <c r="L153" s="151">
        <v>47</v>
      </c>
      <c r="M153" s="191">
        <f t="shared" si="65"/>
        <v>0.14634146341463405</v>
      </c>
      <c r="N153" s="151">
        <v>49</v>
      </c>
      <c r="O153" s="191">
        <f t="shared" si="66"/>
        <v>0.19512195121951215</v>
      </c>
      <c r="P153"/>
      <c r="Q153" s="92"/>
      <c r="R153" s="92"/>
      <c r="S153" s="92"/>
      <c r="T153" s="92"/>
      <c r="U153" s="92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</row>
    <row r="154" spans="1:88" s="6" customFormat="1">
      <c r="A154" s="33" t="s">
        <v>52</v>
      </c>
      <c r="B154" s="215" t="s">
        <v>73</v>
      </c>
      <c r="C154" s="216">
        <f t="shared" si="67"/>
        <v>30.841121495327101</v>
      </c>
      <c r="D154" s="217">
        <v>33</v>
      </c>
      <c r="E154" s="69"/>
      <c r="F154" s="218">
        <v>34.5</v>
      </c>
      <c r="G154" s="219">
        <f t="shared" si="62"/>
        <v>4.5454545454545414E-2</v>
      </c>
      <c r="H154" s="220">
        <v>35.5</v>
      </c>
      <c r="I154" s="221">
        <f t="shared" si="63"/>
        <v>7.575757575757569E-2</v>
      </c>
      <c r="J154" s="222">
        <v>36.5</v>
      </c>
      <c r="K154" s="221">
        <f t="shared" si="64"/>
        <v>0.10606060606060597</v>
      </c>
      <c r="L154" s="222">
        <v>38</v>
      </c>
      <c r="M154" s="221">
        <f t="shared" si="65"/>
        <v>0.1515151515151516</v>
      </c>
      <c r="N154" s="222">
        <v>39.75</v>
      </c>
      <c r="O154" s="221">
        <f t="shared" si="66"/>
        <v>0.20454545454545459</v>
      </c>
      <c r="P154"/>
      <c r="Q154" s="92"/>
      <c r="R154" s="92"/>
      <c r="S154" s="92"/>
      <c r="T154" s="92"/>
      <c r="U154" s="92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</row>
    <row r="155" spans="1:88" s="6" customFormat="1">
      <c r="A155" s="34" t="s">
        <v>61</v>
      </c>
      <c r="B155" s="215" t="s">
        <v>74</v>
      </c>
      <c r="C155" s="138">
        <f t="shared" si="67"/>
        <v>53.271028037383175</v>
      </c>
      <c r="D155" s="139">
        <v>57</v>
      </c>
      <c r="E155" s="81"/>
      <c r="F155" s="164">
        <v>60</v>
      </c>
      <c r="G155" s="165">
        <f t="shared" si="62"/>
        <v>5.2631578947368363E-2</v>
      </c>
      <c r="H155" s="120">
        <v>62</v>
      </c>
      <c r="I155" s="191">
        <f t="shared" si="63"/>
        <v>8.7719298245614086E-2</v>
      </c>
      <c r="J155" s="151">
        <v>64</v>
      </c>
      <c r="K155" s="191">
        <f t="shared" si="64"/>
        <v>0.12280701754385959</v>
      </c>
      <c r="L155" s="151">
        <v>66</v>
      </c>
      <c r="M155" s="191">
        <f t="shared" si="65"/>
        <v>0.15789473684210531</v>
      </c>
      <c r="N155" s="151">
        <v>68</v>
      </c>
      <c r="O155" s="191">
        <f t="shared" si="66"/>
        <v>0.19298245614035081</v>
      </c>
      <c r="P155"/>
      <c r="Q155" s="92"/>
      <c r="R155" s="92"/>
      <c r="S155" s="92"/>
      <c r="T155" s="92"/>
      <c r="U155" s="92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</row>
    <row r="156" spans="1:88" s="6" customFormat="1">
      <c r="A156" s="34" t="s">
        <v>61</v>
      </c>
      <c r="B156" s="215" t="s">
        <v>75</v>
      </c>
      <c r="C156" s="138">
        <f t="shared" si="67"/>
        <v>45.794392523364486</v>
      </c>
      <c r="D156" s="139">
        <v>49</v>
      </c>
      <c r="E156" s="81"/>
      <c r="F156" s="164">
        <v>52</v>
      </c>
      <c r="G156" s="165">
        <f t="shared" si="62"/>
        <v>6.1224489795918435E-2</v>
      </c>
      <c r="H156" s="120">
        <v>53.5</v>
      </c>
      <c r="I156" s="191">
        <f t="shared" si="63"/>
        <v>9.1836734693877542E-2</v>
      </c>
      <c r="J156" s="151">
        <v>54.5</v>
      </c>
      <c r="K156" s="191">
        <f t="shared" si="64"/>
        <v>0.11224489795918369</v>
      </c>
      <c r="L156" s="151">
        <v>56</v>
      </c>
      <c r="M156" s="191">
        <f t="shared" si="65"/>
        <v>0.14285714285714279</v>
      </c>
      <c r="N156" s="151">
        <v>58</v>
      </c>
      <c r="O156" s="191">
        <f t="shared" si="66"/>
        <v>0.18367346938775508</v>
      </c>
      <c r="P156"/>
      <c r="Q156" s="92"/>
      <c r="R156" s="92"/>
      <c r="S156" s="92"/>
      <c r="T156" s="92"/>
      <c r="U156" s="92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</row>
    <row r="157" spans="1:88" s="6" customFormat="1">
      <c r="A157" s="34" t="s">
        <v>61</v>
      </c>
      <c r="B157" s="215" t="s">
        <v>76</v>
      </c>
      <c r="C157" s="138">
        <f t="shared" si="67"/>
        <v>40.186915887850468</v>
      </c>
      <c r="D157" s="139">
        <v>43</v>
      </c>
      <c r="E157" s="81"/>
      <c r="F157" s="164">
        <v>45</v>
      </c>
      <c r="G157" s="165">
        <f t="shared" si="62"/>
        <v>4.6511627906976827E-2</v>
      </c>
      <c r="H157" s="120">
        <v>47</v>
      </c>
      <c r="I157" s="191">
        <f t="shared" si="63"/>
        <v>9.3023255813953432E-2</v>
      </c>
      <c r="J157" s="151">
        <v>48.25</v>
      </c>
      <c r="K157" s="191">
        <f t="shared" si="64"/>
        <v>0.12209302325581395</v>
      </c>
      <c r="L157" s="151">
        <v>49</v>
      </c>
      <c r="M157" s="191">
        <f t="shared" si="65"/>
        <v>0.13953488372093026</v>
      </c>
      <c r="N157" s="151">
        <v>51</v>
      </c>
      <c r="O157" s="191">
        <f t="shared" si="66"/>
        <v>0.18604651162790709</v>
      </c>
      <c r="P157"/>
      <c r="Q157" s="92"/>
      <c r="R157" s="92"/>
      <c r="S157" s="92"/>
      <c r="T157" s="92"/>
      <c r="U157" s="92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</row>
    <row r="158" spans="1:88" s="6" customFormat="1">
      <c r="A158" s="34"/>
      <c r="B158" s="215" t="s">
        <v>77</v>
      </c>
      <c r="C158" s="138">
        <f t="shared" si="67"/>
        <v>53.271028037383175</v>
      </c>
      <c r="D158" s="139">
        <v>57</v>
      </c>
      <c r="E158" s="81"/>
      <c r="F158" s="164">
        <v>60</v>
      </c>
      <c r="G158" s="165">
        <f t="shared" si="62"/>
        <v>5.2631578947368363E-2</v>
      </c>
      <c r="H158" s="120">
        <v>62</v>
      </c>
      <c r="I158" s="191">
        <f t="shared" si="63"/>
        <v>8.7719298245614086E-2</v>
      </c>
      <c r="J158" s="151">
        <v>64</v>
      </c>
      <c r="K158" s="191">
        <f t="shared" si="64"/>
        <v>0.12280701754385959</v>
      </c>
      <c r="L158" s="151">
        <v>65.5</v>
      </c>
      <c r="M158" s="191">
        <f t="shared" si="65"/>
        <v>0.14912280701754388</v>
      </c>
      <c r="N158" s="151">
        <v>68</v>
      </c>
      <c r="O158" s="191">
        <f t="shared" si="66"/>
        <v>0.19298245614035081</v>
      </c>
      <c r="P158"/>
      <c r="Q158" s="92"/>
      <c r="R158" s="92"/>
      <c r="S158" s="92"/>
      <c r="T158" s="92"/>
      <c r="U158" s="92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</row>
    <row r="159" spans="1:88" s="6" customFormat="1">
      <c r="A159" s="34"/>
      <c r="B159" s="215" t="s">
        <v>78</v>
      </c>
      <c r="C159" s="138">
        <f t="shared" si="67"/>
        <v>45.794392523364486</v>
      </c>
      <c r="D159" s="139">
        <v>49</v>
      </c>
      <c r="E159" s="81"/>
      <c r="F159" s="164">
        <v>52</v>
      </c>
      <c r="G159" s="165">
        <f t="shared" si="62"/>
        <v>6.1224489795918435E-2</v>
      </c>
      <c r="H159" s="120">
        <v>53.5</v>
      </c>
      <c r="I159" s="191">
        <f t="shared" si="63"/>
        <v>9.1836734693877542E-2</v>
      </c>
      <c r="J159" s="151">
        <v>55</v>
      </c>
      <c r="K159" s="191">
        <f t="shared" si="64"/>
        <v>0.12244897959183665</v>
      </c>
      <c r="L159" s="151">
        <v>56.5</v>
      </c>
      <c r="M159" s="191">
        <f t="shared" si="65"/>
        <v>0.15306122448979598</v>
      </c>
      <c r="N159" s="151">
        <v>59</v>
      </c>
      <c r="O159" s="191">
        <f t="shared" si="66"/>
        <v>0.20408163265306123</v>
      </c>
      <c r="P159"/>
      <c r="Q159" s="92"/>
      <c r="R159" s="92"/>
      <c r="S159" s="92"/>
      <c r="T159" s="92"/>
      <c r="U159" s="92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</row>
    <row r="160" spans="1:88" s="6" customFormat="1">
      <c r="A160" s="34"/>
      <c r="B160" s="215" t="s">
        <v>79</v>
      </c>
      <c r="C160" s="138">
        <f t="shared" si="67"/>
        <v>40.186915887850468</v>
      </c>
      <c r="D160" s="139">
        <v>43</v>
      </c>
      <c r="E160" s="81"/>
      <c r="F160" s="164">
        <v>45</v>
      </c>
      <c r="G160" s="165">
        <f t="shared" si="62"/>
        <v>4.6511627906976827E-2</v>
      </c>
      <c r="H160" s="120">
        <v>47</v>
      </c>
      <c r="I160" s="191">
        <f t="shared" si="63"/>
        <v>9.3023255813953432E-2</v>
      </c>
      <c r="J160" s="151">
        <v>48.5</v>
      </c>
      <c r="K160" s="191">
        <f t="shared" si="64"/>
        <v>0.12790697674418605</v>
      </c>
      <c r="L160" s="151">
        <v>49.5</v>
      </c>
      <c r="M160" s="191">
        <f t="shared" si="65"/>
        <v>0.15116279069767447</v>
      </c>
      <c r="N160" s="151">
        <v>52</v>
      </c>
      <c r="O160" s="191">
        <f t="shared" si="66"/>
        <v>0.20930232558139528</v>
      </c>
      <c r="P160"/>
      <c r="Q160" s="92"/>
      <c r="R160" s="92"/>
      <c r="S160" s="92"/>
      <c r="T160" s="92"/>
      <c r="U160" s="92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</row>
    <row r="161" spans="1:88" s="6" customFormat="1">
      <c r="A161" s="34" t="s">
        <v>61</v>
      </c>
      <c r="B161" s="215" t="s">
        <v>62</v>
      </c>
      <c r="C161" s="138">
        <f t="shared" si="67"/>
        <v>57.943925233644855</v>
      </c>
      <c r="D161" s="139">
        <v>62</v>
      </c>
      <c r="E161" s="81"/>
      <c r="F161" s="164">
        <v>65</v>
      </c>
      <c r="G161" s="165">
        <f t="shared" si="62"/>
        <v>4.8387096774193505E-2</v>
      </c>
      <c r="H161" s="120">
        <v>68</v>
      </c>
      <c r="I161" s="191">
        <f t="shared" si="63"/>
        <v>9.6774193548387011E-2</v>
      </c>
      <c r="J161" s="151">
        <v>70</v>
      </c>
      <c r="K161" s="191">
        <f t="shared" si="64"/>
        <v>0.12903225806451624</v>
      </c>
      <c r="L161" s="151">
        <v>72</v>
      </c>
      <c r="M161" s="191">
        <f t="shared" si="65"/>
        <v>0.16129032258064524</v>
      </c>
      <c r="N161" s="151">
        <v>75</v>
      </c>
      <c r="O161" s="191">
        <f t="shared" si="66"/>
        <v>0.20967741935483875</v>
      </c>
      <c r="P161"/>
      <c r="Q161" s="92"/>
      <c r="R161" s="92"/>
      <c r="S161" s="92"/>
      <c r="T161" s="92"/>
      <c r="U161" s="92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</row>
    <row r="162" spans="1:88" s="6" customFormat="1">
      <c r="A162" s="34" t="s">
        <v>61</v>
      </c>
      <c r="B162" s="215" t="s">
        <v>82</v>
      </c>
      <c r="C162" s="138">
        <f t="shared" si="67"/>
        <v>48.598130841121495</v>
      </c>
      <c r="D162" s="139">
        <v>52</v>
      </c>
      <c r="E162" s="81"/>
      <c r="F162" s="164">
        <v>54.25</v>
      </c>
      <c r="G162" s="165">
        <f t="shared" si="62"/>
        <v>4.3269230769230838E-2</v>
      </c>
      <c r="H162" s="120">
        <v>57</v>
      </c>
      <c r="I162" s="191">
        <f t="shared" si="63"/>
        <v>9.6153846153846256E-2</v>
      </c>
      <c r="J162" s="151">
        <v>58.5</v>
      </c>
      <c r="K162" s="191">
        <f t="shared" si="64"/>
        <v>0.125</v>
      </c>
      <c r="L162" s="151">
        <v>60.5</v>
      </c>
      <c r="M162" s="191">
        <f t="shared" si="65"/>
        <v>0.16346153846153855</v>
      </c>
      <c r="N162" s="151">
        <v>63</v>
      </c>
      <c r="O162" s="191">
        <f t="shared" si="66"/>
        <v>0.21153846153846145</v>
      </c>
      <c r="P162"/>
      <c r="Q162" s="92"/>
      <c r="R162" s="92"/>
      <c r="S162" s="92"/>
      <c r="T162" s="92"/>
      <c r="U162" s="9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</row>
    <row r="163" spans="1:88" s="6" customFormat="1">
      <c r="A163" s="34"/>
      <c r="B163" s="215" t="s">
        <v>13</v>
      </c>
      <c r="C163" s="138">
        <f t="shared" si="67"/>
        <v>144.85981308411215</v>
      </c>
      <c r="D163" s="139">
        <v>155</v>
      </c>
      <c r="E163" s="81"/>
      <c r="F163" s="164">
        <v>172</v>
      </c>
      <c r="G163" s="165">
        <f t="shared" si="62"/>
        <v>0.10967741935483866</v>
      </c>
      <c r="H163" s="120">
        <v>177</v>
      </c>
      <c r="I163" s="191">
        <f t="shared" si="63"/>
        <v>0.14193548387096766</v>
      </c>
      <c r="J163" s="151">
        <v>182</v>
      </c>
      <c r="K163" s="191">
        <f t="shared" si="64"/>
        <v>0.17419354838709666</v>
      </c>
      <c r="L163" s="151">
        <v>190</v>
      </c>
      <c r="M163" s="191">
        <f t="shared" si="65"/>
        <v>0.22580645161290325</v>
      </c>
      <c r="N163" s="151">
        <v>199</v>
      </c>
      <c r="O163" s="191">
        <f t="shared" si="66"/>
        <v>0.28387096774193554</v>
      </c>
      <c r="P163"/>
      <c r="Q163" s="92"/>
      <c r="R163" s="92"/>
      <c r="S163" s="92"/>
      <c r="T163" s="92"/>
      <c r="U163" s="92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</row>
    <row r="164" spans="1:88">
      <c r="A164" s="77" t="s">
        <v>93</v>
      </c>
      <c r="B164" s="215" t="s">
        <v>12</v>
      </c>
      <c r="C164" s="216">
        <f t="shared" si="67"/>
        <v>5.8411214953271022</v>
      </c>
      <c r="D164" s="217">
        <v>6.25</v>
      </c>
      <c r="E164" s="69"/>
      <c r="F164" s="218">
        <v>6.5</v>
      </c>
      <c r="G164" s="219">
        <f t="shared" si="62"/>
        <v>4.0000000000000036E-2</v>
      </c>
      <c r="H164" s="220">
        <v>6.75</v>
      </c>
      <c r="I164" s="221">
        <f t="shared" si="63"/>
        <v>8.0000000000000071E-2</v>
      </c>
      <c r="J164" s="222">
        <v>7</v>
      </c>
      <c r="K164" s="221">
        <f t="shared" si="64"/>
        <v>0.12000000000000011</v>
      </c>
      <c r="L164" s="222">
        <v>7.25</v>
      </c>
      <c r="M164" s="221">
        <f t="shared" si="65"/>
        <v>0.15999999999999992</v>
      </c>
      <c r="N164" s="222">
        <v>7.5</v>
      </c>
      <c r="O164" s="221">
        <f t="shared" si="66"/>
        <v>0.19999999999999996</v>
      </c>
      <c r="Q164" s="92"/>
      <c r="R164" s="92"/>
      <c r="S164" s="92"/>
      <c r="T164" s="92"/>
      <c r="U164" s="92"/>
    </row>
    <row r="165" spans="1:88">
      <c r="A165" s="34"/>
      <c r="B165" s="215" t="s">
        <v>11</v>
      </c>
      <c r="C165" s="216">
        <f t="shared" si="67"/>
        <v>6.0747663551401869</v>
      </c>
      <c r="D165" s="217">
        <v>6.5</v>
      </c>
      <c r="E165" s="69"/>
      <c r="F165" s="218">
        <v>6.75</v>
      </c>
      <c r="G165" s="219">
        <f t="shared" si="62"/>
        <v>3.8461538461538547E-2</v>
      </c>
      <c r="H165" s="220">
        <v>7</v>
      </c>
      <c r="I165" s="221">
        <f t="shared" si="63"/>
        <v>7.6923076923076872E-2</v>
      </c>
      <c r="J165" s="222">
        <v>7.25</v>
      </c>
      <c r="K165" s="221">
        <f t="shared" si="64"/>
        <v>0.11538461538461542</v>
      </c>
      <c r="L165" s="222">
        <v>7.5</v>
      </c>
      <c r="M165" s="221">
        <f t="shared" si="65"/>
        <v>0.15384615384615374</v>
      </c>
      <c r="N165" s="222">
        <v>7.75</v>
      </c>
      <c r="O165" s="221">
        <f t="shared" si="66"/>
        <v>0.19230769230769229</v>
      </c>
      <c r="Q165" s="92"/>
      <c r="R165" s="92"/>
      <c r="S165" s="92"/>
      <c r="T165" s="92"/>
      <c r="U165" s="92"/>
    </row>
    <row r="166" spans="1:88">
      <c r="A166" s="32" t="s">
        <v>54</v>
      </c>
      <c r="B166" s="215" t="s">
        <v>10</v>
      </c>
      <c r="C166" s="216">
        <f t="shared" si="67"/>
        <v>52</v>
      </c>
      <c r="D166" s="217">
        <v>55.64</v>
      </c>
      <c r="E166" s="69"/>
      <c r="F166" s="218">
        <v>58</v>
      </c>
      <c r="G166" s="219">
        <f t="shared" si="62"/>
        <v>4.2415528396836821E-2</v>
      </c>
      <c r="H166" s="220">
        <v>59.5</v>
      </c>
      <c r="I166" s="221">
        <f t="shared" si="63"/>
        <v>6.9374550682961944E-2</v>
      </c>
      <c r="J166" s="222">
        <v>61</v>
      </c>
      <c r="K166" s="221">
        <f t="shared" si="64"/>
        <v>9.6333572969087067E-2</v>
      </c>
      <c r="L166" s="222">
        <v>64</v>
      </c>
      <c r="M166" s="221">
        <f t="shared" si="65"/>
        <v>0.15025161754133709</v>
      </c>
      <c r="N166" s="222">
        <v>67</v>
      </c>
      <c r="O166" s="221">
        <f t="shared" si="66"/>
        <v>0.20416966211358734</v>
      </c>
      <c r="Q166" s="92"/>
      <c r="R166" s="92"/>
      <c r="S166" s="92"/>
      <c r="T166" s="92"/>
      <c r="U166" s="92"/>
    </row>
    <row r="167" spans="1:88">
      <c r="A167" s="33" t="s">
        <v>52</v>
      </c>
      <c r="B167" s="215" t="s">
        <v>10</v>
      </c>
      <c r="C167" s="216">
        <f t="shared" si="67"/>
        <v>32.710280373831772</v>
      </c>
      <c r="D167" s="217">
        <v>35</v>
      </c>
      <c r="E167" s="69"/>
      <c r="F167" s="218">
        <v>36.5</v>
      </c>
      <c r="G167" s="219">
        <f t="shared" si="62"/>
        <v>4.2857142857142927E-2</v>
      </c>
      <c r="H167" s="220">
        <v>37.5</v>
      </c>
      <c r="I167" s="221">
        <f t="shared" si="63"/>
        <v>7.1428571428571397E-2</v>
      </c>
      <c r="J167" s="222">
        <v>38.5</v>
      </c>
      <c r="K167" s="221">
        <f t="shared" si="64"/>
        <v>0.10000000000000009</v>
      </c>
      <c r="L167" s="222">
        <v>40.5</v>
      </c>
      <c r="M167" s="221">
        <f t="shared" si="65"/>
        <v>0.15714285714285725</v>
      </c>
      <c r="N167" s="222">
        <v>42</v>
      </c>
      <c r="O167" s="221">
        <f t="shared" si="66"/>
        <v>0.19999999999999996</v>
      </c>
      <c r="P167" t="s">
        <v>95</v>
      </c>
      <c r="Q167" s="92"/>
      <c r="R167" s="92"/>
      <c r="S167" s="92"/>
      <c r="T167" s="92"/>
      <c r="U167" s="92"/>
    </row>
    <row r="168" spans="1:88">
      <c r="A168" s="34" t="s">
        <v>95</v>
      </c>
      <c r="B168" s="215" t="s">
        <v>102</v>
      </c>
      <c r="C168" s="216"/>
      <c r="D168" s="217"/>
      <c r="E168" s="69"/>
      <c r="F168" s="218"/>
      <c r="G168" s="219" t="e">
        <f t="shared" si="62"/>
        <v>#DIV/0!</v>
      </c>
      <c r="H168" s="220"/>
      <c r="I168" s="221" t="e">
        <f t="shared" si="63"/>
        <v>#DIV/0!</v>
      </c>
      <c r="J168" s="222"/>
      <c r="K168" s="221" t="e">
        <f t="shared" si="64"/>
        <v>#DIV/0!</v>
      </c>
      <c r="L168" s="222"/>
      <c r="M168" s="221" t="e">
        <f t="shared" si="65"/>
        <v>#DIV/0!</v>
      </c>
      <c r="N168" s="222"/>
      <c r="O168" s="221" t="e">
        <f t="shared" si="66"/>
        <v>#DIV/0!</v>
      </c>
      <c r="Q168" s="92"/>
      <c r="R168" s="92"/>
      <c r="S168" s="92"/>
      <c r="T168" s="92"/>
      <c r="U168" s="92"/>
    </row>
    <row r="169" spans="1:88" ht="17.25" customHeight="1">
      <c r="A169" s="34" t="s">
        <v>110</v>
      </c>
      <c r="B169" s="215" t="s">
        <v>103</v>
      </c>
      <c r="C169" s="216">
        <f t="shared" si="67"/>
        <v>44.999999999999993</v>
      </c>
      <c r="D169" s="217">
        <v>48.15</v>
      </c>
      <c r="E169" s="69"/>
      <c r="F169" s="218">
        <v>51</v>
      </c>
      <c r="G169" s="219">
        <f t="shared" si="62"/>
        <v>5.9190031152648093E-2</v>
      </c>
      <c r="H169" s="220">
        <v>52</v>
      </c>
      <c r="I169" s="221">
        <f t="shared" si="63"/>
        <v>7.9958463136033275E-2</v>
      </c>
      <c r="J169" s="222">
        <v>53</v>
      </c>
      <c r="K169" s="221">
        <f t="shared" si="64"/>
        <v>0.10072689511941846</v>
      </c>
      <c r="L169" s="222">
        <v>55.5</v>
      </c>
      <c r="M169" s="221">
        <f t="shared" si="65"/>
        <v>0.15264797507788175</v>
      </c>
      <c r="N169" s="222">
        <v>58</v>
      </c>
      <c r="O169" s="221">
        <f t="shared" si="66"/>
        <v>0.20456905503634482</v>
      </c>
      <c r="Q169" s="92"/>
      <c r="R169" s="92"/>
      <c r="S169" s="92"/>
      <c r="T169" s="92"/>
      <c r="U169" s="92"/>
    </row>
    <row r="170" spans="1:88" ht="15.6" customHeight="1">
      <c r="A170" s="34"/>
      <c r="B170" s="152" t="s">
        <v>56</v>
      </c>
      <c r="C170" s="138">
        <f t="shared" si="67"/>
        <v>420.56074766355135</v>
      </c>
      <c r="D170" s="139">
        <v>450</v>
      </c>
      <c r="E170" s="81"/>
      <c r="F170" s="164">
        <v>485</v>
      </c>
      <c r="G170" s="165">
        <f t="shared" si="62"/>
        <v>7.7777777777777724E-2</v>
      </c>
      <c r="H170" s="120">
        <v>520</v>
      </c>
      <c r="I170" s="191">
        <f>H170/$D170-1</f>
        <v>0.15555555555555545</v>
      </c>
      <c r="J170" s="120">
        <v>550</v>
      </c>
      <c r="K170" s="191">
        <f t="shared" si="64"/>
        <v>0.22222222222222232</v>
      </c>
      <c r="L170" s="120">
        <v>570</v>
      </c>
      <c r="M170" s="191">
        <f t="shared" si="65"/>
        <v>0.26666666666666661</v>
      </c>
      <c r="N170" s="120">
        <v>590</v>
      </c>
      <c r="O170" s="191">
        <f t="shared" si="66"/>
        <v>0.31111111111111112</v>
      </c>
      <c r="P170" s="57" t="s">
        <v>63</v>
      </c>
      <c r="Q170" s="93"/>
      <c r="R170" s="92"/>
      <c r="S170" s="92"/>
      <c r="T170" s="92"/>
      <c r="U170" s="92"/>
    </row>
    <row r="171" spans="1:88">
      <c r="A171" s="34"/>
      <c r="B171" s="215" t="s">
        <v>9</v>
      </c>
      <c r="C171" s="216">
        <f>D171/1.07</f>
        <v>24.299999999999997</v>
      </c>
      <c r="D171" s="217">
        <v>26.000999999999998</v>
      </c>
      <c r="E171" s="69"/>
      <c r="F171" s="218">
        <v>27.25</v>
      </c>
      <c r="G171" s="219">
        <f t="shared" si="62"/>
        <v>4.80366139763857E-2</v>
      </c>
      <c r="H171" s="220">
        <v>28.5</v>
      </c>
      <c r="I171" s="221">
        <f t="shared" si="63"/>
        <v>9.6111688011999652E-2</v>
      </c>
      <c r="J171" s="220">
        <v>30</v>
      </c>
      <c r="K171" s="221">
        <f t="shared" si="64"/>
        <v>0.15380177685473639</v>
      </c>
      <c r="L171" s="220">
        <v>31</v>
      </c>
      <c r="M171" s="221">
        <f t="shared" si="65"/>
        <v>0.19226183608322778</v>
      </c>
      <c r="N171" s="220">
        <v>32</v>
      </c>
      <c r="O171" s="221">
        <f t="shared" si="66"/>
        <v>0.23072189531171894</v>
      </c>
      <c r="Q171" s="92">
        <v>4.065040650406504E-2</v>
      </c>
      <c r="R171" s="92">
        <v>6.3492063492063489E-2</v>
      </c>
      <c r="S171" s="92">
        <v>0.2</v>
      </c>
      <c r="T171" s="92">
        <v>0.3</v>
      </c>
      <c r="U171" s="92">
        <v>0.5</v>
      </c>
    </row>
    <row r="172" spans="1:88">
      <c r="A172" s="34"/>
      <c r="B172" s="215" t="s">
        <v>8</v>
      </c>
      <c r="C172" s="216">
        <f t="shared" si="67"/>
        <v>44.999999999999993</v>
      </c>
      <c r="D172" s="217">
        <v>48.15</v>
      </c>
      <c r="E172" s="69"/>
      <c r="F172" s="218">
        <v>50.25</v>
      </c>
      <c r="G172" s="219">
        <f t="shared" si="62"/>
        <v>4.3613707165109039E-2</v>
      </c>
      <c r="H172" s="220">
        <v>53</v>
      </c>
      <c r="I172" s="221">
        <f t="shared" si="63"/>
        <v>0.10072689511941846</v>
      </c>
      <c r="J172" s="220">
        <v>56</v>
      </c>
      <c r="K172" s="221">
        <f t="shared" si="64"/>
        <v>0.16303219106957423</v>
      </c>
      <c r="L172" s="220">
        <v>58</v>
      </c>
      <c r="M172" s="221">
        <f t="shared" si="65"/>
        <v>0.20456905503634482</v>
      </c>
      <c r="N172" s="220">
        <v>60</v>
      </c>
      <c r="O172" s="221">
        <f t="shared" si="66"/>
        <v>0.2461059190031154</v>
      </c>
      <c r="Q172" s="92"/>
      <c r="R172" s="92"/>
      <c r="S172" s="92"/>
      <c r="T172" s="92"/>
      <c r="U172" s="92"/>
    </row>
    <row r="173" spans="1:88">
      <c r="A173" s="34"/>
      <c r="B173" s="215" t="s">
        <v>7</v>
      </c>
      <c r="C173" s="216">
        <f t="shared" si="67"/>
        <v>100.35</v>
      </c>
      <c r="D173" s="217">
        <v>107.3745</v>
      </c>
      <c r="E173" s="69"/>
      <c r="F173" s="218">
        <v>112</v>
      </c>
      <c r="G173" s="219">
        <f t="shared" si="62"/>
        <v>4.3078198268676537E-2</v>
      </c>
      <c r="H173" s="220">
        <v>118</v>
      </c>
      <c r="I173" s="221">
        <f t="shared" si="63"/>
        <v>9.89573874616414E-2</v>
      </c>
      <c r="J173" s="220">
        <v>125</v>
      </c>
      <c r="K173" s="221">
        <f t="shared" si="64"/>
        <v>0.16414977485343352</v>
      </c>
      <c r="L173" s="220">
        <v>130</v>
      </c>
      <c r="M173" s="221">
        <f t="shared" si="65"/>
        <v>0.2107157658475709</v>
      </c>
      <c r="N173" s="220">
        <v>135</v>
      </c>
      <c r="O173" s="221">
        <f t="shared" si="66"/>
        <v>0.25728175684170829</v>
      </c>
      <c r="Q173" s="92"/>
      <c r="R173" s="92"/>
      <c r="S173" s="92"/>
      <c r="T173" s="92"/>
      <c r="U173" s="92"/>
    </row>
    <row r="174" spans="1:88" ht="15" thickBot="1">
      <c r="B174" s="223" t="s">
        <v>131</v>
      </c>
      <c r="C174" s="224">
        <f t="shared" si="67"/>
        <v>40.607476635514018</v>
      </c>
      <c r="D174" s="225">
        <v>43.45</v>
      </c>
      <c r="E174" s="223"/>
      <c r="F174" s="226">
        <v>46</v>
      </c>
      <c r="G174" s="227">
        <f t="shared" si="62"/>
        <v>5.8688147295742121E-2</v>
      </c>
      <c r="H174" s="228">
        <v>48</v>
      </c>
      <c r="I174" s="229">
        <f>H174/$D174-1</f>
        <v>0.10471806674338313</v>
      </c>
      <c r="J174" s="228">
        <v>50</v>
      </c>
      <c r="K174" s="230">
        <f t="shared" si="64"/>
        <v>0.15074798619102414</v>
      </c>
      <c r="L174" s="231">
        <v>52</v>
      </c>
      <c r="M174" s="230">
        <f t="shared" si="65"/>
        <v>0.19677790563866515</v>
      </c>
      <c r="N174" s="228">
        <v>54</v>
      </c>
      <c r="O174" s="230">
        <f t="shared" si="66"/>
        <v>0.24280782508630594</v>
      </c>
    </row>
  </sheetData>
  <mergeCells count="10">
    <mergeCell ref="F7:I7"/>
    <mergeCell ref="J7:M7"/>
    <mergeCell ref="N7:O7"/>
    <mergeCell ref="Y7:AH7"/>
    <mergeCell ref="N3:O3"/>
    <mergeCell ref="F6:G6"/>
    <mergeCell ref="H6:I6"/>
    <mergeCell ref="J6:K6"/>
    <mergeCell ref="L6:M6"/>
    <mergeCell ref="N6:O6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811D-049B-4DE2-912C-46FE05D41C4C}">
  <dimension ref="A1:CJ174"/>
  <sheetViews>
    <sheetView zoomScale="85" zoomScaleNormal="85" workbookViewId="0">
      <pane ySplit="7" topLeftCell="A97" activePane="bottomLeft" state="frozen"/>
      <selection pane="bottomLeft" activeCell="B105" sqref="B105:B107"/>
    </sheetView>
  </sheetViews>
  <sheetFormatPr defaultRowHeight="14.4"/>
  <cols>
    <col min="1" max="1" width="8.6640625" customWidth="1"/>
    <col min="2" max="2" width="36.77734375" customWidth="1"/>
    <col min="3" max="4" width="8" customWidth="1"/>
    <col min="5" max="5" width="4.109375" customWidth="1"/>
    <col min="6" max="7" width="8.5546875" style="160" customWidth="1"/>
    <col min="8" max="8" width="8.33203125" customWidth="1"/>
    <col min="9" max="9" width="8.6640625" customWidth="1"/>
    <col min="10" max="10" width="8.33203125" style="18" customWidth="1"/>
    <col min="11" max="11" width="8.6640625" style="18" customWidth="1"/>
    <col min="12" max="12" width="8.33203125" style="1" customWidth="1"/>
    <col min="13" max="15" width="8.33203125" style="18" customWidth="1"/>
    <col min="16" max="16" width="10.109375" customWidth="1"/>
    <col min="17" max="17" width="7.5546875" customWidth="1"/>
    <col min="18" max="21" width="7.44140625" style="23" customWidth="1"/>
    <col min="22" max="22" width="7.44140625" customWidth="1"/>
    <col min="23" max="23" width="4.6640625" customWidth="1"/>
    <col min="25" max="30" width="7.5546875" customWidth="1"/>
  </cols>
  <sheetData>
    <row r="1" spans="1:88">
      <c r="Q1" s="88" t="s">
        <v>116</v>
      </c>
      <c r="R1" s="89" t="s">
        <v>123</v>
      </c>
      <c r="S1" s="86" t="s">
        <v>117</v>
      </c>
      <c r="T1" s="86" t="s">
        <v>118</v>
      </c>
      <c r="U1" s="86" t="s">
        <v>119</v>
      </c>
      <c r="V1" s="86" t="s">
        <v>120</v>
      </c>
      <c r="Y1" s="88" t="s">
        <v>116</v>
      </c>
      <c r="Z1" s="156" t="s">
        <v>123</v>
      </c>
      <c r="AA1" s="86" t="s">
        <v>117</v>
      </c>
      <c r="AB1" s="86" t="s">
        <v>118</v>
      </c>
      <c r="AC1" s="86" t="s">
        <v>119</v>
      </c>
      <c r="AD1" s="86" t="s">
        <v>120</v>
      </c>
    </row>
    <row r="2" spans="1:88" ht="36.6">
      <c r="A2" s="11" t="s">
        <v>0</v>
      </c>
      <c r="C2" s="112" t="s">
        <v>130</v>
      </c>
      <c r="D2" s="6"/>
      <c r="E2" s="6"/>
      <c r="L2" s="35" t="s">
        <v>1</v>
      </c>
      <c r="N2" s="187"/>
      <c r="O2" s="35"/>
      <c r="P2" s="99" t="s">
        <v>52</v>
      </c>
      <c r="Q2" s="106">
        <v>30.25</v>
      </c>
      <c r="R2" s="153">
        <v>32</v>
      </c>
      <c r="S2" s="158">
        <v>38</v>
      </c>
      <c r="T2" s="158">
        <v>39</v>
      </c>
      <c r="U2" s="158">
        <v>40</v>
      </c>
      <c r="V2" s="158">
        <v>41</v>
      </c>
      <c r="X2" s="99" t="s">
        <v>53</v>
      </c>
      <c r="Y2" s="106">
        <v>30.25</v>
      </c>
      <c r="Z2" s="153">
        <v>32</v>
      </c>
      <c r="AA2" s="158">
        <v>38</v>
      </c>
      <c r="AB2" s="158">
        <v>39</v>
      </c>
      <c r="AC2" s="158">
        <v>40</v>
      </c>
      <c r="AD2" s="158">
        <v>41</v>
      </c>
    </row>
    <row r="3" spans="1:88" ht="24.6">
      <c r="A3" s="12" t="s">
        <v>2</v>
      </c>
      <c r="B3" s="2" t="s">
        <v>3</v>
      </c>
      <c r="C3" s="113" t="s">
        <v>52</v>
      </c>
      <c r="D3" s="112" t="s">
        <v>139</v>
      </c>
      <c r="E3" s="6"/>
      <c r="L3" s="36" t="s">
        <v>4</v>
      </c>
      <c r="N3" s="238">
        <v>46158</v>
      </c>
      <c r="O3" s="238"/>
      <c r="Q3" s="86" t="s">
        <v>121</v>
      </c>
      <c r="R3" s="99">
        <f>R2-Q2</f>
        <v>1.75</v>
      </c>
      <c r="S3" s="104">
        <f>S2-Q2</f>
        <v>7.75</v>
      </c>
      <c r="T3" s="104">
        <f>T2-Q2</f>
        <v>8.75</v>
      </c>
      <c r="U3" s="104">
        <f>U2-Q2</f>
        <v>9.75</v>
      </c>
      <c r="V3" s="104">
        <f>V2-Q2</f>
        <v>10.75</v>
      </c>
      <c r="Y3" s="86" t="s">
        <v>121</v>
      </c>
      <c r="Z3" s="154">
        <f>Z2-Y2</f>
        <v>1.75</v>
      </c>
      <c r="AA3" s="104">
        <f>AA2-Y2</f>
        <v>7.75</v>
      </c>
      <c r="AB3" s="104">
        <f>AB2-Y2</f>
        <v>8.75</v>
      </c>
      <c r="AC3" s="104">
        <f>AC2-Y2</f>
        <v>9.75</v>
      </c>
      <c r="AD3" s="104">
        <f>AD2-Y2</f>
        <v>10.75</v>
      </c>
    </row>
    <row r="4" spans="1:88" ht="24.6">
      <c r="A4" s="12" t="s">
        <v>5</v>
      </c>
      <c r="B4" s="2" t="s">
        <v>138</v>
      </c>
      <c r="C4" s="113" t="s">
        <v>53</v>
      </c>
      <c r="D4" s="112" t="s">
        <v>139</v>
      </c>
      <c r="E4" s="6"/>
      <c r="Q4" s="86" t="s">
        <v>122</v>
      </c>
      <c r="R4" s="155">
        <f>R3/R2</f>
        <v>5.46875E-2</v>
      </c>
      <c r="S4" s="87">
        <f>S3/S2</f>
        <v>0.20394736842105263</v>
      </c>
      <c r="T4" s="87">
        <f t="shared" ref="T4:U4" si="0">T3/T2</f>
        <v>0.22435897435897437</v>
      </c>
      <c r="U4" s="87">
        <f t="shared" si="0"/>
        <v>0.24374999999999999</v>
      </c>
      <c r="V4" s="87">
        <f>V3/V2</f>
        <v>0.26219512195121952</v>
      </c>
      <c r="Y4" s="86" t="s">
        <v>122</v>
      </c>
      <c r="Z4" s="155">
        <f>Z3/Z2</f>
        <v>5.46875E-2</v>
      </c>
      <c r="AA4" s="87">
        <f>AA3/AA2</f>
        <v>0.20394736842105263</v>
      </c>
      <c r="AB4" s="87">
        <f t="shared" ref="AB4:AD4" si="1">AB3/AB2</f>
        <v>0.22435897435897437</v>
      </c>
      <c r="AC4" s="87">
        <f t="shared" si="1"/>
        <v>0.24374999999999999</v>
      </c>
      <c r="AD4" s="87">
        <f t="shared" si="1"/>
        <v>0.26219512195121952</v>
      </c>
    </row>
    <row r="5" spans="1:88" ht="6.75" customHeight="1">
      <c r="A5" s="13"/>
      <c r="B5" s="3"/>
      <c r="C5" s="3"/>
      <c r="D5" s="3"/>
      <c r="E5" s="3"/>
      <c r="F5" s="161"/>
      <c r="G5" s="161"/>
      <c r="H5" s="3"/>
      <c r="I5" s="3"/>
      <c r="J5" s="188"/>
      <c r="K5" s="188"/>
      <c r="L5" s="4"/>
      <c r="M5" s="188"/>
      <c r="N5" s="188"/>
      <c r="O5" s="188"/>
      <c r="P5" s="5"/>
      <c r="Q5" s="85"/>
    </row>
    <row r="6" spans="1:88" ht="28.2" customHeight="1">
      <c r="A6" s="12"/>
      <c r="F6" s="239" t="s">
        <v>50</v>
      </c>
      <c r="G6" s="239"/>
      <c r="H6" s="240" t="s">
        <v>112</v>
      </c>
      <c r="I6" s="240"/>
      <c r="J6" s="241" t="s">
        <v>113</v>
      </c>
      <c r="K6" s="241"/>
      <c r="L6" s="241" t="s">
        <v>115</v>
      </c>
      <c r="M6" s="241"/>
      <c r="N6" s="241" t="s">
        <v>114</v>
      </c>
      <c r="O6" s="241"/>
      <c r="P6" s="85"/>
      <c r="Q6" s="85"/>
      <c r="S6" s="157" t="s">
        <v>137</v>
      </c>
      <c r="X6" s="90"/>
      <c r="AH6" s="90"/>
    </row>
    <row r="7" spans="1:88" ht="40.200000000000003" customHeight="1" thickBot="1">
      <c r="A7" s="12"/>
      <c r="B7" s="25" t="s">
        <v>48</v>
      </c>
      <c r="C7" s="20" t="s">
        <v>6</v>
      </c>
      <c r="D7" s="20" t="s">
        <v>129</v>
      </c>
      <c r="E7" s="20"/>
      <c r="F7" s="236" t="s">
        <v>126</v>
      </c>
      <c r="G7" s="236"/>
      <c r="H7" s="236"/>
      <c r="I7" s="236"/>
      <c r="J7" s="236" t="s">
        <v>127</v>
      </c>
      <c r="K7" s="236"/>
      <c r="L7" s="236"/>
      <c r="M7" s="236"/>
      <c r="N7" s="236" t="s">
        <v>128</v>
      </c>
      <c r="O7" s="236"/>
      <c r="P7" t="s">
        <v>57</v>
      </c>
      <c r="Q7" s="90" t="s">
        <v>50</v>
      </c>
      <c r="R7" s="91" t="s">
        <v>112</v>
      </c>
      <c r="S7" s="91" t="s">
        <v>113</v>
      </c>
      <c r="T7" s="91" t="s">
        <v>114</v>
      </c>
      <c r="U7" s="91" t="s">
        <v>115</v>
      </c>
      <c r="X7" s="107"/>
      <c r="Y7" s="237"/>
      <c r="Z7" s="237"/>
      <c r="AA7" s="237"/>
      <c r="AB7" s="237"/>
      <c r="AC7" s="237"/>
      <c r="AD7" s="237"/>
      <c r="AE7" s="237"/>
      <c r="AF7" s="237"/>
      <c r="AG7" s="237"/>
      <c r="AH7" s="237"/>
    </row>
    <row r="8" spans="1:88" ht="24.75" customHeight="1" thickBot="1">
      <c r="A8" s="14"/>
      <c r="B8" s="47" t="s">
        <v>125</v>
      </c>
      <c r="C8" s="9"/>
      <c r="H8" s="7"/>
      <c r="I8" s="7"/>
      <c r="L8" s="10"/>
      <c r="M8" s="232"/>
      <c r="N8" s="232"/>
      <c r="O8" s="232"/>
      <c r="Q8" s="92">
        <v>4.065040650406504E-2</v>
      </c>
      <c r="R8" s="92">
        <v>7.0000000000000007E-2</v>
      </c>
      <c r="S8" s="92">
        <v>0.13</v>
      </c>
      <c r="T8" s="92">
        <v>0.15</v>
      </c>
      <c r="U8" s="92">
        <v>0.17</v>
      </c>
      <c r="X8" s="110"/>
      <c r="Y8" s="90"/>
      <c r="Z8" s="86"/>
      <c r="AA8" s="90"/>
      <c r="AB8" s="86"/>
      <c r="AC8" s="90"/>
      <c r="AD8" s="86"/>
      <c r="AE8" s="90"/>
      <c r="AF8" s="86"/>
      <c r="AG8" s="90"/>
      <c r="AH8" s="86"/>
    </row>
    <row r="9" spans="1:88" s="6" customFormat="1" ht="19.2" customHeight="1">
      <c r="A9" s="70">
        <v>0.52500000000000002</v>
      </c>
      <c r="B9" s="116" t="s">
        <v>145</v>
      </c>
      <c r="C9" s="117">
        <f>D9/1.07</f>
        <v>14.842289719626169</v>
      </c>
      <c r="D9" s="118">
        <f>$Q$2*$A9</f>
        <v>15.881250000000001</v>
      </c>
      <c r="E9" s="81"/>
      <c r="F9" s="162">
        <v>16.75</v>
      </c>
      <c r="G9" s="163">
        <f>F9/$D9-1</f>
        <v>5.4702872884691001E-2</v>
      </c>
      <c r="H9" s="119">
        <v>19.25</v>
      </c>
      <c r="I9" s="190">
        <f>H9/$D9-1</f>
        <v>0.21212121212121193</v>
      </c>
      <c r="J9" s="119">
        <v>19.75</v>
      </c>
      <c r="K9" s="190">
        <f>J9/$D9-1</f>
        <v>0.24360487996851621</v>
      </c>
      <c r="L9" s="119">
        <v>20</v>
      </c>
      <c r="M9" s="190">
        <f>L9/$D9-1</f>
        <v>0.25934671389216835</v>
      </c>
      <c r="N9" s="119">
        <v>20.5</v>
      </c>
      <c r="O9" s="190">
        <f>N9/$D9-1</f>
        <v>0.29083038173947262</v>
      </c>
      <c r="P9"/>
      <c r="Q9" s="18">
        <f>R2*A9</f>
        <v>16.8</v>
      </c>
      <c r="R9" s="18">
        <f>S2*A9</f>
        <v>19.95</v>
      </c>
      <c r="S9" s="18">
        <f>T2*A9</f>
        <v>20.475000000000001</v>
      </c>
      <c r="T9" s="18">
        <f>U2*A9</f>
        <v>21</v>
      </c>
      <c r="U9" s="18">
        <f>V2*A9</f>
        <v>21.525000000000002</v>
      </c>
      <c r="V9" s="55"/>
      <c r="W9"/>
      <c r="X9" s="104"/>
      <c r="Y9" s="108"/>
      <c r="Z9" s="108"/>
      <c r="AA9" s="108"/>
      <c r="AB9" s="109"/>
      <c r="AC9" s="108"/>
      <c r="AD9" s="109"/>
      <c r="AE9" s="108"/>
      <c r="AF9" s="109"/>
      <c r="AG9" s="108"/>
      <c r="AH9" s="10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</row>
    <row r="10" spans="1:88" s="6" customFormat="1">
      <c r="A10" s="70">
        <v>0.57499999999999996</v>
      </c>
      <c r="B10" s="137" t="s">
        <v>146</v>
      </c>
      <c r="C10" s="138">
        <f>D10/1.07</f>
        <v>16.255841121495322</v>
      </c>
      <c r="D10" s="139">
        <f>$Q$2*$A10</f>
        <v>17.393749999999997</v>
      </c>
      <c r="E10" s="69"/>
      <c r="F10" s="164">
        <v>18.25</v>
      </c>
      <c r="G10" s="165">
        <f>F10/$D10-1</f>
        <v>4.9227452389507986E-2</v>
      </c>
      <c r="H10" s="120">
        <v>21</v>
      </c>
      <c r="I10" s="191">
        <f t="shared" ref="I10:I17" si="2">H10/$D10-1</f>
        <v>0.20733021918792693</v>
      </c>
      <c r="J10" s="120">
        <v>21.5</v>
      </c>
      <c r="K10" s="191">
        <f t="shared" ref="K10:K17" si="3">J10/$D10-1</f>
        <v>0.23607617678763937</v>
      </c>
      <c r="L10" s="120">
        <v>21.75</v>
      </c>
      <c r="M10" s="191">
        <f>L10/$D10-1</f>
        <v>0.2504491555874957</v>
      </c>
      <c r="N10" s="120">
        <v>22.25</v>
      </c>
      <c r="O10" s="191">
        <f t="shared" ref="O10:O17" si="4">N10/$D10-1</f>
        <v>0.27919511318720835</v>
      </c>
      <c r="P10"/>
      <c r="Q10" s="159">
        <f>R2*A10</f>
        <v>18.399999999999999</v>
      </c>
      <c r="R10" s="159">
        <f>S2*A10</f>
        <v>21.849999999999998</v>
      </c>
      <c r="S10" s="159">
        <f>T2*A10</f>
        <v>22.424999999999997</v>
      </c>
      <c r="T10" s="159">
        <f>U2*A10</f>
        <v>23</v>
      </c>
      <c r="U10" s="159">
        <f>V2*A10</f>
        <v>23.574999999999999</v>
      </c>
      <c r="V10" s="55"/>
      <c r="W10"/>
      <c r="X10" s="104"/>
      <c r="Y10" s="108"/>
      <c r="Z10" s="108"/>
      <c r="AA10" s="108"/>
      <c r="AB10" s="109"/>
      <c r="AC10" s="108"/>
      <c r="AD10" s="109"/>
      <c r="AE10" s="108"/>
      <c r="AF10" s="109"/>
      <c r="AG10" s="108"/>
      <c r="AH10" s="109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</row>
    <row r="11" spans="1:88" s="6" customFormat="1">
      <c r="A11" s="70">
        <v>0.625</v>
      </c>
      <c r="B11" s="137" t="s">
        <v>147</v>
      </c>
      <c r="C11" s="138">
        <f t="shared" ref="C11:C16" si="5">D11/1.07</f>
        <v>17.669392523364486</v>
      </c>
      <c r="D11" s="139">
        <f t="shared" ref="D11:D17" si="6">$Q$2*$A11</f>
        <v>18.90625</v>
      </c>
      <c r="E11" s="69"/>
      <c r="F11" s="164">
        <v>19.75</v>
      </c>
      <c r="G11" s="165">
        <f t="shared" ref="G11:G17" si="7">F11/$D11-1</f>
        <v>4.4628099173553704E-2</v>
      </c>
      <c r="H11" s="120">
        <v>22.75</v>
      </c>
      <c r="I11" s="191">
        <f t="shared" si="2"/>
        <v>0.20330578512396702</v>
      </c>
      <c r="J11" s="120">
        <v>23.25</v>
      </c>
      <c r="K11" s="191">
        <f t="shared" si="3"/>
        <v>0.22975206611570242</v>
      </c>
      <c r="L11" s="120">
        <v>23.75</v>
      </c>
      <c r="M11" s="191">
        <f>L11/$D11-1</f>
        <v>0.25619834710743805</v>
      </c>
      <c r="N11" s="120">
        <v>24.25</v>
      </c>
      <c r="O11" s="191">
        <f t="shared" si="4"/>
        <v>0.28264462809917346</v>
      </c>
      <c r="P11"/>
      <c r="Q11" s="159">
        <f>R2*A11</f>
        <v>20</v>
      </c>
      <c r="R11" s="159">
        <f>S2*A11</f>
        <v>23.75</v>
      </c>
      <c r="S11" s="159">
        <f>T2*A11</f>
        <v>24.375</v>
      </c>
      <c r="T11" s="159">
        <f>U2*A11</f>
        <v>25</v>
      </c>
      <c r="U11" s="159">
        <f>V2*A11</f>
        <v>25.625</v>
      </c>
      <c r="V11" s="55"/>
      <c r="W11"/>
      <c r="X11" s="104"/>
      <c r="Y11" s="108"/>
      <c r="Z11" s="108"/>
      <c r="AA11" s="108"/>
      <c r="AB11" s="109"/>
      <c r="AC11" s="108"/>
      <c r="AD11" s="109"/>
      <c r="AE11" s="108"/>
      <c r="AF11" s="109"/>
      <c r="AG11" s="108"/>
      <c r="AH11" s="109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1:88" s="6" customFormat="1">
      <c r="A12" s="70">
        <v>0.67500000000000004</v>
      </c>
      <c r="B12" s="137" t="s">
        <v>148</v>
      </c>
      <c r="C12" s="138">
        <f t="shared" si="5"/>
        <v>19.082943925233646</v>
      </c>
      <c r="D12" s="139">
        <f>$Q$2*$A12</f>
        <v>20.418750000000003</v>
      </c>
      <c r="E12" s="69"/>
      <c r="F12" s="164">
        <v>21.5</v>
      </c>
      <c r="G12" s="165">
        <f>F12/$D12-1</f>
        <v>5.295378022650743E-2</v>
      </c>
      <c r="H12" s="120">
        <v>24.75</v>
      </c>
      <c r="I12" s="191">
        <f t="shared" si="2"/>
        <v>0.21212121212121193</v>
      </c>
      <c r="J12" s="120">
        <v>25.25</v>
      </c>
      <c r="K12" s="191">
        <f t="shared" si="3"/>
        <v>0.23660850933578192</v>
      </c>
      <c r="L12" s="120">
        <v>25.75</v>
      </c>
      <c r="M12" s="191">
        <f>L12/$D12-1</f>
        <v>0.26109580655035192</v>
      </c>
      <c r="N12" s="120">
        <v>26.25</v>
      </c>
      <c r="O12" s="191">
        <f t="shared" si="4"/>
        <v>0.28558310376492169</v>
      </c>
      <c r="P12"/>
      <c r="Q12" s="159">
        <f>R2*A12</f>
        <v>21.6</v>
      </c>
      <c r="R12" s="159">
        <f>S2*A12</f>
        <v>25.650000000000002</v>
      </c>
      <c r="S12" s="159">
        <f>T2*A12</f>
        <v>26.325000000000003</v>
      </c>
      <c r="T12" s="159">
        <f>U2*A12</f>
        <v>27</v>
      </c>
      <c r="U12" s="159">
        <f>V2*A12</f>
        <v>27.675000000000001</v>
      </c>
      <c r="V12" s="55"/>
      <c r="W12"/>
      <c r="X12" s="104"/>
      <c r="Y12" s="108"/>
      <c r="Z12" s="108"/>
      <c r="AA12" s="108"/>
      <c r="AB12" s="109"/>
      <c r="AC12" s="108"/>
      <c r="AD12" s="109"/>
      <c r="AE12" s="108"/>
      <c r="AF12" s="109"/>
      <c r="AG12" s="108"/>
      <c r="AH12" s="109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pans="1:88" s="6" customFormat="1">
      <c r="A13" s="70">
        <v>0.72499999999999998</v>
      </c>
      <c r="B13" s="137" t="s">
        <v>149</v>
      </c>
      <c r="C13" s="138">
        <f t="shared" si="5"/>
        <v>20.496495327102803</v>
      </c>
      <c r="D13" s="139">
        <f>$Q$2*$A13</f>
        <v>21.931249999999999</v>
      </c>
      <c r="E13" s="69"/>
      <c r="F13" s="164">
        <v>23</v>
      </c>
      <c r="G13" s="165">
        <f t="shared" si="7"/>
        <v>4.8731832430892075E-2</v>
      </c>
      <c r="H13" s="120">
        <v>26.5</v>
      </c>
      <c r="I13" s="191">
        <f t="shared" si="2"/>
        <v>0.20832145910515831</v>
      </c>
      <c r="J13" s="120">
        <v>27</v>
      </c>
      <c r="K13" s="191">
        <f t="shared" si="3"/>
        <v>0.23111997720148203</v>
      </c>
      <c r="L13" s="120">
        <v>27.5</v>
      </c>
      <c r="M13" s="191">
        <f t="shared" ref="M13:M17" si="8">L13/$D13-1</f>
        <v>0.25391849529780575</v>
      </c>
      <c r="N13" s="120">
        <v>28</v>
      </c>
      <c r="O13" s="191">
        <f t="shared" si="4"/>
        <v>0.27671701339412946</v>
      </c>
      <c r="P13"/>
      <c r="Q13" s="159">
        <f>R2*A13</f>
        <v>23.2</v>
      </c>
      <c r="R13" s="159">
        <f>S2*A13</f>
        <v>27.55</v>
      </c>
      <c r="S13" s="159">
        <f>T2*A13</f>
        <v>28.274999999999999</v>
      </c>
      <c r="T13" s="159">
        <f>U2*A13</f>
        <v>29</v>
      </c>
      <c r="U13" s="159">
        <f>V2*A13</f>
        <v>29.724999999999998</v>
      </c>
      <c r="V13" s="55"/>
      <c r="W13"/>
      <c r="X13" s="104"/>
      <c r="Y13" s="108"/>
      <c r="Z13" s="108"/>
      <c r="AA13" s="108"/>
      <c r="AB13" s="109"/>
      <c r="AC13" s="108"/>
      <c r="AD13" s="109"/>
      <c r="AE13" s="108"/>
      <c r="AF13" s="109"/>
      <c r="AG13" s="108"/>
      <c r="AH13" s="109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1:88" s="6" customFormat="1">
      <c r="A14" s="70">
        <v>0.77500000000000002</v>
      </c>
      <c r="B14" s="137" t="s">
        <v>150</v>
      </c>
      <c r="C14" s="138">
        <f t="shared" si="5"/>
        <v>21.910046728971963</v>
      </c>
      <c r="D14" s="139">
        <f t="shared" si="6"/>
        <v>23.443750000000001</v>
      </c>
      <c r="E14" s="69"/>
      <c r="F14" s="164">
        <v>24.75</v>
      </c>
      <c r="G14" s="165">
        <f t="shared" si="7"/>
        <v>5.5718475073313734E-2</v>
      </c>
      <c r="H14" s="120">
        <v>28.25</v>
      </c>
      <c r="I14" s="191">
        <f t="shared" si="2"/>
        <v>0.20501199680085302</v>
      </c>
      <c r="J14" s="120">
        <v>28.75</v>
      </c>
      <c r="K14" s="191">
        <f t="shared" si="3"/>
        <v>0.22633964276192997</v>
      </c>
      <c r="L14" s="120">
        <v>29.5</v>
      </c>
      <c r="M14" s="191">
        <f>L14/$D14-1</f>
        <v>0.25833111170354561</v>
      </c>
      <c r="N14" s="120">
        <v>30</v>
      </c>
      <c r="O14" s="191">
        <f t="shared" si="4"/>
        <v>0.27965875766462278</v>
      </c>
      <c r="P14"/>
      <c r="Q14" s="159">
        <f>R2*A14</f>
        <v>24.8</v>
      </c>
      <c r="R14" s="159">
        <f>S2*A14</f>
        <v>29.45</v>
      </c>
      <c r="S14" s="159">
        <f>T2*A14</f>
        <v>30.225000000000001</v>
      </c>
      <c r="T14" s="159">
        <f>U2*A14</f>
        <v>31</v>
      </c>
      <c r="U14" s="159">
        <f>V2*A14</f>
        <v>31.775000000000002</v>
      </c>
      <c r="V14" s="55"/>
      <c r="W14"/>
      <c r="X14" s="104"/>
      <c r="Y14" s="108"/>
      <c r="Z14" s="108"/>
      <c r="AA14" s="108"/>
      <c r="AB14" s="109"/>
      <c r="AC14" s="108"/>
      <c r="AD14" s="109"/>
      <c r="AE14" s="108"/>
      <c r="AF14" s="109"/>
      <c r="AG14" s="108"/>
      <c r="AH14" s="109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1:88" s="6" customFormat="1">
      <c r="A15" s="70">
        <v>0.82499999999999996</v>
      </c>
      <c r="B15" s="137" t="s">
        <v>151</v>
      </c>
      <c r="C15" s="138">
        <f t="shared" si="5"/>
        <v>23.323598130841116</v>
      </c>
      <c r="D15" s="139">
        <f t="shared" si="6"/>
        <v>24.956249999999997</v>
      </c>
      <c r="E15" s="69"/>
      <c r="F15" s="164">
        <v>26.25</v>
      </c>
      <c r="G15" s="165">
        <f t="shared" si="7"/>
        <v>5.1840721262208955E-2</v>
      </c>
      <c r="H15" s="120">
        <v>30</v>
      </c>
      <c r="I15" s="191">
        <f t="shared" si="2"/>
        <v>0.20210368144252455</v>
      </c>
      <c r="J15" s="120">
        <v>30.5</v>
      </c>
      <c r="K15" s="191">
        <f t="shared" si="3"/>
        <v>0.22213874279989998</v>
      </c>
      <c r="L15" s="120">
        <v>31.25</v>
      </c>
      <c r="M15" s="191">
        <f>L15/$D15-1</f>
        <v>0.25219133483596301</v>
      </c>
      <c r="N15" s="120">
        <v>31.75</v>
      </c>
      <c r="O15" s="191">
        <f t="shared" si="4"/>
        <v>0.27222639619333844</v>
      </c>
      <c r="P15"/>
      <c r="Q15" s="159">
        <f>R2*A15</f>
        <v>26.4</v>
      </c>
      <c r="R15" s="159">
        <f>S2*A15</f>
        <v>31.349999999999998</v>
      </c>
      <c r="S15" s="159">
        <f>T2*A15</f>
        <v>32.174999999999997</v>
      </c>
      <c r="T15" s="159">
        <f>U2*A15</f>
        <v>33</v>
      </c>
      <c r="U15" s="159">
        <f>V2*A15</f>
        <v>33.824999999999996</v>
      </c>
      <c r="V15" s="55"/>
      <c r="W15"/>
      <c r="X15" s="104"/>
      <c r="Y15" s="108"/>
      <c r="Z15" s="108"/>
      <c r="AA15" s="108"/>
      <c r="AB15" s="109"/>
      <c r="AC15" s="108"/>
      <c r="AD15" s="109"/>
      <c r="AE15" s="108"/>
      <c r="AF15" s="109"/>
      <c r="AG15" s="108"/>
      <c r="AH15" s="109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1:88" s="6" customFormat="1">
      <c r="A16" s="70">
        <v>0.92500000000000004</v>
      </c>
      <c r="B16" s="137" t="s">
        <v>152</v>
      </c>
      <c r="C16" s="138">
        <f t="shared" si="5"/>
        <v>26.15070093457944</v>
      </c>
      <c r="D16" s="139">
        <f t="shared" si="6"/>
        <v>27.981250000000003</v>
      </c>
      <c r="E16" s="69"/>
      <c r="F16" s="164">
        <v>29.5</v>
      </c>
      <c r="G16" s="165">
        <f>F16/$D16-1</f>
        <v>5.4277417913781489E-2</v>
      </c>
      <c r="H16" s="120">
        <v>33.75</v>
      </c>
      <c r="I16" s="191">
        <f t="shared" si="2"/>
        <v>0.20616484252847878</v>
      </c>
      <c r="J16" s="120">
        <v>34.25</v>
      </c>
      <c r="K16" s="191">
        <f t="shared" si="3"/>
        <v>0.22403395130667847</v>
      </c>
      <c r="L16" s="120">
        <v>35</v>
      </c>
      <c r="M16" s="191">
        <f t="shared" si="8"/>
        <v>0.2508376144739779</v>
      </c>
      <c r="N16" s="120">
        <v>35.5</v>
      </c>
      <c r="O16" s="191">
        <f t="shared" si="4"/>
        <v>0.26870672325217759</v>
      </c>
      <c r="P16"/>
      <c r="Q16" s="159">
        <f>R2*A16</f>
        <v>29.6</v>
      </c>
      <c r="R16" s="159">
        <f>S2*A16</f>
        <v>35.15</v>
      </c>
      <c r="S16" s="159">
        <f>T2*A16</f>
        <v>36.075000000000003</v>
      </c>
      <c r="T16" s="159">
        <f>U2*A16</f>
        <v>37</v>
      </c>
      <c r="U16" s="159">
        <f>V2*A16</f>
        <v>37.925000000000004</v>
      </c>
      <c r="V16" s="55"/>
      <c r="W16"/>
      <c r="X16" s="104"/>
      <c r="Y16" s="108"/>
      <c r="Z16" s="108"/>
      <c r="AA16" s="108"/>
      <c r="AB16" s="109"/>
      <c r="AC16" s="108"/>
      <c r="AD16" s="109"/>
      <c r="AE16" s="108"/>
      <c r="AF16" s="109"/>
      <c r="AG16" s="108"/>
      <c r="AH16" s="109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spans="1:88" s="6" customFormat="1" ht="15" thickBot="1">
      <c r="A17" s="70">
        <v>1.0249999999999999</v>
      </c>
      <c r="B17" s="132" t="s">
        <v>153</v>
      </c>
      <c r="C17" s="133">
        <f>D17/1.07</f>
        <v>28.977803738317753</v>
      </c>
      <c r="D17" s="134">
        <f t="shared" si="6"/>
        <v>31.006249999999998</v>
      </c>
      <c r="E17" s="69"/>
      <c r="F17" s="166">
        <v>32.75</v>
      </c>
      <c r="G17" s="167">
        <f t="shared" si="7"/>
        <v>5.6238661560169323E-2</v>
      </c>
      <c r="H17" s="136">
        <v>37.25</v>
      </c>
      <c r="I17" s="192">
        <f t="shared" si="2"/>
        <v>0.20137069139286434</v>
      </c>
      <c r="J17" s="136">
        <v>38</v>
      </c>
      <c r="K17" s="192">
        <f t="shared" si="3"/>
        <v>0.22555936303164703</v>
      </c>
      <c r="L17" s="136">
        <v>38.75</v>
      </c>
      <c r="M17" s="192">
        <f t="shared" si="8"/>
        <v>0.2497480346704295</v>
      </c>
      <c r="N17" s="136">
        <v>39.25</v>
      </c>
      <c r="O17" s="192">
        <f t="shared" si="4"/>
        <v>0.26587381576295122</v>
      </c>
      <c r="P17"/>
      <c r="Q17" s="159">
        <f>R2*A17</f>
        <v>32.799999999999997</v>
      </c>
      <c r="R17" s="159">
        <f>S2*A17</f>
        <v>38.949999999999996</v>
      </c>
      <c r="S17" s="159">
        <f>T2*A17</f>
        <v>39.974999999999994</v>
      </c>
      <c r="T17" s="159">
        <f>U2*A17</f>
        <v>41</v>
      </c>
      <c r="U17" s="159">
        <f>V2*A17</f>
        <v>42.024999999999999</v>
      </c>
      <c r="V17" s="55"/>
      <c r="W17"/>
      <c r="X17" s="104"/>
      <c r="Y17" s="108"/>
      <c r="Z17" s="108"/>
      <c r="AA17" s="108"/>
      <c r="AB17" s="109"/>
      <c r="AC17" s="108"/>
      <c r="AD17" s="109"/>
      <c r="AE17" s="108"/>
      <c r="AF17" s="109"/>
      <c r="AG17" s="108"/>
      <c r="AH17" s="109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</row>
    <row r="18" spans="1:88" s="6" customFormat="1" ht="15" thickBot="1">
      <c r="A18" s="70"/>
      <c r="B18" s="81"/>
      <c r="C18" s="97"/>
      <c r="D18" s="97"/>
      <c r="E18" s="81"/>
      <c r="F18" s="168"/>
      <c r="G18" s="168"/>
      <c r="H18" s="97"/>
      <c r="I18" s="98"/>
      <c r="J18" s="97"/>
      <c r="K18" s="98"/>
      <c r="L18" s="97"/>
      <c r="M18" s="98"/>
      <c r="N18" s="97"/>
      <c r="O18" s="98"/>
      <c r="P18"/>
      <c r="Q18" s="92"/>
      <c r="R18" s="92"/>
      <c r="S18" s="92"/>
      <c r="T18" s="92"/>
      <c r="U18" s="92"/>
      <c r="V18" s="55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</row>
    <row r="19" spans="1:88" ht="24.75" customHeight="1" thickBot="1">
      <c r="A19" s="14"/>
      <c r="B19" s="111" t="s">
        <v>124</v>
      </c>
      <c r="C19" s="100"/>
      <c r="D19" s="101"/>
      <c r="E19" s="101"/>
      <c r="F19" s="169"/>
      <c r="G19" s="169"/>
      <c r="H19" s="101"/>
      <c r="I19" s="101"/>
      <c r="J19" s="102"/>
      <c r="K19" s="102"/>
      <c r="L19" s="103"/>
      <c r="M19" s="233"/>
      <c r="N19" s="233"/>
      <c r="O19" s="233"/>
      <c r="Q19" s="90"/>
      <c r="R19" s="91"/>
      <c r="S19" s="91"/>
      <c r="T19" s="91"/>
      <c r="U19" s="91"/>
      <c r="X19" s="91"/>
    </row>
    <row r="20" spans="1:88" s="6" customFormat="1">
      <c r="A20" s="70">
        <v>0.54</v>
      </c>
      <c r="B20" s="116" t="s">
        <v>154</v>
      </c>
      <c r="C20" s="117">
        <f>D20/1.07</f>
        <v>15.266355140186915</v>
      </c>
      <c r="D20" s="118">
        <f>$Y$2*$A20</f>
        <v>16.335000000000001</v>
      </c>
      <c r="E20" s="81"/>
      <c r="F20" s="162">
        <v>16.75</v>
      </c>
      <c r="G20" s="163">
        <f>F20/$D20-1</f>
        <v>2.5405570860116189E-2</v>
      </c>
      <c r="H20" s="119">
        <v>19.25</v>
      </c>
      <c r="I20" s="190">
        <f>H20/$D20-1</f>
        <v>0.17845117845117842</v>
      </c>
      <c r="J20" s="119">
        <v>19.75</v>
      </c>
      <c r="K20" s="190">
        <f>J20/$D20-1</f>
        <v>0.20906029996939091</v>
      </c>
      <c r="L20" s="119">
        <v>20</v>
      </c>
      <c r="M20" s="190">
        <f>L20/$D20-1</f>
        <v>0.22436486072849693</v>
      </c>
      <c r="N20" s="119">
        <v>20.5</v>
      </c>
      <c r="O20" s="190">
        <f>N20/$D20-1</f>
        <v>0.25497398224670942</v>
      </c>
      <c r="P20"/>
      <c r="Q20" s="159">
        <f>Z2*A20</f>
        <v>17.28</v>
      </c>
      <c r="R20" s="159">
        <f>AA2*A20</f>
        <v>20.520000000000003</v>
      </c>
      <c r="S20" s="159">
        <f>AB2*A20</f>
        <v>21.060000000000002</v>
      </c>
      <c r="T20" s="159">
        <f>AC2*A20</f>
        <v>21.6</v>
      </c>
      <c r="U20" s="159">
        <f>AD2*A20</f>
        <v>22.14</v>
      </c>
      <c r="V20" s="55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s="9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</row>
    <row r="21" spans="1:88" s="6" customFormat="1">
      <c r="A21" s="70">
        <v>0.56999999999999995</v>
      </c>
      <c r="B21" s="137" t="s">
        <v>155</v>
      </c>
      <c r="C21" s="138">
        <f>D21/1.07</f>
        <v>16.114485981308409</v>
      </c>
      <c r="D21" s="139">
        <f>$Y$2*$A21</f>
        <v>17.2425</v>
      </c>
      <c r="E21" s="81"/>
      <c r="F21" s="164">
        <v>18.25</v>
      </c>
      <c r="G21" s="165">
        <f t="shared" ref="G21:K27" si="9">F21/$D21-1</f>
        <v>5.8431201971871793E-2</v>
      </c>
      <c r="H21" s="120">
        <v>21</v>
      </c>
      <c r="I21" s="191">
        <f t="shared" si="9"/>
        <v>0.21792083514571559</v>
      </c>
      <c r="J21" s="120">
        <v>21.5</v>
      </c>
      <c r="K21" s="191">
        <f t="shared" si="9"/>
        <v>0.24691895026823252</v>
      </c>
      <c r="L21" s="120">
        <v>21.75</v>
      </c>
      <c r="M21" s="191">
        <f>L21/$D21-1</f>
        <v>0.26141800782949121</v>
      </c>
      <c r="N21" s="120">
        <v>22.25</v>
      </c>
      <c r="O21" s="191">
        <f t="shared" ref="O21:O27" si="10">N21/$D21-1</f>
        <v>0.29041612295200814</v>
      </c>
      <c r="P21"/>
      <c r="Q21" s="159">
        <f>Z2*A21</f>
        <v>18.239999999999998</v>
      </c>
      <c r="R21" s="159">
        <f>AA2*A21</f>
        <v>21.659999999999997</v>
      </c>
      <c r="S21" s="159">
        <f>AB2*A21</f>
        <v>22.229999999999997</v>
      </c>
      <c r="T21" s="159">
        <f>AC2*A21</f>
        <v>22.799999999999997</v>
      </c>
      <c r="U21" s="159">
        <f>AD2*A21</f>
        <v>23.369999999999997</v>
      </c>
      <c r="V21" s="55"/>
      <c r="W21"/>
      <c r="X21"/>
      <c r="Y21" s="105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</row>
    <row r="22" spans="1:88" s="6" customFormat="1">
      <c r="A22" s="70">
        <v>0.63</v>
      </c>
      <c r="B22" s="137" t="s">
        <v>156</v>
      </c>
      <c r="C22" s="138">
        <f t="shared" ref="C22:C27" si="11">D22/1.07</f>
        <v>17.810747663551403</v>
      </c>
      <c r="D22" s="139">
        <f t="shared" ref="D22:D27" si="12">$Y$2*$A22</f>
        <v>19.057500000000001</v>
      </c>
      <c r="E22" s="81"/>
      <c r="F22" s="164">
        <v>19.75</v>
      </c>
      <c r="G22" s="165">
        <f t="shared" si="9"/>
        <v>3.6337399973763507E-2</v>
      </c>
      <c r="H22" s="120">
        <v>22.75</v>
      </c>
      <c r="I22" s="191">
        <f t="shared" si="9"/>
        <v>0.19375573921028466</v>
      </c>
      <c r="J22" s="120">
        <v>23.25</v>
      </c>
      <c r="K22" s="191">
        <f t="shared" si="9"/>
        <v>0.219992129083038</v>
      </c>
      <c r="L22" s="120">
        <v>23.75</v>
      </c>
      <c r="M22" s="191">
        <f>L22/$D22-1</f>
        <v>0.24622851895579156</v>
      </c>
      <c r="N22" s="120">
        <v>24.25</v>
      </c>
      <c r="O22" s="191">
        <f t="shared" si="10"/>
        <v>0.27246490882854513</v>
      </c>
      <c r="P22"/>
      <c r="Q22" s="159">
        <f>Z2*A22</f>
        <v>20.16</v>
      </c>
      <c r="R22" s="159">
        <f>AA2*A22</f>
        <v>23.94</v>
      </c>
      <c r="S22" s="159">
        <f>AB2*A22</f>
        <v>24.57</v>
      </c>
      <c r="T22" s="159">
        <f>AC2*A22</f>
        <v>25.2</v>
      </c>
      <c r="U22" s="159">
        <f>AD2*A22</f>
        <v>25.830000000000002</v>
      </c>
      <c r="V22" s="55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</row>
    <row r="23" spans="1:88" s="6" customFormat="1">
      <c r="A23" s="70">
        <v>0.66</v>
      </c>
      <c r="B23" s="137" t="s">
        <v>157</v>
      </c>
      <c r="C23" s="138">
        <f t="shared" si="11"/>
        <v>18.658878504672895</v>
      </c>
      <c r="D23" s="139">
        <f t="shared" si="12"/>
        <v>19.965</v>
      </c>
      <c r="E23" s="81"/>
      <c r="F23" s="164">
        <v>21.5</v>
      </c>
      <c r="G23" s="165">
        <f t="shared" si="9"/>
        <v>7.6884547958928184E-2</v>
      </c>
      <c r="H23" s="120">
        <v>24.75</v>
      </c>
      <c r="I23" s="191">
        <f t="shared" si="9"/>
        <v>0.2396694214876034</v>
      </c>
      <c r="J23" s="120">
        <v>25.25</v>
      </c>
      <c r="K23" s="191">
        <f t="shared" si="9"/>
        <v>0.26471324818432262</v>
      </c>
      <c r="L23" s="120">
        <v>25.75</v>
      </c>
      <c r="M23" s="191">
        <f>L23/$D23-1</f>
        <v>0.28975707488104185</v>
      </c>
      <c r="N23" s="120">
        <v>26.25</v>
      </c>
      <c r="O23" s="191">
        <f t="shared" si="10"/>
        <v>0.31480090157776108</v>
      </c>
      <c r="P23"/>
      <c r="Q23" s="159">
        <f>Z2*A23</f>
        <v>21.12</v>
      </c>
      <c r="R23" s="159">
        <f>AA2*A23</f>
        <v>25.080000000000002</v>
      </c>
      <c r="S23" s="159">
        <f>AB2*A23</f>
        <v>25.740000000000002</v>
      </c>
      <c r="T23" s="159">
        <f>AC2*A23</f>
        <v>26.400000000000002</v>
      </c>
      <c r="U23" s="159">
        <f>AD2*A23</f>
        <v>27.060000000000002</v>
      </c>
      <c r="V23" s="55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</row>
    <row r="24" spans="1:88" s="6" customFormat="1">
      <c r="A24" s="70">
        <v>0.72</v>
      </c>
      <c r="B24" s="137" t="s">
        <v>158</v>
      </c>
      <c r="C24" s="138">
        <f t="shared" si="11"/>
        <v>20.355140186915886</v>
      </c>
      <c r="D24" s="139">
        <f t="shared" si="12"/>
        <v>21.779999999999998</v>
      </c>
      <c r="E24" s="81"/>
      <c r="F24" s="164">
        <v>23</v>
      </c>
      <c r="G24" s="165">
        <f t="shared" si="9"/>
        <v>5.6014692378328901E-2</v>
      </c>
      <c r="H24" s="120">
        <v>26.5</v>
      </c>
      <c r="I24" s="191">
        <f t="shared" si="9"/>
        <v>0.21671258034894403</v>
      </c>
      <c r="J24" s="120">
        <v>27</v>
      </c>
      <c r="K24" s="191">
        <f t="shared" si="9"/>
        <v>0.2396694214876034</v>
      </c>
      <c r="L24" s="120">
        <v>27.5</v>
      </c>
      <c r="M24" s="191">
        <f t="shared" ref="M24" si="13">L24/$D24-1</f>
        <v>0.26262626262626276</v>
      </c>
      <c r="N24" s="120">
        <v>28</v>
      </c>
      <c r="O24" s="191">
        <f t="shared" si="10"/>
        <v>0.28558310376492213</v>
      </c>
      <c r="P24"/>
      <c r="Q24" s="159">
        <f>Z2*A24</f>
        <v>23.04</v>
      </c>
      <c r="R24" s="159">
        <f>AA2*A24</f>
        <v>27.36</v>
      </c>
      <c r="S24" s="159">
        <f>AB2*A24</f>
        <v>28.08</v>
      </c>
      <c r="T24" s="159">
        <f>AC2*A24</f>
        <v>28.799999999999997</v>
      </c>
      <c r="U24" s="159">
        <f>AD2*A24</f>
        <v>29.52</v>
      </c>
      <c r="V24" s="55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</row>
    <row r="25" spans="1:88" s="6" customFormat="1">
      <c r="A25" s="70">
        <v>0.78</v>
      </c>
      <c r="B25" s="137" t="s">
        <v>159</v>
      </c>
      <c r="C25" s="138">
        <f t="shared" si="11"/>
        <v>22.05140186915888</v>
      </c>
      <c r="D25" s="139">
        <f t="shared" si="12"/>
        <v>23.595000000000002</v>
      </c>
      <c r="E25" s="81"/>
      <c r="F25" s="164">
        <v>24.75</v>
      </c>
      <c r="G25" s="165">
        <f t="shared" si="9"/>
        <v>4.8951048951048737E-2</v>
      </c>
      <c r="H25" s="120">
        <v>28.25</v>
      </c>
      <c r="I25" s="191">
        <f t="shared" si="9"/>
        <v>0.19728756092392441</v>
      </c>
      <c r="J25" s="120">
        <v>28.75</v>
      </c>
      <c r="K25" s="191">
        <f t="shared" si="9"/>
        <v>0.21847849120576379</v>
      </c>
      <c r="L25" s="120">
        <v>29.5</v>
      </c>
      <c r="M25" s="191">
        <f>L25/$D25-1</f>
        <v>0.25026488662852286</v>
      </c>
      <c r="N25" s="120">
        <v>30</v>
      </c>
      <c r="O25" s="191">
        <f t="shared" si="10"/>
        <v>0.27145581691036225</v>
      </c>
      <c r="P25"/>
      <c r="Q25" s="159">
        <f>Z2*A25</f>
        <v>24.96</v>
      </c>
      <c r="R25" s="159">
        <f>AA2*A25</f>
        <v>29.64</v>
      </c>
      <c r="S25" s="159">
        <f>AB2*A25</f>
        <v>30.42</v>
      </c>
      <c r="T25" s="159">
        <f>AC2*A25</f>
        <v>31.200000000000003</v>
      </c>
      <c r="U25" s="159">
        <f>AD2*A25</f>
        <v>31.98</v>
      </c>
      <c r="V25" s="5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 s="6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</row>
    <row r="26" spans="1:88" s="6" customFormat="1">
      <c r="A26" s="70">
        <v>0.81</v>
      </c>
      <c r="B26" s="137" t="s">
        <v>160</v>
      </c>
      <c r="C26" s="138">
        <f t="shared" si="11"/>
        <v>22.899532710280372</v>
      </c>
      <c r="D26" s="139">
        <f t="shared" si="12"/>
        <v>24.502500000000001</v>
      </c>
      <c r="E26" s="81"/>
      <c r="F26" s="164">
        <v>26.25</v>
      </c>
      <c r="G26" s="165">
        <f t="shared" si="9"/>
        <v>7.1319253137434924E-2</v>
      </c>
      <c r="H26" s="120">
        <v>30</v>
      </c>
      <c r="I26" s="191">
        <f t="shared" si="9"/>
        <v>0.22436486072849693</v>
      </c>
      <c r="J26" s="120">
        <v>30.5</v>
      </c>
      <c r="K26" s="191">
        <f t="shared" si="9"/>
        <v>0.24477094174063874</v>
      </c>
      <c r="L26" s="120">
        <v>31.25</v>
      </c>
      <c r="M26" s="191">
        <f>L26/$D26-1</f>
        <v>0.275380063258851</v>
      </c>
      <c r="N26" s="120">
        <v>31.75</v>
      </c>
      <c r="O26" s="191">
        <f t="shared" si="10"/>
        <v>0.29578614427099259</v>
      </c>
      <c r="P26"/>
      <c r="Q26" s="159">
        <f>Z2*A26</f>
        <v>25.92</v>
      </c>
      <c r="R26" s="159">
        <f>AA2*A26</f>
        <v>30.78</v>
      </c>
      <c r="S26" s="159">
        <f>AB2*A26</f>
        <v>31.590000000000003</v>
      </c>
      <c r="T26" s="159">
        <f>AC2*A26</f>
        <v>32.400000000000006</v>
      </c>
      <c r="U26" s="159">
        <f>AD2*A26</f>
        <v>33.21</v>
      </c>
      <c r="V26" s="55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 s="90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</row>
    <row r="27" spans="1:88" s="6" customFormat="1" ht="15" thickBot="1">
      <c r="A27" s="70">
        <v>0.92500000000000004</v>
      </c>
      <c r="B27" s="132" t="s">
        <v>161</v>
      </c>
      <c r="C27" s="133">
        <f t="shared" si="11"/>
        <v>26.15070093457944</v>
      </c>
      <c r="D27" s="134">
        <f t="shared" si="12"/>
        <v>27.981250000000003</v>
      </c>
      <c r="E27" s="135"/>
      <c r="F27" s="166">
        <v>29.5</v>
      </c>
      <c r="G27" s="167">
        <f t="shared" si="9"/>
        <v>5.4277417913781489E-2</v>
      </c>
      <c r="H27" s="136">
        <v>33.75</v>
      </c>
      <c r="I27" s="192">
        <f t="shared" si="9"/>
        <v>0.20616484252847878</v>
      </c>
      <c r="J27" s="136">
        <v>34.25</v>
      </c>
      <c r="K27" s="192">
        <f t="shared" si="9"/>
        <v>0.22403395130667847</v>
      </c>
      <c r="L27" s="136">
        <v>35</v>
      </c>
      <c r="M27" s="192">
        <f t="shared" ref="M27" si="14">L27/$D27-1</f>
        <v>0.2508376144739779</v>
      </c>
      <c r="N27" s="136">
        <v>35.5</v>
      </c>
      <c r="O27" s="192">
        <f t="shared" si="10"/>
        <v>0.26870672325217759</v>
      </c>
      <c r="P27"/>
      <c r="Q27" s="159">
        <f>Z2*A27</f>
        <v>29.6</v>
      </c>
      <c r="R27" s="159">
        <f>AA2*A27</f>
        <v>35.15</v>
      </c>
      <c r="S27" s="159">
        <f>AB2*A27</f>
        <v>36.075000000000003</v>
      </c>
      <c r="T27" s="159">
        <f>AC2*A27</f>
        <v>37</v>
      </c>
      <c r="U27" s="159">
        <f>AD2*A27</f>
        <v>37.925000000000004</v>
      </c>
      <c r="V27" s="55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</row>
    <row r="28" spans="1:88" s="6" customFormat="1" ht="15" thickBot="1">
      <c r="A28" s="24"/>
      <c r="B28"/>
      <c r="C28" s="18"/>
      <c r="D28" s="21"/>
      <c r="E28"/>
      <c r="F28" s="160"/>
      <c r="G28" s="160"/>
      <c r="H28" s="18"/>
      <c r="I28" s="18"/>
      <c r="J28" s="18"/>
      <c r="K28" s="18"/>
      <c r="L28" s="18"/>
      <c r="M28" s="18"/>
      <c r="N28" s="18"/>
      <c r="O28" s="18"/>
      <c r="P28"/>
      <c r="Q28"/>
      <c r="R28" s="23"/>
      <c r="S28" s="23"/>
      <c r="T28" s="23"/>
      <c r="U28" s="23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</row>
    <row r="29" spans="1:88" ht="25.2" thickBot="1">
      <c r="A29" s="16"/>
      <c r="B29" s="47" t="s">
        <v>47</v>
      </c>
      <c r="C29" s="22"/>
      <c r="D29" s="18"/>
      <c r="H29" s="7"/>
      <c r="I29" s="7"/>
      <c r="L29" s="18"/>
      <c r="P29" s="17"/>
      <c r="Q29" s="90" t="s">
        <v>50</v>
      </c>
      <c r="R29" s="91" t="s">
        <v>112</v>
      </c>
      <c r="S29" s="91" t="s">
        <v>113</v>
      </c>
      <c r="T29" s="91" t="s">
        <v>114</v>
      </c>
      <c r="U29" s="91" t="s">
        <v>115</v>
      </c>
    </row>
    <row r="30" spans="1:88">
      <c r="A30" s="67" t="s">
        <v>54</v>
      </c>
      <c r="B30" s="140" t="s">
        <v>49</v>
      </c>
      <c r="C30" s="141">
        <f>D30/1.07</f>
        <v>9.3457943925233646</v>
      </c>
      <c r="D30" s="142">
        <v>10</v>
      </c>
      <c r="E30" s="7"/>
      <c r="F30" s="170">
        <v>11</v>
      </c>
      <c r="G30" s="171">
        <f>F30/$D30-1</f>
        <v>0.10000000000000009</v>
      </c>
      <c r="H30" s="143">
        <v>11.5</v>
      </c>
      <c r="I30" s="193">
        <f t="shared" ref="I30:I38" si="15">H30/$D30-1</f>
        <v>0.14999999999999991</v>
      </c>
      <c r="J30" s="143">
        <v>12</v>
      </c>
      <c r="K30" s="193">
        <f t="shared" ref="K30:K38" si="16">J30/$D30-1</f>
        <v>0.19999999999999996</v>
      </c>
      <c r="L30" s="143">
        <v>12.5</v>
      </c>
      <c r="M30" s="193">
        <f t="shared" ref="M30:M38" si="17">L30/$D30-1</f>
        <v>0.25</v>
      </c>
      <c r="N30" s="143">
        <v>13</v>
      </c>
      <c r="O30" s="193">
        <f t="shared" ref="O30:O38" si="18">N30/$D30-1</f>
        <v>0.30000000000000004</v>
      </c>
      <c r="Q30" s="92">
        <v>4.065040650406504E-2</v>
      </c>
      <c r="R30" s="92">
        <v>0.1</v>
      </c>
      <c r="S30" s="92">
        <v>0.13</v>
      </c>
      <c r="T30" s="92">
        <v>0.15</v>
      </c>
      <c r="U30" s="92">
        <v>0.18</v>
      </c>
    </row>
    <row r="31" spans="1:88">
      <c r="A31" s="67" t="s">
        <v>54</v>
      </c>
      <c r="B31" s="121" t="s">
        <v>58</v>
      </c>
      <c r="C31" s="122">
        <f t="shared" ref="C31:C38" si="19">D31/1.07</f>
        <v>10.2803738317757</v>
      </c>
      <c r="D31" s="123">
        <v>11</v>
      </c>
      <c r="E31" s="7"/>
      <c r="F31" s="172">
        <v>12</v>
      </c>
      <c r="G31" s="173">
        <f>F31/$D31-1</f>
        <v>9.0909090909090828E-2</v>
      </c>
      <c r="H31" s="124">
        <v>12.75</v>
      </c>
      <c r="I31" s="194">
        <f t="shared" si="15"/>
        <v>0.15909090909090917</v>
      </c>
      <c r="J31" s="124">
        <v>13.25</v>
      </c>
      <c r="K31" s="194">
        <f t="shared" si="16"/>
        <v>0.20454545454545459</v>
      </c>
      <c r="L31" s="124">
        <v>13.75</v>
      </c>
      <c r="M31" s="194">
        <f t="shared" si="17"/>
        <v>0.25</v>
      </c>
      <c r="N31" s="124">
        <v>14.25</v>
      </c>
      <c r="O31" s="194">
        <f t="shared" si="18"/>
        <v>0.29545454545454541</v>
      </c>
      <c r="Q31" s="92"/>
      <c r="R31" s="92"/>
      <c r="S31" s="92"/>
      <c r="T31" s="92"/>
      <c r="U31" s="92"/>
    </row>
    <row r="32" spans="1:88">
      <c r="A32" s="67" t="s">
        <v>54</v>
      </c>
      <c r="B32" s="121" t="s">
        <v>66</v>
      </c>
      <c r="C32" s="122">
        <f>D32/1.07</f>
        <v>14.018691588785046</v>
      </c>
      <c r="D32" s="123">
        <v>15</v>
      </c>
      <c r="E32" s="7"/>
      <c r="F32" s="172">
        <v>16</v>
      </c>
      <c r="G32" s="173">
        <f t="shared" ref="G32:G36" si="20">F32/$D32-1</f>
        <v>6.6666666666666652E-2</v>
      </c>
      <c r="H32" s="124">
        <v>17.25</v>
      </c>
      <c r="I32" s="194">
        <f t="shared" si="15"/>
        <v>0.14999999999999991</v>
      </c>
      <c r="J32" s="124">
        <v>18</v>
      </c>
      <c r="K32" s="194">
        <f t="shared" si="16"/>
        <v>0.19999999999999996</v>
      </c>
      <c r="L32" s="124">
        <v>18.75</v>
      </c>
      <c r="M32" s="194">
        <f t="shared" si="17"/>
        <v>0.25</v>
      </c>
      <c r="N32" s="124">
        <v>19.5</v>
      </c>
      <c r="O32" s="194">
        <f t="shared" si="18"/>
        <v>0.30000000000000004</v>
      </c>
      <c r="Q32" s="92"/>
      <c r="R32" s="92"/>
      <c r="S32" s="92"/>
      <c r="T32" s="92"/>
      <c r="U32" s="92"/>
    </row>
    <row r="33" spans="1:88">
      <c r="A33" s="65" t="s">
        <v>52</v>
      </c>
      <c r="B33" s="121" t="s">
        <v>94</v>
      </c>
      <c r="C33" s="122">
        <f t="shared" si="19"/>
        <v>7.4766355140186915</v>
      </c>
      <c r="D33" s="123">
        <v>8</v>
      </c>
      <c r="E33" s="7"/>
      <c r="F33" s="172">
        <v>8.5</v>
      </c>
      <c r="G33" s="173">
        <f t="shared" si="20"/>
        <v>6.25E-2</v>
      </c>
      <c r="H33" s="124">
        <v>9.25</v>
      </c>
      <c r="I33" s="194">
        <f t="shared" si="15"/>
        <v>0.15625</v>
      </c>
      <c r="J33" s="124">
        <v>9.75</v>
      </c>
      <c r="K33" s="194">
        <f t="shared" si="16"/>
        <v>0.21875</v>
      </c>
      <c r="L33" s="124">
        <v>10</v>
      </c>
      <c r="M33" s="194">
        <f t="shared" si="17"/>
        <v>0.25</v>
      </c>
      <c r="N33" s="124">
        <v>10.25</v>
      </c>
      <c r="O33" s="194">
        <f t="shared" si="18"/>
        <v>0.28125</v>
      </c>
      <c r="Q33" s="92"/>
      <c r="R33" s="92"/>
      <c r="S33" s="92"/>
      <c r="T33" s="92"/>
      <c r="U33" s="92"/>
    </row>
    <row r="34" spans="1:88">
      <c r="A34" s="65" t="s">
        <v>52</v>
      </c>
      <c r="B34" s="121" t="s">
        <v>51</v>
      </c>
      <c r="C34" s="122">
        <f t="shared" si="19"/>
        <v>9.3457943925233646</v>
      </c>
      <c r="D34" s="123">
        <v>10</v>
      </c>
      <c r="E34" s="7"/>
      <c r="F34" s="172">
        <v>10.5</v>
      </c>
      <c r="G34" s="173">
        <f t="shared" si="20"/>
        <v>5.0000000000000044E-2</v>
      </c>
      <c r="H34" s="124">
        <v>11.5</v>
      </c>
      <c r="I34" s="194">
        <f t="shared" si="15"/>
        <v>0.14999999999999991</v>
      </c>
      <c r="J34" s="124">
        <v>12</v>
      </c>
      <c r="K34" s="194">
        <f t="shared" si="16"/>
        <v>0.19999999999999996</v>
      </c>
      <c r="L34" s="124">
        <v>12.5</v>
      </c>
      <c r="M34" s="194">
        <f t="shared" si="17"/>
        <v>0.25</v>
      </c>
      <c r="N34" s="124">
        <v>12.75</v>
      </c>
      <c r="O34" s="194">
        <f t="shared" si="18"/>
        <v>0.27499999999999991</v>
      </c>
      <c r="Q34" s="92"/>
      <c r="R34" s="92"/>
      <c r="S34" s="92"/>
      <c r="T34" s="92"/>
      <c r="U34" s="92"/>
    </row>
    <row r="35" spans="1:88">
      <c r="A35" s="66" t="s">
        <v>53</v>
      </c>
      <c r="B35" s="121" t="s">
        <v>51</v>
      </c>
      <c r="C35" s="122">
        <f t="shared" si="19"/>
        <v>9.3457943925233646</v>
      </c>
      <c r="D35" s="123">
        <v>10</v>
      </c>
      <c r="E35" s="7"/>
      <c r="F35" s="172">
        <v>10.5</v>
      </c>
      <c r="G35" s="173">
        <f t="shared" si="20"/>
        <v>5.0000000000000044E-2</v>
      </c>
      <c r="H35" s="124">
        <v>11.5</v>
      </c>
      <c r="I35" s="194">
        <f t="shared" si="15"/>
        <v>0.14999999999999991</v>
      </c>
      <c r="J35" s="124">
        <v>12</v>
      </c>
      <c r="K35" s="194">
        <f t="shared" si="16"/>
        <v>0.19999999999999996</v>
      </c>
      <c r="L35" s="124">
        <v>12.5</v>
      </c>
      <c r="M35" s="194">
        <f t="shared" si="17"/>
        <v>0.25</v>
      </c>
      <c r="N35" s="124">
        <v>12.75</v>
      </c>
      <c r="O35" s="194">
        <f t="shared" si="18"/>
        <v>0.27499999999999991</v>
      </c>
      <c r="Q35" s="92"/>
      <c r="R35" s="92"/>
      <c r="S35" s="92"/>
      <c r="T35" s="92"/>
      <c r="U35" s="92"/>
    </row>
    <row r="36" spans="1:88">
      <c r="A36" s="66" t="s">
        <v>53</v>
      </c>
      <c r="B36" s="121" t="s">
        <v>97</v>
      </c>
      <c r="C36" s="122">
        <f>D36/1.07</f>
        <v>7.4766355140186915</v>
      </c>
      <c r="D36" s="123">
        <v>8</v>
      </c>
      <c r="E36" s="7"/>
      <c r="F36" s="172">
        <v>8.5</v>
      </c>
      <c r="G36" s="173">
        <f t="shared" si="20"/>
        <v>6.25E-2</v>
      </c>
      <c r="H36" s="124">
        <v>9.25</v>
      </c>
      <c r="I36" s="194">
        <f t="shared" si="15"/>
        <v>0.15625</v>
      </c>
      <c r="J36" s="124">
        <v>9.75</v>
      </c>
      <c r="K36" s="194">
        <f t="shared" si="16"/>
        <v>0.21875</v>
      </c>
      <c r="L36" s="124">
        <v>10</v>
      </c>
      <c r="M36" s="194">
        <f t="shared" si="17"/>
        <v>0.25</v>
      </c>
      <c r="N36" s="124">
        <v>10.25</v>
      </c>
      <c r="O36" s="194">
        <f t="shared" si="18"/>
        <v>0.28125</v>
      </c>
      <c r="Q36" s="92"/>
      <c r="R36" s="92"/>
      <c r="S36" s="92"/>
      <c r="T36" s="92"/>
      <c r="U36" s="92"/>
    </row>
    <row r="37" spans="1:88">
      <c r="A37" s="66" t="s">
        <v>53</v>
      </c>
      <c r="B37" s="121" t="s">
        <v>64</v>
      </c>
      <c r="C37" s="122">
        <f t="shared" si="19"/>
        <v>11.214953271028037</v>
      </c>
      <c r="D37" s="123">
        <v>12</v>
      </c>
      <c r="E37" s="7"/>
      <c r="F37" s="172">
        <v>13</v>
      </c>
      <c r="G37" s="173">
        <f>F37/$D37-1</f>
        <v>8.3333333333333259E-2</v>
      </c>
      <c r="H37" s="124">
        <v>14</v>
      </c>
      <c r="I37" s="194">
        <f t="shared" si="15"/>
        <v>0.16666666666666674</v>
      </c>
      <c r="J37" s="124">
        <v>14.5</v>
      </c>
      <c r="K37" s="194">
        <f t="shared" si="16"/>
        <v>0.20833333333333326</v>
      </c>
      <c r="L37" s="124">
        <v>15</v>
      </c>
      <c r="M37" s="194">
        <f t="shared" si="17"/>
        <v>0.25</v>
      </c>
      <c r="N37" s="124">
        <v>15.5</v>
      </c>
      <c r="O37" s="194">
        <f t="shared" si="18"/>
        <v>0.29166666666666674</v>
      </c>
      <c r="Q37" s="92"/>
      <c r="R37" s="92"/>
      <c r="S37" s="92"/>
      <c r="T37" s="92"/>
      <c r="U37" s="92"/>
    </row>
    <row r="38" spans="1:88" ht="15" thickBot="1">
      <c r="A38" s="65" t="s">
        <v>52</v>
      </c>
      <c r="B38" s="144" t="s">
        <v>66</v>
      </c>
      <c r="C38" s="145">
        <f t="shared" si="19"/>
        <v>11.214953271028037</v>
      </c>
      <c r="D38" s="146">
        <v>12</v>
      </c>
      <c r="E38" s="147"/>
      <c r="F38" s="174">
        <v>13</v>
      </c>
      <c r="G38" s="175">
        <f>F38/$D38-1</f>
        <v>8.3333333333333259E-2</v>
      </c>
      <c r="H38" s="148">
        <v>14</v>
      </c>
      <c r="I38" s="195">
        <f t="shared" si="15"/>
        <v>0.16666666666666674</v>
      </c>
      <c r="J38" s="148">
        <v>14.5</v>
      </c>
      <c r="K38" s="195">
        <f t="shared" si="16"/>
        <v>0.20833333333333326</v>
      </c>
      <c r="L38" s="148">
        <v>15</v>
      </c>
      <c r="M38" s="195">
        <f t="shared" si="17"/>
        <v>0.25</v>
      </c>
      <c r="N38" s="148">
        <v>15.5</v>
      </c>
      <c r="O38" s="195">
        <f t="shared" si="18"/>
        <v>0.29166666666666674</v>
      </c>
      <c r="P38" s="114"/>
      <c r="Q38" s="115"/>
      <c r="R38" s="115"/>
      <c r="S38" s="115"/>
      <c r="T38" s="115"/>
      <c r="U38" s="115"/>
    </row>
    <row r="39" spans="1:88">
      <c r="A39" s="68"/>
      <c r="C39" s="18"/>
      <c r="D39" s="19"/>
      <c r="H39" s="18"/>
      <c r="I39" s="18"/>
      <c r="L39" s="18"/>
    </row>
    <row r="40" spans="1:88" s="6" customFormat="1" ht="15" thickBot="1">
      <c r="A40" s="15"/>
      <c r="B40" s="31"/>
      <c r="C40" s="27"/>
      <c r="D40" s="40"/>
      <c r="E40"/>
      <c r="F40" s="160"/>
      <c r="G40" s="160"/>
      <c r="H40" s="27"/>
      <c r="I40" s="27"/>
      <c r="J40" s="27"/>
      <c r="K40" s="27"/>
      <c r="L40" s="27"/>
      <c r="M40" s="27"/>
      <c r="N40" s="27"/>
      <c r="O40" s="27"/>
      <c r="P40"/>
      <c r="Q40"/>
      <c r="R40" s="23"/>
      <c r="S40" s="23"/>
      <c r="T40" s="23"/>
      <c r="U40" s="23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</row>
    <row r="41" spans="1:88" s="6" customFormat="1" ht="24" thickBot="1">
      <c r="A41" s="15"/>
      <c r="B41" s="79" t="s">
        <v>132</v>
      </c>
      <c r="C41" s="18"/>
      <c r="D41" s="19"/>
      <c r="E41"/>
      <c r="F41" s="160"/>
      <c r="G41" s="160"/>
      <c r="H41" s="18"/>
      <c r="I41" s="18"/>
      <c r="J41" s="8"/>
      <c r="K41" s="8"/>
      <c r="L41" s="8"/>
      <c r="M41" s="8"/>
      <c r="N41" s="8"/>
      <c r="O41" s="8"/>
      <c r="P41"/>
      <c r="Q41" s="90" t="s">
        <v>50</v>
      </c>
      <c r="R41" s="91" t="s">
        <v>112</v>
      </c>
      <c r="S41" s="91" t="s">
        <v>113</v>
      </c>
      <c r="T41" s="91" t="s">
        <v>114</v>
      </c>
      <c r="U41" s="91" t="s">
        <v>115</v>
      </c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</row>
    <row r="42" spans="1:88" s="6" customFormat="1">
      <c r="A42" s="15"/>
      <c r="B42" s="206" t="s">
        <v>46</v>
      </c>
      <c r="C42" s="42">
        <f>D42/1.07</f>
        <v>40.654205607476634</v>
      </c>
      <c r="D42" s="53">
        <v>43.5</v>
      </c>
      <c r="E42"/>
      <c r="F42" s="186">
        <v>47</v>
      </c>
      <c r="G42" s="183">
        <f t="shared" ref="G42:G61" si="21">F42/$D42-1</f>
        <v>8.0459770114942541E-2</v>
      </c>
      <c r="H42" s="58">
        <v>48</v>
      </c>
      <c r="I42" s="200">
        <f t="shared" ref="I42:I61" si="22">H42/$D42-1</f>
        <v>0.10344827586206895</v>
      </c>
      <c r="J42" s="61">
        <v>50</v>
      </c>
      <c r="K42" s="200">
        <f>J42/$D42-1</f>
        <v>0.14942528735632177</v>
      </c>
      <c r="L42" s="61">
        <v>51.5</v>
      </c>
      <c r="M42" s="200">
        <f t="shared" ref="M42:M61" si="23">L42/$D42-1</f>
        <v>0.18390804597701149</v>
      </c>
      <c r="N42" s="61">
        <v>52.5</v>
      </c>
      <c r="O42" s="200">
        <f>N42/$D42-1</f>
        <v>0.2068965517241379</v>
      </c>
      <c r="P42"/>
      <c r="Q42" s="92">
        <v>4.065040650406504E-2</v>
      </c>
      <c r="R42" s="92">
        <v>0.1</v>
      </c>
      <c r="S42" s="92">
        <v>0.15</v>
      </c>
      <c r="T42" s="92">
        <v>0.18</v>
      </c>
      <c r="U42" s="92">
        <v>0.2</v>
      </c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</row>
    <row r="43" spans="1:88" s="6" customFormat="1">
      <c r="A43" s="15"/>
      <c r="B43" s="45" t="s">
        <v>45</v>
      </c>
      <c r="C43" s="43">
        <f t="shared" ref="C43:C61" si="24">D43/1.07</f>
        <v>50.233644859813083</v>
      </c>
      <c r="D43" s="49">
        <v>53.75</v>
      </c>
      <c r="E43"/>
      <c r="F43" s="176">
        <v>58</v>
      </c>
      <c r="G43" s="177">
        <f t="shared" si="21"/>
        <v>7.9069767441860561E-2</v>
      </c>
      <c r="H43" s="59">
        <v>59.5</v>
      </c>
      <c r="I43" s="197">
        <f t="shared" si="22"/>
        <v>0.10697674418604652</v>
      </c>
      <c r="J43" s="62">
        <v>61.75</v>
      </c>
      <c r="K43" s="197">
        <f t="shared" ref="K43:K61" si="25">J43/$D43-1</f>
        <v>0.14883720930232558</v>
      </c>
      <c r="L43" s="62">
        <v>63.5</v>
      </c>
      <c r="M43" s="197">
        <f t="shared" si="23"/>
        <v>0.18139534883720931</v>
      </c>
      <c r="N43" s="62">
        <v>65</v>
      </c>
      <c r="O43" s="197">
        <f t="shared" ref="O43:O61" si="26">N43/$D43-1</f>
        <v>0.20930232558139528</v>
      </c>
      <c r="P43"/>
      <c r="Q43" s="92"/>
      <c r="R43" s="92"/>
      <c r="S43" s="92"/>
      <c r="T43" s="92"/>
      <c r="U43" s="92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1:88" s="6" customFormat="1">
      <c r="A44" s="15"/>
      <c r="B44" s="45" t="s">
        <v>44</v>
      </c>
      <c r="C44" s="43">
        <f t="shared" si="24"/>
        <v>42.990654205607477</v>
      </c>
      <c r="D44" s="49">
        <v>46</v>
      </c>
      <c r="E44"/>
      <c r="F44" s="176">
        <v>49.5</v>
      </c>
      <c r="G44" s="177">
        <f t="shared" si="21"/>
        <v>7.6086956521739024E-2</v>
      </c>
      <c r="H44" s="59">
        <v>51</v>
      </c>
      <c r="I44" s="197">
        <f t="shared" si="22"/>
        <v>0.10869565217391308</v>
      </c>
      <c r="J44" s="62">
        <v>53</v>
      </c>
      <c r="K44" s="197">
        <f t="shared" si="25"/>
        <v>0.15217391304347827</v>
      </c>
      <c r="L44" s="62">
        <v>54.5</v>
      </c>
      <c r="M44" s="197">
        <f t="shared" si="23"/>
        <v>0.18478260869565211</v>
      </c>
      <c r="N44" s="62">
        <v>55.25</v>
      </c>
      <c r="O44" s="197">
        <f t="shared" si="26"/>
        <v>0.20108695652173902</v>
      </c>
      <c r="P44"/>
      <c r="Q44" s="92"/>
      <c r="R44" s="92"/>
      <c r="S44" s="92"/>
      <c r="T44" s="92"/>
      <c r="U44" s="92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</row>
    <row r="45" spans="1:88" s="6" customFormat="1">
      <c r="A45" s="15"/>
      <c r="B45" s="45" t="s">
        <v>43</v>
      </c>
      <c r="C45" s="43">
        <f t="shared" si="24"/>
        <v>53.037383177570092</v>
      </c>
      <c r="D45" s="49">
        <v>56.75</v>
      </c>
      <c r="E45"/>
      <c r="F45" s="176">
        <v>61</v>
      </c>
      <c r="G45" s="177">
        <f t="shared" si="21"/>
        <v>7.4889867841409608E-2</v>
      </c>
      <c r="H45" s="59">
        <v>62.5</v>
      </c>
      <c r="I45" s="197">
        <f t="shared" si="22"/>
        <v>0.1013215859030836</v>
      </c>
      <c r="J45" s="62">
        <v>65.5</v>
      </c>
      <c r="K45" s="197">
        <f t="shared" si="25"/>
        <v>0.15418502202643181</v>
      </c>
      <c r="L45" s="62">
        <v>67</v>
      </c>
      <c r="M45" s="197">
        <f t="shared" si="23"/>
        <v>0.1806167400881058</v>
      </c>
      <c r="N45" s="62">
        <v>68.5</v>
      </c>
      <c r="O45" s="197">
        <f t="shared" si="26"/>
        <v>0.20704845814977979</v>
      </c>
      <c r="P45"/>
      <c r="Q45" s="92"/>
      <c r="R45" s="92"/>
      <c r="S45" s="92"/>
      <c r="T45" s="92"/>
      <c r="U45" s="92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</row>
    <row r="46" spans="1:88" s="6" customFormat="1">
      <c r="A46" s="15"/>
      <c r="B46" s="45" t="s">
        <v>42</v>
      </c>
      <c r="C46" s="122">
        <f t="shared" si="24"/>
        <v>29.439252336448597</v>
      </c>
      <c r="D46" s="123">
        <v>31.5</v>
      </c>
      <c r="E46"/>
      <c r="F46" s="176">
        <v>35.25</v>
      </c>
      <c r="G46" s="177">
        <f t="shared" si="21"/>
        <v>0.11904761904761907</v>
      </c>
      <c r="H46" s="59">
        <v>36.25</v>
      </c>
      <c r="I46" s="197">
        <f t="shared" si="22"/>
        <v>0.1507936507936507</v>
      </c>
      <c r="J46" s="62">
        <v>37.75</v>
      </c>
      <c r="K46" s="197">
        <f t="shared" si="25"/>
        <v>0.19841269841269837</v>
      </c>
      <c r="L46" s="62">
        <v>38.75</v>
      </c>
      <c r="M46" s="197">
        <f t="shared" si="23"/>
        <v>0.23015873015873023</v>
      </c>
      <c r="N46" s="62">
        <v>39.5</v>
      </c>
      <c r="O46" s="197">
        <f t="shared" si="26"/>
        <v>0.25396825396825395</v>
      </c>
      <c r="P46"/>
      <c r="Q46" s="92"/>
      <c r="R46" s="92"/>
      <c r="S46" s="92"/>
      <c r="T46" s="92"/>
      <c r="U46" s="92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</row>
    <row r="47" spans="1:88" s="6" customFormat="1">
      <c r="A47" s="15"/>
      <c r="B47" s="45" t="s">
        <v>41</v>
      </c>
      <c r="C47" s="122">
        <f t="shared" si="24"/>
        <v>35.514018691588781</v>
      </c>
      <c r="D47" s="123">
        <v>38</v>
      </c>
      <c r="E47"/>
      <c r="F47" s="176">
        <v>42.5</v>
      </c>
      <c r="G47" s="177">
        <f t="shared" si="21"/>
        <v>0.11842105263157898</v>
      </c>
      <c r="H47" s="59">
        <v>43.75</v>
      </c>
      <c r="I47" s="197">
        <f t="shared" si="22"/>
        <v>0.15131578947368429</v>
      </c>
      <c r="J47" s="62">
        <v>46</v>
      </c>
      <c r="K47" s="197">
        <f t="shared" si="25"/>
        <v>0.21052631578947367</v>
      </c>
      <c r="L47" s="62">
        <v>47</v>
      </c>
      <c r="M47" s="197">
        <f t="shared" si="23"/>
        <v>0.23684210526315796</v>
      </c>
      <c r="N47" s="62">
        <v>48</v>
      </c>
      <c r="O47" s="197">
        <f t="shared" si="26"/>
        <v>0.26315789473684204</v>
      </c>
      <c r="P47"/>
      <c r="Q47" s="92"/>
      <c r="R47" s="92"/>
      <c r="S47" s="92"/>
      <c r="T47" s="92"/>
      <c r="U47" s="92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</row>
    <row r="48" spans="1:88" s="6" customFormat="1">
      <c r="A48" s="15"/>
      <c r="B48" s="45" t="s">
        <v>40</v>
      </c>
      <c r="C48" s="43">
        <f t="shared" si="24"/>
        <v>30.607476635514018</v>
      </c>
      <c r="D48" s="49">
        <v>32.75</v>
      </c>
      <c r="E48"/>
      <c r="F48" s="176">
        <v>35</v>
      </c>
      <c r="G48" s="177">
        <f t="shared" si="21"/>
        <v>6.8702290076335881E-2</v>
      </c>
      <c r="H48" s="59">
        <v>36.25</v>
      </c>
      <c r="I48" s="197">
        <f t="shared" si="22"/>
        <v>0.10687022900763354</v>
      </c>
      <c r="J48" s="62">
        <v>37.75</v>
      </c>
      <c r="K48" s="197">
        <f t="shared" si="25"/>
        <v>0.15267175572519087</v>
      </c>
      <c r="L48" s="62">
        <v>38.75</v>
      </c>
      <c r="M48" s="197">
        <f t="shared" si="23"/>
        <v>0.18320610687022909</v>
      </c>
      <c r="N48" s="62">
        <v>39.5</v>
      </c>
      <c r="O48" s="197">
        <f t="shared" si="26"/>
        <v>0.20610687022900764</v>
      </c>
      <c r="P48"/>
      <c r="Q48" s="92"/>
      <c r="R48" s="92"/>
      <c r="S48" s="92"/>
      <c r="T48" s="92"/>
      <c r="U48" s="92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</row>
    <row r="49" spans="1:88" s="6" customFormat="1">
      <c r="A49" s="15"/>
      <c r="B49" s="45" t="s">
        <v>39</v>
      </c>
      <c r="C49" s="43">
        <f t="shared" si="24"/>
        <v>37.149532710280369</v>
      </c>
      <c r="D49" s="49">
        <v>39.75</v>
      </c>
      <c r="E49"/>
      <c r="F49" s="176">
        <v>43</v>
      </c>
      <c r="G49" s="177">
        <f t="shared" si="21"/>
        <v>8.1761006289308158E-2</v>
      </c>
      <c r="H49" s="59">
        <v>44</v>
      </c>
      <c r="I49" s="197">
        <f t="shared" si="22"/>
        <v>0.10691823899371067</v>
      </c>
      <c r="J49" s="62">
        <v>46</v>
      </c>
      <c r="K49" s="197">
        <f t="shared" si="25"/>
        <v>0.15723270440251569</v>
      </c>
      <c r="L49" s="62">
        <v>47</v>
      </c>
      <c r="M49" s="197">
        <f t="shared" si="23"/>
        <v>0.1823899371069182</v>
      </c>
      <c r="N49" s="62">
        <v>48</v>
      </c>
      <c r="O49" s="197">
        <f t="shared" si="26"/>
        <v>0.20754716981132071</v>
      </c>
      <c r="P49"/>
      <c r="Q49" s="92"/>
      <c r="R49" s="92"/>
      <c r="S49" s="92"/>
      <c r="T49" s="92"/>
      <c r="U49" s="92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</row>
    <row r="50" spans="1:88" s="6" customFormat="1">
      <c r="A50" s="15"/>
      <c r="B50" s="45" t="s">
        <v>38</v>
      </c>
      <c r="C50" s="43">
        <f t="shared" si="24"/>
        <v>40.654205607476634</v>
      </c>
      <c r="D50" s="49">
        <v>43.5</v>
      </c>
      <c r="E50"/>
      <c r="F50" s="176">
        <v>47</v>
      </c>
      <c r="G50" s="177">
        <f t="shared" si="21"/>
        <v>8.0459770114942541E-2</v>
      </c>
      <c r="H50" s="59">
        <v>48</v>
      </c>
      <c r="I50" s="197">
        <f t="shared" si="22"/>
        <v>0.10344827586206895</v>
      </c>
      <c r="J50" s="62">
        <v>50</v>
      </c>
      <c r="K50" s="197">
        <f t="shared" si="25"/>
        <v>0.14942528735632177</v>
      </c>
      <c r="L50" s="62">
        <v>51.5</v>
      </c>
      <c r="M50" s="197">
        <f t="shared" si="23"/>
        <v>0.18390804597701149</v>
      </c>
      <c r="N50" s="62">
        <v>52.5</v>
      </c>
      <c r="O50" s="197">
        <f t="shared" si="26"/>
        <v>0.2068965517241379</v>
      </c>
      <c r="P50"/>
      <c r="Q50" s="92"/>
      <c r="R50" s="92"/>
      <c r="S50" s="92"/>
      <c r="T50" s="92"/>
      <c r="U50" s="92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</row>
    <row r="51" spans="1:88" s="6" customFormat="1">
      <c r="A51" s="15"/>
      <c r="B51" s="45" t="s">
        <v>37</v>
      </c>
      <c r="C51" s="43">
        <f t="shared" si="24"/>
        <v>50.233644859813083</v>
      </c>
      <c r="D51" s="49">
        <v>53.75</v>
      </c>
      <c r="E51"/>
      <c r="F51" s="176">
        <v>58</v>
      </c>
      <c r="G51" s="177">
        <f t="shared" si="21"/>
        <v>7.9069767441860561E-2</v>
      </c>
      <c r="H51" s="59">
        <v>59.25</v>
      </c>
      <c r="I51" s="197">
        <f t="shared" si="22"/>
        <v>0.10232558139534875</v>
      </c>
      <c r="J51" s="62">
        <v>62</v>
      </c>
      <c r="K51" s="197">
        <f t="shared" si="25"/>
        <v>0.15348837209302335</v>
      </c>
      <c r="L51" s="62">
        <v>63.5</v>
      </c>
      <c r="M51" s="197">
        <f t="shared" si="23"/>
        <v>0.18139534883720931</v>
      </c>
      <c r="N51" s="62">
        <v>64.5</v>
      </c>
      <c r="O51" s="197">
        <f t="shared" si="26"/>
        <v>0.19999999999999996</v>
      </c>
      <c r="P51"/>
      <c r="Q51" s="92"/>
      <c r="R51" s="92"/>
      <c r="S51" s="92"/>
      <c r="T51" s="92"/>
      <c r="U51" s="92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</row>
    <row r="52" spans="1:88" s="6" customFormat="1">
      <c r="A52" s="15"/>
      <c r="B52" s="45" t="s">
        <v>36</v>
      </c>
      <c r="C52" s="43">
        <f t="shared" si="24"/>
        <v>36.915887850467286</v>
      </c>
      <c r="D52" s="49">
        <v>39.5</v>
      </c>
      <c r="E52"/>
      <c r="F52" s="176">
        <v>42.5</v>
      </c>
      <c r="G52" s="177">
        <f t="shared" si="21"/>
        <v>7.5949367088607556E-2</v>
      </c>
      <c r="H52" s="59">
        <v>43.5</v>
      </c>
      <c r="I52" s="197">
        <f t="shared" si="22"/>
        <v>0.10126582278481022</v>
      </c>
      <c r="J52" s="62">
        <v>45.5</v>
      </c>
      <c r="K52" s="197">
        <f t="shared" si="25"/>
        <v>0.15189873417721511</v>
      </c>
      <c r="L52" s="62">
        <v>46.75</v>
      </c>
      <c r="M52" s="197">
        <f t="shared" si="23"/>
        <v>0.18354430379746844</v>
      </c>
      <c r="N52" s="62">
        <v>47.5</v>
      </c>
      <c r="O52" s="197">
        <f t="shared" si="26"/>
        <v>0.20253164556962022</v>
      </c>
      <c r="P52"/>
      <c r="Q52" s="92"/>
      <c r="R52" s="92"/>
      <c r="S52" s="92"/>
      <c r="T52" s="92"/>
      <c r="U52" s="9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</row>
    <row r="53" spans="1:88" s="6" customFormat="1">
      <c r="A53" s="15"/>
      <c r="B53" s="45" t="s">
        <v>35</v>
      </c>
      <c r="C53" s="43">
        <f t="shared" si="24"/>
        <v>45.560747663551396</v>
      </c>
      <c r="D53" s="49">
        <v>48.75</v>
      </c>
      <c r="E53"/>
      <c r="F53" s="176">
        <v>52.5</v>
      </c>
      <c r="G53" s="177">
        <f t="shared" si="21"/>
        <v>7.6923076923076872E-2</v>
      </c>
      <c r="H53" s="59">
        <v>53.75</v>
      </c>
      <c r="I53" s="197">
        <f t="shared" si="22"/>
        <v>0.10256410256410264</v>
      </c>
      <c r="J53" s="62">
        <v>56.25</v>
      </c>
      <c r="K53" s="197">
        <f t="shared" si="25"/>
        <v>0.15384615384615374</v>
      </c>
      <c r="L53" s="62">
        <v>58</v>
      </c>
      <c r="M53" s="197">
        <f t="shared" si="23"/>
        <v>0.18974358974358974</v>
      </c>
      <c r="N53" s="62">
        <v>58.5</v>
      </c>
      <c r="O53" s="197">
        <f t="shared" si="26"/>
        <v>0.19999999999999996</v>
      </c>
      <c r="P53"/>
      <c r="Q53" s="92"/>
      <c r="R53" s="92"/>
      <c r="S53" s="92"/>
      <c r="T53" s="92"/>
      <c r="U53" s="92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</row>
    <row r="54" spans="1:88" s="6" customFormat="1">
      <c r="A54" s="15"/>
      <c r="B54" s="45" t="s">
        <v>34</v>
      </c>
      <c r="C54" s="43">
        <f t="shared" si="24"/>
        <v>25</v>
      </c>
      <c r="D54" s="49">
        <v>26.75</v>
      </c>
      <c r="E54"/>
      <c r="F54" s="176">
        <v>28.75</v>
      </c>
      <c r="G54" s="177">
        <f t="shared" si="21"/>
        <v>7.4766355140186924E-2</v>
      </c>
      <c r="H54" s="59">
        <v>29.5</v>
      </c>
      <c r="I54" s="197">
        <f t="shared" si="22"/>
        <v>0.10280373831775691</v>
      </c>
      <c r="J54" s="62">
        <v>31</v>
      </c>
      <c r="K54" s="197">
        <f t="shared" si="25"/>
        <v>0.1588785046728971</v>
      </c>
      <c r="L54" s="62">
        <v>31.75</v>
      </c>
      <c r="M54" s="197">
        <f t="shared" si="23"/>
        <v>0.18691588785046731</v>
      </c>
      <c r="N54" s="62">
        <v>32.25</v>
      </c>
      <c r="O54" s="197">
        <f t="shared" si="26"/>
        <v>0.20560747663551404</v>
      </c>
      <c r="P54"/>
      <c r="Q54" s="92"/>
      <c r="R54" s="92"/>
      <c r="S54" s="92"/>
      <c r="T54" s="92"/>
      <c r="U54" s="92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</row>
    <row r="55" spans="1:88" s="6" customFormat="1">
      <c r="A55" s="15"/>
      <c r="B55" s="45" t="s">
        <v>33</v>
      </c>
      <c r="C55" s="43">
        <f t="shared" si="24"/>
        <v>30.373831775700932</v>
      </c>
      <c r="D55" s="49">
        <v>32.5</v>
      </c>
      <c r="E55"/>
      <c r="F55" s="176">
        <v>35</v>
      </c>
      <c r="G55" s="177">
        <f t="shared" si="21"/>
        <v>7.6923076923076872E-2</v>
      </c>
      <c r="H55" s="59">
        <v>36</v>
      </c>
      <c r="I55" s="197">
        <f t="shared" si="22"/>
        <v>0.10769230769230775</v>
      </c>
      <c r="J55" s="62">
        <v>37.5</v>
      </c>
      <c r="K55" s="197">
        <f t="shared" si="25"/>
        <v>0.15384615384615374</v>
      </c>
      <c r="L55" s="62">
        <v>38.5</v>
      </c>
      <c r="M55" s="197">
        <f t="shared" si="23"/>
        <v>0.18461538461538463</v>
      </c>
      <c r="N55" s="62">
        <v>39</v>
      </c>
      <c r="O55" s="197">
        <f t="shared" si="26"/>
        <v>0.19999999999999996</v>
      </c>
      <c r="P55"/>
      <c r="Q55" s="92"/>
      <c r="R55" s="92"/>
      <c r="S55" s="92"/>
      <c r="T55" s="92"/>
      <c r="U55" s="92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</row>
    <row r="56" spans="1:88" s="6" customFormat="1">
      <c r="A56" s="15"/>
      <c r="B56" s="45" t="s">
        <v>32</v>
      </c>
      <c r="C56" s="43">
        <f t="shared" si="24"/>
        <v>28.971962616822427</v>
      </c>
      <c r="D56" s="49">
        <v>31</v>
      </c>
      <c r="E56"/>
      <c r="F56" s="176">
        <v>33.25</v>
      </c>
      <c r="G56" s="177">
        <f t="shared" si="21"/>
        <v>7.2580645161290258E-2</v>
      </c>
      <c r="H56" s="59">
        <v>34.25</v>
      </c>
      <c r="I56" s="197">
        <f t="shared" si="22"/>
        <v>0.10483870967741926</v>
      </c>
      <c r="J56" s="62">
        <v>35.75</v>
      </c>
      <c r="K56" s="197">
        <f t="shared" si="25"/>
        <v>0.15322580645161299</v>
      </c>
      <c r="L56" s="62">
        <v>36.75</v>
      </c>
      <c r="M56" s="197">
        <f t="shared" si="23"/>
        <v>0.18548387096774199</v>
      </c>
      <c r="N56" s="62">
        <v>37.5</v>
      </c>
      <c r="O56" s="197">
        <f t="shared" si="26"/>
        <v>0.20967741935483875</v>
      </c>
      <c r="P56"/>
      <c r="Q56" s="92"/>
      <c r="R56" s="92"/>
      <c r="S56" s="92"/>
      <c r="T56" s="92"/>
      <c r="U56" s="92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</row>
    <row r="57" spans="1:88" s="6" customFormat="1">
      <c r="A57" s="15"/>
      <c r="B57" s="45" t="s">
        <v>31</v>
      </c>
      <c r="C57" s="43">
        <f t="shared" si="24"/>
        <v>33.411214953271028</v>
      </c>
      <c r="D57" s="49">
        <v>35.75</v>
      </c>
      <c r="E57"/>
      <c r="F57" s="176">
        <v>38.5</v>
      </c>
      <c r="G57" s="177">
        <f t="shared" si="21"/>
        <v>7.6923076923076872E-2</v>
      </c>
      <c r="H57" s="59">
        <v>39.5</v>
      </c>
      <c r="I57" s="197">
        <f t="shared" si="22"/>
        <v>0.10489510489510478</v>
      </c>
      <c r="J57" s="62">
        <v>41.25</v>
      </c>
      <c r="K57" s="197">
        <f t="shared" si="25"/>
        <v>0.15384615384615374</v>
      </c>
      <c r="L57" s="62">
        <v>42.5</v>
      </c>
      <c r="M57" s="197">
        <f t="shared" si="23"/>
        <v>0.18881118881118875</v>
      </c>
      <c r="N57" s="62">
        <v>43</v>
      </c>
      <c r="O57" s="197">
        <f t="shared" si="26"/>
        <v>0.2027972027972027</v>
      </c>
      <c r="P57"/>
      <c r="Q57" s="92"/>
      <c r="R57" s="92"/>
      <c r="S57" s="92"/>
      <c r="T57" s="92"/>
      <c r="U57" s="92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</row>
    <row r="58" spans="1:88" s="6" customFormat="1">
      <c r="A58" s="15"/>
      <c r="B58" s="45" t="s">
        <v>30</v>
      </c>
      <c r="C58" s="43">
        <f t="shared" si="24"/>
        <v>10.2803738317757</v>
      </c>
      <c r="D58" s="49">
        <v>11</v>
      </c>
      <c r="E58"/>
      <c r="F58" s="176">
        <v>11.75</v>
      </c>
      <c r="G58" s="177">
        <f t="shared" si="21"/>
        <v>6.8181818181818121E-2</v>
      </c>
      <c r="H58" s="59">
        <v>12.25</v>
      </c>
      <c r="I58" s="197">
        <f t="shared" si="22"/>
        <v>0.11363636363636354</v>
      </c>
      <c r="J58" s="62">
        <v>12.5</v>
      </c>
      <c r="K58" s="197">
        <f t="shared" si="25"/>
        <v>0.13636363636363646</v>
      </c>
      <c r="L58" s="62">
        <v>13</v>
      </c>
      <c r="M58" s="197">
        <f t="shared" si="23"/>
        <v>0.18181818181818188</v>
      </c>
      <c r="N58" s="62">
        <v>13.25</v>
      </c>
      <c r="O58" s="197">
        <f t="shared" si="26"/>
        <v>0.20454545454545459</v>
      </c>
      <c r="P58"/>
      <c r="Q58" s="92"/>
      <c r="R58" s="92"/>
      <c r="S58" s="92"/>
      <c r="T58" s="92"/>
      <c r="U58" s="92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</row>
    <row r="59" spans="1:88" s="6" customFormat="1">
      <c r="A59" s="15"/>
      <c r="B59" s="45" t="s">
        <v>29</v>
      </c>
      <c r="C59" s="43">
        <f t="shared" si="24"/>
        <v>11.214953271028037</v>
      </c>
      <c r="D59" s="49">
        <v>12</v>
      </c>
      <c r="E59"/>
      <c r="F59" s="176">
        <v>12.75</v>
      </c>
      <c r="G59" s="177">
        <f t="shared" si="21"/>
        <v>6.25E-2</v>
      </c>
      <c r="H59" s="59">
        <v>13.25</v>
      </c>
      <c r="I59" s="197">
        <f t="shared" si="22"/>
        <v>0.10416666666666674</v>
      </c>
      <c r="J59" s="62">
        <v>13.75</v>
      </c>
      <c r="K59" s="197">
        <f t="shared" si="25"/>
        <v>0.14583333333333326</v>
      </c>
      <c r="L59" s="62">
        <v>14.25</v>
      </c>
      <c r="M59" s="197">
        <f t="shared" si="23"/>
        <v>0.1875</v>
      </c>
      <c r="N59" s="62">
        <v>14.5</v>
      </c>
      <c r="O59" s="197">
        <f t="shared" si="26"/>
        <v>0.20833333333333326</v>
      </c>
      <c r="P59"/>
      <c r="Q59" s="92"/>
      <c r="R59" s="92"/>
      <c r="S59" s="92"/>
      <c r="T59" s="92"/>
      <c r="U59" s="92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</row>
    <row r="60" spans="1:88" s="6" customFormat="1">
      <c r="A60" s="15"/>
      <c r="B60" s="45" t="s">
        <v>28</v>
      </c>
      <c r="C60" s="43">
        <f t="shared" si="24"/>
        <v>9.3457943925233646</v>
      </c>
      <c r="D60" s="49">
        <v>10</v>
      </c>
      <c r="E60"/>
      <c r="F60" s="176">
        <v>10.75</v>
      </c>
      <c r="G60" s="177">
        <f t="shared" si="21"/>
        <v>7.4999999999999956E-2</v>
      </c>
      <c r="H60" s="59">
        <v>11</v>
      </c>
      <c r="I60" s="197">
        <f t="shared" si="22"/>
        <v>0.10000000000000009</v>
      </c>
      <c r="J60" s="62">
        <v>11.5</v>
      </c>
      <c r="K60" s="197">
        <f t="shared" si="25"/>
        <v>0.14999999999999991</v>
      </c>
      <c r="L60" s="62">
        <v>11.75</v>
      </c>
      <c r="M60" s="197">
        <f t="shared" si="23"/>
        <v>0.17500000000000004</v>
      </c>
      <c r="N60" s="62">
        <v>12</v>
      </c>
      <c r="O60" s="197">
        <f t="shared" si="26"/>
        <v>0.19999999999999996</v>
      </c>
      <c r="P60"/>
      <c r="Q60" s="92"/>
      <c r="R60" s="92"/>
      <c r="S60" s="92"/>
      <c r="T60" s="92"/>
      <c r="U60" s="92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</row>
    <row r="61" spans="1:88" s="6" customFormat="1" ht="15" thickBot="1">
      <c r="A61" s="15"/>
      <c r="B61" s="46" t="s">
        <v>27</v>
      </c>
      <c r="C61" s="44">
        <f t="shared" si="24"/>
        <v>10.2803738317757</v>
      </c>
      <c r="D61" s="50">
        <v>11</v>
      </c>
      <c r="E61"/>
      <c r="F61" s="178">
        <v>11.75</v>
      </c>
      <c r="G61" s="179">
        <f t="shared" si="21"/>
        <v>6.8181818181818121E-2</v>
      </c>
      <c r="H61" s="60">
        <v>12.25</v>
      </c>
      <c r="I61" s="198">
        <f t="shared" si="22"/>
        <v>0.11363636363636354</v>
      </c>
      <c r="J61" s="63">
        <v>12.75</v>
      </c>
      <c r="K61" s="198">
        <f t="shared" si="25"/>
        <v>0.15909090909090917</v>
      </c>
      <c r="L61" s="63">
        <v>13</v>
      </c>
      <c r="M61" s="198">
        <f t="shared" si="23"/>
        <v>0.18181818181818188</v>
      </c>
      <c r="N61" s="63">
        <v>13.25</v>
      </c>
      <c r="O61" s="198">
        <f t="shared" si="26"/>
        <v>0.20454545454545459</v>
      </c>
      <c r="P61"/>
      <c r="Q61" s="92"/>
      <c r="R61" s="92"/>
      <c r="S61" s="92"/>
      <c r="T61" s="92"/>
      <c r="U61" s="92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</row>
    <row r="62" spans="1:88" s="6" customFormat="1" ht="15" thickBot="1">
      <c r="A62" s="15"/>
      <c r="B62" s="31"/>
      <c r="C62" s="27"/>
      <c r="D62" s="40"/>
      <c r="E62"/>
      <c r="F62" s="160"/>
      <c r="G62" s="160"/>
      <c r="H62" s="27"/>
      <c r="I62" s="27"/>
      <c r="J62" s="28"/>
      <c r="K62" s="28"/>
      <c r="L62" s="28"/>
      <c r="M62" s="28"/>
      <c r="N62" s="28"/>
      <c r="O62" s="28"/>
      <c r="P62"/>
      <c r="Q62"/>
      <c r="R62" s="23"/>
      <c r="S62" s="23"/>
      <c r="T62" s="23"/>
      <c r="U62" s="23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</row>
    <row r="63" spans="1:88" s="6" customFormat="1" ht="24" thickBot="1">
      <c r="A63" s="15"/>
      <c r="B63" s="52" t="s">
        <v>55</v>
      </c>
      <c r="C63" s="18"/>
      <c r="D63" s="19"/>
      <c r="E63"/>
      <c r="F63" s="160"/>
      <c r="G63" s="160"/>
      <c r="H63" s="18"/>
      <c r="I63" s="18"/>
      <c r="J63" s="8"/>
      <c r="K63" s="8"/>
      <c r="L63" s="8"/>
      <c r="M63" s="8"/>
      <c r="N63" s="8"/>
      <c r="O63" s="8"/>
      <c r="P63"/>
      <c r="Q63" s="90" t="s">
        <v>50</v>
      </c>
      <c r="R63" s="91" t="s">
        <v>112</v>
      </c>
      <c r="S63" s="91" t="s">
        <v>113</v>
      </c>
      <c r="T63" s="91" t="s">
        <v>114</v>
      </c>
      <c r="U63" s="91" t="s">
        <v>115</v>
      </c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</row>
    <row r="64" spans="1:88" s="6" customFormat="1">
      <c r="A64" s="15"/>
      <c r="B64" s="149" t="s">
        <v>162</v>
      </c>
      <c r="C64" s="201">
        <f>D64/1.07</f>
        <v>45.999999999999993</v>
      </c>
      <c r="D64" s="202">
        <v>49.22</v>
      </c>
      <c r="E64" s="203"/>
      <c r="F64" s="170">
        <v>52</v>
      </c>
      <c r="G64" s="171">
        <f t="shared" ref="G64:G81" si="27">F64/$D64-1</f>
        <v>5.6481105241771745E-2</v>
      </c>
      <c r="H64" s="150">
        <v>54</v>
      </c>
      <c r="I64" s="193">
        <f t="shared" ref="I64:I81" si="28">H64/$D64-1</f>
        <v>9.7114993904916735E-2</v>
      </c>
      <c r="J64" s="150">
        <v>56.25</v>
      </c>
      <c r="K64" s="193">
        <f t="shared" ref="K64:K81" si="29">J64/$D64-1</f>
        <v>0.14282811865095502</v>
      </c>
      <c r="L64" s="150">
        <v>57.5</v>
      </c>
      <c r="M64" s="193">
        <f t="shared" ref="M64:M81" si="30">L64/$D64-1</f>
        <v>0.16822429906542058</v>
      </c>
      <c r="N64" s="150">
        <v>59</v>
      </c>
      <c r="O64" s="193">
        <f t="shared" ref="O64:O81" si="31">N64/$D64-1</f>
        <v>0.19869971556277943</v>
      </c>
      <c r="P64"/>
      <c r="Q64" s="92">
        <v>4.065040650406504E-2</v>
      </c>
      <c r="R64" s="92">
        <v>0.1</v>
      </c>
      <c r="S64" s="92">
        <v>0.15</v>
      </c>
      <c r="T64" s="92">
        <v>0.18</v>
      </c>
      <c r="U64" s="92">
        <v>0.2</v>
      </c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</row>
    <row r="65" spans="1:88" s="6" customFormat="1">
      <c r="A65" s="15"/>
      <c r="B65" s="125" t="s">
        <v>163</v>
      </c>
      <c r="C65" s="204">
        <f t="shared" ref="C65:C81" si="32">D65/1.07</f>
        <v>57</v>
      </c>
      <c r="D65" s="205">
        <v>60.99</v>
      </c>
      <c r="E65" s="203"/>
      <c r="F65" s="172">
        <v>64</v>
      </c>
      <c r="G65" s="173">
        <f t="shared" si="27"/>
        <v>4.9352352844728609E-2</v>
      </c>
      <c r="H65" s="126">
        <v>67.25</v>
      </c>
      <c r="I65" s="194">
        <f t="shared" si="28"/>
        <v>0.10263977701262506</v>
      </c>
      <c r="J65" s="126">
        <v>70</v>
      </c>
      <c r="K65" s="194">
        <f t="shared" si="29"/>
        <v>0.14772913592392189</v>
      </c>
      <c r="L65" s="126">
        <v>71</v>
      </c>
      <c r="M65" s="194">
        <f t="shared" si="30"/>
        <v>0.16412526643712089</v>
      </c>
      <c r="N65" s="126">
        <v>73</v>
      </c>
      <c r="O65" s="194">
        <f t="shared" si="31"/>
        <v>0.19691752746351865</v>
      </c>
      <c r="P65"/>
      <c r="Q65" s="92"/>
      <c r="R65" s="92"/>
      <c r="S65" s="92"/>
      <c r="T65" s="92"/>
      <c r="U65" s="92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</row>
    <row r="66" spans="1:88" s="6" customFormat="1">
      <c r="A66" s="15"/>
      <c r="B66" s="125" t="s">
        <v>164</v>
      </c>
      <c r="C66" s="204">
        <f t="shared" si="32"/>
        <v>49</v>
      </c>
      <c r="D66" s="205">
        <v>52.43</v>
      </c>
      <c r="E66" s="203"/>
      <c r="F66" s="172">
        <v>55</v>
      </c>
      <c r="G66" s="173">
        <f t="shared" si="27"/>
        <v>4.9017737936295935E-2</v>
      </c>
      <c r="H66" s="126">
        <v>57.5</v>
      </c>
      <c r="I66" s="194">
        <f t="shared" si="28"/>
        <v>9.6700362387945882E-2</v>
      </c>
      <c r="J66" s="126">
        <v>60</v>
      </c>
      <c r="K66" s="194">
        <f t="shared" si="29"/>
        <v>0.14438298683959561</v>
      </c>
      <c r="L66" s="126">
        <v>61</v>
      </c>
      <c r="M66" s="194">
        <f t="shared" si="30"/>
        <v>0.16345603662025554</v>
      </c>
      <c r="N66" s="126">
        <v>62.5</v>
      </c>
      <c r="O66" s="194">
        <f t="shared" si="31"/>
        <v>0.19206561129124555</v>
      </c>
      <c r="P66"/>
      <c r="Q66" s="92"/>
      <c r="R66" s="92"/>
      <c r="S66" s="92"/>
      <c r="T66" s="92"/>
      <c r="U66" s="92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</row>
    <row r="67" spans="1:88" s="6" customFormat="1">
      <c r="A67" s="15"/>
      <c r="B67" s="125" t="s">
        <v>165</v>
      </c>
      <c r="C67" s="204">
        <f t="shared" si="32"/>
        <v>60.999999999999993</v>
      </c>
      <c r="D67" s="205">
        <v>65.27</v>
      </c>
      <c r="E67" s="203"/>
      <c r="F67" s="172">
        <v>68</v>
      </c>
      <c r="G67" s="173">
        <f t="shared" si="27"/>
        <v>4.1826260150145567E-2</v>
      </c>
      <c r="H67" s="126">
        <v>72</v>
      </c>
      <c r="I67" s="194">
        <f t="shared" si="28"/>
        <v>0.1031101578060365</v>
      </c>
      <c r="J67" s="126">
        <v>74.5</v>
      </c>
      <c r="K67" s="194">
        <f t="shared" si="29"/>
        <v>0.14141259384096827</v>
      </c>
      <c r="L67" s="126">
        <v>76</v>
      </c>
      <c r="M67" s="194">
        <f t="shared" si="30"/>
        <v>0.16439405546192742</v>
      </c>
      <c r="N67" s="126">
        <v>78</v>
      </c>
      <c r="O67" s="194">
        <f t="shared" si="31"/>
        <v>0.19503600428987289</v>
      </c>
      <c r="P67"/>
      <c r="Q67" s="92"/>
      <c r="R67" s="92"/>
      <c r="S67" s="92"/>
      <c r="T67" s="92"/>
      <c r="U67" s="92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</row>
    <row r="68" spans="1:88" s="6" customFormat="1">
      <c r="A68" s="15"/>
      <c r="B68" s="125" t="s">
        <v>166</v>
      </c>
      <c r="C68" s="204">
        <f t="shared" si="32"/>
        <v>29</v>
      </c>
      <c r="D68" s="205">
        <v>31.03</v>
      </c>
      <c r="E68" s="203"/>
      <c r="F68" s="172">
        <v>33</v>
      </c>
      <c r="G68" s="173">
        <f t="shared" si="27"/>
        <v>6.3486948114727548E-2</v>
      </c>
      <c r="H68" s="126">
        <v>34</v>
      </c>
      <c r="I68" s="194">
        <f t="shared" si="28"/>
        <v>9.5713825330325353E-2</v>
      </c>
      <c r="J68" s="126">
        <v>35.5</v>
      </c>
      <c r="K68" s="194">
        <f t="shared" si="29"/>
        <v>0.14405414115372217</v>
      </c>
      <c r="L68" s="126">
        <v>36</v>
      </c>
      <c r="M68" s="194">
        <f t="shared" si="30"/>
        <v>0.16016757976152096</v>
      </c>
      <c r="N68" s="126">
        <v>37</v>
      </c>
      <c r="O68" s="194">
        <f t="shared" si="31"/>
        <v>0.19239445697711877</v>
      </c>
      <c r="P68"/>
      <c r="Q68" s="92"/>
      <c r="R68" s="92"/>
      <c r="S68" s="92"/>
      <c r="T68" s="92"/>
      <c r="U68" s="92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</row>
    <row r="69" spans="1:88" s="6" customFormat="1">
      <c r="A69" s="15"/>
      <c r="B69" s="125" t="s">
        <v>167</v>
      </c>
      <c r="C69" s="204">
        <f>D69/1.07</f>
        <v>37.999999999999993</v>
      </c>
      <c r="D69" s="205">
        <v>40.659999999999997</v>
      </c>
      <c r="E69" s="203"/>
      <c r="F69" s="172">
        <v>43</v>
      </c>
      <c r="G69" s="173">
        <f t="shared" si="27"/>
        <v>5.7550418101328216E-2</v>
      </c>
      <c r="H69" s="126">
        <v>45</v>
      </c>
      <c r="I69" s="194">
        <f t="shared" si="28"/>
        <v>0.10673880964092475</v>
      </c>
      <c r="J69" s="126">
        <v>46.5</v>
      </c>
      <c r="K69" s="194">
        <f t="shared" si="29"/>
        <v>0.14363010329562242</v>
      </c>
      <c r="L69" s="126">
        <v>47.25</v>
      </c>
      <c r="M69" s="194">
        <f t="shared" si="30"/>
        <v>0.16207575012297104</v>
      </c>
      <c r="N69" s="126">
        <v>48.5</v>
      </c>
      <c r="O69" s="194">
        <f t="shared" si="31"/>
        <v>0.19281849483521896</v>
      </c>
      <c r="P69"/>
      <c r="Q69" s="92"/>
      <c r="R69" s="92"/>
      <c r="S69" s="92"/>
      <c r="T69" s="92"/>
      <c r="U69" s="92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</row>
    <row r="70" spans="1:88" s="6" customFormat="1">
      <c r="A70" s="15"/>
      <c r="B70" s="125" t="s">
        <v>168</v>
      </c>
      <c r="C70" s="204">
        <f t="shared" si="32"/>
        <v>31</v>
      </c>
      <c r="D70" s="205">
        <v>33.17</v>
      </c>
      <c r="E70" s="203"/>
      <c r="F70" s="172">
        <v>35</v>
      </c>
      <c r="G70" s="173">
        <f t="shared" si="27"/>
        <v>5.5170334639734753E-2</v>
      </c>
      <c r="H70" s="126">
        <v>36.5</v>
      </c>
      <c r="I70" s="194">
        <f t="shared" si="28"/>
        <v>0.10039192041000899</v>
      </c>
      <c r="J70" s="126">
        <v>38</v>
      </c>
      <c r="K70" s="194">
        <f t="shared" si="29"/>
        <v>0.14561350618028324</v>
      </c>
      <c r="L70" s="126">
        <v>38.5</v>
      </c>
      <c r="M70" s="194">
        <f t="shared" si="30"/>
        <v>0.16068736810370821</v>
      </c>
      <c r="N70" s="126">
        <v>39.5</v>
      </c>
      <c r="O70" s="194">
        <f t="shared" si="31"/>
        <v>0.1908350919505577</v>
      </c>
      <c r="P70"/>
      <c r="Q70" s="92"/>
      <c r="R70" s="92"/>
      <c r="S70" s="92"/>
      <c r="T70" s="92"/>
      <c r="U70" s="92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</row>
    <row r="71" spans="1:88" s="6" customFormat="1">
      <c r="A71" s="15"/>
      <c r="B71" s="125" t="s">
        <v>169</v>
      </c>
      <c r="C71" s="204">
        <f t="shared" si="32"/>
        <v>38.999999999999993</v>
      </c>
      <c r="D71" s="205">
        <v>41.73</v>
      </c>
      <c r="E71" s="203"/>
      <c r="F71" s="172">
        <v>44</v>
      </c>
      <c r="G71" s="173">
        <f t="shared" si="27"/>
        <v>5.4397316079559221E-2</v>
      </c>
      <c r="H71" s="126">
        <v>46</v>
      </c>
      <c r="I71" s="194">
        <f t="shared" si="28"/>
        <v>0.10232446681044816</v>
      </c>
      <c r="J71" s="126">
        <v>47.75</v>
      </c>
      <c r="K71" s="194">
        <f t="shared" si="29"/>
        <v>0.14426072369997622</v>
      </c>
      <c r="L71" s="126">
        <v>48.5</v>
      </c>
      <c r="M71" s="194">
        <f t="shared" si="30"/>
        <v>0.16223340522405949</v>
      </c>
      <c r="N71" s="126">
        <v>50</v>
      </c>
      <c r="O71" s="194">
        <f t="shared" si="31"/>
        <v>0.19817876827222625</v>
      </c>
      <c r="P71"/>
      <c r="Q71" s="92"/>
      <c r="R71" s="92"/>
      <c r="S71" s="92"/>
      <c r="T71" s="92"/>
      <c r="U71" s="92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</row>
    <row r="72" spans="1:88" s="6" customFormat="1">
      <c r="A72" s="15"/>
      <c r="B72" s="125" t="s">
        <v>170</v>
      </c>
      <c r="C72" s="204">
        <f t="shared" si="32"/>
        <v>38.999999999999993</v>
      </c>
      <c r="D72" s="205">
        <v>41.73</v>
      </c>
      <c r="E72" s="203"/>
      <c r="F72" s="172">
        <v>44</v>
      </c>
      <c r="G72" s="173">
        <f t="shared" si="27"/>
        <v>5.4397316079559221E-2</v>
      </c>
      <c r="H72" s="126">
        <v>46</v>
      </c>
      <c r="I72" s="194">
        <f t="shared" si="28"/>
        <v>0.10232446681044816</v>
      </c>
      <c r="J72" s="126">
        <v>47.75</v>
      </c>
      <c r="K72" s="194">
        <f t="shared" si="29"/>
        <v>0.14426072369997622</v>
      </c>
      <c r="L72" s="126">
        <v>48.5</v>
      </c>
      <c r="M72" s="194">
        <f t="shared" si="30"/>
        <v>0.16223340522405949</v>
      </c>
      <c r="N72" s="126">
        <v>50</v>
      </c>
      <c r="O72" s="194">
        <f t="shared" si="31"/>
        <v>0.19817876827222625</v>
      </c>
      <c r="P72"/>
      <c r="Q72" s="92"/>
      <c r="R72" s="92"/>
      <c r="S72" s="92"/>
      <c r="T72" s="92"/>
      <c r="U72" s="9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6" customFormat="1">
      <c r="A73" s="15"/>
      <c r="B73" s="125" t="s">
        <v>171</v>
      </c>
      <c r="C73" s="204">
        <f t="shared" si="32"/>
        <v>49</v>
      </c>
      <c r="D73" s="205">
        <v>52.43</v>
      </c>
      <c r="E73" s="203"/>
      <c r="F73" s="172">
        <v>55</v>
      </c>
      <c r="G73" s="173">
        <f t="shared" si="27"/>
        <v>4.9017737936295935E-2</v>
      </c>
      <c r="H73" s="126">
        <v>58</v>
      </c>
      <c r="I73" s="194">
        <f t="shared" si="28"/>
        <v>0.10623688727827574</v>
      </c>
      <c r="J73" s="126">
        <v>60</v>
      </c>
      <c r="K73" s="194">
        <f t="shared" si="29"/>
        <v>0.14438298683959561</v>
      </c>
      <c r="L73" s="126">
        <v>61</v>
      </c>
      <c r="M73" s="194">
        <f t="shared" si="30"/>
        <v>0.16345603662025554</v>
      </c>
      <c r="N73" s="126">
        <v>62.5</v>
      </c>
      <c r="O73" s="194">
        <f t="shared" si="31"/>
        <v>0.19206561129124555</v>
      </c>
      <c r="P73"/>
      <c r="Q73" s="92"/>
      <c r="R73" s="92"/>
      <c r="S73" s="92"/>
      <c r="T73" s="92"/>
      <c r="U73" s="92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6" customFormat="1">
      <c r="A74" s="15"/>
      <c r="B74" s="125" t="s">
        <v>172</v>
      </c>
      <c r="C74" s="204">
        <f t="shared" si="32"/>
        <v>41.999999999999993</v>
      </c>
      <c r="D74" s="205">
        <v>44.94</v>
      </c>
      <c r="E74" s="203"/>
      <c r="F74" s="172">
        <v>48</v>
      </c>
      <c r="G74" s="173">
        <f t="shared" si="27"/>
        <v>6.8090787716956092E-2</v>
      </c>
      <c r="H74" s="126">
        <v>49.5</v>
      </c>
      <c r="I74" s="194">
        <f t="shared" si="28"/>
        <v>0.10146862483311092</v>
      </c>
      <c r="J74" s="126">
        <v>51.25</v>
      </c>
      <c r="K74" s="194">
        <f t="shared" si="29"/>
        <v>0.14040943480195822</v>
      </c>
      <c r="L74" s="126">
        <v>52.5</v>
      </c>
      <c r="M74" s="194">
        <f t="shared" si="30"/>
        <v>0.16822429906542058</v>
      </c>
      <c r="N74" s="126">
        <v>53.5</v>
      </c>
      <c r="O74" s="194">
        <f t="shared" si="31"/>
        <v>0.19047619047619047</v>
      </c>
      <c r="P74"/>
      <c r="Q74" s="92"/>
      <c r="R74" s="92"/>
      <c r="S74" s="92"/>
      <c r="T74" s="92"/>
      <c r="U74" s="92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6" customFormat="1">
      <c r="A75" s="15"/>
      <c r="B75" s="125" t="s">
        <v>173</v>
      </c>
      <c r="C75" s="204">
        <f t="shared" si="32"/>
        <v>53</v>
      </c>
      <c r="D75" s="205">
        <v>56.71</v>
      </c>
      <c r="E75" s="203"/>
      <c r="F75" s="172">
        <v>60</v>
      </c>
      <c r="G75" s="173">
        <f t="shared" si="27"/>
        <v>5.801445953094686E-2</v>
      </c>
      <c r="H75" s="126">
        <v>62.5</v>
      </c>
      <c r="I75" s="194">
        <f t="shared" si="28"/>
        <v>0.1020983953447363</v>
      </c>
      <c r="J75" s="126">
        <v>65</v>
      </c>
      <c r="K75" s="194">
        <f t="shared" si="29"/>
        <v>0.14618233115852575</v>
      </c>
      <c r="L75" s="126">
        <v>66</v>
      </c>
      <c r="M75" s="194">
        <f t="shared" si="30"/>
        <v>0.16381590548404157</v>
      </c>
      <c r="N75" s="126">
        <v>67.5</v>
      </c>
      <c r="O75" s="194">
        <f t="shared" si="31"/>
        <v>0.19026626697231519</v>
      </c>
      <c r="P75"/>
      <c r="Q75" s="92"/>
      <c r="R75" s="92"/>
      <c r="S75" s="92"/>
      <c r="T75" s="92"/>
      <c r="U75" s="92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6" customFormat="1">
      <c r="A76" s="15"/>
      <c r="B76" s="125" t="s">
        <v>174</v>
      </c>
      <c r="C76" s="204">
        <f t="shared" si="32"/>
        <v>26</v>
      </c>
      <c r="D76" s="205">
        <v>27.82</v>
      </c>
      <c r="E76" s="203"/>
      <c r="F76" s="172">
        <v>30</v>
      </c>
      <c r="G76" s="173">
        <f t="shared" si="27"/>
        <v>7.8360891445003578E-2</v>
      </c>
      <c r="H76" s="126">
        <v>30.75</v>
      </c>
      <c r="I76" s="194">
        <f t="shared" si="28"/>
        <v>0.1053199137311287</v>
      </c>
      <c r="J76" s="126">
        <v>31.75</v>
      </c>
      <c r="K76" s="194">
        <f t="shared" si="29"/>
        <v>0.14126527677929546</v>
      </c>
      <c r="L76" s="126">
        <v>32.5</v>
      </c>
      <c r="M76" s="194">
        <f t="shared" si="30"/>
        <v>0.16822429906542058</v>
      </c>
      <c r="N76" s="126">
        <v>33.25</v>
      </c>
      <c r="O76" s="194">
        <f t="shared" si="31"/>
        <v>0.1951833213515457</v>
      </c>
      <c r="P76"/>
      <c r="Q76" s="92"/>
      <c r="R76" s="92"/>
      <c r="S76" s="92"/>
      <c r="T76" s="92"/>
      <c r="U76" s="92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6" customFormat="1">
      <c r="A77" s="15"/>
      <c r="B77" s="125" t="s">
        <v>175</v>
      </c>
      <c r="C77" s="204">
        <f t="shared" si="32"/>
        <v>32</v>
      </c>
      <c r="D77" s="205">
        <v>34.24</v>
      </c>
      <c r="E77" s="203"/>
      <c r="F77" s="172">
        <v>36</v>
      </c>
      <c r="G77" s="173">
        <f t="shared" si="27"/>
        <v>5.1401869158878455E-2</v>
      </c>
      <c r="H77" s="126">
        <v>37.75</v>
      </c>
      <c r="I77" s="194">
        <f t="shared" si="28"/>
        <v>0.10251168224299056</v>
      </c>
      <c r="J77" s="126">
        <v>39.25</v>
      </c>
      <c r="K77" s="194">
        <f t="shared" si="29"/>
        <v>0.14632009345794383</v>
      </c>
      <c r="L77" s="126">
        <v>40</v>
      </c>
      <c r="M77" s="194">
        <f t="shared" si="30"/>
        <v>0.16822429906542058</v>
      </c>
      <c r="N77" s="126">
        <v>41</v>
      </c>
      <c r="O77" s="194">
        <f t="shared" si="31"/>
        <v>0.19742990654205594</v>
      </c>
      <c r="P77"/>
      <c r="Q77" s="92"/>
      <c r="R77" s="92"/>
      <c r="S77" s="92"/>
      <c r="T77" s="92"/>
      <c r="U77" s="92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6" customFormat="1">
      <c r="A78" s="15"/>
      <c r="B78" s="125" t="s">
        <v>176</v>
      </c>
      <c r="C78" s="204">
        <f t="shared" si="32"/>
        <v>27</v>
      </c>
      <c r="D78" s="205">
        <v>28.89</v>
      </c>
      <c r="E78" s="203"/>
      <c r="F78" s="172">
        <v>31</v>
      </c>
      <c r="G78" s="173">
        <f t="shared" si="27"/>
        <v>7.3035652474904733E-2</v>
      </c>
      <c r="H78" s="126">
        <v>32</v>
      </c>
      <c r="I78" s="194">
        <f t="shared" si="28"/>
        <v>0.10764970578054678</v>
      </c>
      <c r="J78" s="126">
        <v>33</v>
      </c>
      <c r="K78" s="194">
        <f t="shared" si="29"/>
        <v>0.14226375908618905</v>
      </c>
      <c r="L78" s="126">
        <v>33.75</v>
      </c>
      <c r="M78" s="194">
        <f t="shared" si="30"/>
        <v>0.16822429906542058</v>
      </c>
      <c r="N78" s="126">
        <v>34.5</v>
      </c>
      <c r="O78" s="194">
        <f t="shared" si="31"/>
        <v>0.19418483904465211</v>
      </c>
      <c r="P78"/>
      <c r="Q78" s="92"/>
      <c r="R78" s="92"/>
      <c r="S78" s="92"/>
      <c r="T78" s="92"/>
      <c r="U78" s="92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6" customFormat="1">
      <c r="A79" s="15"/>
      <c r="B79" s="125" t="s">
        <v>177</v>
      </c>
      <c r="C79" s="204">
        <f t="shared" si="32"/>
        <v>34</v>
      </c>
      <c r="D79" s="205">
        <v>36.380000000000003</v>
      </c>
      <c r="E79" s="203"/>
      <c r="F79" s="172">
        <v>39</v>
      </c>
      <c r="G79" s="173">
        <f t="shared" si="27"/>
        <v>7.2017592083562398E-2</v>
      </c>
      <c r="H79" s="126">
        <v>40.25</v>
      </c>
      <c r="I79" s="194">
        <f t="shared" si="28"/>
        <v>0.10637713029136875</v>
      </c>
      <c r="J79" s="126">
        <v>41.5</v>
      </c>
      <c r="K79" s="194">
        <f t="shared" si="29"/>
        <v>0.14073666849917532</v>
      </c>
      <c r="L79" s="126">
        <v>42.5</v>
      </c>
      <c r="M79" s="194">
        <f t="shared" si="30"/>
        <v>0.16822429906542058</v>
      </c>
      <c r="N79" s="126">
        <v>43.5</v>
      </c>
      <c r="O79" s="194">
        <f t="shared" si="31"/>
        <v>0.19571192963166562</v>
      </c>
      <c r="P79"/>
      <c r="Q79" s="92"/>
      <c r="R79" s="92"/>
      <c r="S79" s="92"/>
      <c r="T79" s="92"/>
      <c r="U79" s="92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6" customFormat="1">
      <c r="A80" s="15"/>
      <c r="B80" s="45" t="s">
        <v>178</v>
      </c>
      <c r="C80" s="43">
        <f t="shared" si="32"/>
        <v>9</v>
      </c>
      <c r="D80" s="49">
        <v>9.6300000000000008</v>
      </c>
      <c r="E80"/>
      <c r="F80" s="172">
        <v>10.25</v>
      </c>
      <c r="G80" s="173">
        <f t="shared" si="27"/>
        <v>6.4382139148494222E-2</v>
      </c>
      <c r="H80" s="126">
        <v>10.5</v>
      </c>
      <c r="I80" s="194">
        <f t="shared" si="28"/>
        <v>9.0342679127725756E-2</v>
      </c>
      <c r="J80" s="126">
        <v>11</v>
      </c>
      <c r="K80" s="194">
        <f t="shared" si="29"/>
        <v>0.14226375908618882</v>
      </c>
      <c r="L80" s="126">
        <v>11.25</v>
      </c>
      <c r="M80" s="194">
        <f t="shared" si="30"/>
        <v>0.16822429906542036</v>
      </c>
      <c r="N80" s="126">
        <v>11.5</v>
      </c>
      <c r="O80" s="194">
        <f t="shared" si="31"/>
        <v>0.19418483904465211</v>
      </c>
      <c r="P80"/>
      <c r="Q80" s="92"/>
      <c r="R80" s="92"/>
      <c r="S80" s="92"/>
      <c r="T80" s="92"/>
      <c r="U80" s="92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6" customFormat="1" ht="15" thickBot="1">
      <c r="A81" s="15"/>
      <c r="B81" s="46" t="s">
        <v>179</v>
      </c>
      <c r="C81" s="44">
        <f t="shared" si="32"/>
        <v>9.9999999999999982</v>
      </c>
      <c r="D81" s="50">
        <v>10.7</v>
      </c>
      <c r="E81"/>
      <c r="F81" s="174">
        <v>11.25</v>
      </c>
      <c r="G81" s="175">
        <f t="shared" si="27"/>
        <v>5.1401869158878677E-2</v>
      </c>
      <c r="H81" s="131">
        <v>11.75</v>
      </c>
      <c r="I81" s="196">
        <f t="shared" si="28"/>
        <v>9.8130841121495394E-2</v>
      </c>
      <c r="J81" s="131">
        <v>12.25</v>
      </c>
      <c r="K81" s="196">
        <f t="shared" si="29"/>
        <v>0.14485981308411233</v>
      </c>
      <c r="L81" s="131">
        <v>12.5</v>
      </c>
      <c r="M81" s="196">
        <f t="shared" si="30"/>
        <v>0.16822429906542058</v>
      </c>
      <c r="N81" s="131">
        <v>12.75</v>
      </c>
      <c r="O81" s="196">
        <f t="shared" si="31"/>
        <v>0.19158878504672905</v>
      </c>
      <c r="P81"/>
      <c r="Q81" s="92"/>
      <c r="R81" s="92"/>
      <c r="S81" s="92"/>
      <c r="T81" s="92"/>
      <c r="U81" s="92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s="6" customFormat="1" ht="15" thickBot="1">
      <c r="A82" s="15"/>
      <c r="B82" s="31"/>
      <c r="C82" s="27"/>
      <c r="D82" s="40"/>
      <c r="E82"/>
      <c r="F82" s="160"/>
      <c r="G82" s="160"/>
      <c r="H82" s="27"/>
      <c r="I82" s="27"/>
      <c r="J82" s="28"/>
      <c r="K82" s="28"/>
      <c r="L82" s="28"/>
      <c r="M82" s="28"/>
      <c r="N82" s="28"/>
      <c r="O82" s="28"/>
      <c r="P82"/>
      <c r="Q82"/>
      <c r="R82" s="23"/>
      <c r="S82" s="23"/>
      <c r="T82" s="23"/>
      <c r="U82" s="23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</row>
    <row r="83" spans="1:88" ht="24" thickBot="1">
      <c r="A83" s="15"/>
      <c r="B83" s="47" t="s">
        <v>26</v>
      </c>
      <c r="C83" s="22"/>
      <c r="D83" s="18"/>
      <c r="J83" s="8"/>
      <c r="K83" s="8"/>
      <c r="L83" s="8"/>
      <c r="M83" s="8"/>
      <c r="N83" s="8"/>
      <c r="O83" s="8"/>
      <c r="Q83" s="90" t="s">
        <v>50</v>
      </c>
      <c r="R83" s="91" t="s">
        <v>112</v>
      </c>
      <c r="S83" s="91" t="s">
        <v>113</v>
      </c>
      <c r="T83" s="91" t="s">
        <v>114</v>
      </c>
      <c r="U83" s="91" t="s">
        <v>115</v>
      </c>
    </row>
    <row r="84" spans="1:88">
      <c r="A84" s="65" t="s">
        <v>52</v>
      </c>
      <c r="B84" s="72" t="s">
        <v>25</v>
      </c>
      <c r="C84" s="73">
        <f>D84/1.07</f>
        <v>0</v>
      </c>
      <c r="D84" s="74">
        <v>0</v>
      </c>
      <c r="E84" s="71"/>
      <c r="F84" s="180"/>
      <c r="G84" s="181" t="e">
        <f t="shared" ref="G84:G95" si="33">F84/$D84-1</f>
        <v>#DIV/0!</v>
      </c>
      <c r="H84" s="75"/>
      <c r="I84" s="199" t="e">
        <f t="shared" ref="I84:I85" si="34">H84/$D84-1</f>
        <v>#DIV/0!</v>
      </c>
      <c r="J84" s="76"/>
      <c r="K84" s="199" t="e">
        <f t="shared" ref="K84" si="35">J84/$D84-1</f>
        <v>#DIV/0!</v>
      </c>
      <c r="L84" s="76"/>
      <c r="M84" s="199" t="e">
        <f t="shared" ref="M84:M85" si="36">L84/$D84-1</f>
        <v>#DIV/0!</v>
      </c>
      <c r="N84" s="76"/>
      <c r="O84" s="199" t="e">
        <f t="shared" ref="O84:O85" si="37">N84/$D84-1</f>
        <v>#DIV/0!</v>
      </c>
      <c r="Q84" s="95">
        <v>4.065040650406504E-2</v>
      </c>
      <c r="R84" s="95">
        <v>0.1</v>
      </c>
      <c r="S84" s="95">
        <v>0.15</v>
      </c>
      <c r="T84" s="95">
        <v>0.2</v>
      </c>
      <c r="U84" s="95">
        <v>0.25</v>
      </c>
    </row>
    <row r="85" spans="1:88">
      <c r="A85" s="66" t="s">
        <v>53</v>
      </c>
      <c r="B85" s="127" t="s">
        <v>25</v>
      </c>
      <c r="C85" s="122">
        <f>D85/1.07</f>
        <v>6.5420560747663545</v>
      </c>
      <c r="D85" s="123">
        <v>7</v>
      </c>
      <c r="E85" s="7"/>
      <c r="F85" s="172">
        <v>7.5</v>
      </c>
      <c r="G85" s="173">
        <f t="shared" si="33"/>
        <v>7.1428571428571397E-2</v>
      </c>
      <c r="H85" s="124">
        <v>8</v>
      </c>
      <c r="I85" s="194">
        <f t="shared" si="34"/>
        <v>0.14285714285714279</v>
      </c>
      <c r="J85" s="126">
        <v>8.25</v>
      </c>
      <c r="K85" s="194">
        <f>J85/$D85-1</f>
        <v>0.1785714285714286</v>
      </c>
      <c r="L85" s="126">
        <v>8.5</v>
      </c>
      <c r="M85" s="194">
        <f t="shared" si="36"/>
        <v>0.21428571428571419</v>
      </c>
      <c r="N85" s="126">
        <v>8.75</v>
      </c>
      <c r="O85" s="194">
        <f t="shared" si="37"/>
        <v>0.25</v>
      </c>
      <c r="Q85" s="95"/>
      <c r="R85" s="95"/>
      <c r="S85" s="95"/>
      <c r="T85" s="95"/>
      <c r="U85" s="95"/>
    </row>
    <row r="86" spans="1:88">
      <c r="A86" s="15"/>
      <c r="B86" s="39" t="s">
        <v>24</v>
      </c>
      <c r="C86" s="51"/>
      <c r="D86" s="54"/>
      <c r="F86" s="176"/>
      <c r="G86" s="177" t="e">
        <f t="shared" si="33"/>
        <v>#DIV/0!</v>
      </c>
      <c r="H86" s="37"/>
      <c r="I86" s="37"/>
      <c r="J86" s="62"/>
      <c r="K86" s="62"/>
      <c r="L86" s="62"/>
      <c r="M86" s="62"/>
      <c r="N86" s="62"/>
      <c r="O86" s="62"/>
      <c r="Q86" s="95"/>
      <c r="R86" s="95"/>
      <c r="S86" s="95"/>
      <c r="T86" s="95"/>
      <c r="U86" s="95"/>
    </row>
    <row r="87" spans="1:88">
      <c r="A87" s="15"/>
      <c r="B87" s="39" t="s">
        <v>23</v>
      </c>
      <c r="C87" s="51"/>
      <c r="D87" s="54"/>
      <c r="F87" s="176"/>
      <c r="G87" s="177" t="e">
        <f t="shared" si="33"/>
        <v>#DIV/0!</v>
      </c>
      <c r="H87" s="37"/>
      <c r="I87" s="37"/>
      <c r="J87" s="62"/>
      <c r="K87" s="62"/>
      <c r="L87" s="62"/>
      <c r="M87" s="62"/>
      <c r="N87" s="62"/>
      <c r="O87" s="62"/>
      <c r="Q87" s="95"/>
      <c r="R87" s="95"/>
      <c r="S87" s="95"/>
      <c r="T87" s="95"/>
      <c r="U87" s="95"/>
    </row>
    <row r="88" spans="1:88">
      <c r="A88" s="15"/>
      <c r="B88" s="39" t="s">
        <v>22</v>
      </c>
      <c r="C88" s="51"/>
      <c r="D88" s="54"/>
      <c r="F88" s="176"/>
      <c r="G88" s="177" t="e">
        <f t="shared" si="33"/>
        <v>#DIV/0!</v>
      </c>
      <c r="H88" s="37"/>
      <c r="I88" s="37"/>
      <c r="J88" s="62"/>
      <c r="K88" s="62"/>
      <c r="L88" s="62"/>
      <c r="M88" s="62"/>
      <c r="N88" s="62"/>
      <c r="O88" s="62"/>
      <c r="P88" s="64"/>
      <c r="Q88" s="95"/>
      <c r="R88" s="95"/>
      <c r="S88" s="95"/>
      <c r="T88" s="95"/>
      <c r="U88" s="95"/>
    </row>
    <row r="89" spans="1:88">
      <c r="A89" s="65" t="s">
        <v>52</v>
      </c>
      <c r="B89" s="39" t="s">
        <v>21</v>
      </c>
      <c r="C89" s="43">
        <f t="shared" ref="C89:C90" si="38">D89/1.07</f>
        <v>0</v>
      </c>
      <c r="D89" s="49">
        <v>0</v>
      </c>
      <c r="F89" s="176"/>
      <c r="G89" s="177" t="e">
        <f t="shared" si="33"/>
        <v>#DIV/0!</v>
      </c>
      <c r="H89" s="59"/>
      <c r="I89" s="197" t="e">
        <f t="shared" ref="I89:I90" si="39">H89/$D89-1</f>
        <v>#DIV/0!</v>
      </c>
      <c r="J89" s="62"/>
      <c r="K89" s="197" t="e">
        <f t="shared" ref="K89:K90" si="40">J89/$D89-1</f>
        <v>#DIV/0!</v>
      </c>
      <c r="L89" s="62"/>
      <c r="M89" s="197" t="e">
        <f t="shared" ref="M89:M90" si="41">L89/$D89-1</f>
        <v>#DIV/0!</v>
      </c>
      <c r="N89" s="62"/>
      <c r="O89" s="197" t="e">
        <f t="shared" ref="O89:O90" si="42">N89/$D89-1</f>
        <v>#DIV/0!</v>
      </c>
      <c r="Q89" s="95"/>
      <c r="R89" s="96"/>
      <c r="S89" s="96"/>
      <c r="T89" s="95"/>
      <c r="U89" s="95"/>
    </row>
    <row r="90" spans="1:88">
      <c r="A90" s="66" t="s">
        <v>53</v>
      </c>
      <c r="B90" s="127" t="s">
        <v>21</v>
      </c>
      <c r="C90" s="122">
        <f t="shared" si="38"/>
        <v>29.906542056074766</v>
      </c>
      <c r="D90" s="123">
        <v>32</v>
      </c>
      <c r="E90" s="7"/>
      <c r="F90" s="172">
        <v>34</v>
      </c>
      <c r="G90" s="173">
        <f t="shared" si="33"/>
        <v>6.25E-2</v>
      </c>
      <c r="H90" s="124">
        <v>36.5</v>
      </c>
      <c r="I90" s="194">
        <f t="shared" si="39"/>
        <v>0.140625</v>
      </c>
      <c r="J90" s="126">
        <v>37.5</v>
      </c>
      <c r="K90" s="194">
        <f t="shared" si="40"/>
        <v>0.171875</v>
      </c>
      <c r="L90" s="126">
        <v>39</v>
      </c>
      <c r="M90" s="194">
        <f t="shared" si="41"/>
        <v>0.21875</v>
      </c>
      <c r="N90" s="126">
        <v>40</v>
      </c>
      <c r="O90" s="194">
        <f t="shared" si="42"/>
        <v>0.25</v>
      </c>
      <c r="Q90" s="95"/>
      <c r="R90" s="96"/>
      <c r="S90" s="96"/>
      <c r="T90" s="95"/>
      <c r="U90" s="95"/>
    </row>
    <row r="91" spans="1:88">
      <c r="A91" s="15"/>
      <c r="B91" s="39" t="s">
        <v>20</v>
      </c>
      <c r="C91" s="51"/>
      <c r="D91" s="54"/>
      <c r="F91" s="176"/>
      <c r="G91" s="177" t="e">
        <f t="shared" si="33"/>
        <v>#DIV/0!</v>
      </c>
      <c r="H91" s="37"/>
      <c r="I91" s="37"/>
      <c r="J91" s="62"/>
      <c r="K91" s="62"/>
      <c r="L91" s="62"/>
      <c r="M91" s="62"/>
      <c r="N91" s="62"/>
      <c r="O91" s="62"/>
      <c r="Q91" s="95"/>
      <c r="R91" s="95"/>
      <c r="S91" s="95"/>
      <c r="T91" s="95"/>
      <c r="U91" s="95"/>
    </row>
    <row r="92" spans="1:88">
      <c r="A92" s="15"/>
      <c r="B92" s="39" t="s">
        <v>19</v>
      </c>
      <c r="C92" s="51"/>
      <c r="D92" s="54"/>
      <c r="F92" s="176"/>
      <c r="G92" s="177" t="e">
        <f t="shared" si="33"/>
        <v>#DIV/0!</v>
      </c>
      <c r="H92" s="37"/>
      <c r="I92" s="37"/>
      <c r="J92" s="62"/>
      <c r="K92" s="62"/>
      <c r="L92" s="62"/>
      <c r="M92" s="62"/>
      <c r="N92" s="62"/>
      <c r="O92" s="62"/>
      <c r="Q92" s="95"/>
      <c r="R92" s="95"/>
      <c r="S92" s="95"/>
      <c r="T92" s="95"/>
      <c r="U92" s="95"/>
    </row>
    <row r="93" spans="1:88">
      <c r="A93" s="15"/>
      <c r="B93" s="39" t="s">
        <v>18</v>
      </c>
      <c r="C93" s="51"/>
      <c r="D93" s="54"/>
      <c r="F93" s="176"/>
      <c r="G93" s="177" t="e">
        <f t="shared" si="33"/>
        <v>#DIV/0!</v>
      </c>
      <c r="H93" s="37"/>
      <c r="I93" s="37"/>
      <c r="J93" s="62"/>
      <c r="K93" s="62"/>
      <c r="L93" s="62"/>
      <c r="M93" s="62"/>
      <c r="N93" s="62"/>
      <c r="O93" s="62"/>
      <c r="Q93" s="95"/>
      <c r="R93" s="95"/>
      <c r="S93" s="95"/>
      <c r="T93" s="95"/>
      <c r="U93" s="95"/>
    </row>
    <row r="94" spans="1:88">
      <c r="A94" s="65" t="s">
        <v>52</v>
      </c>
      <c r="B94" s="39" t="s">
        <v>17</v>
      </c>
      <c r="C94" s="43">
        <f>D94/1.07</f>
        <v>0</v>
      </c>
      <c r="D94" s="49">
        <v>0</v>
      </c>
      <c r="F94" s="176"/>
      <c r="G94" s="177" t="e">
        <f t="shared" si="33"/>
        <v>#DIV/0!</v>
      </c>
      <c r="H94" s="59"/>
      <c r="I94" s="197" t="e">
        <f t="shared" ref="I94:I95" si="43">H94/$D94-1</f>
        <v>#DIV/0!</v>
      </c>
      <c r="J94" s="62"/>
      <c r="K94" s="197" t="e">
        <f t="shared" ref="K94:K95" si="44">J94/$D94-1</f>
        <v>#DIV/0!</v>
      </c>
      <c r="L94" s="62"/>
      <c r="M94" s="197" t="e">
        <f t="shared" ref="M94:M95" si="45">L94/$D94-1</f>
        <v>#DIV/0!</v>
      </c>
      <c r="N94" s="62"/>
      <c r="O94" s="197" t="e">
        <f t="shared" ref="O94:O95" si="46">N94/$D94-1</f>
        <v>#DIV/0!</v>
      </c>
      <c r="Q94" s="95"/>
      <c r="R94" s="95"/>
      <c r="S94" s="95"/>
      <c r="T94" s="95"/>
      <c r="U94" s="95"/>
    </row>
    <row r="95" spans="1:88" ht="15" thickBot="1">
      <c r="A95" s="66" t="s">
        <v>53</v>
      </c>
      <c r="B95" s="189" t="s">
        <v>17</v>
      </c>
      <c r="C95" s="128">
        <f>D95/1.07</f>
        <v>19.626168224299064</v>
      </c>
      <c r="D95" s="129">
        <v>21</v>
      </c>
      <c r="F95" s="174">
        <v>22.5</v>
      </c>
      <c r="G95" s="175">
        <f t="shared" si="33"/>
        <v>7.1428571428571397E-2</v>
      </c>
      <c r="H95" s="130">
        <v>24</v>
      </c>
      <c r="I95" s="196">
        <f t="shared" si="43"/>
        <v>0.14285714285714279</v>
      </c>
      <c r="J95" s="131">
        <v>25</v>
      </c>
      <c r="K95" s="196">
        <f t="shared" si="44"/>
        <v>0.19047619047619047</v>
      </c>
      <c r="L95" s="131">
        <v>25.5</v>
      </c>
      <c r="M95" s="196">
        <f t="shared" si="45"/>
        <v>0.21428571428571419</v>
      </c>
      <c r="N95" s="131">
        <v>26.25</v>
      </c>
      <c r="O95" s="196">
        <f t="shared" si="46"/>
        <v>0.25</v>
      </c>
      <c r="Q95" s="95"/>
      <c r="R95" s="95"/>
      <c r="S95" s="95"/>
      <c r="T95" s="95"/>
      <c r="U95" s="95"/>
    </row>
    <row r="96" spans="1:88" ht="15" thickBot="1">
      <c r="A96" s="15"/>
      <c r="B96" s="31"/>
      <c r="C96" s="27"/>
      <c r="D96" s="27"/>
      <c r="H96" s="27"/>
      <c r="I96" s="56"/>
      <c r="J96" s="28"/>
      <c r="K96" s="56"/>
      <c r="L96" s="28"/>
      <c r="M96" s="56"/>
      <c r="N96" s="28"/>
      <c r="O96" s="56"/>
    </row>
    <row r="97" spans="1:21" ht="24" thickBot="1">
      <c r="A97" s="15"/>
      <c r="B97" s="47" t="s">
        <v>59</v>
      </c>
      <c r="C97" s="22"/>
      <c r="D97" s="18"/>
      <c r="H97" s="27"/>
      <c r="I97" s="56"/>
      <c r="J97" s="28"/>
      <c r="K97" s="56"/>
      <c r="L97" s="28"/>
      <c r="M97" s="56"/>
      <c r="N97" s="28"/>
      <c r="O97" s="56"/>
      <c r="Q97" s="90" t="s">
        <v>50</v>
      </c>
      <c r="R97" s="91" t="s">
        <v>112</v>
      </c>
      <c r="S97" s="91" t="s">
        <v>113</v>
      </c>
      <c r="T97" s="91" t="s">
        <v>114</v>
      </c>
      <c r="U97" s="91" t="s">
        <v>115</v>
      </c>
    </row>
    <row r="98" spans="1:21">
      <c r="A98" s="15"/>
      <c r="B98" s="38" t="s">
        <v>180</v>
      </c>
      <c r="C98" s="42"/>
      <c r="D98" s="53"/>
      <c r="F98" s="182"/>
      <c r="G98" s="183">
        <v>-1</v>
      </c>
      <c r="H98" s="58"/>
      <c r="I98" s="200" t="e">
        <f t="shared" ref="I98:I102" si="47">H98/$D98-1</f>
        <v>#DIV/0!</v>
      </c>
      <c r="J98" s="61"/>
      <c r="K98" s="200" t="e">
        <f t="shared" ref="K98:K102" si="48">J98/$D98-1</f>
        <v>#DIV/0!</v>
      </c>
      <c r="L98" s="61"/>
      <c r="M98" s="200" t="e">
        <f t="shared" ref="M98:M102" si="49">L98/$D98-1</f>
        <v>#DIV/0!</v>
      </c>
      <c r="N98" s="61"/>
      <c r="O98" s="200" t="e">
        <f t="shared" ref="O98:O102" si="50">N98/$D98-1</f>
        <v>#DIV/0!</v>
      </c>
      <c r="Q98" s="92">
        <v>4.065040650406504E-2</v>
      </c>
      <c r="R98" s="92">
        <v>7.0000000000000007E-2</v>
      </c>
      <c r="S98" s="92">
        <v>9.9236641221374045E-2</v>
      </c>
      <c r="T98" s="92">
        <v>0.15</v>
      </c>
      <c r="U98" s="92">
        <v>0.2</v>
      </c>
    </row>
    <row r="99" spans="1:21">
      <c r="A99" s="15"/>
      <c r="B99" s="39" t="s">
        <v>181</v>
      </c>
      <c r="C99" s="43"/>
      <c r="D99" s="54"/>
      <c r="F99" s="184"/>
      <c r="G99" s="177">
        <v>-1</v>
      </c>
      <c r="H99" s="59"/>
      <c r="I99" s="197" t="e">
        <f t="shared" si="47"/>
        <v>#DIV/0!</v>
      </c>
      <c r="J99" s="62"/>
      <c r="K99" s="197" t="e">
        <f t="shared" si="48"/>
        <v>#DIV/0!</v>
      </c>
      <c r="L99" s="62"/>
      <c r="M99" s="197" t="e">
        <f t="shared" si="49"/>
        <v>#DIV/0!</v>
      </c>
      <c r="N99" s="62"/>
      <c r="O99" s="197" t="e">
        <f t="shared" si="50"/>
        <v>#DIV/0!</v>
      </c>
      <c r="Q99" s="92"/>
      <c r="R99" s="92"/>
      <c r="S99" s="92"/>
      <c r="T99" s="92"/>
      <c r="U99" s="92"/>
    </row>
    <row r="100" spans="1:21">
      <c r="A100" s="15"/>
      <c r="B100" s="39" t="s">
        <v>182</v>
      </c>
      <c r="C100" s="43"/>
      <c r="D100" s="54"/>
      <c r="F100" s="184"/>
      <c r="G100" s="177">
        <v>-1</v>
      </c>
      <c r="H100" s="59"/>
      <c r="I100" s="197" t="e">
        <f t="shared" si="47"/>
        <v>#DIV/0!</v>
      </c>
      <c r="J100" s="62"/>
      <c r="K100" s="197" t="e">
        <f t="shared" si="48"/>
        <v>#DIV/0!</v>
      </c>
      <c r="L100" s="62"/>
      <c r="M100" s="197" t="e">
        <f t="shared" si="49"/>
        <v>#DIV/0!</v>
      </c>
      <c r="N100" s="62"/>
      <c r="O100" s="197" t="e">
        <f t="shared" si="50"/>
        <v>#DIV/0!</v>
      </c>
      <c r="Q100" s="92"/>
      <c r="R100" s="92"/>
      <c r="S100" s="92"/>
      <c r="T100" s="92"/>
      <c r="U100" s="92"/>
    </row>
    <row r="101" spans="1:21">
      <c r="A101" s="15"/>
      <c r="B101" s="39" t="s">
        <v>183</v>
      </c>
      <c r="C101" s="43"/>
      <c r="D101" s="54"/>
      <c r="F101" s="184"/>
      <c r="G101" s="177">
        <v>-1</v>
      </c>
      <c r="H101" s="59"/>
      <c r="I101" s="197" t="e">
        <f t="shared" si="47"/>
        <v>#DIV/0!</v>
      </c>
      <c r="J101" s="62"/>
      <c r="K101" s="197" t="e">
        <f t="shared" si="48"/>
        <v>#DIV/0!</v>
      </c>
      <c r="L101" s="62"/>
      <c r="M101" s="197" t="e">
        <f t="shared" si="49"/>
        <v>#DIV/0!</v>
      </c>
      <c r="N101" s="62"/>
      <c r="O101" s="197" t="e">
        <f t="shared" si="50"/>
        <v>#DIV/0!</v>
      </c>
      <c r="Q101" s="92"/>
      <c r="R101" s="92"/>
      <c r="S101" s="92"/>
      <c r="T101" s="92"/>
      <c r="U101" s="92"/>
    </row>
    <row r="102" spans="1:21" ht="15" thickBot="1">
      <c r="A102" s="15"/>
      <c r="B102" s="41" t="s">
        <v>184</v>
      </c>
      <c r="C102" s="44"/>
      <c r="D102" s="50"/>
      <c r="F102" s="185"/>
      <c r="G102" s="179">
        <v>-1</v>
      </c>
      <c r="H102" s="60"/>
      <c r="I102" s="198" t="e">
        <f t="shared" si="47"/>
        <v>#DIV/0!</v>
      </c>
      <c r="J102" s="63"/>
      <c r="K102" s="198" t="e">
        <f t="shared" si="48"/>
        <v>#DIV/0!</v>
      </c>
      <c r="L102" s="63"/>
      <c r="M102" s="198" t="e">
        <f t="shared" si="49"/>
        <v>#DIV/0!</v>
      </c>
      <c r="N102" s="63"/>
      <c r="O102" s="198" t="e">
        <f t="shared" si="50"/>
        <v>#DIV/0!</v>
      </c>
      <c r="Q102" s="92"/>
      <c r="R102" s="92"/>
      <c r="S102" s="92"/>
      <c r="T102" s="92"/>
      <c r="U102" s="92"/>
    </row>
    <row r="103" spans="1:21" ht="15" thickBot="1">
      <c r="A103" s="15"/>
      <c r="B103" s="31"/>
      <c r="C103" s="27"/>
      <c r="D103" s="27"/>
      <c r="H103" s="27"/>
      <c r="I103" s="56"/>
      <c r="J103" s="28"/>
      <c r="K103" s="56"/>
      <c r="L103" s="28"/>
      <c r="M103" s="56"/>
      <c r="N103" s="28"/>
      <c r="O103" s="56"/>
    </row>
    <row r="104" spans="1:21" ht="24" thickBot="1">
      <c r="A104" s="15"/>
      <c r="B104" s="48" t="s">
        <v>60</v>
      </c>
      <c r="C104" s="22"/>
      <c r="D104" s="18"/>
      <c r="H104" s="27"/>
      <c r="I104" s="56"/>
      <c r="J104" s="28"/>
      <c r="K104" s="56"/>
      <c r="L104" s="28"/>
      <c r="M104" s="56"/>
      <c r="N104" s="28"/>
      <c r="O104" s="56"/>
      <c r="Q104" s="90" t="s">
        <v>50</v>
      </c>
      <c r="R104" s="91" t="s">
        <v>112</v>
      </c>
      <c r="S104" s="91" t="s">
        <v>113</v>
      </c>
      <c r="T104" s="91" t="s">
        <v>114</v>
      </c>
      <c r="U104" s="91" t="s">
        <v>115</v>
      </c>
    </row>
    <row r="105" spans="1:21">
      <c r="A105" s="15"/>
      <c r="B105" s="38" t="s">
        <v>185</v>
      </c>
      <c r="C105" s="42"/>
      <c r="D105" s="53"/>
      <c r="F105" s="182"/>
      <c r="G105" s="183" t="e">
        <f t="shared" ref="G105:G107" si="51">F105/$D105-1</f>
        <v>#DIV/0!</v>
      </c>
      <c r="H105" s="58"/>
      <c r="I105" s="200" t="e">
        <f t="shared" ref="I105:I107" si="52">H105/$D105-1</f>
        <v>#DIV/0!</v>
      </c>
      <c r="J105" s="61"/>
      <c r="K105" s="200" t="e">
        <f t="shared" ref="K105:K107" si="53">J105/$D105-1</f>
        <v>#DIV/0!</v>
      </c>
      <c r="L105" s="61"/>
      <c r="M105" s="200" t="e">
        <f t="shared" ref="M105:M107" si="54">L105/$D105-1</f>
        <v>#DIV/0!</v>
      </c>
      <c r="N105" s="61"/>
      <c r="O105" s="200" t="e">
        <f t="shared" ref="O105:O107" si="55">N105/$D105-1</f>
        <v>#DIV/0!</v>
      </c>
      <c r="Q105" s="92">
        <v>4.065040650406504E-2</v>
      </c>
      <c r="R105" s="92">
        <v>7.0000000000000007E-2</v>
      </c>
      <c r="S105" s="92">
        <v>9.9236641221374045E-2</v>
      </c>
      <c r="T105" s="92">
        <v>0.15</v>
      </c>
      <c r="U105" s="92">
        <v>0.2</v>
      </c>
    </row>
    <row r="106" spans="1:21">
      <c r="A106" s="15"/>
      <c r="B106" s="39" t="s">
        <v>186</v>
      </c>
      <c r="C106" s="43"/>
      <c r="D106" s="54"/>
      <c r="F106" s="184"/>
      <c r="G106" s="177" t="e">
        <f t="shared" si="51"/>
        <v>#DIV/0!</v>
      </c>
      <c r="H106" s="59"/>
      <c r="I106" s="197" t="e">
        <f t="shared" si="52"/>
        <v>#DIV/0!</v>
      </c>
      <c r="J106" s="62"/>
      <c r="K106" s="197" t="e">
        <f t="shared" si="53"/>
        <v>#DIV/0!</v>
      </c>
      <c r="L106" s="62"/>
      <c r="M106" s="197" t="e">
        <f t="shared" si="54"/>
        <v>#DIV/0!</v>
      </c>
      <c r="N106" s="62"/>
      <c r="O106" s="197" t="e">
        <f t="shared" si="55"/>
        <v>#DIV/0!</v>
      </c>
      <c r="Q106" s="92"/>
      <c r="R106" s="92"/>
      <c r="S106" s="92"/>
      <c r="T106" s="92"/>
      <c r="U106" s="92"/>
    </row>
    <row r="107" spans="1:21" ht="15" thickBot="1">
      <c r="A107" s="15"/>
      <c r="B107" s="41" t="s">
        <v>187</v>
      </c>
      <c r="C107" s="44"/>
      <c r="D107" s="80"/>
      <c r="F107" s="185"/>
      <c r="G107" s="179" t="e">
        <f t="shared" si="51"/>
        <v>#DIV/0!</v>
      </c>
      <c r="H107" s="60"/>
      <c r="I107" s="198" t="e">
        <f t="shared" si="52"/>
        <v>#DIV/0!</v>
      </c>
      <c r="J107" s="63"/>
      <c r="K107" s="198" t="e">
        <f t="shared" si="53"/>
        <v>#DIV/0!</v>
      </c>
      <c r="L107" s="63"/>
      <c r="M107" s="198" t="e">
        <f t="shared" si="54"/>
        <v>#DIV/0!</v>
      </c>
      <c r="N107" s="63"/>
      <c r="O107" s="198" t="e">
        <f t="shared" si="55"/>
        <v>#DIV/0!</v>
      </c>
      <c r="Q107" s="92"/>
      <c r="R107" s="92"/>
      <c r="S107" s="92"/>
      <c r="T107" s="92"/>
      <c r="U107" s="92"/>
    </row>
    <row r="108" spans="1:21" ht="15" thickBot="1">
      <c r="A108" s="15"/>
      <c r="B108" s="31"/>
      <c r="C108" s="27"/>
      <c r="D108" s="83"/>
      <c r="H108" s="27"/>
      <c r="I108" s="56"/>
      <c r="J108" s="28"/>
      <c r="K108" s="56"/>
      <c r="L108" s="28"/>
      <c r="M108" s="56"/>
      <c r="N108" s="28"/>
      <c r="O108" s="56"/>
    </row>
    <row r="109" spans="1:21" ht="24" thickBot="1">
      <c r="A109" s="15"/>
      <c r="B109" s="79" t="s">
        <v>105</v>
      </c>
      <c r="C109" s="22"/>
      <c r="D109" s="18"/>
      <c r="H109" s="27"/>
      <c r="I109" s="56"/>
      <c r="J109" s="28"/>
      <c r="K109" s="56"/>
      <c r="L109" s="28"/>
      <c r="M109" s="56"/>
      <c r="N109" s="28"/>
      <c r="O109" s="56"/>
      <c r="Q109" s="90" t="s">
        <v>50</v>
      </c>
      <c r="R109" s="91" t="s">
        <v>112</v>
      </c>
      <c r="S109" s="91" t="s">
        <v>113</v>
      </c>
      <c r="T109" s="91" t="s">
        <v>114</v>
      </c>
      <c r="U109" s="91" t="s">
        <v>115</v>
      </c>
    </row>
    <row r="110" spans="1:21">
      <c r="A110" s="15"/>
      <c r="B110" s="38" t="s">
        <v>106</v>
      </c>
      <c r="C110" s="42">
        <f>D110/1.07</f>
        <v>0</v>
      </c>
      <c r="D110" s="53">
        <v>0</v>
      </c>
      <c r="F110" s="186"/>
      <c r="G110" s="183" t="e">
        <f t="shared" ref="G110:G112" si="56">F110/$D110-1</f>
        <v>#DIV/0!</v>
      </c>
      <c r="H110" s="58"/>
      <c r="I110" s="200" t="e">
        <f t="shared" ref="I110:I112" si="57">H110/$D110-1</f>
        <v>#DIV/0!</v>
      </c>
      <c r="J110" s="61"/>
      <c r="K110" s="200" t="e">
        <f t="shared" ref="K110:K112" si="58">J110/$D110-1</f>
        <v>#DIV/0!</v>
      </c>
      <c r="L110" s="61"/>
      <c r="M110" s="200" t="e">
        <f t="shared" ref="M110:M112" si="59">L110/$D110-1</f>
        <v>#DIV/0!</v>
      </c>
      <c r="N110" s="61"/>
      <c r="O110" s="200" t="e">
        <f t="shared" ref="O110:O112" si="60">N110/$D110-1</f>
        <v>#DIV/0!</v>
      </c>
      <c r="Q110" s="92">
        <v>4.065040650406504E-2</v>
      </c>
      <c r="R110" s="92">
        <v>7.0000000000000007E-2</v>
      </c>
      <c r="S110" s="92">
        <v>9.9236641221374045E-2</v>
      </c>
      <c r="T110" s="92">
        <v>0.15</v>
      </c>
      <c r="U110" s="92">
        <v>0.2</v>
      </c>
    </row>
    <row r="111" spans="1:21">
      <c r="A111" s="15"/>
      <c r="B111" s="39" t="s">
        <v>107</v>
      </c>
      <c r="C111" s="43">
        <f t="shared" ref="C111:C112" si="61">D111/1.07</f>
        <v>0</v>
      </c>
      <c r="D111" s="54">
        <v>0</v>
      </c>
      <c r="F111" s="176"/>
      <c r="G111" s="177" t="e">
        <f t="shared" si="56"/>
        <v>#DIV/0!</v>
      </c>
      <c r="H111" s="59"/>
      <c r="I111" s="197" t="e">
        <f t="shared" si="57"/>
        <v>#DIV/0!</v>
      </c>
      <c r="J111" s="62"/>
      <c r="K111" s="197" t="e">
        <f t="shared" si="58"/>
        <v>#DIV/0!</v>
      </c>
      <c r="L111" s="62"/>
      <c r="M111" s="197" t="e">
        <f t="shared" si="59"/>
        <v>#DIV/0!</v>
      </c>
      <c r="N111" s="62"/>
      <c r="O111" s="197" t="e">
        <f t="shared" si="60"/>
        <v>#DIV/0!</v>
      </c>
      <c r="Q111" s="92"/>
      <c r="R111" s="92"/>
      <c r="S111" s="92"/>
      <c r="T111" s="92"/>
      <c r="U111" s="92"/>
    </row>
    <row r="112" spans="1:21" ht="15" thickBot="1">
      <c r="A112" s="15"/>
      <c r="B112" s="41" t="s">
        <v>108</v>
      </c>
      <c r="C112" s="44">
        <f t="shared" si="61"/>
        <v>0</v>
      </c>
      <c r="D112" s="80">
        <v>0</v>
      </c>
      <c r="F112" s="178"/>
      <c r="G112" s="179" t="e">
        <f t="shared" si="56"/>
        <v>#DIV/0!</v>
      </c>
      <c r="H112" s="60"/>
      <c r="I112" s="198" t="e">
        <f t="shared" si="57"/>
        <v>#DIV/0!</v>
      </c>
      <c r="J112" s="63"/>
      <c r="K112" s="198" t="e">
        <f t="shared" si="58"/>
        <v>#DIV/0!</v>
      </c>
      <c r="L112" s="63"/>
      <c r="M112" s="198" t="e">
        <f t="shared" si="59"/>
        <v>#DIV/0!</v>
      </c>
      <c r="N112" s="63"/>
      <c r="O112" s="198" t="e">
        <f t="shared" si="60"/>
        <v>#DIV/0!</v>
      </c>
      <c r="Q112" s="92"/>
      <c r="R112" s="92"/>
      <c r="S112" s="92"/>
      <c r="T112" s="92"/>
      <c r="U112" s="92"/>
    </row>
    <row r="113" spans="1:21" ht="24" thickBot="1">
      <c r="A113" s="15"/>
      <c r="B113" s="78" t="s">
        <v>16</v>
      </c>
      <c r="C113" s="22"/>
      <c r="D113" s="18"/>
      <c r="J113" s="8"/>
      <c r="K113" s="8"/>
      <c r="L113" s="8"/>
      <c r="M113" s="8"/>
      <c r="N113" s="8"/>
      <c r="O113" s="8"/>
      <c r="Q113" s="90" t="s">
        <v>50</v>
      </c>
      <c r="R113" s="91" t="s">
        <v>112</v>
      </c>
      <c r="S113" s="91" t="s">
        <v>113</v>
      </c>
      <c r="T113" s="91" t="s">
        <v>114</v>
      </c>
      <c r="U113" s="91" t="s">
        <v>115</v>
      </c>
    </row>
    <row r="114" spans="1:21">
      <c r="A114" s="30" t="s">
        <v>52</v>
      </c>
      <c r="B114" s="207" t="s">
        <v>133</v>
      </c>
      <c r="C114" s="208">
        <f>D114/1.07</f>
        <v>0.46728971962616822</v>
      </c>
      <c r="D114" s="209">
        <v>0.5</v>
      </c>
      <c r="E114" s="69"/>
      <c r="F114" s="210">
        <v>0.52</v>
      </c>
      <c r="G114" s="211">
        <f t="shared" ref="G114:G174" si="62">F114/$D114-1</f>
        <v>4.0000000000000036E-2</v>
      </c>
      <c r="H114" s="212">
        <v>0.53</v>
      </c>
      <c r="I114" s="213">
        <f t="shared" ref="I114:I173" si="63">H114/$D114-1</f>
        <v>6.0000000000000053E-2</v>
      </c>
      <c r="J114" s="214">
        <v>0.55000000000000004</v>
      </c>
      <c r="K114" s="213">
        <f t="shared" ref="K114:K174" si="64">J114/$D114-1</f>
        <v>0.10000000000000009</v>
      </c>
      <c r="L114" s="214">
        <v>0.56999999999999995</v>
      </c>
      <c r="M114" s="213">
        <f t="shared" ref="M114:M174" si="65">L114/$D114-1</f>
        <v>0.1399999999999999</v>
      </c>
      <c r="N114" s="214">
        <v>0.6</v>
      </c>
      <c r="O114" s="213">
        <f t="shared" ref="O114:O174" si="66">N114/$D114-1</f>
        <v>0.19999999999999996</v>
      </c>
      <c r="Q114" s="92">
        <v>0.05</v>
      </c>
      <c r="R114" s="92">
        <v>7.0000000000000007E-2</v>
      </c>
      <c r="S114" s="92">
        <v>0.1</v>
      </c>
      <c r="T114" s="92">
        <v>0.15</v>
      </c>
      <c r="U114" s="92">
        <v>0.2</v>
      </c>
    </row>
    <row r="115" spans="1:21">
      <c r="A115" s="30" t="s">
        <v>52</v>
      </c>
      <c r="B115" s="215" t="s">
        <v>134</v>
      </c>
      <c r="C115" s="216">
        <f t="shared" ref="C115:C174" si="67">D115/1.07</f>
        <v>0.5140186915887851</v>
      </c>
      <c r="D115" s="217">
        <v>0.55000000000000004</v>
      </c>
      <c r="E115" s="69"/>
      <c r="F115" s="218">
        <v>0.57999999999999996</v>
      </c>
      <c r="G115" s="219">
        <f t="shared" si="62"/>
        <v>5.4545454545454453E-2</v>
      </c>
      <c r="H115" s="220">
        <v>0.59</v>
      </c>
      <c r="I115" s="221">
        <f t="shared" si="63"/>
        <v>7.2727272727272529E-2</v>
      </c>
      <c r="J115" s="222">
        <v>0.61</v>
      </c>
      <c r="K115" s="221">
        <f t="shared" si="64"/>
        <v>0.10909090909090891</v>
      </c>
      <c r="L115" s="222">
        <v>0.63</v>
      </c>
      <c r="M115" s="221">
        <f t="shared" si="65"/>
        <v>0.14545454545454528</v>
      </c>
      <c r="N115" s="222">
        <v>0.66</v>
      </c>
      <c r="O115" s="221">
        <f t="shared" si="66"/>
        <v>0.19999999999999996</v>
      </c>
      <c r="Q115" s="92"/>
      <c r="R115" s="92"/>
      <c r="S115" s="92"/>
      <c r="T115" s="92"/>
      <c r="U115" s="92"/>
    </row>
    <row r="116" spans="1:21">
      <c r="A116" s="26" t="s">
        <v>53</v>
      </c>
      <c r="B116" s="215" t="s">
        <v>83</v>
      </c>
      <c r="C116" s="216">
        <f t="shared" si="67"/>
        <v>0.62616822429906538</v>
      </c>
      <c r="D116" s="217">
        <v>0.67</v>
      </c>
      <c r="E116" s="69"/>
      <c r="F116" s="218">
        <v>0.7</v>
      </c>
      <c r="G116" s="219">
        <f t="shared" si="62"/>
        <v>4.4776119402984982E-2</v>
      </c>
      <c r="H116" s="220">
        <v>0.72</v>
      </c>
      <c r="I116" s="221">
        <f t="shared" si="63"/>
        <v>7.4626865671641784E-2</v>
      </c>
      <c r="J116" s="222">
        <v>0.74</v>
      </c>
      <c r="K116" s="221">
        <f t="shared" si="64"/>
        <v>0.10447761194029836</v>
      </c>
      <c r="L116" s="222">
        <v>0.77</v>
      </c>
      <c r="M116" s="221">
        <f t="shared" si="65"/>
        <v>0.14925373134328357</v>
      </c>
      <c r="N116" s="222">
        <v>0.8</v>
      </c>
      <c r="O116" s="221">
        <f t="shared" si="66"/>
        <v>0.19402985074626855</v>
      </c>
      <c r="Q116" s="92"/>
      <c r="R116" s="92"/>
      <c r="S116" s="92"/>
      <c r="T116" s="92"/>
      <c r="U116" s="92"/>
    </row>
    <row r="117" spans="1:21">
      <c r="A117" s="32" t="s">
        <v>54</v>
      </c>
      <c r="B117" s="215" t="s">
        <v>140</v>
      </c>
      <c r="C117" s="138">
        <f t="shared" si="67"/>
        <v>0.63551401869158874</v>
      </c>
      <c r="D117" s="139">
        <v>0.68</v>
      </c>
      <c r="E117" s="69"/>
      <c r="F117" s="164">
        <v>0.72</v>
      </c>
      <c r="G117" s="165">
        <f t="shared" si="62"/>
        <v>5.8823529411764497E-2</v>
      </c>
      <c r="H117" s="120">
        <v>0.75</v>
      </c>
      <c r="I117" s="191">
        <f t="shared" si="63"/>
        <v>0.10294117647058809</v>
      </c>
      <c r="J117" s="151">
        <v>0.77</v>
      </c>
      <c r="K117" s="191">
        <f t="shared" si="64"/>
        <v>0.13235294117647056</v>
      </c>
      <c r="L117" s="151">
        <v>0.8</v>
      </c>
      <c r="M117" s="191">
        <f t="shared" si="65"/>
        <v>0.17647058823529416</v>
      </c>
      <c r="N117" s="151">
        <v>0.82</v>
      </c>
      <c r="O117" s="191">
        <f t="shared" si="66"/>
        <v>0.20588235294117641</v>
      </c>
      <c r="Q117" s="92"/>
      <c r="R117" s="92"/>
      <c r="S117" s="92"/>
      <c r="T117" s="92"/>
      <c r="U117" s="92"/>
    </row>
    <row r="118" spans="1:21">
      <c r="A118" s="32"/>
      <c r="B118" s="215" t="s">
        <v>141</v>
      </c>
      <c r="C118" s="138">
        <f t="shared" si="67"/>
        <v>0.80373831775700932</v>
      </c>
      <c r="D118" s="139">
        <v>0.86</v>
      </c>
      <c r="E118" s="69"/>
      <c r="F118" s="164">
        <v>0.9</v>
      </c>
      <c r="G118" s="165">
        <f t="shared" si="62"/>
        <v>4.6511627906976827E-2</v>
      </c>
      <c r="H118" s="120">
        <v>0.95</v>
      </c>
      <c r="I118" s="191">
        <f t="shared" si="63"/>
        <v>0.10465116279069764</v>
      </c>
      <c r="J118" s="151">
        <v>0.97</v>
      </c>
      <c r="K118" s="191">
        <f t="shared" si="64"/>
        <v>0.12790697674418605</v>
      </c>
      <c r="L118" s="151">
        <v>1</v>
      </c>
      <c r="M118" s="191">
        <f t="shared" si="65"/>
        <v>0.16279069767441867</v>
      </c>
      <c r="N118" s="151">
        <v>1.03</v>
      </c>
      <c r="O118" s="191">
        <f t="shared" si="66"/>
        <v>0.19767441860465129</v>
      </c>
      <c r="Q118" s="92"/>
      <c r="R118" s="92"/>
      <c r="S118" s="92"/>
      <c r="T118" s="92"/>
      <c r="U118" s="92"/>
    </row>
    <row r="119" spans="1:21">
      <c r="A119" s="34" t="s">
        <v>110</v>
      </c>
      <c r="B119" s="215" t="s">
        <v>135</v>
      </c>
      <c r="C119" s="138">
        <f t="shared" si="67"/>
        <v>0.63551401869158874</v>
      </c>
      <c r="D119" s="139">
        <v>0.68</v>
      </c>
      <c r="E119" s="81"/>
      <c r="F119" s="164">
        <v>0.72</v>
      </c>
      <c r="G119" s="165">
        <f t="shared" si="62"/>
        <v>5.8823529411764497E-2</v>
      </c>
      <c r="H119" s="120">
        <v>0.75</v>
      </c>
      <c r="I119" s="191">
        <f t="shared" si="63"/>
        <v>0.10294117647058809</v>
      </c>
      <c r="J119" s="151">
        <v>0.77</v>
      </c>
      <c r="K119" s="191">
        <f t="shared" si="64"/>
        <v>0.13235294117647056</v>
      </c>
      <c r="L119" s="151">
        <v>0.8</v>
      </c>
      <c r="M119" s="191">
        <f t="shared" si="65"/>
        <v>0.17647058823529416</v>
      </c>
      <c r="N119" s="151">
        <v>0.82</v>
      </c>
      <c r="O119" s="191">
        <f t="shared" si="66"/>
        <v>0.20588235294117641</v>
      </c>
      <c r="Q119" s="92"/>
      <c r="R119" s="92"/>
      <c r="S119" s="92"/>
      <c r="T119" s="92"/>
      <c r="U119" s="92"/>
    </row>
    <row r="120" spans="1:21">
      <c r="A120" s="30"/>
      <c r="B120" s="215" t="s">
        <v>136</v>
      </c>
      <c r="C120" s="138">
        <f t="shared" si="67"/>
        <v>0.73831775700934577</v>
      </c>
      <c r="D120" s="139">
        <v>0.79</v>
      </c>
      <c r="E120" s="81"/>
      <c r="F120" s="164">
        <v>0.83</v>
      </c>
      <c r="G120" s="165">
        <f t="shared" si="62"/>
        <v>5.0632911392404889E-2</v>
      </c>
      <c r="H120" s="120">
        <v>0.87</v>
      </c>
      <c r="I120" s="191">
        <f t="shared" si="63"/>
        <v>0.10126582278481</v>
      </c>
      <c r="J120" s="151">
        <v>0.9</v>
      </c>
      <c r="K120" s="191">
        <f t="shared" si="64"/>
        <v>0.139240506329114</v>
      </c>
      <c r="L120" s="151">
        <v>0.93</v>
      </c>
      <c r="M120" s="191">
        <f t="shared" si="65"/>
        <v>0.17721518987341778</v>
      </c>
      <c r="N120" s="151">
        <v>0.95</v>
      </c>
      <c r="O120" s="191">
        <f t="shared" si="66"/>
        <v>0.20253164556962022</v>
      </c>
      <c r="Q120" s="92"/>
      <c r="R120" s="92"/>
      <c r="S120" s="92"/>
      <c r="T120" s="92"/>
      <c r="U120" s="92"/>
    </row>
    <row r="121" spans="1:21">
      <c r="A121" s="33" t="s">
        <v>52</v>
      </c>
      <c r="B121" s="215" t="s">
        <v>90</v>
      </c>
      <c r="C121" s="216">
        <f t="shared" si="67"/>
        <v>0.5140186915887851</v>
      </c>
      <c r="D121" s="217">
        <v>0.55000000000000004</v>
      </c>
      <c r="E121" s="69"/>
      <c r="F121" s="218">
        <v>0.57999999999999996</v>
      </c>
      <c r="G121" s="219">
        <f t="shared" si="62"/>
        <v>5.4545454545454453E-2</v>
      </c>
      <c r="H121" s="220">
        <v>0.59</v>
      </c>
      <c r="I121" s="221">
        <f t="shared" si="63"/>
        <v>7.2727272727272529E-2</v>
      </c>
      <c r="J121" s="222">
        <v>0.61</v>
      </c>
      <c r="K121" s="221">
        <f t="shared" si="64"/>
        <v>0.10909090909090891</v>
      </c>
      <c r="L121" s="222">
        <v>0.63</v>
      </c>
      <c r="M121" s="221">
        <f t="shared" si="65"/>
        <v>0.14545454545454528</v>
      </c>
      <c r="N121" s="222">
        <v>0.66</v>
      </c>
      <c r="O121" s="221">
        <f t="shared" si="66"/>
        <v>0.19999999999999996</v>
      </c>
      <c r="Q121" s="92"/>
      <c r="R121" s="92"/>
      <c r="S121" s="92"/>
      <c r="T121" s="92"/>
      <c r="U121" s="92"/>
    </row>
    <row r="122" spans="1:21">
      <c r="A122" s="29" t="s">
        <v>53</v>
      </c>
      <c r="B122" s="215" t="s">
        <v>84</v>
      </c>
      <c r="C122" s="216">
        <f t="shared" si="67"/>
        <v>0.79439252336448596</v>
      </c>
      <c r="D122" s="217">
        <v>0.85</v>
      </c>
      <c r="E122" s="69"/>
      <c r="F122" s="218">
        <v>0.89</v>
      </c>
      <c r="G122" s="219">
        <f t="shared" si="62"/>
        <v>4.705882352941182E-2</v>
      </c>
      <c r="H122" s="220">
        <v>0.91</v>
      </c>
      <c r="I122" s="221">
        <f t="shared" si="63"/>
        <v>7.0588235294117618E-2</v>
      </c>
      <c r="J122" s="222">
        <v>0.94</v>
      </c>
      <c r="K122" s="221">
        <f t="shared" si="64"/>
        <v>0.10588235294117654</v>
      </c>
      <c r="L122" s="222">
        <v>0.98</v>
      </c>
      <c r="M122" s="221">
        <f t="shared" si="65"/>
        <v>0.15294117647058814</v>
      </c>
      <c r="N122" s="222">
        <v>1.02</v>
      </c>
      <c r="O122" s="221">
        <f t="shared" si="66"/>
        <v>0.19999999999999996</v>
      </c>
      <c r="Q122" s="92"/>
      <c r="R122" s="92"/>
      <c r="S122" s="92"/>
      <c r="T122" s="92"/>
      <c r="U122" s="92"/>
    </row>
    <row r="123" spans="1:21">
      <c r="A123" s="32" t="s">
        <v>54</v>
      </c>
      <c r="B123" s="215" t="s">
        <v>142</v>
      </c>
      <c r="C123" s="216">
        <f t="shared" si="67"/>
        <v>0.73831775700934577</v>
      </c>
      <c r="D123" s="217">
        <v>0.79</v>
      </c>
      <c r="E123" s="69"/>
      <c r="F123" s="218">
        <v>0.83</v>
      </c>
      <c r="G123" s="219">
        <f t="shared" si="62"/>
        <v>5.0632911392404889E-2</v>
      </c>
      <c r="H123" s="220">
        <v>0.85</v>
      </c>
      <c r="I123" s="221">
        <f t="shared" si="63"/>
        <v>7.5949367088607556E-2</v>
      </c>
      <c r="J123" s="222">
        <v>0.87</v>
      </c>
      <c r="K123" s="221">
        <f t="shared" si="64"/>
        <v>0.10126582278481</v>
      </c>
      <c r="L123" s="222">
        <v>0.91</v>
      </c>
      <c r="M123" s="221">
        <f t="shared" si="65"/>
        <v>0.15189873417721511</v>
      </c>
      <c r="N123" s="222">
        <v>0.95</v>
      </c>
      <c r="O123" s="221">
        <f t="shared" si="66"/>
        <v>0.20253164556962022</v>
      </c>
      <c r="Q123" s="92"/>
      <c r="R123" s="92"/>
      <c r="S123" s="92"/>
      <c r="T123" s="92"/>
      <c r="U123" s="92"/>
    </row>
    <row r="124" spans="1:21">
      <c r="A124" s="84" t="s">
        <v>110</v>
      </c>
      <c r="B124" s="215" t="s">
        <v>109</v>
      </c>
      <c r="C124" s="216">
        <f t="shared" si="67"/>
        <v>0.7009345794392523</v>
      </c>
      <c r="D124" s="217">
        <v>0.75</v>
      </c>
      <c r="E124" s="69"/>
      <c r="F124" s="218">
        <v>0.78</v>
      </c>
      <c r="G124" s="219">
        <f t="shared" si="62"/>
        <v>4.0000000000000036E-2</v>
      </c>
      <c r="H124" s="220">
        <v>0.8</v>
      </c>
      <c r="I124" s="221">
        <f t="shared" si="63"/>
        <v>6.6666666666666652E-2</v>
      </c>
      <c r="J124" s="222">
        <v>0.83</v>
      </c>
      <c r="K124" s="221">
        <f t="shared" si="64"/>
        <v>0.10666666666666669</v>
      </c>
      <c r="L124" s="222">
        <v>0.87</v>
      </c>
      <c r="M124" s="221">
        <f t="shared" si="65"/>
        <v>0.15999999999999992</v>
      </c>
      <c r="N124" s="222">
        <v>0.9</v>
      </c>
      <c r="O124" s="221">
        <f t="shared" si="66"/>
        <v>0.19999999999999996</v>
      </c>
      <c r="Q124" s="92"/>
      <c r="R124" s="92"/>
      <c r="S124" s="92"/>
      <c r="T124" s="92"/>
      <c r="U124" s="92"/>
    </row>
    <row r="125" spans="1:21">
      <c r="A125" s="33" t="s">
        <v>52</v>
      </c>
      <c r="B125" s="215" t="s">
        <v>91</v>
      </c>
      <c r="C125" s="216">
        <f t="shared" si="67"/>
        <v>0.5140186915887851</v>
      </c>
      <c r="D125" s="217">
        <v>0.55000000000000004</v>
      </c>
      <c r="E125" s="69"/>
      <c r="F125" s="218">
        <v>0.57999999999999996</v>
      </c>
      <c r="G125" s="219">
        <f t="shared" si="62"/>
        <v>5.4545454545454453E-2</v>
      </c>
      <c r="H125" s="220">
        <v>0.59</v>
      </c>
      <c r="I125" s="221">
        <f t="shared" si="63"/>
        <v>7.2727272727272529E-2</v>
      </c>
      <c r="J125" s="222">
        <v>0.61</v>
      </c>
      <c r="K125" s="221">
        <f t="shared" si="64"/>
        <v>0.10909090909090891</v>
      </c>
      <c r="L125" s="222">
        <v>0.64</v>
      </c>
      <c r="M125" s="221">
        <f t="shared" si="65"/>
        <v>0.16363636363636358</v>
      </c>
      <c r="N125" s="222">
        <v>0.66</v>
      </c>
      <c r="O125" s="221">
        <f t="shared" si="66"/>
        <v>0.19999999999999996</v>
      </c>
      <c r="Q125" s="92"/>
      <c r="R125" s="92"/>
      <c r="S125" s="92"/>
      <c r="T125" s="92"/>
      <c r="U125" s="92"/>
    </row>
    <row r="126" spans="1:21">
      <c r="A126" s="32" t="s">
        <v>54</v>
      </c>
      <c r="B126" s="215" t="s">
        <v>67</v>
      </c>
      <c r="C126" s="138">
        <f t="shared" si="67"/>
        <v>0.80373831775700932</v>
      </c>
      <c r="D126" s="139">
        <v>0.86</v>
      </c>
      <c r="E126" s="81"/>
      <c r="F126" s="164">
        <v>0.9</v>
      </c>
      <c r="G126" s="165">
        <f t="shared" si="62"/>
        <v>4.6511627906976827E-2</v>
      </c>
      <c r="H126" s="120">
        <v>0.93</v>
      </c>
      <c r="I126" s="191">
        <f t="shared" si="63"/>
        <v>8.1395348837209447E-2</v>
      </c>
      <c r="J126" s="151">
        <v>0.95</v>
      </c>
      <c r="K126" s="191">
        <f t="shared" si="64"/>
        <v>0.10465116279069764</v>
      </c>
      <c r="L126" s="151">
        <v>1</v>
      </c>
      <c r="M126" s="191">
        <f t="shared" si="65"/>
        <v>0.16279069767441867</v>
      </c>
      <c r="N126" s="151">
        <v>1.05</v>
      </c>
      <c r="O126" s="191">
        <f t="shared" si="66"/>
        <v>0.22093023255813971</v>
      </c>
      <c r="Q126" s="92"/>
      <c r="R126" s="92"/>
      <c r="S126" s="92"/>
      <c r="T126" s="92"/>
      <c r="U126" s="92"/>
    </row>
    <row r="127" spans="1:21">
      <c r="A127" s="29" t="s">
        <v>53</v>
      </c>
      <c r="B127" s="215" t="s">
        <v>85</v>
      </c>
      <c r="C127" s="216">
        <f t="shared" si="67"/>
        <v>0.74766355140186913</v>
      </c>
      <c r="D127" s="217">
        <v>0.8</v>
      </c>
      <c r="E127" s="69"/>
      <c r="F127" s="218">
        <v>0.84</v>
      </c>
      <c r="G127" s="219">
        <f t="shared" si="62"/>
        <v>4.9999999999999822E-2</v>
      </c>
      <c r="H127" s="220">
        <v>0.86</v>
      </c>
      <c r="I127" s="221">
        <f t="shared" si="63"/>
        <v>7.4999999999999956E-2</v>
      </c>
      <c r="J127" s="222">
        <v>0.88</v>
      </c>
      <c r="K127" s="221">
        <f t="shared" si="64"/>
        <v>9.9999999999999867E-2</v>
      </c>
      <c r="L127" s="222">
        <v>0.92</v>
      </c>
      <c r="M127" s="221">
        <f t="shared" si="65"/>
        <v>0.14999999999999991</v>
      </c>
      <c r="N127" s="222">
        <v>0.96</v>
      </c>
      <c r="O127" s="221">
        <f t="shared" si="66"/>
        <v>0.19999999999999996</v>
      </c>
      <c r="Q127" s="92"/>
      <c r="R127" s="92"/>
      <c r="S127" s="92"/>
      <c r="T127" s="92"/>
      <c r="U127" s="92"/>
    </row>
    <row r="128" spans="1:21">
      <c r="A128" s="84" t="s">
        <v>110</v>
      </c>
      <c r="B128" s="215" t="s">
        <v>111</v>
      </c>
      <c r="C128" s="138">
        <f t="shared" si="67"/>
        <v>0.73831775700934577</v>
      </c>
      <c r="D128" s="139">
        <v>0.79</v>
      </c>
      <c r="E128" s="81"/>
      <c r="F128" s="164">
        <v>0.85</v>
      </c>
      <c r="G128" s="165">
        <f t="shared" si="62"/>
        <v>7.5949367088607556E-2</v>
      </c>
      <c r="H128" s="120">
        <v>0.87</v>
      </c>
      <c r="I128" s="191">
        <f t="shared" si="63"/>
        <v>0.10126582278481</v>
      </c>
      <c r="J128" s="151">
        <v>0.9</v>
      </c>
      <c r="K128" s="191">
        <f t="shared" si="64"/>
        <v>0.139240506329114</v>
      </c>
      <c r="L128" s="151">
        <v>0.93</v>
      </c>
      <c r="M128" s="191">
        <f t="shared" si="65"/>
        <v>0.17721518987341778</v>
      </c>
      <c r="N128" s="151">
        <v>0.95</v>
      </c>
      <c r="O128" s="191">
        <f t="shared" si="66"/>
        <v>0.20253164556962022</v>
      </c>
      <c r="Q128" s="92"/>
      <c r="R128" s="92"/>
      <c r="S128" s="92"/>
      <c r="T128" s="92"/>
      <c r="U128" s="92"/>
    </row>
    <row r="129" spans="1:21">
      <c r="A129" s="30" t="s">
        <v>52</v>
      </c>
      <c r="B129" s="215" t="s">
        <v>89</v>
      </c>
      <c r="C129" s="138">
        <f t="shared" si="67"/>
        <v>6.5420560747663545</v>
      </c>
      <c r="D129" s="139">
        <v>7</v>
      </c>
      <c r="E129" s="81"/>
      <c r="F129" s="164">
        <v>7.5</v>
      </c>
      <c r="G129" s="165">
        <f t="shared" si="62"/>
        <v>7.1428571428571397E-2</v>
      </c>
      <c r="H129" s="120">
        <v>7.75</v>
      </c>
      <c r="I129" s="191">
        <f t="shared" si="63"/>
        <v>0.10714285714285721</v>
      </c>
      <c r="J129" s="151">
        <v>8</v>
      </c>
      <c r="K129" s="191">
        <f t="shared" si="64"/>
        <v>0.14285714285714279</v>
      </c>
      <c r="L129" s="151">
        <v>8.25</v>
      </c>
      <c r="M129" s="191">
        <f t="shared" si="65"/>
        <v>0.1785714285714286</v>
      </c>
      <c r="N129" s="151">
        <v>8.5</v>
      </c>
      <c r="O129" s="191">
        <f t="shared" si="66"/>
        <v>0.21428571428571419</v>
      </c>
      <c r="Q129" s="92"/>
      <c r="R129" s="92"/>
      <c r="S129" s="92"/>
      <c r="T129" s="92"/>
      <c r="U129" s="92"/>
    </row>
    <row r="130" spans="1:21">
      <c r="A130" s="30" t="s">
        <v>52</v>
      </c>
      <c r="B130" s="215" t="s">
        <v>104</v>
      </c>
      <c r="C130" s="138">
        <f t="shared" si="67"/>
        <v>11.214953271028037</v>
      </c>
      <c r="D130" s="139">
        <v>12</v>
      </c>
      <c r="E130" s="81"/>
      <c r="F130" s="164">
        <v>12.75</v>
      </c>
      <c r="G130" s="165">
        <f t="shared" si="62"/>
        <v>6.25E-2</v>
      </c>
      <c r="H130" s="120">
        <v>13.25</v>
      </c>
      <c r="I130" s="191">
        <f t="shared" si="63"/>
        <v>0.10416666666666674</v>
      </c>
      <c r="J130" s="151">
        <v>13.75</v>
      </c>
      <c r="K130" s="191">
        <f t="shared" si="64"/>
        <v>0.14583333333333326</v>
      </c>
      <c r="L130" s="151">
        <v>14.25</v>
      </c>
      <c r="M130" s="191">
        <f t="shared" si="65"/>
        <v>0.1875</v>
      </c>
      <c r="N130" s="151">
        <v>14.5</v>
      </c>
      <c r="O130" s="191">
        <f t="shared" si="66"/>
        <v>0.20833333333333326</v>
      </c>
      <c r="Q130" s="92"/>
      <c r="R130" s="92"/>
      <c r="S130" s="92"/>
      <c r="T130" s="92"/>
      <c r="U130" s="92"/>
    </row>
    <row r="131" spans="1:21">
      <c r="A131" s="29" t="s">
        <v>53</v>
      </c>
      <c r="B131" s="215" t="s">
        <v>86</v>
      </c>
      <c r="C131" s="138">
        <f t="shared" si="67"/>
        <v>9.3457943925233646</v>
      </c>
      <c r="D131" s="139">
        <v>10</v>
      </c>
      <c r="E131" s="81"/>
      <c r="F131" s="164">
        <v>10.75</v>
      </c>
      <c r="G131" s="165">
        <f t="shared" si="62"/>
        <v>7.4999999999999956E-2</v>
      </c>
      <c r="H131" s="120">
        <v>11</v>
      </c>
      <c r="I131" s="191">
        <f t="shared" si="63"/>
        <v>0.10000000000000009</v>
      </c>
      <c r="J131" s="151">
        <v>11.5</v>
      </c>
      <c r="K131" s="191">
        <f t="shared" si="64"/>
        <v>0.14999999999999991</v>
      </c>
      <c r="L131" s="151">
        <v>11.75</v>
      </c>
      <c r="M131" s="191">
        <f t="shared" si="65"/>
        <v>0.17500000000000004</v>
      </c>
      <c r="N131" s="151">
        <v>12.25</v>
      </c>
      <c r="O131" s="191">
        <f t="shared" si="66"/>
        <v>0.22500000000000009</v>
      </c>
      <c r="Q131" s="92"/>
      <c r="R131" s="92"/>
      <c r="S131" s="92"/>
      <c r="T131" s="92"/>
      <c r="U131" s="92"/>
    </row>
    <row r="132" spans="1:21">
      <c r="A132" s="29" t="s">
        <v>53</v>
      </c>
      <c r="B132" s="215" t="s">
        <v>87</v>
      </c>
      <c r="C132" s="138">
        <f t="shared" si="67"/>
        <v>14.018691588785046</v>
      </c>
      <c r="D132" s="139">
        <v>15</v>
      </c>
      <c r="E132" s="81"/>
      <c r="F132" s="164">
        <v>16</v>
      </c>
      <c r="G132" s="165">
        <f t="shared" si="62"/>
        <v>6.6666666666666652E-2</v>
      </c>
      <c r="H132" s="120">
        <v>16.5</v>
      </c>
      <c r="I132" s="191">
        <f t="shared" si="63"/>
        <v>0.10000000000000009</v>
      </c>
      <c r="J132" s="151">
        <v>17.25</v>
      </c>
      <c r="K132" s="191">
        <f t="shared" si="64"/>
        <v>0.14999999999999991</v>
      </c>
      <c r="L132" s="151">
        <v>17.75</v>
      </c>
      <c r="M132" s="191">
        <f t="shared" si="65"/>
        <v>0.18333333333333335</v>
      </c>
      <c r="N132" s="151">
        <v>18.25</v>
      </c>
      <c r="O132" s="191">
        <f t="shared" si="66"/>
        <v>0.21666666666666656</v>
      </c>
      <c r="Q132" s="92"/>
      <c r="R132" s="92"/>
      <c r="S132" s="92"/>
      <c r="T132" s="92"/>
      <c r="U132" s="92"/>
    </row>
    <row r="133" spans="1:21">
      <c r="A133" s="32" t="s">
        <v>54</v>
      </c>
      <c r="B133" s="215" t="s">
        <v>96</v>
      </c>
      <c r="C133" s="138">
        <f t="shared" si="67"/>
        <v>8</v>
      </c>
      <c r="D133" s="139">
        <v>8.56</v>
      </c>
      <c r="E133" s="81"/>
      <c r="F133" s="164">
        <v>9.25</v>
      </c>
      <c r="G133" s="165">
        <f t="shared" si="62"/>
        <v>8.0607476635514042E-2</v>
      </c>
      <c r="H133" s="120">
        <v>9.5</v>
      </c>
      <c r="I133" s="191">
        <f t="shared" si="63"/>
        <v>0.10981308411214941</v>
      </c>
      <c r="J133" s="151">
        <v>10</v>
      </c>
      <c r="K133" s="191">
        <f t="shared" si="64"/>
        <v>0.16822429906542058</v>
      </c>
      <c r="L133" s="151">
        <v>10.25</v>
      </c>
      <c r="M133" s="191">
        <f t="shared" si="65"/>
        <v>0.19742990654205594</v>
      </c>
      <c r="N133" s="151">
        <v>10.5</v>
      </c>
      <c r="O133" s="191">
        <f t="shared" si="66"/>
        <v>0.22663551401869153</v>
      </c>
      <c r="Q133" s="92"/>
      <c r="R133" s="92"/>
      <c r="S133" s="92"/>
      <c r="T133" s="92"/>
      <c r="U133" s="92"/>
    </row>
    <row r="134" spans="1:21">
      <c r="A134" s="34"/>
      <c r="B134" s="215" t="s">
        <v>15</v>
      </c>
      <c r="C134" s="138">
        <f t="shared" si="67"/>
        <v>17</v>
      </c>
      <c r="D134" s="139">
        <v>18.190000000000001</v>
      </c>
      <c r="E134" s="81"/>
      <c r="F134" s="164">
        <v>19.25</v>
      </c>
      <c r="G134" s="165">
        <f t="shared" si="62"/>
        <v>5.8273776800439769E-2</v>
      </c>
      <c r="H134" s="120">
        <v>20.25</v>
      </c>
      <c r="I134" s="191">
        <f t="shared" si="63"/>
        <v>0.11324903793293006</v>
      </c>
      <c r="J134" s="151">
        <v>21</v>
      </c>
      <c r="K134" s="191">
        <f t="shared" si="64"/>
        <v>0.15448048378229795</v>
      </c>
      <c r="L134" s="151">
        <v>21.5</v>
      </c>
      <c r="M134" s="191">
        <f t="shared" si="65"/>
        <v>0.18196811434854299</v>
      </c>
      <c r="N134" s="151">
        <v>22</v>
      </c>
      <c r="O134" s="191">
        <f t="shared" si="66"/>
        <v>0.20945574491478824</v>
      </c>
      <c r="Q134" s="92"/>
      <c r="R134" s="92"/>
      <c r="S134" s="92"/>
      <c r="T134" s="92"/>
      <c r="U134" s="92"/>
    </row>
    <row r="135" spans="1:21">
      <c r="A135" s="30" t="s">
        <v>52</v>
      </c>
      <c r="B135" s="215" t="s">
        <v>92</v>
      </c>
      <c r="C135" s="216">
        <f t="shared" si="67"/>
        <v>0.28037383177570091</v>
      </c>
      <c r="D135" s="217">
        <v>0.3</v>
      </c>
      <c r="E135" s="69"/>
      <c r="F135" s="218">
        <v>0.32</v>
      </c>
      <c r="G135" s="219">
        <f t="shared" si="62"/>
        <v>6.6666666666666652E-2</v>
      </c>
      <c r="H135" s="220">
        <v>0.33</v>
      </c>
      <c r="I135" s="221">
        <f t="shared" si="63"/>
        <v>0.10000000000000009</v>
      </c>
      <c r="J135" s="222">
        <v>0.34</v>
      </c>
      <c r="K135" s="221">
        <f t="shared" si="64"/>
        <v>0.13333333333333353</v>
      </c>
      <c r="L135" s="222">
        <v>0.35</v>
      </c>
      <c r="M135" s="221">
        <f t="shared" si="65"/>
        <v>0.16666666666666674</v>
      </c>
      <c r="N135" s="222">
        <v>0.36</v>
      </c>
      <c r="O135" s="221">
        <f t="shared" si="66"/>
        <v>0.19999999999999996</v>
      </c>
      <c r="Q135" s="92"/>
      <c r="R135" s="92"/>
      <c r="S135" s="92"/>
      <c r="T135" s="92"/>
      <c r="U135" s="92"/>
    </row>
    <row r="136" spans="1:21">
      <c r="A136" s="26" t="s">
        <v>53</v>
      </c>
      <c r="B136" s="215" t="s">
        <v>88</v>
      </c>
      <c r="C136" s="216">
        <f t="shared" si="67"/>
        <v>0.53271028037383172</v>
      </c>
      <c r="D136" s="217">
        <v>0.56999999999999995</v>
      </c>
      <c r="E136" s="69"/>
      <c r="F136" s="218">
        <v>0.6</v>
      </c>
      <c r="G136" s="219">
        <f t="shared" si="62"/>
        <v>5.2631578947368363E-2</v>
      </c>
      <c r="H136" s="220">
        <v>0.61</v>
      </c>
      <c r="I136" s="221">
        <f t="shared" si="63"/>
        <v>7.0175438596491224E-2</v>
      </c>
      <c r="J136" s="222">
        <v>0.63</v>
      </c>
      <c r="K136" s="221">
        <f t="shared" si="64"/>
        <v>0.10526315789473695</v>
      </c>
      <c r="L136" s="222">
        <v>0.66</v>
      </c>
      <c r="M136" s="221">
        <f t="shared" si="65"/>
        <v>0.15789473684210531</v>
      </c>
      <c r="N136" s="222">
        <v>0.69</v>
      </c>
      <c r="O136" s="221">
        <f t="shared" si="66"/>
        <v>0.21052631578947367</v>
      </c>
      <c r="Q136" s="92"/>
      <c r="R136" s="92"/>
      <c r="S136" s="92"/>
      <c r="T136" s="92"/>
      <c r="U136" s="92"/>
    </row>
    <row r="137" spans="1:21">
      <c r="A137" s="32" t="s">
        <v>54</v>
      </c>
      <c r="B137" s="215" t="s">
        <v>143</v>
      </c>
      <c r="C137" s="138">
        <f t="shared" si="67"/>
        <v>0.53271028037383172</v>
      </c>
      <c r="D137" s="139">
        <v>0.56999999999999995</v>
      </c>
      <c r="E137" s="81"/>
      <c r="F137" s="164">
        <v>0.6</v>
      </c>
      <c r="G137" s="165">
        <f t="shared" si="62"/>
        <v>5.2631578947368363E-2</v>
      </c>
      <c r="H137" s="120">
        <v>0.63</v>
      </c>
      <c r="I137" s="191">
        <f t="shared" si="63"/>
        <v>0.10526315789473695</v>
      </c>
      <c r="J137" s="151">
        <v>0.66</v>
      </c>
      <c r="K137" s="191">
        <f t="shared" si="64"/>
        <v>0.15789473684210531</v>
      </c>
      <c r="L137" s="151">
        <v>0.68</v>
      </c>
      <c r="M137" s="191">
        <f t="shared" si="65"/>
        <v>0.19298245614035103</v>
      </c>
      <c r="N137" s="151">
        <v>0.7</v>
      </c>
      <c r="O137" s="191">
        <f t="shared" si="66"/>
        <v>0.22807017543859653</v>
      </c>
      <c r="Q137" s="92"/>
      <c r="R137" s="92"/>
      <c r="S137" s="92"/>
      <c r="T137" s="92"/>
      <c r="U137" s="92"/>
    </row>
    <row r="138" spans="1:21">
      <c r="A138" s="34"/>
      <c r="B138" s="215" t="s">
        <v>80</v>
      </c>
      <c r="C138" s="138">
        <f t="shared" si="67"/>
        <v>0.80373831775700932</v>
      </c>
      <c r="D138" s="139">
        <v>0.86</v>
      </c>
      <c r="E138" s="81"/>
      <c r="F138" s="164">
        <v>0.9</v>
      </c>
      <c r="G138" s="165">
        <f t="shared" si="62"/>
        <v>4.6511627906976827E-2</v>
      </c>
      <c r="H138" s="120">
        <v>0.95</v>
      </c>
      <c r="I138" s="191">
        <f t="shared" si="63"/>
        <v>0.10465116279069764</v>
      </c>
      <c r="J138" s="151">
        <v>1</v>
      </c>
      <c r="K138" s="191">
        <f t="shared" si="64"/>
        <v>0.16279069767441867</v>
      </c>
      <c r="L138" s="151">
        <v>1.03</v>
      </c>
      <c r="M138" s="191">
        <f t="shared" si="65"/>
        <v>0.19767441860465129</v>
      </c>
      <c r="N138" s="151">
        <v>1.05</v>
      </c>
      <c r="O138" s="191">
        <f t="shared" si="66"/>
        <v>0.22093023255813971</v>
      </c>
      <c r="Q138" s="92"/>
      <c r="R138" s="92"/>
      <c r="S138" s="92"/>
      <c r="T138" s="92"/>
      <c r="U138" s="92"/>
    </row>
    <row r="139" spans="1:21">
      <c r="A139" s="34"/>
      <c r="B139" s="215" t="s">
        <v>81</v>
      </c>
      <c r="C139" s="138">
        <f t="shared" si="67"/>
        <v>1.1682242990654206</v>
      </c>
      <c r="D139" s="139">
        <v>1.25</v>
      </c>
      <c r="E139" s="81"/>
      <c r="F139" s="164">
        <v>1.33</v>
      </c>
      <c r="G139" s="165">
        <f>F139/$D139-1</f>
        <v>6.4000000000000057E-2</v>
      </c>
      <c r="H139" s="120">
        <v>1.38</v>
      </c>
      <c r="I139" s="191">
        <f t="shared" si="63"/>
        <v>0.10399999999999987</v>
      </c>
      <c r="J139" s="151">
        <v>1.45</v>
      </c>
      <c r="K139" s="191">
        <f t="shared" si="64"/>
        <v>0.15999999999999992</v>
      </c>
      <c r="L139" s="151">
        <v>1.48</v>
      </c>
      <c r="M139" s="191">
        <f t="shared" si="65"/>
        <v>0.18399999999999994</v>
      </c>
      <c r="N139" s="151">
        <v>1.5</v>
      </c>
      <c r="O139" s="191">
        <f t="shared" si="66"/>
        <v>0.19999999999999996</v>
      </c>
      <c r="Q139" s="92"/>
      <c r="R139" s="92"/>
      <c r="S139" s="92"/>
      <c r="T139" s="92"/>
      <c r="U139" s="92"/>
    </row>
    <row r="140" spans="1:21">
      <c r="A140" s="34" t="s">
        <v>110</v>
      </c>
      <c r="B140" s="215" t="s">
        <v>80</v>
      </c>
      <c r="C140" s="216">
        <f t="shared" si="67"/>
        <v>0.59813084112149528</v>
      </c>
      <c r="D140" s="217">
        <v>0.64</v>
      </c>
      <c r="E140" s="69"/>
      <c r="F140" s="218">
        <v>0.67</v>
      </c>
      <c r="G140" s="219">
        <f t="shared" si="62"/>
        <v>4.6875E-2</v>
      </c>
      <c r="H140" s="220">
        <v>0.69</v>
      </c>
      <c r="I140" s="221">
        <f t="shared" si="63"/>
        <v>7.8125E-2</v>
      </c>
      <c r="J140" s="222">
        <v>0.7</v>
      </c>
      <c r="K140" s="221">
        <f t="shared" si="64"/>
        <v>9.375E-2</v>
      </c>
      <c r="L140" s="222">
        <v>0.74</v>
      </c>
      <c r="M140" s="221">
        <f t="shared" si="65"/>
        <v>0.15625</v>
      </c>
      <c r="N140" s="222">
        <v>0.77</v>
      </c>
      <c r="O140" s="221">
        <f t="shared" si="66"/>
        <v>0.203125</v>
      </c>
      <c r="Q140" s="92"/>
      <c r="R140" s="92"/>
      <c r="S140" s="92"/>
      <c r="T140" s="92"/>
      <c r="U140" s="92"/>
    </row>
    <row r="141" spans="1:21" s="81" customFormat="1">
      <c r="A141" s="82" t="s">
        <v>65</v>
      </c>
      <c r="B141" s="215" t="s">
        <v>14</v>
      </c>
      <c r="C141" s="216">
        <f t="shared" si="67"/>
        <v>14.205607476635512</v>
      </c>
      <c r="D141" s="217">
        <v>15.2</v>
      </c>
      <c r="E141" s="69"/>
      <c r="F141" s="218">
        <v>16</v>
      </c>
      <c r="G141" s="219">
        <f t="shared" si="62"/>
        <v>5.2631578947368363E-2</v>
      </c>
      <c r="H141" s="220">
        <v>16.25</v>
      </c>
      <c r="I141" s="221">
        <f t="shared" si="63"/>
        <v>6.9078947368421018E-2</v>
      </c>
      <c r="J141" s="222">
        <v>16.75</v>
      </c>
      <c r="K141" s="221">
        <f t="shared" si="64"/>
        <v>0.10197368421052633</v>
      </c>
      <c r="L141" s="222">
        <v>17.5</v>
      </c>
      <c r="M141" s="221">
        <f t="shared" si="65"/>
        <v>0.15131578947368429</v>
      </c>
      <c r="N141" s="222">
        <v>18.25</v>
      </c>
      <c r="O141" s="221">
        <f t="shared" si="66"/>
        <v>0.20065789473684226</v>
      </c>
      <c r="Q141" s="94"/>
      <c r="R141" s="94"/>
      <c r="S141" s="94"/>
      <c r="T141" s="94"/>
      <c r="U141" s="94"/>
    </row>
    <row r="142" spans="1:21">
      <c r="A142" s="32" t="s">
        <v>54</v>
      </c>
      <c r="B142" s="215" t="s">
        <v>144</v>
      </c>
      <c r="C142" s="138">
        <f t="shared" si="67"/>
        <v>15</v>
      </c>
      <c r="D142" s="139">
        <v>16.05</v>
      </c>
      <c r="E142" s="81"/>
      <c r="F142" s="164">
        <v>17</v>
      </c>
      <c r="G142" s="165">
        <f t="shared" si="62"/>
        <v>5.9190031152647871E-2</v>
      </c>
      <c r="H142" s="120">
        <v>17.75</v>
      </c>
      <c r="I142" s="191">
        <f t="shared" si="63"/>
        <v>0.10591900311526481</v>
      </c>
      <c r="J142" s="151">
        <v>18.25</v>
      </c>
      <c r="K142" s="191">
        <f t="shared" si="64"/>
        <v>0.13707165109034269</v>
      </c>
      <c r="L142" s="151">
        <v>18.75</v>
      </c>
      <c r="M142" s="191">
        <f t="shared" si="65"/>
        <v>0.16822429906542058</v>
      </c>
      <c r="N142" s="151">
        <v>19.25</v>
      </c>
      <c r="O142" s="191">
        <f t="shared" si="66"/>
        <v>0.19937694704049846</v>
      </c>
      <c r="Q142" s="92"/>
      <c r="R142" s="92"/>
      <c r="S142" s="92"/>
      <c r="T142" s="92"/>
      <c r="U142" s="92"/>
    </row>
    <row r="143" spans="1:21">
      <c r="A143" s="30" t="s">
        <v>52</v>
      </c>
      <c r="B143" s="215" t="s">
        <v>14</v>
      </c>
      <c r="C143" s="216">
        <f t="shared" si="67"/>
        <v>11.214953271028037</v>
      </c>
      <c r="D143" s="217">
        <v>12</v>
      </c>
      <c r="E143" s="69"/>
      <c r="F143" s="218">
        <v>12.5</v>
      </c>
      <c r="G143" s="219">
        <f t="shared" si="62"/>
        <v>4.1666666666666741E-2</v>
      </c>
      <c r="H143" s="220">
        <v>13</v>
      </c>
      <c r="I143" s="221">
        <f t="shared" si="63"/>
        <v>8.3333333333333259E-2</v>
      </c>
      <c r="J143" s="222">
        <v>13.25</v>
      </c>
      <c r="K143" s="221">
        <f t="shared" si="64"/>
        <v>0.10416666666666674</v>
      </c>
      <c r="L143" s="222">
        <v>14</v>
      </c>
      <c r="M143" s="221">
        <f t="shared" si="65"/>
        <v>0.16666666666666674</v>
      </c>
      <c r="N143" s="222">
        <v>14.5</v>
      </c>
      <c r="O143" s="221">
        <f t="shared" si="66"/>
        <v>0.20833333333333326</v>
      </c>
      <c r="Q143" s="92"/>
      <c r="R143" s="92"/>
      <c r="S143" s="92"/>
      <c r="T143" s="92"/>
      <c r="U143" s="92"/>
    </row>
    <row r="144" spans="1:21">
      <c r="A144" s="34" t="s">
        <v>98</v>
      </c>
      <c r="B144" s="215" t="s">
        <v>99</v>
      </c>
      <c r="C144" s="216">
        <f t="shared" si="67"/>
        <v>12.831775700934578</v>
      </c>
      <c r="D144" s="217">
        <v>13.73</v>
      </c>
      <c r="E144" s="69"/>
      <c r="F144" s="218">
        <v>14.5</v>
      </c>
      <c r="G144" s="219">
        <f t="shared" si="62"/>
        <v>5.6081573197378054E-2</v>
      </c>
      <c r="H144" s="220">
        <v>14.75</v>
      </c>
      <c r="I144" s="221">
        <f t="shared" si="63"/>
        <v>7.4289876183539771E-2</v>
      </c>
      <c r="J144" s="222">
        <v>15.25</v>
      </c>
      <c r="K144" s="221">
        <f t="shared" si="64"/>
        <v>0.11070648215586298</v>
      </c>
      <c r="L144" s="222">
        <v>16</v>
      </c>
      <c r="M144" s="221">
        <f t="shared" si="65"/>
        <v>0.16533139111434814</v>
      </c>
      <c r="N144" s="222">
        <v>16.5</v>
      </c>
      <c r="O144" s="221">
        <f t="shared" si="66"/>
        <v>0.20174799708667157</v>
      </c>
      <c r="Q144" s="92"/>
      <c r="R144" s="92"/>
      <c r="S144" s="92"/>
      <c r="T144" s="92"/>
      <c r="U144" s="92"/>
    </row>
    <row r="145" spans="1:88">
      <c r="A145" s="34"/>
      <c r="B145" s="215" t="s">
        <v>100</v>
      </c>
      <c r="C145" s="216">
        <f t="shared" si="67"/>
        <v>17.55140186915888</v>
      </c>
      <c r="D145" s="217">
        <v>18.78</v>
      </c>
      <c r="E145" s="69"/>
      <c r="F145" s="218">
        <v>19.75</v>
      </c>
      <c r="G145" s="219">
        <f t="shared" si="62"/>
        <v>5.165069222577201E-2</v>
      </c>
      <c r="H145" s="220">
        <v>20</v>
      </c>
      <c r="I145" s="221">
        <f t="shared" si="63"/>
        <v>6.4962726304579332E-2</v>
      </c>
      <c r="J145" s="222">
        <v>20.75</v>
      </c>
      <c r="K145" s="221">
        <f t="shared" si="64"/>
        <v>0.10489882854100108</v>
      </c>
      <c r="L145" s="222">
        <v>21.75</v>
      </c>
      <c r="M145" s="221">
        <f t="shared" si="65"/>
        <v>0.15814696485622992</v>
      </c>
      <c r="N145" s="222">
        <v>22.75</v>
      </c>
      <c r="O145" s="221">
        <f t="shared" si="66"/>
        <v>0.21139510117145899</v>
      </c>
      <c r="Q145" s="92"/>
      <c r="R145" s="92"/>
      <c r="S145" s="92"/>
      <c r="T145" s="92"/>
      <c r="U145" s="92"/>
    </row>
    <row r="146" spans="1:88">
      <c r="A146" s="34"/>
      <c r="B146" s="215" t="s">
        <v>101</v>
      </c>
      <c r="C146" s="216">
        <f t="shared" si="67"/>
        <v>32.411214953271028</v>
      </c>
      <c r="D146" s="217">
        <v>34.68</v>
      </c>
      <c r="E146" s="69"/>
      <c r="F146" s="218">
        <v>36.25</v>
      </c>
      <c r="G146" s="219">
        <f t="shared" si="62"/>
        <v>4.5271049596309121E-2</v>
      </c>
      <c r="H146" s="220">
        <v>37</v>
      </c>
      <c r="I146" s="221">
        <f t="shared" si="63"/>
        <v>6.6897347174163846E-2</v>
      </c>
      <c r="J146" s="222">
        <v>38.25</v>
      </c>
      <c r="K146" s="221">
        <f t="shared" si="64"/>
        <v>0.10294117647058831</v>
      </c>
      <c r="L146" s="222">
        <v>40</v>
      </c>
      <c r="M146" s="221">
        <f t="shared" si="65"/>
        <v>0.15340253748558252</v>
      </c>
      <c r="N146" s="222">
        <v>41.75</v>
      </c>
      <c r="O146" s="221">
        <f t="shared" si="66"/>
        <v>0.20386389850057673</v>
      </c>
      <c r="Q146" s="92"/>
      <c r="R146" s="92"/>
      <c r="S146" s="92"/>
      <c r="T146" s="92"/>
      <c r="U146" s="92"/>
    </row>
    <row r="147" spans="1:88" s="6" customFormat="1">
      <c r="A147" s="34" t="s">
        <v>61</v>
      </c>
      <c r="B147" s="215" t="s">
        <v>68</v>
      </c>
      <c r="C147" s="138">
        <f t="shared" si="67"/>
        <v>51.401869158878505</v>
      </c>
      <c r="D147" s="139">
        <v>55</v>
      </c>
      <c r="E147" s="81"/>
      <c r="F147" s="164">
        <v>58</v>
      </c>
      <c r="G147" s="165">
        <f t="shared" si="62"/>
        <v>5.4545454545454453E-2</v>
      </c>
      <c r="H147" s="120">
        <v>59</v>
      </c>
      <c r="I147" s="191">
        <f t="shared" si="63"/>
        <v>7.2727272727272751E-2</v>
      </c>
      <c r="J147" s="151">
        <v>61</v>
      </c>
      <c r="K147" s="191">
        <f t="shared" si="64"/>
        <v>0.10909090909090913</v>
      </c>
      <c r="L147" s="151">
        <v>63</v>
      </c>
      <c r="M147" s="191">
        <f t="shared" si="65"/>
        <v>0.1454545454545455</v>
      </c>
      <c r="N147" s="151">
        <v>65</v>
      </c>
      <c r="O147" s="191">
        <f t="shared" si="66"/>
        <v>0.18181818181818188</v>
      </c>
      <c r="P147"/>
      <c r="Q147" s="92"/>
      <c r="R147" s="92"/>
      <c r="S147" s="92"/>
      <c r="T147" s="92"/>
      <c r="U147" s="92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</row>
    <row r="148" spans="1:88" s="6" customFormat="1">
      <c r="A148" s="34" t="s">
        <v>61</v>
      </c>
      <c r="B148" s="215" t="s">
        <v>69</v>
      </c>
      <c r="C148" s="138">
        <f t="shared" si="67"/>
        <v>43.925233644859809</v>
      </c>
      <c r="D148" s="139">
        <v>47</v>
      </c>
      <c r="E148" s="81"/>
      <c r="F148" s="164">
        <v>50</v>
      </c>
      <c r="G148" s="165">
        <f t="shared" si="62"/>
        <v>6.3829787234042534E-2</v>
      </c>
      <c r="H148" s="120">
        <v>51.5</v>
      </c>
      <c r="I148" s="191">
        <f t="shared" si="63"/>
        <v>9.5744680851063801E-2</v>
      </c>
      <c r="J148" s="151">
        <v>52.5</v>
      </c>
      <c r="K148" s="191">
        <f t="shared" si="64"/>
        <v>0.11702127659574457</v>
      </c>
      <c r="L148" s="151">
        <v>54</v>
      </c>
      <c r="M148" s="191">
        <f t="shared" si="65"/>
        <v>0.14893617021276606</v>
      </c>
      <c r="N148" s="151">
        <v>56</v>
      </c>
      <c r="O148" s="191">
        <f t="shared" si="66"/>
        <v>0.1914893617021276</v>
      </c>
      <c r="P148"/>
      <c r="Q148" s="92"/>
      <c r="R148" s="92"/>
      <c r="S148" s="92"/>
      <c r="T148" s="92"/>
      <c r="U148" s="92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</row>
    <row r="149" spans="1:88" s="6" customFormat="1">
      <c r="A149" s="34" t="s">
        <v>61</v>
      </c>
      <c r="B149" s="215" t="s">
        <v>70</v>
      </c>
      <c r="C149" s="138">
        <f t="shared" si="67"/>
        <v>38.31775700934579</v>
      </c>
      <c r="D149" s="139">
        <v>41</v>
      </c>
      <c r="E149" s="81"/>
      <c r="F149" s="164">
        <v>43</v>
      </c>
      <c r="G149" s="165">
        <f t="shared" si="62"/>
        <v>4.8780487804878092E-2</v>
      </c>
      <c r="H149" s="120">
        <v>45</v>
      </c>
      <c r="I149" s="191">
        <f t="shared" si="63"/>
        <v>9.7560975609756184E-2</v>
      </c>
      <c r="J149" s="151">
        <v>46</v>
      </c>
      <c r="K149" s="191">
        <f t="shared" si="64"/>
        <v>0.12195121951219523</v>
      </c>
      <c r="L149" s="151">
        <v>47</v>
      </c>
      <c r="M149" s="191">
        <f t="shared" si="65"/>
        <v>0.14634146341463405</v>
      </c>
      <c r="N149" s="151">
        <v>49</v>
      </c>
      <c r="O149" s="191">
        <f t="shared" si="66"/>
        <v>0.19512195121951215</v>
      </c>
      <c r="P149"/>
      <c r="Q149" s="92"/>
      <c r="R149" s="92"/>
      <c r="S149" s="92"/>
      <c r="T149" s="92"/>
      <c r="U149" s="92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</row>
    <row r="150" spans="1:88" s="6" customFormat="1">
      <c r="A150" s="33" t="s">
        <v>52</v>
      </c>
      <c r="B150" s="215" t="s">
        <v>70</v>
      </c>
      <c r="C150" s="216">
        <f t="shared" si="67"/>
        <v>30.841121495327101</v>
      </c>
      <c r="D150" s="217">
        <v>33</v>
      </c>
      <c r="E150" s="69"/>
      <c r="F150" s="218">
        <v>34.5</v>
      </c>
      <c r="G150" s="219">
        <f t="shared" si="62"/>
        <v>4.5454545454545414E-2</v>
      </c>
      <c r="H150" s="220">
        <v>35.25</v>
      </c>
      <c r="I150" s="221">
        <f t="shared" si="63"/>
        <v>6.8181818181818121E-2</v>
      </c>
      <c r="J150" s="222">
        <v>36.25</v>
      </c>
      <c r="K150" s="221">
        <f t="shared" si="64"/>
        <v>9.8484848484848397E-2</v>
      </c>
      <c r="L150" s="222">
        <v>38</v>
      </c>
      <c r="M150" s="221">
        <f t="shared" si="65"/>
        <v>0.1515151515151516</v>
      </c>
      <c r="N150" s="222">
        <v>39.75</v>
      </c>
      <c r="O150" s="221">
        <f t="shared" si="66"/>
        <v>0.20454545454545459</v>
      </c>
      <c r="P150"/>
      <c r="Q150" s="92"/>
      <c r="R150" s="92"/>
      <c r="S150" s="92"/>
      <c r="T150" s="92"/>
      <c r="U150" s="92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</row>
    <row r="151" spans="1:88" s="6" customFormat="1">
      <c r="A151" s="34" t="s">
        <v>61</v>
      </c>
      <c r="B151" s="215" t="s">
        <v>71</v>
      </c>
      <c r="C151" s="138">
        <f t="shared" si="67"/>
        <v>51.401869158878505</v>
      </c>
      <c r="D151" s="139">
        <v>55</v>
      </c>
      <c r="E151" s="81"/>
      <c r="F151" s="164">
        <v>58</v>
      </c>
      <c r="G151" s="165">
        <f t="shared" si="62"/>
        <v>5.4545454545454453E-2</v>
      </c>
      <c r="H151" s="120">
        <v>59.5</v>
      </c>
      <c r="I151" s="191">
        <f t="shared" si="63"/>
        <v>8.181818181818179E-2</v>
      </c>
      <c r="J151" s="151">
        <v>61</v>
      </c>
      <c r="K151" s="191">
        <f t="shared" si="64"/>
        <v>0.10909090909090913</v>
      </c>
      <c r="L151" s="151">
        <v>63</v>
      </c>
      <c r="M151" s="191">
        <f t="shared" si="65"/>
        <v>0.1454545454545455</v>
      </c>
      <c r="N151" s="151">
        <v>65</v>
      </c>
      <c r="O151" s="191">
        <f t="shared" si="66"/>
        <v>0.18181818181818188</v>
      </c>
      <c r="P151"/>
      <c r="Q151" s="92"/>
      <c r="R151" s="92"/>
      <c r="S151" s="92"/>
      <c r="T151" s="92"/>
      <c r="U151" s="92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</row>
    <row r="152" spans="1:88" s="6" customFormat="1">
      <c r="A152" s="34" t="s">
        <v>61</v>
      </c>
      <c r="B152" s="215" t="s">
        <v>72</v>
      </c>
      <c r="C152" s="138">
        <f t="shared" si="67"/>
        <v>43.925233644859809</v>
      </c>
      <c r="D152" s="139">
        <v>47</v>
      </c>
      <c r="E152" s="81"/>
      <c r="F152" s="164">
        <v>49</v>
      </c>
      <c r="G152" s="165">
        <f t="shared" si="62"/>
        <v>4.2553191489361764E-2</v>
      </c>
      <c r="H152" s="120">
        <v>51</v>
      </c>
      <c r="I152" s="191">
        <f t="shared" si="63"/>
        <v>8.5106382978723305E-2</v>
      </c>
      <c r="J152" s="151">
        <v>52.5</v>
      </c>
      <c r="K152" s="191">
        <f t="shared" si="64"/>
        <v>0.11702127659574457</v>
      </c>
      <c r="L152" s="151">
        <v>54</v>
      </c>
      <c r="M152" s="191">
        <f t="shared" si="65"/>
        <v>0.14893617021276606</v>
      </c>
      <c r="N152" s="151">
        <v>56</v>
      </c>
      <c r="O152" s="191">
        <f t="shared" si="66"/>
        <v>0.1914893617021276</v>
      </c>
      <c r="P152"/>
      <c r="Q152" s="92"/>
      <c r="R152" s="92"/>
      <c r="S152" s="92"/>
      <c r="T152" s="92"/>
      <c r="U152" s="9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</row>
    <row r="153" spans="1:88" s="6" customFormat="1">
      <c r="A153" s="34" t="s">
        <v>61</v>
      </c>
      <c r="B153" s="215" t="s">
        <v>73</v>
      </c>
      <c r="C153" s="138">
        <f t="shared" si="67"/>
        <v>38.31775700934579</v>
      </c>
      <c r="D153" s="139">
        <v>41</v>
      </c>
      <c r="E153" s="81"/>
      <c r="F153" s="164">
        <v>43</v>
      </c>
      <c r="G153" s="165">
        <f t="shared" si="62"/>
        <v>4.8780487804878092E-2</v>
      </c>
      <c r="H153" s="120">
        <v>45</v>
      </c>
      <c r="I153" s="191">
        <f t="shared" si="63"/>
        <v>9.7560975609756184E-2</v>
      </c>
      <c r="J153" s="151">
        <v>46</v>
      </c>
      <c r="K153" s="191">
        <f t="shared" si="64"/>
        <v>0.12195121951219523</v>
      </c>
      <c r="L153" s="151">
        <v>47</v>
      </c>
      <c r="M153" s="191">
        <f t="shared" si="65"/>
        <v>0.14634146341463405</v>
      </c>
      <c r="N153" s="151">
        <v>49</v>
      </c>
      <c r="O153" s="191">
        <f t="shared" si="66"/>
        <v>0.19512195121951215</v>
      </c>
      <c r="P153"/>
      <c r="Q153" s="92"/>
      <c r="R153" s="92"/>
      <c r="S153" s="92"/>
      <c r="T153" s="92"/>
      <c r="U153" s="92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</row>
    <row r="154" spans="1:88" s="6" customFormat="1">
      <c r="A154" s="33" t="s">
        <v>52</v>
      </c>
      <c r="B154" s="215" t="s">
        <v>73</v>
      </c>
      <c r="C154" s="216">
        <f t="shared" si="67"/>
        <v>30.841121495327101</v>
      </c>
      <c r="D154" s="217">
        <v>33</v>
      </c>
      <c r="E154" s="69"/>
      <c r="F154" s="218">
        <v>34.5</v>
      </c>
      <c r="G154" s="219">
        <f t="shared" si="62"/>
        <v>4.5454545454545414E-2</v>
      </c>
      <c r="H154" s="220">
        <v>35.5</v>
      </c>
      <c r="I154" s="221">
        <f t="shared" si="63"/>
        <v>7.575757575757569E-2</v>
      </c>
      <c r="J154" s="222">
        <v>36.5</v>
      </c>
      <c r="K154" s="221">
        <f t="shared" si="64"/>
        <v>0.10606060606060597</v>
      </c>
      <c r="L154" s="222">
        <v>38</v>
      </c>
      <c r="M154" s="221">
        <f t="shared" si="65"/>
        <v>0.1515151515151516</v>
      </c>
      <c r="N154" s="222">
        <v>39.75</v>
      </c>
      <c r="O154" s="221">
        <f t="shared" si="66"/>
        <v>0.20454545454545459</v>
      </c>
      <c r="P154"/>
      <c r="Q154" s="92"/>
      <c r="R154" s="92"/>
      <c r="S154" s="92"/>
      <c r="T154" s="92"/>
      <c r="U154" s="92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</row>
    <row r="155" spans="1:88" s="6" customFormat="1">
      <c r="A155" s="34" t="s">
        <v>61</v>
      </c>
      <c r="B155" s="215" t="s">
        <v>74</v>
      </c>
      <c r="C155" s="138">
        <f t="shared" si="67"/>
        <v>53.271028037383175</v>
      </c>
      <c r="D155" s="139">
        <v>57</v>
      </c>
      <c r="E155" s="81"/>
      <c r="F155" s="164">
        <v>60</v>
      </c>
      <c r="G155" s="165">
        <f t="shared" si="62"/>
        <v>5.2631578947368363E-2</v>
      </c>
      <c r="H155" s="120">
        <v>62</v>
      </c>
      <c r="I155" s="191">
        <f t="shared" si="63"/>
        <v>8.7719298245614086E-2</v>
      </c>
      <c r="J155" s="151">
        <v>64</v>
      </c>
      <c r="K155" s="191">
        <f t="shared" si="64"/>
        <v>0.12280701754385959</v>
      </c>
      <c r="L155" s="151">
        <v>66</v>
      </c>
      <c r="M155" s="191">
        <f t="shared" si="65"/>
        <v>0.15789473684210531</v>
      </c>
      <c r="N155" s="151">
        <v>68</v>
      </c>
      <c r="O155" s="191">
        <f t="shared" si="66"/>
        <v>0.19298245614035081</v>
      </c>
      <c r="P155"/>
      <c r="Q155" s="92"/>
      <c r="R155" s="92"/>
      <c r="S155" s="92"/>
      <c r="T155" s="92"/>
      <c r="U155" s="92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</row>
    <row r="156" spans="1:88" s="6" customFormat="1">
      <c r="A156" s="34" t="s">
        <v>61</v>
      </c>
      <c r="B156" s="215" t="s">
        <v>75</v>
      </c>
      <c r="C156" s="138">
        <f t="shared" si="67"/>
        <v>45.794392523364486</v>
      </c>
      <c r="D156" s="139">
        <v>49</v>
      </c>
      <c r="E156" s="81"/>
      <c r="F156" s="164">
        <v>52</v>
      </c>
      <c r="G156" s="165">
        <f t="shared" si="62"/>
        <v>6.1224489795918435E-2</v>
      </c>
      <c r="H156" s="120">
        <v>53.5</v>
      </c>
      <c r="I156" s="191">
        <f t="shared" si="63"/>
        <v>9.1836734693877542E-2</v>
      </c>
      <c r="J156" s="151">
        <v>54.5</v>
      </c>
      <c r="K156" s="191">
        <f t="shared" si="64"/>
        <v>0.11224489795918369</v>
      </c>
      <c r="L156" s="151">
        <v>56</v>
      </c>
      <c r="M156" s="191">
        <f t="shared" si="65"/>
        <v>0.14285714285714279</v>
      </c>
      <c r="N156" s="151">
        <v>58</v>
      </c>
      <c r="O156" s="191">
        <f t="shared" si="66"/>
        <v>0.18367346938775508</v>
      </c>
      <c r="P156"/>
      <c r="Q156" s="92"/>
      <c r="R156" s="92"/>
      <c r="S156" s="92"/>
      <c r="T156" s="92"/>
      <c r="U156" s="92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</row>
    <row r="157" spans="1:88" s="6" customFormat="1">
      <c r="A157" s="34" t="s">
        <v>61</v>
      </c>
      <c r="B157" s="215" t="s">
        <v>76</v>
      </c>
      <c r="C157" s="138">
        <f t="shared" si="67"/>
        <v>40.186915887850468</v>
      </c>
      <c r="D157" s="139">
        <v>43</v>
      </c>
      <c r="E157" s="81"/>
      <c r="F157" s="164">
        <v>45</v>
      </c>
      <c r="G157" s="165">
        <f t="shared" si="62"/>
        <v>4.6511627906976827E-2</v>
      </c>
      <c r="H157" s="120">
        <v>47</v>
      </c>
      <c r="I157" s="191">
        <f t="shared" si="63"/>
        <v>9.3023255813953432E-2</v>
      </c>
      <c r="J157" s="151">
        <v>48.25</v>
      </c>
      <c r="K157" s="191">
        <f t="shared" si="64"/>
        <v>0.12209302325581395</v>
      </c>
      <c r="L157" s="151">
        <v>49</v>
      </c>
      <c r="M157" s="191">
        <f t="shared" si="65"/>
        <v>0.13953488372093026</v>
      </c>
      <c r="N157" s="151">
        <v>51</v>
      </c>
      <c r="O157" s="191">
        <f t="shared" si="66"/>
        <v>0.18604651162790709</v>
      </c>
      <c r="P157"/>
      <c r="Q157" s="92"/>
      <c r="R157" s="92"/>
      <c r="S157" s="92"/>
      <c r="T157" s="92"/>
      <c r="U157" s="92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</row>
    <row r="158" spans="1:88" s="6" customFormat="1">
      <c r="A158" s="34"/>
      <c r="B158" s="215" t="s">
        <v>77</v>
      </c>
      <c r="C158" s="138">
        <f t="shared" si="67"/>
        <v>53.271028037383175</v>
      </c>
      <c r="D158" s="139">
        <v>57</v>
      </c>
      <c r="E158" s="81"/>
      <c r="F158" s="164">
        <v>60</v>
      </c>
      <c r="G158" s="165">
        <f t="shared" si="62"/>
        <v>5.2631578947368363E-2</v>
      </c>
      <c r="H158" s="120">
        <v>62</v>
      </c>
      <c r="I158" s="191">
        <f t="shared" si="63"/>
        <v>8.7719298245614086E-2</v>
      </c>
      <c r="J158" s="151">
        <v>64</v>
      </c>
      <c r="K158" s="191">
        <f t="shared" si="64"/>
        <v>0.12280701754385959</v>
      </c>
      <c r="L158" s="151">
        <v>65.5</v>
      </c>
      <c r="M158" s="191">
        <f t="shared" si="65"/>
        <v>0.14912280701754388</v>
      </c>
      <c r="N158" s="151">
        <v>68</v>
      </c>
      <c r="O158" s="191">
        <f t="shared" si="66"/>
        <v>0.19298245614035081</v>
      </c>
      <c r="P158"/>
      <c r="Q158" s="92"/>
      <c r="R158" s="92"/>
      <c r="S158" s="92"/>
      <c r="T158" s="92"/>
      <c r="U158" s="92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</row>
    <row r="159" spans="1:88" s="6" customFormat="1">
      <c r="A159" s="34"/>
      <c r="B159" s="215" t="s">
        <v>78</v>
      </c>
      <c r="C159" s="138">
        <f t="shared" si="67"/>
        <v>45.794392523364486</v>
      </c>
      <c r="D159" s="139">
        <v>49</v>
      </c>
      <c r="E159" s="81"/>
      <c r="F159" s="164">
        <v>52</v>
      </c>
      <c r="G159" s="165">
        <f t="shared" si="62"/>
        <v>6.1224489795918435E-2</v>
      </c>
      <c r="H159" s="120">
        <v>53.5</v>
      </c>
      <c r="I159" s="191">
        <f t="shared" si="63"/>
        <v>9.1836734693877542E-2</v>
      </c>
      <c r="J159" s="151">
        <v>55</v>
      </c>
      <c r="K159" s="191">
        <f t="shared" si="64"/>
        <v>0.12244897959183665</v>
      </c>
      <c r="L159" s="151">
        <v>56.5</v>
      </c>
      <c r="M159" s="191">
        <f t="shared" si="65"/>
        <v>0.15306122448979598</v>
      </c>
      <c r="N159" s="151">
        <v>59</v>
      </c>
      <c r="O159" s="191">
        <f t="shared" si="66"/>
        <v>0.20408163265306123</v>
      </c>
      <c r="P159"/>
      <c r="Q159" s="92"/>
      <c r="R159" s="92"/>
      <c r="S159" s="92"/>
      <c r="T159" s="92"/>
      <c r="U159" s="92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</row>
    <row r="160" spans="1:88" s="6" customFormat="1">
      <c r="A160" s="34"/>
      <c r="B160" s="215" t="s">
        <v>79</v>
      </c>
      <c r="C160" s="138">
        <f t="shared" si="67"/>
        <v>40.186915887850468</v>
      </c>
      <c r="D160" s="139">
        <v>43</v>
      </c>
      <c r="E160" s="81"/>
      <c r="F160" s="164">
        <v>45</v>
      </c>
      <c r="G160" s="165">
        <f t="shared" si="62"/>
        <v>4.6511627906976827E-2</v>
      </c>
      <c r="H160" s="120">
        <v>47</v>
      </c>
      <c r="I160" s="191">
        <f t="shared" si="63"/>
        <v>9.3023255813953432E-2</v>
      </c>
      <c r="J160" s="151">
        <v>48.5</v>
      </c>
      <c r="K160" s="191">
        <f t="shared" si="64"/>
        <v>0.12790697674418605</v>
      </c>
      <c r="L160" s="151">
        <v>49.5</v>
      </c>
      <c r="M160" s="191">
        <f t="shared" si="65"/>
        <v>0.15116279069767447</v>
      </c>
      <c r="N160" s="151">
        <v>52</v>
      </c>
      <c r="O160" s="191">
        <f t="shared" si="66"/>
        <v>0.20930232558139528</v>
      </c>
      <c r="P160"/>
      <c r="Q160" s="92"/>
      <c r="R160" s="92"/>
      <c r="S160" s="92"/>
      <c r="T160" s="92"/>
      <c r="U160" s="92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</row>
    <row r="161" spans="1:88" s="6" customFormat="1">
      <c r="A161" s="34" t="s">
        <v>61</v>
      </c>
      <c r="B161" s="215" t="s">
        <v>62</v>
      </c>
      <c r="C161" s="138">
        <f t="shared" si="67"/>
        <v>57.943925233644855</v>
      </c>
      <c r="D161" s="139">
        <v>62</v>
      </c>
      <c r="E161" s="81"/>
      <c r="F161" s="164">
        <v>65</v>
      </c>
      <c r="G161" s="165">
        <f t="shared" si="62"/>
        <v>4.8387096774193505E-2</v>
      </c>
      <c r="H161" s="120">
        <v>68</v>
      </c>
      <c r="I161" s="191">
        <f t="shared" si="63"/>
        <v>9.6774193548387011E-2</v>
      </c>
      <c r="J161" s="151">
        <v>70</v>
      </c>
      <c r="K161" s="191">
        <f t="shared" si="64"/>
        <v>0.12903225806451624</v>
      </c>
      <c r="L161" s="151">
        <v>72</v>
      </c>
      <c r="M161" s="191">
        <f t="shared" si="65"/>
        <v>0.16129032258064524</v>
      </c>
      <c r="N161" s="151">
        <v>75</v>
      </c>
      <c r="O161" s="191">
        <f t="shared" si="66"/>
        <v>0.20967741935483875</v>
      </c>
      <c r="P161"/>
      <c r="Q161" s="92"/>
      <c r="R161" s="92"/>
      <c r="S161" s="92"/>
      <c r="T161" s="92"/>
      <c r="U161" s="92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</row>
    <row r="162" spans="1:88" s="6" customFormat="1">
      <c r="A162" s="34" t="s">
        <v>61</v>
      </c>
      <c r="B162" s="215" t="s">
        <v>82</v>
      </c>
      <c r="C162" s="138">
        <f t="shared" si="67"/>
        <v>48.598130841121495</v>
      </c>
      <c r="D162" s="139">
        <v>52</v>
      </c>
      <c r="E162" s="81"/>
      <c r="F162" s="164">
        <v>54.25</v>
      </c>
      <c r="G162" s="165">
        <f t="shared" si="62"/>
        <v>4.3269230769230838E-2</v>
      </c>
      <c r="H162" s="120">
        <v>57</v>
      </c>
      <c r="I162" s="191">
        <f t="shared" si="63"/>
        <v>9.6153846153846256E-2</v>
      </c>
      <c r="J162" s="151">
        <v>58.5</v>
      </c>
      <c r="K162" s="191">
        <f t="shared" si="64"/>
        <v>0.125</v>
      </c>
      <c r="L162" s="151">
        <v>60.5</v>
      </c>
      <c r="M162" s="191">
        <f t="shared" si="65"/>
        <v>0.16346153846153855</v>
      </c>
      <c r="N162" s="151">
        <v>63</v>
      </c>
      <c r="O162" s="191">
        <f t="shared" si="66"/>
        <v>0.21153846153846145</v>
      </c>
      <c r="P162"/>
      <c r="Q162" s="92"/>
      <c r="R162" s="92"/>
      <c r="S162" s="92"/>
      <c r="T162" s="92"/>
      <c r="U162" s="9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</row>
    <row r="163" spans="1:88" s="6" customFormat="1">
      <c r="A163" s="34"/>
      <c r="B163" s="215" t="s">
        <v>13</v>
      </c>
      <c r="C163" s="138">
        <f t="shared" si="67"/>
        <v>144.85981308411215</v>
      </c>
      <c r="D163" s="139">
        <v>155</v>
      </c>
      <c r="E163" s="81"/>
      <c r="F163" s="164">
        <v>172</v>
      </c>
      <c r="G163" s="165">
        <f t="shared" si="62"/>
        <v>0.10967741935483866</v>
      </c>
      <c r="H163" s="120">
        <v>177</v>
      </c>
      <c r="I163" s="191">
        <f t="shared" si="63"/>
        <v>0.14193548387096766</v>
      </c>
      <c r="J163" s="151">
        <v>182</v>
      </c>
      <c r="K163" s="191">
        <f t="shared" si="64"/>
        <v>0.17419354838709666</v>
      </c>
      <c r="L163" s="151">
        <v>190</v>
      </c>
      <c r="M163" s="191">
        <f t="shared" si="65"/>
        <v>0.22580645161290325</v>
      </c>
      <c r="N163" s="151">
        <v>199</v>
      </c>
      <c r="O163" s="191">
        <f t="shared" si="66"/>
        <v>0.28387096774193554</v>
      </c>
      <c r="P163"/>
      <c r="Q163" s="92"/>
      <c r="R163" s="92"/>
      <c r="S163" s="92"/>
      <c r="T163" s="92"/>
      <c r="U163" s="92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</row>
    <row r="164" spans="1:88">
      <c r="A164" s="77" t="s">
        <v>93</v>
      </c>
      <c r="B164" s="215" t="s">
        <v>12</v>
      </c>
      <c r="C164" s="216">
        <f t="shared" si="67"/>
        <v>5.8411214953271022</v>
      </c>
      <c r="D164" s="217">
        <v>6.25</v>
      </c>
      <c r="E164" s="69"/>
      <c r="F164" s="218">
        <v>6.5</v>
      </c>
      <c r="G164" s="219">
        <f t="shared" si="62"/>
        <v>4.0000000000000036E-2</v>
      </c>
      <c r="H164" s="220">
        <v>6.75</v>
      </c>
      <c r="I164" s="221">
        <f t="shared" si="63"/>
        <v>8.0000000000000071E-2</v>
      </c>
      <c r="J164" s="222">
        <v>7</v>
      </c>
      <c r="K164" s="221">
        <f t="shared" si="64"/>
        <v>0.12000000000000011</v>
      </c>
      <c r="L164" s="222">
        <v>7.25</v>
      </c>
      <c r="M164" s="221">
        <f t="shared" si="65"/>
        <v>0.15999999999999992</v>
      </c>
      <c r="N164" s="222">
        <v>7.5</v>
      </c>
      <c r="O164" s="221">
        <f t="shared" si="66"/>
        <v>0.19999999999999996</v>
      </c>
      <c r="Q164" s="92"/>
      <c r="R164" s="92"/>
      <c r="S164" s="92"/>
      <c r="T164" s="92"/>
      <c r="U164" s="92"/>
    </row>
    <row r="165" spans="1:88">
      <c r="A165" s="34"/>
      <c r="B165" s="215" t="s">
        <v>11</v>
      </c>
      <c r="C165" s="216">
        <f t="shared" si="67"/>
        <v>6.0747663551401869</v>
      </c>
      <c r="D165" s="217">
        <v>6.5</v>
      </c>
      <c r="E165" s="69"/>
      <c r="F165" s="218">
        <v>6.75</v>
      </c>
      <c r="G165" s="219">
        <f t="shared" si="62"/>
        <v>3.8461538461538547E-2</v>
      </c>
      <c r="H165" s="220">
        <v>7</v>
      </c>
      <c r="I165" s="221">
        <f t="shared" si="63"/>
        <v>7.6923076923076872E-2</v>
      </c>
      <c r="J165" s="222">
        <v>7.25</v>
      </c>
      <c r="K165" s="221">
        <f t="shared" si="64"/>
        <v>0.11538461538461542</v>
      </c>
      <c r="L165" s="222">
        <v>7.5</v>
      </c>
      <c r="M165" s="221">
        <f t="shared" si="65"/>
        <v>0.15384615384615374</v>
      </c>
      <c r="N165" s="222">
        <v>7.75</v>
      </c>
      <c r="O165" s="221">
        <f t="shared" si="66"/>
        <v>0.19230769230769229</v>
      </c>
      <c r="Q165" s="92"/>
      <c r="R165" s="92"/>
      <c r="S165" s="92"/>
      <c r="T165" s="92"/>
      <c r="U165" s="92"/>
    </row>
    <row r="166" spans="1:88">
      <c r="A166" s="32" t="s">
        <v>54</v>
      </c>
      <c r="B166" s="215" t="s">
        <v>10</v>
      </c>
      <c r="C166" s="216">
        <f t="shared" si="67"/>
        <v>52</v>
      </c>
      <c r="D166" s="217">
        <v>55.64</v>
      </c>
      <c r="E166" s="69"/>
      <c r="F166" s="218">
        <v>58</v>
      </c>
      <c r="G166" s="219">
        <f t="shared" si="62"/>
        <v>4.2415528396836821E-2</v>
      </c>
      <c r="H166" s="220">
        <v>59.5</v>
      </c>
      <c r="I166" s="221">
        <f t="shared" si="63"/>
        <v>6.9374550682961944E-2</v>
      </c>
      <c r="J166" s="222">
        <v>61</v>
      </c>
      <c r="K166" s="221">
        <f t="shared" si="64"/>
        <v>9.6333572969087067E-2</v>
      </c>
      <c r="L166" s="222">
        <v>64</v>
      </c>
      <c r="M166" s="221">
        <f t="shared" si="65"/>
        <v>0.15025161754133709</v>
      </c>
      <c r="N166" s="222">
        <v>67</v>
      </c>
      <c r="O166" s="221">
        <f t="shared" si="66"/>
        <v>0.20416966211358734</v>
      </c>
      <c r="Q166" s="92"/>
      <c r="R166" s="92"/>
      <c r="S166" s="92"/>
      <c r="T166" s="92"/>
      <c r="U166" s="92"/>
    </row>
    <row r="167" spans="1:88">
      <c r="A167" s="33" t="s">
        <v>52</v>
      </c>
      <c r="B167" s="215" t="s">
        <v>10</v>
      </c>
      <c r="C167" s="216">
        <f t="shared" si="67"/>
        <v>32.710280373831772</v>
      </c>
      <c r="D167" s="217">
        <v>35</v>
      </c>
      <c r="E167" s="69"/>
      <c r="F167" s="218">
        <v>36.5</v>
      </c>
      <c r="G167" s="219">
        <f t="shared" si="62"/>
        <v>4.2857142857142927E-2</v>
      </c>
      <c r="H167" s="220">
        <v>37.5</v>
      </c>
      <c r="I167" s="221">
        <f t="shared" si="63"/>
        <v>7.1428571428571397E-2</v>
      </c>
      <c r="J167" s="222">
        <v>38.5</v>
      </c>
      <c r="K167" s="221">
        <f t="shared" si="64"/>
        <v>0.10000000000000009</v>
      </c>
      <c r="L167" s="222">
        <v>40.5</v>
      </c>
      <c r="M167" s="221">
        <f t="shared" si="65"/>
        <v>0.15714285714285725</v>
      </c>
      <c r="N167" s="222">
        <v>42</v>
      </c>
      <c r="O167" s="221">
        <f t="shared" si="66"/>
        <v>0.19999999999999996</v>
      </c>
      <c r="P167" t="s">
        <v>95</v>
      </c>
      <c r="Q167" s="92"/>
      <c r="R167" s="92"/>
      <c r="S167" s="92"/>
      <c r="T167" s="92"/>
      <c r="U167" s="92"/>
    </row>
    <row r="168" spans="1:88">
      <c r="A168" s="34" t="s">
        <v>95</v>
      </c>
      <c r="B168" s="215" t="s">
        <v>102</v>
      </c>
      <c r="C168" s="216"/>
      <c r="D168" s="217"/>
      <c r="E168" s="69"/>
      <c r="F168" s="218"/>
      <c r="G168" s="219" t="e">
        <f t="shared" si="62"/>
        <v>#DIV/0!</v>
      </c>
      <c r="H168" s="220"/>
      <c r="I168" s="221" t="e">
        <f t="shared" si="63"/>
        <v>#DIV/0!</v>
      </c>
      <c r="J168" s="222"/>
      <c r="K168" s="221" t="e">
        <f t="shared" si="64"/>
        <v>#DIV/0!</v>
      </c>
      <c r="L168" s="222"/>
      <c r="M168" s="221" t="e">
        <f t="shared" si="65"/>
        <v>#DIV/0!</v>
      </c>
      <c r="N168" s="222"/>
      <c r="O168" s="221" t="e">
        <f t="shared" si="66"/>
        <v>#DIV/0!</v>
      </c>
      <c r="Q168" s="92"/>
      <c r="R168" s="92"/>
      <c r="S168" s="92"/>
      <c r="T168" s="92"/>
      <c r="U168" s="92"/>
    </row>
    <row r="169" spans="1:88" ht="17.25" customHeight="1">
      <c r="A169" s="34" t="s">
        <v>110</v>
      </c>
      <c r="B169" s="215" t="s">
        <v>103</v>
      </c>
      <c r="C169" s="216">
        <f t="shared" si="67"/>
        <v>44.999999999999993</v>
      </c>
      <c r="D169" s="217">
        <v>48.15</v>
      </c>
      <c r="E169" s="69"/>
      <c r="F169" s="218">
        <v>51</v>
      </c>
      <c r="G169" s="219">
        <f t="shared" si="62"/>
        <v>5.9190031152648093E-2</v>
      </c>
      <c r="H169" s="220">
        <v>52</v>
      </c>
      <c r="I169" s="221">
        <f t="shared" si="63"/>
        <v>7.9958463136033275E-2</v>
      </c>
      <c r="J169" s="222">
        <v>53</v>
      </c>
      <c r="K169" s="221">
        <f t="shared" si="64"/>
        <v>0.10072689511941846</v>
      </c>
      <c r="L169" s="222">
        <v>55.5</v>
      </c>
      <c r="M169" s="221">
        <f t="shared" si="65"/>
        <v>0.15264797507788175</v>
      </c>
      <c r="N169" s="222">
        <v>58</v>
      </c>
      <c r="O169" s="221">
        <f t="shared" si="66"/>
        <v>0.20456905503634482</v>
      </c>
      <c r="Q169" s="92"/>
      <c r="R169" s="92"/>
      <c r="S169" s="92"/>
      <c r="T169" s="92"/>
      <c r="U169" s="92"/>
    </row>
    <row r="170" spans="1:88" ht="15.6" customHeight="1">
      <c r="A170" s="34"/>
      <c r="B170" s="152" t="s">
        <v>56</v>
      </c>
      <c r="C170" s="138">
        <f t="shared" si="67"/>
        <v>420.56074766355135</v>
      </c>
      <c r="D170" s="139">
        <v>450</v>
      </c>
      <c r="E170" s="81"/>
      <c r="F170" s="164">
        <v>485</v>
      </c>
      <c r="G170" s="165">
        <f t="shared" si="62"/>
        <v>7.7777777777777724E-2</v>
      </c>
      <c r="H170" s="120">
        <v>520</v>
      </c>
      <c r="I170" s="191">
        <f>H170/$D170-1</f>
        <v>0.15555555555555545</v>
      </c>
      <c r="J170" s="120">
        <v>550</v>
      </c>
      <c r="K170" s="191">
        <f t="shared" si="64"/>
        <v>0.22222222222222232</v>
      </c>
      <c r="L170" s="120">
        <v>570</v>
      </c>
      <c r="M170" s="191">
        <f t="shared" si="65"/>
        <v>0.26666666666666661</v>
      </c>
      <c r="N170" s="120">
        <v>590</v>
      </c>
      <c r="O170" s="191">
        <f t="shared" si="66"/>
        <v>0.31111111111111112</v>
      </c>
      <c r="P170" s="57" t="s">
        <v>63</v>
      </c>
      <c r="Q170" s="93"/>
      <c r="R170" s="92"/>
      <c r="S170" s="92"/>
      <c r="T170" s="92"/>
      <c r="U170" s="92"/>
    </row>
    <row r="171" spans="1:88">
      <c r="A171" s="34"/>
      <c r="B171" s="215" t="s">
        <v>9</v>
      </c>
      <c r="C171" s="216">
        <f>D171/1.07</f>
        <v>24.299999999999997</v>
      </c>
      <c r="D171" s="217">
        <v>26.000999999999998</v>
      </c>
      <c r="E171" s="69"/>
      <c r="F171" s="218">
        <v>27.25</v>
      </c>
      <c r="G171" s="219">
        <f t="shared" si="62"/>
        <v>4.80366139763857E-2</v>
      </c>
      <c r="H171" s="220">
        <v>28.5</v>
      </c>
      <c r="I171" s="221">
        <f t="shared" si="63"/>
        <v>9.6111688011999652E-2</v>
      </c>
      <c r="J171" s="220">
        <v>30</v>
      </c>
      <c r="K171" s="221">
        <f t="shared" si="64"/>
        <v>0.15380177685473639</v>
      </c>
      <c r="L171" s="220">
        <v>31</v>
      </c>
      <c r="M171" s="221">
        <f t="shared" si="65"/>
        <v>0.19226183608322778</v>
      </c>
      <c r="N171" s="220">
        <v>32</v>
      </c>
      <c r="O171" s="221">
        <f t="shared" si="66"/>
        <v>0.23072189531171894</v>
      </c>
      <c r="Q171" s="92">
        <v>4.065040650406504E-2</v>
      </c>
      <c r="R171" s="92">
        <v>6.3492063492063489E-2</v>
      </c>
      <c r="S171" s="92">
        <v>0.2</v>
      </c>
      <c r="T171" s="92">
        <v>0.3</v>
      </c>
      <c r="U171" s="92">
        <v>0.5</v>
      </c>
    </row>
    <row r="172" spans="1:88">
      <c r="A172" s="34"/>
      <c r="B172" s="215" t="s">
        <v>8</v>
      </c>
      <c r="C172" s="216">
        <f t="shared" si="67"/>
        <v>44.999999999999993</v>
      </c>
      <c r="D172" s="217">
        <v>48.15</v>
      </c>
      <c r="E172" s="69"/>
      <c r="F172" s="218">
        <v>50.25</v>
      </c>
      <c r="G172" s="219">
        <f t="shared" si="62"/>
        <v>4.3613707165109039E-2</v>
      </c>
      <c r="H172" s="220">
        <v>53</v>
      </c>
      <c r="I172" s="221">
        <f t="shared" si="63"/>
        <v>0.10072689511941846</v>
      </c>
      <c r="J172" s="220">
        <v>56</v>
      </c>
      <c r="K172" s="221">
        <f t="shared" si="64"/>
        <v>0.16303219106957423</v>
      </c>
      <c r="L172" s="220">
        <v>58</v>
      </c>
      <c r="M172" s="221">
        <f t="shared" si="65"/>
        <v>0.20456905503634482</v>
      </c>
      <c r="N172" s="220">
        <v>60</v>
      </c>
      <c r="O172" s="221">
        <f t="shared" si="66"/>
        <v>0.2461059190031154</v>
      </c>
      <c r="Q172" s="92"/>
      <c r="R172" s="92"/>
      <c r="S172" s="92"/>
      <c r="T172" s="92"/>
      <c r="U172" s="92"/>
    </row>
    <row r="173" spans="1:88">
      <c r="A173" s="34"/>
      <c r="B173" s="215" t="s">
        <v>7</v>
      </c>
      <c r="C173" s="216">
        <f t="shared" si="67"/>
        <v>100.35</v>
      </c>
      <c r="D173" s="217">
        <v>107.3745</v>
      </c>
      <c r="E173" s="69"/>
      <c r="F173" s="218">
        <v>112</v>
      </c>
      <c r="G173" s="219">
        <f t="shared" si="62"/>
        <v>4.3078198268676537E-2</v>
      </c>
      <c r="H173" s="220">
        <v>118</v>
      </c>
      <c r="I173" s="221">
        <f t="shared" si="63"/>
        <v>9.89573874616414E-2</v>
      </c>
      <c r="J173" s="220">
        <v>125</v>
      </c>
      <c r="K173" s="221">
        <f t="shared" si="64"/>
        <v>0.16414977485343352</v>
      </c>
      <c r="L173" s="220">
        <v>130</v>
      </c>
      <c r="M173" s="221">
        <f t="shared" si="65"/>
        <v>0.2107157658475709</v>
      </c>
      <c r="N173" s="220">
        <v>135</v>
      </c>
      <c r="O173" s="221">
        <f t="shared" si="66"/>
        <v>0.25728175684170829</v>
      </c>
      <c r="Q173" s="92"/>
      <c r="R173" s="92"/>
      <c r="S173" s="92"/>
      <c r="T173" s="92"/>
      <c r="U173" s="92"/>
    </row>
    <row r="174" spans="1:88" ht="15" thickBot="1">
      <c r="B174" s="223" t="s">
        <v>131</v>
      </c>
      <c r="C174" s="224">
        <f t="shared" si="67"/>
        <v>40.607476635514018</v>
      </c>
      <c r="D174" s="225">
        <v>43.45</v>
      </c>
      <c r="E174" s="223"/>
      <c r="F174" s="226">
        <v>46</v>
      </c>
      <c r="G174" s="227">
        <f t="shared" si="62"/>
        <v>5.8688147295742121E-2</v>
      </c>
      <c r="H174" s="228">
        <v>48</v>
      </c>
      <c r="I174" s="229">
        <f>H174/$D174-1</f>
        <v>0.10471806674338313</v>
      </c>
      <c r="J174" s="228">
        <v>50</v>
      </c>
      <c r="K174" s="230">
        <f t="shared" si="64"/>
        <v>0.15074798619102414</v>
      </c>
      <c r="L174" s="231">
        <v>52</v>
      </c>
      <c r="M174" s="230">
        <f t="shared" si="65"/>
        <v>0.19677790563866515</v>
      </c>
      <c r="N174" s="228">
        <v>54</v>
      </c>
      <c r="O174" s="230">
        <f t="shared" si="66"/>
        <v>0.24280782508630594</v>
      </c>
    </row>
  </sheetData>
  <mergeCells count="10">
    <mergeCell ref="F7:I7"/>
    <mergeCell ref="J7:M7"/>
    <mergeCell ref="N7:O7"/>
    <mergeCell ref="Y7:AH7"/>
    <mergeCell ref="N3:O3"/>
    <mergeCell ref="F6:G6"/>
    <mergeCell ref="H6:I6"/>
    <mergeCell ref="J6:K6"/>
    <mergeCell ref="L6:M6"/>
    <mergeCell ref="N6:O6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B432-4C9A-4A91-890A-79ECC57B266A}">
  <dimension ref="A1:ER2"/>
  <sheetViews>
    <sheetView tabSelected="1" workbookViewId="0">
      <selection activeCell="D10" sqref="D10"/>
    </sheetView>
  </sheetViews>
  <sheetFormatPr defaultColWidth="10.77734375" defaultRowHeight="14.4"/>
  <cols>
    <col min="1" max="1" width="21.109375" style="234" customWidth="1"/>
    <col min="2" max="8" width="21.109375" style="234" bestFit="1" customWidth="1"/>
    <col min="9" max="9" width="22.44140625" style="234" bestFit="1" customWidth="1"/>
    <col min="10" max="17" width="20.109375" style="234" bestFit="1" customWidth="1"/>
    <col min="18" max="19" width="32.77734375" style="234" bestFit="1" customWidth="1"/>
    <col min="20" max="20" width="29" style="234" bestFit="1" customWidth="1"/>
    <col min="21" max="23" width="33.77734375" style="234" bestFit="1" customWidth="1"/>
    <col min="24" max="24" width="33.44140625" style="234" bestFit="1" customWidth="1"/>
    <col min="25" max="26" width="29" style="234" bestFit="1" customWidth="1"/>
    <col min="27" max="27" width="30.109375" style="234" customWidth="1"/>
    <col min="28" max="28" width="32" style="234" customWidth="1"/>
    <col min="29" max="31" width="31.109375" style="234" customWidth="1"/>
    <col min="32" max="34" width="30.44140625" style="234" customWidth="1"/>
    <col min="35" max="39" width="30.109375" style="234" customWidth="1"/>
    <col min="40" max="40" width="30" style="234" customWidth="1"/>
    <col min="41" max="43" width="30.44140625" style="234" customWidth="1"/>
    <col min="44" max="45" width="25.77734375" style="234" customWidth="1"/>
    <col min="46" max="46" width="25.44140625" style="234" customWidth="1"/>
    <col min="47" max="49" width="37.109375" style="234" customWidth="1"/>
    <col min="50" max="51" width="39.33203125" style="234" customWidth="1"/>
    <col min="52" max="55" width="37.109375" style="234" customWidth="1"/>
    <col min="56" max="57" width="37.33203125" style="234" customWidth="1"/>
    <col min="58" max="59" width="36.77734375" style="234" customWidth="1"/>
    <col min="60" max="61" width="37.109375" style="234" customWidth="1"/>
    <col min="62" max="63" width="36.77734375" style="234" customWidth="1"/>
    <col min="64" max="65" width="31.6640625" style="234" customWidth="1"/>
    <col min="66" max="68" width="28.6640625" style="234" customWidth="1"/>
    <col min="69" max="71" width="27.109375" style="234" customWidth="1"/>
    <col min="72" max="74" width="25.44140625" style="234" customWidth="1"/>
    <col min="75" max="76" width="37.44140625" style="234" customWidth="1"/>
    <col min="77" max="79" width="27.33203125" style="234" customWidth="1"/>
    <col min="80" max="81" width="34.33203125" style="234" bestFit="1" customWidth="1"/>
    <col min="82" max="84" width="24.109375" style="234" bestFit="1" customWidth="1"/>
    <col min="85" max="87" width="22.33203125" style="234" customWidth="1"/>
    <col min="88" max="91" width="25.33203125" style="234" customWidth="1"/>
    <col min="92" max="92" width="30.77734375" style="234" bestFit="1" customWidth="1"/>
    <col min="93" max="94" width="28" style="234" customWidth="1"/>
    <col min="95" max="97" width="30.33203125" style="234" customWidth="1"/>
    <col min="98" max="101" width="21.77734375" style="234" customWidth="1"/>
    <col min="102" max="102" width="18.44140625" style="234" customWidth="1"/>
    <col min="103" max="106" width="23.33203125" style="234" customWidth="1"/>
    <col min="107" max="107" width="26.6640625" style="234" bestFit="1" customWidth="1"/>
    <col min="108" max="108" width="19.6640625" style="234" bestFit="1" customWidth="1"/>
    <col min="109" max="111" width="15" style="234" customWidth="1"/>
    <col min="112" max="114" width="25.44140625" style="234" customWidth="1"/>
    <col min="115" max="117" width="27.6640625" style="234" customWidth="1"/>
    <col min="118" max="118" width="37.44140625" style="234" bestFit="1" customWidth="1"/>
    <col min="119" max="120" width="38" style="234" bestFit="1" customWidth="1"/>
    <col min="121" max="123" width="34.44140625" style="234" customWidth="1"/>
    <col min="124" max="126" width="29.44140625" style="234" customWidth="1"/>
    <col min="127" max="127" width="27.77734375" style="234" bestFit="1" customWidth="1"/>
    <col min="128" max="131" width="31.109375" style="234" customWidth="1"/>
    <col min="132" max="133" width="29.44140625" style="234" customWidth="1"/>
    <col min="134" max="134" width="25.109375" style="234" bestFit="1" customWidth="1"/>
    <col min="135" max="136" width="24.6640625" style="234" customWidth="1"/>
    <col min="137" max="137" width="31.33203125" style="234" customWidth="1"/>
    <col min="138" max="138" width="27.109375" style="234" customWidth="1"/>
    <col min="139" max="142" width="19.44140625" style="234" customWidth="1"/>
    <col min="143" max="143" width="15.33203125" style="234" bestFit="1" customWidth="1"/>
    <col min="144" max="145" width="36.77734375" style="234" customWidth="1"/>
    <col min="146" max="147" width="27.44140625" style="234" customWidth="1"/>
    <col min="148" max="148" width="40.33203125" style="234" bestFit="1" customWidth="1"/>
    <col min="149" max="149" width="23.44140625" style="234" bestFit="1" customWidth="1"/>
    <col min="150" max="150" width="40.33203125" style="234" bestFit="1" customWidth="1"/>
    <col min="151" max="16384" width="10.77734375" style="234"/>
  </cols>
  <sheetData>
    <row r="1" spans="1:148">
      <c r="A1" s="234" t="s">
        <v>145</v>
      </c>
      <c r="B1" s="234" t="s">
        <v>146</v>
      </c>
      <c r="C1" s="234" t="s">
        <v>147</v>
      </c>
      <c r="D1" s="234" t="s">
        <v>148</v>
      </c>
      <c r="E1" s="234" t="s">
        <v>149</v>
      </c>
      <c r="F1" s="234" t="s">
        <v>150</v>
      </c>
      <c r="G1" s="234" t="s">
        <v>151</v>
      </c>
      <c r="H1" s="234" t="s">
        <v>152</v>
      </c>
      <c r="I1" s="234" t="s">
        <v>153</v>
      </c>
      <c r="J1" s="234" t="s">
        <v>154</v>
      </c>
      <c r="K1" s="234" t="s">
        <v>155</v>
      </c>
      <c r="L1" s="234" t="s">
        <v>156</v>
      </c>
      <c r="M1" s="234" t="s">
        <v>157</v>
      </c>
      <c r="N1" s="234" t="s">
        <v>158</v>
      </c>
      <c r="O1" s="234" t="s">
        <v>159</v>
      </c>
      <c r="P1" s="234" t="s">
        <v>160</v>
      </c>
      <c r="Q1" s="234" t="s">
        <v>161</v>
      </c>
      <c r="R1" s="234" t="s">
        <v>49</v>
      </c>
      <c r="S1" s="234" t="s">
        <v>58</v>
      </c>
      <c r="T1" s="234" t="s">
        <v>66</v>
      </c>
      <c r="U1" s="234" t="s">
        <v>94</v>
      </c>
      <c r="V1" s="234" t="s">
        <v>51</v>
      </c>
      <c r="W1" s="234" t="s">
        <v>51</v>
      </c>
      <c r="X1" s="234" t="s">
        <v>97</v>
      </c>
      <c r="Y1" s="234" t="s">
        <v>64</v>
      </c>
      <c r="Z1" s="234" t="s">
        <v>66</v>
      </c>
      <c r="AA1" s="234" t="s">
        <v>46</v>
      </c>
      <c r="AB1" s="234" t="s">
        <v>45</v>
      </c>
      <c r="AC1" s="234" t="s">
        <v>44</v>
      </c>
      <c r="AD1" s="234" t="s">
        <v>43</v>
      </c>
      <c r="AE1" s="234" t="s">
        <v>42</v>
      </c>
      <c r="AF1" s="234" t="s">
        <v>41</v>
      </c>
      <c r="AG1" s="234" t="s">
        <v>40</v>
      </c>
      <c r="AH1" s="234" t="s">
        <v>39</v>
      </c>
      <c r="AI1" s="234" t="s">
        <v>38</v>
      </c>
      <c r="AJ1" s="234" t="s">
        <v>37</v>
      </c>
      <c r="AK1" s="234" t="s">
        <v>36</v>
      </c>
      <c r="AL1" s="234" t="s">
        <v>35</v>
      </c>
      <c r="AM1" s="234" t="s">
        <v>34</v>
      </c>
      <c r="AN1" s="234" t="s">
        <v>33</v>
      </c>
      <c r="AO1" s="234" t="s">
        <v>32</v>
      </c>
      <c r="AP1" s="234" t="s">
        <v>31</v>
      </c>
      <c r="AQ1" s="234" t="s">
        <v>30</v>
      </c>
      <c r="AR1" s="234" t="s">
        <v>29</v>
      </c>
      <c r="AS1" s="234" t="s">
        <v>28</v>
      </c>
      <c r="AT1" s="234" t="s">
        <v>27</v>
      </c>
      <c r="AU1" s="234" t="s">
        <v>162</v>
      </c>
      <c r="AV1" s="234" t="s">
        <v>163</v>
      </c>
      <c r="AW1" s="234" t="s">
        <v>164</v>
      </c>
      <c r="AX1" s="234" t="s">
        <v>165</v>
      </c>
      <c r="AY1" s="234" t="s">
        <v>166</v>
      </c>
      <c r="AZ1" s="234" t="s">
        <v>167</v>
      </c>
      <c r="BA1" s="234" t="s">
        <v>168</v>
      </c>
      <c r="BB1" s="234" t="s">
        <v>169</v>
      </c>
      <c r="BC1" s="234" t="s">
        <v>170</v>
      </c>
      <c r="BD1" s="234" t="s">
        <v>171</v>
      </c>
      <c r="BE1" s="234" t="s">
        <v>172</v>
      </c>
      <c r="BF1" s="234" t="s">
        <v>173</v>
      </c>
      <c r="BG1" s="234" t="s">
        <v>174</v>
      </c>
      <c r="BH1" s="234" t="s">
        <v>175</v>
      </c>
      <c r="BI1" s="234" t="s">
        <v>176</v>
      </c>
      <c r="BJ1" s="234" t="s">
        <v>177</v>
      </c>
      <c r="BK1" s="234" t="s">
        <v>178</v>
      </c>
      <c r="BL1" s="234" t="s">
        <v>179</v>
      </c>
      <c r="BM1" s="234" t="s">
        <v>25</v>
      </c>
      <c r="BN1" s="234" t="s">
        <v>25</v>
      </c>
      <c r="BO1" s="234" t="s">
        <v>24</v>
      </c>
      <c r="BP1" s="234" t="s">
        <v>23</v>
      </c>
      <c r="BQ1" s="234" t="s">
        <v>22</v>
      </c>
      <c r="BR1" s="234" t="s">
        <v>21</v>
      </c>
      <c r="BS1" s="234" t="s">
        <v>21</v>
      </c>
      <c r="BT1" s="234" t="s">
        <v>20</v>
      </c>
      <c r="BU1" s="234" t="s">
        <v>19</v>
      </c>
      <c r="BV1" s="234" t="s">
        <v>18</v>
      </c>
      <c r="BW1" s="234" t="s">
        <v>17</v>
      </c>
      <c r="BX1" s="234" t="s">
        <v>17</v>
      </c>
      <c r="BY1" s="234" t="s">
        <v>180</v>
      </c>
      <c r="BZ1" s="234" t="s">
        <v>181</v>
      </c>
      <c r="CA1" s="234" t="s">
        <v>182</v>
      </c>
      <c r="CB1" s="234" t="s">
        <v>183</v>
      </c>
      <c r="CC1" s="234" t="s">
        <v>184</v>
      </c>
      <c r="CD1" s="234" t="s">
        <v>185</v>
      </c>
      <c r="CE1" s="234" t="s">
        <v>186</v>
      </c>
      <c r="CF1" s="234" t="s">
        <v>187</v>
      </c>
      <c r="CG1" s="234" t="s">
        <v>106</v>
      </c>
      <c r="CH1" s="234" t="s">
        <v>107</v>
      </c>
      <c r="CI1" s="234" t="s">
        <v>108</v>
      </c>
      <c r="CJ1" s="234" t="s">
        <v>133</v>
      </c>
      <c r="CK1" s="234" t="s">
        <v>134</v>
      </c>
      <c r="CL1" s="234" t="s">
        <v>83</v>
      </c>
      <c r="CM1" s="234" t="s">
        <v>140</v>
      </c>
      <c r="CN1" s="234" t="s">
        <v>141</v>
      </c>
      <c r="CO1" s="234" t="s">
        <v>135</v>
      </c>
      <c r="CP1" s="234" t="s">
        <v>136</v>
      </c>
      <c r="CQ1" s="234" t="s">
        <v>90</v>
      </c>
      <c r="CR1" s="234" t="s">
        <v>84</v>
      </c>
      <c r="CS1" s="234" t="s">
        <v>142</v>
      </c>
      <c r="CT1" s="234" t="s">
        <v>109</v>
      </c>
      <c r="CU1" s="234" t="s">
        <v>91</v>
      </c>
      <c r="CV1" s="234" t="s">
        <v>67</v>
      </c>
      <c r="CW1" s="234" t="s">
        <v>85</v>
      </c>
      <c r="CX1" s="234" t="s">
        <v>111</v>
      </c>
      <c r="CY1" s="234" t="s">
        <v>89</v>
      </c>
      <c r="CZ1" s="234" t="s">
        <v>104</v>
      </c>
      <c r="DA1" s="234" t="s">
        <v>86</v>
      </c>
      <c r="DB1" s="234" t="s">
        <v>87</v>
      </c>
      <c r="DC1" s="234" t="s">
        <v>96</v>
      </c>
      <c r="DD1" s="234" t="s">
        <v>15</v>
      </c>
      <c r="DE1" s="234" t="s">
        <v>92</v>
      </c>
      <c r="DF1" s="234" t="s">
        <v>88</v>
      </c>
      <c r="DG1" s="234" t="s">
        <v>143</v>
      </c>
      <c r="DH1" s="234" t="s">
        <v>80</v>
      </c>
      <c r="DI1" s="234" t="s">
        <v>81</v>
      </c>
      <c r="DJ1" s="234" t="s">
        <v>188</v>
      </c>
      <c r="DK1" s="234" t="s">
        <v>14</v>
      </c>
      <c r="DL1" s="234" t="s">
        <v>144</v>
      </c>
      <c r="DM1" s="234" t="s">
        <v>14</v>
      </c>
      <c r="DN1" s="234" t="s">
        <v>99</v>
      </c>
      <c r="DO1" s="234" t="s">
        <v>100</v>
      </c>
      <c r="DP1" s="234" t="s">
        <v>101</v>
      </c>
      <c r="DQ1" s="234" t="s">
        <v>68</v>
      </c>
      <c r="DR1" s="234" t="s">
        <v>69</v>
      </c>
      <c r="DS1" s="234" t="s">
        <v>70</v>
      </c>
      <c r="DT1" s="234" t="s">
        <v>70</v>
      </c>
      <c r="DU1" s="234" t="s">
        <v>71</v>
      </c>
      <c r="DV1" s="234" t="s">
        <v>72</v>
      </c>
      <c r="DW1" s="234" t="s">
        <v>73</v>
      </c>
      <c r="DX1" s="234" t="s">
        <v>73</v>
      </c>
      <c r="DY1" s="234" t="s">
        <v>74</v>
      </c>
      <c r="DZ1" s="234" t="s">
        <v>75</v>
      </c>
      <c r="EA1" s="234" t="s">
        <v>76</v>
      </c>
      <c r="EB1" s="234" t="s">
        <v>77</v>
      </c>
      <c r="EC1" s="234" t="s">
        <v>78</v>
      </c>
      <c r="ED1" s="234" t="s">
        <v>79</v>
      </c>
      <c r="EE1" s="234" t="s">
        <v>62</v>
      </c>
      <c r="EF1" s="234" t="s">
        <v>82</v>
      </c>
      <c r="EG1" s="234" t="s">
        <v>13</v>
      </c>
      <c r="EH1" s="234" t="s">
        <v>12</v>
      </c>
      <c r="EI1" s="234" t="s">
        <v>11</v>
      </c>
      <c r="EJ1" s="234" t="s">
        <v>10</v>
      </c>
      <c r="EK1" s="234" t="s">
        <v>10</v>
      </c>
      <c r="EL1" s="234" t="s">
        <v>102</v>
      </c>
      <c r="EM1" s="234" t="s">
        <v>103</v>
      </c>
      <c r="EN1" s="235" t="s">
        <v>56</v>
      </c>
      <c r="EO1" s="234" t="s">
        <v>9</v>
      </c>
      <c r="EP1" s="234" t="s">
        <v>8</v>
      </c>
      <c r="EQ1" s="234" t="s">
        <v>7</v>
      </c>
      <c r="ER1" s="234" t="s">
        <v>131</v>
      </c>
    </row>
    <row r="2" spans="1:148">
      <c r="A2" s="234" t="s">
        <v>189</v>
      </c>
      <c r="B2" s="234" t="s">
        <v>190</v>
      </c>
      <c r="C2" s="234" t="s">
        <v>191</v>
      </c>
      <c r="D2" s="234" t="s">
        <v>192</v>
      </c>
      <c r="E2" s="234" t="s">
        <v>193</v>
      </c>
      <c r="F2" s="234" t="s">
        <v>194</v>
      </c>
      <c r="G2" s="234" t="s">
        <v>195</v>
      </c>
      <c r="H2" s="234" t="s">
        <v>196</v>
      </c>
      <c r="I2" s="234" t="s">
        <v>197</v>
      </c>
      <c r="J2" s="234" t="s">
        <v>198</v>
      </c>
      <c r="K2" s="234" t="s">
        <v>199</v>
      </c>
      <c r="L2" s="234" t="s">
        <v>200</v>
      </c>
      <c r="M2" s="234" t="s">
        <v>201</v>
      </c>
      <c r="N2" s="234" t="s">
        <v>202</v>
      </c>
      <c r="O2" s="234" t="s">
        <v>203</v>
      </c>
      <c r="P2" s="234" t="s">
        <v>204</v>
      </c>
      <c r="Q2" s="234" t="s">
        <v>205</v>
      </c>
      <c r="R2" s="234" t="s">
        <v>206</v>
      </c>
      <c r="S2" s="234" t="s">
        <v>206</v>
      </c>
      <c r="T2" s="234" t="s">
        <v>207</v>
      </c>
      <c r="U2" s="234" t="s">
        <v>208</v>
      </c>
      <c r="V2" s="234" t="s">
        <v>208</v>
      </c>
      <c r="W2" s="234" t="s">
        <v>208</v>
      </c>
      <c r="X2" s="234" t="s">
        <v>206</v>
      </c>
      <c r="Y2" s="234" t="s">
        <v>207</v>
      </c>
      <c r="Z2" s="234" t="s">
        <v>207</v>
      </c>
      <c r="AA2" s="234" t="s">
        <v>209</v>
      </c>
      <c r="AB2" s="234" t="s">
        <v>210</v>
      </c>
      <c r="AC2" s="234" t="s">
        <v>211</v>
      </c>
      <c r="AD2" s="234" t="s">
        <v>212</v>
      </c>
      <c r="AE2" s="234" t="s">
        <v>213</v>
      </c>
      <c r="AF2" s="234" t="s">
        <v>214</v>
      </c>
      <c r="AG2" s="234" t="s">
        <v>215</v>
      </c>
      <c r="AH2" s="234" t="s">
        <v>216</v>
      </c>
      <c r="AI2" s="234" t="s">
        <v>217</v>
      </c>
      <c r="AJ2" s="234" t="s">
        <v>218</v>
      </c>
      <c r="AK2" s="234" t="s">
        <v>219</v>
      </c>
      <c r="AL2" s="234" t="s">
        <v>220</v>
      </c>
      <c r="AM2" s="234" t="s">
        <v>221</v>
      </c>
      <c r="AN2" s="234" t="s">
        <v>222</v>
      </c>
      <c r="AO2" s="234" t="s">
        <v>223</v>
      </c>
      <c r="AP2" s="234" t="s">
        <v>224</v>
      </c>
      <c r="AR2" s="234" t="s">
        <v>225</v>
      </c>
      <c r="AS2" s="234" t="s">
        <v>226</v>
      </c>
      <c r="AT2" s="234" t="s">
        <v>227</v>
      </c>
      <c r="AU2" s="234" t="s">
        <v>209</v>
      </c>
      <c r="AV2" s="234" t="s">
        <v>210</v>
      </c>
      <c r="AW2" s="234" t="s">
        <v>211</v>
      </c>
      <c r="AX2" s="234" t="s">
        <v>212</v>
      </c>
      <c r="AY2" s="234" t="s">
        <v>213</v>
      </c>
      <c r="AZ2" s="234" t="s">
        <v>214</v>
      </c>
      <c r="BA2" s="234" t="s">
        <v>215</v>
      </c>
      <c r="BB2" s="234" t="s">
        <v>216</v>
      </c>
      <c r="BC2" s="234" t="s">
        <v>217</v>
      </c>
      <c r="BD2" s="234" t="s">
        <v>218</v>
      </c>
      <c r="BE2" s="234" t="s">
        <v>219</v>
      </c>
      <c r="BF2" s="234" t="s">
        <v>220</v>
      </c>
      <c r="BG2" s="234" t="s">
        <v>221</v>
      </c>
      <c r="BH2" s="234" t="s">
        <v>222</v>
      </c>
      <c r="BI2" s="234" t="s">
        <v>223</v>
      </c>
      <c r="BJ2" s="234" t="s">
        <v>224</v>
      </c>
      <c r="BK2" s="234" t="s">
        <v>226</v>
      </c>
      <c r="BL2" s="234" t="s">
        <v>227</v>
      </c>
      <c r="BM2" s="234" t="s">
        <v>228</v>
      </c>
      <c r="BN2" s="234" t="s">
        <v>228</v>
      </c>
      <c r="BO2" s="234" t="s">
        <v>229</v>
      </c>
      <c r="BP2" s="234" t="s">
        <v>230</v>
      </c>
      <c r="BQ2" s="234" t="s">
        <v>231</v>
      </c>
      <c r="BR2" s="234" t="s">
        <v>232</v>
      </c>
      <c r="BS2" s="234" t="s">
        <v>232</v>
      </c>
      <c r="BT2" s="234" t="s">
        <v>233</v>
      </c>
      <c r="BU2" s="234" t="s">
        <v>234</v>
      </c>
      <c r="BV2" s="234" t="s">
        <v>235</v>
      </c>
      <c r="BW2" s="234" t="s">
        <v>236</v>
      </c>
      <c r="BX2" s="234" t="s">
        <v>236</v>
      </c>
      <c r="CG2" s="234" t="s">
        <v>237</v>
      </c>
      <c r="CH2" s="234" t="s">
        <v>238</v>
      </c>
      <c r="CI2" s="234" t="s">
        <v>239</v>
      </c>
      <c r="CJ2" s="234" t="s">
        <v>240</v>
      </c>
      <c r="CK2" s="234" t="s">
        <v>240</v>
      </c>
      <c r="CL2" s="234" t="s">
        <v>240</v>
      </c>
      <c r="CM2" s="234" t="s">
        <v>240</v>
      </c>
      <c r="CN2" s="234" t="s">
        <v>240</v>
      </c>
      <c r="CO2" s="234" t="s">
        <v>240</v>
      </c>
      <c r="CP2" s="234" t="s">
        <v>240</v>
      </c>
      <c r="CQ2" s="234" t="s">
        <v>241</v>
      </c>
      <c r="CR2" s="234" t="s">
        <v>241</v>
      </c>
      <c r="CS2" s="234" t="s">
        <v>241</v>
      </c>
      <c r="CT2" s="234" t="s">
        <v>241</v>
      </c>
      <c r="CU2" s="234" t="s">
        <v>242</v>
      </c>
      <c r="CV2" s="234" t="s">
        <v>242</v>
      </c>
      <c r="CW2" s="234" t="s">
        <v>242</v>
      </c>
      <c r="CX2" s="234" t="s">
        <v>242</v>
      </c>
      <c r="CY2" s="234" t="s">
        <v>243</v>
      </c>
      <c r="CZ2" s="234" t="s">
        <v>244</v>
      </c>
      <c r="DA2" s="234" t="s">
        <v>243</v>
      </c>
      <c r="DB2" s="234" t="s">
        <v>244</v>
      </c>
      <c r="DC2" s="234" t="s">
        <v>243</v>
      </c>
      <c r="DD2" s="234" t="s">
        <v>244</v>
      </c>
      <c r="DE2" s="234" t="s">
        <v>245</v>
      </c>
      <c r="DF2" s="234" t="s">
        <v>245</v>
      </c>
      <c r="DG2" s="234" t="s">
        <v>245</v>
      </c>
      <c r="DH2" s="234" t="s">
        <v>246</v>
      </c>
      <c r="DJ2" s="234" t="s">
        <v>246</v>
      </c>
      <c r="DK2" s="234" t="s">
        <v>247</v>
      </c>
      <c r="DL2" s="234" t="s">
        <v>247</v>
      </c>
      <c r="DM2" s="234" t="s">
        <v>247</v>
      </c>
      <c r="DN2" s="234" t="s">
        <v>248</v>
      </c>
      <c r="DO2" s="234" t="s">
        <v>249</v>
      </c>
      <c r="DP2" s="234" t="s">
        <v>250</v>
      </c>
      <c r="DQ2" s="234" t="s">
        <v>251</v>
      </c>
      <c r="DR2" s="234" t="s">
        <v>251</v>
      </c>
      <c r="DS2" s="234" t="s">
        <v>252</v>
      </c>
      <c r="DT2" s="234" t="s">
        <v>252</v>
      </c>
      <c r="DU2" s="234" t="s">
        <v>253</v>
      </c>
      <c r="DV2" s="234" t="s">
        <v>253</v>
      </c>
      <c r="DW2" s="234" t="s">
        <v>254</v>
      </c>
      <c r="DX2" s="234" t="s">
        <v>254</v>
      </c>
      <c r="DY2" s="234" t="s">
        <v>255</v>
      </c>
      <c r="DZ2" s="234" t="s">
        <v>255</v>
      </c>
      <c r="EA2" s="234" t="s">
        <v>255</v>
      </c>
      <c r="EB2" s="234" t="s">
        <v>256</v>
      </c>
      <c r="EC2" s="234" t="s">
        <v>256</v>
      </c>
      <c r="ED2" s="234" t="s">
        <v>256</v>
      </c>
      <c r="EE2" s="234" t="s">
        <v>257</v>
      </c>
      <c r="EF2" s="234" t="s">
        <v>258</v>
      </c>
      <c r="EG2" s="234" t="s">
        <v>259</v>
      </c>
      <c r="EH2" s="234" t="s">
        <v>260</v>
      </c>
      <c r="EI2" s="234" t="s">
        <v>261</v>
      </c>
      <c r="EJ2" s="234" t="s">
        <v>262</v>
      </c>
      <c r="EK2" s="234" t="s">
        <v>262</v>
      </c>
      <c r="EL2" s="234" t="s">
        <v>263</v>
      </c>
      <c r="EM2" s="234" t="s">
        <v>263</v>
      </c>
      <c r="EN2" s="234" t="s">
        <v>264</v>
      </c>
      <c r="EO2" s="234" t="s">
        <v>265</v>
      </c>
      <c r="EP2" s="234" t="s">
        <v>266</v>
      </c>
      <c r="EQ2" s="234" t="s">
        <v>267</v>
      </c>
      <c r="ER2" s="234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C-Line_BKK-C-E_16 May</vt:lpstr>
      <vt:lpstr>C-Line_N-NE-S_16 May</vt:lpstr>
      <vt:lpstr>Ref.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Product04</dc:creator>
  <cp:lastModifiedBy>Aireen Joraka</cp:lastModifiedBy>
  <cp:lastPrinted>2022-05-09T01:57:31Z</cp:lastPrinted>
  <dcterms:created xsi:type="dcterms:W3CDTF">2021-07-30T07:46:20Z</dcterms:created>
  <dcterms:modified xsi:type="dcterms:W3CDTF">2026-05-15T20:11:11Z</dcterms:modified>
</cp:coreProperties>
</file>