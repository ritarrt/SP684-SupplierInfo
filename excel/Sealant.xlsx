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231"/>
  <workbookPr/>
  <mc:AlternateContent xmlns:mc="http://schemas.openxmlformats.org/markup-compatibility/2006">
    <mc:Choice Requires="x15">
      <x15ac:absPath xmlns:x15ac="http://schemas.microsoft.com/office/spreadsheetml/2010/11/ac" url="C:\Users\MKT_INTERNET04\Desktop\ข้อมูลทำราคาขาย\"/>
    </mc:Choice>
  </mc:AlternateContent>
  <xr:revisionPtr revIDLastSave="0" documentId="13_ncr:1_{3EDD2664-4272-4EAF-BD78-7778947FF2CD}" xr6:coauthVersionLast="47" xr6:coauthVersionMax="47" xr10:uidLastSave="{00000000-0000-0000-0000-000000000000}"/>
  <bookViews>
    <workbookView xWindow="-108" yWindow="-108" windowWidth="23256" windowHeight="12456" tabRatio="808" xr2:uid="{00000000-000D-0000-FFFF-FFFF00000000}"/>
  </bookViews>
  <sheets>
    <sheet name="Price List" sheetId="18" r:id="rId1"/>
  </sheets>
  <calcPr calcId="181029"/>
</workbook>
</file>

<file path=xl/calcChain.xml><?xml version="1.0" encoding="utf-8"?>
<calcChain xmlns="http://schemas.openxmlformats.org/spreadsheetml/2006/main">
  <c r="E52" i="18" l="1"/>
  <c r="E54" i="18"/>
  <c r="E53" i="18"/>
  <c r="E29" i="18"/>
  <c r="E30" i="18"/>
  <c r="E10" i="18"/>
  <c r="E11" i="18"/>
  <c r="E12" i="18"/>
  <c r="E13" i="18"/>
  <c r="E14" i="18"/>
  <c r="E15" i="18"/>
  <c r="E19" i="18"/>
  <c r="E20" i="18"/>
  <c r="E21" i="18"/>
  <c r="E22" i="18"/>
  <c r="E23" i="18"/>
  <c r="E24" i="18"/>
  <c r="E25" i="18"/>
  <c r="E26" i="18"/>
  <c r="E27" i="18"/>
  <c r="E28" i="18"/>
  <c r="E47" i="18" l="1"/>
  <c r="E46" i="18"/>
  <c r="E45" i="18"/>
  <c r="E44" i="18"/>
  <c r="E43" i="18"/>
  <c r="E42" i="18"/>
  <c r="E40" i="18"/>
  <c r="E39" i="18"/>
  <c r="E38" i="18"/>
  <c r="E37" i="18"/>
  <c r="E36" i="18"/>
  <c r="E35" i="18"/>
</calcChain>
</file>

<file path=xl/sharedStrings.xml><?xml version="1.0" encoding="utf-8"?>
<sst xmlns="http://schemas.openxmlformats.org/spreadsheetml/2006/main" count="114" uniqueCount="68">
  <si>
    <t>Internal Memo</t>
  </si>
  <si>
    <t>โครงสร้างราคาผลิตภัณฑ์กาวและ อุปกรณ์</t>
  </si>
  <si>
    <t>หมายเหตุ :  ราคาดังกล่างข้างต้นรวมภาษีมูลค่าเพิ่มเรียบร้อยแล้ว</t>
  </si>
  <si>
    <t>TOPBOND</t>
  </si>
  <si>
    <t>ปืนธรรมดา</t>
  </si>
  <si>
    <t>ปืนแบบกระบอก</t>
  </si>
  <si>
    <t>ปืนแบบฟรอยด์</t>
  </si>
  <si>
    <t xml:space="preserve">                 :  ราคาดังกล่าวให้เครดิตสูงสุด 30 วัน</t>
  </si>
  <si>
    <t>กาว PU (Forcon-D)  สีขาว - เทา</t>
  </si>
  <si>
    <t>กาว PU (Forcon-D)  สีดำ</t>
  </si>
  <si>
    <t>Dowsil - GP</t>
  </si>
  <si>
    <t>Dowsil - GS</t>
  </si>
  <si>
    <t>Dowsil - GM</t>
  </si>
  <si>
    <t>Dowsil - SN</t>
  </si>
  <si>
    <t>ราคา</t>
  </si>
  <si>
    <t>Silicone 791 (หลอด) ต่างจังหวัด</t>
  </si>
  <si>
    <t>Silicone 795 (หลอด)   กรุงเทพฯ</t>
  </si>
  <si>
    <t>Silicone 795 (หลอด) ต่างจังหวัด</t>
  </si>
  <si>
    <t>Silicone 791 (ฟรอยด์)   กรุงเทพฯ</t>
  </si>
  <si>
    <t>Silicone 791 (ฟรอยด์) ต่างจังหวัด</t>
  </si>
  <si>
    <t>Silicone 793 (หลอด)   กรุงเทพฯ</t>
  </si>
  <si>
    <t>Silicone 793 (หลอด) ต่างจังหวัด</t>
  </si>
  <si>
    <t>Silicone 795 (ฟรอยด์)   กรุงเทพฯ</t>
  </si>
  <si>
    <t>Silicone 795 (ฟรอยด์) ต่างจังหวัด</t>
  </si>
  <si>
    <t>Silicone 991 (ฟรอยด์) ต่างจังหวัด</t>
  </si>
  <si>
    <t>Silicone 991 (ฟรอยด์) กรุงเทพฯ</t>
  </si>
  <si>
    <t>ขายปลีก</t>
  </si>
  <si>
    <t>TOPSEAL Professional สีขาว - ชา</t>
  </si>
  <si>
    <t>TOPSEAL Professional สีดำ</t>
  </si>
  <si>
    <t>ATTN : ผู้จัดการเขต / ผู้จัดการสาขา</t>
  </si>
  <si>
    <t>CC : ฝ่ายบัญชี / การเงิน / จัดซื้อ</t>
  </si>
  <si>
    <t>ราคาขาย</t>
  </si>
  <si>
    <t>ราคา RE</t>
  </si>
  <si>
    <t>Exclude Vat</t>
  </si>
  <si>
    <t>Include Vat</t>
  </si>
  <si>
    <t>Silicone 791 (หลอด)   กรุงเทพฯ</t>
  </si>
  <si>
    <t>3DI (หลอดแดง) สีขาว - ชา</t>
  </si>
  <si>
    <t>Dowsil - F4</t>
  </si>
  <si>
    <t>TOPSEAL Professional 430 สีขาว</t>
  </si>
  <si>
    <t>Dowsil - Green Multiple</t>
  </si>
  <si>
    <t>Dowsil - 817</t>
  </si>
  <si>
    <t>R1</t>
  </si>
  <si>
    <t>R2</t>
  </si>
  <si>
    <t>W2</t>
  </si>
  <si>
    <t>W1</t>
  </si>
  <si>
    <t>ร้านค้าส่งทั่วไป</t>
  </si>
  <si>
    <t>ร้านค้าส่งรายใหญ่</t>
  </si>
  <si>
    <t xml:space="preserve">      หยุดจำหน่ายชั่วคราว</t>
  </si>
  <si>
    <t>Sista F130W Plus Acrylic Sealant</t>
  </si>
  <si>
    <t>Sista F130 Plus Acrylic Sealant</t>
  </si>
  <si>
    <t>Sista F134 Plus Highly Elastic Acrylic Sealant</t>
  </si>
  <si>
    <t>Sista Polymer Sealant (หลอด)</t>
  </si>
  <si>
    <t>Sealex SX-1300 สีขาว</t>
  </si>
  <si>
    <t>Bravo 700</t>
  </si>
  <si>
    <t>3DI (หลอดแดง) สีดำ, เทาซาฮาร่า, สักทอง, เมเปิ้ล, บีช</t>
  </si>
  <si>
    <t xml:space="preserve">No : </t>
  </si>
  <si>
    <t xml:space="preserve">Date  : </t>
  </si>
  <si>
    <t>Supplier</t>
  </si>
  <si>
    <t>บริษัท ฟอร์คอนไทย ซีลแล้นท์ จำกัด</t>
  </si>
  <si>
    <t>บริษัท ดาว เคมิคอล ประเทศไทย จำกัด</t>
  </si>
  <si>
    <t>บริษัท บิ๊ก 3 อินดัสทรี่ จำกัด</t>
  </si>
  <si>
    <t>บริษัท บิ๊ก 3 อินดัสทรี่ จำกัด, ร้านสวัสดี (จ.สุราษฎร์ธานี)</t>
  </si>
  <si>
    <t>บริษัท อินโน- คอนส์ (ประเทศไทย) จำกัด</t>
  </si>
  <si>
    <t>บริษัท สหโชควัฒนาการค้า จำกัด</t>
  </si>
  <si>
    <t>Vital Technical Sdn.Bhd.</t>
  </si>
  <si>
    <t>บริษัท เบนนิสัน บิสซิเนส จำกัด</t>
  </si>
  <si>
    <t>บริษัท กรุงเทพ (เจ แอนด์ แอล) จำกัด</t>
  </si>
  <si>
    <t>บริษัท เซ็งชัย ตกแต่ง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</si>
</sst>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4"/>
      <name val="Cordia New"/>
      <charset val="222"/>
    </font>
    <font>
      <sz val="14"/>
      <name val="Cordia New"/>
      <family val="2"/>
    </font>
    <font>
      <b/>
      <sz val="16"/>
      <name val="Cordia New"/>
      <family val="2"/>
    </font>
    <font>
      <b/>
      <sz val="14"/>
      <name val="Cordia New"/>
      <family val="2"/>
    </font>
    <font>
      <b/>
      <sz val="28"/>
      <name val="Cordia New"/>
      <family val="2"/>
    </font>
    <font>
      <b/>
      <sz val="14"/>
      <color rgb="FFFF0000"/>
      <name val="Cordia New"/>
      <family val="2"/>
    </font>
    <font>
      <b/>
      <sz val="14"/>
      <color theme="1"/>
      <name val="Cordia New"/>
      <family val="2"/>
    </font>
    <font>
      <sz val="14"/>
      <color theme="1"/>
      <name val="Cordia New"/>
      <family val="2"/>
    </font>
    <font>
      <b/>
      <sz val="14"/>
      <color rgb="FF0070C0"/>
      <name val="Cordia New"/>
      <family val="2"/>
    </font>
    <font>
      <sz val="14"/>
      <color rgb="FFFF0000"/>
      <name val="Cordia New"/>
      <family val="2"/>
    </font>
    <font>
      <b/>
      <u/>
      <sz val="14"/>
      <color rgb="FF0070C0"/>
      <name val="Cordia New"/>
      <family val="2"/>
    </font>
    <font>
      <sz val="14"/>
      <color rgb="FF0070C0"/>
      <name val="Cordia New"/>
      <family val="2"/>
    </font>
    <font>
      <b/>
      <sz val="14"/>
      <color theme="1" tint="4.9989318521683403E-2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3" fillId="0" borderId="1" xfId="0" applyFont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4" fillId="0" borderId="0" xfId="0" applyFont="1"/>
    <xf numFmtId="164" fontId="1" fillId="0" borderId="0" xfId="1" applyNumberFormat="1" applyFont="1"/>
    <xf numFmtId="0" fontId="1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0" fontId="8" fillId="0" borderId="0" xfId="0" applyFont="1"/>
    <xf numFmtId="0" fontId="1" fillId="0" borderId="0" xfId="0" applyFont="1" applyAlignment="1">
      <alignment horizontal="center"/>
    </xf>
    <xf numFmtId="0" fontId="6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center"/>
    </xf>
    <xf numFmtId="164" fontId="7" fillId="2" borderId="0" xfId="1" applyNumberFormat="1" applyFont="1" applyFill="1" applyBorder="1" applyAlignment="1">
      <alignment horizontal="center"/>
    </xf>
    <xf numFmtId="43" fontId="0" fillId="0" borderId="0" xfId="0" applyNumberFormat="1"/>
    <xf numFmtId="0" fontId="3" fillId="0" borderId="0" xfId="0" applyFont="1" applyAlignment="1">
      <alignment horizontal="center"/>
    </xf>
    <xf numFmtId="0" fontId="10" fillId="0" borderId="0" xfId="0" applyFont="1"/>
    <xf numFmtId="164" fontId="11" fillId="0" borderId="0" xfId="1" applyNumberFormat="1" applyFont="1"/>
    <xf numFmtId="0" fontId="6" fillId="0" borderId="0" xfId="0" applyFont="1"/>
    <xf numFmtId="0" fontId="5" fillId="0" borderId="0" xfId="0" applyFont="1"/>
    <xf numFmtId="0" fontId="3" fillId="0" borderId="2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center"/>
    </xf>
    <xf numFmtId="0" fontId="6" fillId="0" borderId="7" xfId="0" applyFont="1" applyBorder="1" applyAlignment="1">
      <alignment horizontal="left" vertical="center"/>
    </xf>
    <xf numFmtId="2" fontId="7" fillId="0" borderId="7" xfId="0" applyNumberFormat="1" applyFont="1" applyBorder="1" applyAlignment="1">
      <alignment horizontal="center"/>
    </xf>
    <xf numFmtId="164" fontId="7" fillId="0" borderId="7" xfId="1" applyNumberFormat="1" applyFont="1" applyFill="1" applyBorder="1" applyAlignment="1">
      <alignment horizontal="center"/>
    </xf>
    <xf numFmtId="164" fontId="3" fillId="0" borderId="0" xfId="1" applyNumberFormat="1" applyFont="1" applyFill="1" applyBorder="1" applyAlignment="1">
      <alignment horizontal="center"/>
    </xf>
    <xf numFmtId="164" fontId="1" fillId="0" borderId="0" xfId="1" applyNumberFormat="1" applyFont="1" applyFill="1" applyBorder="1" applyAlignment="1">
      <alignment horizontal="center"/>
    </xf>
    <xf numFmtId="164" fontId="9" fillId="0" borderId="0" xfId="1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2" fontId="7" fillId="0" borderId="8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4" fontId="3" fillId="0" borderId="0" xfId="1" applyNumberFormat="1" applyFont="1"/>
    <xf numFmtId="0" fontId="12" fillId="0" borderId="1" xfId="0" applyFont="1" applyBorder="1" applyAlignment="1">
      <alignment horizontal="left" vertical="center"/>
    </xf>
    <xf numFmtId="164" fontId="5" fillId="0" borderId="0" xfId="1" applyNumberFormat="1" applyFont="1" applyAlignment="1">
      <alignment horizontal="center"/>
    </xf>
    <xf numFmtId="43" fontId="7" fillId="0" borderId="1" xfId="1" applyFont="1" applyBorder="1" applyAlignment="1">
      <alignment horizontal="right"/>
    </xf>
    <xf numFmtId="43" fontId="7" fillId="0" borderId="1" xfId="1" applyFont="1" applyFill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164" fontId="0" fillId="0" borderId="0" xfId="1" applyNumberFormat="1" applyFont="1" applyFill="1"/>
    <xf numFmtId="2" fontId="7" fillId="2" borderId="1" xfId="0" applyNumberFormat="1" applyFont="1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/>
    </xf>
    <xf numFmtId="43" fontId="7" fillId="0" borderId="1" xfId="1" applyFont="1" applyFill="1" applyBorder="1" applyAlignment="1">
      <alignment vertical="center" wrapText="1"/>
    </xf>
    <xf numFmtId="43" fontId="7" fillId="0" borderId="1" xfId="1" applyFont="1" applyFill="1" applyBorder="1" applyAlignment="1">
      <alignment horizontal="right"/>
    </xf>
    <xf numFmtId="43" fontId="7" fillId="2" borderId="1" xfId="1" applyFont="1" applyFill="1" applyBorder="1" applyAlignment="1">
      <alignment horizontal="right" indent="1"/>
    </xf>
    <xf numFmtId="43" fontId="7" fillId="2" borderId="1" xfId="1" applyFont="1" applyFill="1" applyBorder="1" applyAlignment="1">
      <alignment horizontal="center"/>
    </xf>
    <xf numFmtId="43" fontId="7" fillId="2" borderId="5" xfId="1" applyFont="1" applyFill="1" applyBorder="1" applyAlignment="1">
      <alignment horizontal="right" indent="1"/>
    </xf>
    <xf numFmtId="43" fontId="7" fillId="2" borderId="5" xfId="1" applyFont="1" applyFill="1" applyBorder="1" applyAlignment="1">
      <alignment horizontal="center"/>
    </xf>
    <xf numFmtId="43" fontId="9" fillId="0" borderId="1" xfId="1" applyFont="1" applyBorder="1" applyAlignment="1">
      <alignment horizontal="right" vertical="center"/>
    </xf>
    <xf numFmtId="43" fontId="9" fillId="0" borderId="1" xfId="1" applyFont="1" applyFill="1" applyBorder="1"/>
    <xf numFmtId="164" fontId="3" fillId="0" borderId="4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6" xfId="1" applyNumberFormat="1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FF3300"/>
      <color rgb="FFFF33CC"/>
      <color rgb="FFFF0066"/>
      <color rgb="FFABDB77"/>
      <color rgb="FFE9E6D7"/>
      <color rgb="FFCCDD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F323E064-1EE3-4BA1-B26B-B4148B131E13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45EF6F15-246D-47C4-8B50-05C61F277271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8DE55-259A-4B59-B9A2-628D4F28FC19}">
  <sheetPr>
    <tabColor rgb="FFFFC000"/>
  </sheetPr>
  <dimension ref="A1:O64"/>
  <sheetViews>
    <sheetView tabSelected="1" topLeftCell="A43" workbookViewId="0">
      <selection activeCell="F58" sqref="F58"/>
    </sheetView>
  </sheetViews>
  <sheetFormatPr defaultRowHeight="21" x14ac:dyDescent="0.6"/>
  <cols>
    <col min="1" max="1" width="2" style="8" customWidth="1"/>
    <col min="2" max="2" width="52.625" style="8" customWidth="1"/>
    <col min="3" max="3" width="48.125" customWidth="1"/>
    <col min="4" max="5" width="10.875" customWidth="1"/>
    <col min="6" max="6" width="15.875" customWidth="1"/>
    <col min="7" max="9" width="15.875" style="2" customWidth="1"/>
    <col min="10" max="10" width="5" style="2" customWidth="1"/>
  </cols>
  <sheetData>
    <row r="1" spans="2:15" ht="40.799999999999997" x14ac:dyDescent="1.05">
      <c r="C1" s="5" t="s">
        <v>0</v>
      </c>
      <c r="D1" s="5"/>
      <c r="E1" s="5"/>
      <c r="F1" s="5"/>
      <c r="H1" s="6" t="s">
        <v>55</v>
      </c>
    </row>
    <row r="2" spans="2:15" x14ac:dyDescent="0.6">
      <c r="C2" s="7" t="s">
        <v>29</v>
      </c>
      <c r="D2" s="7"/>
      <c r="E2" s="7"/>
      <c r="F2" s="7"/>
      <c r="H2" s="6" t="s">
        <v>56</v>
      </c>
    </row>
    <row r="3" spans="2:15" x14ac:dyDescent="0.6">
      <c r="C3" s="7" t="s">
        <v>30</v>
      </c>
      <c r="D3" s="7"/>
      <c r="E3" s="7"/>
      <c r="F3" s="7"/>
    </row>
    <row r="4" spans="2:15" ht="23.4" x14ac:dyDescent="0.6">
      <c r="C4" s="1" t="s">
        <v>1</v>
      </c>
      <c r="D4" s="1"/>
      <c r="E4" s="1"/>
      <c r="F4" s="1"/>
    </row>
    <row r="5" spans="2:15" ht="18" customHeight="1" x14ac:dyDescent="0.6">
      <c r="C5" t="s">
        <v>2</v>
      </c>
    </row>
    <row r="6" spans="2:15" ht="18" customHeight="1" thickBot="1" x14ac:dyDescent="0.65">
      <c r="C6" t="s">
        <v>7</v>
      </c>
    </row>
    <row r="7" spans="2:15" ht="23.25" customHeight="1" thickTop="1" thickBot="1" x14ac:dyDescent="0.65">
      <c r="F7" s="56" t="s">
        <v>31</v>
      </c>
      <c r="G7" s="57"/>
      <c r="H7" s="57"/>
      <c r="I7" s="58"/>
    </row>
    <row r="8" spans="2:15" ht="23.25" customHeight="1" thickTop="1" thickBot="1" x14ac:dyDescent="0.65">
      <c r="C8" s="59" t="s">
        <v>31</v>
      </c>
      <c r="D8" s="61" t="s">
        <v>32</v>
      </c>
      <c r="E8" s="61"/>
      <c r="F8" s="21" t="s">
        <v>44</v>
      </c>
      <c r="G8" s="4" t="s">
        <v>43</v>
      </c>
      <c r="H8" s="4" t="s">
        <v>41</v>
      </c>
      <c r="I8" s="32" t="s">
        <v>42</v>
      </c>
      <c r="K8" s="28"/>
      <c r="L8" s="28"/>
      <c r="M8" s="28"/>
      <c r="N8" s="62"/>
    </row>
    <row r="9" spans="2:15" ht="22.2" thickTop="1" thickBot="1" x14ac:dyDescent="0.65">
      <c r="B9" s="11" t="s">
        <v>57</v>
      </c>
      <c r="C9" s="60"/>
      <c r="D9" s="3" t="s">
        <v>33</v>
      </c>
      <c r="E9" s="3" t="s">
        <v>34</v>
      </c>
      <c r="F9" s="31" t="s">
        <v>46</v>
      </c>
      <c r="G9" s="63" t="s">
        <v>45</v>
      </c>
      <c r="H9" s="64"/>
      <c r="I9" s="31" t="s">
        <v>26</v>
      </c>
      <c r="K9" s="16"/>
      <c r="L9" s="16"/>
      <c r="M9" s="16"/>
      <c r="N9" s="62"/>
    </row>
    <row r="10" spans="2:15" ht="22.2" thickTop="1" thickBot="1" x14ac:dyDescent="0.65">
      <c r="B10" s="65" t="s">
        <v>58</v>
      </c>
      <c r="C10" s="23" t="s">
        <v>8</v>
      </c>
      <c r="D10" s="24"/>
      <c r="E10" s="24">
        <f>D10*1.07</f>
        <v>0</v>
      </c>
      <c r="F10" s="41">
        <v>145</v>
      </c>
      <c r="G10" s="42">
        <v>155</v>
      </c>
      <c r="H10" s="42">
        <v>160</v>
      </c>
      <c r="I10" s="42">
        <v>165</v>
      </c>
      <c r="K10" s="29"/>
      <c r="L10" s="29"/>
      <c r="M10" s="29"/>
      <c r="N10" s="29"/>
    </row>
    <row r="11" spans="2:15" ht="22.2" thickTop="1" thickBot="1" x14ac:dyDescent="0.65">
      <c r="B11" s="65" t="s">
        <v>58</v>
      </c>
      <c r="C11" s="23" t="s">
        <v>9</v>
      </c>
      <c r="D11" s="24"/>
      <c r="E11" s="24">
        <f t="shared" ref="E11:E15" si="0">D11*1.07</f>
        <v>0</v>
      </c>
      <c r="F11" s="41">
        <v>155</v>
      </c>
      <c r="G11" s="42">
        <v>165</v>
      </c>
      <c r="H11" s="42">
        <v>170</v>
      </c>
      <c r="I11" s="42">
        <v>175</v>
      </c>
      <c r="K11" s="29"/>
      <c r="L11" s="29"/>
      <c r="M11" s="29"/>
      <c r="N11" s="29"/>
    </row>
    <row r="12" spans="2:15" ht="22.2" thickTop="1" thickBot="1" x14ac:dyDescent="0.65">
      <c r="B12" s="65" t="s">
        <v>59</v>
      </c>
      <c r="C12" s="23" t="s">
        <v>10</v>
      </c>
      <c r="D12" s="24"/>
      <c r="E12" s="24">
        <f t="shared" si="0"/>
        <v>0</v>
      </c>
      <c r="F12" s="41">
        <v>57</v>
      </c>
      <c r="G12" s="42">
        <v>59</v>
      </c>
      <c r="H12" s="42">
        <v>66</v>
      </c>
      <c r="I12" s="42">
        <v>68</v>
      </c>
      <c r="K12" s="30"/>
      <c r="L12" s="30"/>
      <c r="M12" s="30"/>
      <c r="N12" s="30"/>
      <c r="O12" s="15"/>
    </row>
    <row r="13" spans="2:15" ht="22.2" thickTop="1" thickBot="1" x14ac:dyDescent="0.65">
      <c r="B13" s="65" t="s">
        <v>59</v>
      </c>
      <c r="C13" s="23" t="s">
        <v>11</v>
      </c>
      <c r="D13" s="24"/>
      <c r="E13" s="24">
        <f t="shared" si="0"/>
        <v>0</v>
      </c>
      <c r="F13" s="41">
        <v>76</v>
      </c>
      <c r="G13" s="42">
        <v>81</v>
      </c>
      <c r="H13" s="42">
        <v>88</v>
      </c>
      <c r="I13" s="42">
        <v>90</v>
      </c>
      <c r="K13" s="30"/>
      <c r="L13" s="30"/>
      <c r="M13" s="30"/>
      <c r="N13" s="30"/>
      <c r="O13" s="15"/>
    </row>
    <row r="14" spans="2:15" ht="22.2" thickTop="1" thickBot="1" x14ac:dyDescent="0.65">
      <c r="B14" s="65" t="s">
        <v>59</v>
      </c>
      <c r="C14" s="23" t="s">
        <v>12</v>
      </c>
      <c r="D14" s="24"/>
      <c r="E14" s="24">
        <f t="shared" si="0"/>
        <v>0</v>
      </c>
      <c r="F14" s="41">
        <v>77</v>
      </c>
      <c r="G14" s="42">
        <v>82</v>
      </c>
      <c r="H14" s="42">
        <v>89</v>
      </c>
      <c r="I14" s="42">
        <v>91</v>
      </c>
      <c r="K14" s="30"/>
      <c r="L14" s="30"/>
      <c r="M14" s="30"/>
      <c r="N14" s="30"/>
      <c r="O14" s="15"/>
    </row>
    <row r="15" spans="2:15" ht="22.2" thickTop="1" thickBot="1" x14ac:dyDescent="0.65">
      <c r="B15" s="65" t="s">
        <v>59</v>
      </c>
      <c r="C15" s="23" t="s">
        <v>13</v>
      </c>
      <c r="D15" s="24"/>
      <c r="E15" s="24">
        <f t="shared" si="0"/>
        <v>0</v>
      </c>
      <c r="F15" s="41">
        <v>79</v>
      </c>
      <c r="G15" s="42">
        <v>87</v>
      </c>
      <c r="H15" s="42">
        <v>94</v>
      </c>
      <c r="I15" s="42">
        <v>96</v>
      </c>
      <c r="K15" s="30"/>
      <c r="L15" s="30"/>
      <c r="M15" s="30"/>
      <c r="N15" s="30"/>
      <c r="O15" s="15"/>
    </row>
    <row r="16" spans="2:15" ht="22.2" hidden="1" thickTop="1" thickBot="1" x14ac:dyDescent="0.65">
      <c r="C16" s="23" t="s">
        <v>37</v>
      </c>
      <c r="D16" s="24"/>
      <c r="E16" s="24"/>
      <c r="F16" s="41"/>
      <c r="G16" s="42"/>
      <c r="H16" s="42"/>
      <c r="I16" s="42"/>
      <c r="K16" s="30"/>
      <c r="L16" s="30"/>
      <c r="M16" s="30"/>
      <c r="N16" s="30"/>
      <c r="O16" s="15"/>
    </row>
    <row r="17" spans="2:15" ht="22.2" hidden="1" thickTop="1" thickBot="1" x14ac:dyDescent="0.65">
      <c r="C17" s="23" t="s">
        <v>39</v>
      </c>
      <c r="D17" s="24"/>
      <c r="E17" s="24"/>
      <c r="F17" s="41"/>
      <c r="G17" s="42"/>
      <c r="H17" s="42"/>
      <c r="I17" s="42"/>
      <c r="J17" s="38" t="s">
        <v>47</v>
      </c>
      <c r="K17" s="30"/>
      <c r="L17" s="30"/>
      <c r="M17" s="30"/>
      <c r="N17" s="30"/>
      <c r="O17" s="15"/>
    </row>
    <row r="18" spans="2:15" ht="22.2" hidden="1" thickTop="1" thickBot="1" x14ac:dyDescent="0.65">
      <c r="C18" s="23" t="s">
        <v>40</v>
      </c>
      <c r="D18" s="24"/>
      <c r="E18" s="24"/>
      <c r="F18" s="41"/>
      <c r="G18" s="42"/>
      <c r="H18" s="42"/>
      <c r="I18" s="42"/>
      <c r="K18" s="30"/>
      <c r="L18" s="30"/>
      <c r="M18" s="30"/>
      <c r="N18" s="30"/>
      <c r="O18" s="15"/>
    </row>
    <row r="19" spans="2:15" ht="22.2" thickTop="1" thickBot="1" x14ac:dyDescent="0.65">
      <c r="B19" s="66" t="s">
        <v>61</v>
      </c>
      <c r="C19" s="23" t="s">
        <v>36</v>
      </c>
      <c r="D19" s="24"/>
      <c r="E19" s="24">
        <f t="shared" ref="E19:E20" si="1">D19*1.07</f>
        <v>0</v>
      </c>
      <c r="F19" s="41">
        <v>30</v>
      </c>
      <c r="G19" s="42">
        <v>31</v>
      </c>
      <c r="H19" s="42">
        <v>33</v>
      </c>
      <c r="I19" s="42">
        <v>34</v>
      </c>
      <c r="K19" s="7"/>
      <c r="L19" s="7"/>
      <c r="M19" s="7"/>
      <c r="N19" s="7"/>
    </row>
    <row r="20" spans="2:15" ht="22.2" thickTop="1" thickBot="1" x14ac:dyDescent="0.65">
      <c r="B20" s="65" t="s">
        <v>60</v>
      </c>
      <c r="C20" s="23" t="s">
        <v>54</v>
      </c>
      <c r="D20" s="24"/>
      <c r="E20" s="24">
        <f t="shared" si="1"/>
        <v>0</v>
      </c>
      <c r="F20" s="41">
        <v>33</v>
      </c>
      <c r="G20" s="42">
        <v>34</v>
      </c>
      <c r="H20" s="42">
        <v>35</v>
      </c>
      <c r="I20" s="42">
        <v>36</v>
      </c>
    </row>
    <row r="21" spans="2:15" ht="22.2" thickTop="1" thickBot="1" x14ac:dyDescent="0.65">
      <c r="B21" s="65" t="s">
        <v>58</v>
      </c>
      <c r="C21" s="23" t="s">
        <v>27</v>
      </c>
      <c r="D21" s="24"/>
      <c r="E21" s="24">
        <f t="shared" ref="E21:E24" si="2">D21*1.07</f>
        <v>0</v>
      </c>
      <c r="F21" s="41">
        <v>27.5</v>
      </c>
      <c r="G21" s="42">
        <v>28</v>
      </c>
      <c r="H21" s="42">
        <v>29</v>
      </c>
      <c r="I21" s="42">
        <v>30</v>
      </c>
    </row>
    <row r="22" spans="2:15" ht="22.2" thickTop="1" thickBot="1" x14ac:dyDescent="0.65">
      <c r="B22" s="65" t="s">
        <v>58</v>
      </c>
      <c r="C22" s="23" t="s">
        <v>28</v>
      </c>
      <c r="D22" s="24"/>
      <c r="E22" s="24">
        <f t="shared" si="2"/>
        <v>0</v>
      </c>
      <c r="F22" s="41">
        <v>29.5</v>
      </c>
      <c r="G22" s="42">
        <v>30</v>
      </c>
      <c r="H22" s="42">
        <v>31</v>
      </c>
      <c r="I22" s="42">
        <v>32</v>
      </c>
    </row>
    <row r="23" spans="2:15" ht="22.2" hidden="1" thickTop="1" thickBot="1" x14ac:dyDescent="0.65">
      <c r="C23" s="43" t="s">
        <v>38</v>
      </c>
      <c r="D23" s="24"/>
      <c r="E23" s="24">
        <f t="shared" si="2"/>
        <v>0</v>
      </c>
      <c r="F23" s="41">
        <v>23.75</v>
      </c>
      <c r="G23" s="42">
        <v>23.75</v>
      </c>
      <c r="H23" s="48">
        <v>24</v>
      </c>
      <c r="I23" s="48">
        <v>24</v>
      </c>
    </row>
    <row r="24" spans="2:15" ht="22.2" thickTop="1" thickBot="1" x14ac:dyDescent="0.65">
      <c r="B24" s="65" t="s">
        <v>62</v>
      </c>
      <c r="C24" s="23" t="s">
        <v>52</v>
      </c>
      <c r="D24" s="24"/>
      <c r="E24" s="24">
        <f t="shared" si="2"/>
        <v>0</v>
      </c>
      <c r="F24" s="49">
        <v>26</v>
      </c>
      <c r="G24" s="42">
        <v>27</v>
      </c>
      <c r="H24" s="48">
        <v>28</v>
      </c>
      <c r="I24" s="48">
        <v>30</v>
      </c>
      <c r="J24" s="40"/>
    </row>
    <row r="25" spans="2:15" ht="22.2" thickTop="1" thickBot="1" x14ac:dyDescent="0.65">
      <c r="B25" s="65" t="s">
        <v>63</v>
      </c>
      <c r="C25" s="23" t="s">
        <v>49</v>
      </c>
      <c r="D25" s="24"/>
      <c r="E25" s="24">
        <f>D25*1.07</f>
        <v>0</v>
      </c>
      <c r="F25" s="41">
        <v>80</v>
      </c>
      <c r="G25" s="42">
        <v>85</v>
      </c>
      <c r="H25" s="48">
        <v>90</v>
      </c>
      <c r="I25" s="48">
        <v>98</v>
      </c>
    </row>
    <row r="26" spans="2:15" ht="22.2" thickTop="1" thickBot="1" x14ac:dyDescent="0.65">
      <c r="B26" s="65" t="s">
        <v>63</v>
      </c>
      <c r="C26" s="23" t="s">
        <v>48</v>
      </c>
      <c r="D26" s="24"/>
      <c r="E26" s="24">
        <f t="shared" ref="E26:E30" si="3">D26*1.07</f>
        <v>0</v>
      </c>
      <c r="F26" s="41">
        <v>80</v>
      </c>
      <c r="G26" s="42">
        <v>85</v>
      </c>
      <c r="H26" s="48">
        <v>90</v>
      </c>
      <c r="I26" s="48">
        <v>98</v>
      </c>
    </row>
    <row r="27" spans="2:15" ht="22.2" thickTop="1" thickBot="1" x14ac:dyDescent="0.65">
      <c r="B27" s="65" t="s">
        <v>63</v>
      </c>
      <c r="C27" s="23" t="s">
        <v>50</v>
      </c>
      <c r="D27" s="24"/>
      <c r="E27" s="24">
        <f t="shared" si="3"/>
        <v>0</v>
      </c>
      <c r="F27" s="41">
        <v>90</v>
      </c>
      <c r="G27" s="42">
        <v>95</v>
      </c>
      <c r="H27" s="48">
        <v>100</v>
      </c>
      <c r="I27" s="48">
        <v>109</v>
      </c>
    </row>
    <row r="28" spans="2:15" ht="22.2" thickTop="1" thickBot="1" x14ac:dyDescent="0.65">
      <c r="B28" s="65" t="s">
        <v>63</v>
      </c>
      <c r="C28" s="23" t="s">
        <v>51</v>
      </c>
      <c r="D28" s="24"/>
      <c r="E28" s="24">
        <f t="shared" si="3"/>
        <v>0</v>
      </c>
      <c r="F28" s="41">
        <v>200</v>
      </c>
      <c r="G28" s="42">
        <v>205</v>
      </c>
      <c r="H28" s="48">
        <v>210</v>
      </c>
      <c r="I28" s="48">
        <v>219</v>
      </c>
    </row>
    <row r="29" spans="2:15" ht="22.2" thickTop="1" thickBot="1" x14ac:dyDescent="0.65">
      <c r="B29" s="65" t="s">
        <v>64</v>
      </c>
      <c r="C29" s="39" t="s">
        <v>3</v>
      </c>
      <c r="D29" s="24"/>
      <c r="E29" s="24">
        <f>D29*1.07</f>
        <v>0</v>
      </c>
      <c r="F29" s="41">
        <v>51</v>
      </c>
      <c r="G29" s="42">
        <v>63</v>
      </c>
      <c r="H29" s="42">
        <v>68</v>
      </c>
      <c r="I29" s="42">
        <v>78</v>
      </c>
    </row>
    <row r="30" spans="2:15" ht="22.2" thickTop="1" thickBot="1" x14ac:dyDescent="0.65">
      <c r="B30" s="65" t="s">
        <v>65</v>
      </c>
      <c r="C30" s="39" t="s">
        <v>53</v>
      </c>
      <c r="D30" s="24"/>
      <c r="E30" s="24">
        <f t="shared" si="3"/>
        <v>0</v>
      </c>
      <c r="F30" s="49">
        <v>29</v>
      </c>
      <c r="G30" s="42">
        <v>30</v>
      </c>
      <c r="H30" s="42">
        <v>31</v>
      </c>
      <c r="I30" s="42">
        <v>33</v>
      </c>
      <c r="J30" s="45"/>
    </row>
    <row r="31" spans="2:15" ht="10.5" customHeight="1" thickTop="1" thickBot="1" x14ac:dyDescent="0.65">
      <c r="C31" s="25"/>
      <c r="D31" s="26"/>
      <c r="E31" s="26"/>
      <c r="F31" s="26"/>
      <c r="G31" s="27"/>
      <c r="H31" s="27"/>
      <c r="I31" s="27"/>
    </row>
    <row r="32" spans="2:15" ht="23.25" customHeight="1" thickTop="1" thickBot="1" x14ac:dyDescent="0.65">
      <c r="C32" s="33"/>
      <c r="D32" s="34"/>
      <c r="E32" s="34"/>
      <c r="F32" s="56" t="s">
        <v>31</v>
      </c>
      <c r="G32" s="57"/>
      <c r="H32" s="57"/>
      <c r="I32" s="58"/>
    </row>
    <row r="33" spans="2:13" ht="23.25" customHeight="1" thickTop="1" thickBot="1" x14ac:dyDescent="0.65">
      <c r="C33" s="59" t="s">
        <v>31</v>
      </c>
      <c r="D33" s="61" t="s">
        <v>32</v>
      </c>
      <c r="E33" s="61"/>
      <c r="F33" s="21" t="s">
        <v>44</v>
      </c>
      <c r="G33" s="4" t="s">
        <v>43</v>
      </c>
      <c r="H33" s="4" t="s">
        <v>41</v>
      </c>
      <c r="I33" s="32" t="s">
        <v>42</v>
      </c>
    </row>
    <row r="34" spans="2:13" ht="22.2" thickTop="1" thickBot="1" x14ac:dyDescent="0.65">
      <c r="C34" s="60"/>
      <c r="D34" s="3" t="s">
        <v>33</v>
      </c>
      <c r="E34" s="3" t="s">
        <v>34</v>
      </c>
      <c r="F34" s="31" t="s">
        <v>46</v>
      </c>
      <c r="G34" s="63" t="s">
        <v>45</v>
      </c>
      <c r="H34" s="64"/>
      <c r="I34" s="31" t="s">
        <v>26</v>
      </c>
    </row>
    <row r="35" spans="2:13" ht="22.2" thickTop="1" thickBot="1" x14ac:dyDescent="0.65">
      <c r="B35" s="65" t="s">
        <v>66</v>
      </c>
      <c r="C35" s="44" t="s">
        <v>35</v>
      </c>
      <c r="D35" s="46"/>
      <c r="E35" s="46">
        <f>D35*1.07</f>
        <v>0</v>
      </c>
      <c r="F35" s="50">
        <v>169</v>
      </c>
      <c r="G35" s="51">
        <v>175</v>
      </c>
      <c r="H35" s="51">
        <v>183</v>
      </c>
      <c r="I35" s="51">
        <v>186</v>
      </c>
      <c r="J35" s="11"/>
      <c r="K35" s="9"/>
      <c r="L35" s="9"/>
      <c r="M35" s="9"/>
    </row>
    <row r="36" spans="2:13" ht="22.2" thickTop="1" thickBot="1" x14ac:dyDescent="0.65">
      <c r="B36" s="65" t="s">
        <v>66</v>
      </c>
      <c r="C36" s="44" t="s">
        <v>18</v>
      </c>
      <c r="D36" s="46"/>
      <c r="E36" s="46">
        <f t="shared" ref="E36:E40" si="4">D36*1.07</f>
        <v>0</v>
      </c>
      <c r="F36" s="50">
        <v>238</v>
      </c>
      <c r="G36" s="51">
        <v>245</v>
      </c>
      <c r="H36" s="51">
        <v>253</v>
      </c>
      <c r="I36" s="51">
        <v>257</v>
      </c>
      <c r="K36" s="9"/>
      <c r="L36" s="9"/>
      <c r="M36" s="9"/>
    </row>
    <row r="37" spans="2:13" ht="22.2" thickTop="1" thickBot="1" x14ac:dyDescent="0.65">
      <c r="B37" s="65" t="s">
        <v>66</v>
      </c>
      <c r="C37" s="44" t="s">
        <v>20</v>
      </c>
      <c r="D37" s="46"/>
      <c r="E37" s="46">
        <f t="shared" si="4"/>
        <v>0</v>
      </c>
      <c r="F37" s="50">
        <v>181</v>
      </c>
      <c r="G37" s="51">
        <v>183</v>
      </c>
      <c r="H37" s="51">
        <v>193</v>
      </c>
      <c r="I37" s="51">
        <v>196</v>
      </c>
      <c r="K37" s="9"/>
      <c r="L37" s="9"/>
      <c r="M37" s="9"/>
    </row>
    <row r="38" spans="2:13" ht="22.2" thickTop="1" thickBot="1" x14ac:dyDescent="0.65">
      <c r="B38" s="65" t="s">
        <v>66</v>
      </c>
      <c r="C38" s="44" t="s">
        <v>16</v>
      </c>
      <c r="D38" s="46"/>
      <c r="E38" s="46">
        <f t="shared" si="4"/>
        <v>0</v>
      </c>
      <c r="F38" s="50">
        <v>215</v>
      </c>
      <c r="G38" s="51">
        <v>219</v>
      </c>
      <c r="H38" s="51">
        <v>228</v>
      </c>
      <c r="I38" s="51">
        <v>231</v>
      </c>
      <c r="K38" s="9"/>
      <c r="L38" s="9"/>
      <c r="M38" s="9"/>
    </row>
    <row r="39" spans="2:13" ht="22.2" thickTop="1" thickBot="1" x14ac:dyDescent="0.65">
      <c r="B39" s="65" t="s">
        <v>66</v>
      </c>
      <c r="C39" s="44" t="s">
        <v>22</v>
      </c>
      <c r="D39" s="46"/>
      <c r="E39" s="46">
        <f t="shared" si="4"/>
        <v>0</v>
      </c>
      <c r="F39" s="50">
        <v>354</v>
      </c>
      <c r="G39" s="51">
        <v>362</v>
      </c>
      <c r="H39" s="51">
        <v>375</v>
      </c>
      <c r="I39" s="51">
        <v>377</v>
      </c>
      <c r="K39" s="9"/>
      <c r="L39" s="9"/>
      <c r="M39" s="9"/>
    </row>
    <row r="40" spans="2:13" ht="22.2" thickTop="1" thickBot="1" x14ac:dyDescent="0.65">
      <c r="B40" s="65" t="s">
        <v>66</v>
      </c>
      <c r="C40" s="44" t="s">
        <v>25</v>
      </c>
      <c r="D40" s="46"/>
      <c r="E40" s="46">
        <f t="shared" si="4"/>
        <v>0</v>
      </c>
      <c r="F40" s="50">
        <v>354</v>
      </c>
      <c r="G40" s="51">
        <v>367</v>
      </c>
      <c r="H40" s="51">
        <v>379</v>
      </c>
      <c r="I40" s="51">
        <v>382</v>
      </c>
      <c r="K40" s="9"/>
      <c r="L40" s="9"/>
      <c r="M40" s="9"/>
    </row>
    <row r="41" spans="2:13" ht="6" customHeight="1" thickTop="1" thickBot="1" x14ac:dyDescent="0.65">
      <c r="C41" s="22"/>
      <c r="D41" s="47"/>
      <c r="E41" s="47"/>
      <c r="F41" s="52"/>
      <c r="G41" s="53"/>
      <c r="H41" s="53"/>
      <c r="I41" s="53"/>
    </row>
    <row r="42" spans="2:13" ht="22.2" thickTop="1" thickBot="1" x14ac:dyDescent="0.65">
      <c r="B42" s="65" t="s">
        <v>66</v>
      </c>
      <c r="C42" s="44" t="s">
        <v>15</v>
      </c>
      <c r="D42" s="46"/>
      <c r="E42" s="46">
        <f>D42*1.07</f>
        <v>0</v>
      </c>
      <c r="F42" s="50">
        <v>174</v>
      </c>
      <c r="G42" s="51">
        <v>180</v>
      </c>
      <c r="H42" s="51">
        <v>188</v>
      </c>
      <c r="I42" s="51">
        <v>191</v>
      </c>
    </row>
    <row r="43" spans="2:13" ht="22.2" thickTop="1" thickBot="1" x14ac:dyDescent="0.65">
      <c r="B43" s="65" t="s">
        <v>66</v>
      </c>
      <c r="C43" s="44" t="s">
        <v>19</v>
      </c>
      <c r="D43" s="46"/>
      <c r="E43" s="46">
        <f t="shared" ref="E43:E47" si="5">D43*1.07</f>
        <v>0</v>
      </c>
      <c r="F43" s="50">
        <v>243</v>
      </c>
      <c r="G43" s="51">
        <v>250</v>
      </c>
      <c r="H43" s="51">
        <v>259</v>
      </c>
      <c r="I43" s="51">
        <v>262</v>
      </c>
    </row>
    <row r="44" spans="2:13" ht="22.2" thickTop="1" thickBot="1" x14ac:dyDescent="0.65">
      <c r="B44" s="65" t="s">
        <v>66</v>
      </c>
      <c r="C44" s="44" t="s">
        <v>21</v>
      </c>
      <c r="D44" s="46"/>
      <c r="E44" s="46">
        <f t="shared" si="5"/>
        <v>0</v>
      </c>
      <c r="F44" s="50">
        <v>186</v>
      </c>
      <c r="G44" s="51">
        <v>189</v>
      </c>
      <c r="H44" s="51">
        <v>198</v>
      </c>
      <c r="I44" s="51">
        <v>201</v>
      </c>
    </row>
    <row r="45" spans="2:13" ht="22.2" thickTop="1" thickBot="1" x14ac:dyDescent="0.65">
      <c r="B45" s="65" t="s">
        <v>66</v>
      </c>
      <c r="C45" s="44" t="s">
        <v>17</v>
      </c>
      <c r="D45" s="46"/>
      <c r="E45" s="46">
        <f t="shared" si="5"/>
        <v>0</v>
      </c>
      <c r="F45" s="50">
        <v>220</v>
      </c>
      <c r="G45" s="51">
        <v>224</v>
      </c>
      <c r="H45" s="51">
        <v>233</v>
      </c>
      <c r="I45" s="51">
        <v>236</v>
      </c>
    </row>
    <row r="46" spans="2:13" ht="22.2" thickTop="1" thickBot="1" x14ac:dyDescent="0.65">
      <c r="B46" s="65" t="s">
        <v>66</v>
      </c>
      <c r="C46" s="44" t="s">
        <v>23</v>
      </c>
      <c r="D46" s="46"/>
      <c r="E46" s="46">
        <f t="shared" si="5"/>
        <v>0</v>
      </c>
      <c r="F46" s="50">
        <v>359</v>
      </c>
      <c r="G46" s="51">
        <v>367</v>
      </c>
      <c r="H46" s="51">
        <v>379</v>
      </c>
      <c r="I46" s="51">
        <v>382</v>
      </c>
    </row>
    <row r="47" spans="2:13" ht="22.2" thickTop="1" thickBot="1" x14ac:dyDescent="0.65">
      <c r="B47" s="65" t="s">
        <v>66</v>
      </c>
      <c r="C47" s="44" t="s">
        <v>24</v>
      </c>
      <c r="D47" s="46"/>
      <c r="E47" s="46">
        <f t="shared" si="5"/>
        <v>0</v>
      </c>
      <c r="F47" s="50">
        <v>359</v>
      </c>
      <c r="G47" s="51">
        <v>372</v>
      </c>
      <c r="H47" s="51">
        <v>384</v>
      </c>
      <c r="I47" s="51">
        <v>387</v>
      </c>
    </row>
    <row r="48" spans="2:13" ht="10.5" customHeight="1" thickTop="1" thickBot="1" x14ac:dyDescent="0.65">
      <c r="C48" s="12"/>
      <c r="D48" s="13"/>
      <c r="E48" s="13"/>
      <c r="F48" s="13"/>
      <c r="G48" s="14"/>
      <c r="H48" s="14"/>
      <c r="I48" s="14"/>
    </row>
    <row r="49" spans="1:11" ht="23.25" customHeight="1" thickTop="1" thickBot="1" x14ac:dyDescent="0.65">
      <c r="C49" s="12"/>
      <c r="D49" s="13"/>
      <c r="E49" s="13"/>
      <c r="F49" s="56" t="s">
        <v>31</v>
      </c>
      <c r="G49" s="57"/>
      <c r="H49" s="57"/>
      <c r="I49" s="58"/>
    </row>
    <row r="50" spans="1:11" ht="22.2" thickTop="1" thickBot="1" x14ac:dyDescent="0.65">
      <c r="C50" s="59" t="s">
        <v>14</v>
      </c>
      <c r="D50" s="61" t="s">
        <v>32</v>
      </c>
      <c r="E50" s="61"/>
      <c r="F50" s="21" t="s">
        <v>44</v>
      </c>
      <c r="G50" s="4" t="s">
        <v>43</v>
      </c>
      <c r="H50" s="4" t="s">
        <v>41</v>
      </c>
      <c r="I50" s="32" t="s">
        <v>42</v>
      </c>
    </row>
    <row r="51" spans="1:11" ht="22.2" thickTop="1" thickBot="1" x14ac:dyDescent="0.65">
      <c r="C51" s="60"/>
      <c r="D51" s="3" t="s">
        <v>33</v>
      </c>
      <c r="E51" s="3" t="s">
        <v>34</v>
      </c>
      <c r="F51" s="31" t="s">
        <v>46</v>
      </c>
      <c r="G51" s="63" t="s">
        <v>45</v>
      </c>
      <c r="H51" s="64"/>
      <c r="I51" s="31" t="s">
        <v>26</v>
      </c>
    </row>
    <row r="52" spans="1:11" ht="22.2" thickTop="1" thickBot="1" x14ac:dyDescent="0.65">
      <c r="B52" s="65" t="s">
        <v>60</v>
      </c>
      <c r="C52" s="35" t="s">
        <v>4</v>
      </c>
      <c r="D52" s="36"/>
      <c r="E52" s="37">
        <f>D52*1.07</f>
        <v>0</v>
      </c>
      <c r="F52" s="54">
        <v>68</v>
      </c>
      <c r="G52" s="55">
        <v>70</v>
      </c>
      <c r="H52" s="55">
        <v>72</v>
      </c>
      <c r="I52" s="55">
        <v>82</v>
      </c>
    </row>
    <row r="53" spans="1:11" ht="22.2" thickTop="1" thickBot="1" x14ac:dyDescent="0.65">
      <c r="B53" s="65" t="s">
        <v>60</v>
      </c>
      <c r="C53" s="35" t="s">
        <v>5</v>
      </c>
      <c r="D53" s="36"/>
      <c r="E53" s="37">
        <f t="shared" ref="E53:E54" si="6">D53*1.07</f>
        <v>0</v>
      </c>
      <c r="F53" s="54">
        <v>225</v>
      </c>
      <c r="G53" s="55">
        <v>230</v>
      </c>
      <c r="H53" s="55">
        <v>235</v>
      </c>
      <c r="I53" s="55">
        <v>240</v>
      </c>
    </row>
    <row r="54" spans="1:11" ht="22.2" thickTop="1" thickBot="1" x14ac:dyDescent="0.65">
      <c r="B54" s="66" t="s">
        <v>67</v>
      </c>
      <c r="C54" s="35" t="s">
        <v>6</v>
      </c>
      <c r="D54" s="36"/>
      <c r="E54" s="37">
        <f t="shared" si="6"/>
        <v>0</v>
      </c>
      <c r="F54" s="54">
        <v>315</v>
      </c>
      <c r="G54" s="55">
        <v>325</v>
      </c>
      <c r="H54" s="55">
        <v>335</v>
      </c>
      <c r="I54" s="55">
        <v>370</v>
      </c>
    </row>
    <row r="55" spans="1:11" ht="21.6" thickTop="1" x14ac:dyDescent="0.6"/>
    <row r="56" spans="1:11" x14ac:dyDescent="0.6">
      <c r="A56" s="17"/>
      <c r="B56" s="17"/>
      <c r="C56" s="10"/>
      <c r="D56" s="10"/>
      <c r="E56" s="10"/>
      <c r="F56" s="10"/>
      <c r="G56" s="18"/>
      <c r="H56" s="18"/>
      <c r="I56" s="18"/>
      <c r="K56" s="9"/>
    </row>
    <row r="57" spans="1:11" x14ac:dyDescent="0.6">
      <c r="A57" s="19"/>
      <c r="B57" s="19"/>
      <c r="C57" s="10"/>
      <c r="D57" s="10"/>
      <c r="E57" s="10"/>
      <c r="F57" s="10"/>
      <c r="G57" s="18"/>
      <c r="H57" s="18"/>
      <c r="I57" s="18"/>
      <c r="K57" s="9"/>
    </row>
    <row r="58" spans="1:11" x14ac:dyDescent="0.6">
      <c r="A58" s="19"/>
      <c r="B58" s="19"/>
      <c r="C58" s="10"/>
      <c r="D58" s="10"/>
      <c r="E58" s="10"/>
      <c r="F58" s="10"/>
      <c r="G58" s="18"/>
      <c r="H58" s="18"/>
      <c r="I58" s="18"/>
      <c r="K58" s="9"/>
    </row>
    <row r="59" spans="1:11" x14ac:dyDescent="0.6">
      <c r="A59" s="20"/>
      <c r="B59" s="20"/>
      <c r="C59" s="10"/>
      <c r="D59" s="10"/>
      <c r="E59" s="10"/>
      <c r="F59" s="10"/>
      <c r="G59" s="18"/>
      <c r="H59" s="18"/>
      <c r="I59" s="18"/>
      <c r="K59" s="9"/>
    </row>
    <row r="60" spans="1:11" x14ac:dyDescent="0.6">
      <c r="A60" s="19"/>
      <c r="B60" s="19"/>
      <c r="C60" s="10"/>
      <c r="D60" s="10"/>
      <c r="E60" s="10"/>
      <c r="F60" s="10"/>
      <c r="G60" s="18"/>
      <c r="H60" s="18"/>
      <c r="I60" s="18"/>
      <c r="K60" s="9"/>
    </row>
    <row r="61" spans="1:11" x14ac:dyDescent="0.6">
      <c r="A61" s="19"/>
      <c r="B61" s="19"/>
      <c r="K61" s="9"/>
    </row>
    <row r="62" spans="1:11" x14ac:dyDescent="0.6">
      <c r="A62" s="19"/>
      <c r="B62" s="19"/>
      <c r="K62" s="9"/>
    </row>
    <row r="63" spans="1:11" x14ac:dyDescent="0.6">
      <c r="A63" s="19"/>
      <c r="B63" s="19"/>
      <c r="K63" s="9"/>
    </row>
    <row r="64" spans="1:11" x14ac:dyDescent="0.6">
      <c r="A64" s="10"/>
      <c r="B64" s="10"/>
      <c r="K64" s="9"/>
    </row>
  </sheetData>
  <mergeCells count="13">
    <mergeCell ref="C33:C34"/>
    <mergeCell ref="D33:E33"/>
    <mergeCell ref="G34:H34"/>
    <mergeCell ref="F49:I49"/>
    <mergeCell ref="C50:C51"/>
    <mergeCell ref="D50:E50"/>
    <mergeCell ref="G51:H51"/>
    <mergeCell ref="F32:I32"/>
    <mergeCell ref="F7:I7"/>
    <mergeCell ref="C8:C9"/>
    <mergeCell ref="D8:E8"/>
    <mergeCell ref="N8:N9"/>
    <mergeCell ref="G9:H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MKT01</dc:creator>
  <cp:lastModifiedBy>MKT_INTERNET04</cp:lastModifiedBy>
  <cp:lastPrinted>2021-06-30T06:24:51Z</cp:lastPrinted>
  <dcterms:created xsi:type="dcterms:W3CDTF">2003-01-21T06:10:00Z</dcterms:created>
  <dcterms:modified xsi:type="dcterms:W3CDTF">2026-04-24T03:17:36Z</dcterms:modified>
</cp:coreProperties>
</file>