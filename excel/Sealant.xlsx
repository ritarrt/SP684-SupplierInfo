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1122"/>
  <workbookPr/>
  <mc:AlternateContent xmlns:mc="http://schemas.openxmlformats.org/markup-compatibility/2006">
    <mc:Choice Requires="x15">
      <x15ac:absPath xmlns:x15ac="http://schemas.microsoft.com/office/spreadsheetml/2010/11/ac" url="/Users/ritar/Desktop/SP684-SupplierInfo/excel/"/>
    </mc:Choice>
  </mc:AlternateContent>
  <xr:revisionPtr revIDLastSave="0" documentId="13_ncr:1_{5043C917-6D7E-594F-ADEF-0EA194566446}" xr6:coauthVersionLast="47" xr6:coauthVersionMax="47" xr10:uidLastSave="{00000000-0000-0000-0000-000000000000}"/>
  <bookViews>
    <workbookView xWindow="0" yWindow="600" windowWidth="23260" windowHeight="12460" tabRatio="808" xr2:uid="{00000000-000D-0000-FFFF-FFFF00000000}"/>
  </bookViews>
  <sheets>
    <sheet name="Price List" sheetId="18" r:id="rId1"/>
    <sheet name="Ref." sheetId="19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52" i="18" l="1"/>
  <c r="E54" i="18"/>
  <c r="E53" i="18"/>
  <c r="E29" i="18"/>
  <c r="E30" i="18"/>
  <c r="E10" i="18"/>
  <c r="E11" i="18"/>
  <c r="E12" i="18"/>
  <c r="E13" i="18"/>
  <c r="E14" i="18"/>
  <c r="E15" i="18"/>
  <c r="E19" i="18"/>
  <c r="E20" i="18"/>
  <c r="E21" i="18"/>
  <c r="E22" i="18"/>
  <c r="E23" i="18"/>
  <c r="E24" i="18"/>
  <c r="E25" i="18"/>
  <c r="E26" i="18"/>
  <c r="E27" i="18"/>
  <c r="E28" i="18"/>
  <c r="E47" i="18" l="1"/>
  <c r="E46" i="18"/>
  <c r="E45" i="18"/>
  <c r="E44" i="18"/>
  <c r="E43" i="18"/>
  <c r="E42" i="18"/>
  <c r="E40" i="18"/>
  <c r="E39" i="18"/>
  <c r="E38" i="18"/>
  <c r="E37" i="18"/>
  <c r="E36" i="18"/>
  <c r="E35" i="18"/>
</calcChain>
</file>

<file path=xl/sharedStrings.xml><?xml version="1.0" encoding="utf-8"?>
<sst xmlns="http://schemas.openxmlformats.org/spreadsheetml/2006/main" count="215" uniqueCount="125">
  <si>
    <t>Internal Memo</t>
  </si>
  <si>
    <t>โครงสร้างราคาผลิตภัณฑ์กาวและ อุปกรณ์</t>
  </si>
  <si>
    <t>หมายเหตุ :  ราคาดังกล่างข้างต้นรวมภาษีมูลค่าเพิ่มเรียบร้อยแล้ว</t>
  </si>
  <si>
    <t>TOPBOND</t>
  </si>
  <si>
    <t>ปืนธรรมดา</t>
  </si>
  <si>
    <t>ปืนแบบกระบอก</t>
  </si>
  <si>
    <t>ปืนแบบฟรอยด์</t>
  </si>
  <si>
    <t xml:space="preserve">                 :  ราคาดังกล่าวให้เครดิตสูงสุด 30 วัน</t>
  </si>
  <si>
    <t>กาว PU (Forcon-D)  สีขาว - เทา</t>
  </si>
  <si>
    <t>กาว PU (Forcon-D)  สีดำ</t>
  </si>
  <si>
    <t>Dowsil - GP</t>
  </si>
  <si>
    <t>Dowsil - GS</t>
  </si>
  <si>
    <t>Dowsil - GM</t>
  </si>
  <si>
    <t>Dowsil - SN</t>
  </si>
  <si>
    <t>ราคา</t>
  </si>
  <si>
    <t>Silicone 791 (หลอด) ต่างจังหวัด</t>
  </si>
  <si>
    <t>Silicone 795 (หลอด)   กรุงเทพฯ</t>
  </si>
  <si>
    <t>Silicone 795 (หลอด) ต่างจังหวัด</t>
  </si>
  <si>
    <t>Silicone 791 (ฟรอยด์)   กรุงเทพฯ</t>
  </si>
  <si>
    <t>Silicone 791 (ฟรอยด์) ต่างจังหวัด</t>
  </si>
  <si>
    <t>Silicone 793 (หลอด)   กรุงเทพฯ</t>
  </si>
  <si>
    <t>Silicone 793 (หลอด) ต่างจังหวัด</t>
  </si>
  <si>
    <t>Silicone 795 (ฟรอยด์)   กรุงเทพฯ</t>
  </si>
  <si>
    <t>Silicone 795 (ฟรอยด์) ต่างจังหวัด</t>
  </si>
  <si>
    <t>Silicone 991 (ฟรอยด์) ต่างจังหวัด</t>
  </si>
  <si>
    <t>Silicone 991 (ฟรอยด์) กรุงเทพฯ</t>
  </si>
  <si>
    <t>ขายปลีก</t>
  </si>
  <si>
    <t>TOPSEAL Professional สีขาว - ชา</t>
  </si>
  <si>
    <t>TOPSEAL Professional สีดำ</t>
  </si>
  <si>
    <t>ATTN : ผู้จัดการเขต / ผู้จัดการสาขา</t>
  </si>
  <si>
    <t>CC : ฝ่ายบัญชี / การเงิน / จัดซื้อ</t>
  </si>
  <si>
    <t>ราคาขาย</t>
  </si>
  <si>
    <t>ราคา RE</t>
  </si>
  <si>
    <t>Exclude Vat</t>
  </si>
  <si>
    <t>Include Vat</t>
  </si>
  <si>
    <t>Silicone 791 (หลอด)   กรุงเทพฯ</t>
  </si>
  <si>
    <t>3DI (หลอดแดง) สีขาว - ชา</t>
  </si>
  <si>
    <t>Dowsil - F4</t>
  </si>
  <si>
    <t>TOPSEAL Professional 430 สีขาว</t>
  </si>
  <si>
    <t>Dowsil - Green Multiple</t>
  </si>
  <si>
    <t>Dowsil - 817</t>
  </si>
  <si>
    <t>R1</t>
  </si>
  <si>
    <t>R2</t>
  </si>
  <si>
    <t>W2</t>
  </si>
  <si>
    <t>W1</t>
  </si>
  <si>
    <t>ร้านค้าส่งทั่วไป</t>
  </si>
  <si>
    <t>ร้านค้าส่งรายใหญ่</t>
  </si>
  <si>
    <t xml:space="preserve">      หยุดจำหน่ายชั่วคราว</t>
  </si>
  <si>
    <t>Sista F130W Plus Acrylic Sealant</t>
  </si>
  <si>
    <t>Sista F130 Plus Acrylic Sealant</t>
  </si>
  <si>
    <t>Sista F134 Plus Highly Elastic Acrylic Sealant</t>
  </si>
  <si>
    <t>Sista Polymer Sealant (หลอด)</t>
  </si>
  <si>
    <t>Sealex SX-1300 สีขาว</t>
  </si>
  <si>
    <t>Bravo 700</t>
  </si>
  <si>
    <t>3DI (หลอดแดง) สีดำ, เทาซาฮาร่า, สักทอง, เมเปิ้ล, บีช</t>
  </si>
  <si>
    <t xml:space="preserve">No : </t>
  </si>
  <si>
    <t xml:space="preserve">Date  : </t>
  </si>
  <si>
    <t>Supplier</t>
  </si>
  <si>
    <t>บริษัท ฟอร์คอนไทย ซีลแล้นท์ จำกัด</t>
  </si>
  <si>
    <t>บริษัท ดาว เคมิคอล ประเทศไทย จำกัด</t>
  </si>
  <si>
    <t>บริษัท บิ๊ก 3 อินดัสทรี่ จำกัด</t>
  </si>
  <si>
    <t>บริษัท บิ๊ก 3 อินดัสทรี่ จำกัด, ร้านสวัสดี (จ.สุราษฎร์ธานี)</t>
  </si>
  <si>
    <t>บริษัท อินโน- คอนส์ (ประเทศไทย) จำกัด</t>
  </si>
  <si>
    <t>บริษัท สหโชควัฒนาการค้า จำกัด</t>
  </si>
  <si>
    <t>Vital Technical Sdn.Bhd.</t>
  </si>
  <si>
    <t>บริษัท เบนนิสัน บิสซิเนส จำกัด</t>
  </si>
  <si>
    <t>บริษัท กรุงเทพ (เจ แอนด์ แอล) จำกัด</t>
  </si>
  <si>
    <t>บริษัท เซ็งชัย ตกแต่ง จำกัด</t>
  </si>
  <si>
    <t>S03020120200000600</t>
  </si>
  <si>
    <t>S03020120500000600</t>
  </si>
  <si>
    <t>S03020120300000600</t>
  </si>
  <si>
    <t>S01010010100000300</t>
  </si>
  <si>
    <t>S01010010200000300</t>
  </si>
  <si>
    <t>S01010010300000300</t>
  </si>
  <si>
    <t>S01010010500000300</t>
  </si>
  <si>
    <t>S01010010600000300</t>
  </si>
  <si>
    <t>S01010010700000300</t>
  </si>
  <si>
    <t>S01010020100000300</t>
  </si>
  <si>
    <t>S01010020200000300</t>
  </si>
  <si>
    <t>S01010020300000300</t>
  </si>
  <si>
    <t>S01010020700000300</t>
  </si>
  <si>
    <t>S01010030100000300</t>
  </si>
  <si>
    <t>S01010030200000300</t>
  </si>
  <si>
    <t>S01010030300000300</t>
  </si>
  <si>
    <t>S01010030400000300</t>
  </si>
  <si>
    <t>S01010030500000300</t>
  </si>
  <si>
    <t>S01010030600000300</t>
  </si>
  <si>
    <t>S01010030700000300</t>
  </si>
  <si>
    <t>S01010040100000300</t>
  </si>
  <si>
    <t>S01010040200000300</t>
  </si>
  <si>
    <t>S09050200200000460</t>
  </si>
  <si>
    <t>S09050200700000460</t>
  </si>
  <si>
    <t>S09050200300000460</t>
  </si>
  <si>
    <t>S09050200900000460</t>
  </si>
  <si>
    <t>S09050201200000460</t>
  </si>
  <si>
    <t>S09050201300000460</t>
  </si>
  <si>
    <t>S09050201400000460</t>
  </si>
  <si>
    <t>S05050220200000470</t>
  </si>
  <si>
    <t>S05050220700000470</t>
  </si>
  <si>
    <t>S05050220300000470</t>
  </si>
  <si>
    <t>S08050240200000460</t>
  </si>
  <si>
    <t>S02050870200000300</t>
  </si>
  <si>
    <t>S02050880900000300</t>
  </si>
  <si>
    <t>S02050881000000300</t>
  </si>
  <si>
    <t>S02050881100000300</t>
  </si>
  <si>
    <t>S02050881200000300</t>
  </si>
  <si>
    <t>S02050990200000300</t>
  </si>
  <si>
    <t>S02040890300000290</t>
  </si>
  <si>
    <t>S06060140700000300</t>
  </si>
  <si>
    <t>S07050230200000430</t>
  </si>
  <si>
    <t>S01010080200000300</t>
  </si>
  <si>
    <t>S01010080300000300</t>
  </si>
  <si>
    <t>S01010080500000300</t>
  </si>
  <si>
    <t>S01010080200000500</t>
  </si>
  <si>
    <t>S01010080300000500</t>
  </si>
  <si>
    <t>S01010080500000500</t>
  </si>
  <si>
    <t>S01010090100000300</t>
  </si>
  <si>
    <t>S01010100300000300</t>
  </si>
  <si>
    <t>S01010100300000600</t>
  </si>
  <si>
    <t>S01010110200000600</t>
  </si>
  <si>
    <t>S01010110300000600</t>
  </si>
  <si>
    <t>S01010110500000600</t>
  </si>
  <si>
    <t>S00070150000000000</t>
  </si>
  <si>
    <t>S09070160800000000</t>
  </si>
  <si>
    <t>S00070170000000000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</si>
</sst>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_-* #,##0.00_-;\-* #,##0.00_-;_-* &quot;-&quot;??_-;_-@_-"/>
    <numFmt numFmtId="165" formatCode="_-* #,##0_-;\-* #,##0_-;_-* &quot;-&quot;??_-;_-@_-"/>
  </numFmts>
  <fonts count="13" x14ac:knownFonts="1">
    <font>
      <sz val="14"/>
      <name val="Cordia New"/>
      <charset val="222"/>
    </font>
    <font>
      <sz val="14"/>
      <name val="Cordia New"/>
      <family val="2"/>
    </font>
    <font>
      <b/>
      <sz val="16"/>
      <name val="Cordia New"/>
      <family val="2"/>
    </font>
    <font>
      <b/>
      <sz val="14"/>
      <name val="Cordia New"/>
      <family val="2"/>
    </font>
    <font>
      <b/>
      <sz val="28"/>
      <name val="Cordia New"/>
      <family val="2"/>
    </font>
    <font>
      <b/>
      <sz val="14"/>
      <color rgb="FFFF0000"/>
      <name val="Cordia New"/>
      <family val="2"/>
    </font>
    <font>
      <b/>
      <sz val="14"/>
      <color theme="1"/>
      <name val="Cordia New"/>
      <family val="2"/>
    </font>
    <font>
      <sz val="14"/>
      <color theme="1"/>
      <name val="Cordia New"/>
      <family val="2"/>
    </font>
    <font>
      <b/>
      <sz val="14"/>
      <color rgb="FF0070C0"/>
      <name val="Cordia New"/>
      <family val="2"/>
    </font>
    <font>
      <sz val="14"/>
      <color rgb="FFFF0000"/>
      <name val="Cordia New"/>
      <family val="2"/>
    </font>
    <font>
      <b/>
      <u/>
      <sz val="14"/>
      <color rgb="FF0070C0"/>
      <name val="Cordia New"/>
      <family val="2"/>
    </font>
    <font>
      <sz val="14"/>
      <color rgb="FF0070C0"/>
      <name val="Cordia New"/>
      <family val="2"/>
    </font>
    <font>
      <b/>
      <sz val="14"/>
      <color theme="1" tint="4.9989318521683403E-2"/>
      <name val="Cordia New"/>
      <family val="2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9">
    <border>
      <left/>
      <right/>
      <top/>
      <bottom/>
      <diagonal/>
    </border>
    <border>
      <left style="double">
        <color indexed="64"/>
      </left>
      <right style="double">
        <color indexed="64"/>
      </right>
      <top style="double">
        <color indexed="64"/>
      </top>
      <bottom style="double">
        <color indexed="64"/>
      </bottom>
      <diagonal/>
    </border>
    <border>
      <left style="double">
        <color indexed="64"/>
      </left>
      <right style="double">
        <color indexed="64"/>
      </right>
      <top style="double">
        <color indexed="64"/>
      </top>
      <bottom/>
      <diagonal/>
    </border>
    <border>
      <left style="double">
        <color indexed="64"/>
      </left>
      <right style="double">
        <color indexed="64"/>
      </right>
      <top/>
      <bottom style="double">
        <color indexed="64"/>
      </bottom>
      <diagonal/>
    </border>
    <border>
      <left style="double">
        <color indexed="64"/>
      </left>
      <right/>
      <top style="double">
        <color indexed="64"/>
      </top>
      <bottom style="double">
        <color indexed="64"/>
      </bottom>
      <diagonal/>
    </border>
    <border>
      <left/>
      <right/>
      <top style="double">
        <color indexed="64"/>
      </top>
      <bottom style="double">
        <color indexed="64"/>
      </bottom>
      <diagonal/>
    </border>
    <border>
      <left/>
      <right style="double">
        <color indexed="64"/>
      </right>
      <top style="double">
        <color indexed="64"/>
      </top>
      <bottom style="double">
        <color indexed="64"/>
      </bottom>
      <diagonal/>
    </border>
    <border>
      <left/>
      <right/>
      <top style="double">
        <color indexed="64"/>
      </top>
      <bottom/>
      <diagonal/>
    </border>
    <border>
      <left/>
      <right/>
      <top/>
      <bottom style="double">
        <color indexed="64"/>
      </bottom>
      <diagonal/>
    </border>
  </borders>
  <cellStyleXfs count="2">
    <xf numFmtId="0" fontId="0" fillId="0" borderId="0"/>
    <xf numFmtId="164" fontId="1" fillId="0" borderId="0" applyFont="0" applyFill="0" applyBorder="0" applyAlignment="0" applyProtection="0"/>
  </cellStyleXfs>
  <cellXfs count="67">
    <xf numFmtId="0" fontId="0" fillId="0" borderId="0" xfId="0"/>
    <xf numFmtId="0" fontId="2" fillId="0" borderId="0" xfId="0" applyFont="1"/>
    <xf numFmtId="165" fontId="0" fillId="0" borderId="0" xfId="1" applyNumberFormat="1" applyFont="1"/>
    <xf numFmtId="0" fontId="3" fillId="0" borderId="1" xfId="0" applyFont="1" applyBorder="1" applyAlignment="1">
      <alignment horizontal="center"/>
    </xf>
    <xf numFmtId="165" fontId="3" fillId="0" borderId="1" xfId="1" applyNumberFormat="1" applyFont="1" applyBorder="1" applyAlignment="1">
      <alignment horizontal="center"/>
    </xf>
    <xf numFmtId="0" fontId="4" fillId="0" borderId="0" xfId="0" applyFont="1"/>
    <xf numFmtId="165" fontId="1" fillId="0" borderId="0" xfId="1" applyNumberFormat="1" applyFont="1"/>
    <xf numFmtId="0" fontId="1" fillId="0" borderId="0" xfId="0" applyFont="1"/>
    <xf numFmtId="0" fontId="0" fillId="0" borderId="0" xfId="0" applyAlignment="1">
      <alignment horizontal="center"/>
    </xf>
    <xf numFmtId="164" fontId="0" fillId="0" borderId="0" xfId="1" applyFont="1"/>
    <xf numFmtId="0" fontId="8" fillId="0" borderId="0" xfId="0" applyFont="1"/>
    <xf numFmtId="0" fontId="1" fillId="0" borderId="0" xfId="0" applyFont="1" applyAlignment="1">
      <alignment horizontal="center"/>
    </xf>
    <xf numFmtId="0" fontId="6" fillId="2" borderId="0" xfId="0" applyFont="1" applyFill="1" applyAlignment="1">
      <alignment horizontal="left" vertical="center"/>
    </xf>
    <xf numFmtId="2" fontId="7" fillId="2" borderId="0" xfId="0" applyNumberFormat="1" applyFont="1" applyFill="1" applyAlignment="1">
      <alignment horizontal="center"/>
    </xf>
    <xf numFmtId="165" fontId="7" fillId="2" borderId="0" xfId="1" applyNumberFormat="1" applyFont="1" applyFill="1" applyBorder="1" applyAlignment="1">
      <alignment horizontal="center"/>
    </xf>
    <xf numFmtId="164" fontId="0" fillId="0" borderId="0" xfId="0" applyNumberFormat="1"/>
    <xf numFmtId="0" fontId="3" fillId="0" borderId="0" xfId="0" applyFont="1" applyAlignment="1">
      <alignment horizontal="center"/>
    </xf>
    <xf numFmtId="0" fontId="10" fillId="0" borderId="0" xfId="0" applyFont="1"/>
    <xf numFmtId="165" fontId="11" fillId="0" borderId="0" xfId="1" applyNumberFormat="1" applyFont="1"/>
    <xf numFmtId="0" fontId="6" fillId="0" borderId="0" xfId="0" applyFont="1"/>
    <xf numFmtId="0" fontId="5" fillId="0" borderId="0" xfId="0" applyFont="1"/>
    <xf numFmtId="0" fontId="3" fillId="0" borderId="2" xfId="0" applyFont="1" applyBorder="1" applyAlignment="1">
      <alignment horizontal="center" vertical="center" wrapText="1"/>
    </xf>
    <xf numFmtId="0" fontId="6" fillId="2" borderId="4" xfId="0" applyFont="1" applyFill="1" applyBorder="1" applyAlignment="1">
      <alignment horizontal="left" vertical="center"/>
    </xf>
    <xf numFmtId="0" fontId="6" fillId="0" borderId="1" xfId="0" applyFont="1" applyBorder="1" applyAlignment="1">
      <alignment horizontal="left" vertical="center"/>
    </xf>
    <xf numFmtId="2" fontId="7" fillId="0" borderId="1" xfId="0" applyNumberFormat="1" applyFont="1" applyBorder="1" applyAlignment="1">
      <alignment horizontal="center"/>
    </xf>
    <xf numFmtId="0" fontId="6" fillId="0" borderId="7" xfId="0" applyFont="1" applyBorder="1" applyAlignment="1">
      <alignment horizontal="left" vertical="center"/>
    </xf>
    <xf numFmtId="2" fontId="7" fillId="0" borderId="7" xfId="0" applyNumberFormat="1" applyFont="1" applyBorder="1" applyAlignment="1">
      <alignment horizontal="center"/>
    </xf>
    <xf numFmtId="165" fontId="7" fillId="0" borderId="7" xfId="1" applyNumberFormat="1" applyFont="1" applyFill="1" applyBorder="1" applyAlignment="1">
      <alignment horizontal="center"/>
    </xf>
    <xf numFmtId="165" fontId="3" fillId="0" borderId="0" xfId="1" applyNumberFormat="1" applyFont="1" applyFill="1" applyBorder="1" applyAlignment="1">
      <alignment horizontal="center"/>
    </xf>
    <xf numFmtId="165" fontId="1" fillId="0" borderId="0" xfId="1" applyNumberFormat="1" applyFont="1" applyFill="1" applyBorder="1" applyAlignment="1">
      <alignment horizontal="center"/>
    </xf>
    <xf numFmtId="165" fontId="9" fillId="0" borderId="0" xfId="1" applyNumberFormat="1" applyFont="1" applyFill="1" applyBorder="1" applyAlignment="1">
      <alignment horizontal="center"/>
    </xf>
    <xf numFmtId="0" fontId="3" fillId="0" borderId="1" xfId="0" applyFont="1" applyBorder="1" applyAlignment="1">
      <alignment horizontal="center" vertical="center"/>
    </xf>
    <xf numFmtId="0" fontId="3" fillId="0" borderId="2" xfId="0" applyFont="1" applyBorder="1" applyAlignment="1">
      <alignment horizontal="center" vertical="center"/>
    </xf>
    <xf numFmtId="0" fontId="6" fillId="0" borderId="8" xfId="0" applyFont="1" applyBorder="1" applyAlignment="1">
      <alignment horizontal="left" vertical="center"/>
    </xf>
    <xf numFmtId="2" fontId="7" fillId="0" borderId="8" xfId="0" applyNumberFormat="1" applyFont="1" applyBorder="1" applyAlignment="1">
      <alignment horizontal="center"/>
    </xf>
    <xf numFmtId="0" fontId="6" fillId="0" borderId="1" xfId="0" applyFont="1" applyBorder="1" applyAlignment="1">
      <alignment horizontal="center" vertical="center"/>
    </xf>
    <xf numFmtId="0" fontId="7" fillId="0" borderId="1" xfId="0" applyFont="1" applyBorder="1" applyAlignment="1">
      <alignment horizontal="center" vertical="center"/>
    </xf>
    <xf numFmtId="2" fontId="7" fillId="0" borderId="1" xfId="0" applyNumberFormat="1" applyFont="1" applyBorder="1" applyAlignment="1">
      <alignment horizontal="center" vertical="center"/>
    </xf>
    <xf numFmtId="165" fontId="3" fillId="0" borderId="0" xfId="1" applyNumberFormat="1" applyFont="1"/>
    <xf numFmtId="0" fontId="12" fillId="0" borderId="1" xfId="0" applyFont="1" applyBorder="1" applyAlignment="1">
      <alignment horizontal="left" vertical="center"/>
    </xf>
    <xf numFmtId="165" fontId="5" fillId="0" borderId="0" xfId="1" applyNumberFormat="1" applyFont="1" applyAlignment="1">
      <alignment horizontal="center"/>
    </xf>
    <xf numFmtId="164" fontId="7" fillId="0" borderId="1" xfId="1" applyFont="1" applyBorder="1" applyAlignment="1">
      <alignment horizontal="right"/>
    </xf>
    <xf numFmtId="164" fontId="7" fillId="0" borderId="1" xfId="1" applyFont="1" applyFill="1" applyBorder="1" applyAlignment="1">
      <alignment horizontal="center"/>
    </xf>
    <xf numFmtId="0" fontId="7" fillId="0" borderId="1" xfId="0" applyFont="1" applyBorder="1" applyAlignment="1">
      <alignment horizontal="left" vertical="center"/>
    </xf>
    <xf numFmtId="0" fontId="6" fillId="2" borderId="1" xfId="0" applyFont="1" applyFill="1" applyBorder="1" applyAlignment="1">
      <alignment horizontal="left" vertical="center"/>
    </xf>
    <xf numFmtId="165" fontId="0" fillId="0" borderId="0" xfId="1" applyNumberFormat="1" applyFont="1" applyFill="1"/>
    <xf numFmtId="2" fontId="7" fillId="2" borderId="1" xfId="0" applyNumberFormat="1" applyFont="1" applyFill="1" applyBorder="1" applyAlignment="1">
      <alignment horizontal="center"/>
    </xf>
    <xf numFmtId="2" fontId="7" fillId="2" borderId="5" xfId="0" applyNumberFormat="1" applyFont="1" applyFill="1" applyBorder="1" applyAlignment="1">
      <alignment horizontal="center"/>
    </xf>
    <xf numFmtId="164" fontId="7" fillId="0" borderId="1" xfId="1" applyFont="1" applyFill="1" applyBorder="1" applyAlignment="1">
      <alignment vertical="center" wrapText="1"/>
    </xf>
    <xf numFmtId="164" fontId="7" fillId="0" borderId="1" xfId="1" applyFont="1" applyFill="1" applyBorder="1" applyAlignment="1">
      <alignment horizontal="right"/>
    </xf>
    <xf numFmtId="164" fontId="7" fillId="2" borderId="1" xfId="1" applyFont="1" applyFill="1" applyBorder="1" applyAlignment="1">
      <alignment horizontal="right" indent="1"/>
    </xf>
    <xf numFmtId="164" fontId="7" fillId="2" borderId="1" xfId="1" applyFont="1" applyFill="1" applyBorder="1" applyAlignment="1">
      <alignment horizontal="center"/>
    </xf>
    <xf numFmtId="164" fontId="7" fillId="2" borderId="5" xfId="1" applyFont="1" applyFill="1" applyBorder="1" applyAlignment="1">
      <alignment horizontal="right" indent="1"/>
    </xf>
    <xf numFmtId="164" fontId="7" fillId="2" borderId="5" xfId="1" applyFont="1" applyFill="1" applyBorder="1" applyAlignment="1">
      <alignment horizontal="center"/>
    </xf>
    <xf numFmtId="164" fontId="9" fillId="0" borderId="1" xfId="1" applyFont="1" applyBorder="1" applyAlignment="1">
      <alignment horizontal="right" vertical="center"/>
    </xf>
    <xf numFmtId="164" fontId="9" fillId="0" borderId="1" xfId="1" applyFont="1" applyFill="1" applyBorder="1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165" fontId="3" fillId="0" borderId="4" xfId="1" applyNumberFormat="1" applyFont="1" applyBorder="1" applyAlignment="1">
      <alignment horizontal="center"/>
    </xf>
    <xf numFmtId="165" fontId="3" fillId="0" borderId="5" xfId="1" applyNumberFormat="1" applyFont="1" applyBorder="1" applyAlignment="1">
      <alignment horizontal="center"/>
    </xf>
    <xf numFmtId="165" fontId="3" fillId="0" borderId="6" xfId="1" applyNumberFormat="1" applyFont="1" applyBorder="1" applyAlignment="1">
      <alignment horizontal="center"/>
    </xf>
    <xf numFmtId="0" fontId="3" fillId="2" borderId="2" xfId="0" applyFont="1" applyFill="1" applyBorder="1" applyAlignment="1">
      <alignment horizontal="center" vertical="center" wrapText="1"/>
    </xf>
    <xf numFmtId="0" fontId="3" fillId="2" borderId="3" xfId="0" applyFont="1" applyFill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/>
    </xf>
    <xf numFmtId="0" fontId="3" fillId="0" borderId="0" xfId="0" applyFont="1" applyAlignment="1">
      <alignment horizontal="center" vertical="center" wrapText="1"/>
    </xf>
    <xf numFmtId="0" fontId="3" fillId="0" borderId="4" xfId="0" applyFont="1" applyBorder="1" applyAlignment="1">
      <alignment horizontal="center"/>
    </xf>
    <xf numFmtId="0" fontId="3" fillId="0" borderId="6" xfId="0" applyFont="1" applyBorder="1" applyAlignment="1">
      <alignment horizontal="center"/>
    </xf>
  </cellXfs>
  <cellStyles count="2">
    <cellStyle name="Comma" xfId="1" builtinId="3"/>
    <cellStyle name="Normal" xfId="0" builtinId="0"/>
  </cellStyles>
  <dxfs count="0"/>
  <tableStyles count="0" defaultTableStyle="TableStyleMedium9" defaultPivotStyle="PivotStyleLight16"/>
  <colors>
    <mruColors>
      <color rgb="FFFF3300"/>
      <color rgb="FFFF33CC"/>
      <color rgb="FFFF0066"/>
      <color rgb="FFABDB77"/>
      <color rgb="FFE9E6D7"/>
      <color rgb="FFCCDDAB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106680</xdr:colOff>
      <xdr:row>15</xdr:row>
      <xdr:rowOff>15240</xdr:rowOff>
    </xdr:from>
    <xdr:to>
      <xdr:col>9</xdr:col>
      <xdr:colOff>190500</xdr:colOff>
      <xdr:row>17</xdr:row>
      <xdr:rowOff>274320</xdr:rowOff>
    </xdr:to>
    <xdr:sp macro="" textlink="">
      <xdr:nvSpPr>
        <xdr:cNvPr id="2" name="Right Brace 1">
          <a:extLst>
            <a:ext uri="{FF2B5EF4-FFF2-40B4-BE49-F238E27FC236}">
              <a16:creationId xmlns:a16="http://schemas.microsoft.com/office/drawing/2014/main" id="{F323E064-1EE3-4BA1-B26B-B4148B131E13}"/>
            </a:ext>
          </a:extLst>
        </xdr:cNvPr>
        <xdr:cNvSpPr/>
      </xdr:nvSpPr>
      <xdr:spPr bwMode="auto">
        <a:xfrm>
          <a:off x="8595360" y="4358640"/>
          <a:ext cx="83820" cy="0"/>
        </a:xfrm>
        <a:prstGeom prst="rightBrace">
          <a:avLst/>
        </a:pr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xdr:spPr>
      <xdr:txBody>
        <a:bodyPr vertOverflow="clip" wrap="square" lIns="18288" tIns="0" rIns="0" bIns="0" rtlCol="0" anchor="ctr" upright="1"/>
        <a:lstStyle/>
        <a:p>
          <a:pPr algn="l"/>
          <a:endParaRPr lang="en-US" sz="1100"/>
        </a:p>
      </xdr:txBody>
    </xdr:sp>
    <xdr:clientData/>
  </xdr:twoCellAnchor>
  <xdr:twoCellAnchor>
    <xdr:from>
      <xdr:col>9</xdr:col>
      <xdr:colOff>106680</xdr:colOff>
      <xdr:row>15</xdr:row>
      <xdr:rowOff>15240</xdr:rowOff>
    </xdr:from>
    <xdr:to>
      <xdr:col>9</xdr:col>
      <xdr:colOff>190500</xdr:colOff>
      <xdr:row>17</xdr:row>
      <xdr:rowOff>274320</xdr:rowOff>
    </xdr:to>
    <xdr:sp macro="" textlink="">
      <xdr:nvSpPr>
        <xdr:cNvPr id="3" name="Right Brace 2">
          <a:extLst>
            <a:ext uri="{FF2B5EF4-FFF2-40B4-BE49-F238E27FC236}">
              <a16:creationId xmlns:a16="http://schemas.microsoft.com/office/drawing/2014/main" id="{45EF6F15-246D-47C4-8B50-05C61F277271}"/>
            </a:ext>
          </a:extLst>
        </xdr:cNvPr>
        <xdr:cNvSpPr/>
      </xdr:nvSpPr>
      <xdr:spPr bwMode="auto">
        <a:xfrm>
          <a:off x="8595360" y="4358640"/>
          <a:ext cx="83820" cy="0"/>
        </a:xfrm>
        <a:prstGeom prst="rightBrace">
          <a:avLst/>
        </a:pr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xdr:spPr>
      <xdr:txBody>
        <a:bodyPr vertOverflow="clip" wrap="square" lIns="18288" tIns="0" rIns="0" bIns="0" rtlCol="0" anchor="ctr" upright="1"/>
        <a:lstStyle/>
        <a:p>
          <a:pPr algn="l"/>
          <a:endParaRPr lang="en-US" sz="1100"/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38DE55-259A-4B59-B9A2-628D4F28FC19}">
  <sheetPr>
    <tabColor rgb="FFFFC000"/>
  </sheetPr>
  <dimension ref="A1:O64"/>
  <sheetViews>
    <sheetView tabSelected="1" workbookViewId="0">
      <selection activeCell="E14" sqref="E14"/>
    </sheetView>
  </sheetViews>
  <sheetFormatPr baseColWidth="10" defaultColWidth="9" defaultRowHeight="19" x14ac:dyDescent="0.25"/>
  <cols>
    <col min="1" max="1" width="2" style="8" customWidth="1"/>
    <col min="2" max="2" width="52.59765625" style="8" customWidth="1"/>
    <col min="3" max="3" width="48.19921875" customWidth="1"/>
    <col min="4" max="5" width="10.796875" customWidth="1"/>
    <col min="6" max="6" width="15.796875" customWidth="1"/>
    <col min="7" max="9" width="15.796875" style="2" customWidth="1"/>
    <col min="10" max="10" width="5" style="2" customWidth="1"/>
  </cols>
  <sheetData>
    <row r="1" spans="2:15" ht="36" x14ac:dyDescent="0.4">
      <c r="C1" s="5" t="s">
        <v>0</v>
      </c>
      <c r="D1" s="5"/>
      <c r="E1" s="5"/>
      <c r="F1" s="5"/>
      <c r="H1" s="6" t="s">
        <v>55</v>
      </c>
    </row>
    <row r="2" spans="2:15" x14ac:dyDescent="0.25">
      <c r="C2" s="7" t="s">
        <v>29</v>
      </c>
      <c r="D2" s="7"/>
      <c r="E2" s="7"/>
      <c r="F2" s="7"/>
      <c r="H2" s="6" t="s">
        <v>56</v>
      </c>
    </row>
    <row r="3" spans="2:15" x14ac:dyDescent="0.25">
      <c r="C3" s="7" t="s">
        <v>30</v>
      </c>
      <c r="D3" s="7"/>
      <c r="E3" s="7"/>
      <c r="F3" s="7"/>
    </row>
    <row r="4" spans="2:15" ht="21" x14ac:dyDescent="0.25">
      <c r="C4" s="1" t="s">
        <v>1</v>
      </c>
      <c r="D4" s="1"/>
      <c r="E4" s="1"/>
      <c r="F4" s="1"/>
    </row>
    <row r="5" spans="2:15" ht="18" customHeight="1" x14ac:dyDescent="0.25">
      <c r="C5" t="s">
        <v>2</v>
      </c>
    </row>
    <row r="6" spans="2:15" ht="18" customHeight="1" thickBot="1" x14ac:dyDescent="0.3">
      <c r="C6" t="s">
        <v>7</v>
      </c>
    </row>
    <row r="7" spans="2:15" ht="23.25" customHeight="1" thickTop="1" thickBot="1" x14ac:dyDescent="0.3">
      <c r="F7" s="58" t="s">
        <v>31</v>
      </c>
      <c r="G7" s="59"/>
      <c r="H7" s="59"/>
      <c r="I7" s="60"/>
    </row>
    <row r="8" spans="2:15" ht="23.25" customHeight="1" thickTop="1" thickBot="1" x14ac:dyDescent="0.3">
      <c r="C8" s="61" t="s">
        <v>31</v>
      </c>
      <c r="D8" s="63" t="s">
        <v>32</v>
      </c>
      <c r="E8" s="63"/>
      <c r="F8" s="21" t="s">
        <v>44</v>
      </c>
      <c r="G8" s="4" t="s">
        <v>43</v>
      </c>
      <c r="H8" s="4" t="s">
        <v>41</v>
      </c>
      <c r="I8" s="32" t="s">
        <v>42</v>
      </c>
      <c r="K8" s="28"/>
      <c r="L8" s="28"/>
      <c r="M8" s="28"/>
      <c r="N8" s="64"/>
    </row>
    <row r="9" spans="2:15" ht="21" thickTop="1" thickBot="1" x14ac:dyDescent="0.3">
      <c r="B9" s="11" t="s">
        <v>57</v>
      </c>
      <c r="C9" s="62"/>
      <c r="D9" s="3" t="s">
        <v>33</v>
      </c>
      <c r="E9" s="3" t="s">
        <v>34</v>
      </c>
      <c r="F9" s="31" t="s">
        <v>46</v>
      </c>
      <c r="G9" s="65" t="s">
        <v>45</v>
      </c>
      <c r="H9" s="66"/>
      <c r="I9" s="31" t="s">
        <v>26</v>
      </c>
      <c r="K9" s="16"/>
      <c r="L9" s="16"/>
      <c r="M9" s="16"/>
      <c r="N9" s="64"/>
    </row>
    <row r="10" spans="2:15" ht="21" thickTop="1" thickBot="1" x14ac:dyDescent="0.3">
      <c r="B10" s="56" t="s">
        <v>58</v>
      </c>
      <c r="C10" s="23" t="s">
        <v>8</v>
      </c>
      <c r="D10" s="24"/>
      <c r="E10" s="24">
        <f>D10*1.07</f>
        <v>0</v>
      </c>
      <c r="F10" s="41">
        <v>145</v>
      </c>
      <c r="G10" s="42">
        <v>155</v>
      </c>
      <c r="H10" s="42">
        <v>160</v>
      </c>
      <c r="I10" s="42">
        <v>165</v>
      </c>
      <c r="K10" s="29"/>
      <c r="L10" s="29"/>
      <c r="M10" s="29"/>
      <c r="N10" s="29"/>
    </row>
    <row r="11" spans="2:15" ht="21" thickTop="1" thickBot="1" x14ac:dyDescent="0.3">
      <c r="B11" s="56" t="s">
        <v>58</v>
      </c>
      <c r="C11" s="23" t="s">
        <v>9</v>
      </c>
      <c r="D11" s="24"/>
      <c r="E11" s="24">
        <f t="shared" ref="E11:E15" si="0">D11*1.07</f>
        <v>0</v>
      </c>
      <c r="F11" s="41">
        <v>155</v>
      </c>
      <c r="G11" s="42">
        <v>165</v>
      </c>
      <c r="H11" s="42">
        <v>170</v>
      </c>
      <c r="I11" s="42">
        <v>175</v>
      </c>
      <c r="K11" s="29"/>
      <c r="L11" s="29"/>
      <c r="M11" s="29"/>
      <c r="N11" s="29"/>
    </row>
    <row r="12" spans="2:15" ht="21" thickTop="1" thickBot="1" x14ac:dyDescent="0.3">
      <c r="B12" s="56" t="s">
        <v>59</v>
      </c>
      <c r="C12" s="23" t="s">
        <v>10</v>
      </c>
      <c r="D12" s="24"/>
      <c r="E12" s="24">
        <f t="shared" si="0"/>
        <v>0</v>
      </c>
      <c r="F12" s="41">
        <v>57</v>
      </c>
      <c r="G12" s="42">
        <v>59</v>
      </c>
      <c r="H12" s="42">
        <v>66</v>
      </c>
      <c r="I12" s="42">
        <v>68</v>
      </c>
      <c r="K12" s="30"/>
      <c r="L12" s="30"/>
      <c r="M12" s="30"/>
      <c r="N12" s="30"/>
      <c r="O12" s="15"/>
    </row>
    <row r="13" spans="2:15" ht="21" thickTop="1" thickBot="1" x14ac:dyDescent="0.3">
      <c r="B13" s="56" t="s">
        <v>59</v>
      </c>
      <c r="C13" s="23" t="s">
        <v>11</v>
      </c>
      <c r="D13" s="24"/>
      <c r="E13" s="24">
        <f t="shared" si="0"/>
        <v>0</v>
      </c>
      <c r="F13" s="41">
        <v>76</v>
      </c>
      <c r="G13" s="42">
        <v>81</v>
      </c>
      <c r="H13" s="42">
        <v>88</v>
      </c>
      <c r="I13" s="42">
        <v>90</v>
      </c>
      <c r="K13" s="30"/>
      <c r="L13" s="30"/>
      <c r="M13" s="30"/>
      <c r="N13" s="30"/>
      <c r="O13" s="15"/>
    </row>
    <row r="14" spans="2:15" ht="21" thickTop="1" thickBot="1" x14ac:dyDescent="0.3">
      <c r="B14" s="56" t="s">
        <v>59</v>
      </c>
      <c r="C14" s="23" t="s">
        <v>12</v>
      </c>
      <c r="D14" s="24"/>
      <c r="E14" s="24">
        <f t="shared" si="0"/>
        <v>0</v>
      </c>
      <c r="F14" s="41">
        <v>77</v>
      </c>
      <c r="G14" s="42">
        <v>82</v>
      </c>
      <c r="H14" s="42">
        <v>89</v>
      </c>
      <c r="I14" s="42">
        <v>91</v>
      </c>
      <c r="K14" s="30"/>
      <c r="L14" s="30"/>
      <c r="M14" s="30"/>
      <c r="N14" s="30"/>
      <c r="O14" s="15"/>
    </row>
    <row r="15" spans="2:15" ht="21" thickTop="1" thickBot="1" x14ac:dyDescent="0.3">
      <c r="B15" s="56" t="s">
        <v>59</v>
      </c>
      <c r="C15" s="23" t="s">
        <v>13</v>
      </c>
      <c r="D15" s="24"/>
      <c r="E15" s="24">
        <f t="shared" si="0"/>
        <v>0</v>
      </c>
      <c r="F15" s="41">
        <v>79</v>
      </c>
      <c r="G15" s="42">
        <v>87</v>
      </c>
      <c r="H15" s="42">
        <v>94</v>
      </c>
      <c r="I15" s="42">
        <v>96</v>
      </c>
      <c r="K15" s="30"/>
      <c r="L15" s="30"/>
      <c r="M15" s="30"/>
      <c r="N15" s="30"/>
      <c r="O15" s="15"/>
    </row>
    <row r="16" spans="2:15" ht="21" hidden="1" thickTop="1" thickBot="1" x14ac:dyDescent="0.3">
      <c r="C16" s="23" t="s">
        <v>37</v>
      </c>
      <c r="D16" s="24"/>
      <c r="E16" s="24"/>
      <c r="F16" s="41"/>
      <c r="G16" s="42"/>
      <c r="H16" s="42"/>
      <c r="I16" s="42"/>
      <c r="K16" s="30"/>
      <c r="L16" s="30"/>
      <c r="M16" s="30"/>
      <c r="N16" s="30"/>
      <c r="O16" s="15"/>
    </row>
    <row r="17" spans="2:15" ht="21" hidden="1" thickTop="1" thickBot="1" x14ac:dyDescent="0.3">
      <c r="C17" s="23" t="s">
        <v>39</v>
      </c>
      <c r="D17" s="24"/>
      <c r="E17" s="24"/>
      <c r="F17" s="41"/>
      <c r="G17" s="42"/>
      <c r="H17" s="42"/>
      <c r="I17" s="42"/>
      <c r="J17" s="38" t="s">
        <v>47</v>
      </c>
      <c r="K17" s="30"/>
      <c r="L17" s="30"/>
      <c r="M17" s="30"/>
      <c r="N17" s="30"/>
      <c r="O17" s="15"/>
    </row>
    <row r="18" spans="2:15" ht="21" hidden="1" thickTop="1" thickBot="1" x14ac:dyDescent="0.3">
      <c r="C18" s="23" t="s">
        <v>40</v>
      </c>
      <c r="D18" s="24"/>
      <c r="E18" s="24"/>
      <c r="F18" s="41"/>
      <c r="G18" s="42"/>
      <c r="H18" s="42"/>
      <c r="I18" s="42"/>
      <c r="K18" s="30"/>
      <c r="L18" s="30"/>
      <c r="M18" s="30"/>
      <c r="N18" s="30"/>
      <c r="O18" s="15"/>
    </row>
    <row r="19" spans="2:15" ht="21" thickTop="1" thickBot="1" x14ac:dyDescent="0.3">
      <c r="B19" s="57" t="s">
        <v>61</v>
      </c>
      <c r="C19" s="23" t="s">
        <v>36</v>
      </c>
      <c r="D19" s="24"/>
      <c r="E19" s="24">
        <f t="shared" ref="E19:E20" si="1">D19*1.07</f>
        <v>0</v>
      </c>
      <c r="F19" s="41">
        <v>30</v>
      </c>
      <c r="G19" s="42">
        <v>31</v>
      </c>
      <c r="H19" s="42">
        <v>33</v>
      </c>
      <c r="I19" s="42">
        <v>34</v>
      </c>
      <c r="K19" s="7"/>
      <c r="L19" s="7"/>
      <c r="M19" s="7"/>
      <c r="N19" s="7"/>
    </row>
    <row r="20" spans="2:15" ht="21" thickTop="1" thickBot="1" x14ac:dyDescent="0.3">
      <c r="B20" s="56" t="s">
        <v>60</v>
      </c>
      <c r="C20" s="23" t="s">
        <v>54</v>
      </c>
      <c r="D20" s="24"/>
      <c r="E20" s="24">
        <f t="shared" si="1"/>
        <v>0</v>
      </c>
      <c r="F20" s="41">
        <v>33</v>
      </c>
      <c r="G20" s="42">
        <v>34</v>
      </c>
      <c r="H20" s="42">
        <v>35</v>
      </c>
      <c r="I20" s="42">
        <v>36</v>
      </c>
    </row>
    <row r="21" spans="2:15" ht="21" thickTop="1" thickBot="1" x14ac:dyDescent="0.3">
      <c r="B21" s="56" t="s">
        <v>58</v>
      </c>
      <c r="C21" s="23" t="s">
        <v>27</v>
      </c>
      <c r="D21" s="24"/>
      <c r="E21" s="24">
        <f t="shared" ref="E21:E24" si="2">D21*1.07</f>
        <v>0</v>
      </c>
      <c r="F21" s="41">
        <v>27.5</v>
      </c>
      <c r="G21" s="42">
        <v>28</v>
      </c>
      <c r="H21" s="42">
        <v>29</v>
      </c>
      <c r="I21" s="42">
        <v>30</v>
      </c>
    </row>
    <row r="22" spans="2:15" ht="21" thickTop="1" thickBot="1" x14ac:dyDescent="0.3">
      <c r="B22" s="56" t="s">
        <v>58</v>
      </c>
      <c r="C22" s="23" t="s">
        <v>28</v>
      </c>
      <c r="D22" s="24"/>
      <c r="E22" s="24">
        <f t="shared" si="2"/>
        <v>0</v>
      </c>
      <c r="F22" s="41">
        <v>29.5</v>
      </c>
      <c r="G22" s="42">
        <v>30</v>
      </c>
      <c r="H22" s="42">
        <v>31</v>
      </c>
      <c r="I22" s="42">
        <v>32</v>
      </c>
    </row>
    <row r="23" spans="2:15" ht="21" hidden="1" thickTop="1" thickBot="1" x14ac:dyDescent="0.3">
      <c r="C23" s="43" t="s">
        <v>38</v>
      </c>
      <c r="D23" s="24"/>
      <c r="E23" s="24">
        <f t="shared" si="2"/>
        <v>0</v>
      </c>
      <c r="F23" s="41">
        <v>23.75</v>
      </c>
      <c r="G23" s="42">
        <v>23.75</v>
      </c>
      <c r="H23" s="48">
        <v>24</v>
      </c>
      <c r="I23" s="48">
        <v>24</v>
      </c>
    </row>
    <row r="24" spans="2:15" ht="21" thickTop="1" thickBot="1" x14ac:dyDescent="0.3">
      <c r="B24" s="56" t="s">
        <v>62</v>
      </c>
      <c r="C24" s="23" t="s">
        <v>52</v>
      </c>
      <c r="D24" s="24"/>
      <c r="E24" s="24">
        <f t="shared" si="2"/>
        <v>0</v>
      </c>
      <c r="F24" s="49">
        <v>26</v>
      </c>
      <c r="G24" s="42">
        <v>27</v>
      </c>
      <c r="H24" s="48">
        <v>28</v>
      </c>
      <c r="I24" s="48">
        <v>30</v>
      </c>
      <c r="J24" s="40"/>
    </row>
    <row r="25" spans="2:15" ht="21" thickTop="1" thickBot="1" x14ac:dyDescent="0.3">
      <c r="B25" s="56" t="s">
        <v>63</v>
      </c>
      <c r="C25" s="23" t="s">
        <v>49</v>
      </c>
      <c r="D25" s="24"/>
      <c r="E25" s="24">
        <f>D25*1.07</f>
        <v>0</v>
      </c>
      <c r="F25" s="41">
        <v>80</v>
      </c>
      <c r="G25" s="42">
        <v>85</v>
      </c>
      <c r="H25" s="48">
        <v>90</v>
      </c>
      <c r="I25" s="48">
        <v>98</v>
      </c>
    </row>
    <row r="26" spans="2:15" ht="21" thickTop="1" thickBot="1" x14ac:dyDescent="0.3">
      <c r="B26" s="56" t="s">
        <v>63</v>
      </c>
      <c r="C26" s="23" t="s">
        <v>48</v>
      </c>
      <c r="D26" s="24"/>
      <c r="E26" s="24">
        <f t="shared" ref="E26:E30" si="3">D26*1.07</f>
        <v>0</v>
      </c>
      <c r="F26" s="41">
        <v>80</v>
      </c>
      <c r="G26" s="42">
        <v>85</v>
      </c>
      <c r="H26" s="48">
        <v>90</v>
      </c>
      <c r="I26" s="48">
        <v>98</v>
      </c>
    </row>
    <row r="27" spans="2:15" ht="21" thickTop="1" thickBot="1" x14ac:dyDescent="0.3">
      <c r="B27" s="56" t="s">
        <v>63</v>
      </c>
      <c r="C27" s="23" t="s">
        <v>50</v>
      </c>
      <c r="D27" s="24"/>
      <c r="E27" s="24">
        <f t="shared" si="3"/>
        <v>0</v>
      </c>
      <c r="F27" s="41">
        <v>90</v>
      </c>
      <c r="G27" s="42">
        <v>95</v>
      </c>
      <c r="H27" s="48">
        <v>100</v>
      </c>
      <c r="I27" s="48">
        <v>109</v>
      </c>
    </row>
    <row r="28" spans="2:15" ht="21" thickTop="1" thickBot="1" x14ac:dyDescent="0.3">
      <c r="B28" s="56" t="s">
        <v>63</v>
      </c>
      <c r="C28" s="23" t="s">
        <v>51</v>
      </c>
      <c r="D28" s="24"/>
      <c r="E28" s="24">
        <f t="shared" si="3"/>
        <v>0</v>
      </c>
      <c r="F28" s="41">
        <v>200</v>
      </c>
      <c r="G28" s="42">
        <v>205</v>
      </c>
      <c r="H28" s="48">
        <v>210</v>
      </c>
      <c r="I28" s="48">
        <v>219</v>
      </c>
    </row>
    <row r="29" spans="2:15" ht="21" thickTop="1" thickBot="1" x14ac:dyDescent="0.3">
      <c r="B29" s="56" t="s">
        <v>64</v>
      </c>
      <c r="C29" s="39" t="s">
        <v>3</v>
      </c>
      <c r="D29" s="24"/>
      <c r="E29" s="24">
        <f>D29*1.07</f>
        <v>0</v>
      </c>
      <c r="F29" s="41">
        <v>51</v>
      </c>
      <c r="G29" s="42">
        <v>63</v>
      </c>
      <c r="H29" s="42">
        <v>68</v>
      </c>
      <c r="I29" s="42">
        <v>78</v>
      </c>
    </row>
    <row r="30" spans="2:15" ht="21" thickTop="1" thickBot="1" x14ac:dyDescent="0.3">
      <c r="B30" s="56" t="s">
        <v>65</v>
      </c>
      <c r="C30" s="39" t="s">
        <v>53</v>
      </c>
      <c r="D30" s="24"/>
      <c r="E30" s="24">
        <f t="shared" si="3"/>
        <v>0</v>
      </c>
      <c r="F30" s="49">
        <v>29</v>
      </c>
      <c r="G30" s="42">
        <v>30</v>
      </c>
      <c r="H30" s="42">
        <v>31</v>
      </c>
      <c r="I30" s="42">
        <v>33</v>
      </c>
      <c r="J30" s="45"/>
    </row>
    <row r="31" spans="2:15" ht="10.5" customHeight="1" thickTop="1" thickBot="1" x14ac:dyDescent="0.3">
      <c r="C31" s="25"/>
      <c r="D31" s="26"/>
      <c r="E31" s="26"/>
      <c r="F31" s="26"/>
      <c r="G31" s="27"/>
      <c r="H31" s="27"/>
      <c r="I31" s="27"/>
    </row>
    <row r="32" spans="2:15" ht="23.25" customHeight="1" thickTop="1" thickBot="1" x14ac:dyDescent="0.3">
      <c r="C32" s="33"/>
      <c r="D32" s="34"/>
      <c r="E32" s="34"/>
      <c r="F32" s="58" t="s">
        <v>31</v>
      </c>
      <c r="G32" s="59"/>
      <c r="H32" s="59"/>
      <c r="I32" s="60"/>
    </row>
    <row r="33" spans="2:13" ht="23.25" customHeight="1" thickTop="1" thickBot="1" x14ac:dyDescent="0.3">
      <c r="C33" s="61" t="s">
        <v>31</v>
      </c>
      <c r="D33" s="63" t="s">
        <v>32</v>
      </c>
      <c r="E33" s="63"/>
      <c r="F33" s="21" t="s">
        <v>44</v>
      </c>
      <c r="G33" s="4" t="s">
        <v>43</v>
      </c>
      <c r="H33" s="4" t="s">
        <v>41</v>
      </c>
      <c r="I33" s="32" t="s">
        <v>42</v>
      </c>
    </row>
    <row r="34" spans="2:13" ht="21" thickTop="1" thickBot="1" x14ac:dyDescent="0.3">
      <c r="C34" s="62"/>
      <c r="D34" s="3" t="s">
        <v>33</v>
      </c>
      <c r="E34" s="3" t="s">
        <v>34</v>
      </c>
      <c r="F34" s="31" t="s">
        <v>46</v>
      </c>
      <c r="G34" s="65" t="s">
        <v>45</v>
      </c>
      <c r="H34" s="66"/>
      <c r="I34" s="31" t="s">
        <v>26</v>
      </c>
    </row>
    <row r="35" spans="2:13" ht="21" thickTop="1" thickBot="1" x14ac:dyDescent="0.3">
      <c r="B35" s="56" t="s">
        <v>66</v>
      </c>
      <c r="C35" s="44" t="s">
        <v>35</v>
      </c>
      <c r="D35" s="46"/>
      <c r="E35" s="46">
        <f>D35*1.07</f>
        <v>0</v>
      </c>
      <c r="F35" s="50">
        <v>169</v>
      </c>
      <c r="G35" s="51">
        <v>175</v>
      </c>
      <c r="H35" s="51">
        <v>183</v>
      </c>
      <c r="I35" s="51">
        <v>186</v>
      </c>
      <c r="J35" s="11"/>
      <c r="K35" s="9"/>
      <c r="L35" s="9"/>
      <c r="M35" s="9"/>
    </row>
    <row r="36" spans="2:13" ht="21" thickTop="1" thickBot="1" x14ac:dyDescent="0.3">
      <c r="B36" s="56" t="s">
        <v>66</v>
      </c>
      <c r="C36" s="44" t="s">
        <v>18</v>
      </c>
      <c r="D36" s="46"/>
      <c r="E36" s="46">
        <f t="shared" ref="E36:E40" si="4">D36*1.07</f>
        <v>0</v>
      </c>
      <c r="F36" s="50">
        <v>238</v>
      </c>
      <c r="G36" s="51">
        <v>245</v>
      </c>
      <c r="H36" s="51">
        <v>253</v>
      </c>
      <c r="I36" s="51">
        <v>257</v>
      </c>
      <c r="K36" s="9"/>
      <c r="L36" s="9"/>
      <c r="M36" s="9"/>
    </row>
    <row r="37" spans="2:13" ht="21" thickTop="1" thickBot="1" x14ac:dyDescent="0.3">
      <c r="B37" s="56" t="s">
        <v>66</v>
      </c>
      <c r="C37" s="44" t="s">
        <v>20</v>
      </c>
      <c r="D37" s="46"/>
      <c r="E37" s="46">
        <f t="shared" si="4"/>
        <v>0</v>
      </c>
      <c r="F37" s="50">
        <v>181</v>
      </c>
      <c r="G37" s="51">
        <v>183</v>
      </c>
      <c r="H37" s="51">
        <v>193</v>
      </c>
      <c r="I37" s="51">
        <v>196</v>
      </c>
      <c r="K37" s="9"/>
      <c r="L37" s="9"/>
      <c r="M37" s="9"/>
    </row>
    <row r="38" spans="2:13" ht="21" thickTop="1" thickBot="1" x14ac:dyDescent="0.3">
      <c r="B38" s="56" t="s">
        <v>66</v>
      </c>
      <c r="C38" s="44" t="s">
        <v>16</v>
      </c>
      <c r="D38" s="46"/>
      <c r="E38" s="46">
        <f t="shared" si="4"/>
        <v>0</v>
      </c>
      <c r="F38" s="50">
        <v>215</v>
      </c>
      <c r="G38" s="51">
        <v>219</v>
      </c>
      <c r="H38" s="51">
        <v>228</v>
      </c>
      <c r="I38" s="51">
        <v>231</v>
      </c>
      <c r="K38" s="9"/>
      <c r="L38" s="9"/>
      <c r="M38" s="9"/>
    </row>
    <row r="39" spans="2:13" ht="21" thickTop="1" thickBot="1" x14ac:dyDescent="0.3">
      <c r="B39" s="56" t="s">
        <v>66</v>
      </c>
      <c r="C39" s="44" t="s">
        <v>22</v>
      </c>
      <c r="D39" s="46"/>
      <c r="E39" s="46">
        <f t="shared" si="4"/>
        <v>0</v>
      </c>
      <c r="F39" s="50">
        <v>354</v>
      </c>
      <c r="G39" s="51">
        <v>362</v>
      </c>
      <c r="H39" s="51">
        <v>375</v>
      </c>
      <c r="I39" s="51">
        <v>377</v>
      </c>
      <c r="K39" s="9"/>
      <c r="L39" s="9"/>
      <c r="M39" s="9"/>
    </row>
    <row r="40" spans="2:13" ht="21" thickTop="1" thickBot="1" x14ac:dyDescent="0.3">
      <c r="B40" s="56" t="s">
        <v>66</v>
      </c>
      <c r="C40" s="44" t="s">
        <v>25</v>
      </c>
      <c r="D40" s="46"/>
      <c r="E40" s="46">
        <f t="shared" si="4"/>
        <v>0</v>
      </c>
      <c r="F40" s="50">
        <v>354</v>
      </c>
      <c r="G40" s="51">
        <v>367</v>
      </c>
      <c r="H40" s="51">
        <v>379</v>
      </c>
      <c r="I40" s="51">
        <v>382</v>
      </c>
      <c r="K40" s="9"/>
      <c r="L40" s="9"/>
      <c r="M40" s="9"/>
    </row>
    <row r="41" spans="2:13" ht="6" customHeight="1" thickTop="1" thickBot="1" x14ac:dyDescent="0.3">
      <c r="C41" s="22"/>
      <c r="D41" s="47"/>
      <c r="E41" s="47"/>
      <c r="F41" s="52"/>
      <c r="G41" s="53"/>
      <c r="H41" s="53"/>
      <c r="I41" s="53"/>
    </row>
    <row r="42" spans="2:13" ht="21" thickTop="1" thickBot="1" x14ac:dyDescent="0.3">
      <c r="B42" s="56" t="s">
        <v>66</v>
      </c>
      <c r="C42" s="44" t="s">
        <v>15</v>
      </c>
      <c r="D42" s="46"/>
      <c r="E42" s="46">
        <f>D42*1.07</f>
        <v>0</v>
      </c>
      <c r="F42" s="50">
        <v>174</v>
      </c>
      <c r="G42" s="51">
        <v>180</v>
      </c>
      <c r="H42" s="51">
        <v>188</v>
      </c>
      <c r="I42" s="51">
        <v>191</v>
      </c>
    </row>
    <row r="43" spans="2:13" ht="21" thickTop="1" thickBot="1" x14ac:dyDescent="0.3">
      <c r="B43" s="56" t="s">
        <v>66</v>
      </c>
      <c r="C43" s="44" t="s">
        <v>19</v>
      </c>
      <c r="D43" s="46"/>
      <c r="E43" s="46">
        <f t="shared" ref="E43:E47" si="5">D43*1.07</f>
        <v>0</v>
      </c>
      <c r="F43" s="50">
        <v>243</v>
      </c>
      <c r="G43" s="51">
        <v>250</v>
      </c>
      <c r="H43" s="51">
        <v>259</v>
      </c>
      <c r="I43" s="51">
        <v>262</v>
      </c>
    </row>
    <row r="44" spans="2:13" ht="21" thickTop="1" thickBot="1" x14ac:dyDescent="0.3">
      <c r="B44" s="56" t="s">
        <v>66</v>
      </c>
      <c r="C44" s="44" t="s">
        <v>21</v>
      </c>
      <c r="D44" s="46"/>
      <c r="E44" s="46">
        <f t="shared" si="5"/>
        <v>0</v>
      </c>
      <c r="F44" s="50">
        <v>186</v>
      </c>
      <c r="G44" s="51">
        <v>189</v>
      </c>
      <c r="H44" s="51">
        <v>198</v>
      </c>
      <c r="I44" s="51">
        <v>201</v>
      </c>
    </row>
    <row r="45" spans="2:13" ht="21" thickTop="1" thickBot="1" x14ac:dyDescent="0.3">
      <c r="B45" s="56" t="s">
        <v>66</v>
      </c>
      <c r="C45" s="44" t="s">
        <v>17</v>
      </c>
      <c r="D45" s="46"/>
      <c r="E45" s="46">
        <f t="shared" si="5"/>
        <v>0</v>
      </c>
      <c r="F45" s="50">
        <v>220</v>
      </c>
      <c r="G45" s="51">
        <v>224</v>
      </c>
      <c r="H45" s="51">
        <v>233</v>
      </c>
      <c r="I45" s="51">
        <v>236</v>
      </c>
    </row>
    <row r="46" spans="2:13" ht="21" thickTop="1" thickBot="1" x14ac:dyDescent="0.3">
      <c r="B46" s="56" t="s">
        <v>66</v>
      </c>
      <c r="C46" s="44" t="s">
        <v>23</v>
      </c>
      <c r="D46" s="46"/>
      <c r="E46" s="46">
        <f t="shared" si="5"/>
        <v>0</v>
      </c>
      <c r="F46" s="50">
        <v>359</v>
      </c>
      <c r="G46" s="51">
        <v>367</v>
      </c>
      <c r="H46" s="51">
        <v>379</v>
      </c>
      <c r="I46" s="51">
        <v>382</v>
      </c>
    </row>
    <row r="47" spans="2:13" ht="21" thickTop="1" thickBot="1" x14ac:dyDescent="0.3">
      <c r="B47" s="56" t="s">
        <v>66</v>
      </c>
      <c r="C47" s="44" t="s">
        <v>24</v>
      </c>
      <c r="D47" s="46"/>
      <c r="E47" s="46">
        <f t="shared" si="5"/>
        <v>0</v>
      </c>
      <c r="F47" s="50">
        <v>359</v>
      </c>
      <c r="G47" s="51">
        <v>372</v>
      </c>
      <c r="H47" s="51">
        <v>384</v>
      </c>
      <c r="I47" s="51">
        <v>387</v>
      </c>
    </row>
    <row r="48" spans="2:13" ht="10.5" customHeight="1" thickTop="1" thickBot="1" x14ac:dyDescent="0.3">
      <c r="C48" s="12"/>
      <c r="D48" s="13"/>
      <c r="E48" s="13"/>
      <c r="F48" s="13"/>
      <c r="G48" s="14"/>
      <c r="H48" s="14"/>
      <c r="I48" s="14"/>
    </row>
    <row r="49" spans="1:11" ht="23.25" customHeight="1" thickTop="1" thickBot="1" x14ac:dyDescent="0.3">
      <c r="C49" s="12"/>
      <c r="D49" s="13"/>
      <c r="E49" s="13"/>
      <c r="F49" s="58" t="s">
        <v>31</v>
      </c>
      <c r="G49" s="59"/>
      <c r="H49" s="59"/>
      <c r="I49" s="60"/>
    </row>
    <row r="50" spans="1:11" ht="22" thickTop="1" thickBot="1" x14ac:dyDescent="0.3">
      <c r="C50" s="61" t="s">
        <v>14</v>
      </c>
      <c r="D50" s="63" t="s">
        <v>32</v>
      </c>
      <c r="E50" s="63"/>
      <c r="F50" s="21" t="s">
        <v>44</v>
      </c>
      <c r="G50" s="4" t="s">
        <v>43</v>
      </c>
      <c r="H50" s="4" t="s">
        <v>41</v>
      </c>
      <c r="I50" s="32" t="s">
        <v>42</v>
      </c>
    </row>
    <row r="51" spans="1:11" ht="21" thickTop="1" thickBot="1" x14ac:dyDescent="0.3">
      <c r="C51" s="62"/>
      <c r="D51" s="3" t="s">
        <v>33</v>
      </c>
      <c r="E51" s="3" t="s">
        <v>34</v>
      </c>
      <c r="F51" s="31" t="s">
        <v>46</v>
      </c>
      <c r="G51" s="65" t="s">
        <v>45</v>
      </c>
      <c r="H51" s="66"/>
      <c r="I51" s="31" t="s">
        <v>26</v>
      </c>
    </row>
    <row r="52" spans="1:11" ht="21" thickTop="1" thickBot="1" x14ac:dyDescent="0.3">
      <c r="B52" s="56" t="s">
        <v>60</v>
      </c>
      <c r="C52" s="35" t="s">
        <v>4</v>
      </c>
      <c r="D52" s="36"/>
      <c r="E52" s="37">
        <f>D52*1.07</f>
        <v>0</v>
      </c>
      <c r="F52" s="54">
        <v>68</v>
      </c>
      <c r="G52" s="55">
        <v>70</v>
      </c>
      <c r="H52" s="55">
        <v>72</v>
      </c>
      <c r="I52" s="55">
        <v>82</v>
      </c>
    </row>
    <row r="53" spans="1:11" ht="21" thickTop="1" thickBot="1" x14ac:dyDescent="0.3">
      <c r="B53" s="56" t="s">
        <v>60</v>
      </c>
      <c r="C53" s="35" t="s">
        <v>5</v>
      </c>
      <c r="D53" s="36"/>
      <c r="E53" s="37">
        <f t="shared" ref="E53:E54" si="6">D53*1.07</f>
        <v>0</v>
      </c>
      <c r="F53" s="54">
        <v>225</v>
      </c>
      <c r="G53" s="55">
        <v>230</v>
      </c>
      <c r="H53" s="55">
        <v>235</v>
      </c>
      <c r="I53" s="55">
        <v>240</v>
      </c>
    </row>
    <row r="54" spans="1:11" ht="21" thickTop="1" thickBot="1" x14ac:dyDescent="0.3">
      <c r="B54" s="57" t="s">
        <v>67</v>
      </c>
      <c r="C54" s="35" t="s">
        <v>6</v>
      </c>
      <c r="D54" s="36"/>
      <c r="E54" s="37">
        <f t="shared" si="6"/>
        <v>0</v>
      </c>
      <c r="F54" s="54">
        <v>315</v>
      </c>
      <c r="G54" s="55">
        <v>325</v>
      </c>
      <c r="H54" s="55">
        <v>335</v>
      </c>
      <c r="I54" s="55">
        <v>370</v>
      </c>
    </row>
    <row r="55" spans="1:11" ht="20" thickTop="1" x14ac:dyDescent="0.25"/>
    <row r="56" spans="1:11" x14ac:dyDescent="0.25">
      <c r="A56" s="17"/>
      <c r="B56" s="17"/>
      <c r="C56" s="10"/>
      <c r="D56" s="10"/>
      <c r="E56" s="10"/>
      <c r="F56" s="10"/>
      <c r="G56" s="18"/>
      <c r="H56" s="18"/>
      <c r="I56" s="18"/>
      <c r="K56" s="9"/>
    </row>
    <row r="57" spans="1:11" x14ac:dyDescent="0.25">
      <c r="A57" s="19"/>
      <c r="B57" s="19"/>
      <c r="C57" s="10"/>
      <c r="D57" s="10"/>
      <c r="E57" s="10"/>
      <c r="F57" s="10"/>
      <c r="G57" s="18"/>
      <c r="H57" s="18"/>
      <c r="I57" s="18"/>
      <c r="K57" s="9"/>
    </row>
    <row r="58" spans="1:11" x14ac:dyDescent="0.25">
      <c r="A58" s="19"/>
      <c r="B58" s="19"/>
      <c r="C58" s="10"/>
      <c r="D58" s="10"/>
      <c r="E58" s="10"/>
      <c r="F58" s="10"/>
      <c r="G58" s="18"/>
      <c r="H58" s="18"/>
      <c r="I58" s="18"/>
      <c r="K58" s="9"/>
    </row>
    <row r="59" spans="1:11" x14ac:dyDescent="0.25">
      <c r="A59" s="20"/>
      <c r="B59" s="20"/>
      <c r="C59" s="10"/>
      <c r="D59" s="10"/>
      <c r="E59" s="10"/>
      <c r="F59" s="10"/>
      <c r="G59" s="18"/>
      <c r="H59" s="18"/>
      <c r="I59" s="18"/>
      <c r="K59" s="9"/>
    </row>
    <row r="60" spans="1:11" x14ac:dyDescent="0.25">
      <c r="A60" s="19"/>
      <c r="B60" s="19"/>
      <c r="C60" s="10"/>
      <c r="D60" s="10"/>
      <c r="E60" s="10"/>
      <c r="F60" s="10"/>
      <c r="G60" s="18"/>
      <c r="H60" s="18"/>
      <c r="I60" s="18"/>
      <c r="K60" s="9"/>
    </row>
    <row r="61" spans="1:11" x14ac:dyDescent="0.25">
      <c r="A61" s="19"/>
      <c r="B61" s="19"/>
      <c r="K61" s="9"/>
    </row>
    <row r="62" spans="1:11" x14ac:dyDescent="0.25">
      <c r="A62" s="19"/>
      <c r="B62" s="19"/>
      <c r="K62" s="9"/>
    </row>
    <row r="63" spans="1:11" x14ac:dyDescent="0.25">
      <c r="A63" s="19"/>
      <c r="B63" s="19"/>
      <c r="K63" s="9"/>
    </row>
    <row r="64" spans="1:11" x14ac:dyDescent="0.25">
      <c r="A64" s="10"/>
      <c r="B64" s="10"/>
      <c r="K64" s="9"/>
    </row>
  </sheetData>
  <mergeCells count="13">
    <mergeCell ref="C33:C34"/>
    <mergeCell ref="D33:E33"/>
    <mergeCell ref="G34:H34"/>
    <mergeCell ref="F49:I49"/>
    <mergeCell ref="C50:C51"/>
    <mergeCell ref="D50:E50"/>
    <mergeCell ref="G51:H51"/>
    <mergeCell ref="F32:I32"/>
    <mergeCell ref="F7:I7"/>
    <mergeCell ref="C8:C9"/>
    <mergeCell ref="D8:E8"/>
    <mergeCell ref="N8:N9"/>
    <mergeCell ref="G9:H9"/>
  </mergeCells>
  <pageMargins left="0.7" right="0.7" top="0.75" bottom="0.75" header="0.3" footer="0.3"/>
  <pageSetup paperSize="9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DCCCCB-F8C0-F84D-BC02-F5B1D89BC4C3}">
  <dimension ref="A1:AF8"/>
  <sheetViews>
    <sheetView workbookViewId="0">
      <selection activeCell="D15" sqref="D15"/>
    </sheetView>
  </sheetViews>
  <sheetFormatPr baseColWidth="10" defaultColWidth="11" defaultRowHeight="19" x14ac:dyDescent="0.25"/>
  <cols>
    <col min="1" max="1" width="27.59765625" bestFit="1" customWidth="1"/>
    <col min="2" max="2" width="22" bestFit="1" customWidth="1"/>
    <col min="3" max="6" width="21.19921875" customWidth="1"/>
    <col min="7" max="7" width="22.796875" bestFit="1" customWidth="1"/>
    <col min="8" max="8" width="44.19921875" bestFit="1" customWidth="1"/>
    <col min="9" max="9" width="29" bestFit="1" customWidth="1"/>
    <col min="10" max="10" width="24.19921875" bestFit="1" customWidth="1"/>
    <col min="11" max="11" width="24.796875" customWidth="1"/>
    <col min="12" max="12" width="28" bestFit="1" customWidth="1"/>
    <col min="13" max="13" width="29.59765625" bestFit="1" customWidth="1"/>
    <col min="14" max="14" width="40.59765625" bestFit="1" customWidth="1"/>
    <col min="15" max="15" width="26" bestFit="1" customWidth="1"/>
    <col min="16" max="17" width="20.19921875" customWidth="1"/>
    <col min="18" max="18" width="27" bestFit="1" customWidth="1"/>
    <col min="19" max="19" width="27.796875" bestFit="1" customWidth="1"/>
    <col min="20" max="21" width="27" bestFit="1" customWidth="1"/>
    <col min="22" max="22" width="27.796875" bestFit="1" customWidth="1"/>
    <col min="23" max="23" width="26.59765625" bestFit="1" customWidth="1"/>
    <col min="24" max="24" width="27.3984375" bestFit="1" customWidth="1"/>
    <col min="25" max="25" width="28.19921875" bestFit="1" customWidth="1"/>
    <col min="26" max="27" width="27.3984375" bestFit="1" customWidth="1"/>
    <col min="28" max="29" width="28.19921875" bestFit="1" customWidth="1"/>
    <col min="30" max="32" width="20.3984375" customWidth="1"/>
  </cols>
  <sheetData>
    <row r="1" spans="1:32" x14ac:dyDescent="0.25">
      <c r="A1" s="7" t="s">
        <v>8</v>
      </c>
      <c r="B1" t="s">
        <v>9</v>
      </c>
      <c r="C1" s="7" t="s">
        <v>10</v>
      </c>
      <c r="D1" s="7" t="s">
        <v>11</v>
      </c>
      <c r="E1" s="7" t="s">
        <v>12</v>
      </c>
      <c r="F1" s="7" t="s">
        <v>13</v>
      </c>
      <c r="G1" s="7" t="s">
        <v>36</v>
      </c>
      <c r="H1" s="7" t="s">
        <v>54</v>
      </c>
      <c r="I1" s="7" t="s">
        <v>27</v>
      </c>
      <c r="J1" s="7" t="s">
        <v>28</v>
      </c>
      <c r="K1" s="7" t="s">
        <v>52</v>
      </c>
      <c r="L1" s="7" t="s">
        <v>49</v>
      </c>
      <c r="M1" s="7" t="s">
        <v>48</v>
      </c>
      <c r="N1" t="s">
        <v>50</v>
      </c>
      <c r="O1" s="7" t="s">
        <v>51</v>
      </c>
      <c r="P1" s="7" t="s">
        <v>3</v>
      </c>
      <c r="Q1" s="7" t="s">
        <v>53</v>
      </c>
      <c r="R1" s="7" t="s">
        <v>35</v>
      </c>
      <c r="S1" s="7" t="s">
        <v>18</v>
      </c>
      <c r="T1" s="7" t="s">
        <v>20</v>
      </c>
      <c r="U1" s="7" t="s">
        <v>16</v>
      </c>
      <c r="V1" s="7" t="s">
        <v>22</v>
      </c>
      <c r="W1" s="7" t="s">
        <v>25</v>
      </c>
      <c r="X1" s="7" t="s">
        <v>15</v>
      </c>
      <c r="Y1" s="7" t="s">
        <v>19</v>
      </c>
      <c r="Z1" s="7" t="s">
        <v>21</v>
      </c>
      <c r="AA1" s="7" t="s">
        <v>17</v>
      </c>
      <c r="AB1" s="7" t="s">
        <v>23</v>
      </c>
      <c r="AC1" s="7" t="s">
        <v>24</v>
      </c>
      <c r="AD1" s="7" t="s">
        <v>4</v>
      </c>
      <c r="AE1" s="7" t="s">
        <v>5</v>
      </c>
      <c r="AF1" s="7" t="s">
        <v>6</v>
      </c>
    </row>
    <row r="2" spans="1:32" x14ac:dyDescent="0.25">
      <c r="A2" t="s">
        <v>68</v>
      </c>
      <c r="B2" t="s">
        <v>70</v>
      </c>
      <c r="C2" t="s">
        <v>71</v>
      </c>
      <c r="D2" t="s">
        <v>77</v>
      </c>
      <c r="E2" t="s">
        <v>81</v>
      </c>
      <c r="F2" t="s">
        <v>88</v>
      </c>
      <c r="G2" t="s">
        <v>90</v>
      </c>
      <c r="H2" t="s">
        <v>92</v>
      </c>
      <c r="I2" t="s">
        <v>97</v>
      </c>
      <c r="J2" t="s">
        <v>99</v>
      </c>
      <c r="K2" t="s">
        <v>100</v>
      </c>
      <c r="L2" t="s">
        <v>101</v>
      </c>
      <c r="M2" t="s">
        <v>102</v>
      </c>
      <c r="N2" t="s">
        <v>106</v>
      </c>
      <c r="O2" t="s">
        <v>107</v>
      </c>
      <c r="P2" t="s">
        <v>108</v>
      </c>
      <c r="Q2" t="s">
        <v>109</v>
      </c>
      <c r="R2" t="s">
        <v>110</v>
      </c>
      <c r="S2" t="s">
        <v>113</v>
      </c>
      <c r="T2" t="s">
        <v>116</v>
      </c>
      <c r="U2" t="s">
        <v>117</v>
      </c>
      <c r="V2" t="s">
        <v>118</v>
      </c>
      <c r="W2" t="s">
        <v>119</v>
      </c>
      <c r="X2" t="s">
        <v>110</v>
      </c>
      <c r="Y2" t="s">
        <v>113</v>
      </c>
      <c r="Z2" t="s">
        <v>116</v>
      </c>
      <c r="AA2" t="s">
        <v>117</v>
      </c>
      <c r="AB2" t="s">
        <v>118</v>
      </c>
      <c r="AC2" t="s">
        <v>119</v>
      </c>
      <c r="AD2" t="s">
        <v>122</v>
      </c>
      <c r="AE2" t="s">
        <v>123</v>
      </c>
      <c r="AF2" t="s">
        <v>124</v>
      </c>
    </row>
    <row r="3" spans="1:32" x14ac:dyDescent="0.25">
      <c r="A3" t="s">
        <v>69</v>
      </c>
      <c r="C3" t="s">
        <v>72</v>
      </c>
      <c r="D3" t="s">
        <v>78</v>
      </c>
      <c r="E3" t="s">
        <v>82</v>
      </c>
      <c r="F3" t="s">
        <v>89</v>
      </c>
      <c r="G3" t="s">
        <v>91</v>
      </c>
      <c r="H3" t="s">
        <v>93</v>
      </c>
      <c r="I3" t="s">
        <v>98</v>
      </c>
      <c r="M3" t="s">
        <v>103</v>
      </c>
      <c r="R3" t="s">
        <v>111</v>
      </c>
      <c r="S3" t="s">
        <v>114</v>
      </c>
      <c r="W3" t="s">
        <v>120</v>
      </c>
      <c r="X3" t="s">
        <v>111</v>
      </c>
      <c r="Y3" t="s">
        <v>114</v>
      </c>
      <c r="AC3" t="s">
        <v>120</v>
      </c>
    </row>
    <row r="4" spans="1:32" x14ac:dyDescent="0.25">
      <c r="C4" t="s">
        <v>73</v>
      </c>
      <c r="D4" t="s">
        <v>79</v>
      </c>
      <c r="E4" t="s">
        <v>83</v>
      </c>
      <c r="H4" t="s">
        <v>94</v>
      </c>
      <c r="M4" t="s">
        <v>104</v>
      </c>
      <c r="R4" t="s">
        <v>112</v>
      </c>
      <c r="S4" t="s">
        <v>115</v>
      </c>
      <c r="W4" t="s">
        <v>121</v>
      </c>
      <c r="X4" t="s">
        <v>112</v>
      </c>
      <c r="Y4" t="s">
        <v>115</v>
      </c>
      <c r="AC4" t="s">
        <v>121</v>
      </c>
    </row>
    <row r="5" spans="1:32" x14ac:dyDescent="0.25">
      <c r="C5" t="s">
        <v>74</v>
      </c>
      <c r="D5" t="s">
        <v>80</v>
      </c>
      <c r="E5" t="s">
        <v>84</v>
      </c>
      <c r="H5" t="s">
        <v>95</v>
      </c>
      <c r="M5" t="s">
        <v>105</v>
      </c>
    </row>
    <row r="6" spans="1:32" x14ac:dyDescent="0.25">
      <c r="C6" t="s">
        <v>75</v>
      </c>
      <c r="E6" t="s">
        <v>85</v>
      </c>
      <c r="H6" t="s">
        <v>96</v>
      </c>
    </row>
    <row r="7" spans="1:32" x14ac:dyDescent="0.25">
      <c r="C7" t="s">
        <v>76</v>
      </c>
      <c r="E7" t="s">
        <v>86</v>
      </c>
    </row>
    <row r="8" spans="1:32" x14ac:dyDescent="0.25">
      <c r="E8" t="s">
        <v>87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Price List</vt:lpstr>
      <vt:lpstr>Ref.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MKT01</dc:creator>
  <cp:lastModifiedBy>Paphatsara Phuengkasem</cp:lastModifiedBy>
  <cp:lastPrinted>2021-06-30T06:24:51Z</cp:lastPrinted>
  <dcterms:created xsi:type="dcterms:W3CDTF">2003-01-21T06:10:00Z</dcterms:created>
  <dcterms:modified xsi:type="dcterms:W3CDTF">2026-05-21T07:27:41Z</dcterms:modified>
</cp:coreProperties>
</file>