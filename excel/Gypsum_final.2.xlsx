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itar/Desktop/SP684-SupplierInfo/excel/"/>
    </mc:Choice>
  </mc:AlternateContent>
  <xr:revisionPtr revIDLastSave="0" documentId="13_ncr:1_{0D624CA4-51D2-3843-8A8F-25E8BB576DE2}" xr6:coauthVersionLast="47" xr6:coauthVersionMax="47" xr10:uidLastSave="{00000000-0000-0000-0000-000000000000}"/>
  <bookViews>
    <workbookView xWindow="0" yWindow="600" windowWidth="25300" windowHeight="17780" tabRatio="853" activeTab="1" xr2:uid="{00000000-000D-0000-FFFF-FFFF00000000}"/>
  </bookViews>
  <sheets>
    <sheet name="Formular 4 step Y1" sheetId="3" r:id="rId1"/>
    <sheet name="Sheet1" sheetId="24" r:id="rId2"/>
    <sheet name="สูตร 4 step SB" sheetId="4" r:id="rId3"/>
    <sheet name="Rockwool" sheetId="23" r:id="rId4"/>
    <sheet name="BKK DCM" sheetId="12" r:id="rId5"/>
    <sheet name="N DCM" sheetId="13" r:id="rId6"/>
    <sheet name="NE DCM" sheetId="14" r:id="rId7"/>
    <sheet name="C DCM" sheetId="15" r:id="rId8"/>
    <sheet name="E DCM" sheetId="16" r:id="rId9"/>
    <sheet name="S DCM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5" l="1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6" i="15"/>
  <c r="B77" i="15"/>
  <c r="B78" i="15"/>
  <c r="B79" i="15"/>
  <c r="B80" i="15"/>
  <c r="B84" i="15"/>
  <c r="B85" i="15"/>
  <c r="B86" i="15"/>
  <c r="B87" i="15"/>
  <c r="B88" i="15"/>
  <c r="B90" i="15"/>
  <c r="B91" i="15"/>
  <c r="B92" i="15"/>
  <c r="B93" i="15"/>
  <c r="B94" i="15"/>
  <c r="B95" i="15"/>
  <c r="B96" i="15"/>
  <c r="B98" i="15"/>
  <c r="B99" i="15"/>
  <c r="B100" i="15"/>
  <c r="B101" i="15"/>
  <c r="B102" i="15"/>
  <c r="B103" i="15"/>
  <c r="B119" i="15"/>
  <c r="B120" i="15"/>
  <c r="B122" i="15"/>
  <c r="E3" i="4"/>
  <c r="F3" i="4"/>
  <c r="G3" i="4"/>
  <c r="H3" i="4"/>
  <c r="I3" i="4"/>
  <c r="J3" i="4"/>
  <c r="W3" i="4" s="1"/>
  <c r="K3" i="4"/>
  <c r="L3" i="4"/>
  <c r="M3" i="4"/>
  <c r="N3" i="4"/>
  <c r="O3" i="4"/>
  <c r="P3" i="4"/>
  <c r="Q3" i="4"/>
  <c r="R3" i="4"/>
  <c r="S3" i="4"/>
  <c r="T8" i="4"/>
  <c r="V8" i="4"/>
  <c r="V1071" i="4" l="1"/>
  <c r="T1071" i="4"/>
  <c r="T1070" i="4"/>
  <c r="V1069" i="4"/>
  <c r="V1072" i="4"/>
  <c r="T1072" i="4"/>
  <c r="V1070" i="4"/>
  <c r="T1069" i="4"/>
  <c r="V1128" i="4" l="1"/>
  <c r="T1128" i="4"/>
  <c r="V1127" i="4"/>
  <c r="T1127" i="4"/>
  <c r="V1126" i="4"/>
  <c r="T1126" i="4"/>
  <c r="V1125" i="4"/>
  <c r="T1125" i="4"/>
  <c r="T1110" i="4"/>
  <c r="V1110" i="4"/>
  <c r="V1107" i="4"/>
  <c r="U1107" i="4"/>
  <c r="T1107" i="4"/>
  <c r="D1107" i="4"/>
  <c r="W1105" i="4"/>
  <c r="W1107" i="4" s="1"/>
  <c r="E1105" i="4"/>
  <c r="F1105" i="4" s="1"/>
  <c r="G1105" i="4" s="1"/>
  <c r="AR1112" i="4"/>
  <c r="W1110" i="4" s="1"/>
  <c r="AP1112" i="4"/>
  <c r="AN1112" i="4"/>
  <c r="S1110" i="4" s="1"/>
  <c r="AM1112" i="4"/>
  <c r="R1110" i="4" s="1"/>
  <c r="AL1112" i="4"/>
  <c r="Q1110" i="4" s="1"/>
  <c r="AK1112" i="4"/>
  <c r="P1110" i="4" s="1"/>
  <c r="AJ1112" i="4"/>
  <c r="O1110" i="4" s="1"/>
  <c r="AI1112" i="4"/>
  <c r="N1110" i="4" s="1"/>
  <c r="AH1112" i="4"/>
  <c r="M1110" i="4" s="1"/>
  <c r="AG1112" i="4"/>
  <c r="L1110" i="4" s="1"/>
  <c r="AF1112" i="4"/>
  <c r="K1110" i="4" s="1"/>
  <c r="AE1112" i="4"/>
  <c r="J1110" i="4" s="1"/>
  <c r="AD1112" i="4"/>
  <c r="I1110" i="4" s="1"/>
  <c r="AC1112" i="4"/>
  <c r="H1110" i="4" s="1"/>
  <c r="AB1112" i="4"/>
  <c r="G1110" i="4" s="1"/>
  <c r="AA1112" i="4"/>
  <c r="F1110" i="4" s="1"/>
  <c r="Z1112" i="4"/>
  <c r="E1110" i="4" s="1"/>
  <c r="Y1112" i="4"/>
  <c r="D1110" i="4" s="1"/>
  <c r="V1100" i="4"/>
  <c r="T1100" i="4"/>
  <c r="V1099" i="4"/>
  <c r="T1099" i="4"/>
  <c r="V1098" i="4"/>
  <c r="T1098" i="4"/>
  <c r="V1097" i="4"/>
  <c r="T1097" i="4"/>
  <c r="T1082" i="4"/>
  <c r="V1082" i="4"/>
  <c r="V1079" i="4"/>
  <c r="U1079" i="4"/>
  <c r="T1079" i="4"/>
  <c r="D1079" i="4"/>
  <c r="W1077" i="4"/>
  <c r="W1079" i="4" s="1"/>
  <c r="E1077" i="4"/>
  <c r="F1077" i="4" s="1"/>
  <c r="AR1084" i="4"/>
  <c r="W1082" i="4" s="1"/>
  <c r="AP1084" i="4"/>
  <c r="AN1084" i="4"/>
  <c r="S1082" i="4" s="1"/>
  <c r="AM1084" i="4"/>
  <c r="R1082" i="4" s="1"/>
  <c r="AL1084" i="4"/>
  <c r="Q1082" i="4" s="1"/>
  <c r="AK1084" i="4"/>
  <c r="P1082" i="4" s="1"/>
  <c r="AJ1084" i="4"/>
  <c r="O1082" i="4" s="1"/>
  <c r="AI1084" i="4"/>
  <c r="N1082" i="4" s="1"/>
  <c r="AH1084" i="4"/>
  <c r="M1082" i="4" s="1"/>
  <c r="AG1084" i="4"/>
  <c r="L1082" i="4" s="1"/>
  <c r="AF1084" i="4"/>
  <c r="K1082" i="4" s="1"/>
  <c r="AE1084" i="4"/>
  <c r="J1082" i="4" s="1"/>
  <c r="AD1084" i="4"/>
  <c r="I1082" i="4" s="1"/>
  <c r="AC1084" i="4"/>
  <c r="H1082" i="4" s="1"/>
  <c r="AB1084" i="4"/>
  <c r="G1082" i="4" s="1"/>
  <c r="AA1084" i="4"/>
  <c r="F1082" i="4" s="1"/>
  <c r="Z1084" i="4"/>
  <c r="E1082" i="4" s="1"/>
  <c r="Y1084" i="4"/>
  <c r="D1082" i="4" s="1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C90" i="13"/>
  <c r="B90" i="13"/>
  <c r="V1237" i="4"/>
  <c r="T1237" i="4"/>
  <c r="V1235" i="4"/>
  <c r="V1238" i="4"/>
  <c r="T1238" i="4"/>
  <c r="V1236" i="4"/>
  <c r="T1236" i="4"/>
  <c r="T1235" i="4"/>
  <c r="V1234" i="4"/>
  <c r="T1234" i="4"/>
  <c r="T1220" i="4"/>
  <c r="V1220" i="4"/>
  <c r="V1217" i="4"/>
  <c r="U1217" i="4"/>
  <c r="T1217" i="4"/>
  <c r="D1217" i="4"/>
  <c r="W1215" i="4"/>
  <c r="W1217" i="4" s="1"/>
  <c r="E1215" i="4"/>
  <c r="E1217" i="4" s="1"/>
  <c r="AR1222" i="4"/>
  <c r="W1220" i="4" s="1"/>
  <c r="AP1222" i="4"/>
  <c r="AN1222" i="4"/>
  <c r="S1220" i="4" s="1"/>
  <c r="AM1222" i="4"/>
  <c r="R1220" i="4" s="1"/>
  <c r="AL1222" i="4"/>
  <c r="Q1220" i="4" s="1"/>
  <c r="AK1222" i="4"/>
  <c r="P1220" i="4" s="1"/>
  <c r="AJ1222" i="4"/>
  <c r="O1220" i="4" s="1"/>
  <c r="AI1222" i="4"/>
  <c r="N1220" i="4" s="1"/>
  <c r="AH1222" i="4"/>
  <c r="M1220" i="4" s="1"/>
  <c r="AG1222" i="4"/>
  <c r="L1220" i="4" s="1"/>
  <c r="AF1222" i="4"/>
  <c r="K1220" i="4" s="1"/>
  <c r="AE1222" i="4"/>
  <c r="J1220" i="4" s="1"/>
  <c r="AD1222" i="4"/>
  <c r="I1220" i="4" s="1"/>
  <c r="AC1222" i="4"/>
  <c r="H1220" i="4" s="1"/>
  <c r="AB1222" i="4"/>
  <c r="G1220" i="4" s="1"/>
  <c r="AA1222" i="4"/>
  <c r="F1220" i="4" s="1"/>
  <c r="Z1222" i="4"/>
  <c r="E1220" i="4" s="1"/>
  <c r="Y1222" i="4"/>
  <c r="D1220" i="4" s="1"/>
  <c r="T1193" i="4"/>
  <c r="V1193" i="4"/>
  <c r="D1190" i="4"/>
  <c r="W1188" i="4"/>
  <c r="W1190" i="4" s="1"/>
  <c r="E1188" i="4"/>
  <c r="F1188" i="4" s="1"/>
  <c r="G1188" i="4" s="1"/>
  <c r="H1188" i="4" s="1"/>
  <c r="I1188" i="4" s="1"/>
  <c r="J1188" i="4" s="1"/>
  <c r="K1188" i="4" s="1"/>
  <c r="AR1195" i="4"/>
  <c r="W1193" i="4" s="1"/>
  <c r="AP1195" i="4"/>
  <c r="U1193" i="4" s="1"/>
  <c r="AN1195" i="4"/>
  <c r="S1193" i="4" s="1"/>
  <c r="AM1195" i="4"/>
  <c r="R1193" i="4" s="1"/>
  <c r="AL1195" i="4"/>
  <c r="Q1193" i="4" s="1"/>
  <c r="AK1195" i="4"/>
  <c r="P1193" i="4" s="1"/>
  <c r="AJ1195" i="4"/>
  <c r="O1193" i="4" s="1"/>
  <c r="AI1195" i="4"/>
  <c r="N1193" i="4" s="1"/>
  <c r="AH1195" i="4"/>
  <c r="M1193" i="4" s="1"/>
  <c r="AG1195" i="4"/>
  <c r="L1193" i="4" s="1"/>
  <c r="AF1195" i="4"/>
  <c r="K1193" i="4" s="1"/>
  <c r="AE1195" i="4"/>
  <c r="J1193" i="4" s="1"/>
  <c r="AD1195" i="4"/>
  <c r="I1193" i="4" s="1"/>
  <c r="AC1195" i="4"/>
  <c r="H1193" i="4" s="1"/>
  <c r="AB1195" i="4"/>
  <c r="G1193" i="4" s="1"/>
  <c r="AA1195" i="4"/>
  <c r="F1193" i="4" s="1"/>
  <c r="Z1195" i="4"/>
  <c r="E1193" i="4" s="1"/>
  <c r="T1054" i="4"/>
  <c r="V1054" i="4"/>
  <c r="V1051" i="4"/>
  <c r="U1051" i="4"/>
  <c r="T1051" i="4"/>
  <c r="D1051" i="4"/>
  <c r="W1049" i="4"/>
  <c r="W1051" i="4" s="1"/>
  <c r="E1049" i="4"/>
  <c r="E1051" i="4" s="1"/>
  <c r="AR1056" i="4"/>
  <c r="W1054" i="4" s="1"/>
  <c r="AP1056" i="4"/>
  <c r="AN1056" i="4"/>
  <c r="S1054" i="4" s="1"/>
  <c r="AM1056" i="4"/>
  <c r="R1054" i="4" s="1"/>
  <c r="AL1056" i="4"/>
  <c r="Q1054" i="4" s="1"/>
  <c r="AK1056" i="4"/>
  <c r="P1054" i="4" s="1"/>
  <c r="AJ1056" i="4"/>
  <c r="O1054" i="4" s="1"/>
  <c r="AI1056" i="4"/>
  <c r="N1054" i="4" s="1"/>
  <c r="AH1056" i="4"/>
  <c r="M1054" i="4" s="1"/>
  <c r="AG1056" i="4"/>
  <c r="L1054" i="4" s="1"/>
  <c r="AF1056" i="4"/>
  <c r="K1054" i="4" s="1"/>
  <c r="AE1056" i="4"/>
  <c r="J1054" i="4" s="1"/>
  <c r="AD1056" i="4"/>
  <c r="I1054" i="4" s="1"/>
  <c r="AC1056" i="4"/>
  <c r="H1054" i="4" s="1"/>
  <c r="AB1056" i="4"/>
  <c r="G1054" i="4" s="1"/>
  <c r="AA1056" i="4"/>
  <c r="F1054" i="4" s="1"/>
  <c r="Z1056" i="4"/>
  <c r="E1054" i="4" s="1"/>
  <c r="Y1056" i="4"/>
  <c r="D1054" i="4" s="1"/>
  <c r="T1026" i="4"/>
  <c r="V1026" i="4"/>
  <c r="V1023" i="4"/>
  <c r="U1023" i="4"/>
  <c r="T1023" i="4"/>
  <c r="D1023" i="4"/>
  <c r="W1021" i="4"/>
  <c r="W1023" i="4" s="1"/>
  <c r="E1021" i="4"/>
  <c r="E1023" i="4" s="1"/>
  <c r="AR1028" i="4"/>
  <c r="W1026" i="4" s="1"/>
  <c r="AP1028" i="4"/>
  <c r="AN1028" i="4"/>
  <c r="S1026" i="4" s="1"/>
  <c r="AM1028" i="4"/>
  <c r="R1026" i="4" s="1"/>
  <c r="AL1028" i="4"/>
  <c r="Q1026" i="4" s="1"/>
  <c r="AK1028" i="4"/>
  <c r="P1026" i="4" s="1"/>
  <c r="AJ1028" i="4"/>
  <c r="O1026" i="4" s="1"/>
  <c r="AI1028" i="4"/>
  <c r="N1026" i="4" s="1"/>
  <c r="AH1028" i="4"/>
  <c r="M1026" i="4" s="1"/>
  <c r="AG1028" i="4"/>
  <c r="L1026" i="4" s="1"/>
  <c r="AF1028" i="4"/>
  <c r="K1026" i="4" s="1"/>
  <c r="AE1028" i="4"/>
  <c r="J1026" i="4" s="1"/>
  <c r="AD1028" i="4"/>
  <c r="I1026" i="4" s="1"/>
  <c r="AC1028" i="4"/>
  <c r="H1026" i="4" s="1"/>
  <c r="AB1028" i="4"/>
  <c r="G1026" i="4" s="1"/>
  <c r="AA1028" i="4"/>
  <c r="F1026" i="4" s="1"/>
  <c r="Z1028" i="4"/>
  <c r="E1026" i="4" s="1"/>
  <c r="Y1028" i="4"/>
  <c r="D1026" i="4" s="1"/>
  <c r="T998" i="4"/>
  <c r="V998" i="4"/>
  <c r="V995" i="4"/>
  <c r="U995" i="4"/>
  <c r="T995" i="4"/>
  <c r="D995" i="4"/>
  <c r="W993" i="4"/>
  <c r="W995" i="4" s="1"/>
  <c r="E993" i="4"/>
  <c r="F993" i="4" s="1"/>
  <c r="AR1000" i="4"/>
  <c r="W998" i="4" s="1"/>
  <c r="AP1000" i="4"/>
  <c r="AN1000" i="4"/>
  <c r="S998" i="4" s="1"/>
  <c r="AM1000" i="4"/>
  <c r="R998" i="4" s="1"/>
  <c r="AL1000" i="4"/>
  <c r="Q998" i="4" s="1"/>
  <c r="AK1000" i="4"/>
  <c r="P998" i="4" s="1"/>
  <c r="AJ1000" i="4"/>
  <c r="O998" i="4" s="1"/>
  <c r="AI1000" i="4"/>
  <c r="N998" i="4" s="1"/>
  <c r="AH1000" i="4"/>
  <c r="M998" i="4" s="1"/>
  <c r="AG1000" i="4"/>
  <c r="L998" i="4" s="1"/>
  <c r="AF1000" i="4"/>
  <c r="K998" i="4" s="1"/>
  <c r="AE1000" i="4"/>
  <c r="J998" i="4" s="1"/>
  <c r="AD1000" i="4"/>
  <c r="I998" i="4" s="1"/>
  <c r="AC1000" i="4"/>
  <c r="H998" i="4" s="1"/>
  <c r="AB1000" i="4"/>
  <c r="G998" i="4" s="1"/>
  <c r="AA1000" i="4"/>
  <c r="F998" i="4" s="1"/>
  <c r="Z1000" i="4"/>
  <c r="E998" i="4" s="1"/>
  <c r="Y1000" i="4"/>
  <c r="D998" i="4" s="1"/>
  <c r="V967" i="4"/>
  <c r="U967" i="4"/>
  <c r="T967" i="4"/>
  <c r="D967" i="4"/>
  <c r="W965" i="4"/>
  <c r="W967" i="4" s="1"/>
  <c r="E965" i="4"/>
  <c r="T970" i="4"/>
  <c r="V970" i="4"/>
  <c r="AR972" i="4"/>
  <c r="W970" i="4" s="1"/>
  <c r="AP972" i="4"/>
  <c r="AN972" i="4"/>
  <c r="S970" i="4" s="1"/>
  <c r="AM972" i="4"/>
  <c r="R970" i="4" s="1"/>
  <c r="AL972" i="4"/>
  <c r="Q970" i="4" s="1"/>
  <c r="AK972" i="4"/>
  <c r="P970" i="4" s="1"/>
  <c r="AJ972" i="4"/>
  <c r="O970" i="4" s="1"/>
  <c r="AI972" i="4"/>
  <c r="N970" i="4" s="1"/>
  <c r="AH972" i="4"/>
  <c r="M970" i="4" s="1"/>
  <c r="AG972" i="4"/>
  <c r="L970" i="4" s="1"/>
  <c r="AF972" i="4"/>
  <c r="K970" i="4" s="1"/>
  <c r="AE972" i="4"/>
  <c r="J970" i="4" s="1"/>
  <c r="AD972" i="4"/>
  <c r="I970" i="4" s="1"/>
  <c r="AC972" i="4"/>
  <c r="H970" i="4" s="1"/>
  <c r="AB972" i="4"/>
  <c r="G970" i="4" s="1"/>
  <c r="AA972" i="4"/>
  <c r="F970" i="4" s="1"/>
  <c r="Z972" i="4"/>
  <c r="E970" i="4" s="1"/>
  <c r="Y972" i="4"/>
  <c r="D970" i="4" s="1"/>
  <c r="AR804" i="4"/>
  <c r="AP804" i="4"/>
  <c r="AN804" i="4"/>
  <c r="AM804" i="4"/>
  <c r="AL804" i="4"/>
  <c r="AK804" i="4"/>
  <c r="AJ804" i="4"/>
  <c r="AI804" i="4"/>
  <c r="AH804" i="4"/>
  <c r="AG804" i="4"/>
  <c r="AF804" i="4"/>
  <c r="AE804" i="4"/>
  <c r="AD804" i="4"/>
  <c r="AC804" i="4"/>
  <c r="AB804" i="4"/>
  <c r="AA804" i="4"/>
  <c r="Z804" i="4"/>
  <c r="Y804" i="4"/>
  <c r="T774" i="4"/>
  <c r="V774" i="4"/>
  <c r="V771" i="4"/>
  <c r="U771" i="4"/>
  <c r="T771" i="4"/>
  <c r="D771" i="4"/>
  <c r="W769" i="4"/>
  <c r="W771" i="4" s="1"/>
  <c r="E769" i="4"/>
  <c r="AR776" i="4"/>
  <c r="W774" i="4" s="1"/>
  <c r="AP776" i="4"/>
  <c r="AN776" i="4"/>
  <c r="S774" i="4" s="1"/>
  <c r="AM776" i="4"/>
  <c r="R774" i="4" s="1"/>
  <c r="AL776" i="4"/>
  <c r="Q774" i="4" s="1"/>
  <c r="AK776" i="4"/>
  <c r="P774" i="4" s="1"/>
  <c r="AJ776" i="4"/>
  <c r="O774" i="4" s="1"/>
  <c r="AI776" i="4"/>
  <c r="N774" i="4" s="1"/>
  <c r="AH776" i="4"/>
  <c r="M774" i="4" s="1"/>
  <c r="AG776" i="4"/>
  <c r="L774" i="4" s="1"/>
  <c r="AF776" i="4"/>
  <c r="K774" i="4" s="1"/>
  <c r="AE776" i="4"/>
  <c r="J774" i="4" s="1"/>
  <c r="AD776" i="4"/>
  <c r="I774" i="4" s="1"/>
  <c r="AC776" i="4"/>
  <c r="H774" i="4" s="1"/>
  <c r="AB776" i="4"/>
  <c r="G774" i="4" s="1"/>
  <c r="AA776" i="4"/>
  <c r="F774" i="4" s="1"/>
  <c r="Z776" i="4"/>
  <c r="E774" i="4" s="1"/>
  <c r="Y776" i="4"/>
  <c r="D774" i="4" s="1"/>
  <c r="T748" i="4"/>
  <c r="V748" i="4"/>
  <c r="V745" i="4"/>
  <c r="U745" i="4"/>
  <c r="T745" i="4"/>
  <c r="D745" i="4"/>
  <c r="AR750" i="4"/>
  <c r="W748" i="4" s="1"/>
  <c r="AP750" i="4"/>
  <c r="AN750" i="4"/>
  <c r="S748" i="4" s="1"/>
  <c r="AM750" i="4"/>
  <c r="R748" i="4" s="1"/>
  <c r="AL750" i="4"/>
  <c r="Q748" i="4" s="1"/>
  <c r="AK750" i="4"/>
  <c r="P748" i="4" s="1"/>
  <c r="AJ750" i="4"/>
  <c r="O748" i="4" s="1"/>
  <c r="AI750" i="4"/>
  <c r="N748" i="4" s="1"/>
  <c r="AH750" i="4"/>
  <c r="M748" i="4" s="1"/>
  <c r="AG750" i="4"/>
  <c r="L748" i="4" s="1"/>
  <c r="AF750" i="4"/>
  <c r="K748" i="4" s="1"/>
  <c r="AE750" i="4"/>
  <c r="J748" i="4" s="1"/>
  <c r="AD750" i="4"/>
  <c r="I748" i="4" s="1"/>
  <c r="AC750" i="4"/>
  <c r="H748" i="4" s="1"/>
  <c r="AB750" i="4"/>
  <c r="G748" i="4" s="1"/>
  <c r="AA750" i="4"/>
  <c r="F748" i="4" s="1"/>
  <c r="Z750" i="4"/>
  <c r="E748" i="4" s="1"/>
  <c r="Y750" i="4"/>
  <c r="D748" i="4" s="1"/>
  <c r="T721" i="4"/>
  <c r="V721" i="4"/>
  <c r="D718" i="4"/>
  <c r="AR723" i="4"/>
  <c r="W721" i="4" s="1"/>
  <c r="AP723" i="4"/>
  <c r="U721" i="4" s="1"/>
  <c r="AN723" i="4"/>
  <c r="S721" i="4" s="1"/>
  <c r="AM723" i="4"/>
  <c r="R721" i="4" s="1"/>
  <c r="AL723" i="4"/>
  <c r="Q721" i="4" s="1"/>
  <c r="AK723" i="4"/>
  <c r="P721" i="4" s="1"/>
  <c r="AJ723" i="4"/>
  <c r="O721" i="4" s="1"/>
  <c r="AI723" i="4"/>
  <c r="N721" i="4" s="1"/>
  <c r="AH723" i="4"/>
  <c r="M721" i="4" s="1"/>
  <c r="AG723" i="4"/>
  <c r="L721" i="4" s="1"/>
  <c r="AF723" i="4"/>
  <c r="K721" i="4" s="1"/>
  <c r="AE723" i="4"/>
  <c r="J721" i="4" s="1"/>
  <c r="AD723" i="4"/>
  <c r="I721" i="4" s="1"/>
  <c r="AC723" i="4"/>
  <c r="H721" i="4" s="1"/>
  <c r="AB723" i="4"/>
  <c r="G721" i="4" s="1"/>
  <c r="AA723" i="4"/>
  <c r="F721" i="4" s="1"/>
  <c r="Z723" i="4"/>
  <c r="E721" i="4" s="1"/>
  <c r="Y723" i="4"/>
  <c r="D721" i="4" s="1"/>
  <c r="T694" i="4"/>
  <c r="V694" i="4"/>
  <c r="D691" i="4"/>
  <c r="AR696" i="4"/>
  <c r="W694" i="4" s="1"/>
  <c r="AP696" i="4"/>
  <c r="U694" i="4" s="1"/>
  <c r="AN696" i="4"/>
  <c r="S694" i="4" s="1"/>
  <c r="AM696" i="4"/>
  <c r="R694" i="4" s="1"/>
  <c r="AL696" i="4"/>
  <c r="Q694" i="4" s="1"/>
  <c r="AK696" i="4"/>
  <c r="P694" i="4" s="1"/>
  <c r="AJ696" i="4"/>
  <c r="O694" i="4" s="1"/>
  <c r="AI696" i="4"/>
  <c r="N694" i="4" s="1"/>
  <c r="AH696" i="4"/>
  <c r="M694" i="4" s="1"/>
  <c r="AG696" i="4"/>
  <c r="L694" i="4" s="1"/>
  <c r="AF696" i="4"/>
  <c r="K694" i="4" s="1"/>
  <c r="AE696" i="4"/>
  <c r="J694" i="4" s="1"/>
  <c r="AD696" i="4"/>
  <c r="I694" i="4" s="1"/>
  <c r="AC696" i="4"/>
  <c r="H694" i="4" s="1"/>
  <c r="AB696" i="4"/>
  <c r="G694" i="4" s="1"/>
  <c r="AA696" i="4"/>
  <c r="F694" i="4" s="1"/>
  <c r="Z696" i="4"/>
  <c r="E694" i="4" s="1"/>
  <c r="Y696" i="4"/>
  <c r="D694" i="4" s="1"/>
  <c r="T667" i="4"/>
  <c r="V667" i="4"/>
  <c r="D664" i="4"/>
  <c r="AR669" i="4"/>
  <c r="W667" i="4" s="1"/>
  <c r="AP669" i="4"/>
  <c r="U667" i="4" s="1"/>
  <c r="AN669" i="4"/>
  <c r="S667" i="4" s="1"/>
  <c r="AM669" i="4"/>
  <c r="R667" i="4" s="1"/>
  <c r="AL669" i="4"/>
  <c r="Q667" i="4" s="1"/>
  <c r="AK669" i="4"/>
  <c r="P667" i="4" s="1"/>
  <c r="AJ669" i="4"/>
  <c r="O667" i="4" s="1"/>
  <c r="AI669" i="4"/>
  <c r="N667" i="4" s="1"/>
  <c r="AH669" i="4"/>
  <c r="M667" i="4" s="1"/>
  <c r="AG669" i="4"/>
  <c r="L667" i="4" s="1"/>
  <c r="AF669" i="4"/>
  <c r="K667" i="4" s="1"/>
  <c r="AE669" i="4"/>
  <c r="J667" i="4" s="1"/>
  <c r="AD669" i="4"/>
  <c r="I667" i="4" s="1"/>
  <c r="AC669" i="4"/>
  <c r="H667" i="4" s="1"/>
  <c r="AB669" i="4"/>
  <c r="G667" i="4" s="1"/>
  <c r="AA669" i="4"/>
  <c r="F667" i="4" s="1"/>
  <c r="Z669" i="4"/>
  <c r="E667" i="4" s="1"/>
  <c r="Y669" i="4"/>
  <c r="D667" i="4" s="1"/>
  <c r="T640" i="4"/>
  <c r="V640" i="4"/>
  <c r="D637" i="4"/>
  <c r="AR642" i="4"/>
  <c r="W640" i="4" s="1"/>
  <c r="AP642" i="4"/>
  <c r="U640" i="4" s="1"/>
  <c r="AN642" i="4"/>
  <c r="S640" i="4" s="1"/>
  <c r="AM642" i="4"/>
  <c r="R640" i="4" s="1"/>
  <c r="AL642" i="4"/>
  <c r="Q640" i="4" s="1"/>
  <c r="AK642" i="4"/>
  <c r="P640" i="4" s="1"/>
  <c r="AJ642" i="4"/>
  <c r="O640" i="4" s="1"/>
  <c r="AI642" i="4"/>
  <c r="N640" i="4" s="1"/>
  <c r="AH642" i="4"/>
  <c r="M640" i="4" s="1"/>
  <c r="AG642" i="4"/>
  <c r="L640" i="4" s="1"/>
  <c r="AF642" i="4"/>
  <c r="K640" i="4" s="1"/>
  <c r="AE642" i="4"/>
  <c r="J640" i="4" s="1"/>
  <c r="AD642" i="4"/>
  <c r="I640" i="4" s="1"/>
  <c r="AC642" i="4"/>
  <c r="H640" i="4" s="1"/>
  <c r="AB642" i="4"/>
  <c r="G640" i="4" s="1"/>
  <c r="AA642" i="4"/>
  <c r="F640" i="4" s="1"/>
  <c r="Z642" i="4"/>
  <c r="E640" i="4" s="1"/>
  <c r="Y642" i="4"/>
  <c r="D640" i="4" s="1"/>
  <c r="D610" i="4"/>
  <c r="T613" i="4"/>
  <c r="V613" i="4"/>
  <c r="AR615" i="4"/>
  <c r="W613" i="4" s="1"/>
  <c r="AP615" i="4"/>
  <c r="U613" i="4" s="1"/>
  <c r="AN615" i="4"/>
  <c r="S613" i="4" s="1"/>
  <c r="AM615" i="4"/>
  <c r="R613" i="4" s="1"/>
  <c r="AL615" i="4"/>
  <c r="Q613" i="4" s="1"/>
  <c r="AK615" i="4"/>
  <c r="P613" i="4" s="1"/>
  <c r="AJ615" i="4"/>
  <c r="O613" i="4" s="1"/>
  <c r="AI615" i="4"/>
  <c r="N613" i="4" s="1"/>
  <c r="AH615" i="4"/>
  <c r="M613" i="4" s="1"/>
  <c r="AG615" i="4"/>
  <c r="L613" i="4" s="1"/>
  <c r="AF615" i="4"/>
  <c r="K613" i="4" s="1"/>
  <c r="AE615" i="4"/>
  <c r="J613" i="4" s="1"/>
  <c r="AD615" i="4"/>
  <c r="I613" i="4" s="1"/>
  <c r="AC615" i="4"/>
  <c r="H613" i="4" s="1"/>
  <c r="AB615" i="4"/>
  <c r="G613" i="4" s="1"/>
  <c r="AA615" i="4"/>
  <c r="F613" i="4" s="1"/>
  <c r="Z615" i="4"/>
  <c r="E613" i="4" s="1"/>
  <c r="T586" i="4"/>
  <c r="V586" i="4"/>
  <c r="D583" i="4"/>
  <c r="AR588" i="4"/>
  <c r="W586" i="4" s="1"/>
  <c r="AP588" i="4"/>
  <c r="U586" i="4" s="1"/>
  <c r="AN588" i="4"/>
  <c r="S586" i="4" s="1"/>
  <c r="AM588" i="4"/>
  <c r="R586" i="4" s="1"/>
  <c r="AL588" i="4"/>
  <c r="Q586" i="4" s="1"/>
  <c r="AK588" i="4"/>
  <c r="P586" i="4" s="1"/>
  <c r="AJ588" i="4"/>
  <c r="O586" i="4" s="1"/>
  <c r="AI588" i="4"/>
  <c r="N586" i="4" s="1"/>
  <c r="AH588" i="4"/>
  <c r="M586" i="4" s="1"/>
  <c r="AG588" i="4"/>
  <c r="L586" i="4" s="1"/>
  <c r="AF588" i="4"/>
  <c r="K586" i="4" s="1"/>
  <c r="AE588" i="4"/>
  <c r="J586" i="4" s="1"/>
  <c r="AD588" i="4"/>
  <c r="I586" i="4" s="1"/>
  <c r="AC588" i="4"/>
  <c r="H586" i="4" s="1"/>
  <c r="AB588" i="4"/>
  <c r="G586" i="4" s="1"/>
  <c r="AA588" i="4"/>
  <c r="F586" i="4" s="1"/>
  <c r="Z588" i="4"/>
  <c r="E586" i="4" s="1"/>
  <c r="Y588" i="4"/>
  <c r="D586" i="4" s="1"/>
  <c r="T559" i="4"/>
  <c r="V559" i="4"/>
  <c r="D556" i="4"/>
  <c r="AR561" i="4"/>
  <c r="W559" i="4" s="1"/>
  <c r="AP561" i="4"/>
  <c r="U559" i="4" s="1"/>
  <c r="AN561" i="4"/>
  <c r="S559" i="4" s="1"/>
  <c r="AM561" i="4"/>
  <c r="R559" i="4" s="1"/>
  <c r="AL561" i="4"/>
  <c r="Q559" i="4" s="1"/>
  <c r="AK561" i="4"/>
  <c r="P559" i="4" s="1"/>
  <c r="AJ561" i="4"/>
  <c r="O559" i="4" s="1"/>
  <c r="AI561" i="4"/>
  <c r="N559" i="4" s="1"/>
  <c r="AH561" i="4"/>
  <c r="M559" i="4" s="1"/>
  <c r="AG561" i="4"/>
  <c r="L559" i="4" s="1"/>
  <c r="AF561" i="4"/>
  <c r="K559" i="4" s="1"/>
  <c r="AE561" i="4"/>
  <c r="J559" i="4" s="1"/>
  <c r="AD561" i="4"/>
  <c r="I559" i="4" s="1"/>
  <c r="AC561" i="4"/>
  <c r="H559" i="4" s="1"/>
  <c r="AB561" i="4"/>
  <c r="G559" i="4" s="1"/>
  <c r="AA561" i="4"/>
  <c r="F559" i="4" s="1"/>
  <c r="Z561" i="4"/>
  <c r="E559" i="4" s="1"/>
  <c r="Y561" i="4"/>
  <c r="D559" i="4" s="1"/>
  <c r="T531" i="4"/>
  <c r="V531" i="4"/>
  <c r="D528" i="4"/>
  <c r="W526" i="4"/>
  <c r="W528" i="4" s="1"/>
  <c r="E526" i="4"/>
  <c r="E528" i="4" s="1"/>
  <c r="AR533" i="4"/>
  <c r="W531" i="4" s="1"/>
  <c r="AP533" i="4"/>
  <c r="U531" i="4" s="1"/>
  <c r="AN533" i="4"/>
  <c r="S531" i="4" s="1"/>
  <c r="AM533" i="4"/>
  <c r="R531" i="4" s="1"/>
  <c r="AL533" i="4"/>
  <c r="Q531" i="4" s="1"/>
  <c r="AK533" i="4"/>
  <c r="P531" i="4" s="1"/>
  <c r="AJ533" i="4"/>
  <c r="O531" i="4" s="1"/>
  <c r="AI533" i="4"/>
  <c r="N531" i="4" s="1"/>
  <c r="AH533" i="4"/>
  <c r="M531" i="4" s="1"/>
  <c r="AG533" i="4"/>
  <c r="L531" i="4" s="1"/>
  <c r="AF533" i="4"/>
  <c r="K531" i="4" s="1"/>
  <c r="AE533" i="4"/>
  <c r="J531" i="4" s="1"/>
  <c r="AD533" i="4"/>
  <c r="I531" i="4" s="1"/>
  <c r="AC533" i="4"/>
  <c r="H531" i="4" s="1"/>
  <c r="AB533" i="4"/>
  <c r="G531" i="4" s="1"/>
  <c r="AA533" i="4"/>
  <c r="F531" i="4" s="1"/>
  <c r="Z533" i="4"/>
  <c r="E531" i="4" s="1"/>
  <c r="Y533" i="4"/>
  <c r="D531" i="4" s="1"/>
  <c r="T504" i="4"/>
  <c r="V504" i="4"/>
  <c r="D501" i="4"/>
  <c r="AR506" i="4"/>
  <c r="W504" i="4" s="1"/>
  <c r="AP506" i="4"/>
  <c r="U504" i="4" s="1"/>
  <c r="AN506" i="4"/>
  <c r="S504" i="4" s="1"/>
  <c r="AM506" i="4"/>
  <c r="R504" i="4" s="1"/>
  <c r="AL506" i="4"/>
  <c r="Q504" i="4" s="1"/>
  <c r="AK506" i="4"/>
  <c r="P504" i="4" s="1"/>
  <c r="AJ506" i="4"/>
  <c r="O504" i="4" s="1"/>
  <c r="AI506" i="4"/>
  <c r="N504" i="4" s="1"/>
  <c r="AH506" i="4"/>
  <c r="M504" i="4" s="1"/>
  <c r="AG506" i="4"/>
  <c r="L504" i="4" s="1"/>
  <c r="AF506" i="4"/>
  <c r="K504" i="4" s="1"/>
  <c r="AE506" i="4"/>
  <c r="J504" i="4" s="1"/>
  <c r="AD506" i="4"/>
  <c r="I504" i="4" s="1"/>
  <c r="AC506" i="4"/>
  <c r="H504" i="4" s="1"/>
  <c r="AB506" i="4"/>
  <c r="G504" i="4" s="1"/>
  <c r="AA506" i="4"/>
  <c r="F504" i="4" s="1"/>
  <c r="Z506" i="4"/>
  <c r="E504" i="4" s="1"/>
  <c r="Y506" i="4"/>
  <c r="D504" i="4" s="1"/>
  <c r="T476" i="4"/>
  <c r="V476" i="4"/>
  <c r="AR478" i="4"/>
  <c r="W476" i="4" s="1"/>
  <c r="AP478" i="4"/>
  <c r="U476" i="4" s="1"/>
  <c r="AN478" i="4"/>
  <c r="S476" i="4" s="1"/>
  <c r="AM478" i="4"/>
  <c r="R476" i="4" s="1"/>
  <c r="AL478" i="4"/>
  <c r="Q476" i="4" s="1"/>
  <c r="AK478" i="4"/>
  <c r="P476" i="4" s="1"/>
  <c r="AJ478" i="4"/>
  <c r="O476" i="4" s="1"/>
  <c r="AI478" i="4"/>
  <c r="N476" i="4" s="1"/>
  <c r="AH478" i="4"/>
  <c r="M476" i="4" s="1"/>
  <c r="AG478" i="4"/>
  <c r="L476" i="4" s="1"/>
  <c r="AF478" i="4"/>
  <c r="K476" i="4" s="1"/>
  <c r="AE478" i="4"/>
  <c r="J476" i="4" s="1"/>
  <c r="AD478" i="4"/>
  <c r="I476" i="4" s="1"/>
  <c r="AC478" i="4"/>
  <c r="H476" i="4" s="1"/>
  <c r="AB478" i="4"/>
  <c r="G476" i="4" s="1"/>
  <c r="AA478" i="4"/>
  <c r="F476" i="4" s="1"/>
  <c r="Z478" i="4"/>
  <c r="E476" i="4" s="1"/>
  <c r="Y478" i="4"/>
  <c r="D476" i="4" s="1"/>
  <c r="D473" i="4"/>
  <c r="W471" i="4"/>
  <c r="W473" i="4" s="1"/>
  <c r="Q471" i="4"/>
  <c r="Q473" i="4" s="1"/>
  <c r="P471" i="4"/>
  <c r="P473" i="4" s="1"/>
  <c r="T421" i="4"/>
  <c r="V421" i="4"/>
  <c r="T449" i="4"/>
  <c r="V449" i="4"/>
  <c r="D446" i="4"/>
  <c r="W444" i="4"/>
  <c r="W446" i="4" s="1"/>
  <c r="Q444" i="4"/>
  <c r="Q446" i="4" s="1"/>
  <c r="P444" i="4"/>
  <c r="P446" i="4" s="1"/>
  <c r="AR451" i="4"/>
  <c r="W449" i="4" s="1"/>
  <c r="AP451" i="4"/>
  <c r="U449" i="4" s="1"/>
  <c r="AN451" i="4"/>
  <c r="S449" i="4" s="1"/>
  <c r="AM451" i="4"/>
  <c r="R449" i="4" s="1"/>
  <c r="AL451" i="4"/>
  <c r="Q449" i="4" s="1"/>
  <c r="AK451" i="4"/>
  <c r="P449" i="4" s="1"/>
  <c r="AJ451" i="4"/>
  <c r="O449" i="4" s="1"/>
  <c r="AI451" i="4"/>
  <c r="N449" i="4" s="1"/>
  <c r="AH451" i="4"/>
  <c r="M449" i="4" s="1"/>
  <c r="AG451" i="4"/>
  <c r="L449" i="4" s="1"/>
  <c r="AF451" i="4"/>
  <c r="K449" i="4" s="1"/>
  <c r="AE451" i="4"/>
  <c r="J449" i="4" s="1"/>
  <c r="AD451" i="4"/>
  <c r="I449" i="4" s="1"/>
  <c r="AC451" i="4"/>
  <c r="H449" i="4" s="1"/>
  <c r="AB451" i="4"/>
  <c r="G449" i="4" s="1"/>
  <c r="AA451" i="4"/>
  <c r="F449" i="4" s="1"/>
  <c r="Z451" i="4"/>
  <c r="E449" i="4" s="1"/>
  <c r="Y451" i="4"/>
  <c r="D449" i="4" s="1"/>
  <c r="D418" i="4"/>
  <c r="W416" i="4"/>
  <c r="W418" i="4" s="1"/>
  <c r="AR423" i="4"/>
  <c r="W421" i="4" s="1"/>
  <c r="AP423" i="4"/>
  <c r="U421" i="4" s="1"/>
  <c r="AN423" i="4"/>
  <c r="S421" i="4" s="1"/>
  <c r="AM423" i="4"/>
  <c r="R421" i="4" s="1"/>
  <c r="AL423" i="4"/>
  <c r="Q421" i="4" s="1"/>
  <c r="AK423" i="4"/>
  <c r="P421" i="4" s="1"/>
  <c r="AJ423" i="4"/>
  <c r="O421" i="4" s="1"/>
  <c r="AI423" i="4"/>
  <c r="N421" i="4" s="1"/>
  <c r="AH423" i="4"/>
  <c r="M421" i="4" s="1"/>
  <c r="AG423" i="4"/>
  <c r="L421" i="4" s="1"/>
  <c r="AF423" i="4"/>
  <c r="K421" i="4" s="1"/>
  <c r="AE423" i="4"/>
  <c r="J421" i="4" s="1"/>
  <c r="AD423" i="4"/>
  <c r="I421" i="4" s="1"/>
  <c r="AC423" i="4"/>
  <c r="H421" i="4" s="1"/>
  <c r="AB423" i="4"/>
  <c r="G421" i="4" s="1"/>
  <c r="AA423" i="4"/>
  <c r="F421" i="4" s="1"/>
  <c r="Z423" i="4"/>
  <c r="E421" i="4" s="1"/>
  <c r="Y423" i="4"/>
  <c r="D421" i="4" s="1"/>
  <c r="T393" i="4"/>
  <c r="V393" i="4"/>
  <c r="D390" i="4"/>
  <c r="AR395" i="4"/>
  <c r="W393" i="4" s="1"/>
  <c r="AP395" i="4"/>
  <c r="U393" i="4" s="1"/>
  <c r="AN395" i="4"/>
  <c r="S393" i="4" s="1"/>
  <c r="AM395" i="4"/>
  <c r="R393" i="4" s="1"/>
  <c r="AL395" i="4"/>
  <c r="Q393" i="4" s="1"/>
  <c r="AK395" i="4"/>
  <c r="P393" i="4" s="1"/>
  <c r="AJ395" i="4"/>
  <c r="O393" i="4" s="1"/>
  <c r="AI395" i="4"/>
  <c r="N393" i="4" s="1"/>
  <c r="AH395" i="4"/>
  <c r="M393" i="4" s="1"/>
  <c r="AG395" i="4"/>
  <c r="L393" i="4" s="1"/>
  <c r="AF395" i="4"/>
  <c r="K393" i="4" s="1"/>
  <c r="AE395" i="4"/>
  <c r="J393" i="4" s="1"/>
  <c r="AD395" i="4"/>
  <c r="I393" i="4" s="1"/>
  <c r="AC395" i="4"/>
  <c r="H393" i="4" s="1"/>
  <c r="AB395" i="4"/>
  <c r="G393" i="4" s="1"/>
  <c r="AA395" i="4"/>
  <c r="F393" i="4" s="1"/>
  <c r="Z395" i="4"/>
  <c r="E393" i="4" s="1"/>
  <c r="Y395" i="4"/>
  <c r="D393" i="4" s="1"/>
  <c r="T365" i="4"/>
  <c r="V365" i="4"/>
  <c r="D362" i="4"/>
  <c r="AR367" i="4"/>
  <c r="W365" i="4" s="1"/>
  <c r="AP367" i="4"/>
  <c r="U365" i="4" s="1"/>
  <c r="AN367" i="4"/>
  <c r="S365" i="4" s="1"/>
  <c r="AM367" i="4"/>
  <c r="R365" i="4" s="1"/>
  <c r="AL367" i="4"/>
  <c r="Q365" i="4" s="1"/>
  <c r="AK367" i="4"/>
  <c r="P365" i="4" s="1"/>
  <c r="AJ367" i="4"/>
  <c r="O365" i="4" s="1"/>
  <c r="AI367" i="4"/>
  <c r="N365" i="4" s="1"/>
  <c r="AH367" i="4"/>
  <c r="M365" i="4" s="1"/>
  <c r="AG367" i="4"/>
  <c r="L365" i="4" s="1"/>
  <c r="AF367" i="4"/>
  <c r="K365" i="4" s="1"/>
  <c r="AE367" i="4"/>
  <c r="J365" i="4" s="1"/>
  <c r="AD367" i="4"/>
  <c r="I365" i="4" s="1"/>
  <c r="AC367" i="4"/>
  <c r="H365" i="4" s="1"/>
  <c r="AB367" i="4"/>
  <c r="G365" i="4" s="1"/>
  <c r="AA367" i="4"/>
  <c r="F365" i="4" s="1"/>
  <c r="Z367" i="4"/>
  <c r="E365" i="4" s="1"/>
  <c r="Y367" i="4"/>
  <c r="D365" i="4" s="1"/>
  <c r="T339" i="4"/>
  <c r="V339" i="4"/>
  <c r="D336" i="4"/>
  <c r="W334" i="4"/>
  <c r="W336" i="4" s="1"/>
  <c r="E334" i="4"/>
  <c r="F334" i="4" s="1"/>
  <c r="AR341" i="4"/>
  <c r="W339" i="4" s="1"/>
  <c r="AP341" i="4"/>
  <c r="U339" i="4" s="1"/>
  <c r="AN341" i="4"/>
  <c r="S339" i="4" s="1"/>
  <c r="AM341" i="4"/>
  <c r="R339" i="4" s="1"/>
  <c r="AL341" i="4"/>
  <c r="Q339" i="4" s="1"/>
  <c r="AK341" i="4"/>
  <c r="P339" i="4" s="1"/>
  <c r="AJ341" i="4"/>
  <c r="O339" i="4" s="1"/>
  <c r="AI341" i="4"/>
  <c r="N339" i="4" s="1"/>
  <c r="AH341" i="4"/>
  <c r="M339" i="4" s="1"/>
  <c r="AG341" i="4"/>
  <c r="L339" i="4" s="1"/>
  <c r="AF341" i="4"/>
  <c r="K339" i="4" s="1"/>
  <c r="AE341" i="4"/>
  <c r="J339" i="4" s="1"/>
  <c r="AD341" i="4"/>
  <c r="I339" i="4" s="1"/>
  <c r="AC341" i="4"/>
  <c r="H339" i="4" s="1"/>
  <c r="AB341" i="4"/>
  <c r="G339" i="4" s="1"/>
  <c r="AA341" i="4"/>
  <c r="F339" i="4" s="1"/>
  <c r="Z341" i="4"/>
  <c r="E339" i="4" s="1"/>
  <c r="Y341" i="4"/>
  <c r="D339" i="4" s="1"/>
  <c r="T313" i="4"/>
  <c r="V313" i="4"/>
  <c r="D310" i="4"/>
  <c r="W308" i="4"/>
  <c r="W310" i="4" s="1"/>
  <c r="E308" i="4"/>
  <c r="E310" i="4" s="1"/>
  <c r="AR315" i="4"/>
  <c r="W313" i="4" s="1"/>
  <c r="AP315" i="4"/>
  <c r="U313" i="4" s="1"/>
  <c r="AN315" i="4"/>
  <c r="S313" i="4" s="1"/>
  <c r="AM315" i="4"/>
  <c r="R313" i="4" s="1"/>
  <c r="AL315" i="4"/>
  <c r="Q313" i="4" s="1"/>
  <c r="AK315" i="4"/>
  <c r="P313" i="4" s="1"/>
  <c r="AJ315" i="4"/>
  <c r="O313" i="4" s="1"/>
  <c r="AI315" i="4"/>
  <c r="N313" i="4" s="1"/>
  <c r="AH315" i="4"/>
  <c r="M313" i="4" s="1"/>
  <c r="AG315" i="4"/>
  <c r="L313" i="4" s="1"/>
  <c r="AF315" i="4"/>
  <c r="K313" i="4" s="1"/>
  <c r="AE315" i="4"/>
  <c r="J313" i="4" s="1"/>
  <c r="AD315" i="4"/>
  <c r="I313" i="4" s="1"/>
  <c r="AC315" i="4"/>
  <c r="H313" i="4" s="1"/>
  <c r="AB315" i="4"/>
  <c r="G313" i="4" s="1"/>
  <c r="AA315" i="4"/>
  <c r="F313" i="4" s="1"/>
  <c r="Z315" i="4"/>
  <c r="E313" i="4" s="1"/>
  <c r="Y315" i="4"/>
  <c r="D313" i="4" s="1"/>
  <c r="T285" i="4"/>
  <c r="V285" i="4"/>
  <c r="D282" i="4"/>
  <c r="AR287" i="4"/>
  <c r="W285" i="4" s="1"/>
  <c r="AP287" i="4"/>
  <c r="U285" i="4" s="1"/>
  <c r="AN287" i="4"/>
  <c r="S285" i="4" s="1"/>
  <c r="AM287" i="4"/>
  <c r="R285" i="4" s="1"/>
  <c r="AL287" i="4"/>
  <c r="Q285" i="4" s="1"/>
  <c r="AK287" i="4"/>
  <c r="P285" i="4" s="1"/>
  <c r="AJ287" i="4"/>
  <c r="O285" i="4" s="1"/>
  <c r="AI287" i="4"/>
  <c r="N285" i="4" s="1"/>
  <c r="AH287" i="4"/>
  <c r="M285" i="4" s="1"/>
  <c r="AG287" i="4"/>
  <c r="L285" i="4" s="1"/>
  <c r="AF287" i="4"/>
  <c r="K285" i="4" s="1"/>
  <c r="AE287" i="4"/>
  <c r="J285" i="4" s="1"/>
  <c r="AD287" i="4"/>
  <c r="I285" i="4" s="1"/>
  <c r="AC287" i="4"/>
  <c r="H285" i="4" s="1"/>
  <c r="AB287" i="4"/>
  <c r="G285" i="4" s="1"/>
  <c r="AA287" i="4"/>
  <c r="F285" i="4" s="1"/>
  <c r="Z287" i="4"/>
  <c r="E285" i="4" s="1"/>
  <c r="Y287" i="4"/>
  <c r="D285" i="4" s="1"/>
  <c r="T257" i="4"/>
  <c r="V257" i="4"/>
  <c r="D254" i="4"/>
  <c r="AR259" i="4"/>
  <c r="W257" i="4" s="1"/>
  <c r="AP259" i="4"/>
  <c r="U257" i="4" s="1"/>
  <c r="AN259" i="4"/>
  <c r="S257" i="4" s="1"/>
  <c r="AM259" i="4"/>
  <c r="R257" i="4" s="1"/>
  <c r="AL259" i="4"/>
  <c r="Q257" i="4" s="1"/>
  <c r="AK259" i="4"/>
  <c r="P257" i="4" s="1"/>
  <c r="AJ259" i="4"/>
  <c r="O257" i="4" s="1"/>
  <c r="AI259" i="4"/>
  <c r="N257" i="4" s="1"/>
  <c r="AH259" i="4"/>
  <c r="M257" i="4" s="1"/>
  <c r="AG259" i="4"/>
  <c r="L257" i="4" s="1"/>
  <c r="AF259" i="4"/>
  <c r="K257" i="4" s="1"/>
  <c r="AE259" i="4"/>
  <c r="J257" i="4" s="1"/>
  <c r="AD259" i="4"/>
  <c r="I257" i="4" s="1"/>
  <c r="AC259" i="4"/>
  <c r="H257" i="4" s="1"/>
  <c r="AB259" i="4"/>
  <c r="G257" i="4" s="1"/>
  <c r="AA259" i="4"/>
  <c r="F257" i="4" s="1"/>
  <c r="Z259" i="4"/>
  <c r="E257" i="4" s="1"/>
  <c r="Y259" i="4"/>
  <c r="D257" i="4" s="1"/>
  <c r="T229" i="4"/>
  <c r="V229" i="4"/>
  <c r="D226" i="4"/>
  <c r="AR231" i="4"/>
  <c r="W229" i="4" s="1"/>
  <c r="AP231" i="4"/>
  <c r="U229" i="4" s="1"/>
  <c r="AN231" i="4"/>
  <c r="S229" i="4" s="1"/>
  <c r="AM231" i="4"/>
  <c r="R229" i="4" s="1"/>
  <c r="AL231" i="4"/>
  <c r="Q229" i="4" s="1"/>
  <c r="AK231" i="4"/>
  <c r="P229" i="4" s="1"/>
  <c r="AJ231" i="4"/>
  <c r="O229" i="4" s="1"/>
  <c r="AI231" i="4"/>
  <c r="N229" i="4" s="1"/>
  <c r="AH231" i="4"/>
  <c r="M229" i="4" s="1"/>
  <c r="AG231" i="4"/>
  <c r="L229" i="4" s="1"/>
  <c r="AF231" i="4"/>
  <c r="K229" i="4" s="1"/>
  <c r="AE231" i="4"/>
  <c r="J229" i="4" s="1"/>
  <c r="AD231" i="4"/>
  <c r="I229" i="4" s="1"/>
  <c r="AC231" i="4"/>
  <c r="H229" i="4" s="1"/>
  <c r="AB231" i="4"/>
  <c r="G229" i="4" s="1"/>
  <c r="AA231" i="4"/>
  <c r="F229" i="4" s="1"/>
  <c r="Z231" i="4"/>
  <c r="E229" i="4" s="1"/>
  <c r="Y231" i="4"/>
  <c r="D229" i="4" s="1"/>
  <c r="D198" i="4"/>
  <c r="W196" i="4"/>
  <c r="W198" i="4" s="1"/>
  <c r="E196" i="4"/>
  <c r="E198" i="4" s="1"/>
  <c r="T201" i="4"/>
  <c r="V201" i="4"/>
  <c r="AR203" i="4"/>
  <c r="W201" i="4" s="1"/>
  <c r="AP203" i="4"/>
  <c r="U201" i="4" s="1"/>
  <c r="AN203" i="4"/>
  <c r="S201" i="4" s="1"/>
  <c r="AM203" i="4"/>
  <c r="R201" i="4" s="1"/>
  <c r="AL203" i="4"/>
  <c r="Q201" i="4" s="1"/>
  <c r="AK203" i="4"/>
  <c r="P201" i="4" s="1"/>
  <c r="AJ203" i="4"/>
  <c r="O201" i="4" s="1"/>
  <c r="AI203" i="4"/>
  <c r="N201" i="4" s="1"/>
  <c r="AH203" i="4"/>
  <c r="M201" i="4" s="1"/>
  <c r="AG203" i="4"/>
  <c r="L201" i="4" s="1"/>
  <c r="AF203" i="4"/>
  <c r="K201" i="4" s="1"/>
  <c r="AE203" i="4"/>
  <c r="J201" i="4" s="1"/>
  <c r="AD203" i="4"/>
  <c r="I201" i="4" s="1"/>
  <c r="AC203" i="4"/>
  <c r="H201" i="4" s="1"/>
  <c r="AB203" i="4"/>
  <c r="G201" i="4" s="1"/>
  <c r="AA203" i="4"/>
  <c r="F201" i="4" s="1"/>
  <c r="Z203" i="4"/>
  <c r="E201" i="4" s="1"/>
  <c r="Y203" i="4"/>
  <c r="D201" i="4" s="1"/>
  <c r="D171" i="4"/>
  <c r="T174" i="4"/>
  <c r="V174" i="4"/>
  <c r="AR176" i="4"/>
  <c r="W174" i="4" s="1"/>
  <c r="AP176" i="4"/>
  <c r="U174" i="4" s="1"/>
  <c r="AN176" i="4"/>
  <c r="S174" i="4" s="1"/>
  <c r="AM176" i="4"/>
  <c r="R174" i="4" s="1"/>
  <c r="AL176" i="4"/>
  <c r="Q174" i="4" s="1"/>
  <c r="AK176" i="4"/>
  <c r="P174" i="4" s="1"/>
  <c r="AJ176" i="4"/>
  <c r="O174" i="4" s="1"/>
  <c r="AI176" i="4"/>
  <c r="N174" i="4" s="1"/>
  <c r="AH176" i="4"/>
  <c r="M174" i="4" s="1"/>
  <c r="AG176" i="4"/>
  <c r="L174" i="4" s="1"/>
  <c r="AF176" i="4"/>
  <c r="K174" i="4" s="1"/>
  <c r="AE176" i="4"/>
  <c r="J174" i="4" s="1"/>
  <c r="AD176" i="4"/>
  <c r="I174" i="4" s="1"/>
  <c r="AC176" i="4"/>
  <c r="H174" i="4" s="1"/>
  <c r="AB176" i="4"/>
  <c r="G174" i="4" s="1"/>
  <c r="AA176" i="4"/>
  <c r="F174" i="4" s="1"/>
  <c r="Z176" i="4"/>
  <c r="E174" i="4" s="1"/>
  <c r="Y176" i="4"/>
  <c r="D174" i="4" s="1"/>
  <c r="D33" i="4"/>
  <c r="D60" i="4"/>
  <c r="D88" i="4"/>
  <c r="D116" i="4"/>
  <c r="D144" i="4"/>
  <c r="T147" i="4"/>
  <c r="V147" i="4"/>
  <c r="AR149" i="4"/>
  <c r="W147" i="4" s="1"/>
  <c r="AP149" i="4"/>
  <c r="U147" i="4" s="1"/>
  <c r="AN149" i="4"/>
  <c r="S147" i="4" s="1"/>
  <c r="AM149" i="4"/>
  <c r="R147" i="4" s="1"/>
  <c r="AL149" i="4"/>
  <c r="Q147" i="4" s="1"/>
  <c r="AK149" i="4"/>
  <c r="P147" i="4" s="1"/>
  <c r="AJ149" i="4"/>
  <c r="O147" i="4" s="1"/>
  <c r="AI149" i="4"/>
  <c r="N147" i="4" s="1"/>
  <c r="AH149" i="4"/>
  <c r="M147" i="4" s="1"/>
  <c r="AG149" i="4"/>
  <c r="L147" i="4" s="1"/>
  <c r="AF149" i="4"/>
  <c r="K147" i="4" s="1"/>
  <c r="AE149" i="4"/>
  <c r="J147" i="4" s="1"/>
  <c r="AD149" i="4"/>
  <c r="I147" i="4" s="1"/>
  <c r="AC149" i="4"/>
  <c r="H147" i="4" s="1"/>
  <c r="AB149" i="4"/>
  <c r="G147" i="4" s="1"/>
  <c r="AA149" i="4"/>
  <c r="F147" i="4" s="1"/>
  <c r="Z149" i="4"/>
  <c r="E147" i="4" s="1"/>
  <c r="Y149" i="4"/>
  <c r="D147" i="4" s="1"/>
  <c r="T119" i="4"/>
  <c r="V119" i="4"/>
  <c r="AR121" i="4"/>
  <c r="W119" i="4" s="1"/>
  <c r="AP121" i="4"/>
  <c r="U119" i="4" s="1"/>
  <c r="AN121" i="4"/>
  <c r="S119" i="4" s="1"/>
  <c r="AM121" i="4"/>
  <c r="R119" i="4" s="1"/>
  <c r="AL121" i="4"/>
  <c r="Q119" i="4" s="1"/>
  <c r="AK121" i="4"/>
  <c r="P119" i="4" s="1"/>
  <c r="AJ121" i="4"/>
  <c r="O119" i="4" s="1"/>
  <c r="AI121" i="4"/>
  <c r="N119" i="4" s="1"/>
  <c r="AH121" i="4"/>
  <c r="M119" i="4" s="1"/>
  <c r="AG121" i="4"/>
  <c r="L119" i="4" s="1"/>
  <c r="AF121" i="4"/>
  <c r="K119" i="4" s="1"/>
  <c r="AE121" i="4"/>
  <c r="J119" i="4" s="1"/>
  <c r="AD121" i="4"/>
  <c r="I119" i="4" s="1"/>
  <c r="AC121" i="4"/>
  <c r="H119" i="4" s="1"/>
  <c r="AB121" i="4"/>
  <c r="G119" i="4" s="1"/>
  <c r="AA121" i="4"/>
  <c r="F119" i="4" s="1"/>
  <c r="Z121" i="4"/>
  <c r="E119" i="4" s="1"/>
  <c r="Y121" i="4"/>
  <c r="D119" i="4" s="1"/>
  <c r="T91" i="4"/>
  <c r="V91" i="4"/>
  <c r="AR93" i="4"/>
  <c r="W91" i="4" s="1"/>
  <c r="AP93" i="4"/>
  <c r="U91" i="4" s="1"/>
  <c r="AN93" i="4"/>
  <c r="S91" i="4" s="1"/>
  <c r="AM93" i="4"/>
  <c r="R91" i="4" s="1"/>
  <c r="AL93" i="4"/>
  <c r="Q91" i="4" s="1"/>
  <c r="AK93" i="4"/>
  <c r="P91" i="4" s="1"/>
  <c r="AJ93" i="4"/>
  <c r="O91" i="4" s="1"/>
  <c r="AI93" i="4"/>
  <c r="N91" i="4" s="1"/>
  <c r="AH93" i="4"/>
  <c r="M91" i="4" s="1"/>
  <c r="AG93" i="4"/>
  <c r="L91" i="4" s="1"/>
  <c r="AF93" i="4"/>
  <c r="K91" i="4" s="1"/>
  <c r="AE93" i="4"/>
  <c r="J91" i="4" s="1"/>
  <c r="AD93" i="4"/>
  <c r="I91" i="4" s="1"/>
  <c r="AC93" i="4"/>
  <c r="H91" i="4" s="1"/>
  <c r="AB93" i="4"/>
  <c r="G91" i="4" s="1"/>
  <c r="AA93" i="4"/>
  <c r="F91" i="4" s="1"/>
  <c r="Z93" i="4"/>
  <c r="E91" i="4" s="1"/>
  <c r="Y93" i="4"/>
  <c r="D91" i="4" s="1"/>
  <c r="T36" i="4"/>
  <c r="V36" i="4"/>
  <c r="AR38" i="4"/>
  <c r="W36" i="4" s="1"/>
  <c r="AP38" i="4"/>
  <c r="U36" i="4" s="1"/>
  <c r="AN38" i="4"/>
  <c r="S36" i="4" s="1"/>
  <c r="AM38" i="4"/>
  <c r="R36" i="4" s="1"/>
  <c r="AL38" i="4"/>
  <c r="Q36" i="4" s="1"/>
  <c r="AK38" i="4"/>
  <c r="P36" i="4" s="1"/>
  <c r="AJ38" i="4"/>
  <c r="O36" i="4" s="1"/>
  <c r="AI38" i="4"/>
  <c r="N36" i="4" s="1"/>
  <c r="AH38" i="4"/>
  <c r="M36" i="4" s="1"/>
  <c r="AG38" i="4"/>
  <c r="L36" i="4" s="1"/>
  <c r="AF38" i="4"/>
  <c r="K36" i="4" s="1"/>
  <c r="AE38" i="4"/>
  <c r="J36" i="4" s="1"/>
  <c r="AD38" i="4"/>
  <c r="I36" i="4" s="1"/>
  <c r="AC38" i="4"/>
  <c r="H36" i="4" s="1"/>
  <c r="AB38" i="4"/>
  <c r="G36" i="4" s="1"/>
  <c r="AA38" i="4"/>
  <c r="F36" i="4" s="1"/>
  <c r="Z38" i="4"/>
  <c r="E36" i="4" s="1"/>
  <c r="Y38" i="4"/>
  <c r="D36" i="4" s="1"/>
  <c r="T63" i="4"/>
  <c r="V63" i="4"/>
  <c r="AR65" i="4"/>
  <c r="W63" i="4" s="1"/>
  <c r="AP65" i="4"/>
  <c r="U63" i="4" s="1"/>
  <c r="AN65" i="4"/>
  <c r="S63" i="4" s="1"/>
  <c r="AM65" i="4"/>
  <c r="R63" i="4" s="1"/>
  <c r="AL65" i="4"/>
  <c r="Q63" i="4" s="1"/>
  <c r="AK65" i="4"/>
  <c r="P63" i="4" s="1"/>
  <c r="AJ65" i="4"/>
  <c r="O63" i="4" s="1"/>
  <c r="AI65" i="4"/>
  <c r="N63" i="4" s="1"/>
  <c r="AH65" i="4"/>
  <c r="M63" i="4" s="1"/>
  <c r="AG65" i="4"/>
  <c r="L63" i="4" s="1"/>
  <c r="AF65" i="4"/>
  <c r="K63" i="4" s="1"/>
  <c r="AE65" i="4"/>
  <c r="J63" i="4" s="1"/>
  <c r="AD65" i="4"/>
  <c r="I63" i="4" s="1"/>
  <c r="AC65" i="4"/>
  <c r="H63" i="4" s="1"/>
  <c r="AB65" i="4"/>
  <c r="G63" i="4" s="1"/>
  <c r="AA65" i="4"/>
  <c r="F63" i="4" s="1"/>
  <c r="Z65" i="4"/>
  <c r="E63" i="4" s="1"/>
  <c r="Y65" i="4"/>
  <c r="D63" i="4" s="1"/>
  <c r="AR10" i="4"/>
  <c r="W8" i="4" s="1"/>
  <c r="AP10" i="4"/>
  <c r="U8" i="4" s="1"/>
  <c r="AN10" i="4"/>
  <c r="S8" i="4" s="1"/>
  <c r="AM10" i="4"/>
  <c r="R8" i="4" s="1"/>
  <c r="AL10" i="4"/>
  <c r="Q8" i="4" s="1"/>
  <c r="AK10" i="4"/>
  <c r="P8" i="4" s="1"/>
  <c r="AJ10" i="4"/>
  <c r="O8" i="4" s="1"/>
  <c r="AI10" i="4"/>
  <c r="N8" i="4" s="1"/>
  <c r="AH10" i="4"/>
  <c r="M8" i="4" s="1"/>
  <c r="AG10" i="4"/>
  <c r="L8" i="4" s="1"/>
  <c r="AF10" i="4"/>
  <c r="K8" i="4" s="1"/>
  <c r="AE10" i="4"/>
  <c r="J8" i="4" s="1"/>
  <c r="AD10" i="4"/>
  <c r="I8" i="4" s="1"/>
  <c r="AC10" i="4"/>
  <c r="H8" i="4" s="1"/>
  <c r="AB10" i="4"/>
  <c r="G8" i="4" s="1"/>
  <c r="AA10" i="4"/>
  <c r="F8" i="4" s="1"/>
  <c r="Z10" i="4"/>
  <c r="E8" i="4" s="1"/>
  <c r="Y10" i="4"/>
  <c r="D8" i="4" s="1"/>
  <c r="D5" i="4"/>
  <c r="D6" i="4" s="1"/>
  <c r="F526" i="4" l="1"/>
  <c r="G526" i="4" s="1"/>
  <c r="E1190" i="4"/>
  <c r="F1190" i="4"/>
  <c r="E336" i="4"/>
  <c r="G1190" i="4"/>
  <c r="H1190" i="4"/>
  <c r="E995" i="4"/>
  <c r="I1190" i="4"/>
  <c r="E1079" i="4"/>
  <c r="F308" i="4"/>
  <c r="G308" i="4" s="1"/>
  <c r="F1049" i="4"/>
  <c r="F1051" i="4" s="1"/>
  <c r="J1190" i="4"/>
  <c r="E1107" i="4"/>
  <c r="F1215" i="4"/>
  <c r="F1217" i="4" s="1"/>
  <c r="F1107" i="4"/>
  <c r="G993" i="4"/>
  <c r="F995" i="4"/>
  <c r="E967" i="4"/>
  <c r="F965" i="4"/>
  <c r="G1077" i="4"/>
  <c r="F1079" i="4"/>
  <c r="G334" i="4"/>
  <c r="F336" i="4"/>
  <c r="H1105" i="4"/>
  <c r="G1107" i="4"/>
  <c r="F196" i="4"/>
  <c r="E771" i="4"/>
  <c r="F769" i="4"/>
  <c r="L1188" i="4"/>
  <c r="K1190" i="4"/>
  <c r="F1021" i="4"/>
  <c r="M24" i="17"/>
  <c r="L24" i="17"/>
  <c r="K24" i="17"/>
  <c r="M23" i="17"/>
  <c r="L23" i="17"/>
  <c r="K23" i="17"/>
  <c r="D729" i="3"/>
  <c r="J45" i="17"/>
  <c r="G1215" i="4" l="1"/>
  <c r="H1215" i="4" s="1"/>
  <c r="F528" i="4"/>
  <c r="F310" i="4"/>
  <c r="G1049" i="4"/>
  <c r="H1049" i="4" s="1"/>
  <c r="H334" i="4"/>
  <c r="G336" i="4"/>
  <c r="M1188" i="4"/>
  <c r="L1190" i="4"/>
  <c r="H308" i="4"/>
  <c r="G310" i="4"/>
  <c r="G769" i="4"/>
  <c r="F771" i="4"/>
  <c r="H1077" i="4"/>
  <c r="G1079" i="4"/>
  <c r="G196" i="4"/>
  <c r="F198" i="4"/>
  <c r="G965" i="4"/>
  <c r="F967" i="4"/>
  <c r="I1105" i="4"/>
  <c r="H1107" i="4"/>
  <c r="H526" i="4"/>
  <c r="G528" i="4"/>
  <c r="H993" i="4"/>
  <c r="G995" i="4"/>
  <c r="G1021" i="4"/>
  <c r="F1023" i="4"/>
  <c r="D89" i="4"/>
  <c r="G1217" i="4" l="1"/>
  <c r="G1051" i="4"/>
  <c r="I1077" i="4"/>
  <c r="H1079" i="4"/>
  <c r="H769" i="4"/>
  <c r="G771" i="4"/>
  <c r="I308" i="4"/>
  <c r="H310" i="4"/>
  <c r="I993" i="4"/>
  <c r="H995" i="4"/>
  <c r="N1188" i="4"/>
  <c r="M1190" i="4"/>
  <c r="I526" i="4"/>
  <c r="H528" i="4"/>
  <c r="I334" i="4"/>
  <c r="H336" i="4"/>
  <c r="I1049" i="4"/>
  <c r="H1051" i="4"/>
  <c r="J1105" i="4"/>
  <c r="I1107" i="4"/>
  <c r="H196" i="4"/>
  <c r="G198" i="4"/>
  <c r="H965" i="4"/>
  <c r="G967" i="4"/>
  <c r="I1215" i="4"/>
  <c r="H1217" i="4"/>
  <c r="H1021" i="4"/>
  <c r="G1023" i="4"/>
  <c r="D5" i="3"/>
  <c r="D6" i="3" s="1"/>
  <c r="J1049" i="4" l="1"/>
  <c r="I1051" i="4"/>
  <c r="J334" i="4"/>
  <c r="I336" i="4"/>
  <c r="J526" i="4"/>
  <c r="I528" i="4"/>
  <c r="J1215" i="4"/>
  <c r="I1217" i="4"/>
  <c r="O1188" i="4"/>
  <c r="N1190" i="4"/>
  <c r="J993" i="4"/>
  <c r="I995" i="4"/>
  <c r="I965" i="4"/>
  <c r="H967" i="4"/>
  <c r="J308" i="4"/>
  <c r="I310" i="4"/>
  <c r="I196" i="4"/>
  <c r="H198" i="4"/>
  <c r="I769" i="4"/>
  <c r="H771" i="4"/>
  <c r="K1105" i="4"/>
  <c r="J1107" i="4"/>
  <c r="J1077" i="4"/>
  <c r="I1079" i="4"/>
  <c r="I1021" i="4"/>
  <c r="H1023" i="4"/>
  <c r="D7" i="3"/>
  <c r="D8" i="3" s="1"/>
  <c r="K1077" i="4" l="1"/>
  <c r="J1079" i="4"/>
  <c r="L1105" i="4"/>
  <c r="K1107" i="4"/>
  <c r="K526" i="4"/>
  <c r="J528" i="4"/>
  <c r="K1049" i="4"/>
  <c r="J1051" i="4"/>
  <c r="J965" i="4"/>
  <c r="I967" i="4"/>
  <c r="K993" i="4"/>
  <c r="J995" i="4"/>
  <c r="J196" i="4"/>
  <c r="I198" i="4"/>
  <c r="K308" i="4"/>
  <c r="J310" i="4"/>
  <c r="P1188" i="4"/>
  <c r="O1190" i="4"/>
  <c r="K1215" i="4"/>
  <c r="J1217" i="4"/>
  <c r="J769" i="4"/>
  <c r="I771" i="4"/>
  <c r="K334" i="4"/>
  <c r="J336" i="4"/>
  <c r="J1021" i="4"/>
  <c r="I1023" i="4"/>
  <c r="L334" i="4" l="1"/>
  <c r="K336" i="4"/>
  <c r="K769" i="4"/>
  <c r="J771" i="4"/>
  <c r="Q1188" i="4"/>
  <c r="P1190" i="4"/>
  <c r="L1077" i="4"/>
  <c r="K1079" i="4"/>
  <c r="L308" i="4"/>
  <c r="K310" i="4"/>
  <c r="K196" i="4"/>
  <c r="J198" i="4"/>
  <c r="L993" i="4"/>
  <c r="K995" i="4"/>
  <c r="K965" i="4"/>
  <c r="J967" i="4"/>
  <c r="L1049" i="4"/>
  <c r="K1051" i="4"/>
  <c r="L526" i="4"/>
  <c r="K528" i="4"/>
  <c r="L1215" i="4"/>
  <c r="K1217" i="4"/>
  <c r="M1105" i="4"/>
  <c r="L1107" i="4"/>
  <c r="K1021" i="4"/>
  <c r="J1023" i="4"/>
  <c r="D105" i="17"/>
  <c r="C105" i="17"/>
  <c r="B105" i="17"/>
  <c r="E105" i="17" s="1"/>
  <c r="V704" i="3"/>
  <c r="V705" i="3" s="1"/>
  <c r="U704" i="3"/>
  <c r="U705" i="3" s="1"/>
  <c r="T704" i="3"/>
  <c r="S704" i="3"/>
  <c r="S705" i="3" s="1"/>
  <c r="R704" i="3"/>
  <c r="R705" i="3" s="1"/>
  <c r="Q704" i="3"/>
  <c r="Q705" i="3" s="1"/>
  <c r="Q706" i="3" s="1"/>
  <c r="P704" i="3"/>
  <c r="P705" i="3" s="1"/>
  <c r="O704" i="3"/>
  <c r="O705" i="3" s="1"/>
  <c r="N704" i="3"/>
  <c r="N705" i="3" s="1"/>
  <c r="M704" i="3"/>
  <c r="M705" i="3" s="1"/>
  <c r="L704" i="3"/>
  <c r="K704" i="3"/>
  <c r="K705" i="3" s="1"/>
  <c r="J704" i="3"/>
  <c r="J705" i="3" s="1"/>
  <c r="I704" i="3"/>
  <c r="I705" i="3" s="1"/>
  <c r="H704" i="3"/>
  <c r="H705" i="3" s="1"/>
  <c r="G704" i="3"/>
  <c r="F704" i="3"/>
  <c r="E704" i="3"/>
  <c r="D704" i="3"/>
  <c r="W704" i="3"/>
  <c r="M993" i="4" l="1"/>
  <c r="L995" i="4"/>
  <c r="M1215" i="4"/>
  <c r="L1217" i="4"/>
  <c r="R1188" i="4"/>
  <c r="Q1190" i="4"/>
  <c r="L965" i="4"/>
  <c r="K967" i="4"/>
  <c r="M1077" i="4"/>
  <c r="L1079" i="4"/>
  <c r="M526" i="4"/>
  <c r="L528" i="4"/>
  <c r="L769" i="4"/>
  <c r="K771" i="4"/>
  <c r="L196" i="4"/>
  <c r="K198" i="4"/>
  <c r="M308" i="4"/>
  <c r="L310" i="4"/>
  <c r="N1105" i="4"/>
  <c r="M1107" i="4"/>
  <c r="M1049" i="4"/>
  <c r="L1051" i="4"/>
  <c r="M334" i="4"/>
  <c r="L336" i="4"/>
  <c r="L1021" i="4"/>
  <c r="K1023" i="4"/>
  <c r="Q707" i="3"/>
  <c r="Q708" i="3" s="1"/>
  <c r="Q710" i="3" s="1"/>
  <c r="N49" i="15" s="1"/>
  <c r="V706" i="3"/>
  <c r="E705" i="3"/>
  <c r="E706" i="3" s="1"/>
  <c r="K706" i="3"/>
  <c r="F705" i="3"/>
  <c r="F706" i="3" s="1"/>
  <c r="G705" i="3"/>
  <c r="G706" i="3" s="1"/>
  <c r="R706" i="3"/>
  <c r="M706" i="3"/>
  <c r="S706" i="3"/>
  <c r="N706" i="3"/>
  <c r="U706" i="3"/>
  <c r="O706" i="3"/>
  <c r="W705" i="3"/>
  <c r="W706" i="3" s="1"/>
  <c r="I706" i="3"/>
  <c r="J706" i="3"/>
  <c r="D705" i="3"/>
  <c r="D706" i="3" s="1"/>
  <c r="L705" i="3"/>
  <c r="L706" i="3" s="1"/>
  <c r="T705" i="3"/>
  <c r="T706" i="3" s="1"/>
  <c r="H706" i="3"/>
  <c r="P706" i="3"/>
  <c r="O1105" i="4" l="1"/>
  <c r="N1107" i="4"/>
  <c r="N993" i="4"/>
  <c r="M995" i="4"/>
  <c r="M769" i="4"/>
  <c r="L771" i="4"/>
  <c r="N526" i="4"/>
  <c r="M528" i="4"/>
  <c r="N1077" i="4"/>
  <c r="M1079" i="4"/>
  <c r="N1215" i="4"/>
  <c r="M1217" i="4"/>
  <c r="N308" i="4"/>
  <c r="M310" i="4"/>
  <c r="M196" i="4"/>
  <c r="L198" i="4"/>
  <c r="N334" i="4"/>
  <c r="M336" i="4"/>
  <c r="M965" i="4"/>
  <c r="L967" i="4"/>
  <c r="N1049" i="4"/>
  <c r="M1051" i="4"/>
  <c r="S1188" i="4"/>
  <c r="S1190" i="4" s="1"/>
  <c r="R1190" i="4"/>
  <c r="M1021" i="4"/>
  <c r="L1023" i="4"/>
  <c r="Q712" i="3"/>
  <c r="G707" i="3"/>
  <c r="G708" i="3" s="1"/>
  <c r="G710" i="3" s="1"/>
  <c r="K707" i="3"/>
  <c r="V707" i="3"/>
  <c r="V708" i="3" s="1"/>
  <c r="V710" i="3" s="1"/>
  <c r="F707" i="3"/>
  <c r="F708" i="3" s="1"/>
  <c r="F710" i="3" s="1"/>
  <c r="K708" i="3"/>
  <c r="K710" i="3" s="1"/>
  <c r="E707" i="3"/>
  <c r="E708" i="3" s="1"/>
  <c r="E710" i="3" s="1"/>
  <c r="L707" i="3"/>
  <c r="L708" i="3" s="1"/>
  <c r="L710" i="3" s="1"/>
  <c r="W707" i="3"/>
  <c r="W708" i="3" s="1"/>
  <c r="W710" i="3" s="1"/>
  <c r="R49" i="15" s="1"/>
  <c r="D707" i="3"/>
  <c r="D708" i="3" s="1"/>
  <c r="D710" i="3" s="1"/>
  <c r="M707" i="3"/>
  <c r="M708" i="3" s="1"/>
  <c r="M710" i="3" s="1"/>
  <c r="U707" i="3"/>
  <c r="U708" i="3" s="1"/>
  <c r="U710" i="3" s="1"/>
  <c r="T707" i="3"/>
  <c r="T708" i="3" s="1"/>
  <c r="T710" i="3" s="1"/>
  <c r="S707" i="3"/>
  <c r="S708" i="3" s="1"/>
  <c r="S710" i="3" s="1"/>
  <c r="F49" i="16" s="1"/>
  <c r="O707" i="3"/>
  <c r="O708" i="3" s="1"/>
  <c r="O710" i="3" s="1"/>
  <c r="F49" i="15" s="1"/>
  <c r="R707" i="3"/>
  <c r="R708" i="3" s="1"/>
  <c r="R710" i="3" s="1"/>
  <c r="B49" i="16" s="1"/>
  <c r="J707" i="3"/>
  <c r="J708" i="3" s="1"/>
  <c r="J710" i="3" s="1"/>
  <c r="P707" i="3"/>
  <c r="P708" i="3" s="1"/>
  <c r="P710" i="3" s="1"/>
  <c r="J49" i="15" s="1"/>
  <c r="H707" i="3"/>
  <c r="H708" i="3" s="1"/>
  <c r="H710" i="3" s="1"/>
  <c r="I707" i="3"/>
  <c r="I708" i="3" s="1"/>
  <c r="I710" i="3" s="1"/>
  <c r="N707" i="3"/>
  <c r="N708" i="3" s="1"/>
  <c r="N710" i="3" s="1"/>
  <c r="D280" i="3"/>
  <c r="D281" i="3" s="1"/>
  <c r="E278" i="3"/>
  <c r="E280" i="3" s="1"/>
  <c r="O334" i="4" l="1"/>
  <c r="N336" i="4"/>
  <c r="P1105" i="4"/>
  <c r="O1107" i="4"/>
  <c r="N196" i="4"/>
  <c r="M198" i="4"/>
  <c r="O308" i="4"/>
  <c r="N310" i="4"/>
  <c r="O1215" i="4"/>
  <c r="N1217" i="4"/>
  <c r="O1077" i="4"/>
  <c r="N1079" i="4"/>
  <c r="O526" i="4"/>
  <c r="N528" i="4"/>
  <c r="O1049" i="4"/>
  <c r="N1051" i="4"/>
  <c r="N769" i="4"/>
  <c r="M771" i="4"/>
  <c r="N965" i="4"/>
  <c r="M967" i="4"/>
  <c r="O993" i="4"/>
  <c r="N995" i="4"/>
  <c r="N1021" i="4"/>
  <c r="M1023" i="4"/>
  <c r="N49" i="13"/>
  <c r="N49" i="14"/>
  <c r="B49" i="13"/>
  <c r="J49" i="14"/>
  <c r="J49" i="17"/>
  <c r="B49" i="17"/>
  <c r="F49" i="17"/>
  <c r="R49" i="14"/>
  <c r="J49" i="13"/>
  <c r="F49" i="14"/>
  <c r="F49" i="13"/>
  <c r="Q717" i="3"/>
  <c r="Q721" i="3" s="1"/>
  <c r="G712" i="3"/>
  <c r="G717" i="3" s="1"/>
  <c r="G721" i="3" s="1"/>
  <c r="J712" i="3"/>
  <c r="J717" i="3" s="1"/>
  <c r="J721" i="3" s="1"/>
  <c r="P712" i="3"/>
  <c r="F712" i="3"/>
  <c r="F717" i="3" s="1"/>
  <c r="F721" i="3" s="1"/>
  <c r="S712" i="3"/>
  <c r="V712" i="3"/>
  <c r="D712" i="3"/>
  <c r="W712" i="3"/>
  <c r="I712" i="3"/>
  <c r="I717" i="3" s="1"/>
  <c r="I721" i="3" s="1"/>
  <c r="L712" i="3"/>
  <c r="L717" i="3" s="1"/>
  <c r="L721" i="3" s="1"/>
  <c r="E712" i="3"/>
  <c r="E717" i="3" s="1"/>
  <c r="E721" i="3" s="1"/>
  <c r="K712" i="3"/>
  <c r="K717" i="3" s="1"/>
  <c r="K721" i="3" s="1"/>
  <c r="R712" i="3"/>
  <c r="O712" i="3"/>
  <c r="T712" i="3"/>
  <c r="T717" i="3" s="1"/>
  <c r="T721" i="3" s="1"/>
  <c r="U712" i="3"/>
  <c r="M712" i="3"/>
  <c r="N712" i="3"/>
  <c r="H712" i="3"/>
  <c r="F278" i="3"/>
  <c r="G278" i="3" s="1"/>
  <c r="I278" i="3" s="1"/>
  <c r="E281" i="3"/>
  <c r="E282" i="3" s="1"/>
  <c r="D282" i="3"/>
  <c r="P1049" i="4" l="1"/>
  <c r="O1051" i="4"/>
  <c r="P526" i="4"/>
  <c r="O528" i="4"/>
  <c r="P1077" i="4"/>
  <c r="O1079" i="4"/>
  <c r="P1215" i="4"/>
  <c r="O1217" i="4"/>
  <c r="P308" i="4"/>
  <c r="O310" i="4"/>
  <c r="P993" i="4"/>
  <c r="O995" i="4"/>
  <c r="O196" i="4"/>
  <c r="N198" i="4"/>
  <c r="O965" i="4"/>
  <c r="N967" i="4"/>
  <c r="Q1105" i="4"/>
  <c r="P1107" i="4"/>
  <c r="O769" i="4"/>
  <c r="N771" i="4"/>
  <c r="P334" i="4"/>
  <c r="O336" i="4"/>
  <c r="O1021" i="4"/>
  <c r="N1023" i="4"/>
  <c r="Q718" i="3"/>
  <c r="Q722" i="3" s="1"/>
  <c r="O49" i="15"/>
  <c r="Q719" i="3"/>
  <c r="Q723" i="3" s="1"/>
  <c r="P49" i="15"/>
  <c r="V717" i="3"/>
  <c r="V721" i="3" s="1"/>
  <c r="M717" i="3"/>
  <c r="M721" i="3" s="1"/>
  <c r="I718" i="3"/>
  <c r="I722" i="3" s="1"/>
  <c r="I720" i="3"/>
  <c r="I724" i="3" s="1"/>
  <c r="I719" i="3"/>
  <c r="I723" i="3" s="1"/>
  <c r="Q720" i="3"/>
  <c r="Q724" i="3" s="1"/>
  <c r="Q49" i="15"/>
  <c r="U717" i="3"/>
  <c r="U721" i="3" s="1"/>
  <c r="H717" i="3"/>
  <c r="H721" i="3" s="1"/>
  <c r="W717" i="3"/>
  <c r="W721" i="3" s="1"/>
  <c r="S717" i="3"/>
  <c r="S721" i="3" s="1"/>
  <c r="R717" i="3"/>
  <c r="R721" i="3" s="1"/>
  <c r="P717" i="3"/>
  <c r="P721" i="3" s="1"/>
  <c r="O717" i="3"/>
  <c r="O721" i="3" s="1"/>
  <c r="N717" i="3"/>
  <c r="N721" i="3" s="1"/>
  <c r="B49" i="12"/>
  <c r="D717" i="3"/>
  <c r="D721" i="3" s="1"/>
  <c r="G280" i="3"/>
  <c r="G281" i="3" s="1"/>
  <c r="G282" i="3" s="1"/>
  <c r="H278" i="3"/>
  <c r="H280" i="3" s="1"/>
  <c r="H281" i="3" s="1"/>
  <c r="H282" i="3" s="1"/>
  <c r="F280" i="3"/>
  <c r="F281" i="3" s="1"/>
  <c r="F282" i="3" s="1"/>
  <c r="E283" i="3"/>
  <c r="E284" i="3" s="1"/>
  <c r="E286" i="3" s="1"/>
  <c r="E288" i="3" s="1"/>
  <c r="E293" i="3" s="1"/>
  <c r="E297" i="3" s="1"/>
  <c r="D283" i="3"/>
  <c r="D284" i="3" s="1"/>
  <c r="D286" i="3" s="1"/>
  <c r="D288" i="3" s="1"/>
  <c r="I280" i="3"/>
  <c r="J278" i="3"/>
  <c r="W1135" i="4"/>
  <c r="W827" i="4"/>
  <c r="V529" i="4"/>
  <c r="V530" i="4" s="1"/>
  <c r="U529" i="4"/>
  <c r="U530" i="4" s="1"/>
  <c r="T529" i="4"/>
  <c r="T530" i="4" s="1"/>
  <c r="C3" i="17"/>
  <c r="C3" i="16"/>
  <c r="C3" i="15"/>
  <c r="I1" i="17"/>
  <c r="I1" i="16"/>
  <c r="I1" i="15"/>
  <c r="P196" i="4" l="1"/>
  <c r="O198" i="4"/>
  <c r="Q308" i="4"/>
  <c r="P310" i="4"/>
  <c r="Q993" i="4"/>
  <c r="P995" i="4"/>
  <c r="Q1215" i="4"/>
  <c r="P1217" i="4"/>
  <c r="P1218" i="4" s="1"/>
  <c r="P1219" i="4" s="1"/>
  <c r="P1221" i="4" s="1"/>
  <c r="P1223" i="4" s="1"/>
  <c r="Q334" i="4"/>
  <c r="P336" i="4"/>
  <c r="Q1077" i="4"/>
  <c r="P1079" i="4"/>
  <c r="P965" i="4"/>
  <c r="O967" i="4"/>
  <c r="P769" i="4"/>
  <c r="O771" i="4"/>
  <c r="Q526" i="4"/>
  <c r="P528" i="4"/>
  <c r="R1105" i="4"/>
  <c r="Q1107" i="4"/>
  <c r="Q1049" i="4"/>
  <c r="P1051" i="4"/>
  <c r="P1021" i="4"/>
  <c r="O1023" i="4"/>
  <c r="W720" i="3"/>
  <c r="W724" i="3" s="1"/>
  <c r="U49" i="15"/>
  <c r="T718" i="3"/>
  <c r="T722" i="3" s="1"/>
  <c r="C49" i="17"/>
  <c r="G720" i="3"/>
  <c r="G724" i="3" s="1"/>
  <c r="M49" i="13"/>
  <c r="T719" i="3"/>
  <c r="T723" i="3" s="1"/>
  <c r="D49" i="17"/>
  <c r="O49" i="13"/>
  <c r="H718" i="3"/>
  <c r="H722" i="3" s="1"/>
  <c r="N719" i="3"/>
  <c r="N723" i="3" s="1"/>
  <c r="D49" i="15"/>
  <c r="R718" i="3"/>
  <c r="R722" i="3" s="1"/>
  <c r="C49" i="16"/>
  <c r="K49" i="13"/>
  <c r="G718" i="3"/>
  <c r="G722" i="3" s="1"/>
  <c r="T720" i="3"/>
  <c r="T724" i="3" s="1"/>
  <c r="E49" i="17"/>
  <c r="H719" i="3"/>
  <c r="H723" i="3" s="1"/>
  <c r="P49" i="13"/>
  <c r="N718" i="3"/>
  <c r="N722" i="3" s="1"/>
  <c r="C49" i="15"/>
  <c r="R719" i="3"/>
  <c r="R723" i="3" s="1"/>
  <c r="D49" i="16"/>
  <c r="J719" i="3"/>
  <c r="J723" i="3" s="1"/>
  <c r="H49" i="14"/>
  <c r="H720" i="3"/>
  <c r="H724" i="3" s="1"/>
  <c r="Q49" i="13"/>
  <c r="W719" i="3"/>
  <c r="W723" i="3" s="1"/>
  <c r="T49" i="15"/>
  <c r="M718" i="3"/>
  <c r="M722" i="3" s="1"/>
  <c r="S49" i="14"/>
  <c r="G719" i="3"/>
  <c r="G723" i="3" s="1"/>
  <c r="L49" i="13"/>
  <c r="N720" i="3"/>
  <c r="N724" i="3" s="1"/>
  <c r="E49" i="15"/>
  <c r="J720" i="3"/>
  <c r="J724" i="3" s="1"/>
  <c r="I49" i="14"/>
  <c r="S718" i="3"/>
  <c r="S722" i="3" s="1"/>
  <c r="G49" i="16"/>
  <c r="E718" i="3"/>
  <c r="E722" i="3" s="1"/>
  <c r="C49" i="13"/>
  <c r="O720" i="3"/>
  <c r="O724" i="3" s="1"/>
  <c r="I49" i="15"/>
  <c r="S720" i="3"/>
  <c r="S724" i="3" s="1"/>
  <c r="I49" i="16"/>
  <c r="K719" i="3"/>
  <c r="K723" i="3" s="1"/>
  <c r="L49" i="14"/>
  <c r="U719" i="3"/>
  <c r="U723" i="3" s="1"/>
  <c r="H49" i="17"/>
  <c r="E720" i="3"/>
  <c r="E724" i="3" s="1"/>
  <c r="E49" i="13"/>
  <c r="P718" i="3"/>
  <c r="P722" i="3" s="1"/>
  <c r="K49" i="15"/>
  <c r="R720" i="3"/>
  <c r="R724" i="3" s="1"/>
  <c r="E49" i="16"/>
  <c r="V718" i="3"/>
  <c r="V722" i="3" s="1"/>
  <c r="K49" i="17"/>
  <c r="O719" i="3"/>
  <c r="O723" i="3" s="1"/>
  <c r="H49" i="15"/>
  <c r="K718" i="3"/>
  <c r="K722" i="3" s="1"/>
  <c r="K49" i="14"/>
  <c r="E719" i="3"/>
  <c r="E723" i="3" s="1"/>
  <c r="D49" i="13"/>
  <c r="L718" i="3"/>
  <c r="L722" i="3" s="1"/>
  <c r="O49" i="14"/>
  <c r="F718" i="3"/>
  <c r="F722" i="3" s="1"/>
  <c r="G49" i="13"/>
  <c r="U720" i="3"/>
  <c r="U724" i="3" s="1"/>
  <c r="I49" i="17"/>
  <c r="I49" i="13"/>
  <c r="F720" i="3"/>
  <c r="F724" i="3" s="1"/>
  <c r="P719" i="3"/>
  <c r="P723" i="3" s="1"/>
  <c r="L49" i="15"/>
  <c r="T49" i="14"/>
  <c r="M719" i="3"/>
  <c r="M723" i="3" s="1"/>
  <c r="J718" i="3"/>
  <c r="J722" i="3" s="1"/>
  <c r="G49" i="14"/>
  <c r="V719" i="3"/>
  <c r="V723" i="3" s="1"/>
  <c r="L49" i="17"/>
  <c r="V720" i="3"/>
  <c r="V724" i="3" s="1"/>
  <c r="M49" i="17"/>
  <c r="O718" i="3"/>
  <c r="O722" i="3" s="1"/>
  <c r="G49" i="15"/>
  <c r="S719" i="3"/>
  <c r="S723" i="3" s="1"/>
  <c r="H49" i="16"/>
  <c r="K720" i="3"/>
  <c r="K724" i="3" s="1"/>
  <c r="M49" i="14"/>
  <c r="U718" i="3"/>
  <c r="U722" i="3" s="1"/>
  <c r="G49" i="17"/>
  <c r="P49" i="14"/>
  <c r="L719" i="3"/>
  <c r="L723" i="3" s="1"/>
  <c r="P720" i="3"/>
  <c r="P724" i="3" s="1"/>
  <c r="M49" i="15"/>
  <c r="W718" i="3"/>
  <c r="W722" i="3" s="1"/>
  <c r="S49" i="15"/>
  <c r="L720" i="3"/>
  <c r="L724" i="3" s="1"/>
  <c r="Q49" i="14"/>
  <c r="F719" i="3"/>
  <c r="F723" i="3" s="1"/>
  <c r="H49" i="13"/>
  <c r="M720" i="3"/>
  <c r="M724" i="3" s="1"/>
  <c r="U49" i="14"/>
  <c r="D294" i="3"/>
  <c r="D298" i="3" s="1"/>
  <c r="D293" i="3"/>
  <c r="D297" i="3" s="1"/>
  <c r="D296" i="3"/>
  <c r="D300" i="3" s="1"/>
  <c r="D295" i="3"/>
  <c r="D299" i="3" s="1"/>
  <c r="E49" i="12"/>
  <c r="D720" i="3"/>
  <c r="D724" i="3" s="1"/>
  <c r="D49" i="12"/>
  <c r="D719" i="3"/>
  <c r="D723" i="3" s="1"/>
  <c r="C49" i="12"/>
  <c r="D718" i="3"/>
  <c r="D722" i="3" s="1"/>
  <c r="E295" i="3"/>
  <c r="E299" i="3" s="1"/>
  <c r="E294" i="3"/>
  <c r="E298" i="3" s="1"/>
  <c r="E296" i="3"/>
  <c r="E300" i="3" s="1"/>
  <c r="E49" i="14"/>
  <c r="B49" i="14"/>
  <c r="C49" i="14"/>
  <c r="D49" i="14"/>
  <c r="H283" i="3"/>
  <c r="H284" i="3" s="1"/>
  <c r="H286" i="3" s="1"/>
  <c r="H288" i="3" s="1"/>
  <c r="J280" i="3"/>
  <c r="K278" i="3"/>
  <c r="I281" i="3"/>
  <c r="I282" i="3" s="1"/>
  <c r="G283" i="3"/>
  <c r="G284" i="3" s="1"/>
  <c r="G286" i="3" s="1"/>
  <c r="G288" i="3" s="1"/>
  <c r="F283" i="3"/>
  <c r="F284" i="3" s="1"/>
  <c r="F286" i="3" s="1"/>
  <c r="F288" i="3" s="1"/>
  <c r="I2" i="17"/>
  <c r="I2" i="16"/>
  <c r="I2" i="15"/>
  <c r="W1488" i="4"/>
  <c r="W1489" i="4" s="1"/>
  <c r="W1491" i="4" s="1"/>
  <c r="W1493" i="4" s="1"/>
  <c r="V1488" i="4"/>
  <c r="V1489" i="4" s="1"/>
  <c r="V1491" i="4" s="1"/>
  <c r="V1493" i="4" s="1"/>
  <c r="U1488" i="4"/>
  <c r="U1489" i="4" s="1"/>
  <c r="U1491" i="4" s="1"/>
  <c r="U1493" i="4" s="1"/>
  <c r="T1488" i="4"/>
  <c r="T1489" i="4" s="1"/>
  <c r="T1491" i="4" s="1"/>
  <c r="T1493" i="4" s="1"/>
  <c r="S1488" i="4"/>
  <c r="S1489" i="4" s="1"/>
  <c r="S1491" i="4" s="1"/>
  <c r="S1493" i="4" s="1"/>
  <c r="R1488" i="4"/>
  <c r="R1489" i="4" s="1"/>
  <c r="R1491" i="4" s="1"/>
  <c r="R1493" i="4" s="1"/>
  <c r="Q1488" i="4"/>
  <c r="Q1489" i="4" s="1"/>
  <c r="Q1491" i="4" s="1"/>
  <c r="Q1493" i="4" s="1"/>
  <c r="P1488" i="4"/>
  <c r="P1489" i="4" s="1"/>
  <c r="P1491" i="4" s="1"/>
  <c r="P1493" i="4" s="1"/>
  <c r="O1488" i="4"/>
  <c r="O1489" i="4" s="1"/>
  <c r="O1491" i="4" s="1"/>
  <c r="O1493" i="4" s="1"/>
  <c r="N1488" i="4"/>
  <c r="N1489" i="4" s="1"/>
  <c r="N1491" i="4" s="1"/>
  <c r="N1493" i="4" s="1"/>
  <c r="M1488" i="4"/>
  <c r="M1489" i="4" s="1"/>
  <c r="M1491" i="4" s="1"/>
  <c r="M1493" i="4" s="1"/>
  <c r="L1488" i="4"/>
  <c r="L1489" i="4" s="1"/>
  <c r="L1491" i="4" s="1"/>
  <c r="L1493" i="4" s="1"/>
  <c r="K1488" i="4"/>
  <c r="K1489" i="4" s="1"/>
  <c r="K1491" i="4" s="1"/>
  <c r="K1493" i="4" s="1"/>
  <c r="J1488" i="4"/>
  <c r="J1489" i="4" s="1"/>
  <c r="J1491" i="4" s="1"/>
  <c r="J1493" i="4" s="1"/>
  <c r="I1488" i="4"/>
  <c r="I1489" i="4" s="1"/>
  <c r="I1491" i="4" s="1"/>
  <c r="I1493" i="4" s="1"/>
  <c r="H1488" i="4"/>
  <c r="H1489" i="4" s="1"/>
  <c r="H1491" i="4" s="1"/>
  <c r="H1493" i="4" s="1"/>
  <c r="G1488" i="4"/>
  <c r="G1489" i="4" s="1"/>
  <c r="G1491" i="4" s="1"/>
  <c r="G1493" i="4" s="1"/>
  <c r="F1488" i="4"/>
  <c r="F1489" i="4" s="1"/>
  <c r="F1491" i="4" s="1"/>
  <c r="F1493" i="4" s="1"/>
  <c r="E1488" i="4"/>
  <c r="E1489" i="4" s="1"/>
  <c r="E1491" i="4" s="1"/>
  <c r="E1493" i="4" s="1"/>
  <c r="D1488" i="4"/>
  <c r="D1489" i="4" s="1"/>
  <c r="D1491" i="4" s="1"/>
  <c r="D1493" i="4" s="1"/>
  <c r="W1461" i="4"/>
  <c r="W1462" i="4" s="1"/>
  <c r="W1464" i="4" s="1"/>
  <c r="W1466" i="4" s="1"/>
  <c r="V1461" i="4"/>
  <c r="V1462" i="4" s="1"/>
  <c r="V1464" i="4" s="1"/>
  <c r="V1466" i="4" s="1"/>
  <c r="U1461" i="4"/>
  <c r="U1462" i="4" s="1"/>
  <c r="U1464" i="4" s="1"/>
  <c r="U1466" i="4" s="1"/>
  <c r="T1461" i="4"/>
  <c r="T1462" i="4" s="1"/>
  <c r="T1464" i="4" s="1"/>
  <c r="T1466" i="4" s="1"/>
  <c r="S1461" i="4"/>
  <c r="S1462" i="4" s="1"/>
  <c r="S1464" i="4" s="1"/>
  <c r="S1466" i="4" s="1"/>
  <c r="R1461" i="4"/>
  <c r="R1462" i="4" s="1"/>
  <c r="R1464" i="4" s="1"/>
  <c r="R1466" i="4" s="1"/>
  <c r="Q1461" i="4"/>
  <c r="Q1462" i="4" s="1"/>
  <c r="Q1464" i="4" s="1"/>
  <c r="Q1466" i="4" s="1"/>
  <c r="P1461" i="4"/>
  <c r="P1462" i="4" s="1"/>
  <c r="P1464" i="4" s="1"/>
  <c r="P1466" i="4" s="1"/>
  <c r="O1461" i="4"/>
  <c r="O1462" i="4" s="1"/>
  <c r="O1464" i="4" s="1"/>
  <c r="O1466" i="4" s="1"/>
  <c r="N1461" i="4"/>
  <c r="N1462" i="4" s="1"/>
  <c r="N1464" i="4" s="1"/>
  <c r="N1466" i="4" s="1"/>
  <c r="M1461" i="4"/>
  <c r="M1462" i="4" s="1"/>
  <c r="M1464" i="4" s="1"/>
  <c r="M1466" i="4" s="1"/>
  <c r="L1461" i="4"/>
  <c r="L1462" i="4" s="1"/>
  <c r="L1464" i="4" s="1"/>
  <c r="L1466" i="4" s="1"/>
  <c r="K1461" i="4"/>
  <c r="K1462" i="4" s="1"/>
  <c r="K1464" i="4" s="1"/>
  <c r="K1466" i="4" s="1"/>
  <c r="J1461" i="4"/>
  <c r="J1462" i="4" s="1"/>
  <c r="J1464" i="4" s="1"/>
  <c r="J1466" i="4" s="1"/>
  <c r="I1461" i="4"/>
  <c r="I1462" i="4" s="1"/>
  <c r="I1464" i="4" s="1"/>
  <c r="I1466" i="4" s="1"/>
  <c r="H1461" i="4"/>
  <c r="H1462" i="4" s="1"/>
  <c r="H1464" i="4" s="1"/>
  <c r="H1466" i="4" s="1"/>
  <c r="G1461" i="4"/>
  <c r="G1462" i="4" s="1"/>
  <c r="G1464" i="4" s="1"/>
  <c r="G1466" i="4" s="1"/>
  <c r="F1461" i="4"/>
  <c r="F1462" i="4" s="1"/>
  <c r="F1464" i="4" s="1"/>
  <c r="F1466" i="4" s="1"/>
  <c r="E1461" i="4"/>
  <c r="E1462" i="4" s="1"/>
  <c r="E1464" i="4" s="1"/>
  <c r="E1466" i="4" s="1"/>
  <c r="D1461" i="4"/>
  <c r="D1462" i="4" s="1"/>
  <c r="D1464" i="4" s="1"/>
  <c r="D1466" i="4" s="1"/>
  <c r="W1434" i="4"/>
  <c r="W1435" i="4" s="1"/>
  <c r="W1437" i="4" s="1"/>
  <c r="W1439" i="4" s="1"/>
  <c r="V1434" i="4"/>
  <c r="V1435" i="4" s="1"/>
  <c r="V1437" i="4" s="1"/>
  <c r="V1439" i="4" s="1"/>
  <c r="U1434" i="4"/>
  <c r="U1435" i="4" s="1"/>
  <c r="U1437" i="4" s="1"/>
  <c r="U1439" i="4" s="1"/>
  <c r="T1434" i="4"/>
  <c r="T1435" i="4" s="1"/>
  <c r="T1437" i="4" s="1"/>
  <c r="T1439" i="4" s="1"/>
  <c r="S1434" i="4"/>
  <c r="S1435" i="4" s="1"/>
  <c r="S1437" i="4" s="1"/>
  <c r="S1439" i="4" s="1"/>
  <c r="R1434" i="4"/>
  <c r="R1435" i="4" s="1"/>
  <c r="R1437" i="4" s="1"/>
  <c r="R1439" i="4" s="1"/>
  <c r="Q1434" i="4"/>
  <c r="Q1435" i="4" s="1"/>
  <c r="Q1437" i="4" s="1"/>
  <c r="Q1439" i="4" s="1"/>
  <c r="P1434" i="4"/>
  <c r="P1435" i="4" s="1"/>
  <c r="P1437" i="4" s="1"/>
  <c r="P1439" i="4" s="1"/>
  <c r="O1434" i="4"/>
  <c r="O1435" i="4" s="1"/>
  <c r="O1437" i="4" s="1"/>
  <c r="O1439" i="4" s="1"/>
  <c r="N1434" i="4"/>
  <c r="N1435" i="4" s="1"/>
  <c r="N1437" i="4" s="1"/>
  <c r="N1439" i="4" s="1"/>
  <c r="M1434" i="4"/>
  <c r="M1435" i="4" s="1"/>
  <c r="M1437" i="4" s="1"/>
  <c r="M1439" i="4" s="1"/>
  <c r="L1434" i="4"/>
  <c r="L1435" i="4" s="1"/>
  <c r="L1437" i="4" s="1"/>
  <c r="L1439" i="4" s="1"/>
  <c r="K1434" i="4"/>
  <c r="K1435" i="4" s="1"/>
  <c r="K1437" i="4" s="1"/>
  <c r="K1439" i="4" s="1"/>
  <c r="J1434" i="4"/>
  <c r="J1435" i="4" s="1"/>
  <c r="J1437" i="4" s="1"/>
  <c r="J1439" i="4" s="1"/>
  <c r="I1434" i="4"/>
  <c r="I1435" i="4" s="1"/>
  <c r="I1437" i="4" s="1"/>
  <c r="I1439" i="4" s="1"/>
  <c r="H1434" i="4"/>
  <c r="H1435" i="4" s="1"/>
  <c r="H1437" i="4" s="1"/>
  <c r="H1439" i="4" s="1"/>
  <c r="G1434" i="4"/>
  <c r="G1435" i="4" s="1"/>
  <c r="G1437" i="4" s="1"/>
  <c r="G1439" i="4" s="1"/>
  <c r="F1434" i="4"/>
  <c r="F1435" i="4" s="1"/>
  <c r="F1437" i="4" s="1"/>
  <c r="F1439" i="4" s="1"/>
  <c r="E1434" i="4"/>
  <c r="E1435" i="4" s="1"/>
  <c r="E1437" i="4" s="1"/>
  <c r="E1439" i="4" s="1"/>
  <c r="D1434" i="4"/>
  <c r="D1435" i="4" s="1"/>
  <c r="D1437" i="4" s="1"/>
  <c r="D1439" i="4" s="1"/>
  <c r="W1407" i="4"/>
  <c r="W1408" i="4" s="1"/>
  <c r="W1410" i="4" s="1"/>
  <c r="W1412" i="4" s="1"/>
  <c r="V1407" i="4"/>
  <c r="V1408" i="4" s="1"/>
  <c r="V1410" i="4" s="1"/>
  <c r="V1412" i="4" s="1"/>
  <c r="U1407" i="4"/>
  <c r="U1408" i="4" s="1"/>
  <c r="U1410" i="4" s="1"/>
  <c r="U1412" i="4" s="1"/>
  <c r="T1407" i="4"/>
  <c r="T1408" i="4" s="1"/>
  <c r="T1410" i="4" s="1"/>
  <c r="T1412" i="4" s="1"/>
  <c r="S1407" i="4"/>
  <c r="S1408" i="4" s="1"/>
  <c r="S1410" i="4" s="1"/>
  <c r="S1412" i="4" s="1"/>
  <c r="R1407" i="4"/>
  <c r="R1408" i="4" s="1"/>
  <c r="R1410" i="4" s="1"/>
  <c r="R1412" i="4" s="1"/>
  <c r="Q1407" i="4"/>
  <c r="Q1408" i="4" s="1"/>
  <c r="Q1410" i="4" s="1"/>
  <c r="Q1412" i="4" s="1"/>
  <c r="P1407" i="4"/>
  <c r="P1408" i="4" s="1"/>
  <c r="P1410" i="4" s="1"/>
  <c r="P1412" i="4" s="1"/>
  <c r="O1407" i="4"/>
  <c r="O1408" i="4" s="1"/>
  <c r="O1410" i="4" s="1"/>
  <c r="O1412" i="4" s="1"/>
  <c r="N1407" i="4"/>
  <c r="N1408" i="4" s="1"/>
  <c r="N1410" i="4" s="1"/>
  <c r="N1412" i="4" s="1"/>
  <c r="M1407" i="4"/>
  <c r="M1408" i="4" s="1"/>
  <c r="M1410" i="4" s="1"/>
  <c r="M1412" i="4" s="1"/>
  <c r="L1407" i="4"/>
  <c r="L1408" i="4" s="1"/>
  <c r="L1410" i="4" s="1"/>
  <c r="L1412" i="4" s="1"/>
  <c r="K1407" i="4"/>
  <c r="K1408" i="4" s="1"/>
  <c r="K1410" i="4" s="1"/>
  <c r="K1412" i="4" s="1"/>
  <c r="J1407" i="4"/>
  <c r="J1408" i="4" s="1"/>
  <c r="J1410" i="4" s="1"/>
  <c r="J1412" i="4" s="1"/>
  <c r="I1407" i="4"/>
  <c r="I1408" i="4" s="1"/>
  <c r="I1410" i="4" s="1"/>
  <c r="I1412" i="4" s="1"/>
  <c r="H1407" i="4"/>
  <c r="H1408" i="4" s="1"/>
  <c r="H1410" i="4" s="1"/>
  <c r="H1412" i="4" s="1"/>
  <c r="G1407" i="4"/>
  <c r="G1408" i="4" s="1"/>
  <c r="G1410" i="4" s="1"/>
  <c r="G1412" i="4" s="1"/>
  <c r="F1407" i="4"/>
  <c r="F1408" i="4" s="1"/>
  <c r="F1410" i="4" s="1"/>
  <c r="F1412" i="4" s="1"/>
  <c r="E1407" i="4"/>
  <c r="E1408" i="4" s="1"/>
  <c r="E1410" i="4" s="1"/>
  <c r="E1412" i="4" s="1"/>
  <c r="D1407" i="4"/>
  <c r="D1408" i="4" s="1"/>
  <c r="D1410" i="4" s="1"/>
  <c r="D1412" i="4" s="1"/>
  <c r="W1380" i="4"/>
  <c r="W1381" i="4" s="1"/>
  <c r="W1383" i="4" s="1"/>
  <c r="W1385" i="4" s="1"/>
  <c r="V1380" i="4"/>
  <c r="V1381" i="4" s="1"/>
  <c r="V1383" i="4" s="1"/>
  <c r="V1385" i="4" s="1"/>
  <c r="U1380" i="4"/>
  <c r="U1381" i="4" s="1"/>
  <c r="U1383" i="4" s="1"/>
  <c r="U1385" i="4" s="1"/>
  <c r="T1380" i="4"/>
  <c r="T1381" i="4" s="1"/>
  <c r="T1383" i="4" s="1"/>
  <c r="T1385" i="4" s="1"/>
  <c r="S1380" i="4"/>
  <c r="S1381" i="4" s="1"/>
  <c r="S1383" i="4" s="1"/>
  <c r="S1385" i="4" s="1"/>
  <c r="R1380" i="4"/>
  <c r="R1381" i="4" s="1"/>
  <c r="R1383" i="4" s="1"/>
  <c r="R1385" i="4" s="1"/>
  <c r="Q1380" i="4"/>
  <c r="Q1381" i="4" s="1"/>
  <c r="Q1383" i="4" s="1"/>
  <c r="Q1385" i="4" s="1"/>
  <c r="P1380" i="4"/>
  <c r="P1381" i="4" s="1"/>
  <c r="P1383" i="4" s="1"/>
  <c r="P1385" i="4" s="1"/>
  <c r="O1380" i="4"/>
  <c r="O1381" i="4" s="1"/>
  <c r="O1383" i="4" s="1"/>
  <c r="O1385" i="4" s="1"/>
  <c r="N1380" i="4"/>
  <c r="N1381" i="4" s="1"/>
  <c r="N1383" i="4" s="1"/>
  <c r="N1385" i="4" s="1"/>
  <c r="M1380" i="4"/>
  <c r="M1381" i="4" s="1"/>
  <c r="M1383" i="4" s="1"/>
  <c r="M1385" i="4" s="1"/>
  <c r="L1380" i="4"/>
  <c r="L1381" i="4" s="1"/>
  <c r="L1383" i="4" s="1"/>
  <c r="L1385" i="4" s="1"/>
  <c r="K1380" i="4"/>
  <c r="K1381" i="4" s="1"/>
  <c r="K1383" i="4" s="1"/>
  <c r="K1385" i="4" s="1"/>
  <c r="J1380" i="4"/>
  <c r="J1381" i="4" s="1"/>
  <c r="J1383" i="4" s="1"/>
  <c r="J1385" i="4" s="1"/>
  <c r="I1380" i="4"/>
  <c r="I1381" i="4" s="1"/>
  <c r="I1383" i="4" s="1"/>
  <c r="I1385" i="4" s="1"/>
  <c r="H1380" i="4"/>
  <c r="H1381" i="4" s="1"/>
  <c r="H1383" i="4" s="1"/>
  <c r="H1385" i="4" s="1"/>
  <c r="G1380" i="4"/>
  <c r="G1381" i="4" s="1"/>
  <c r="G1383" i="4" s="1"/>
  <c r="G1385" i="4" s="1"/>
  <c r="F1380" i="4"/>
  <c r="F1381" i="4" s="1"/>
  <c r="F1383" i="4" s="1"/>
  <c r="F1385" i="4" s="1"/>
  <c r="E1380" i="4"/>
  <c r="E1381" i="4" s="1"/>
  <c r="E1383" i="4" s="1"/>
  <c r="E1385" i="4" s="1"/>
  <c r="D1380" i="4"/>
  <c r="D1381" i="4" s="1"/>
  <c r="D1383" i="4" s="1"/>
  <c r="D1385" i="4" s="1"/>
  <c r="W1353" i="4"/>
  <c r="W1354" i="4" s="1"/>
  <c r="W1356" i="4" s="1"/>
  <c r="W1358" i="4" s="1"/>
  <c r="V1353" i="4"/>
  <c r="V1354" i="4" s="1"/>
  <c r="V1356" i="4" s="1"/>
  <c r="V1358" i="4" s="1"/>
  <c r="U1353" i="4"/>
  <c r="U1354" i="4" s="1"/>
  <c r="U1356" i="4" s="1"/>
  <c r="U1358" i="4" s="1"/>
  <c r="T1353" i="4"/>
  <c r="T1354" i="4" s="1"/>
  <c r="T1356" i="4" s="1"/>
  <c r="T1358" i="4" s="1"/>
  <c r="S1353" i="4"/>
  <c r="S1354" i="4" s="1"/>
  <c r="S1356" i="4" s="1"/>
  <c r="S1358" i="4" s="1"/>
  <c r="R1353" i="4"/>
  <c r="R1354" i="4" s="1"/>
  <c r="R1356" i="4" s="1"/>
  <c r="R1358" i="4" s="1"/>
  <c r="Q1353" i="4"/>
  <c r="Q1354" i="4" s="1"/>
  <c r="Q1356" i="4" s="1"/>
  <c r="Q1358" i="4" s="1"/>
  <c r="P1353" i="4"/>
  <c r="P1354" i="4" s="1"/>
  <c r="P1356" i="4" s="1"/>
  <c r="P1358" i="4" s="1"/>
  <c r="O1353" i="4"/>
  <c r="O1354" i="4" s="1"/>
  <c r="O1356" i="4" s="1"/>
  <c r="O1358" i="4" s="1"/>
  <c r="N1353" i="4"/>
  <c r="N1354" i="4" s="1"/>
  <c r="N1356" i="4" s="1"/>
  <c r="N1358" i="4" s="1"/>
  <c r="M1353" i="4"/>
  <c r="M1354" i="4" s="1"/>
  <c r="M1356" i="4" s="1"/>
  <c r="M1358" i="4" s="1"/>
  <c r="L1353" i="4"/>
  <c r="L1354" i="4" s="1"/>
  <c r="L1356" i="4" s="1"/>
  <c r="L1358" i="4" s="1"/>
  <c r="K1353" i="4"/>
  <c r="K1354" i="4" s="1"/>
  <c r="K1356" i="4" s="1"/>
  <c r="K1358" i="4" s="1"/>
  <c r="J1353" i="4"/>
  <c r="J1354" i="4" s="1"/>
  <c r="J1356" i="4" s="1"/>
  <c r="J1358" i="4" s="1"/>
  <c r="I1353" i="4"/>
  <c r="I1354" i="4" s="1"/>
  <c r="I1356" i="4" s="1"/>
  <c r="I1358" i="4" s="1"/>
  <c r="H1353" i="4"/>
  <c r="H1354" i="4" s="1"/>
  <c r="H1356" i="4" s="1"/>
  <c r="H1358" i="4" s="1"/>
  <c r="G1353" i="4"/>
  <c r="G1354" i="4" s="1"/>
  <c r="G1356" i="4" s="1"/>
  <c r="G1358" i="4" s="1"/>
  <c r="F1353" i="4"/>
  <c r="F1354" i="4" s="1"/>
  <c r="F1356" i="4" s="1"/>
  <c r="F1358" i="4" s="1"/>
  <c r="E1353" i="4"/>
  <c r="E1354" i="4" s="1"/>
  <c r="E1356" i="4" s="1"/>
  <c r="E1358" i="4" s="1"/>
  <c r="D1353" i="4"/>
  <c r="D1354" i="4" s="1"/>
  <c r="D1356" i="4" s="1"/>
  <c r="D1358" i="4" s="1"/>
  <c r="W1326" i="4"/>
  <c r="W1327" i="4" s="1"/>
  <c r="W1329" i="4" s="1"/>
  <c r="W1331" i="4" s="1"/>
  <c r="V1326" i="4"/>
  <c r="V1327" i="4" s="1"/>
  <c r="V1329" i="4" s="1"/>
  <c r="V1331" i="4" s="1"/>
  <c r="U1326" i="4"/>
  <c r="U1327" i="4" s="1"/>
  <c r="U1329" i="4" s="1"/>
  <c r="U1331" i="4" s="1"/>
  <c r="T1326" i="4"/>
  <c r="T1327" i="4" s="1"/>
  <c r="T1329" i="4" s="1"/>
  <c r="T1331" i="4" s="1"/>
  <c r="S1326" i="4"/>
  <c r="S1327" i="4" s="1"/>
  <c r="S1329" i="4" s="1"/>
  <c r="S1331" i="4" s="1"/>
  <c r="R1326" i="4"/>
  <c r="R1327" i="4" s="1"/>
  <c r="R1329" i="4" s="1"/>
  <c r="R1331" i="4" s="1"/>
  <c r="Q1326" i="4"/>
  <c r="Q1327" i="4" s="1"/>
  <c r="Q1329" i="4" s="1"/>
  <c r="Q1331" i="4" s="1"/>
  <c r="P1326" i="4"/>
  <c r="P1327" i="4" s="1"/>
  <c r="P1329" i="4" s="1"/>
  <c r="P1331" i="4" s="1"/>
  <c r="O1326" i="4"/>
  <c r="O1327" i="4" s="1"/>
  <c r="O1329" i="4" s="1"/>
  <c r="O1331" i="4" s="1"/>
  <c r="N1326" i="4"/>
  <c r="N1327" i="4" s="1"/>
  <c r="N1329" i="4" s="1"/>
  <c r="N1331" i="4" s="1"/>
  <c r="M1326" i="4"/>
  <c r="M1327" i="4" s="1"/>
  <c r="M1329" i="4" s="1"/>
  <c r="M1331" i="4" s="1"/>
  <c r="L1326" i="4"/>
  <c r="L1327" i="4" s="1"/>
  <c r="L1329" i="4" s="1"/>
  <c r="L1331" i="4" s="1"/>
  <c r="K1326" i="4"/>
  <c r="K1327" i="4" s="1"/>
  <c r="K1329" i="4" s="1"/>
  <c r="K1331" i="4" s="1"/>
  <c r="J1326" i="4"/>
  <c r="J1327" i="4" s="1"/>
  <c r="J1329" i="4" s="1"/>
  <c r="J1331" i="4" s="1"/>
  <c r="I1326" i="4"/>
  <c r="I1327" i="4" s="1"/>
  <c r="I1329" i="4" s="1"/>
  <c r="I1331" i="4" s="1"/>
  <c r="H1326" i="4"/>
  <c r="H1327" i="4" s="1"/>
  <c r="H1329" i="4" s="1"/>
  <c r="H1331" i="4" s="1"/>
  <c r="G1326" i="4"/>
  <c r="G1327" i="4" s="1"/>
  <c r="G1329" i="4" s="1"/>
  <c r="G1331" i="4" s="1"/>
  <c r="F1326" i="4"/>
  <c r="F1327" i="4" s="1"/>
  <c r="F1329" i="4" s="1"/>
  <c r="F1331" i="4" s="1"/>
  <c r="E1326" i="4"/>
  <c r="E1327" i="4" s="1"/>
  <c r="E1329" i="4" s="1"/>
  <c r="E1331" i="4" s="1"/>
  <c r="D1326" i="4"/>
  <c r="D1327" i="4" s="1"/>
  <c r="D1329" i="4" s="1"/>
  <c r="D1331" i="4" s="1"/>
  <c r="W1299" i="4"/>
  <c r="W1300" i="4" s="1"/>
  <c r="W1302" i="4" s="1"/>
  <c r="W1304" i="4" s="1"/>
  <c r="V1299" i="4"/>
  <c r="V1300" i="4" s="1"/>
  <c r="V1302" i="4" s="1"/>
  <c r="V1304" i="4" s="1"/>
  <c r="U1299" i="4"/>
  <c r="U1300" i="4" s="1"/>
  <c r="U1302" i="4" s="1"/>
  <c r="U1304" i="4" s="1"/>
  <c r="T1299" i="4"/>
  <c r="T1300" i="4" s="1"/>
  <c r="T1302" i="4" s="1"/>
  <c r="T1304" i="4" s="1"/>
  <c r="S1299" i="4"/>
  <c r="S1300" i="4" s="1"/>
  <c r="S1302" i="4" s="1"/>
  <c r="S1304" i="4" s="1"/>
  <c r="R1299" i="4"/>
  <c r="R1300" i="4" s="1"/>
  <c r="R1302" i="4" s="1"/>
  <c r="R1304" i="4" s="1"/>
  <c r="Q1299" i="4"/>
  <c r="Q1300" i="4" s="1"/>
  <c r="Q1302" i="4" s="1"/>
  <c r="Q1304" i="4" s="1"/>
  <c r="P1299" i="4"/>
  <c r="P1300" i="4" s="1"/>
  <c r="P1302" i="4" s="1"/>
  <c r="P1304" i="4" s="1"/>
  <c r="O1299" i="4"/>
  <c r="O1300" i="4" s="1"/>
  <c r="O1302" i="4" s="1"/>
  <c r="O1304" i="4" s="1"/>
  <c r="N1299" i="4"/>
  <c r="N1300" i="4" s="1"/>
  <c r="N1302" i="4" s="1"/>
  <c r="N1304" i="4" s="1"/>
  <c r="M1299" i="4"/>
  <c r="M1300" i="4" s="1"/>
  <c r="M1302" i="4" s="1"/>
  <c r="M1304" i="4" s="1"/>
  <c r="L1299" i="4"/>
  <c r="L1300" i="4" s="1"/>
  <c r="L1302" i="4" s="1"/>
  <c r="L1304" i="4" s="1"/>
  <c r="K1299" i="4"/>
  <c r="K1300" i="4" s="1"/>
  <c r="K1302" i="4" s="1"/>
  <c r="K1304" i="4" s="1"/>
  <c r="J1299" i="4"/>
  <c r="J1300" i="4" s="1"/>
  <c r="J1302" i="4" s="1"/>
  <c r="J1304" i="4" s="1"/>
  <c r="I1299" i="4"/>
  <c r="I1300" i="4" s="1"/>
  <c r="I1302" i="4" s="1"/>
  <c r="I1304" i="4" s="1"/>
  <c r="H1299" i="4"/>
  <c r="H1300" i="4" s="1"/>
  <c r="H1302" i="4" s="1"/>
  <c r="H1304" i="4" s="1"/>
  <c r="G1299" i="4"/>
  <c r="G1300" i="4" s="1"/>
  <c r="G1302" i="4" s="1"/>
  <c r="G1304" i="4" s="1"/>
  <c r="F1299" i="4"/>
  <c r="F1300" i="4" s="1"/>
  <c r="F1302" i="4" s="1"/>
  <c r="F1304" i="4" s="1"/>
  <c r="E1299" i="4"/>
  <c r="E1300" i="4" s="1"/>
  <c r="E1302" i="4" s="1"/>
  <c r="E1304" i="4" s="1"/>
  <c r="D1299" i="4"/>
  <c r="D1300" i="4" s="1"/>
  <c r="D1302" i="4" s="1"/>
  <c r="D1304" i="4" s="1"/>
  <c r="W1272" i="4"/>
  <c r="W1273" i="4" s="1"/>
  <c r="W1275" i="4" s="1"/>
  <c r="W1277" i="4" s="1"/>
  <c r="V1272" i="4"/>
  <c r="V1273" i="4" s="1"/>
  <c r="V1275" i="4" s="1"/>
  <c r="V1277" i="4" s="1"/>
  <c r="U1272" i="4"/>
  <c r="U1273" i="4" s="1"/>
  <c r="U1275" i="4" s="1"/>
  <c r="U1277" i="4" s="1"/>
  <c r="T1272" i="4"/>
  <c r="T1273" i="4" s="1"/>
  <c r="T1275" i="4" s="1"/>
  <c r="T1277" i="4" s="1"/>
  <c r="S1272" i="4"/>
  <c r="S1273" i="4" s="1"/>
  <c r="S1275" i="4" s="1"/>
  <c r="S1277" i="4" s="1"/>
  <c r="R1272" i="4"/>
  <c r="R1273" i="4" s="1"/>
  <c r="R1275" i="4" s="1"/>
  <c r="R1277" i="4" s="1"/>
  <c r="Q1272" i="4"/>
  <c r="Q1273" i="4" s="1"/>
  <c r="Q1275" i="4" s="1"/>
  <c r="Q1277" i="4" s="1"/>
  <c r="P1272" i="4"/>
  <c r="P1273" i="4" s="1"/>
  <c r="P1275" i="4" s="1"/>
  <c r="P1277" i="4" s="1"/>
  <c r="O1272" i="4"/>
  <c r="O1273" i="4" s="1"/>
  <c r="O1275" i="4" s="1"/>
  <c r="O1277" i="4" s="1"/>
  <c r="N1272" i="4"/>
  <c r="N1273" i="4" s="1"/>
  <c r="N1275" i="4" s="1"/>
  <c r="N1277" i="4" s="1"/>
  <c r="M1272" i="4"/>
  <c r="M1273" i="4" s="1"/>
  <c r="M1275" i="4" s="1"/>
  <c r="M1277" i="4" s="1"/>
  <c r="L1272" i="4"/>
  <c r="L1273" i="4" s="1"/>
  <c r="L1275" i="4" s="1"/>
  <c r="L1277" i="4" s="1"/>
  <c r="K1272" i="4"/>
  <c r="K1273" i="4" s="1"/>
  <c r="K1275" i="4" s="1"/>
  <c r="K1277" i="4" s="1"/>
  <c r="J1272" i="4"/>
  <c r="J1273" i="4" s="1"/>
  <c r="J1275" i="4" s="1"/>
  <c r="J1277" i="4" s="1"/>
  <c r="I1272" i="4"/>
  <c r="I1273" i="4" s="1"/>
  <c r="I1275" i="4" s="1"/>
  <c r="I1277" i="4" s="1"/>
  <c r="H1272" i="4"/>
  <c r="H1273" i="4" s="1"/>
  <c r="H1275" i="4" s="1"/>
  <c r="H1277" i="4" s="1"/>
  <c r="G1272" i="4"/>
  <c r="G1273" i="4" s="1"/>
  <c r="G1275" i="4" s="1"/>
  <c r="G1277" i="4" s="1"/>
  <c r="F1272" i="4"/>
  <c r="F1273" i="4" s="1"/>
  <c r="F1275" i="4" s="1"/>
  <c r="F1277" i="4" s="1"/>
  <c r="E1272" i="4"/>
  <c r="E1273" i="4" s="1"/>
  <c r="E1275" i="4" s="1"/>
  <c r="E1277" i="4" s="1"/>
  <c r="D1272" i="4"/>
  <c r="D1273" i="4" s="1"/>
  <c r="D1275" i="4" s="1"/>
  <c r="D1277" i="4" s="1"/>
  <c r="W1245" i="4"/>
  <c r="W1246" i="4" s="1"/>
  <c r="W1248" i="4" s="1"/>
  <c r="W1250" i="4" s="1"/>
  <c r="V1245" i="4"/>
  <c r="V1246" i="4" s="1"/>
  <c r="V1248" i="4" s="1"/>
  <c r="V1250" i="4" s="1"/>
  <c r="U1245" i="4"/>
  <c r="U1246" i="4" s="1"/>
  <c r="U1248" i="4" s="1"/>
  <c r="U1250" i="4" s="1"/>
  <c r="T1245" i="4"/>
  <c r="T1246" i="4" s="1"/>
  <c r="T1248" i="4" s="1"/>
  <c r="T1250" i="4" s="1"/>
  <c r="S1245" i="4"/>
  <c r="S1246" i="4" s="1"/>
  <c r="S1248" i="4" s="1"/>
  <c r="S1250" i="4" s="1"/>
  <c r="R1245" i="4"/>
  <c r="R1246" i="4" s="1"/>
  <c r="R1248" i="4" s="1"/>
  <c r="R1250" i="4" s="1"/>
  <c r="Q1245" i="4"/>
  <c r="Q1246" i="4" s="1"/>
  <c r="Q1248" i="4" s="1"/>
  <c r="Q1250" i="4" s="1"/>
  <c r="P1245" i="4"/>
  <c r="P1246" i="4" s="1"/>
  <c r="P1248" i="4" s="1"/>
  <c r="P1250" i="4" s="1"/>
  <c r="O1245" i="4"/>
  <c r="O1246" i="4" s="1"/>
  <c r="O1248" i="4" s="1"/>
  <c r="O1250" i="4" s="1"/>
  <c r="N1245" i="4"/>
  <c r="N1246" i="4" s="1"/>
  <c r="N1248" i="4" s="1"/>
  <c r="N1250" i="4" s="1"/>
  <c r="M1245" i="4"/>
  <c r="M1246" i="4" s="1"/>
  <c r="M1248" i="4" s="1"/>
  <c r="M1250" i="4" s="1"/>
  <c r="L1245" i="4"/>
  <c r="L1246" i="4" s="1"/>
  <c r="L1248" i="4" s="1"/>
  <c r="L1250" i="4" s="1"/>
  <c r="K1245" i="4"/>
  <c r="K1246" i="4" s="1"/>
  <c r="K1248" i="4" s="1"/>
  <c r="K1250" i="4" s="1"/>
  <c r="J1245" i="4"/>
  <c r="J1246" i="4" s="1"/>
  <c r="J1248" i="4" s="1"/>
  <c r="J1250" i="4" s="1"/>
  <c r="I1245" i="4"/>
  <c r="I1246" i="4" s="1"/>
  <c r="I1248" i="4" s="1"/>
  <c r="I1250" i="4" s="1"/>
  <c r="H1245" i="4"/>
  <c r="H1246" i="4" s="1"/>
  <c r="H1248" i="4" s="1"/>
  <c r="H1250" i="4" s="1"/>
  <c r="G1245" i="4"/>
  <c r="G1246" i="4" s="1"/>
  <c r="G1248" i="4" s="1"/>
  <c r="G1250" i="4" s="1"/>
  <c r="F1245" i="4"/>
  <c r="F1246" i="4" s="1"/>
  <c r="F1248" i="4" s="1"/>
  <c r="F1250" i="4" s="1"/>
  <c r="E1245" i="4"/>
  <c r="E1246" i="4" s="1"/>
  <c r="E1248" i="4" s="1"/>
  <c r="E1250" i="4" s="1"/>
  <c r="D1245" i="4"/>
  <c r="D1246" i="4" s="1"/>
  <c r="D1248" i="4" s="1"/>
  <c r="D1250" i="4" s="1"/>
  <c r="AB1123" i="4"/>
  <c r="AE1123" i="4" s="1"/>
  <c r="AE1127" i="4" s="1"/>
  <c r="AB1122" i="4"/>
  <c r="AD1122" i="4" s="1"/>
  <c r="AD1126" i="4" s="1"/>
  <c r="W1218" i="4"/>
  <c r="W1219" i="4" s="1"/>
  <c r="W1221" i="4" s="1"/>
  <c r="W1223" i="4" s="1"/>
  <c r="V1218" i="4"/>
  <c r="V1219" i="4" s="1"/>
  <c r="V1221" i="4" s="1"/>
  <c r="V1223" i="4" s="1"/>
  <c r="U1218" i="4"/>
  <c r="U1219" i="4" s="1"/>
  <c r="U1221" i="4" s="1"/>
  <c r="U1223" i="4" s="1"/>
  <c r="T1218" i="4"/>
  <c r="T1219" i="4" s="1"/>
  <c r="T1221" i="4" s="1"/>
  <c r="T1223" i="4" s="1"/>
  <c r="O1218" i="4"/>
  <c r="O1219" i="4" s="1"/>
  <c r="O1221" i="4" s="1"/>
  <c r="O1223" i="4" s="1"/>
  <c r="N1218" i="4"/>
  <c r="N1219" i="4" s="1"/>
  <c r="N1221" i="4" s="1"/>
  <c r="N1223" i="4" s="1"/>
  <c r="M1218" i="4"/>
  <c r="M1219" i="4" s="1"/>
  <c r="M1221" i="4" s="1"/>
  <c r="M1223" i="4" s="1"/>
  <c r="L1218" i="4"/>
  <c r="L1219" i="4" s="1"/>
  <c r="L1221" i="4" s="1"/>
  <c r="L1223" i="4" s="1"/>
  <c r="K1218" i="4"/>
  <c r="K1219" i="4" s="1"/>
  <c r="K1221" i="4" s="1"/>
  <c r="K1223" i="4" s="1"/>
  <c r="J1218" i="4"/>
  <c r="J1219" i="4" s="1"/>
  <c r="J1221" i="4" s="1"/>
  <c r="J1223" i="4" s="1"/>
  <c r="I1218" i="4"/>
  <c r="I1219" i="4" s="1"/>
  <c r="I1221" i="4" s="1"/>
  <c r="I1223" i="4" s="1"/>
  <c r="H1218" i="4"/>
  <c r="H1219" i="4" s="1"/>
  <c r="H1221" i="4" s="1"/>
  <c r="H1223" i="4" s="1"/>
  <c r="G1218" i="4"/>
  <c r="G1219" i="4" s="1"/>
  <c r="G1221" i="4" s="1"/>
  <c r="G1223" i="4" s="1"/>
  <c r="F1218" i="4"/>
  <c r="F1219" i="4" s="1"/>
  <c r="F1221" i="4" s="1"/>
  <c r="F1223" i="4" s="1"/>
  <c r="E1218" i="4"/>
  <c r="E1219" i="4" s="1"/>
  <c r="E1221" i="4" s="1"/>
  <c r="E1223" i="4" s="1"/>
  <c r="D1218" i="4"/>
  <c r="D1219" i="4" s="1"/>
  <c r="W1191" i="4"/>
  <c r="W1192" i="4" s="1"/>
  <c r="W1194" i="4" s="1"/>
  <c r="W1196" i="4" s="1"/>
  <c r="V1191" i="4"/>
  <c r="V1192" i="4" s="1"/>
  <c r="V1194" i="4" s="1"/>
  <c r="V1196" i="4" s="1"/>
  <c r="U1191" i="4"/>
  <c r="U1192" i="4" s="1"/>
  <c r="U1194" i="4" s="1"/>
  <c r="U1196" i="4" s="1"/>
  <c r="T1191" i="4"/>
  <c r="T1192" i="4" s="1"/>
  <c r="T1194" i="4" s="1"/>
  <c r="T1196" i="4" s="1"/>
  <c r="S1191" i="4"/>
  <c r="S1192" i="4" s="1"/>
  <c r="S1194" i="4" s="1"/>
  <c r="S1196" i="4" s="1"/>
  <c r="R1191" i="4"/>
  <c r="R1192" i="4" s="1"/>
  <c r="R1194" i="4" s="1"/>
  <c r="R1196" i="4" s="1"/>
  <c r="Q1191" i="4"/>
  <c r="Q1192" i="4" s="1"/>
  <c r="Q1194" i="4" s="1"/>
  <c r="Q1196" i="4" s="1"/>
  <c r="P1191" i="4"/>
  <c r="P1192" i="4" s="1"/>
  <c r="P1194" i="4" s="1"/>
  <c r="P1196" i="4" s="1"/>
  <c r="O1191" i="4"/>
  <c r="O1192" i="4" s="1"/>
  <c r="O1194" i="4" s="1"/>
  <c r="O1196" i="4" s="1"/>
  <c r="N1191" i="4"/>
  <c r="N1192" i="4" s="1"/>
  <c r="N1194" i="4" s="1"/>
  <c r="N1196" i="4" s="1"/>
  <c r="M1191" i="4"/>
  <c r="M1192" i="4" s="1"/>
  <c r="M1194" i="4" s="1"/>
  <c r="M1196" i="4" s="1"/>
  <c r="L1191" i="4"/>
  <c r="L1192" i="4" s="1"/>
  <c r="L1194" i="4" s="1"/>
  <c r="L1196" i="4" s="1"/>
  <c r="K1191" i="4"/>
  <c r="K1192" i="4" s="1"/>
  <c r="K1194" i="4" s="1"/>
  <c r="K1196" i="4" s="1"/>
  <c r="J1191" i="4"/>
  <c r="J1192" i="4" s="1"/>
  <c r="J1194" i="4" s="1"/>
  <c r="J1196" i="4" s="1"/>
  <c r="I1191" i="4"/>
  <c r="I1192" i="4" s="1"/>
  <c r="I1194" i="4" s="1"/>
  <c r="I1196" i="4" s="1"/>
  <c r="H1191" i="4"/>
  <c r="H1192" i="4" s="1"/>
  <c r="G1191" i="4"/>
  <c r="G1192" i="4" s="1"/>
  <c r="F1191" i="4"/>
  <c r="F1192" i="4" s="1"/>
  <c r="E1191" i="4"/>
  <c r="E1192" i="4" s="1"/>
  <c r="D1191" i="4"/>
  <c r="D1192" i="4" s="1"/>
  <c r="Q965" i="4" l="1"/>
  <c r="P967" i="4"/>
  <c r="R334" i="4"/>
  <c r="Q336" i="4"/>
  <c r="Q769" i="4"/>
  <c r="P771" i="4"/>
  <c r="R1049" i="4"/>
  <c r="Q1051" i="4"/>
  <c r="R993" i="4"/>
  <c r="Q995" i="4"/>
  <c r="R1077" i="4"/>
  <c r="Q1079" i="4"/>
  <c r="D1221" i="4"/>
  <c r="D1223" i="4" s="1"/>
  <c r="S1105" i="4"/>
  <c r="S1107" i="4" s="1"/>
  <c r="R1107" i="4"/>
  <c r="R1215" i="4"/>
  <c r="Q1217" i="4"/>
  <c r="Q1218" i="4" s="1"/>
  <c r="Q1219" i="4" s="1"/>
  <c r="Q1221" i="4" s="1"/>
  <c r="Q1223" i="4" s="1"/>
  <c r="Q1230" i="4" s="1"/>
  <c r="Q1235" i="4" s="1"/>
  <c r="R308" i="4"/>
  <c r="Q310" i="4"/>
  <c r="R526" i="4"/>
  <c r="Q528" i="4"/>
  <c r="Q529" i="4" s="1"/>
  <c r="Q196" i="4"/>
  <c r="P198" i="4"/>
  <c r="U1236" i="4"/>
  <c r="U1238" i="4"/>
  <c r="U1234" i="4"/>
  <c r="U1237" i="4"/>
  <c r="U1235" i="4"/>
  <c r="U1202" i="4"/>
  <c r="U1207" i="4" s="1"/>
  <c r="V1204" i="4"/>
  <c r="V1209" i="4" s="1"/>
  <c r="V1202" i="4"/>
  <c r="V1207" i="4" s="1"/>
  <c r="V1205" i="4"/>
  <c r="V1210" i="4" s="1"/>
  <c r="V1203" i="4"/>
  <c r="V1208" i="4" s="1"/>
  <c r="T1203" i="4"/>
  <c r="T1208" i="4" s="1"/>
  <c r="T1206" i="4"/>
  <c r="T1211" i="4" s="1"/>
  <c r="O1232" i="4"/>
  <c r="O1237" i="4" s="1"/>
  <c r="O1231" i="4"/>
  <c r="O1236" i="4" s="1"/>
  <c r="O1230" i="4"/>
  <c r="O1235" i="4" s="1"/>
  <c r="O1233" i="4"/>
  <c r="O1238" i="4" s="1"/>
  <c r="E1231" i="4"/>
  <c r="E1236" i="4" s="1"/>
  <c r="E1230" i="4"/>
  <c r="E1235" i="4" s="1"/>
  <c r="E1233" i="4"/>
  <c r="E1238" i="4" s="1"/>
  <c r="E1232" i="4"/>
  <c r="E1237" i="4" s="1"/>
  <c r="G1230" i="4"/>
  <c r="G1235" i="4" s="1"/>
  <c r="G1233" i="4"/>
  <c r="G1238" i="4" s="1"/>
  <c r="G1232" i="4"/>
  <c r="G1237" i="4" s="1"/>
  <c r="G1231" i="4"/>
  <c r="G1236" i="4" s="1"/>
  <c r="P1232" i="4"/>
  <c r="P1237" i="4" s="1"/>
  <c r="P1230" i="4"/>
  <c r="P1235" i="4" s="1"/>
  <c r="P1233" i="4"/>
  <c r="P1238" i="4" s="1"/>
  <c r="P1231" i="4"/>
  <c r="P1236" i="4" s="1"/>
  <c r="H1231" i="4"/>
  <c r="H1236" i="4" s="1"/>
  <c r="H1232" i="4"/>
  <c r="H1237" i="4" s="1"/>
  <c r="H1230" i="4"/>
  <c r="H1235" i="4" s="1"/>
  <c r="H1233" i="4"/>
  <c r="H1238" i="4" s="1"/>
  <c r="I1231" i="4"/>
  <c r="I1236" i="4" s="1"/>
  <c r="I1233" i="4"/>
  <c r="I1238" i="4" s="1"/>
  <c r="I1232" i="4"/>
  <c r="I1237" i="4" s="1"/>
  <c r="I1230" i="4"/>
  <c r="I1235" i="4" s="1"/>
  <c r="N1232" i="4"/>
  <c r="N1237" i="4" s="1"/>
  <c r="N1233" i="4"/>
  <c r="N1238" i="4" s="1"/>
  <c r="N1230" i="4"/>
  <c r="N1235" i="4" s="1"/>
  <c r="N1231" i="4"/>
  <c r="N1236" i="4" s="1"/>
  <c r="J1230" i="4"/>
  <c r="J1235" i="4" s="1"/>
  <c r="J1231" i="4"/>
  <c r="J1236" i="4" s="1"/>
  <c r="J1232" i="4"/>
  <c r="J1237" i="4" s="1"/>
  <c r="J1233" i="4"/>
  <c r="J1238" i="4" s="1"/>
  <c r="M1233" i="4"/>
  <c r="M1238" i="4" s="1"/>
  <c r="M1231" i="4"/>
  <c r="M1236" i="4" s="1"/>
  <c r="M1232" i="4"/>
  <c r="M1237" i="4" s="1"/>
  <c r="M1230" i="4"/>
  <c r="M1235" i="4" s="1"/>
  <c r="F1230" i="4"/>
  <c r="F1235" i="4" s="1"/>
  <c r="F1233" i="4"/>
  <c r="F1238" i="4" s="1"/>
  <c r="F1231" i="4"/>
  <c r="F1236" i="4" s="1"/>
  <c r="F1232" i="4"/>
  <c r="F1237" i="4" s="1"/>
  <c r="K1231" i="4"/>
  <c r="K1236" i="4" s="1"/>
  <c r="K1232" i="4"/>
  <c r="K1237" i="4" s="1"/>
  <c r="K1233" i="4"/>
  <c r="K1238" i="4" s="1"/>
  <c r="K1230" i="4"/>
  <c r="K1235" i="4" s="1"/>
  <c r="W1232" i="4"/>
  <c r="W1237" i="4" s="1"/>
  <c r="W1233" i="4"/>
  <c r="W1238" i="4" s="1"/>
  <c r="W1231" i="4"/>
  <c r="W1236" i="4" s="1"/>
  <c r="W1230" i="4"/>
  <c r="W1235" i="4" s="1"/>
  <c r="Q1232" i="4"/>
  <c r="Q1237" i="4" s="1"/>
  <c r="L1230" i="4"/>
  <c r="L1235" i="4" s="1"/>
  <c r="L1231" i="4"/>
  <c r="L1236" i="4" s="1"/>
  <c r="L1233" i="4"/>
  <c r="L1238" i="4" s="1"/>
  <c r="L1232" i="4"/>
  <c r="L1237" i="4" s="1"/>
  <c r="N1202" i="4"/>
  <c r="N1207" i="4" s="1"/>
  <c r="U1204" i="4"/>
  <c r="U1209" i="4" s="1"/>
  <c r="U1203" i="4"/>
  <c r="U1208" i="4" s="1"/>
  <c r="U1205" i="4"/>
  <c r="U1210" i="4" s="1"/>
  <c r="O1202" i="4"/>
  <c r="O1207" i="4" s="1"/>
  <c r="M1203" i="4"/>
  <c r="M1208" i="4" s="1"/>
  <c r="M1205" i="4"/>
  <c r="M1210" i="4" s="1"/>
  <c r="M1202" i="4"/>
  <c r="M1207" i="4" s="1"/>
  <c r="I1204" i="4"/>
  <c r="I1209" i="4" s="1"/>
  <c r="I1205" i="4"/>
  <c r="I1210" i="4" s="1"/>
  <c r="Q1203" i="4"/>
  <c r="Q1208" i="4" s="1"/>
  <c r="Q1204" i="4"/>
  <c r="Q1209" i="4" s="1"/>
  <c r="Q1205" i="4"/>
  <c r="Q1210" i="4" s="1"/>
  <c r="Q1202" i="4"/>
  <c r="Q1207" i="4" s="1"/>
  <c r="K1204" i="4"/>
  <c r="K1209" i="4" s="1"/>
  <c r="K1205" i="4"/>
  <c r="K1210" i="4" s="1"/>
  <c r="K1203" i="4"/>
  <c r="K1208" i="4" s="1"/>
  <c r="K1202" i="4"/>
  <c r="K1207" i="4" s="1"/>
  <c r="L1204" i="4"/>
  <c r="L1209" i="4" s="1"/>
  <c r="L1203" i="4"/>
  <c r="L1208" i="4" s="1"/>
  <c r="L1205" i="4"/>
  <c r="L1210" i="4" s="1"/>
  <c r="L1202" i="4"/>
  <c r="L1207" i="4" s="1"/>
  <c r="S1203" i="4"/>
  <c r="S1208" i="4" s="1"/>
  <c r="S1202" i="4"/>
  <c r="S1207" i="4" s="1"/>
  <c r="S1204" i="4"/>
  <c r="S1209" i="4" s="1"/>
  <c r="T1202" i="4"/>
  <c r="T1207" i="4" s="1"/>
  <c r="T1205" i="4"/>
  <c r="T1210" i="4" s="1"/>
  <c r="T1204" i="4"/>
  <c r="T1209" i="4" s="1"/>
  <c r="Q1021" i="4"/>
  <c r="P1023" i="4"/>
  <c r="H295" i="3"/>
  <c r="H299" i="3" s="1"/>
  <c r="H296" i="3"/>
  <c r="H300" i="3" s="1"/>
  <c r="H294" i="3"/>
  <c r="H298" i="3" s="1"/>
  <c r="H293" i="3"/>
  <c r="H297" i="3" s="1"/>
  <c r="G296" i="3"/>
  <c r="G300" i="3" s="1"/>
  <c r="G294" i="3"/>
  <c r="G298" i="3" s="1"/>
  <c r="G295" i="3"/>
  <c r="G299" i="3" s="1"/>
  <c r="G293" i="3"/>
  <c r="G297" i="3" s="1"/>
  <c r="F295" i="3"/>
  <c r="F299" i="3" s="1"/>
  <c r="F293" i="3"/>
  <c r="F297" i="3" s="1"/>
  <c r="F296" i="3"/>
  <c r="F300" i="3" s="1"/>
  <c r="F294" i="3"/>
  <c r="F298" i="3" s="1"/>
  <c r="AC1122" i="4"/>
  <c r="AC1126" i="4" s="1"/>
  <c r="AC1123" i="4"/>
  <c r="AC1127" i="4" s="1"/>
  <c r="J1206" i="4"/>
  <c r="J1211" i="4" s="1"/>
  <c r="J1203" i="4"/>
  <c r="J1208" i="4" s="1"/>
  <c r="J1204" i="4"/>
  <c r="J1209" i="4" s="1"/>
  <c r="J1202" i="4"/>
  <c r="J1207" i="4" s="1"/>
  <c r="J1205" i="4"/>
  <c r="J1210" i="4" s="1"/>
  <c r="V1206" i="4"/>
  <c r="V1211" i="4" s="1"/>
  <c r="W1206" i="4"/>
  <c r="W1211" i="4" s="1"/>
  <c r="W1204" i="4"/>
  <c r="W1209" i="4" s="1"/>
  <c r="W1203" i="4"/>
  <c r="W1208" i="4" s="1"/>
  <c r="W1202" i="4"/>
  <c r="W1207" i="4" s="1"/>
  <c r="W1205" i="4"/>
  <c r="W1210" i="4" s="1"/>
  <c r="AD1123" i="4"/>
  <c r="R1205" i="4"/>
  <c r="R1210" i="4" s="1"/>
  <c r="R1202" i="4"/>
  <c r="R1207" i="4" s="1"/>
  <c r="R1206" i="4"/>
  <c r="R1211" i="4" s="1"/>
  <c r="R1203" i="4"/>
  <c r="R1208" i="4" s="1"/>
  <c r="R1204" i="4"/>
  <c r="R1209" i="4" s="1"/>
  <c r="F1194" i="4"/>
  <c r="F1196" i="4" s="1"/>
  <c r="H1194" i="4"/>
  <c r="H1196" i="4" s="1"/>
  <c r="U1206" i="4"/>
  <c r="U1211" i="4" s="1"/>
  <c r="N1203" i="4"/>
  <c r="N1208" i="4" s="1"/>
  <c r="N1206" i="4"/>
  <c r="N1211" i="4" s="1"/>
  <c r="N1205" i="4"/>
  <c r="N1210" i="4" s="1"/>
  <c r="N1204" i="4"/>
  <c r="N1209" i="4" s="1"/>
  <c r="AF1123" i="4"/>
  <c r="AF1127" i="4" s="1"/>
  <c r="O1204" i="4"/>
  <c r="O1209" i="4" s="1"/>
  <c r="O1203" i="4"/>
  <c r="O1208" i="4" s="1"/>
  <c r="O1205" i="4"/>
  <c r="O1210" i="4" s="1"/>
  <c r="O1206" i="4"/>
  <c r="O1211" i="4" s="1"/>
  <c r="AF1122" i="4"/>
  <c r="AF1126" i="4" s="1"/>
  <c r="S1206" i="4"/>
  <c r="S1211" i="4" s="1"/>
  <c r="S1205" i="4"/>
  <c r="S1210" i="4" s="1"/>
  <c r="I1206" i="4"/>
  <c r="I1211" i="4" s="1"/>
  <c r="I1203" i="4"/>
  <c r="I1208" i="4" s="1"/>
  <c r="I1202" i="4"/>
  <c r="I1207" i="4" s="1"/>
  <c r="K1206" i="4"/>
  <c r="K1211" i="4" s="1"/>
  <c r="L1206" i="4"/>
  <c r="L1211" i="4" s="1"/>
  <c r="P1205" i="4"/>
  <c r="P1210" i="4" s="1"/>
  <c r="P1203" i="4"/>
  <c r="P1208" i="4" s="1"/>
  <c r="P1206" i="4"/>
  <c r="P1211" i="4" s="1"/>
  <c r="P1202" i="4"/>
  <c r="P1207" i="4" s="1"/>
  <c r="P1204" i="4"/>
  <c r="P1209" i="4" s="1"/>
  <c r="AE1122" i="4"/>
  <c r="AE1126" i="4" s="1"/>
  <c r="G1194" i="4"/>
  <c r="G1196" i="4" s="1"/>
  <c r="M1204" i="4"/>
  <c r="M1209" i="4" s="1"/>
  <c r="M1206" i="4"/>
  <c r="M1211" i="4" s="1"/>
  <c r="E1194" i="4"/>
  <c r="E1196" i="4" s="1"/>
  <c r="Q1206" i="4"/>
  <c r="Q1211" i="4" s="1"/>
  <c r="B30" i="13"/>
  <c r="C30" i="12"/>
  <c r="I283" i="3"/>
  <c r="I284" i="3" s="1"/>
  <c r="I286" i="3" s="1"/>
  <c r="I288" i="3" s="1"/>
  <c r="K280" i="3"/>
  <c r="L278" i="3"/>
  <c r="J281" i="3"/>
  <c r="J282" i="3" s="1"/>
  <c r="E1498" i="4"/>
  <c r="E1497" i="4"/>
  <c r="E1496" i="4"/>
  <c r="E1495" i="4"/>
  <c r="H1496" i="4"/>
  <c r="H1495" i="4"/>
  <c r="H1498" i="4"/>
  <c r="H1497" i="4"/>
  <c r="P1496" i="4"/>
  <c r="P1495" i="4"/>
  <c r="P1498" i="4"/>
  <c r="P1497" i="4"/>
  <c r="G1497" i="4"/>
  <c r="G1496" i="4"/>
  <c r="G1495" i="4"/>
  <c r="G1498" i="4"/>
  <c r="I1495" i="4"/>
  <c r="I1498" i="4"/>
  <c r="I1497" i="4"/>
  <c r="I1496" i="4"/>
  <c r="J1497" i="4"/>
  <c r="J1498" i="4"/>
  <c r="J1496" i="4"/>
  <c r="J1495" i="4"/>
  <c r="R1497" i="4"/>
  <c r="R1498" i="4"/>
  <c r="R1496" i="4"/>
  <c r="R1495" i="4"/>
  <c r="O1497" i="4"/>
  <c r="O1496" i="4"/>
  <c r="O1495" i="4"/>
  <c r="O1498" i="4"/>
  <c r="N1498" i="4"/>
  <c r="N1497" i="4"/>
  <c r="N1496" i="4"/>
  <c r="N1495" i="4"/>
  <c r="K1498" i="4"/>
  <c r="K1496" i="4"/>
  <c r="K1497" i="4"/>
  <c r="K1495" i="4"/>
  <c r="S1496" i="4"/>
  <c r="S1498" i="4"/>
  <c r="S1497" i="4"/>
  <c r="S1495" i="4"/>
  <c r="Q1495" i="4"/>
  <c r="Q1498" i="4"/>
  <c r="Q1497" i="4"/>
  <c r="Q1496" i="4"/>
  <c r="M1498" i="4"/>
  <c r="M1497" i="4"/>
  <c r="M1496" i="4"/>
  <c r="M1495" i="4"/>
  <c r="F1498" i="4"/>
  <c r="F1497" i="4"/>
  <c r="F1496" i="4"/>
  <c r="F1495" i="4"/>
  <c r="D1495" i="4"/>
  <c r="D1498" i="4"/>
  <c r="D1497" i="4"/>
  <c r="D1496" i="4"/>
  <c r="L1498" i="4"/>
  <c r="L1497" i="4"/>
  <c r="L1495" i="4"/>
  <c r="L1496" i="4"/>
  <c r="W1495" i="4"/>
  <c r="W1498" i="4"/>
  <c r="W1497" i="4"/>
  <c r="W1496" i="4"/>
  <c r="D1471" i="4"/>
  <c r="D1470" i="4"/>
  <c r="D1469" i="4"/>
  <c r="D1468" i="4"/>
  <c r="E1471" i="4"/>
  <c r="E1470" i="4"/>
  <c r="E1469" i="4"/>
  <c r="E1468" i="4"/>
  <c r="L1471" i="4"/>
  <c r="L1470" i="4"/>
  <c r="L1469" i="4"/>
  <c r="L1468" i="4"/>
  <c r="M1471" i="4"/>
  <c r="M1470" i="4"/>
  <c r="M1469" i="4"/>
  <c r="M1468" i="4"/>
  <c r="N1471" i="4"/>
  <c r="N1470" i="4"/>
  <c r="N1469" i="4"/>
  <c r="N1468" i="4"/>
  <c r="S1471" i="4"/>
  <c r="S1470" i="4"/>
  <c r="S1469" i="4"/>
  <c r="S1468" i="4"/>
  <c r="F1471" i="4"/>
  <c r="F1470" i="4"/>
  <c r="F1469" i="4"/>
  <c r="F1468" i="4"/>
  <c r="G1470" i="4"/>
  <c r="G1469" i="4"/>
  <c r="G1468" i="4"/>
  <c r="G1471" i="4"/>
  <c r="K1471" i="4"/>
  <c r="K1470" i="4"/>
  <c r="K1469" i="4"/>
  <c r="K1468" i="4"/>
  <c r="H1469" i="4"/>
  <c r="H1468" i="4"/>
  <c r="H1470" i="4"/>
  <c r="H1471" i="4"/>
  <c r="I1468" i="4"/>
  <c r="I1471" i="4"/>
  <c r="I1470" i="4"/>
  <c r="I1469" i="4"/>
  <c r="Q1468" i="4"/>
  <c r="Q1469" i="4"/>
  <c r="Q1471" i="4"/>
  <c r="Q1470" i="4"/>
  <c r="O1470" i="4"/>
  <c r="O1469" i="4"/>
  <c r="O1468" i="4"/>
  <c r="O1471" i="4"/>
  <c r="P1469" i="4"/>
  <c r="P1468" i="4"/>
  <c r="P1470" i="4"/>
  <c r="P1471" i="4"/>
  <c r="J1468" i="4"/>
  <c r="J1471" i="4"/>
  <c r="J1470" i="4"/>
  <c r="J1469" i="4"/>
  <c r="R1468" i="4"/>
  <c r="R1471" i="4"/>
  <c r="R1470" i="4"/>
  <c r="R1469" i="4"/>
  <c r="W1471" i="4"/>
  <c r="W1470" i="4"/>
  <c r="W1469" i="4"/>
  <c r="W1468" i="4"/>
  <c r="G1443" i="4"/>
  <c r="G1444" i="4"/>
  <c r="G1442" i="4"/>
  <c r="G1441" i="4"/>
  <c r="E1444" i="4"/>
  <c r="E1443" i="4"/>
  <c r="E1442" i="4"/>
  <c r="E1441" i="4"/>
  <c r="I1441" i="4"/>
  <c r="I1443" i="4"/>
  <c r="I1442" i="4"/>
  <c r="I1444" i="4"/>
  <c r="Q1441" i="4"/>
  <c r="Q1443" i="4"/>
  <c r="Q1442" i="4"/>
  <c r="Q1444" i="4"/>
  <c r="H1442" i="4"/>
  <c r="H1441" i="4"/>
  <c r="H1444" i="4"/>
  <c r="H1443" i="4"/>
  <c r="N1444" i="4"/>
  <c r="N1443" i="4"/>
  <c r="N1442" i="4"/>
  <c r="N1441" i="4"/>
  <c r="J1444" i="4"/>
  <c r="J1442" i="4"/>
  <c r="J1443" i="4"/>
  <c r="J1441" i="4"/>
  <c r="R1442" i="4"/>
  <c r="R1441" i="4"/>
  <c r="R1444" i="4"/>
  <c r="R1443" i="4"/>
  <c r="O1443" i="4"/>
  <c r="O1442" i="4"/>
  <c r="O1441" i="4"/>
  <c r="O1444" i="4"/>
  <c r="F1444" i="4"/>
  <c r="F1443" i="4"/>
  <c r="F1442" i="4"/>
  <c r="F1441" i="4"/>
  <c r="K1444" i="4"/>
  <c r="K1443" i="4"/>
  <c r="K1442" i="4"/>
  <c r="K1441" i="4"/>
  <c r="S1441" i="4"/>
  <c r="S1444" i="4"/>
  <c r="S1443" i="4"/>
  <c r="S1442" i="4"/>
  <c r="P1442" i="4"/>
  <c r="P1441" i="4"/>
  <c r="P1443" i="4"/>
  <c r="P1444" i="4"/>
  <c r="M1444" i="4"/>
  <c r="M1443" i="4"/>
  <c r="M1442" i="4"/>
  <c r="M1441" i="4"/>
  <c r="D1444" i="4"/>
  <c r="D1443" i="4"/>
  <c r="D1442" i="4"/>
  <c r="D1441" i="4"/>
  <c r="L1444" i="4"/>
  <c r="L1443" i="4"/>
  <c r="L1442" i="4"/>
  <c r="L1441" i="4"/>
  <c r="W1444" i="4"/>
  <c r="W1443" i="4"/>
  <c r="W1442" i="4"/>
  <c r="W1441" i="4"/>
  <c r="E1417" i="4"/>
  <c r="E1416" i="4"/>
  <c r="E1415" i="4"/>
  <c r="E1414" i="4"/>
  <c r="M1417" i="4"/>
  <c r="M1416" i="4"/>
  <c r="M1415" i="4"/>
  <c r="M1414" i="4"/>
  <c r="K1417" i="4"/>
  <c r="K1416" i="4"/>
  <c r="K1415" i="4"/>
  <c r="K1414" i="4"/>
  <c r="F1417" i="4"/>
  <c r="F1416" i="4"/>
  <c r="F1415" i="4"/>
  <c r="F1414" i="4"/>
  <c r="L1417" i="4"/>
  <c r="L1416" i="4"/>
  <c r="L1415" i="4"/>
  <c r="L1414" i="4"/>
  <c r="N1417" i="4"/>
  <c r="N1416" i="4"/>
  <c r="N1415" i="4"/>
  <c r="N1414" i="4"/>
  <c r="H1415" i="4"/>
  <c r="H1414" i="4"/>
  <c r="H1416" i="4"/>
  <c r="H1417" i="4"/>
  <c r="G1416" i="4"/>
  <c r="G1415" i="4"/>
  <c r="G1414" i="4"/>
  <c r="G1417" i="4"/>
  <c r="S1417" i="4"/>
  <c r="S1416" i="4"/>
  <c r="S1415" i="4"/>
  <c r="S1414" i="4"/>
  <c r="P1415" i="4"/>
  <c r="P1416" i="4"/>
  <c r="P1414" i="4"/>
  <c r="P1417" i="4"/>
  <c r="I1414" i="4"/>
  <c r="I1417" i="4"/>
  <c r="I1416" i="4"/>
  <c r="I1415" i="4"/>
  <c r="Q1414" i="4"/>
  <c r="Q1415" i="4"/>
  <c r="Q1417" i="4"/>
  <c r="Q1416" i="4"/>
  <c r="O1416" i="4"/>
  <c r="O1415" i="4"/>
  <c r="O1414" i="4"/>
  <c r="O1417" i="4"/>
  <c r="D1417" i="4"/>
  <c r="D1416" i="4"/>
  <c r="D1415" i="4"/>
  <c r="D1414" i="4"/>
  <c r="J1414" i="4"/>
  <c r="J1417" i="4"/>
  <c r="J1416" i="4"/>
  <c r="J1415" i="4"/>
  <c r="R1417" i="4"/>
  <c r="R1414" i="4"/>
  <c r="R1416" i="4"/>
  <c r="R1415" i="4"/>
  <c r="W1417" i="4"/>
  <c r="W1416" i="4"/>
  <c r="W1415" i="4"/>
  <c r="W1414" i="4"/>
  <c r="H1388" i="4"/>
  <c r="H1387" i="4"/>
  <c r="H1389" i="4"/>
  <c r="H1390" i="4"/>
  <c r="I1387" i="4"/>
  <c r="I1388" i="4"/>
  <c r="I1390" i="4"/>
  <c r="I1389" i="4"/>
  <c r="Q1387" i="4"/>
  <c r="Q1390" i="4"/>
  <c r="Q1389" i="4"/>
  <c r="Q1388" i="4"/>
  <c r="G1389" i="4"/>
  <c r="G1388" i="4"/>
  <c r="G1390" i="4"/>
  <c r="G1387" i="4"/>
  <c r="J1387" i="4"/>
  <c r="J1390" i="4"/>
  <c r="J1389" i="4"/>
  <c r="J1388" i="4"/>
  <c r="E1390" i="4"/>
  <c r="E1389" i="4"/>
  <c r="E1388" i="4"/>
  <c r="E1387" i="4"/>
  <c r="K1390" i="4"/>
  <c r="K1389" i="4"/>
  <c r="K1388" i="4"/>
  <c r="K1387" i="4"/>
  <c r="D1390" i="4"/>
  <c r="D1389" i="4"/>
  <c r="D1388" i="4"/>
  <c r="D1387" i="4"/>
  <c r="L1390" i="4"/>
  <c r="L1389" i="4"/>
  <c r="L1388" i="4"/>
  <c r="L1387" i="4"/>
  <c r="O1389" i="4"/>
  <c r="O1390" i="4"/>
  <c r="O1388" i="4"/>
  <c r="O1387" i="4"/>
  <c r="S1390" i="4"/>
  <c r="S1389" i="4"/>
  <c r="S1388" i="4"/>
  <c r="S1387" i="4"/>
  <c r="R1390" i="4"/>
  <c r="R1389" i="4"/>
  <c r="R1387" i="4"/>
  <c r="R1388" i="4"/>
  <c r="P1388" i="4"/>
  <c r="P1387" i="4"/>
  <c r="P1389" i="4"/>
  <c r="P1390" i="4"/>
  <c r="M1390" i="4"/>
  <c r="M1389" i="4"/>
  <c r="M1388" i="4"/>
  <c r="M1387" i="4"/>
  <c r="F1390" i="4"/>
  <c r="F1389" i="4"/>
  <c r="F1388" i="4"/>
  <c r="F1387" i="4"/>
  <c r="N1390" i="4"/>
  <c r="N1389" i="4"/>
  <c r="N1388" i="4"/>
  <c r="N1387" i="4"/>
  <c r="W1390" i="4"/>
  <c r="W1389" i="4"/>
  <c r="W1388" i="4"/>
  <c r="W1387" i="4"/>
  <c r="E1363" i="4"/>
  <c r="E1362" i="4"/>
  <c r="E1361" i="4"/>
  <c r="E1360" i="4"/>
  <c r="M1363" i="4"/>
  <c r="M1362" i="4"/>
  <c r="M1361" i="4"/>
  <c r="M1360" i="4"/>
  <c r="F1363" i="4"/>
  <c r="F1362" i="4"/>
  <c r="F1361" i="4"/>
  <c r="F1360" i="4"/>
  <c r="N1363" i="4"/>
  <c r="N1362" i="4"/>
  <c r="N1361" i="4"/>
  <c r="N1360" i="4"/>
  <c r="H1361" i="4"/>
  <c r="H1360" i="4"/>
  <c r="H1362" i="4"/>
  <c r="H1363" i="4"/>
  <c r="P1361" i="4"/>
  <c r="P1360" i="4"/>
  <c r="P1362" i="4"/>
  <c r="P1363" i="4"/>
  <c r="G1362" i="4"/>
  <c r="G1361" i="4"/>
  <c r="G1360" i="4"/>
  <c r="G1363" i="4"/>
  <c r="I1360" i="4"/>
  <c r="I1363" i="4"/>
  <c r="I1361" i="4"/>
  <c r="I1362" i="4"/>
  <c r="J1362" i="4"/>
  <c r="J1363" i="4"/>
  <c r="J1360" i="4"/>
  <c r="J1361" i="4"/>
  <c r="R1362" i="4"/>
  <c r="R1360" i="4"/>
  <c r="R1363" i="4"/>
  <c r="R1361" i="4"/>
  <c r="O1362" i="4"/>
  <c r="O1361" i="4"/>
  <c r="O1363" i="4"/>
  <c r="O1360" i="4"/>
  <c r="K1363" i="4"/>
  <c r="K1362" i="4"/>
  <c r="K1361" i="4"/>
  <c r="K1360" i="4"/>
  <c r="S1363" i="4"/>
  <c r="S1362" i="4"/>
  <c r="S1361" i="4"/>
  <c r="S1360" i="4"/>
  <c r="Q1360" i="4"/>
  <c r="Q1361" i="4"/>
  <c r="Q1363" i="4"/>
  <c r="Q1362" i="4"/>
  <c r="D1360" i="4"/>
  <c r="D1363" i="4"/>
  <c r="D1362" i="4"/>
  <c r="D1361" i="4"/>
  <c r="L1363" i="4"/>
  <c r="L1362" i="4"/>
  <c r="L1361" i="4"/>
  <c r="L1360" i="4"/>
  <c r="W1363" i="4"/>
  <c r="W1362" i="4"/>
  <c r="W1360" i="4"/>
  <c r="W1361" i="4"/>
  <c r="K1336" i="4"/>
  <c r="K1335" i="4"/>
  <c r="K1334" i="4"/>
  <c r="K1333" i="4"/>
  <c r="E1336" i="4"/>
  <c r="E1335" i="4"/>
  <c r="E1334" i="4"/>
  <c r="E1333" i="4"/>
  <c r="M1336" i="4"/>
  <c r="M1335" i="4"/>
  <c r="M1334" i="4"/>
  <c r="M1333" i="4"/>
  <c r="N1336" i="4"/>
  <c r="N1335" i="4"/>
  <c r="N1334" i="4"/>
  <c r="N1333" i="4"/>
  <c r="S1336" i="4"/>
  <c r="S1335" i="4"/>
  <c r="S1334" i="4"/>
  <c r="S1333" i="4"/>
  <c r="L1336" i="4"/>
  <c r="L1335" i="4"/>
  <c r="L1334" i="4"/>
  <c r="L1333" i="4"/>
  <c r="F1336" i="4"/>
  <c r="F1335" i="4"/>
  <c r="F1334" i="4"/>
  <c r="F1333" i="4"/>
  <c r="H1334" i="4"/>
  <c r="H1333" i="4"/>
  <c r="H1335" i="4"/>
  <c r="H1336" i="4"/>
  <c r="P1334" i="4"/>
  <c r="P1333" i="4"/>
  <c r="P1335" i="4"/>
  <c r="P1336" i="4"/>
  <c r="G1335" i="4"/>
  <c r="G1334" i="4"/>
  <c r="G1333" i="4"/>
  <c r="G1336" i="4"/>
  <c r="D1336" i="4"/>
  <c r="D1335" i="4"/>
  <c r="D1334" i="4"/>
  <c r="D1333" i="4"/>
  <c r="I1333" i="4"/>
  <c r="I1334" i="4"/>
  <c r="I1336" i="4"/>
  <c r="I1335" i="4"/>
  <c r="Q1333" i="4"/>
  <c r="Q1336" i="4"/>
  <c r="Q1334" i="4"/>
  <c r="Q1335" i="4"/>
  <c r="O1335" i="4"/>
  <c r="O1334" i="4"/>
  <c r="O1333" i="4"/>
  <c r="O1336" i="4"/>
  <c r="J1333" i="4"/>
  <c r="J1336" i="4"/>
  <c r="J1335" i="4"/>
  <c r="J1334" i="4"/>
  <c r="R1336" i="4"/>
  <c r="R1333" i="4"/>
  <c r="R1335" i="4"/>
  <c r="R1334" i="4"/>
  <c r="W1336" i="4"/>
  <c r="W1335" i="4"/>
  <c r="W1334" i="4"/>
  <c r="W1333" i="4"/>
  <c r="D1309" i="4"/>
  <c r="D1308" i="4"/>
  <c r="D1307" i="4"/>
  <c r="D1306" i="4"/>
  <c r="L1309" i="4"/>
  <c r="L1308" i="4"/>
  <c r="L1307" i="4"/>
  <c r="L1306" i="4"/>
  <c r="S1309" i="4"/>
  <c r="S1308" i="4"/>
  <c r="S1307" i="4"/>
  <c r="S1306" i="4"/>
  <c r="M1309" i="4"/>
  <c r="M1308" i="4"/>
  <c r="M1307" i="4"/>
  <c r="M1306" i="4"/>
  <c r="N1309" i="4"/>
  <c r="N1308" i="4"/>
  <c r="N1307" i="4"/>
  <c r="N1306" i="4"/>
  <c r="F1309" i="4"/>
  <c r="F1308" i="4"/>
  <c r="F1307" i="4"/>
  <c r="F1306" i="4"/>
  <c r="K1309" i="4"/>
  <c r="K1308" i="4"/>
  <c r="K1307" i="4"/>
  <c r="K1306" i="4"/>
  <c r="E1309" i="4"/>
  <c r="E1308" i="4"/>
  <c r="E1307" i="4"/>
  <c r="E1306" i="4"/>
  <c r="H1307" i="4"/>
  <c r="H1306" i="4"/>
  <c r="H1308" i="4"/>
  <c r="H1309" i="4"/>
  <c r="P1307" i="4"/>
  <c r="P1306" i="4"/>
  <c r="P1308" i="4"/>
  <c r="P1309" i="4"/>
  <c r="G1308" i="4"/>
  <c r="G1307" i="4"/>
  <c r="G1306" i="4"/>
  <c r="G1309" i="4"/>
  <c r="I1306" i="4"/>
  <c r="I1307" i="4"/>
  <c r="I1309" i="4"/>
  <c r="I1308" i="4"/>
  <c r="Q1306" i="4"/>
  <c r="Q1309" i="4"/>
  <c r="Q1308" i="4"/>
  <c r="Q1307" i="4"/>
  <c r="O1308" i="4"/>
  <c r="O1307" i="4"/>
  <c r="O1306" i="4"/>
  <c r="O1309" i="4"/>
  <c r="J1306" i="4"/>
  <c r="J1309" i="4"/>
  <c r="J1308" i="4"/>
  <c r="J1307" i="4"/>
  <c r="R1306" i="4"/>
  <c r="R1309" i="4"/>
  <c r="R1308" i="4"/>
  <c r="R1307" i="4"/>
  <c r="W1309" i="4"/>
  <c r="W1308" i="4"/>
  <c r="W1307" i="4"/>
  <c r="W1306" i="4"/>
  <c r="F1282" i="4"/>
  <c r="F1281" i="4"/>
  <c r="F1280" i="4"/>
  <c r="F1279" i="4"/>
  <c r="N1282" i="4"/>
  <c r="N1281" i="4"/>
  <c r="N1280" i="4"/>
  <c r="N1279" i="4"/>
  <c r="M1282" i="4"/>
  <c r="M1281" i="4"/>
  <c r="M1280" i="4"/>
  <c r="M1279" i="4"/>
  <c r="G1281" i="4"/>
  <c r="G1280" i="4"/>
  <c r="G1279" i="4"/>
  <c r="G1282" i="4"/>
  <c r="I1279" i="4"/>
  <c r="I1281" i="4"/>
  <c r="I1280" i="4"/>
  <c r="I1282" i="4"/>
  <c r="Q1279" i="4"/>
  <c r="Q1281" i="4"/>
  <c r="Q1280" i="4"/>
  <c r="Q1282" i="4"/>
  <c r="H1280" i="4"/>
  <c r="H1279" i="4"/>
  <c r="H1281" i="4"/>
  <c r="H1282" i="4"/>
  <c r="J1279" i="4"/>
  <c r="J1282" i="4"/>
  <c r="J1281" i="4"/>
  <c r="J1280" i="4"/>
  <c r="R1280" i="4"/>
  <c r="R1282" i="4"/>
  <c r="R1281" i="4"/>
  <c r="R1279" i="4"/>
  <c r="O1281" i="4"/>
  <c r="O1280" i="4"/>
  <c r="O1279" i="4"/>
  <c r="O1282" i="4"/>
  <c r="E1282" i="4"/>
  <c r="E1281" i="4"/>
  <c r="E1280" i="4"/>
  <c r="E1279" i="4"/>
  <c r="K1282" i="4"/>
  <c r="K1279" i="4"/>
  <c r="K1281" i="4"/>
  <c r="K1280" i="4"/>
  <c r="S1279" i="4"/>
  <c r="S1282" i="4"/>
  <c r="S1281" i="4"/>
  <c r="S1280" i="4"/>
  <c r="P1280" i="4"/>
  <c r="P1279" i="4"/>
  <c r="P1281" i="4"/>
  <c r="P1282" i="4"/>
  <c r="D1282" i="4"/>
  <c r="D1281" i="4"/>
  <c r="D1280" i="4"/>
  <c r="D1279" i="4"/>
  <c r="L1282" i="4"/>
  <c r="L1281" i="4"/>
  <c r="L1280" i="4"/>
  <c r="L1279" i="4"/>
  <c r="W1282" i="4"/>
  <c r="W1281" i="4"/>
  <c r="W1280" i="4"/>
  <c r="W1279" i="4"/>
  <c r="D1233" i="4" l="1"/>
  <c r="D1238" i="4" s="1"/>
  <c r="D1230" i="4"/>
  <c r="D1235" i="4" s="1"/>
  <c r="D1231" i="4"/>
  <c r="D1236" i="4" s="1"/>
  <c r="D1232" i="4"/>
  <c r="D1237" i="4" s="1"/>
  <c r="S1049" i="4"/>
  <c r="S1051" i="4" s="1"/>
  <c r="R1051" i="4"/>
  <c r="R769" i="4"/>
  <c r="Q771" i="4"/>
  <c r="Q1231" i="4"/>
  <c r="Q1236" i="4" s="1"/>
  <c r="AD1127" i="4"/>
  <c r="Q1233" i="4"/>
  <c r="Q1238" i="4" s="1"/>
  <c r="S1077" i="4"/>
  <c r="S1079" i="4" s="1"/>
  <c r="R1079" i="4"/>
  <c r="S993" i="4"/>
  <c r="S995" i="4" s="1"/>
  <c r="R995" i="4"/>
  <c r="R196" i="4"/>
  <c r="Q198" i="4"/>
  <c r="S308" i="4"/>
  <c r="S310" i="4" s="1"/>
  <c r="R310" i="4"/>
  <c r="S334" i="4"/>
  <c r="S336" i="4" s="1"/>
  <c r="R336" i="4"/>
  <c r="S526" i="4"/>
  <c r="S528" i="4" s="1"/>
  <c r="R528" i="4"/>
  <c r="S1215" i="4"/>
  <c r="S1217" i="4" s="1"/>
  <c r="S1218" i="4" s="1"/>
  <c r="S1219" i="4" s="1"/>
  <c r="S1221" i="4" s="1"/>
  <c r="S1223" i="4" s="1"/>
  <c r="S1229" i="4" s="1"/>
  <c r="S1234" i="4" s="1"/>
  <c r="R1217" i="4"/>
  <c r="R1218" i="4" s="1"/>
  <c r="R1219" i="4" s="1"/>
  <c r="R1221" i="4" s="1"/>
  <c r="R1223" i="4" s="1"/>
  <c r="R965" i="4"/>
  <c r="Q967" i="4"/>
  <c r="R1021" i="4"/>
  <c r="Q1023" i="4"/>
  <c r="I296" i="3"/>
  <c r="I300" i="3" s="1"/>
  <c r="I294" i="3"/>
  <c r="I298" i="3" s="1"/>
  <c r="I295" i="3"/>
  <c r="I299" i="3" s="1"/>
  <c r="I293" i="3"/>
  <c r="I297" i="3" s="1"/>
  <c r="D30" i="13"/>
  <c r="E30" i="13"/>
  <c r="B30" i="12"/>
  <c r="D30" i="12"/>
  <c r="E30" i="12"/>
  <c r="I30" i="13"/>
  <c r="C30" i="13"/>
  <c r="P30" i="13"/>
  <c r="J30" i="13"/>
  <c r="J283" i="3"/>
  <c r="J284" i="3" s="1"/>
  <c r="J286" i="3" s="1"/>
  <c r="J288" i="3" s="1"/>
  <c r="M278" i="3"/>
  <c r="L280" i="3"/>
  <c r="K281" i="3"/>
  <c r="K282" i="3" s="1"/>
  <c r="G1494" i="4"/>
  <c r="H1494" i="4"/>
  <c r="Q1494" i="4"/>
  <c r="O1494" i="4"/>
  <c r="M1494" i="4"/>
  <c r="S1494" i="4"/>
  <c r="N1494" i="4"/>
  <c r="R1494" i="4"/>
  <c r="E1494" i="4"/>
  <c r="K1494" i="4"/>
  <c r="J1494" i="4"/>
  <c r="L1494" i="4"/>
  <c r="P1494" i="4"/>
  <c r="F1494" i="4"/>
  <c r="W1494" i="4"/>
  <c r="D1494" i="4"/>
  <c r="I1494" i="4"/>
  <c r="S1467" i="4"/>
  <c r="G1467" i="4"/>
  <c r="P1467" i="4"/>
  <c r="H1467" i="4"/>
  <c r="M1467" i="4"/>
  <c r="R1467" i="4"/>
  <c r="Q1467" i="4"/>
  <c r="E1467" i="4"/>
  <c r="K1467" i="4"/>
  <c r="F1467" i="4"/>
  <c r="D1467" i="4"/>
  <c r="O1467" i="4"/>
  <c r="W1467" i="4"/>
  <c r="N1467" i="4"/>
  <c r="L1467" i="4"/>
  <c r="J1467" i="4"/>
  <c r="I1467" i="4"/>
  <c r="L1440" i="4"/>
  <c r="M1440" i="4"/>
  <c r="F1440" i="4"/>
  <c r="N1440" i="4"/>
  <c r="E1440" i="4"/>
  <c r="R1440" i="4"/>
  <c r="S1440" i="4"/>
  <c r="Q1440" i="4"/>
  <c r="W1440" i="4"/>
  <c r="D1440" i="4"/>
  <c r="K1440" i="4"/>
  <c r="J1440" i="4"/>
  <c r="G1440" i="4"/>
  <c r="O1440" i="4"/>
  <c r="P1440" i="4"/>
  <c r="H1440" i="4"/>
  <c r="I1440" i="4"/>
  <c r="R1413" i="4"/>
  <c r="Q1413" i="4"/>
  <c r="D1413" i="4"/>
  <c r="M1413" i="4"/>
  <c r="W1413" i="4"/>
  <c r="S1413" i="4"/>
  <c r="L1413" i="4"/>
  <c r="K1413" i="4"/>
  <c r="E1413" i="4"/>
  <c r="G1413" i="4"/>
  <c r="O1413" i="4"/>
  <c r="N1413" i="4"/>
  <c r="P1413" i="4"/>
  <c r="H1413" i="4"/>
  <c r="F1413" i="4"/>
  <c r="J1413" i="4"/>
  <c r="I1413" i="4"/>
  <c r="O1386" i="4"/>
  <c r="I1386" i="4"/>
  <c r="N1386" i="4"/>
  <c r="G1386" i="4"/>
  <c r="W1386" i="4"/>
  <c r="F1386" i="4"/>
  <c r="S1386" i="4"/>
  <c r="L1386" i="4"/>
  <c r="K1386" i="4"/>
  <c r="D1386" i="4"/>
  <c r="P1386" i="4"/>
  <c r="H1386" i="4"/>
  <c r="M1386" i="4"/>
  <c r="E1386" i="4"/>
  <c r="R1386" i="4"/>
  <c r="J1386" i="4"/>
  <c r="Q1386" i="4"/>
  <c r="N1359" i="4"/>
  <c r="R1359" i="4"/>
  <c r="P1359" i="4"/>
  <c r="K1359" i="4"/>
  <c r="Q1359" i="4"/>
  <c r="I1359" i="4"/>
  <c r="S1359" i="4"/>
  <c r="O1359" i="4"/>
  <c r="F1359" i="4"/>
  <c r="E1359" i="4"/>
  <c r="L1359" i="4"/>
  <c r="M1359" i="4"/>
  <c r="W1359" i="4"/>
  <c r="J1359" i="4"/>
  <c r="G1359" i="4"/>
  <c r="H1359" i="4"/>
  <c r="D1359" i="4"/>
  <c r="R1332" i="4"/>
  <c r="H1332" i="4"/>
  <c r="N1332" i="4"/>
  <c r="I1332" i="4"/>
  <c r="W1332" i="4"/>
  <c r="D1332" i="4"/>
  <c r="F1332" i="4"/>
  <c r="S1332" i="4"/>
  <c r="M1332" i="4"/>
  <c r="K1332" i="4"/>
  <c r="L1332" i="4"/>
  <c r="E1332" i="4"/>
  <c r="O1332" i="4"/>
  <c r="G1332" i="4"/>
  <c r="P1332" i="4"/>
  <c r="J1332" i="4"/>
  <c r="Q1332" i="4"/>
  <c r="E1305" i="4"/>
  <c r="F1305" i="4"/>
  <c r="M1305" i="4"/>
  <c r="L1305" i="4"/>
  <c r="P1305" i="4"/>
  <c r="I1305" i="4"/>
  <c r="O1305" i="4"/>
  <c r="W1305" i="4"/>
  <c r="K1305" i="4"/>
  <c r="N1305" i="4"/>
  <c r="S1305" i="4"/>
  <c r="D1305" i="4"/>
  <c r="R1305" i="4"/>
  <c r="G1305" i="4"/>
  <c r="H1305" i="4"/>
  <c r="J1305" i="4"/>
  <c r="Q1305" i="4"/>
  <c r="N1278" i="4"/>
  <c r="O1278" i="4"/>
  <c r="G1278" i="4"/>
  <c r="L1278" i="4"/>
  <c r="J1278" i="4"/>
  <c r="Q1278" i="4"/>
  <c r="W1278" i="4"/>
  <c r="D1278" i="4"/>
  <c r="E1278" i="4"/>
  <c r="R1278" i="4"/>
  <c r="M1278" i="4"/>
  <c r="F1278" i="4"/>
  <c r="P1278" i="4"/>
  <c r="H1278" i="4"/>
  <c r="K1278" i="4"/>
  <c r="S1278" i="4"/>
  <c r="I1278" i="4"/>
  <c r="M1229" i="4"/>
  <c r="M1234" i="4" s="1"/>
  <c r="N1229" i="4"/>
  <c r="N1234" i="4" s="1"/>
  <c r="Q1229" i="4"/>
  <c r="Q1234" i="4" s="1"/>
  <c r="J1229" i="4"/>
  <c r="J1234" i="4" s="1"/>
  <c r="W1229" i="4"/>
  <c r="W1234" i="4" s="1"/>
  <c r="E1229" i="4"/>
  <c r="E1234" i="4" s="1"/>
  <c r="D1229" i="4"/>
  <c r="D1234" i="4" s="1"/>
  <c r="K1229" i="4"/>
  <c r="K1234" i="4" s="1"/>
  <c r="I1229" i="4"/>
  <c r="I1234" i="4" s="1"/>
  <c r="L1229" i="4"/>
  <c r="L1234" i="4" s="1"/>
  <c r="F1229" i="4"/>
  <c r="F1234" i="4" s="1"/>
  <c r="G1229" i="4"/>
  <c r="G1234" i="4" s="1"/>
  <c r="O1229" i="4"/>
  <c r="O1234" i="4" s="1"/>
  <c r="H1229" i="4"/>
  <c r="H1234" i="4" s="1"/>
  <c r="R1229" i="4"/>
  <c r="R1234" i="4" s="1"/>
  <c r="P1229" i="4"/>
  <c r="P1234" i="4" s="1"/>
  <c r="S965" i="4" l="1"/>
  <c r="S967" i="4" s="1"/>
  <c r="R967" i="4"/>
  <c r="R1230" i="4"/>
  <c r="R1235" i="4" s="1"/>
  <c r="R1233" i="4"/>
  <c r="R1238" i="4" s="1"/>
  <c r="R1231" i="4"/>
  <c r="R1236" i="4" s="1"/>
  <c r="R1232" i="4"/>
  <c r="R1237" i="4" s="1"/>
  <c r="S1230" i="4"/>
  <c r="S1235" i="4" s="1"/>
  <c r="S1233" i="4"/>
  <c r="S1238" i="4" s="1"/>
  <c r="S1232" i="4"/>
  <c r="S1237" i="4" s="1"/>
  <c r="S1231" i="4"/>
  <c r="S1236" i="4" s="1"/>
  <c r="S196" i="4"/>
  <c r="S198" i="4" s="1"/>
  <c r="R198" i="4"/>
  <c r="S769" i="4"/>
  <c r="S771" i="4" s="1"/>
  <c r="R771" i="4"/>
  <c r="S1021" i="4"/>
  <c r="S1023" i="4" s="1"/>
  <c r="R1023" i="4"/>
  <c r="J296" i="3"/>
  <c r="J300" i="3" s="1"/>
  <c r="J294" i="3"/>
  <c r="J298" i="3" s="1"/>
  <c r="J295" i="3"/>
  <c r="J299" i="3" s="1"/>
  <c r="J293" i="3"/>
  <c r="J297" i="3" s="1"/>
  <c r="E1204" i="4"/>
  <c r="E1209" i="4" s="1"/>
  <c r="C81" i="13"/>
  <c r="F1202" i="4"/>
  <c r="F1207" i="4" s="1"/>
  <c r="H81" i="13"/>
  <c r="F1205" i="4"/>
  <c r="F1210" i="4" s="1"/>
  <c r="H1203" i="4"/>
  <c r="H1208" i="4" s="1"/>
  <c r="N81" i="13"/>
  <c r="H1205" i="4"/>
  <c r="H1210" i="4" s="1"/>
  <c r="P81" i="13"/>
  <c r="O81" i="13"/>
  <c r="H1204" i="4"/>
  <c r="H1209" i="4" s="1"/>
  <c r="E1206" i="4"/>
  <c r="E1211" i="4" s="1"/>
  <c r="E81" i="13"/>
  <c r="H1202" i="4"/>
  <c r="H1207" i="4" s="1"/>
  <c r="H1206" i="4"/>
  <c r="H1211" i="4" s="1"/>
  <c r="Q81" i="13"/>
  <c r="E1203" i="4"/>
  <c r="E1208" i="4" s="1"/>
  <c r="B81" i="13"/>
  <c r="D81" i="13"/>
  <c r="E1205" i="4"/>
  <c r="E1210" i="4" s="1"/>
  <c r="E1202" i="4"/>
  <c r="E1207" i="4" s="1"/>
  <c r="G1203" i="4"/>
  <c r="G1208" i="4" s="1"/>
  <c r="J81" i="13"/>
  <c r="G1204" i="4"/>
  <c r="G1209" i="4" s="1"/>
  <c r="K81" i="13"/>
  <c r="F1204" i="4"/>
  <c r="F1209" i="4" s="1"/>
  <c r="G81" i="13"/>
  <c r="M81" i="13"/>
  <c r="G1206" i="4"/>
  <c r="G1211" i="4" s="1"/>
  <c r="F81" i="13"/>
  <c r="F1203" i="4"/>
  <c r="F1208" i="4" s="1"/>
  <c r="G1202" i="4"/>
  <c r="G1207" i="4" s="1"/>
  <c r="I81" i="13"/>
  <c r="F1206" i="4"/>
  <c r="F1211" i="4" s="1"/>
  <c r="G1205" i="4"/>
  <c r="G1210" i="4" s="1"/>
  <c r="L81" i="13"/>
  <c r="L30" i="13"/>
  <c r="M30" i="13"/>
  <c r="K30" i="13"/>
  <c r="G30" i="13"/>
  <c r="N30" i="13"/>
  <c r="F30" i="13"/>
  <c r="H30" i="13"/>
  <c r="Q30" i="13"/>
  <c r="B31" i="14"/>
  <c r="O30" i="13"/>
  <c r="K283" i="3"/>
  <c r="K284" i="3" s="1"/>
  <c r="K286" i="3" s="1"/>
  <c r="K288" i="3" s="1"/>
  <c r="L281" i="3"/>
  <c r="L282" i="3" s="1"/>
  <c r="M280" i="3"/>
  <c r="N278" i="3"/>
  <c r="V904" i="3"/>
  <c r="U904" i="3"/>
  <c r="V879" i="3"/>
  <c r="U879" i="3"/>
  <c r="U880" i="3" s="1"/>
  <c r="W879" i="3"/>
  <c r="S879" i="3"/>
  <c r="S880" i="3" s="1"/>
  <c r="W904" i="3"/>
  <c r="S904" i="3"/>
  <c r="S905" i="3" s="1"/>
  <c r="Q879" i="3"/>
  <c r="Q880" i="3" s="1"/>
  <c r="P879" i="3"/>
  <c r="O879" i="3"/>
  <c r="Q904" i="3"/>
  <c r="Q905" i="3" s="1"/>
  <c r="P904" i="3"/>
  <c r="O904" i="3"/>
  <c r="O905" i="3" s="1"/>
  <c r="M879" i="3"/>
  <c r="M880" i="3" s="1"/>
  <c r="L879" i="3"/>
  <c r="L880" i="3" s="1"/>
  <c r="K879" i="3"/>
  <c r="K880" i="3" s="1"/>
  <c r="J879" i="3"/>
  <c r="J880" i="3" s="1"/>
  <c r="M904" i="3"/>
  <c r="M905" i="3" s="1"/>
  <c r="L904" i="3"/>
  <c r="L905" i="3" s="1"/>
  <c r="K904" i="3"/>
  <c r="K905" i="3" s="1"/>
  <c r="J904" i="3"/>
  <c r="J905" i="3" s="1"/>
  <c r="H904" i="3"/>
  <c r="G904" i="3"/>
  <c r="F904" i="3"/>
  <c r="H879" i="3"/>
  <c r="G879" i="3"/>
  <c r="F879" i="3"/>
  <c r="W1004" i="3"/>
  <c r="V1004" i="3"/>
  <c r="U1004" i="3"/>
  <c r="T1004" i="3"/>
  <c r="T1005" i="3" s="1"/>
  <c r="S1004" i="3"/>
  <c r="S1005" i="3" s="1"/>
  <c r="R1004" i="3"/>
  <c r="R1005" i="3" s="1"/>
  <c r="Q1004" i="3"/>
  <c r="Q1005" i="3" s="1"/>
  <c r="P1004" i="3"/>
  <c r="O1004" i="3"/>
  <c r="N1004" i="3"/>
  <c r="M1004" i="3"/>
  <c r="L1004" i="3"/>
  <c r="L1005" i="3" s="1"/>
  <c r="K1004" i="3"/>
  <c r="K1005" i="3" s="1"/>
  <c r="J1004" i="3"/>
  <c r="J1005" i="3" s="1"/>
  <c r="I1004" i="3"/>
  <c r="H1004" i="3"/>
  <c r="G1004" i="3"/>
  <c r="F1004" i="3"/>
  <c r="E1004" i="3"/>
  <c r="D1004" i="3"/>
  <c r="D1005" i="3" s="1"/>
  <c r="W979" i="3"/>
  <c r="V979" i="3"/>
  <c r="U979" i="3"/>
  <c r="T979" i="3"/>
  <c r="T980" i="3" s="1"/>
  <c r="S979" i="3"/>
  <c r="S980" i="3" s="1"/>
  <c r="R979" i="3"/>
  <c r="R980" i="3" s="1"/>
  <c r="Q979" i="3"/>
  <c r="Q980" i="3" s="1"/>
  <c r="P979" i="3"/>
  <c r="O979" i="3"/>
  <c r="N979" i="3"/>
  <c r="M979" i="3"/>
  <c r="L979" i="3"/>
  <c r="L980" i="3" s="1"/>
  <c r="K979" i="3"/>
  <c r="K980" i="3" s="1"/>
  <c r="J979" i="3"/>
  <c r="J980" i="3" s="1"/>
  <c r="I979" i="3"/>
  <c r="I980" i="3" s="1"/>
  <c r="H979" i="3"/>
  <c r="G979" i="3"/>
  <c r="F979" i="3"/>
  <c r="E979" i="3"/>
  <c r="D979" i="3"/>
  <c r="D980" i="3" s="1"/>
  <c r="W954" i="3"/>
  <c r="V954" i="3"/>
  <c r="U954" i="3"/>
  <c r="T954" i="3"/>
  <c r="T955" i="3" s="1"/>
  <c r="S954" i="3"/>
  <c r="S955" i="3" s="1"/>
  <c r="R954" i="3"/>
  <c r="R955" i="3" s="1"/>
  <c r="Q954" i="3"/>
  <c r="P954" i="3"/>
  <c r="O954" i="3"/>
  <c r="N954" i="3"/>
  <c r="N955" i="3" s="1"/>
  <c r="M954" i="3"/>
  <c r="M955" i="3" s="1"/>
  <c r="L954" i="3"/>
  <c r="L955" i="3" s="1"/>
  <c r="K954" i="3"/>
  <c r="K955" i="3" s="1"/>
  <c r="J954" i="3"/>
  <c r="J955" i="3" s="1"/>
  <c r="I954" i="3"/>
  <c r="I955" i="3" s="1"/>
  <c r="H954" i="3"/>
  <c r="H955" i="3" s="1"/>
  <c r="G954" i="3"/>
  <c r="F954" i="3"/>
  <c r="F955" i="3" s="1"/>
  <c r="E954" i="3"/>
  <c r="E955" i="3" s="1"/>
  <c r="D954" i="3"/>
  <c r="D955" i="3" s="1"/>
  <c r="W929" i="3"/>
  <c r="V929" i="3"/>
  <c r="U929" i="3"/>
  <c r="U930" i="3" s="1"/>
  <c r="T929" i="3"/>
  <c r="T930" i="3" s="1"/>
  <c r="S929" i="3"/>
  <c r="S930" i="3" s="1"/>
  <c r="R929" i="3"/>
  <c r="R930" i="3" s="1"/>
  <c r="Q929" i="3"/>
  <c r="Q930" i="3" s="1"/>
  <c r="P929" i="3"/>
  <c r="O929" i="3"/>
  <c r="N929" i="3"/>
  <c r="M929" i="3"/>
  <c r="M930" i="3" s="1"/>
  <c r="L929" i="3"/>
  <c r="L930" i="3" s="1"/>
  <c r="K929" i="3"/>
  <c r="K930" i="3" s="1"/>
  <c r="J929" i="3"/>
  <c r="J930" i="3" s="1"/>
  <c r="I929" i="3"/>
  <c r="I930" i="3" s="1"/>
  <c r="H929" i="3"/>
  <c r="G929" i="3"/>
  <c r="F929" i="3"/>
  <c r="E929" i="3"/>
  <c r="E930" i="3" s="1"/>
  <c r="D929" i="3"/>
  <c r="D930" i="3" s="1"/>
  <c r="T904" i="3"/>
  <c r="T905" i="3" s="1"/>
  <c r="R904" i="3"/>
  <c r="N904" i="3"/>
  <c r="I904" i="3"/>
  <c r="I905" i="3" s="1"/>
  <c r="E904" i="3"/>
  <c r="D904" i="3"/>
  <c r="D905" i="3" s="1"/>
  <c r="T879" i="3"/>
  <c r="T880" i="3" s="1"/>
  <c r="R879" i="3"/>
  <c r="R880" i="3" s="1"/>
  <c r="N879" i="3"/>
  <c r="I879" i="3"/>
  <c r="E879" i="3"/>
  <c r="D879" i="3"/>
  <c r="D880" i="3" s="1"/>
  <c r="K296" i="3" l="1"/>
  <c r="K300" i="3" s="1"/>
  <c r="K294" i="3"/>
  <c r="K298" i="3" s="1"/>
  <c r="K295" i="3"/>
  <c r="K299" i="3" s="1"/>
  <c r="K293" i="3"/>
  <c r="K297" i="3" s="1"/>
  <c r="H31" i="14"/>
  <c r="C31" i="14"/>
  <c r="D31" i="14"/>
  <c r="E31" i="14"/>
  <c r="L283" i="3"/>
  <c r="L284" i="3" s="1"/>
  <c r="L286" i="3" s="1"/>
  <c r="L288" i="3" s="1"/>
  <c r="M281" i="3"/>
  <c r="M282" i="3" s="1"/>
  <c r="O278" i="3"/>
  <c r="N280" i="3"/>
  <c r="H956" i="3"/>
  <c r="H957" i="3" s="1"/>
  <c r="H958" i="3" s="1"/>
  <c r="H960" i="3" s="1"/>
  <c r="H962" i="3" s="1"/>
  <c r="E980" i="3"/>
  <c r="E981" i="3" s="1"/>
  <c r="E1005" i="3"/>
  <c r="E1006" i="3" s="1"/>
  <c r="E1007" i="3" s="1"/>
  <c r="E1008" i="3" s="1"/>
  <c r="E1010" i="3" s="1"/>
  <c r="E1012" i="3" s="1"/>
  <c r="E956" i="3"/>
  <c r="E957" i="3" s="1"/>
  <c r="E958" i="3" s="1"/>
  <c r="E960" i="3" s="1"/>
  <c r="E962" i="3" s="1"/>
  <c r="M956" i="3"/>
  <c r="M957" i="3" s="1"/>
  <c r="M958" i="3" s="1"/>
  <c r="M960" i="3" s="1"/>
  <c r="M962" i="3" s="1"/>
  <c r="P955" i="3"/>
  <c r="P956" i="3" s="1"/>
  <c r="P957" i="3" s="1"/>
  <c r="P958" i="3" s="1"/>
  <c r="P960" i="3" s="1"/>
  <c r="P962" i="3" s="1"/>
  <c r="M1005" i="3"/>
  <c r="M1006" i="3" s="1"/>
  <c r="M1007" i="3" s="1"/>
  <c r="M1008" i="3" s="1"/>
  <c r="M1010" i="3" s="1"/>
  <c r="M1012" i="3" s="1"/>
  <c r="E931" i="3"/>
  <c r="E932" i="3" s="1"/>
  <c r="E933" i="3" s="1"/>
  <c r="E935" i="3" s="1"/>
  <c r="E937" i="3" s="1"/>
  <c r="M931" i="3"/>
  <c r="M932" i="3" s="1"/>
  <c r="M933" i="3" s="1"/>
  <c r="M935" i="3" s="1"/>
  <c r="M937" i="3" s="1"/>
  <c r="U931" i="3"/>
  <c r="U932" i="3" s="1"/>
  <c r="U933" i="3" s="1"/>
  <c r="U935" i="3" s="1"/>
  <c r="U937" i="3" s="1"/>
  <c r="F956" i="3"/>
  <c r="N956" i="3"/>
  <c r="N957" i="3" s="1"/>
  <c r="N958" i="3" s="1"/>
  <c r="N960" i="3" s="1"/>
  <c r="N962" i="3" s="1"/>
  <c r="U955" i="3"/>
  <c r="U956" i="3" s="1"/>
  <c r="U957" i="3" s="1"/>
  <c r="U958" i="3" s="1"/>
  <c r="U960" i="3" s="1"/>
  <c r="U962" i="3" s="1"/>
  <c r="M980" i="3"/>
  <c r="M981" i="3" s="1"/>
  <c r="U1005" i="3"/>
  <c r="U1006" i="3" s="1"/>
  <c r="U1007" i="3" s="1"/>
  <c r="U1008" i="3" s="1"/>
  <c r="U1010" i="3" s="1"/>
  <c r="U1012" i="3" s="1"/>
  <c r="V955" i="3"/>
  <c r="V956" i="3" s="1"/>
  <c r="V957" i="3" s="1"/>
  <c r="V958" i="3" s="1"/>
  <c r="V960" i="3" s="1"/>
  <c r="V962" i="3" s="1"/>
  <c r="K981" i="3"/>
  <c r="K982" i="3" s="1"/>
  <c r="K983" i="3" s="1"/>
  <c r="K985" i="3" s="1"/>
  <c r="K987" i="3" s="1"/>
  <c r="U980" i="3"/>
  <c r="U981" i="3" s="1"/>
  <c r="U982" i="3" s="1"/>
  <c r="U983" i="3" s="1"/>
  <c r="U985" i="3" s="1"/>
  <c r="U987" i="3" s="1"/>
  <c r="J906" i="3"/>
  <c r="M906" i="3"/>
  <c r="R905" i="3"/>
  <c r="R906" i="3" s="1"/>
  <c r="U905" i="3"/>
  <c r="U906" i="3" s="1"/>
  <c r="O906" i="3"/>
  <c r="W905" i="3"/>
  <c r="W906" i="3" s="1"/>
  <c r="E905" i="3"/>
  <c r="E906" i="3" s="1"/>
  <c r="E907" i="3" s="1"/>
  <c r="E908" i="3" s="1"/>
  <c r="E910" i="3" s="1"/>
  <c r="E912" i="3" s="1"/>
  <c r="G905" i="3"/>
  <c r="G906" i="3" s="1"/>
  <c r="M881" i="3"/>
  <c r="U881" i="3"/>
  <c r="E880" i="3"/>
  <c r="E881" i="3" s="1"/>
  <c r="Q1006" i="3"/>
  <c r="F1005" i="3"/>
  <c r="F1006" i="3" s="1"/>
  <c r="N1005" i="3"/>
  <c r="N1006" i="3" s="1"/>
  <c r="V1005" i="3"/>
  <c r="V1006" i="3" s="1"/>
  <c r="J1006" i="3"/>
  <c r="R1006" i="3"/>
  <c r="G1005" i="3"/>
  <c r="G1006" i="3" s="1"/>
  <c r="O1005" i="3"/>
  <c r="O1006" i="3" s="1"/>
  <c r="W1005" i="3"/>
  <c r="W1006" i="3" s="1"/>
  <c r="K1006" i="3"/>
  <c r="S1006" i="3"/>
  <c r="H1005" i="3"/>
  <c r="H1006" i="3" s="1"/>
  <c r="P1005" i="3"/>
  <c r="P1006" i="3" s="1"/>
  <c r="D1006" i="3"/>
  <c r="L1006" i="3"/>
  <c r="T1006" i="3"/>
  <c r="I1005" i="3"/>
  <c r="I1006" i="3" s="1"/>
  <c r="I981" i="3"/>
  <c r="Q981" i="3"/>
  <c r="F980" i="3"/>
  <c r="F981" i="3" s="1"/>
  <c r="N980" i="3"/>
  <c r="N981" i="3" s="1"/>
  <c r="V980" i="3"/>
  <c r="V981" i="3" s="1"/>
  <c r="J981" i="3"/>
  <c r="R981" i="3"/>
  <c r="W980" i="3"/>
  <c r="W981" i="3" s="1"/>
  <c r="H980" i="3"/>
  <c r="H981" i="3" s="1"/>
  <c r="P980" i="3"/>
  <c r="P981" i="3" s="1"/>
  <c r="D981" i="3"/>
  <c r="L981" i="3"/>
  <c r="T981" i="3"/>
  <c r="G980" i="3"/>
  <c r="G981" i="3" s="1"/>
  <c r="O980" i="3"/>
  <c r="O981" i="3" s="1"/>
  <c r="S981" i="3"/>
  <c r="I956" i="3"/>
  <c r="R956" i="3"/>
  <c r="G955" i="3"/>
  <c r="G956" i="3" s="1"/>
  <c r="O955" i="3"/>
  <c r="O956" i="3" s="1"/>
  <c r="W955" i="3"/>
  <c r="W956" i="3" s="1"/>
  <c r="K956" i="3"/>
  <c r="S956" i="3"/>
  <c r="D956" i="3"/>
  <c r="L956" i="3"/>
  <c r="T956" i="3"/>
  <c r="Q955" i="3"/>
  <c r="Q956" i="3" s="1"/>
  <c r="J956" i="3"/>
  <c r="I931" i="3"/>
  <c r="F930" i="3"/>
  <c r="F931" i="3" s="1"/>
  <c r="N930" i="3"/>
  <c r="N931" i="3" s="1"/>
  <c r="V930" i="3"/>
  <c r="V931" i="3" s="1"/>
  <c r="J931" i="3"/>
  <c r="R931" i="3"/>
  <c r="G930" i="3"/>
  <c r="G931" i="3" s="1"/>
  <c r="O930" i="3"/>
  <c r="O931" i="3" s="1"/>
  <c r="W930" i="3"/>
  <c r="W931" i="3" s="1"/>
  <c r="K931" i="3"/>
  <c r="S931" i="3"/>
  <c r="H930" i="3"/>
  <c r="H931" i="3" s="1"/>
  <c r="P930" i="3"/>
  <c r="P931" i="3" s="1"/>
  <c r="D931" i="3"/>
  <c r="L931" i="3"/>
  <c r="T931" i="3"/>
  <c r="Q931" i="3"/>
  <c r="Q906" i="3"/>
  <c r="I906" i="3"/>
  <c r="F905" i="3"/>
  <c r="F906" i="3" s="1"/>
  <c r="N905" i="3"/>
  <c r="N906" i="3" s="1"/>
  <c r="V905" i="3"/>
  <c r="V906" i="3" s="1"/>
  <c r="S906" i="3"/>
  <c r="H905" i="3"/>
  <c r="H906" i="3" s="1"/>
  <c r="P905" i="3"/>
  <c r="P906" i="3" s="1"/>
  <c r="D906" i="3"/>
  <c r="L906" i="3"/>
  <c r="T906" i="3"/>
  <c r="K906" i="3"/>
  <c r="F880" i="3"/>
  <c r="F881" i="3" s="1"/>
  <c r="N880" i="3"/>
  <c r="N881" i="3" s="1"/>
  <c r="V880" i="3"/>
  <c r="V881" i="3" s="1"/>
  <c r="J881" i="3"/>
  <c r="R881" i="3"/>
  <c r="G880" i="3"/>
  <c r="G881" i="3" s="1"/>
  <c r="O880" i="3"/>
  <c r="O881" i="3" s="1"/>
  <c r="W880" i="3"/>
  <c r="W881" i="3" s="1"/>
  <c r="K881" i="3"/>
  <c r="S881" i="3"/>
  <c r="Q881" i="3"/>
  <c r="H880" i="3"/>
  <c r="H881" i="3" s="1"/>
  <c r="P880" i="3"/>
  <c r="P881" i="3" s="1"/>
  <c r="D881" i="3"/>
  <c r="L881" i="3"/>
  <c r="T881" i="3"/>
  <c r="I880" i="3"/>
  <c r="I881" i="3" s="1"/>
  <c r="M96" i="17"/>
  <c r="L96" i="17"/>
  <c r="K96" i="17"/>
  <c r="J96" i="17"/>
  <c r="M95" i="17"/>
  <c r="L95" i="17"/>
  <c r="K95" i="17"/>
  <c r="J95" i="17"/>
  <c r="M94" i="17"/>
  <c r="L94" i="17"/>
  <c r="K94" i="17"/>
  <c r="J94" i="17"/>
  <c r="M86" i="17"/>
  <c r="L86" i="17"/>
  <c r="K86" i="17"/>
  <c r="J86" i="17"/>
  <c r="I86" i="17"/>
  <c r="H86" i="17"/>
  <c r="G86" i="17"/>
  <c r="F86" i="17"/>
  <c r="E96" i="17"/>
  <c r="D96" i="17"/>
  <c r="C96" i="17"/>
  <c r="B96" i="17"/>
  <c r="E95" i="17"/>
  <c r="D95" i="17"/>
  <c r="C95" i="17"/>
  <c r="B95" i="17"/>
  <c r="E94" i="17"/>
  <c r="D94" i="17"/>
  <c r="C94" i="17"/>
  <c r="B94" i="17"/>
  <c r="E86" i="17"/>
  <c r="D86" i="17"/>
  <c r="C86" i="17"/>
  <c r="B86" i="17"/>
  <c r="E1024" i="4"/>
  <c r="L296" i="3" l="1"/>
  <c r="L300" i="3" s="1"/>
  <c r="L294" i="3"/>
  <c r="L298" i="3" s="1"/>
  <c r="L295" i="3"/>
  <c r="L299" i="3" s="1"/>
  <c r="L293" i="3"/>
  <c r="L297" i="3" s="1"/>
  <c r="E918" i="3"/>
  <c r="E922" i="3" s="1"/>
  <c r="E919" i="3"/>
  <c r="E923" i="3" s="1"/>
  <c r="E917" i="3"/>
  <c r="E921" i="3" s="1"/>
  <c r="E920" i="3"/>
  <c r="E924" i="3" s="1"/>
  <c r="J31" i="14"/>
  <c r="I31" i="14"/>
  <c r="F31" i="14"/>
  <c r="G31" i="14"/>
  <c r="J907" i="3"/>
  <c r="J908" i="3" s="1"/>
  <c r="P278" i="3"/>
  <c r="O280" i="3"/>
  <c r="M283" i="3"/>
  <c r="M284" i="3" s="1"/>
  <c r="M286" i="3" s="1"/>
  <c r="M288" i="3" s="1"/>
  <c r="N281" i="3"/>
  <c r="N282" i="3" s="1"/>
  <c r="E982" i="3"/>
  <c r="E983" i="3" s="1"/>
  <c r="E985" i="3" s="1"/>
  <c r="E987" i="3" s="1"/>
  <c r="F957" i="3"/>
  <c r="F958" i="3" s="1"/>
  <c r="F960" i="3" s="1"/>
  <c r="F962" i="3" s="1"/>
  <c r="M982" i="3"/>
  <c r="M983" i="3" s="1"/>
  <c r="M985" i="3" s="1"/>
  <c r="M987" i="3" s="1"/>
  <c r="U882" i="3"/>
  <c r="U883" i="3" s="1"/>
  <c r="G907" i="3"/>
  <c r="G908" i="3" s="1"/>
  <c r="M907" i="3"/>
  <c r="M908" i="3" s="1"/>
  <c r="E882" i="3"/>
  <c r="E883" i="3" s="1"/>
  <c r="W907" i="3"/>
  <c r="W908" i="3" s="1"/>
  <c r="M882" i="3"/>
  <c r="M883" i="3" s="1"/>
  <c r="O907" i="3"/>
  <c r="O908" i="3" s="1"/>
  <c r="U907" i="3"/>
  <c r="U908" i="3" s="1"/>
  <c r="R907" i="3"/>
  <c r="R908" i="3" s="1"/>
  <c r="I1007" i="3"/>
  <c r="I1008" i="3" s="1"/>
  <c r="I1010" i="3" s="1"/>
  <c r="I1012" i="3" s="1"/>
  <c r="W1007" i="3"/>
  <c r="W1008" i="3" s="1"/>
  <c r="W1010" i="3" s="1"/>
  <c r="W1012" i="3" s="1"/>
  <c r="G1007" i="3"/>
  <c r="G1008" i="3" s="1"/>
  <c r="G1010" i="3" s="1"/>
  <c r="G1012" i="3" s="1"/>
  <c r="V1007" i="3"/>
  <c r="V1008" i="3" s="1"/>
  <c r="V1010" i="3" s="1"/>
  <c r="V1012" i="3" s="1"/>
  <c r="F1007" i="3"/>
  <c r="F1008" i="3" s="1"/>
  <c r="F1010" i="3" s="1"/>
  <c r="F1012" i="3" s="1"/>
  <c r="Q1007" i="3"/>
  <c r="Q1008" i="3" s="1"/>
  <c r="Q1010" i="3" s="1"/>
  <c r="Q1012" i="3" s="1"/>
  <c r="H1007" i="3"/>
  <c r="H1008" i="3" s="1"/>
  <c r="H1010" i="3" s="1"/>
  <c r="H1012" i="3" s="1"/>
  <c r="T1007" i="3"/>
  <c r="T1008" i="3" s="1"/>
  <c r="T1010" i="3" s="1"/>
  <c r="T1012" i="3" s="1"/>
  <c r="D1007" i="3"/>
  <c r="D1008" i="3" s="1"/>
  <c r="D1010" i="3" s="1"/>
  <c r="D1012" i="3" s="1"/>
  <c r="R1007" i="3"/>
  <c r="R1008" i="3" s="1"/>
  <c r="R1010" i="3" s="1"/>
  <c r="R1012" i="3" s="1"/>
  <c r="J1007" i="3"/>
  <c r="J1008" i="3" s="1"/>
  <c r="J1010" i="3" s="1"/>
  <c r="J1012" i="3" s="1"/>
  <c r="L1007" i="3"/>
  <c r="L1008" i="3" s="1"/>
  <c r="L1010" i="3" s="1"/>
  <c r="L1012" i="3" s="1"/>
  <c r="N1007" i="3"/>
  <c r="N1008" i="3" s="1"/>
  <c r="N1010" i="3" s="1"/>
  <c r="N1012" i="3" s="1"/>
  <c r="P1007" i="3"/>
  <c r="P1008" i="3" s="1"/>
  <c r="P1010" i="3" s="1"/>
  <c r="P1012" i="3" s="1"/>
  <c r="S1007" i="3"/>
  <c r="S1008" i="3" s="1"/>
  <c r="S1010" i="3" s="1"/>
  <c r="S1012" i="3" s="1"/>
  <c r="O1007" i="3"/>
  <c r="O1008" i="3" s="1"/>
  <c r="O1010" i="3" s="1"/>
  <c r="O1012" i="3" s="1"/>
  <c r="K1007" i="3"/>
  <c r="K1008" i="3" s="1"/>
  <c r="K1010" i="3" s="1"/>
  <c r="K1012" i="3" s="1"/>
  <c r="N982" i="3"/>
  <c r="N983" i="3" s="1"/>
  <c r="N985" i="3" s="1"/>
  <c r="N987" i="3" s="1"/>
  <c r="H982" i="3"/>
  <c r="H983" i="3" s="1"/>
  <c r="H985" i="3" s="1"/>
  <c r="H987" i="3" s="1"/>
  <c r="W982" i="3"/>
  <c r="W983" i="3" s="1"/>
  <c r="W985" i="3" s="1"/>
  <c r="W987" i="3" s="1"/>
  <c r="G982" i="3"/>
  <c r="G983" i="3" s="1"/>
  <c r="G985" i="3" s="1"/>
  <c r="G987" i="3" s="1"/>
  <c r="S982" i="3"/>
  <c r="S983" i="3" s="1"/>
  <c r="S985" i="3" s="1"/>
  <c r="S987" i="3" s="1"/>
  <c r="O982" i="3"/>
  <c r="O983" i="3" s="1"/>
  <c r="O985" i="3" s="1"/>
  <c r="O987" i="3" s="1"/>
  <c r="P982" i="3"/>
  <c r="P983" i="3" s="1"/>
  <c r="P985" i="3" s="1"/>
  <c r="P987" i="3" s="1"/>
  <c r="R982" i="3"/>
  <c r="R983" i="3" s="1"/>
  <c r="R985" i="3" s="1"/>
  <c r="R987" i="3" s="1"/>
  <c r="F982" i="3"/>
  <c r="F983" i="3" s="1"/>
  <c r="F985" i="3" s="1"/>
  <c r="F987" i="3" s="1"/>
  <c r="T982" i="3"/>
  <c r="T983" i="3" s="1"/>
  <c r="T985" i="3" s="1"/>
  <c r="T987" i="3" s="1"/>
  <c r="L982" i="3"/>
  <c r="L983" i="3" s="1"/>
  <c r="L985" i="3" s="1"/>
  <c r="L987" i="3" s="1"/>
  <c r="D982" i="3"/>
  <c r="D983" i="3" s="1"/>
  <c r="D985" i="3" s="1"/>
  <c r="D987" i="3" s="1"/>
  <c r="J982" i="3"/>
  <c r="J983" i="3" s="1"/>
  <c r="J985" i="3" s="1"/>
  <c r="J987" i="3" s="1"/>
  <c r="Q982" i="3"/>
  <c r="Q983" i="3" s="1"/>
  <c r="Q985" i="3" s="1"/>
  <c r="Q987" i="3" s="1"/>
  <c r="I982" i="3"/>
  <c r="I983" i="3" s="1"/>
  <c r="I985" i="3" s="1"/>
  <c r="I987" i="3" s="1"/>
  <c r="V982" i="3"/>
  <c r="V983" i="3" s="1"/>
  <c r="V985" i="3" s="1"/>
  <c r="V987" i="3" s="1"/>
  <c r="O957" i="3"/>
  <c r="O958" i="3" s="1"/>
  <c r="O960" i="3" s="1"/>
  <c r="O962" i="3" s="1"/>
  <c r="Q957" i="3"/>
  <c r="Q958" i="3" s="1"/>
  <c r="Q960" i="3" s="1"/>
  <c r="Q962" i="3" s="1"/>
  <c r="G957" i="3"/>
  <c r="G958" i="3" s="1"/>
  <c r="G960" i="3" s="1"/>
  <c r="G962" i="3" s="1"/>
  <c r="J957" i="3"/>
  <c r="J958" i="3" s="1"/>
  <c r="J960" i="3" s="1"/>
  <c r="J962" i="3" s="1"/>
  <c r="L957" i="3"/>
  <c r="L958" i="3" s="1"/>
  <c r="L960" i="3" s="1"/>
  <c r="L962" i="3" s="1"/>
  <c r="I957" i="3"/>
  <c r="I958" i="3" s="1"/>
  <c r="I960" i="3" s="1"/>
  <c r="I962" i="3" s="1"/>
  <c r="R957" i="3"/>
  <c r="R958" i="3" s="1"/>
  <c r="R960" i="3" s="1"/>
  <c r="R962" i="3" s="1"/>
  <c r="D957" i="3"/>
  <c r="D958" i="3" s="1"/>
  <c r="D960" i="3" s="1"/>
  <c r="D962" i="3" s="1"/>
  <c r="W957" i="3"/>
  <c r="W958" i="3" s="1"/>
  <c r="W960" i="3" s="1"/>
  <c r="W962" i="3" s="1"/>
  <c r="S957" i="3"/>
  <c r="S958" i="3" s="1"/>
  <c r="S960" i="3" s="1"/>
  <c r="S962" i="3" s="1"/>
  <c r="T957" i="3"/>
  <c r="T958" i="3" s="1"/>
  <c r="T960" i="3" s="1"/>
  <c r="T962" i="3" s="1"/>
  <c r="K957" i="3"/>
  <c r="K958" i="3" s="1"/>
  <c r="K960" i="3" s="1"/>
  <c r="K962" i="3" s="1"/>
  <c r="O932" i="3"/>
  <c r="O933" i="3" s="1"/>
  <c r="O935" i="3" s="1"/>
  <c r="O937" i="3" s="1"/>
  <c r="W932" i="3"/>
  <c r="W933" i="3" s="1"/>
  <c r="W935" i="3" s="1"/>
  <c r="W937" i="3" s="1"/>
  <c r="P932" i="3"/>
  <c r="P933" i="3" s="1"/>
  <c r="P935" i="3" s="1"/>
  <c r="P937" i="3" s="1"/>
  <c r="V932" i="3"/>
  <c r="V933" i="3" s="1"/>
  <c r="V935" i="3" s="1"/>
  <c r="V937" i="3" s="1"/>
  <c r="F932" i="3"/>
  <c r="F933" i="3" s="1"/>
  <c r="F935" i="3" s="1"/>
  <c r="F937" i="3" s="1"/>
  <c r="K932" i="3"/>
  <c r="K933" i="3" s="1"/>
  <c r="K935" i="3" s="1"/>
  <c r="K937" i="3" s="1"/>
  <c r="Q932" i="3"/>
  <c r="Q933" i="3" s="1"/>
  <c r="Q935" i="3" s="1"/>
  <c r="Q937" i="3" s="1"/>
  <c r="I932" i="3"/>
  <c r="I933" i="3" s="1"/>
  <c r="I935" i="3" s="1"/>
  <c r="I937" i="3" s="1"/>
  <c r="H932" i="3"/>
  <c r="H933" i="3" s="1"/>
  <c r="H935" i="3" s="1"/>
  <c r="H937" i="3" s="1"/>
  <c r="L932" i="3"/>
  <c r="L933" i="3" s="1"/>
  <c r="L935" i="3" s="1"/>
  <c r="L937" i="3" s="1"/>
  <c r="G932" i="3"/>
  <c r="G933" i="3" s="1"/>
  <c r="G935" i="3" s="1"/>
  <c r="G937" i="3" s="1"/>
  <c r="D932" i="3"/>
  <c r="D933" i="3" s="1"/>
  <c r="D935" i="3" s="1"/>
  <c r="D937" i="3" s="1"/>
  <c r="R932" i="3"/>
  <c r="R933" i="3" s="1"/>
  <c r="R935" i="3" s="1"/>
  <c r="R937" i="3" s="1"/>
  <c r="T932" i="3"/>
  <c r="T933" i="3" s="1"/>
  <c r="T935" i="3" s="1"/>
  <c r="T937" i="3" s="1"/>
  <c r="J932" i="3"/>
  <c r="J933" i="3" s="1"/>
  <c r="J935" i="3" s="1"/>
  <c r="J937" i="3" s="1"/>
  <c r="N932" i="3"/>
  <c r="N933" i="3" s="1"/>
  <c r="N935" i="3" s="1"/>
  <c r="N937" i="3" s="1"/>
  <c r="S932" i="3"/>
  <c r="S933" i="3" s="1"/>
  <c r="S935" i="3" s="1"/>
  <c r="S937" i="3" s="1"/>
  <c r="P907" i="3"/>
  <c r="P908" i="3" s="1"/>
  <c r="H907" i="3"/>
  <c r="H908" i="3" s="1"/>
  <c r="F907" i="3"/>
  <c r="F908" i="3" s="1"/>
  <c r="L907" i="3"/>
  <c r="L908" i="3" s="1"/>
  <c r="I907" i="3"/>
  <c r="I908" i="3" s="1"/>
  <c r="N907" i="3"/>
  <c r="N908" i="3" s="1"/>
  <c r="Q907" i="3"/>
  <c r="Q908" i="3" s="1"/>
  <c r="S907" i="3"/>
  <c r="S908" i="3" s="1"/>
  <c r="V907" i="3"/>
  <c r="V908" i="3" s="1"/>
  <c r="T907" i="3"/>
  <c r="T908" i="3" s="1"/>
  <c r="D907" i="3"/>
  <c r="D908" i="3" s="1"/>
  <c r="K907" i="3"/>
  <c r="K908" i="3" s="1"/>
  <c r="W882" i="3"/>
  <c r="W883" i="3" s="1"/>
  <c r="O882" i="3"/>
  <c r="O883" i="3" s="1"/>
  <c r="I882" i="3"/>
  <c r="I883" i="3" s="1"/>
  <c r="P882" i="3"/>
  <c r="P883" i="3" s="1"/>
  <c r="H882" i="3"/>
  <c r="H883" i="3" s="1"/>
  <c r="F882" i="3"/>
  <c r="F883" i="3" s="1"/>
  <c r="K882" i="3"/>
  <c r="K883" i="3" s="1"/>
  <c r="T882" i="3"/>
  <c r="T883" i="3" s="1"/>
  <c r="N882" i="3"/>
  <c r="N883" i="3" s="1"/>
  <c r="R882" i="3"/>
  <c r="R883" i="3" s="1"/>
  <c r="G882" i="3"/>
  <c r="G883" i="3" s="1"/>
  <c r="J882" i="3"/>
  <c r="J883" i="3" s="1"/>
  <c r="V882" i="3"/>
  <c r="V883" i="3" s="1"/>
  <c r="Q882" i="3"/>
  <c r="Q883" i="3" s="1"/>
  <c r="L882" i="3"/>
  <c r="L883" i="3" s="1"/>
  <c r="D882" i="3"/>
  <c r="D883" i="3" s="1"/>
  <c r="S882" i="3"/>
  <c r="S883" i="3" s="1"/>
  <c r="M295" i="3" l="1"/>
  <c r="M299" i="3" s="1"/>
  <c r="M293" i="3"/>
  <c r="M297" i="3" s="1"/>
  <c r="M296" i="3"/>
  <c r="M300" i="3" s="1"/>
  <c r="M294" i="3"/>
  <c r="M298" i="3" s="1"/>
  <c r="J910" i="3"/>
  <c r="J912" i="3" s="1"/>
  <c r="M31" i="14"/>
  <c r="L31" i="14"/>
  <c r="K31" i="14"/>
  <c r="O31" i="14"/>
  <c r="N283" i="3"/>
  <c r="N284" i="3" s="1"/>
  <c r="N286" i="3" s="1"/>
  <c r="N288" i="3" s="1"/>
  <c r="P280" i="3"/>
  <c r="Q278" i="3"/>
  <c r="O281" i="3"/>
  <c r="O282" i="3" s="1"/>
  <c r="G910" i="3"/>
  <c r="G912" i="3" s="1"/>
  <c r="R885" i="3"/>
  <c r="R887" i="3" s="1"/>
  <c r="N910" i="3"/>
  <c r="N912" i="3" s="1"/>
  <c r="D885" i="3"/>
  <c r="D887" i="3" s="1"/>
  <c r="E885" i="3"/>
  <c r="E887" i="3" s="1"/>
  <c r="L885" i="3"/>
  <c r="L887" i="3" s="1"/>
  <c r="K910" i="3"/>
  <c r="K912" i="3" s="1"/>
  <c r="R910" i="3"/>
  <c r="R912" i="3" s="1"/>
  <c r="N885" i="3"/>
  <c r="N887" i="3" s="1"/>
  <c r="T885" i="3"/>
  <c r="T887" i="3" s="1"/>
  <c r="D910" i="3"/>
  <c r="D912" i="3" s="1"/>
  <c r="L910" i="3"/>
  <c r="L912" i="3" s="1"/>
  <c r="U910" i="3"/>
  <c r="U912" i="3" s="1"/>
  <c r="U885" i="3"/>
  <c r="U887" i="3" s="1"/>
  <c r="I885" i="3"/>
  <c r="I887" i="3" s="1"/>
  <c r="S885" i="3"/>
  <c r="S887" i="3" s="1"/>
  <c r="T910" i="3"/>
  <c r="T912" i="3" s="1"/>
  <c r="O910" i="3"/>
  <c r="O912" i="3" s="1"/>
  <c r="W885" i="3"/>
  <c r="W887" i="3" s="1"/>
  <c r="Q885" i="3"/>
  <c r="Q887" i="3" s="1"/>
  <c r="V885" i="3"/>
  <c r="V887" i="3" s="1"/>
  <c r="F910" i="3"/>
  <c r="F912" i="3" s="1"/>
  <c r="H885" i="3"/>
  <c r="H887" i="3" s="1"/>
  <c r="H910" i="3"/>
  <c r="H912" i="3" s="1"/>
  <c r="M885" i="3"/>
  <c r="M887" i="3" s="1"/>
  <c r="Q910" i="3"/>
  <c r="Q912" i="3" s="1"/>
  <c r="O885" i="3"/>
  <c r="O887" i="3" s="1"/>
  <c r="I910" i="3"/>
  <c r="I912" i="3" s="1"/>
  <c r="K885" i="3"/>
  <c r="K887" i="3" s="1"/>
  <c r="F885" i="3"/>
  <c r="F887" i="3" s="1"/>
  <c r="J885" i="3"/>
  <c r="J887" i="3" s="1"/>
  <c r="V910" i="3"/>
  <c r="V912" i="3" s="1"/>
  <c r="G885" i="3"/>
  <c r="G887" i="3" s="1"/>
  <c r="P885" i="3"/>
  <c r="P887" i="3" s="1"/>
  <c r="S910" i="3"/>
  <c r="S912" i="3" s="1"/>
  <c r="P910" i="3"/>
  <c r="P912" i="3" s="1"/>
  <c r="M910" i="3"/>
  <c r="M912" i="3" s="1"/>
  <c r="W910" i="3"/>
  <c r="W912" i="3" s="1"/>
  <c r="D1013" i="3"/>
  <c r="D1017" i="3" s="1"/>
  <c r="D1021" i="3" s="1"/>
  <c r="D1016" i="3"/>
  <c r="D1020" i="3" s="1"/>
  <c r="D1015" i="3"/>
  <c r="D1019" i="3" s="1"/>
  <c r="D1014" i="3"/>
  <c r="D1018" i="3" s="1"/>
  <c r="D988" i="3"/>
  <c r="D992" i="3" s="1"/>
  <c r="D996" i="3" s="1"/>
  <c r="D991" i="3"/>
  <c r="D995" i="3" s="1"/>
  <c r="D990" i="3"/>
  <c r="D994" i="3" s="1"/>
  <c r="D989" i="3"/>
  <c r="D993" i="3" s="1"/>
  <c r="D963" i="3"/>
  <c r="D967" i="3" s="1"/>
  <c r="D971" i="3" s="1"/>
  <c r="D966" i="3"/>
  <c r="D970" i="3" s="1"/>
  <c r="D965" i="3"/>
  <c r="D969" i="3" s="1"/>
  <c r="D964" i="3"/>
  <c r="D968" i="3" s="1"/>
  <c r="D938" i="3"/>
  <c r="D942" i="3" s="1"/>
  <c r="D946" i="3" s="1"/>
  <c r="D941" i="3"/>
  <c r="D945" i="3" s="1"/>
  <c r="D940" i="3"/>
  <c r="D944" i="3" s="1"/>
  <c r="D939" i="3"/>
  <c r="D943" i="3" s="1"/>
  <c r="Q122" i="13"/>
  <c r="P122" i="13"/>
  <c r="O122" i="13"/>
  <c r="N122" i="13"/>
  <c r="M122" i="13"/>
  <c r="L122" i="13"/>
  <c r="K122" i="13"/>
  <c r="J122" i="13"/>
  <c r="E122" i="16"/>
  <c r="D122" i="16"/>
  <c r="C122" i="16"/>
  <c r="B122" i="16"/>
  <c r="M122" i="15"/>
  <c r="L122" i="15"/>
  <c r="K122" i="15"/>
  <c r="J122" i="15"/>
  <c r="I122" i="15"/>
  <c r="H122" i="15"/>
  <c r="G122" i="15"/>
  <c r="F122" i="15"/>
  <c r="E122" i="15"/>
  <c r="D122" i="15"/>
  <c r="C122" i="15"/>
  <c r="W1164" i="4"/>
  <c r="W1165" i="4" s="1"/>
  <c r="W1167" i="4" s="1"/>
  <c r="W1169" i="4" s="1"/>
  <c r="W1136" i="4"/>
  <c r="W1137" i="4" s="1"/>
  <c r="W1139" i="4" s="1"/>
  <c r="W1141" i="4" s="1"/>
  <c r="W1108" i="4"/>
  <c r="W1109" i="4" s="1"/>
  <c r="W1080" i="4"/>
  <c r="W1081" i="4" s="1"/>
  <c r="W1052" i="4"/>
  <c r="W1053" i="4" s="1"/>
  <c r="W1055" i="4" s="1"/>
  <c r="W1057" i="4" s="1"/>
  <c r="W1024" i="4"/>
  <c r="W1025" i="4" s="1"/>
  <c r="W996" i="4"/>
  <c r="W997" i="4" s="1"/>
  <c r="W999" i="4" s="1"/>
  <c r="W1001" i="4" s="1"/>
  <c r="W968" i="4"/>
  <c r="W969" i="4" s="1"/>
  <c r="W971" i="4" s="1"/>
  <c r="W973" i="4" s="1"/>
  <c r="W940" i="4"/>
  <c r="W941" i="4" s="1"/>
  <c r="W943" i="4" s="1"/>
  <c r="W945" i="4" s="1"/>
  <c r="W912" i="4"/>
  <c r="W913" i="4" s="1"/>
  <c r="W915" i="4" s="1"/>
  <c r="W917" i="4" s="1"/>
  <c r="W884" i="4"/>
  <c r="W885" i="4" s="1"/>
  <c r="W856" i="4"/>
  <c r="W857" i="4" s="1"/>
  <c r="W859" i="4" s="1"/>
  <c r="W861" i="4" s="1"/>
  <c r="W828" i="4"/>
  <c r="W829" i="4" s="1"/>
  <c r="W831" i="4" s="1"/>
  <c r="W833" i="4" s="1"/>
  <c r="W800" i="4"/>
  <c r="W801" i="4" s="1"/>
  <c r="W803" i="4" s="1"/>
  <c r="W805" i="4" s="1"/>
  <c r="W772" i="4"/>
  <c r="W773" i="4" s="1"/>
  <c r="W775" i="4" s="1"/>
  <c r="W777" i="4" s="1"/>
  <c r="W529" i="4"/>
  <c r="W530" i="4" s="1"/>
  <c r="W532" i="4" s="1"/>
  <c r="W534" i="4" s="1"/>
  <c r="W474" i="4"/>
  <c r="W475" i="4" s="1"/>
  <c r="W477" i="4" s="1"/>
  <c r="W479" i="4" s="1"/>
  <c r="W447" i="4"/>
  <c r="W448" i="4" s="1"/>
  <c r="W450" i="4" s="1"/>
  <c r="W452" i="4" s="1"/>
  <c r="W419" i="4"/>
  <c r="W420" i="4" s="1"/>
  <c r="W422" i="4" s="1"/>
  <c r="W337" i="4"/>
  <c r="W338" i="4" s="1"/>
  <c r="W311" i="4"/>
  <c r="W312" i="4" s="1"/>
  <c r="W314" i="4" s="1"/>
  <c r="W316" i="4" s="1"/>
  <c r="W199" i="4"/>
  <c r="W200" i="4" s="1"/>
  <c r="W202" i="4" s="1"/>
  <c r="W204" i="4" s="1"/>
  <c r="W854" i="3"/>
  <c r="W855" i="3" s="1"/>
  <c r="W829" i="3"/>
  <c r="W804" i="3"/>
  <c r="W779" i="3"/>
  <c r="W754" i="3"/>
  <c r="W729" i="3"/>
  <c r="W679" i="3"/>
  <c r="W680" i="3" s="1"/>
  <c r="W681" i="3" s="1"/>
  <c r="W654" i="3"/>
  <c r="W655" i="3" s="1"/>
  <c r="W656" i="3" s="1"/>
  <c r="W629" i="3"/>
  <c r="W604" i="3"/>
  <c r="W579" i="3"/>
  <c r="W580" i="3" s="1"/>
  <c r="W554" i="3"/>
  <c r="W529" i="3"/>
  <c r="W504" i="3"/>
  <c r="W479" i="3"/>
  <c r="W480" i="3" s="1"/>
  <c r="W454" i="3"/>
  <c r="W455" i="3" s="1"/>
  <c r="W456" i="3" s="1"/>
  <c r="W429" i="3"/>
  <c r="W404" i="3"/>
  <c r="W379" i="3"/>
  <c r="W354" i="3"/>
  <c r="W130" i="3"/>
  <c r="W131" i="3" s="1"/>
  <c r="W132" i="3" s="1"/>
  <c r="W105" i="3"/>
  <c r="W55" i="3"/>
  <c r="U122" i="15"/>
  <c r="T122" i="15"/>
  <c r="S122" i="15"/>
  <c r="R122" i="15"/>
  <c r="W119" i="23"/>
  <c r="W121" i="23" s="1"/>
  <c r="W90" i="23"/>
  <c r="W61" i="23"/>
  <c r="W63" i="23" s="1"/>
  <c r="W32" i="23"/>
  <c r="W34" i="23" s="1"/>
  <c r="W4" i="23"/>
  <c r="W6" i="23" s="1"/>
  <c r="I829" i="3"/>
  <c r="I130" i="3"/>
  <c r="I131" i="3" s="1"/>
  <c r="I132" i="3" s="1"/>
  <c r="I133" i="3" s="1"/>
  <c r="I134" i="3" s="1"/>
  <c r="I136" i="3" s="1"/>
  <c r="I138" i="3" s="1"/>
  <c r="N295" i="3" l="1"/>
  <c r="N299" i="3" s="1"/>
  <c r="N293" i="3"/>
  <c r="N297" i="3" s="1"/>
  <c r="N296" i="3"/>
  <c r="N300" i="3" s="1"/>
  <c r="N294" i="3"/>
  <c r="N298" i="3" s="1"/>
  <c r="G919" i="3"/>
  <c r="G923" i="3" s="1"/>
  <c r="G917" i="3"/>
  <c r="G921" i="3" s="1"/>
  <c r="G920" i="3"/>
  <c r="G924" i="3" s="1"/>
  <c r="G918" i="3"/>
  <c r="G922" i="3" s="1"/>
  <c r="P917" i="3"/>
  <c r="P921" i="3" s="1"/>
  <c r="P918" i="3"/>
  <c r="P922" i="3" s="1"/>
  <c r="P919" i="3"/>
  <c r="P923" i="3" s="1"/>
  <c r="P920" i="3"/>
  <c r="P924" i="3" s="1"/>
  <c r="K917" i="3"/>
  <c r="K921" i="3" s="1"/>
  <c r="K920" i="3"/>
  <c r="K924" i="3" s="1"/>
  <c r="K918" i="3"/>
  <c r="K922" i="3" s="1"/>
  <c r="K919" i="3"/>
  <c r="K923" i="3" s="1"/>
  <c r="I919" i="3"/>
  <c r="I923" i="3" s="1"/>
  <c r="I918" i="3"/>
  <c r="I922" i="3" s="1"/>
  <c r="I917" i="3"/>
  <c r="I921" i="3" s="1"/>
  <c r="I920" i="3"/>
  <c r="I924" i="3" s="1"/>
  <c r="F919" i="3"/>
  <c r="F923" i="3" s="1"/>
  <c r="F917" i="3"/>
  <c r="F921" i="3" s="1"/>
  <c r="F920" i="3"/>
  <c r="F924" i="3" s="1"/>
  <c r="F918" i="3"/>
  <c r="F922" i="3" s="1"/>
  <c r="H919" i="3"/>
  <c r="H923" i="3" s="1"/>
  <c r="H917" i="3"/>
  <c r="H921" i="3" s="1"/>
  <c r="H920" i="3"/>
  <c r="H924" i="3" s="1"/>
  <c r="H918" i="3"/>
  <c r="H922" i="3" s="1"/>
  <c r="T919" i="3"/>
  <c r="T923" i="3" s="1"/>
  <c r="T917" i="3"/>
  <c r="T921" i="3" s="1"/>
  <c r="T920" i="3"/>
  <c r="T924" i="3" s="1"/>
  <c r="T918" i="3"/>
  <c r="T922" i="3" s="1"/>
  <c r="L917" i="3"/>
  <c r="L921" i="3" s="1"/>
  <c r="L920" i="3"/>
  <c r="L924" i="3" s="1"/>
  <c r="L918" i="3"/>
  <c r="L922" i="3" s="1"/>
  <c r="L919" i="3"/>
  <c r="L923" i="3" s="1"/>
  <c r="S919" i="3"/>
  <c r="S923" i="3" s="1"/>
  <c r="S917" i="3"/>
  <c r="S921" i="3" s="1"/>
  <c r="S920" i="3"/>
  <c r="S924" i="3" s="1"/>
  <c r="S918" i="3"/>
  <c r="S922" i="3" s="1"/>
  <c r="W917" i="3"/>
  <c r="W921" i="3" s="1"/>
  <c r="W920" i="3"/>
  <c r="W924" i="3" s="1"/>
  <c r="W918" i="3"/>
  <c r="W922" i="3" s="1"/>
  <c r="W919" i="3"/>
  <c r="W923" i="3" s="1"/>
  <c r="V919" i="3"/>
  <c r="V923" i="3" s="1"/>
  <c r="V917" i="3"/>
  <c r="V921" i="3" s="1"/>
  <c r="V920" i="3"/>
  <c r="V924" i="3" s="1"/>
  <c r="V918" i="3"/>
  <c r="V922" i="3" s="1"/>
  <c r="Q918" i="3"/>
  <c r="Q922" i="3" s="1"/>
  <c r="Q919" i="3"/>
  <c r="Q923" i="3" s="1"/>
  <c r="Q917" i="3"/>
  <c r="Q921" i="3" s="1"/>
  <c r="Q920" i="3"/>
  <c r="Q924" i="3" s="1"/>
  <c r="N920" i="3"/>
  <c r="N924" i="3" s="1"/>
  <c r="N918" i="3"/>
  <c r="N922" i="3" s="1"/>
  <c r="N919" i="3"/>
  <c r="N923" i="3" s="1"/>
  <c r="N917" i="3"/>
  <c r="N921" i="3" s="1"/>
  <c r="O920" i="3"/>
  <c r="O924" i="3" s="1"/>
  <c r="O918" i="3"/>
  <c r="O922" i="3" s="1"/>
  <c r="O919" i="3"/>
  <c r="O923" i="3" s="1"/>
  <c r="O917" i="3"/>
  <c r="O921" i="3" s="1"/>
  <c r="M920" i="3"/>
  <c r="M924" i="3" s="1"/>
  <c r="M918" i="3"/>
  <c r="M922" i="3" s="1"/>
  <c r="M919" i="3"/>
  <c r="M923" i="3" s="1"/>
  <c r="M917" i="3"/>
  <c r="M921" i="3" s="1"/>
  <c r="U919" i="3"/>
  <c r="U923" i="3" s="1"/>
  <c r="U918" i="3"/>
  <c r="U922" i="3" s="1"/>
  <c r="U917" i="3"/>
  <c r="U921" i="3" s="1"/>
  <c r="U920" i="3"/>
  <c r="U924" i="3" s="1"/>
  <c r="R919" i="3"/>
  <c r="R923" i="3" s="1"/>
  <c r="R917" i="3"/>
  <c r="R921" i="3" s="1"/>
  <c r="R920" i="3"/>
  <c r="R924" i="3" s="1"/>
  <c r="R918" i="3"/>
  <c r="R922" i="3" s="1"/>
  <c r="J919" i="3"/>
  <c r="J923" i="3" s="1"/>
  <c r="J917" i="3"/>
  <c r="J921" i="3" s="1"/>
  <c r="J920" i="3"/>
  <c r="J924" i="3" s="1"/>
  <c r="J918" i="3"/>
  <c r="J922" i="3" s="1"/>
  <c r="K892" i="3"/>
  <c r="K896" i="3" s="1"/>
  <c r="K895" i="3"/>
  <c r="K899" i="3" s="1"/>
  <c r="K893" i="3"/>
  <c r="K897" i="3" s="1"/>
  <c r="K894" i="3"/>
  <c r="K898" i="3" s="1"/>
  <c r="H894" i="3"/>
  <c r="H898" i="3" s="1"/>
  <c r="H892" i="3"/>
  <c r="H896" i="3" s="1"/>
  <c r="H895" i="3"/>
  <c r="H899" i="3" s="1"/>
  <c r="H893" i="3"/>
  <c r="H897" i="3" s="1"/>
  <c r="L892" i="3"/>
  <c r="L896" i="3" s="1"/>
  <c r="L895" i="3"/>
  <c r="L899" i="3" s="1"/>
  <c r="L893" i="3"/>
  <c r="L897" i="3" s="1"/>
  <c r="L894" i="3"/>
  <c r="L898" i="3" s="1"/>
  <c r="P893" i="3"/>
  <c r="P897" i="3" s="1"/>
  <c r="P894" i="3"/>
  <c r="P898" i="3" s="1"/>
  <c r="P892" i="3"/>
  <c r="P896" i="3" s="1"/>
  <c r="P895" i="3"/>
  <c r="P899" i="3" s="1"/>
  <c r="S894" i="3"/>
  <c r="S898" i="3" s="1"/>
  <c r="S892" i="3"/>
  <c r="S896" i="3" s="1"/>
  <c r="S895" i="3"/>
  <c r="S899" i="3" s="1"/>
  <c r="S893" i="3"/>
  <c r="S897" i="3" s="1"/>
  <c r="E893" i="3"/>
  <c r="E897" i="3" s="1"/>
  <c r="E894" i="3"/>
  <c r="E898" i="3" s="1"/>
  <c r="E892" i="3"/>
  <c r="E896" i="3" s="1"/>
  <c r="E895" i="3"/>
  <c r="E899" i="3" s="1"/>
  <c r="T894" i="3"/>
  <c r="T898" i="3" s="1"/>
  <c r="T892" i="3"/>
  <c r="T896" i="3" s="1"/>
  <c r="T895" i="3"/>
  <c r="T899" i="3" s="1"/>
  <c r="T893" i="3"/>
  <c r="T897" i="3" s="1"/>
  <c r="F894" i="3"/>
  <c r="F898" i="3" s="1"/>
  <c r="F892" i="3"/>
  <c r="F896" i="3" s="1"/>
  <c r="F895" i="3"/>
  <c r="F899" i="3" s="1"/>
  <c r="F893" i="3"/>
  <c r="F897" i="3" s="1"/>
  <c r="G894" i="3"/>
  <c r="G898" i="3" s="1"/>
  <c r="G892" i="3"/>
  <c r="G896" i="3" s="1"/>
  <c r="G895" i="3"/>
  <c r="G899" i="3" s="1"/>
  <c r="G893" i="3"/>
  <c r="G897" i="3" s="1"/>
  <c r="O895" i="3"/>
  <c r="O899" i="3" s="1"/>
  <c r="O893" i="3"/>
  <c r="O897" i="3" s="1"/>
  <c r="O894" i="3"/>
  <c r="O898" i="3" s="1"/>
  <c r="O892" i="3"/>
  <c r="O896" i="3" s="1"/>
  <c r="V894" i="3"/>
  <c r="V898" i="3" s="1"/>
  <c r="V892" i="3"/>
  <c r="V896" i="3" s="1"/>
  <c r="V895" i="3"/>
  <c r="V899" i="3" s="1"/>
  <c r="V893" i="3"/>
  <c r="V897" i="3" s="1"/>
  <c r="I894" i="3"/>
  <c r="I898" i="3" s="1"/>
  <c r="I892" i="3"/>
  <c r="I896" i="3" s="1"/>
  <c r="I895" i="3"/>
  <c r="I899" i="3" s="1"/>
  <c r="I893" i="3"/>
  <c r="I897" i="3" s="1"/>
  <c r="N895" i="3"/>
  <c r="N899" i="3" s="1"/>
  <c r="N893" i="3"/>
  <c r="N897" i="3" s="1"/>
  <c r="N894" i="3"/>
  <c r="N898" i="3" s="1"/>
  <c r="N892" i="3"/>
  <c r="N896" i="3" s="1"/>
  <c r="Q893" i="3"/>
  <c r="Q897" i="3" s="1"/>
  <c r="Q894" i="3"/>
  <c r="Q898" i="3" s="1"/>
  <c r="Q892" i="3"/>
  <c r="Q896" i="3" s="1"/>
  <c r="Q895" i="3"/>
  <c r="Q899" i="3" s="1"/>
  <c r="U894" i="3"/>
  <c r="U898" i="3" s="1"/>
  <c r="U892" i="3"/>
  <c r="U896" i="3" s="1"/>
  <c r="U895" i="3"/>
  <c r="U899" i="3" s="1"/>
  <c r="U893" i="3"/>
  <c r="U897" i="3" s="1"/>
  <c r="J894" i="3"/>
  <c r="J898" i="3" s="1"/>
  <c r="J892" i="3"/>
  <c r="J896" i="3" s="1"/>
  <c r="J895" i="3"/>
  <c r="J899" i="3" s="1"/>
  <c r="J893" i="3"/>
  <c r="J897" i="3" s="1"/>
  <c r="M895" i="3"/>
  <c r="M899" i="3" s="1"/>
  <c r="M893" i="3"/>
  <c r="M897" i="3" s="1"/>
  <c r="M892" i="3"/>
  <c r="M896" i="3" s="1"/>
  <c r="M894" i="3"/>
  <c r="M898" i="3" s="1"/>
  <c r="W892" i="3"/>
  <c r="W896" i="3" s="1"/>
  <c r="W895" i="3"/>
  <c r="W899" i="3" s="1"/>
  <c r="W893" i="3"/>
  <c r="W897" i="3" s="1"/>
  <c r="W894" i="3"/>
  <c r="W898" i="3" s="1"/>
  <c r="R894" i="3"/>
  <c r="R898" i="3" s="1"/>
  <c r="R892" i="3"/>
  <c r="R896" i="3" s="1"/>
  <c r="R893" i="3"/>
  <c r="R897" i="3" s="1"/>
  <c r="R895" i="3"/>
  <c r="R899" i="3" s="1"/>
  <c r="W1008" i="4"/>
  <c r="W1013" i="4" s="1"/>
  <c r="W1010" i="4"/>
  <c r="W1015" i="4" s="1"/>
  <c r="W1011" i="4"/>
  <c r="W1016" i="4" s="1"/>
  <c r="W1009" i="4"/>
  <c r="W1014" i="4" s="1"/>
  <c r="W983" i="4"/>
  <c r="W988" i="4" s="1"/>
  <c r="W982" i="4"/>
  <c r="W987" i="4" s="1"/>
  <c r="W981" i="4"/>
  <c r="W986" i="4" s="1"/>
  <c r="W980" i="4"/>
  <c r="W985" i="4" s="1"/>
  <c r="W784" i="4"/>
  <c r="W789" i="4" s="1"/>
  <c r="W787" i="4"/>
  <c r="W792" i="4" s="1"/>
  <c r="W786" i="4"/>
  <c r="W791" i="4" s="1"/>
  <c r="W785" i="4"/>
  <c r="W790" i="4" s="1"/>
  <c r="I146" i="3"/>
  <c r="I150" i="3" s="1"/>
  <c r="D893" i="3"/>
  <c r="D897" i="3" s="1"/>
  <c r="D892" i="3"/>
  <c r="D896" i="3" s="1"/>
  <c r="D918" i="3"/>
  <c r="D922" i="3" s="1"/>
  <c r="D917" i="3"/>
  <c r="D921" i="3" s="1"/>
  <c r="W64" i="23"/>
  <c r="W65" i="23" s="1"/>
  <c r="W7" i="23"/>
  <c r="W8" i="23" s="1"/>
  <c r="W91" i="23"/>
  <c r="W92" i="23" s="1"/>
  <c r="U30" i="14"/>
  <c r="N31" i="14"/>
  <c r="P31" i="14"/>
  <c r="Q31" i="14"/>
  <c r="O283" i="3"/>
  <c r="O284" i="3" s="1"/>
  <c r="O286" i="3" s="1"/>
  <c r="O288" i="3" s="1"/>
  <c r="Q280" i="3"/>
  <c r="R278" i="3"/>
  <c r="P281" i="3"/>
  <c r="P282" i="3" s="1"/>
  <c r="G36" i="14"/>
  <c r="D894" i="3"/>
  <c r="D898" i="3" s="1"/>
  <c r="D895" i="3"/>
  <c r="D899" i="3" s="1"/>
  <c r="H36" i="14"/>
  <c r="F36" i="14"/>
  <c r="D920" i="3"/>
  <c r="D924" i="3" s="1"/>
  <c r="D919" i="3"/>
  <c r="D923" i="3" s="1"/>
  <c r="I36" i="14"/>
  <c r="W1111" i="4"/>
  <c r="W1113" i="4" s="1"/>
  <c r="W1083" i="4"/>
  <c r="W1085" i="4" s="1"/>
  <c r="W1027" i="4"/>
  <c r="W1029" i="4" s="1"/>
  <c r="S92" i="15"/>
  <c r="W887" i="4"/>
  <c r="W889" i="4" s="1"/>
  <c r="W1501" i="4"/>
  <c r="W1448" i="4"/>
  <c r="W1286" i="4"/>
  <c r="W1367" i="4"/>
  <c r="W1476" i="4"/>
  <c r="W1481" i="4" s="1"/>
  <c r="W1314" i="4"/>
  <c r="W1319" i="4" s="1"/>
  <c r="W1446" i="4"/>
  <c r="W1284" i="4"/>
  <c r="W1394" i="4"/>
  <c r="W1421" i="4"/>
  <c r="W1392" i="4"/>
  <c r="W1257" i="4"/>
  <c r="W1338" i="4"/>
  <c r="W1285" i="4"/>
  <c r="W1287" i="4"/>
  <c r="W1292" i="4" s="1"/>
  <c r="W1258" i="4"/>
  <c r="W1475" i="4"/>
  <c r="W1474" i="4"/>
  <c r="W1500" i="4"/>
  <c r="W1311" i="4"/>
  <c r="W1339" i="4"/>
  <c r="W1341" i="4"/>
  <c r="W1346" i="4" s="1"/>
  <c r="W1312" i="4"/>
  <c r="W1503" i="4"/>
  <c r="W1508" i="4" s="1"/>
  <c r="W1473" i="4"/>
  <c r="W1365" i="4"/>
  <c r="W1447" i="4"/>
  <c r="W1393" i="4"/>
  <c r="W1395" i="4"/>
  <c r="W1400" i="4" s="1"/>
  <c r="W1420" i="4"/>
  <c r="W1260" i="4"/>
  <c r="W1265" i="4" s="1"/>
  <c r="W1449" i="4"/>
  <c r="W1454" i="4" s="1"/>
  <c r="W1502" i="4"/>
  <c r="W1340" i="4"/>
  <c r="W1259" i="4"/>
  <c r="W1368" i="4"/>
  <c r="W1373" i="4" s="1"/>
  <c r="W1366" i="4"/>
  <c r="W1313" i="4"/>
  <c r="W1422" i="4"/>
  <c r="W1427" i="4" s="1"/>
  <c r="W1419" i="4"/>
  <c r="W1256" i="4"/>
  <c r="W1283" i="4"/>
  <c r="W1391" i="4"/>
  <c r="W1310" i="4"/>
  <c r="W1418" i="4"/>
  <c r="W1499" i="4"/>
  <c r="W1337" i="4"/>
  <c r="W1472" i="4"/>
  <c r="W1445" i="4"/>
  <c r="W1364" i="4"/>
  <c r="W424" i="4"/>
  <c r="W481" i="3"/>
  <c r="W482" i="3" s="1"/>
  <c r="W35" i="23"/>
  <c r="W36" i="23" s="1"/>
  <c r="W1179" i="4"/>
  <c r="W1178" i="4"/>
  <c r="W1177" i="4"/>
  <c r="W340" i="4"/>
  <c r="W56" i="3"/>
  <c r="W57" i="3" s="1"/>
  <c r="W133" i="3"/>
  <c r="W134" i="3" s="1"/>
  <c r="W136" i="3" s="1"/>
  <c r="W138" i="3" s="1"/>
  <c r="W457" i="3"/>
  <c r="W458" i="3" s="1"/>
  <c r="W460" i="3" s="1"/>
  <c r="W462" i="3" s="1"/>
  <c r="W657" i="3"/>
  <c r="W658" i="3" s="1"/>
  <c r="W660" i="3" s="1"/>
  <c r="W662" i="3" s="1"/>
  <c r="W682" i="3"/>
  <c r="W683" i="3" s="1"/>
  <c r="W685" i="3" s="1"/>
  <c r="W687" i="3" s="1"/>
  <c r="W605" i="3"/>
  <c r="W606" i="3" s="1"/>
  <c r="W430" i="3"/>
  <c r="W431" i="3" s="1"/>
  <c r="W405" i="3"/>
  <c r="W406" i="3" s="1"/>
  <c r="W830" i="3"/>
  <c r="W831" i="3" s="1"/>
  <c r="W856" i="3"/>
  <c r="W106" i="3"/>
  <c r="W107" i="3" s="1"/>
  <c r="W630" i="3"/>
  <c r="W631" i="3" s="1"/>
  <c r="W380" i="3"/>
  <c r="W381" i="3" s="1"/>
  <c r="W581" i="3"/>
  <c r="W805" i="3"/>
  <c r="W806" i="3" s="1"/>
  <c r="W355" i="3"/>
  <c r="W356" i="3" s="1"/>
  <c r="W555" i="3"/>
  <c r="W556" i="3" s="1"/>
  <c r="W780" i="3"/>
  <c r="W781" i="3" s="1"/>
  <c r="W530" i="3"/>
  <c r="W531" i="3" s="1"/>
  <c r="W755" i="3"/>
  <c r="W756" i="3" s="1"/>
  <c r="W505" i="3"/>
  <c r="W506" i="3" s="1"/>
  <c r="W730" i="3"/>
  <c r="W731" i="3" s="1"/>
  <c r="W122" i="23"/>
  <c r="W123" i="23" s="1"/>
  <c r="W125" i="23" s="1"/>
  <c r="W127" i="23" s="1"/>
  <c r="W134" i="23" s="1"/>
  <c r="W139" i="23" s="1"/>
  <c r="I830" i="3"/>
  <c r="I831" i="3" s="1"/>
  <c r="I145" i="3"/>
  <c r="I149" i="3" s="1"/>
  <c r="W470" i="3" l="1"/>
  <c r="W474" i="3" s="1"/>
  <c r="W469" i="3"/>
  <c r="W473" i="3" s="1"/>
  <c r="O295" i="3"/>
  <c r="O299" i="3" s="1"/>
  <c r="O293" i="3"/>
  <c r="O297" i="3" s="1"/>
  <c r="O296" i="3"/>
  <c r="O300" i="3" s="1"/>
  <c r="O294" i="3"/>
  <c r="O298" i="3" s="1"/>
  <c r="W670" i="3"/>
  <c r="W674" i="3" s="1"/>
  <c r="W669" i="3"/>
  <c r="W673" i="3" s="1"/>
  <c r="W1039" i="4"/>
  <c r="W1044" i="4" s="1"/>
  <c r="W1036" i="4"/>
  <c r="W1041" i="4" s="1"/>
  <c r="W1037" i="4"/>
  <c r="W1042" i="4" s="1"/>
  <c r="W1038" i="4"/>
  <c r="W1043" i="4" s="1"/>
  <c r="R66" i="15"/>
  <c r="W1182" i="4"/>
  <c r="W1343" i="4"/>
  <c r="W1397" i="4"/>
  <c r="W1396" i="4"/>
  <c r="W93" i="23"/>
  <c r="W94" i="23" s="1"/>
  <c r="W96" i="23" s="1"/>
  <c r="W98" i="23" s="1"/>
  <c r="W105" i="23" s="1"/>
  <c r="W110" i="23" s="1"/>
  <c r="W67" i="23"/>
  <c r="W69" i="23" s="1"/>
  <c r="W1344" i="4"/>
  <c r="W1261" i="4"/>
  <c r="W1505" i="4"/>
  <c r="W1451" i="4"/>
  <c r="W1450" i="4"/>
  <c r="W1452" i="4"/>
  <c r="W1477" i="4"/>
  <c r="W1370" i="4"/>
  <c r="C30" i="15"/>
  <c r="T30" i="14"/>
  <c r="R30" i="14"/>
  <c r="S30" i="14"/>
  <c r="W483" i="3"/>
  <c r="W485" i="3" s="1"/>
  <c r="P283" i="3"/>
  <c r="P284" i="3" s="1"/>
  <c r="P286" i="3" s="1"/>
  <c r="P288" i="3" s="1"/>
  <c r="R280" i="3"/>
  <c r="S278" i="3"/>
  <c r="Q281" i="3"/>
  <c r="Q282" i="3" s="1"/>
  <c r="C33" i="13"/>
  <c r="H36" i="15"/>
  <c r="I33" i="13"/>
  <c r="E33" i="17"/>
  <c r="B36" i="13"/>
  <c r="B36" i="12"/>
  <c r="G36" i="17"/>
  <c r="D33" i="16"/>
  <c r="N33" i="14"/>
  <c r="O33" i="13"/>
  <c r="F36" i="16"/>
  <c r="T33" i="14"/>
  <c r="K36" i="14"/>
  <c r="N36" i="14"/>
  <c r="P33" i="15"/>
  <c r="J36" i="17"/>
  <c r="K36" i="15"/>
  <c r="C33" i="15"/>
  <c r="G36" i="13"/>
  <c r="G33" i="13"/>
  <c r="T36" i="15"/>
  <c r="B36" i="16"/>
  <c r="C33" i="17"/>
  <c r="D36" i="13"/>
  <c r="D36" i="12"/>
  <c r="H36" i="17"/>
  <c r="B33" i="16"/>
  <c r="R33" i="15"/>
  <c r="H33" i="14"/>
  <c r="K33" i="14"/>
  <c r="B33" i="12"/>
  <c r="O36" i="14"/>
  <c r="O36" i="13"/>
  <c r="B36" i="17"/>
  <c r="L36" i="13"/>
  <c r="D33" i="13"/>
  <c r="F36" i="15"/>
  <c r="R36" i="15"/>
  <c r="E36" i="16"/>
  <c r="D33" i="17"/>
  <c r="E36" i="12"/>
  <c r="E36" i="13"/>
  <c r="T33" i="15"/>
  <c r="F33" i="14"/>
  <c r="L33" i="14"/>
  <c r="E33" i="12"/>
  <c r="L36" i="14"/>
  <c r="P36" i="14"/>
  <c r="N33" i="15"/>
  <c r="C36" i="14"/>
  <c r="M36" i="17"/>
  <c r="E36" i="17"/>
  <c r="D33" i="15"/>
  <c r="J36" i="13"/>
  <c r="I33" i="17"/>
  <c r="I36" i="15"/>
  <c r="O36" i="15"/>
  <c r="H33" i="13"/>
  <c r="U36" i="15"/>
  <c r="U36" i="14"/>
  <c r="B33" i="17"/>
  <c r="L33" i="13"/>
  <c r="E33" i="16"/>
  <c r="D33" i="14"/>
  <c r="U33" i="15"/>
  <c r="F33" i="15"/>
  <c r="I33" i="14"/>
  <c r="D33" i="12"/>
  <c r="D36" i="15"/>
  <c r="J36" i="14"/>
  <c r="Q33" i="15"/>
  <c r="K36" i="17"/>
  <c r="C36" i="17"/>
  <c r="J33" i="17"/>
  <c r="M36" i="13"/>
  <c r="F33" i="17"/>
  <c r="G36" i="15"/>
  <c r="P36" i="15"/>
  <c r="L33" i="15"/>
  <c r="S36" i="15"/>
  <c r="R36" i="14"/>
  <c r="J33" i="13"/>
  <c r="S33" i="15"/>
  <c r="H33" i="15"/>
  <c r="G36" i="16"/>
  <c r="J33" i="14"/>
  <c r="C33" i="12"/>
  <c r="E36" i="15"/>
  <c r="G33" i="16"/>
  <c r="O33" i="15"/>
  <c r="D36" i="14"/>
  <c r="L36" i="15"/>
  <c r="D36" i="17"/>
  <c r="K36" i="13"/>
  <c r="G33" i="17"/>
  <c r="H36" i="13"/>
  <c r="N36" i="15"/>
  <c r="J33" i="15"/>
  <c r="S36" i="14"/>
  <c r="F36" i="17"/>
  <c r="M33" i="13"/>
  <c r="Q33" i="14"/>
  <c r="B33" i="14"/>
  <c r="P33" i="13"/>
  <c r="I33" i="15"/>
  <c r="M33" i="14"/>
  <c r="U33" i="14"/>
  <c r="H33" i="16"/>
  <c r="P36" i="13"/>
  <c r="B36" i="14"/>
  <c r="J36" i="15"/>
  <c r="M33" i="17"/>
  <c r="B33" i="13"/>
  <c r="F36" i="13"/>
  <c r="Q36" i="15"/>
  <c r="M33" i="15"/>
  <c r="C36" i="16"/>
  <c r="I36" i="17"/>
  <c r="K33" i="13"/>
  <c r="O33" i="14"/>
  <c r="E33" i="14"/>
  <c r="N33" i="13"/>
  <c r="G33" i="15"/>
  <c r="I36" i="16"/>
  <c r="R33" i="14"/>
  <c r="C36" i="15"/>
  <c r="Q36" i="14"/>
  <c r="F33" i="16"/>
  <c r="N36" i="13"/>
  <c r="E36" i="14"/>
  <c r="M36" i="15"/>
  <c r="E33" i="15"/>
  <c r="K33" i="17"/>
  <c r="E33" i="13"/>
  <c r="H33" i="17"/>
  <c r="I36" i="13"/>
  <c r="F33" i="13"/>
  <c r="K33" i="15"/>
  <c r="D36" i="16"/>
  <c r="T36" i="14"/>
  <c r="C36" i="12"/>
  <c r="C36" i="13"/>
  <c r="C33" i="16"/>
  <c r="P33" i="14"/>
  <c r="C33" i="14"/>
  <c r="Q33" i="13"/>
  <c r="G33" i="14"/>
  <c r="H36" i="16"/>
  <c r="S33" i="14"/>
  <c r="M36" i="14"/>
  <c r="I33" i="16"/>
  <c r="Q36" i="13"/>
  <c r="L36" i="17"/>
  <c r="L33" i="17"/>
  <c r="W1148" i="4"/>
  <c r="W1153" i="4" s="1"/>
  <c r="R86" i="15"/>
  <c r="S86" i="15"/>
  <c r="W1149" i="4"/>
  <c r="W1154" i="4" s="1"/>
  <c r="T86" i="15"/>
  <c r="W1150" i="4"/>
  <c r="W1155" i="4" s="1"/>
  <c r="W1151" i="4"/>
  <c r="W1156" i="4" s="1"/>
  <c r="U86" i="15"/>
  <c r="W1065" i="4"/>
  <c r="W1070" i="4" s="1"/>
  <c r="S94" i="15"/>
  <c r="W1066" i="4"/>
  <c r="W1071" i="4" s="1"/>
  <c r="T94" i="15"/>
  <c r="W1067" i="4"/>
  <c r="W1072" i="4" s="1"/>
  <c r="U94" i="15"/>
  <c r="W1064" i="4"/>
  <c r="W1069" i="4" s="1"/>
  <c r="R94" i="15"/>
  <c r="R92" i="15"/>
  <c r="T92" i="15"/>
  <c r="U92" i="15"/>
  <c r="R91" i="15"/>
  <c r="S91" i="15"/>
  <c r="U91" i="15"/>
  <c r="T91" i="15"/>
  <c r="W953" i="4"/>
  <c r="W958" i="4" s="1"/>
  <c r="S103" i="15"/>
  <c r="W954" i="4"/>
  <c r="W959" i="4" s="1"/>
  <c r="T103" i="15"/>
  <c r="W955" i="4"/>
  <c r="W960" i="4" s="1"/>
  <c r="U103" i="15"/>
  <c r="R103" i="15"/>
  <c r="W952" i="4"/>
  <c r="W957" i="4" s="1"/>
  <c r="W926" i="4"/>
  <c r="W931" i="4" s="1"/>
  <c r="T102" i="15"/>
  <c r="W927" i="4"/>
  <c r="W932" i="4" s="1"/>
  <c r="U102" i="15"/>
  <c r="R102" i="15"/>
  <c r="W924" i="4"/>
  <c r="W929" i="4" s="1"/>
  <c r="W925" i="4"/>
  <c r="W930" i="4" s="1"/>
  <c r="S102" i="15"/>
  <c r="W868" i="4"/>
  <c r="W873" i="4" s="1"/>
  <c r="R100" i="15"/>
  <c r="W869" i="4"/>
  <c r="W874" i="4" s="1"/>
  <c r="S100" i="15"/>
  <c r="W870" i="4"/>
  <c r="W875" i="4" s="1"/>
  <c r="T100" i="15"/>
  <c r="U100" i="15"/>
  <c r="W871" i="4"/>
  <c r="W876" i="4" s="1"/>
  <c r="W843" i="4"/>
  <c r="W848" i="4" s="1"/>
  <c r="U99" i="15"/>
  <c r="W1369" i="4"/>
  <c r="W1288" i="4"/>
  <c r="W1398" i="4"/>
  <c r="W1316" i="4"/>
  <c r="W1262" i="4"/>
  <c r="W1345" i="4"/>
  <c r="W1479" i="4"/>
  <c r="W1426" i="4"/>
  <c r="W1342" i="4"/>
  <c r="W1424" i="4"/>
  <c r="W1507" i="4"/>
  <c r="W1478" i="4"/>
  <c r="W1480" i="4"/>
  <c r="W1399" i="4"/>
  <c r="W1372" i="4"/>
  <c r="W841" i="4"/>
  <c r="W846" i="4" s="1"/>
  <c r="S99" i="15"/>
  <c r="W1504" i="4"/>
  <c r="W1263" i="4"/>
  <c r="W1291" i="4"/>
  <c r="W1264" i="4"/>
  <c r="W840" i="4"/>
  <c r="W845" i="4" s="1"/>
  <c r="R99" i="15"/>
  <c r="W1423" i="4"/>
  <c r="W1318" i="4"/>
  <c r="W1317" i="4"/>
  <c r="W1453" i="4"/>
  <c r="W842" i="4"/>
  <c r="W847" i="4" s="1"/>
  <c r="T99" i="15"/>
  <c r="W1315" i="4"/>
  <c r="W1371" i="4"/>
  <c r="W1425" i="4"/>
  <c r="W1290" i="4"/>
  <c r="W1289" i="4"/>
  <c r="W1506" i="4"/>
  <c r="W813" i="4"/>
  <c r="W818" i="4" s="1"/>
  <c r="S98" i="15"/>
  <c r="R98" i="15"/>
  <c r="W812" i="4"/>
  <c r="W817" i="4" s="1"/>
  <c r="W814" i="4"/>
  <c r="W819" i="4" s="1"/>
  <c r="T98" i="15"/>
  <c r="W815" i="4"/>
  <c r="W820" i="4" s="1"/>
  <c r="U98" i="15"/>
  <c r="S65" i="15"/>
  <c r="U65" i="15"/>
  <c r="R65" i="15"/>
  <c r="T65" i="15"/>
  <c r="T80" i="15"/>
  <c r="R80" i="15"/>
  <c r="U80" i="15"/>
  <c r="S80" i="15"/>
  <c r="W486" i="4"/>
  <c r="W491" i="4" s="1"/>
  <c r="R78" i="15"/>
  <c r="T78" i="15"/>
  <c r="W488" i="4"/>
  <c r="W493" i="4" s="1"/>
  <c r="W487" i="4"/>
  <c r="W492" i="4" s="1"/>
  <c r="S78" i="15"/>
  <c r="W489" i="4"/>
  <c r="W494" i="4" s="1"/>
  <c r="U78" i="15"/>
  <c r="W460" i="4"/>
  <c r="W465" i="4" s="1"/>
  <c r="S77" i="15"/>
  <c r="W459" i="4"/>
  <c r="W464" i="4" s="1"/>
  <c r="R77" i="15"/>
  <c r="W461" i="4"/>
  <c r="W466" i="4" s="1"/>
  <c r="T77" i="15"/>
  <c r="W462" i="4"/>
  <c r="W467" i="4" s="1"/>
  <c r="U77" i="15"/>
  <c r="W342" i="4"/>
  <c r="W324" i="4"/>
  <c r="W329" i="4" s="1"/>
  <c r="S74" i="15"/>
  <c r="W326" i="4"/>
  <c r="W331" i="4" s="1"/>
  <c r="U74" i="15"/>
  <c r="W323" i="4"/>
  <c r="W328" i="4" s="1"/>
  <c r="R74" i="15"/>
  <c r="W325" i="4"/>
  <c r="W330" i="4" s="1"/>
  <c r="T74" i="15"/>
  <c r="T73" i="15"/>
  <c r="R73" i="15"/>
  <c r="S73" i="15"/>
  <c r="U73" i="15"/>
  <c r="W211" i="4"/>
  <c r="W216" i="4" s="1"/>
  <c r="R69" i="15"/>
  <c r="W213" i="4"/>
  <c r="W218" i="4" s="1"/>
  <c r="T69" i="15"/>
  <c r="W212" i="4"/>
  <c r="W217" i="4" s="1"/>
  <c r="S69" i="15"/>
  <c r="W214" i="4"/>
  <c r="W219" i="4" s="1"/>
  <c r="U69" i="15"/>
  <c r="T64" i="15"/>
  <c r="S64" i="15"/>
  <c r="R64" i="15"/>
  <c r="U64" i="15"/>
  <c r="R63" i="15"/>
  <c r="U63" i="15"/>
  <c r="T63" i="15"/>
  <c r="S63" i="15"/>
  <c r="R62" i="15"/>
  <c r="R59" i="15"/>
  <c r="R58" i="15"/>
  <c r="T58" i="15"/>
  <c r="S58" i="15"/>
  <c r="U58" i="15"/>
  <c r="T71" i="15"/>
  <c r="U71" i="15"/>
  <c r="S88" i="15"/>
  <c r="U88" i="15"/>
  <c r="R88" i="15"/>
  <c r="T88" i="15"/>
  <c r="S87" i="15"/>
  <c r="W542" i="4"/>
  <c r="W547" i="4" s="1"/>
  <c r="U87" i="15"/>
  <c r="W544" i="4"/>
  <c r="W549" i="4" s="1"/>
  <c r="W541" i="4"/>
  <c r="W546" i="4" s="1"/>
  <c r="R87" i="15"/>
  <c r="T87" i="15"/>
  <c r="W543" i="4"/>
  <c r="W548" i="4" s="1"/>
  <c r="U61" i="15"/>
  <c r="S61" i="15"/>
  <c r="R61" i="15"/>
  <c r="T61" i="15"/>
  <c r="R57" i="15"/>
  <c r="U79" i="15"/>
  <c r="T79" i="15"/>
  <c r="W431" i="4"/>
  <c r="W436" i="4" s="1"/>
  <c r="R76" i="15"/>
  <c r="W10" i="23"/>
  <c r="W12" i="23" s="1"/>
  <c r="W38" i="23"/>
  <c r="W40" i="23" s="1"/>
  <c r="W1176" i="4"/>
  <c r="W1181" i="4" s="1"/>
  <c r="W1175" i="4"/>
  <c r="W1180" i="4" s="1"/>
  <c r="W1184" i="4"/>
  <c r="W1183" i="4"/>
  <c r="W507" i="3"/>
  <c r="W508" i="3" s="1"/>
  <c r="W510" i="3" s="1"/>
  <c r="W512" i="3" s="1"/>
  <c r="W382" i="3"/>
  <c r="W383" i="3" s="1"/>
  <c r="W385" i="3" s="1"/>
  <c r="W387" i="3" s="1"/>
  <c r="W607" i="3"/>
  <c r="W608" i="3" s="1"/>
  <c r="W610" i="3" s="1"/>
  <c r="W612" i="3" s="1"/>
  <c r="W632" i="3"/>
  <c r="W633" i="3" s="1"/>
  <c r="W635" i="3" s="1"/>
  <c r="W637" i="3" s="1"/>
  <c r="W557" i="3"/>
  <c r="W558" i="3" s="1"/>
  <c r="W560" i="3" s="1"/>
  <c r="W562" i="3" s="1"/>
  <c r="W108" i="3"/>
  <c r="W109" i="3" s="1"/>
  <c r="W111" i="3" s="1"/>
  <c r="W113" i="3" s="1"/>
  <c r="W357" i="3"/>
  <c r="W358" i="3" s="1"/>
  <c r="W360" i="3" s="1"/>
  <c r="W362" i="3" s="1"/>
  <c r="W432" i="3"/>
  <c r="W433" i="3" s="1"/>
  <c r="W435" i="3" s="1"/>
  <c r="W437" i="3" s="1"/>
  <c r="W732" i="3"/>
  <c r="W733" i="3" s="1"/>
  <c r="W735" i="3" s="1"/>
  <c r="W737" i="3" s="1"/>
  <c r="W582" i="3"/>
  <c r="W583" i="3" s="1"/>
  <c r="W585" i="3" s="1"/>
  <c r="W587" i="3" s="1"/>
  <c r="W832" i="3"/>
  <c r="W833" i="3" s="1"/>
  <c r="W58" i="3"/>
  <c r="W59" i="3" s="1"/>
  <c r="W61" i="3" s="1"/>
  <c r="W63" i="3" s="1"/>
  <c r="W532" i="3"/>
  <c r="W533" i="3" s="1"/>
  <c r="W535" i="3" s="1"/>
  <c r="W537" i="3" s="1"/>
  <c r="W407" i="3"/>
  <c r="W408" i="3" s="1"/>
  <c r="W410" i="3" s="1"/>
  <c r="W412" i="3" s="1"/>
  <c r="W782" i="3"/>
  <c r="W783" i="3" s="1"/>
  <c r="W807" i="3"/>
  <c r="W808" i="3" s="1"/>
  <c r="W757" i="3"/>
  <c r="W758" i="3" s="1"/>
  <c r="W760" i="3" s="1"/>
  <c r="W762" i="3" s="1"/>
  <c r="W857" i="3"/>
  <c r="W858" i="3" s="1"/>
  <c r="I832" i="3"/>
  <c r="I833" i="3" s="1"/>
  <c r="I835" i="3" s="1"/>
  <c r="I837" i="3" s="1"/>
  <c r="I144" i="3"/>
  <c r="I148" i="3" s="1"/>
  <c r="I143" i="3"/>
  <c r="I147" i="3" s="1"/>
  <c r="V772" i="4"/>
  <c r="V773" i="4" s="1"/>
  <c r="V775" i="4" s="1"/>
  <c r="V777" i="4" s="1"/>
  <c r="U772" i="4"/>
  <c r="U773" i="4" s="1"/>
  <c r="U775" i="4" s="1"/>
  <c r="U777" i="4" s="1"/>
  <c r="T772" i="4"/>
  <c r="T773" i="4" s="1"/>
  <c r="T775" i="4" s="1"/>
  <c r="T777" i="4" s="1"/>
  <c r="S772" i="4"/>
  <c r="S773" i="4" s="1"/>
  <c r="S775" i="4" s="1"/>
  <c r="S777" i="4" s="1"/>
  <c r="R772" i="4"/>
  <c r="R773" i="4" s="1"/>
  <c r="R775" i="4" s="1"/>
  <c r="R777" i="4" s="1"/>
  <c r="Q772" i="4"/>
  <c r="Q773" i="4" s="1"/>
  <c r="Q775" i="4" s="1"/>
  <c r="Q777" i="4" s="1"/>
  <c r="P772" i="4"/>
  <c r="P773" i="4" s="1"/>
  <c r="P775" i="4" s="1"/>
  <c r="P777" i="4" s="1"/>
  <c r="O772" i="4"/>
  <c r="O773" i="4" s="1"/>
  <c r="O775" i="4" s="1"/>
  <c r="O777" i="4" s="1"/>
  <c r="N772" i="4"/>
  <c r="N773" i="4" s="1"/>
  <c r="N775" i="4" s="1"/>
  <c r="N777" i="4" s="1"/>
  <c r="M772" i="4"/>
  <c r="M773" i="4" s="1"/>
  <c r="M775" i="4" s="1"/>
  <c r="M777" i="4" s="1"/>
  <c r="L772" i="4"/>
  <c r="L773" i="4" s="1"/>
  <c r="L775" i="4" s="1"/>
  <c r="L777" i="4" s="1"/>
  <c r="K772" i="4"/>
  <c r="K773" i="4" s="1"/>
  <c r="K775" i="4" s="1"/>
  <c r="K777" i="4" s="1"/>
  <c r="J772" i="4"/>
  <c r="J773" i="4" s="1"/>
  <c r="J775" i="4" s="1"/>
  <c r="J777" i="4" s="1"/>
  <c r="I772" i="4"/>
  <c r="I773" i="4" s="1"/>
  <c r="I775" i="4" s="1"/>
  <c r="I777" i="4" s="1"/>
  <c r="H772" i="4"/>
  <c r="H773" i="4" s="1"/>
  <c r="H775" i="4" s="1"/>
  <c r="H777" i="4" s="1"/>
  <c r="G772" i="4"/>
  <c r="G773" i="4" s="1"/>
  <c r="G775" i="4" s="1"/>
  <c r="G777" i="4" s="1"/>
  <c r="F772" i="4"/>
  <c r="F773" i="4" s="1"/>
  <c r="F775" i="4" s="1"/>
  <c r="F777" i="4" s="1"/>
  <c r="E772" i="4"/>
  <c r="E773" i="4" s="1"/>
  <c r="E775" i="4" s="1"/>
  <c r="E777" i="4" s="1"/>
  <c r="D772" i="4"/>
  <c r="D773" i="4" s="1"/>
  <c r="D775" i="4" s="1"/>
  <c r="D777" i="4" s="1"/>
  <c r="I785" i="4" l="1"/>
  <c r="I790" i="4" s="1"/>
  <c r="I784" i="4"/>
  <c r="I789" i="4" s="1"/>
  <c r="I787" i="4"/>
  <c r="I792" i="4" s="1"/>
  <c r="L784" i="4"/>
  <c r="L789" i="4" s="1"/>
  <c r="L787" i="4"/>
  <c r="L792" i="4" s="1"/>
  <c r="N787" i="4"/>
  <c r="N792" i="4" s="1"/>
  <c r="H786" i="4"/>
  <c r="H791" i="4" s="1"/>
  <c r="H784" i="4"/>
  <c r="H789" i="4" s="1"/>
  <c r="H787" i="4"/>
  <c r="H792" i="4" s="1"/>
  <c r="H785" i="4"/>
  <c r="H790" i="4" s="1"/>
  <c r="O786" i="4"/>
  <c r="O791" i="4" s="1"/>
  <c r="O784" i="4"/>
  <c r="O789" i="4" s="1"/>
  <c r="P787" i="4"/>
  <c r="P792" i="4" s="1"/>
  <c r="P785" i="4"/>
  <c r="P790" i="4" s="1"/>
  <c r="P784" i="4"/>
  <c r="P789" i="4" s="1"/>
  <c r="P786" i="4"/>
  <c r="P791" i="4" s="1"/>
  <c r="Q785" i="4"/>
  <c r="Q790" i="4" s="1"/>
  <c r="F786" i="4"/>
  <c r="F791" i="4" s="1"/>
  <c r="F784" i="4"/>
  <c r="F789" i="4" s="1"/>
  <c r="F787" i="4"/>
  <c r="F792" i="4" s="1"/>
  <c r="T90" i="15"/>
  <c r="U90" i="15"/>
  <c r="R90" i="15"/>
  <c r="S90" i="15"/>
  <c r="S59" i="15"/>
  <c r="W769" i="3"/>
  <c r="W773" i="3" s="1"/>
  <c r="W767" i="3"/>
  <c r="W771" i="3" s="1"/>
  <c r="W770" i="3"/>
  <c r="W774" i="3" s="1"/>
  <c r="W768" i="3"/>
  <c r="W772" i="3" s="1"/>
  <c r="W745" i="3"/>
  <c r="W749" i="3" s="1"/>
  <c r="W744" i="3"/>
  <c r="W748" i="3" s="1"/>
  <c r="W692" i="3"/>
  <c r="W696" i="3" s="1"/>
  <c r="R48" i="15"/>
  <c r="W694" i="3"/>
  <c r="W698" i="3" s="1"/>
  <c r="T48" i="15"/>
  <c r="W693" i="3"/>
  <c r="W697" i="3" s="1"/>
  <c r="S48" i="15"/>
  <c r="W695" i="3"/>
  <c r="W699" i="3" s="1"/>
  <c r="U48" i="15"/>
  <c r="W594" i="3"/>
  <c r="W598" i="3" s="1"/>
  <c r="W595" i="3"/>
  <c r="W599" i="3" s="1"/>
  <c r="W570" i="3"/>
  <c r="W574" i="3" s="1"/>
  <c r="W569" i="3"/>
  <c r="W573" i="3" s="1"/>
  <c r="W544" i="3"/>
  <c r="W548" i="3" s="1"/>
  <c r="W545" i="3"/>
  <c r="W549" i="3" s="1"/>
  <c r="W520" i="3"/>
  <c r="W524" i="3" s="1"/>
  <c r="W519" i="3"/>
  <c r="W523" i="3" s="1"/>
  <c r="W468" i="3"/>
  <c r="W472" i="3" s="1"/>
  <c r="W467" i="3"/>
  <c r="W471" i="3" s="1"/>
  <c r="W444" i="3"/>
  <c r="W448" i="3" s="1"/>
  <c r="W445" i="3"/>
  <c r="W449" i="3" s="1"/>
  <c r="W420" i="3"/>
  <c r="W424" i="3" s="1"/>
  <c r="W419" i="3"/>
  <c r="W423" i="3" s="1"/>
  <c r="W394" i="3"/>
  <c r="W398" i="3" s="1"/>
  <c r="W395" i="3"/>
  <c r="W399" i="3" s="1"/>
  <c r="W369" i="3"/>
  <c r="W373" i="3" s="1"/>
  <c r="W370" i="3"/>
  <c r="W374" i="3" s="1"/>
  <c r="P295" i="3"/>
  <c r="P299" i="3" s="1"/>
  <c r="P293" i="3"/>
  <c r="P297" i="3" s="1"/>
  <c r="P296" i="3"/>
  <c r="P300" i="3" s="1"/>
  <c r="P294" i="3"/>
  <c r="P298" i="3" s="1"/>
  <c r="W668" i="3"/>
  <c r="W672" i="3" s="1"/>
  <c r="W667" i="3"/>
  <c r="W671" i="3" s="1"/>
  <c r="W645" i="3"/>
  <c r="W649" i="3" s="1"/>
  <c r="W644" i="3"/>
  <c r="W648" i="3" s="1"/>
  <c r="W620" i="3"/>
  <c r="W624" i="3" s="1"/>
  <c r="W619" i="3"/>
  <c r="W623" i="3" s="1"/>
  <c r="W618" i="3"/>
  <c r="W622" i="3" s="1"/>
  <c r="W70" i="3"/>
  <c r="W74" i="3" s="1"/>
  <c r="W71" i="3"/>
  <c r="W75" i="3" s="1"/>
  <c r="W120" i="3"/>
  <c r="W124" i="3" s="1"/>
  <c r="W121" i="3"/>
  <c r="W125" i="3" s="1"/>
  <c r="U786" i="4"/>
  <c r="U791" i="4" s="1"/>
  <c r="U784" i="4"/>
  <c r="U789" i="4" s="1"/>
  <c r="U787" i="4"/>
  <c r="U792" i="4" s="1"/>
  <c r="U785" i="4"/>
  <c r="U790" i="4" s="1"/>
  <c r="T784" i="4"/>
  <c r="T789" i="4" s="1"/>
  <c r="T787" i="4"/>
  <c r="T792" i="4" s="1"/>
  <c r="T786" i="4"/>
  <c r="T791" i="4" s="1"/>
  <c r="T785" i="4"/>
  <c r="T790" i="4" s="1"/>
  <c r="J784" i="4"/>
  <c r="J789" i="4" s="1"/>
  <c r="J787" i="4"/>
  <c r="J792" i="4" s="1"/>
  <c r="J786" i="4"/>
  <c r="J791" i="4" s="1"/>
  <c r="J785" i="4"/>
  <c r="J790" i="4" s="1"/>
  <c r="V784" i="4"/>
  <c r="V789" i="4" s="1"/>
  <c r="V787" i="4"/>
  <c r="V792" i="4" s="1"/>
  <c r="V786" i="4"/>
  <c r="V791" i="4" s="1"/>
  <c r="V785" i="4"/>
  <c r="V790" i="4" s="1"/>
  <c r="K784" i="4"/>
  <c r="K789" i="4" s="1"/>
  <c r="K787" i="4"/>
  <c r="K792" i="4" s="1"/>
  <c r="K786" i="4"/>
  <c r="K791" i="4" s="1"/>
  <c r="K785" i="4"/>
  <c r="K790" i="4" s="1"/>
  <c r="L785" i="4"/>
  <c r="L790" i="4" s="1"/>
  <c r="L786" i="4"/>
  <c r="L791" i="4" s="1"/>
  <c r="M785" i="4"/>
  <c r="M790" i="4" s="1"/>
  <c r="M787" i="4"/>
  <c r="M792" i="4" s="1"/>
  <c r="M786" i="4"/>
  <c r="M791" i="4" s="1"/>
  <c r="M784" i="4"/>
  <c r="M789" i="4" s="1"/>
  <c r="I786" i="4"/>
  <c r="I791" i="4" s="1"/>
  <c r="N785" i="4"/>
  <c r="N790" i="4" s="1"/>
  <c r="N786" i="4"/>
  <c r="N791" i="4" s="1"/>
  <c r="N784" i="4"/>
  <c r="N789" i="4" s="1"/>
  <c r="O785" i="4"/>
  <c r="O790" i="4" s="1"/>
  <c r="O787" i="4"/>
  <c r="O792" i="4" s="1"/>
  <c r="E787" i="4"/>
  <c r="E792" i="4" s="1"/>
  <c r="E785" i="4"/>
  <c r="E790" i="4" s="1"/>
  <c r="E784" i="4"/>
  <c r="E789" i="4" s="1"/>
  <c r="E786" i="4"/>
  <c r="E791" i="4" s="1"/>
  <c r="Q784" i="4"/>
  <c r="Q789" i="4" s="1"/>
  <c r="Q786" i="4"/>
  <c r="Q791" i="4" s="1"/>
  <c r="Q787" i="4"/>
  <c r="Q792" i="4" s="1"/>
  <c r="F785" i="4"/>
  <c r="F790" i="4" s="1"/>
  <c r="R785" i="4"/>
  <c r="R790" i="4" s="1"/>
  <c r="R784" i="4"/>
  <c r="R789" i="4" s="1"/>
  <c r="R786" i="4"/>
  <c r="R791" i="4" s="1"/>
  <c r="R787" i="4"/>
  <c r="R792" i="4" s="1"/>
  <c r="D785" i="4"/>
  <c r="D790" i="4" s="1"/>
  <c r="D786" i="4"/>
  <c r="D791" i="4" s="1"/>
  <c r="D784" i="4"/>
  <c r="D789" i="4" s="1"/>
  <c r="G785" i="4"/>
  <c r="G790" i="4" s="1"/>
  <c r="G784" i="4"/>
  <c r="G789" i="4" s="1"/>
  <c r="G787" i="4"/>
  <c r="G792" i="4" s="1"/>
  <c r="G786" i="4"/>
  <c r="G791" i="4" s="1"/>
  <c r="S785" i="4"/>
  <c r="S790" i="4" s="1"/>
  <c r="S786" i="4"/>
  <c r="S791" i="4" s="1"/>
  <c r="S787" i="4"/>
  <c r="S792" i="4" s="1"/>
  <c r="S784" i="4"/>
  <c r="S789" i="4" s="1"/>
  <c r="T66" i="15"/>
  <c r="S66" i="15"/>
  <c r="T59" i="15"/>
  <c r="U59" i="15"/>
  <c r="W487" i="3"/>
  <c r="U120" i="15"/>
  <c r="T120" i="15"/>
  <c r="S120" i="15"/>
  <c r="R120" i="15"/>
  <c r="W76" i="23"/>
  <c r="W81" i="23" s="1"/>
  <c r="I30" i="15"/>
  <c r="D30" i="15"/>
  <c r="E30" i="15"/>
  <c r="S280" i="3"/>
  <c r="T278" i="3"/>
  <c r="R281" i="3"/>
  <c r="R282" i="3" s="1"/>
  <c r="Q283" i="3"/>
  <c r="Q284" i="3" s="1"/>
  <c r="Q286" i="3" s="1"/>
  <c r="Q288" i="3" s="1"/>
  <c r="W860" i="3"/>
  <c r="W862" i="3" s="1"/>
  <c r="W1122" i="4"/>
  <c r="W1127" i="4" s="1"/>
  <c r="T96" i="15"/>
  <c r="R96" i="15"/>
  <c r="W1120" i="4"/>
  <c r="W1125" i="4" s="1"/>
  <c r="W1123" i="4"/>
  <c r="W1128" i="4" s="1"/>
  <c r="U96" i="15"/>
  <c r="W1121" i="4"/>
  <c r="W1126" i="4" s="1"/>
  <c r="S96" i="15"/>
  <c r="W1092" i="4"/>
  <c r="W1097" i="4" s="1"/>
  <c r="R95" i="15"/>
  <c r="W1093" i="4"/>
  <c r="W1098" i="4" s="1"/>
  <c r="S95" i="15"/>
  <c r="T95" i="15"/>
  <c r="W1094" i="4"/>
  <c r="W1099" i="4" s="1"/>
  <c r="W1095" i="4"/>
  <c r="W1100" i="4" s="1"/>
  <c r="U95" i="15"/>
  <c r="T93" i="15"/>
  <c r="U93" i="15"/>
  <c r="R93" i="15"/>
  <c r="S93" i="15"/>
  <c r="W897" i="4"/>
  <c r="W902" i="4" s="1"/>
  <c r="S101" i="15"/>
  <c r="W898" i="4"/>
  <c r="W903" i="4" s="1"/>
  <c r="T101" i="15"/>
  <c r="W899" i="4"/>
  <c r="W904" i="4" s="1"/>
  <c r="U101" i="15"/>
  <c r="W896" i="4"/>
  <c r="W901" i="4" s="1"/>
  <c r="R101" i="15"/>
  <c r="U68" i="15"/>
  <c r="R68" i="15"/>
  <c r="T68" i="15"/>
  <c r="S68" i="15"/>
  <c r="R67" i="15"/>
  <c r="S67" i="15"/>
  <c r="T67" i="15"/>
  <c r="U67" i="15"/>
  <c r="R72" i="15"/>
  <c r="T72" i="15"/>
  <c r="S72" i="15"/>
  <c r="U72" i="15"/>
  <c r="R60" i="15"/>
  <c r="W349" i="4"/>
  <c r="W354" i="4" s="1"/>
  <c r="T62" i="15"/>
  <c r="S62" i="15"/>
  <c r="U62" i="15"/>
  <c r="S71" i="15"/>
  <c r="R71" i="15"/>
  <c r="S57" i="15"/>
  <c r="U57" i="15"/>
  <c r="T57" i="15"/>
  <c r="S79" i="15"/>
  <c r="R79" i="15"/>
  <c r="W434" i="4"/>
  <c r="W439" i="4" s="1"/>
  <c r="U76" i="15"/>
  <c r="W432" i="4"/>
  <c r="W437" i="4" s="1"/>
  <c r="S76" i="15"/>
  <c r="T76" i="15"/>
  <c r="W433" i="4"/>
  <c r="W438" i="4" s="1"/>
  <c r="W146" i="3"/>
  <c r="W150" i="3" s="1"/>
  <c r="U18" i="15"/>
  <c r="W47" i="23"/>
  <c r="W52" i="23" s="1"/>
  <c r="W810" i="3"/>
  <c r="W812" i="3" s="1"/>
  <c r="W785" i="3"/>
  <c r="W787" i="3" s="1"/>
  <c r="W835" i="3"/>
  <c r="W837" i="3" s="1"/>
  <c r="T47" i="15"/>
  <c r="S39" i="15"/>
  <c r="S47" i="15"/>
  <c r="T39" i="15"/>
  <c r="W144" i="3"/>
  <c r="W148" i="3" s="1"/>
  <c r="S18" i="15"/>
  <c r="U47" i="15"/>
  <c r="U39" i="15"/>
  <c r="W145" i="3"/>
  <c r="W149" i="3" s="1"/>
  <c r="T18" i="15"/>
  <c r="V1164" i="4"/>
  <c r="V1165" i="4" s="1"/>
  <c r="V1167" i="4" s="1"/>
  <c r="V1169" i="4" s="1"/>
  <c r="U1164" i="4"/>
  <c r="U1165" i="4" s="1"/>
  <c r="U1167" i="4" s="1"/>
  <c r="U1169" i="4" s="1"/>
  <c r="T1164" i="4"/>
  <c r="T1165" i="4" s="1"/>
  <c r="T1167" i="4" s="1"/>
  <c r="T1169" i="4" s="1"/>
  <c r="S1164" i="4"/>
  <c r="S1165" i="4" s="1"/>
  <c r="S1167" i="4" s="1"/>
  <c r="S1169" i="4" s="1"/>
  <c r="R1164" i="4"/>
  <c r="R1165" i="4" s="1"/>
  <c r="R1167" i="4" s="1"/>
  <c r="R1169" i="4" s="1"/>
  <c r="Q1164" i="4"/>
  <c r="Q1165" i="4" s="1"/>
  <c r="Q1167" i="4" s="1"/>
  <c r="Q1169" i="4" s="1"/>
  <c r="P1164" i="4"/>
  <c r="P1165" i="4" s="1"/>
  <c r="P1167" i="4" s="1"/>
  <c r="P1169" i="4" s="1"/>
  <c r="O1164" i="4"/>
  <c r="O1165" i="4" s="1"/>
  <c r="O1167" i="4" s="1"/>
  <c r="O1169" i="4" s="1"/>
  <c r="N1164" i="4"/>
  <c r="N1165" i="4" s="1"/>
  <c r="N1167" i="4" s="1"/>
  <c r="N1169" i="4" s="1"/>
  <c r="M1164" i="4"/>
  <c r="M1165" i="4" s="1"/>
  <c r="M1167" i="4" s="1"/>
  <c r="M1169" i="4" s="1"/>
  <c r="L1164" i="4"/>
  <c r="L1165" i="4" s="1"/>
  <c r="L1167" i="4" s="1"/>
  <c r="L1169" i="4" s="1"/>
  <c r="K1164" i="4"/>
  <c r="K1165" i="4" s="1"/>
  <c r="K1167" i="4" s="1"/>
  <c r="K1169" i="4" s="1"/>
  <c r="J1164" i="4"/>
  <c r="J1165" i="4" s="1"/>
  <c r="J1167" i="4" s="1"/>
  <c r="J1169" i="4" s="1"/>
  <c r="I1164" i="4"/>
  <c r="I1165" i="4" s="1"/>
  <c r="I1167" i="4" s="1"/>
  <c r="I1169" i="4" s="1"/>
  <c r="H1164" i="4"/>
  <c r="H1165" i="4" s="1"/>
  <c r="H1167" i="4" s="1"/>
  <c r="H1169" i="4" s="1"/>
  <c r="G1164" i="4"/>
  <c r="G1165" i="4" s="1"/>
  <c r="G1167" i="4" s="1"/>
  <c r="G1169" i="4" s="1"/>
  <c r="F1164" i="4"/>
  <c r="F1165" i="4" s="1"/>
  <c r="F1167" i="4" s="1"/>
  <c r="F1169" i="4" s="1"/>
  <c r="E1164" i="4"/>
  <c r="E1165" i="4" s="1"/>
  <c r="E1167" i="4" s="1"/>
  <c r="E1169" i="4" s="1"/>
  <c r="D1164" i="4"/>
  <c r="D1165" i="4" s="1"/>
  <c r="D1167" i="4" s="1"/>
  <c r="D1169" i="4" s="1"/>
  <c r="V1136" i="4"/>
  <c r="V1137" i="4" s="1"/>
  <c r="U1136" i="4"/>
  <c r="U1137" i="4" s="1"/>
  <c r="T1136" i="4"/>
  <c r="T1137" i="4" s="1"/>
  <c r="S1136" i="4"/>
  <c r="S1137" i="4" s="1"/>
  <c r="R1136" i="4"/>
  <c r="R1137" i="4" s="1"/>
  <c r="Q1136" i="4"/>
  <c r="Q1137" i="4" s="1"/>
  <c r="P1136" i="4"/>
  <c r="P1137" i="4" s="1"/>
  <c r="O1136" i="4"/>
  <c r="O1137" i="4" s="1"/>
  <c r="N1136" i="4"/>
  <c r="N1137" i="4" s="1"/>
  <c r="M1136" i="4"/>
  <c r="M1137" i="4" s="1"/>
  <c r="L1136" i="4"/>
  <c r="L1137" i="4" s="1"/>
  <c r="K1136" i="4"/>
  <c r="K1137" i="4" s="1"/>
  <c r="J1136" i="4"/>
  <c r="J1137" i="4" s="1"/>
  <c r="I1136" i="4"/>
  <c r="I1137" i="4" s="1"/>
  <c r="H1136" i="4"/>
  <c r="H1137" i="4" s="1"/>
  <c r="G1136" i="4"/>
  <c r="G1137" i="4" s="1"/>
  <c r="F1136" i="4"/>
  <c r="F1137" i="4" s="1"/>
  <c r="E1136" i="4"/>
  <c r="E1137" i="4" s="1"/>
  <c r="D1136" i="4"/>
  <c r="D1137" i="4" s="1"/>
  <c r="V1108" i="4"/>
  <c r="V1109" i="4" s="1"/>
  <c r="V1111" i="4" s="1"/>
  <c r="V1113" i="4" s="1"/>
  <c r="U1108" i="4"/>
  <c r="U1109" i="4" s="1"/>
  <c r="U1111" i="4" s="1"/>
  <c r="U1113" i="4" s="1"/>
  <c r="T1108" i="4"/>
  <c r="T1109" i="4" s="1"/>
  <c r="T1111" i="4" s="1"/>
  <c r="T1113" i="4" s="1"/>
  <c r="S1108" i="4"/>
  <c r="S1109" i="4" s="1"/>
  <c r="R1108" i="4"/>
  <c r="R1109" i="4" s="1"/>
  <c r="Q1108" i="4"/>
  <c r="Q1109" i="4" s="1"/>
  <c r="P1108" i="4"/>
  <c r="P1109" i="4" s="1"/>
  <c r="O1108" i="4"/>
  <c r="O1109" i="4" s="1"/>
  <c r="N1108" i="4"/>
  <c r="N1109" i="4" s="1"/>
  <c r="M1108" i="4"/>
  <c r="M1109" i="4" s="1"/>
  <c r="L1108" i="4"/>
  <c r="L1109" i="4" s="1"/>
  <c r="K1108" i="4"/>
  <c r="K1109" i="4" s="1"/>
  <c r="J1108" i="4"/>
  <c r="J1109" i="4" s="1"/>
  <c r="I1108" i="4"/>
  <c r="I1109" i="4" s="1"/>
  <c r="H1108" i="4"/>
  <c r="H1109" i="4" s="1"/>
  <c r="G1108" i="4"/>
  <c r="G1109" i="4" s="1"/>
  <c r="F1108" i="4"/>
  <c r="F1109" i="4" s="1"/>
  <c r="E1108" i="4"/>
  <c r="E1109" i="4" s="1"/>
  <c r="D1108" i="4"/>
  <c r="D1109" i="4" s="1"/>
  <c r="V1080" i="4"/>
  <c r="V1081" i="4" s="1"/>
  <c r="V1083" i="4" s="1"/>
  <c r="V1085" i="4" s="1"/>
  <c r="U1080" i="4"/>
  <c r="U1081" i="4" s="1"/>
  <c r="U1083" i="4" s="1"/>
  <c r="U1085" i="4" s="1"/>
  <c r="T1080" i="4"/>
  <c r="T1081" i="4" s="1"/>
  <c r="T1083" i="4" s="1"/>
  <c r="T1085" i="4" s="1"/>
  <c r="S1080" i="4"/>
  <c r="S1081" i="4" s="1"/>
  <c r="R1080" i="4"/>
  <c r="R1081" i="4" s="1"/>
  <c r="Q1080" i="4"/>
  <c r="Q1081" i="4" s="1"/>
  <c r="P1080" i="4"/>
  <c r="P1081" i="4" s="1"/>
  <c r="O1080" i="4"/>
  <c r="O1081" i="4" s="1"/>
  <c r="N1080" i="4"/>
  <c r="N1081" i="4" s="1"/>
  <c r="M1080" i="4"/>
  <c r="M1081" i="4" s="1"/>
  <c r="L1080" i="4"/>
  <c r="L1081" i="4" s="1"/>
  <c r="K1080" i="4"/>
  <c r="K1081" i="4" s="1"/>
  <c r="J1080" i="4"/>
  <c r="J1081" i="4" s="1"/>
  <c r="I1080" i="4"/>
  <c r="I1081" i="4" s="1"/>
  <c r="H1080" i="4"/>
  <c r="H1081" i="4" s="1"/>
  <c r="G1080" i="4"/>
  <c r="G1081" i="4" s="1"/>
  <c r="F1080" i="4"/>
  <c r="F1081" i="4" s="1"/>
  <c r="E1080" i="4"/>
  <c r="E1081" i="4" s="1"/>
  <c r="D1080" i="4"/>
  <c r="D1081" i="4" s="1"/>
  <c r="V1052" i="4"/>
  <c r="V1053" i="4" s="1"/>
  <c r="V1055" i="4" s="1"/>
  <c r="V1057" i="4" s="1"/>
  <c r="U1052" i="4"/>
  <c r="U1053" i="4" s="1"/>
  <c r="U1055" i="4" s="1"/>
  <c r="U1057" i="4" s="1"/>
  <c r="T1052" i="4"/>
  <c r="T1053" i="4" s="1"/>
  <c r="T1055" i="4" s="1"/>
  <c r="T1057" i="4" s="1"/>
  <c r="S1052" i="4"/>
  <c r="S1053" i="4" s="1"/>
  <c r="R1052" i="4"/>
  <c r="R1053" i="4" s="1"/>
  <c r="Q1052" i="4"/>
  <c r="Q1053" i="4" s="1"/>
  <c r="P1052" i="4"/>
  <c r="P1053" i="4" s="1"/>
  <c r="O1052" i="4"/>
  <c r="O1053" i="4" s="1"/>
  <c r="N1052" i="4"/>
  <c r="N1053" i="4" s="1"/>
  <c r="M1052" i="4"/>
  <c r="M1053" i="4" s="1"/>
  <c r="L1052" i="4"/>
  <c r="L1053" i="4" s="1"/>
  <c r="K1052" i="4"/>
  <c r="K1053" i="4" s="1"/>
  <c r="J1052" i="4"/>
  <c r="J1053" i="4" s="1"/>
  <c r="I1052" i="4"/>
  <c r="I1053" i="4" s="1"/>
  <c r="H1052" i="4"/>
  <c r="H1053" i="4" s="1"/>
  <c r="G1052" i="4"/>
  <c r="G1053" i="4" s="1"/>
  <c r="F1052" i="4"/>
  <c r="F1053" i="4" s="1"/>
  <c r="E1052" i="4"/>
  <c r="E1053" i="4" s="1"/>
  <c r="D1052" i="4"/>
  <c r="D1053" i="4" s="1"/>
  <c r="V1024" i="4"/>
  <c r="V1025" i="4" s="1"/>
  <c r="V1027" i="4" s="1"/>
  <c r="V1029" i="4" s="1"/>
  <c r="U1024" i="4"/>
  <c r="U1025" i="4" s="1"/>
  <c r="U1027" i="4" s="1"/>
  <c r="U1029" i="4" s="1"/>
  <c r="T1024" i="4"/>
  <c r="T1025" i="4" s="1"/>
  <c r="T1027" i="4" s="1"/>
  <c r="T1029" i="4" s="1"/>
  <c r="S1024" i="4"/>
  <c r="S1025" i="4" s="1"/>
  <c r="R1024" i="4"/>
  <c r="R1025" i="4" s="1"/>
  <c r="Q1024" i="4"/>
  <c r="Q1025" i="4" s="1"/>
  <c r="P1024" i="4"/>
  <c r="P1025" i="4" s="1"/>
  <c r="O1024" i="4"/>
  <c r="O1025" i="4" s="1"/>
  <c r="N1024" i="4"/>
  <c r="N1025" i="4" s="1"/>
  <c r="M1024" i="4"/>
  <c r="M1025" i="4" s="1"/>
  <c r="L1024" i="4"/>
  <c r="L1025" i="4" s="1"/>
  <c r="K1024" i="4"/>
  <c r="K1025" i="4" s="1"/>
  <c r="J1024" i="4"/>
  <c r="J1025" i="4" s="1"/>
  <c r="I1024" i="4"/>
  <c r="I1025" i="4" s="1"/>
  <c r="H1024" i="4"/>
  <c r="H1025" i="4" s="1"/>
  <c r="G1024" i="4"/>
  <c r="G1025" i="4" s="1"/>
  <c r="F1024" i="4"/>
  <c r="F1025" i="4" s="1"/>
  <c r="E1025" i="4"/>
  <c r="D1024" i="4"/>
  <c r="D1025" i="4" s="1"/>
  <c r="V996" i="4"/>
  <c r="V997" i="4" s="1"/>
  <c r="V999" i="4" s="1"/>
  <c r="V1001" i="4" s="1"/>
  <c r="U996" i="4"/>
  <c r="U997" i="4" s="1"/>
  <c r="U999" i="4" s="1"/>
  <c r="U1001" i="4" s="1"/>
  <c r="T996" i="4"/>
  <c r="T997" i="4" s="1"/>
  <c r="T999" i="4" s="1"/>
  <c r="T1001" i="4" s="1"/>
  <c r="S996" i="4"/>
  <c r="S997" i="4" s="1"/>
  <c r="R996" i="4"/>
  <c r="R997" i="4" s="1"/>
  <c r="Q996" i="4"/>
  <c r="Q997" i="4" s="1"/>
  <c r="P996" i="4"/>
  <c r="P997" i="4" s="1"/>
  <c r="O996" i="4"/>
  <c r="O997" i="4" s="1"/>
  <c r="N996" i="4"/>
  <c r="N997" i="4" s="1"/>
  <c r="M996" i="4"/>
  <c r="M997" i="4" s="1"/>
  <c r="L996" i="4"/>
  <c r="L997" i="4" s="1"/>
  <c r="K996" i="4"/>
  <c r="K997" i="4" s="1"/>
  <c r="J996" i="4"/>
  <c r="J997" i="4" s="1"/>
  <c r="I996" i="4"/>
  <c r="I997" i="4" s="1"/>
  <c r="H996" i="4"/>
  <c r="H997" i="4" s="1"/>
  <c r="G996" i="4"/>
  <c r="G997" i="4" s="1"/>
  <c r="F996" i="4"/>
  <c r="F997" i="4" s="1"/>
  <c r="E996" i="4"/>
  <c r="E997" i="4" s="1"/>
  <c r="D996" i="4"/>
  <c r="D997" i="4" s="1"/>
  <c r="V968" i="4"/>
  <c r="V969" i="4" s="1"/>
  <c r="V971" i="4" s="1"/>
  <c r="V973" i="4" s="1"/>
  <c r="U968" i="4"/>
  <c r="U969" i="4" s="1"/>
  <c r="U971" i="4" s="1"/>
  <c r="U973" i="4" s="1"/>
  <c r="T968" i="4"/>
  <c r="T969" i="4" s="1"/>
  <c r="T971" i="4" s="1"/>
  <c r="T973" i="4" s="1"/>
  <c r="S968" i="4"/>
  <c r="S969" i="4" s="1"/>
  <c r="R968" i="4"/>
  <c r="R969" i="4" s="1"/>
  <c r="Q968" i="4"/>
  <c r="Q969" i="4" s="1"/>
  <c r="P968" i="4"/>
  <c r="P969" i="4" s="1"/>
  <c r="O968" i="4"/>
  <c r="O969" i="4" s="1"/>
  <c r="N968" i="4"/>
  <c r="N969" i="4" s="1"/>
  <c r="M968" i="4"/>
  <c r="M969" i="4" s="1"/>
  <c r="L968" i="4"/>
  <c r="L969" i="4" s="1"/>
  <c r="K968" i="4"/>
  <c r="K969" i="4" s="1"/>
  <c r="J968" i="4"/>
  <c r="J969" i="4" s="1"/>
  <c r="I968" i="4"/>
  <c r="I969" i="4" s="1"/>
  <c r="H968" i="4"/>
  <c r="H969" i="4" s="1"/>
  <c r="G968" i="4"/>
  <c r="G969" i="4" s="1"/>
  <c r="F968" i="4"/>
  <c r="F969" i="4" s="1"/>
  <c r="E968" i="4"/>
  <c r="E969" i="4" s="1"/>
  <c r="D968" i="4"/>
  <c r="D969" i="4" s="1"/>
  <c r="V940" i="4"/>
  <c r="U940" i="4"/>
  <c r="T940" i="4"/>
  <c r="S940" i="4"/>
  <c r="S941" i="4" s="1"/>
  <c r="R940" i="4"/>
  <c r="R941" i="4" s="1"/>
  <c r="Q940" i="4"/>
  <c r="Q941" i="4" s="1"/>
  <c r="P940" i="4"/>
  <c r="P941" i="4" s="1"/>
  <c r="O940" i="4"/>
  <c r="O941" i="4" s="1"/>
  <c r="N940" i="4"/>
  <c r="N941" i="4" s="1"/>
  <c r="M940" i="4"/>
  <c r="M941" i="4" s="1"/>
  <c r="L940" i="4"/>
  <c r="L941" i="4" s="1"/>
  <c r="K940" i="4"/>
  <c r="K941" i="4" s="1"/>
  <c r="J940" i="4"/>
  <c r="J941" i="4" s="1"/>
  <c r="I940" i="4"/>
  <c r="I941" i="4" s="1"/>
  <c r="H940" i="4"/>
  <c r="H941" i="4" s="1"/>
  <c r="G940" i="4"/>
  <c r="G941" i="4" s="1"/>
  <c r="F940" i="4"/>
  <c r="F941" i="4" s="1"/>
  <c r="E940" i="4"/>
  <c r="E941" i="4" s="1"/>
  <c r="D940" i="4"/>
  <c r="D941" i="4" s="1"/>
  <c r="V912" i="4"/>
  <c r="U912" i="4"/>
  <c r="T912" i="4"/>
  <c r="S912" i="4"/>
  <c r="S913" i="4" s="1"/>
  <c r="R912" i="4"/>
  <c r="R913" i="4" s="1"/>
  <c r="Q912" i="4"/>
  <c r="Q913" i="4" s="1"/>
  <c r="P912" i="4"/>
  <c r="P913" i="4" s="1"/>
  <c r="O912" i="4"/>
  <c r="O913" i="4" s="1"/>
  <c r="N912" i="4"/>
  <c r="N913" i="4" s="1"/>
  <c r="M912" i="4"/>
  <c r="M913" i="4" s="1"/>
  <c r="L912" i="4"/>
  <c r="L913" i="4" s="1"/>
  <c r="K912" i="4"/>
  <c r="K913" i="4" s="1"/>
  <c r="J912" i="4"/>
  <c r="J913" i="4" s="1"/>
  <c r="I912" i="4"/>
  <c r="I913" i="4" s="1"/>
  <c r="H912" i="4"/>
  <c r="H913" i="4" s="1"/>
  <c r="G912" i="4"/>
  <c r="G913" i="4" s="1"/>
  <c r="F912" i="4"/>
  <c r="F913" i="4" s="1"/>
  <c r="E912" i="4"/>
  <c r="E913" i="4" s="1"/>
  <c r="D912" i="4"/>
  <c r="D913" i="4" s="1"/>
  <c r="V884" i="4"/>
  <c r="U884" i="4"/>
  <c r="T884" i="4"/>
  <c r="S884" i="4"/>
  <c r="S885" i="4" s="1"/>
  <c r="R884" i="4"/>
  <c r="R885" i="4" s="1"/>
  <c r="Q884" i="4"/>
  <c r="Q885" i="4" s="1"/>
  <c r="P884" i="4"/>
  <c r="P885" i="4" s="1"/>
  <c r="O884" i="4"/>
  <c r="O885" i="4" s="1"/>
  <c r="N884" i="4"/>
  <c r="N885" i="4" s="1"/>
  <c r="M884" i="4"/>
  <c r="M885" i="4" s="1"/>
  <c r="L884" i="4"/>
  <c r="L885" i="4" s="1"/>
  <c r="K884" i="4"/>
  <c r="K885" i="4" s="1"/>
  <c r="J884" i="4"/>
  <c r="J885" i="4" s="1"/>
  <c r="I884" i="4"/>
  <c r="I885" i="4" s="1"/>
  <c r="H884" i="4"/>
  <c r="H885" i="4" s="1"/>
  <c r="G884" i="4"/>
  <c r="G885" i="4" s="1"/>
  <c r="F884" i="4"/>
  <c r="F885" i="4" s="1"/>
  <c r="E884" i="4"/>
  <c r="E885" i="4" s="1"/>
  <c r="D884" i="4"/>
  <c r="D885" i="4" s="1"/>
  <c r="V856" i="4"/>
  <c r="U856" i="4"/>
  <c r="T856" i="4"/>
  <c r="S856" i="4"/>
  <c r="S857" i="4" s="1"/>
  <c r="R856" i="4"/>
  <c r="R857" i="4" s="1"/>
  <c r="Q856" i="4"/>
  <c r="Q857" i="4" s="1"/>
  <c r="P856" i="4"/>
  <c r="P857" i="4" s="1"/>
  <c r="O856" i="4"/>
  <c r="O857" i="4" s="1"/>
  <c r="N856" i="4"/>
  <c r="N857" i="4" s="1"/>
  <c r="M856" i="4"/>
  <c r="M857" i="4" s="1"/>
  <c r="L856" i="4"/>
  <c r="L857" i="4" s="1"/>
  <c r="K856" i="4"/>
  <c r="K857" i="4" s="1"/>
  <c r="J856" i="4"/>
  <c r="J857" i="4" s="1"/>
  <c r="I856" i="4"/>
  <c r="I857" i="4" s="1"/>
  <c r="H856" i="4"/>
  <c r="H857" i="4" s="1"/>
  <c r="G856" i="4"/>
  <c r="G857" i="4" s="1"/>
  <c r="F856" i="4"/>
  <c r="F857" i="4" s="1"/>
  <c r="E856" i="4"/>
  <c r="E857" i="4" s="1"/>
  <c r="D856" i="4"/>
  <c r="D857" i="4" s="1"/>
  <c r="X71" i="23"/>
  <c r="U66" i="15" l="1"/>
  <c r="W869" i="3"/>
  <c r="W873" i="3" s="1"/>
  <c r="W867" i="3"/>
  <c r="W871" i="3" s="1"/>
  <c r="W870" i="3"/>
  <c r="W874" i="3" s="1"/>
  <c r="W868" i="3"/>
  <c r="W872" i="3" s="1"/>
  <c r="I845" i="3"/>
  <c r="I849" i="3" s="1"/>
  <c r="E19" i="14"/>
  <c r="C19" i="14"/>
  <c r="I843" i="3"/>
  <c r="I847" i="3" s="1"/>
  <c r="I844" i="3"/>
  <c r="I848" i="3" s="1"/>
  <c r="D19" i="14"/>
  <c r="I842" i="3"/>
  <c r="I846" i="3" s="1"/>
  <c r="B19" i="14"/>
  <c r="W818" i="3"/>
  <c r="W822" i="3" s="1"/>
  <c r="W819" i="3"/>
  <c r="W823" i="3" s="1"/>
  <c r="W817" i="3"/>
  <c r="W821" i="3" s="1"/>
  <c r="W820" i="3"/>
  <c r="W824" i="3" s="1"/>
  <c r="W793" i="3"/>
  <c r="W797" i="3" s="1"/>
  <c r="W792" i="3"/>
  <c r="W796" i="3" s="1"/>
  <c r="W795" i="3"/>
  <c r="W799" i="3" s="1"/>
  <c r="W794" i="3"/>
  <c r="W798" i="3" s="1"/>
  <c r="W742" i="3"/>
  <c r="W746" i="3" s="1"/>
  <c r="W743" i="3"/>
  <c r="W747" i="3" s="1"/>
  <c r="R47" i="15"/>
  <c r="W592" i="3"/>
  <c r="W596" i="3" s="1"/>
  <c r="W593" i="3"/>
  <c r="W597" i="3" s="1"/>
  <c r="W567" i="3"/>
  <c r="W571" i="3" s="1"/>
  <c r="W568" i="3"/>
  <c r="W572" i="3" s="1"/>
  <c r="W542" i="3"/>
  <c r="W546" i="3" s="1"/>
  <c r="W543" i="3"/>
  <c r="W547" i="3" s="1"/>
  <c r="W518" i="3"/>
  <c r="W522" i="3" s="1"/>
  <c r="W517" i="3"/>
  <c r="W521" i="3" s="1"/>
  <c r="W494" i="3"/>
  <c r="W498" i="3" s="1"/>
  <c r="W495" i="3"/>
  <c r="W499" i="3" s="1"/>
  <c r="W442" i="3"/>
  <c r="W446" i="3" s="1"/>
  <c r="W443" i="3"/>
  <c r="W447" i="3" s="1"/>
  <c r="W417" i="3"/>
  <c r="W421" i="3" s="1"/>
  <c r="W418" i="3"/>
  <c r="W422" i="3" s="1"/>
  <c r="W392" i="3"/>
  <c r="W396" i="3" s="1"/>
  <c r="W393" i="3"/>
  <c r="W397" i="3" s="1"/>
  <c r="W368" i="3"/>
  <c r="W372" i="3" s="1"/>
  <c r="Q295" i="3"/>
  <c r="Q299" i="3" s="1"/>
  <c r="Q293" i="3"/>
  <c r="Q297" i="3" s="1"/>
  <c r="Q296" i="3"/>
  <c r="Q300" i="3" s="1"/>
  <c r="Q294" i="3"/>
  <c r="Q298" i="3" s="1"/>
  <c r="W642" i="3"/>
  <c r="W646" i="3" s="1"/>
  <c r="W643" i="3"/>
  <c r="W647" i="3" s="1"/>
  <c r="W119" i="3"/>
  <c r="W123" i="3" s="1"/>
  <c r="W118" i="3"/>
  <c r="W122" i="3" s="1"/>
  <c r="W69" i="3"/>
  <c r="W73" i="3" s="1"/>
  <c r="W68" i="3"/>
  <c r="W72" i="3" s="1"/>
  <c r="C92" i="17"/>
  <c r="T1010" i="4"/>
  <c r="T1015" i="4" s="1"/>
  <c r="T1011" i="4"/>
  <c r="T1016" i="4" s="1"/>
  <c r="G92" i="17"/>
  <c r="U1010" i="4"/>
  <c r="U1015" i="4" s="1"/>
  <c r="U1011" i="4"/>
  <c r="U1016" i="4" s="1"/>
  <c r="K92" i="17"/>
  <c r="V1011" i="4"/>
  <c r="V1016" i="4" s="1"/>
  <c r="V1010" i="4"/>
  <c r="V1015" i="4" s="1"/>
  <c r="U941" i="4"/>
  <c r="U943" i="4" s="1"/>
  <c r="U945" i="4" s="1"/>
  <c r="V941" i="4"/>
  <c r="V943" i="4" s="1"/>
  <c r="V945" i="4" s="1"/>
  <c r="T941" i="4"/>
  <c r="T943" i="4" s="1"/>
  <c r="T945" i="4" s="1"/>
  <c r="T913" i="4"/>
  <c r="T915" i="4" s="1"/>
  <c r="T917" i="4" s="1"/>
  <c r="U913" i="4"/>
  <c r="U915" i="4" s="1"/>
  <c r="U917" i="4" s="1"/>
  <c r="V913" i="4"/>
  <c r="V915" i="4" s="1"/>
  <c r="V917" i="4" s="1"/>
  <c r="U885" i="4"/>
  <c r="U887" i="4" s="1"/>
  <c r="U889" i="4" s="1"/>
  <c r="V885" i="4"/>
  <c r="V887" i="4" s="1"/>
  <c r="V889" i="4" s="1"/>
  <c r="T885" i="4"/>
  <c r="T887" i="4" s="1"/>
  <c r="T889" i="4" s="1"/>
  <c r="U857" i="4"/>
  <c r="U859" i="4" s="1"/>
  <c r="U861" i="4" s="1"/>
  <c r="V857" i="4"/>
  <c r="V859" i="4" s="1"/>
  <c r="V861" i="4" s="1"/>
  <c r="T857" i="4"/>
  <c r="T859" i="4" s="1"/>
  <c r="T861" i="4" s="1"/>
  <c r="D787" i="4"/>
  <c r="D792" i="4" s="1"/>
  <c r="U40" i="15"/>
  <c r="O859" i="4"/>
  <c r="O861" i="4" s="1"/>
  <c r="E887" i="4"/>
  <c r="E889" i="4" s="1"/>
  <c r="Q887" i="4"/>
  <c r="Q889" i="4" s="1"/>
  <c r="J915" i="4"/>
  <c r="J917" i="4" s="1"/>
  <c r="O943" i="4"/>
  <c r="O945" i="4" s="1"/>
  <c r="M1139" i="4"/>
  <c r="M1141" i="4" s="1"/>
  <c r="S887" i="4"/>
  <c r="S889" i="4" s="1"/>
  <c r="R859" i="4"/>
  <c r="R861" i="4" s="1"/>
  <c r="H887" i="4"/>
  <c r="H889" i="4" s="1"/>
  <c r="M915" i="4"/>
  <c r="M917" i="4" s="1"/>
  <c r="F943" i="4"/>
  <c r="F945" i="4" s="1"/>
  <c r="R943" i="4"/>
  <c r="R945" i="4" s="1"/>
  <c r="D1139" i="4"/>
  <c r="D1141" i="4" s="1"/>
  <c r="P1139" i="4"/>
  <c r="P1141" i="4" s="1"/>
  <c r="Q943" i="4"/>
  <c r="Q945" i="4" s="1"/>
  <c r="S859" i="4"/>
  <c r="S861" i="4" s="1"/>
  <c r="I887" i="4"/>
  <c r="I889" i="4" s="1"/>
  <c r="N915" i="4"/>
  <c r="N917" i="4" s="1"/>
  <c r="G943" i="4"/>
  <c r="G945" i="4" s="1"/>
  <c r="S943" i="4"/>
  <c r="S945" i="4" s="1"/>
  <c r="E1139" i="4"/>
  <c r="E1141" i="4" s="1"/>
  <c r="Q1139" i="4"/>
  <c r="Q1141" i="4" s="1"/>
  <c r="F887" i="4"/>
  <c r="F889" i="4" s="1"/>
  <c r="P943" i="4"/>
  <c r="P945" i="4" s="1"/>
  <c r="Q859" i="4"/>
  <c r="Q861" i="4" s="1"/>
  <c r="O1139" i="4"/>
  <c r="O1141" i="4" s="1"/>
  <c r="F859" i="4"/>
  <c r="F861" i="4" s="1"/>
  <c r="O915" i="4"/>
  <c r="O917" i="4" s="1"/>
  <c r="H943" i="4"/>
  <c r="H945" i="4" s="1"/>
  <c r="F1139" i="4"/>
  <c r="F1141" i="4" s="1"/>
  <c r="R1139" i="4"/>
  <c r="R1141" i="4" s="1"/>
  <c r="D859" i="4"/>
  <c r="D861" i="4" s="1"/>
  <c r="K915" i="4"/>
  <c r="K917" i="4" s="1"/>
  <c r="N1139" i="4"/>
  <c r="N1141" i="4" s="1"/>
  <c r="G887" i="4"/>
  <c r="G889" i="4" s="1"/>
  <c r="G859" i="4"/>
  <c r="G861" i="4" s="1"/>
  <c r="H859" i="4"/>
  <c r="H861" i="4" s="1"/>
  <c r="J887" i="4"/>
  <c r="J889" i="4" s="1"/>
  <c r="I859" i="4"/>
  <c r="I861" i="4" s="1"/>
  <c r="K887" i="4"/>
  <c r="K889" i="4" s="1"/>
  <c r="D915" i="4"/>
  <c r="D917" i="4" s="1"/>
  <c r="P915" i="4"/>
  <c r="P917" i="4" s="1"/>
  <c r="I943" i="4"/>
  <c r="I945" i="4" s="1"/>
  <c r="G1139" i="4"/>
  <c r="G1141" i="4" s="1"/>
  <c r="S1139" i="4"/>
  <c r="S1141" i="4" s="1"/>
  <c r="J859" i="4"/>
  <c r="J861" i="4" s="1"/>
  <c r="L887" i="4"/>
  <c r="L889" i="4" s="1"/>
  <c r="E915" i="4"/>
  <c r="E917" i="4" s="1"/>
  <c r="Q915" i="4"/>
  <c r="Q917" i="4" s="1"/>
  <c r="J943" i="4"/>
  <c r="J945" i="4" s="1"/>
  <c r="H1139" i="4"/>
  <c r="H1141" i="4" s="1"/>
  <c r="T1139" i="4"/>
  <c r="T1141" i="4" s="1"/>
  <c r="R887" i="4"/>
  <c r="R889" i="4" s="1"/>
  <c r="E943" i="4"/>
  <c r="E945" i="4" s="1"/>
  <c r="M887" i="4"/>
  <c r="M889" i="4" s="1"/>
  <c r="R915" i="4"/>
  <c r="R917" i="4" s="1"/>
  <c r="U1139" i="4"/>
  <c r="U1141" i="4" s="1"/>
  <c r="L859" i="4"/>
  <c r="L861" i="4" s="1"/>
  <c r="N887" i="4"/>
  <c r="N889" i="4" s="1"/>
  <c r="G915" i="4"/>
  <c r="G917" i="4" s="1"/>
  <c r="S915" i="4"/>
  <c r="S917" i="4" s="1"/>
  <c r="L943" i="4"/>
  <c r="L945" i="4" s="1"/>
  <c r="J1139" i="4"/>
  <c r="J1141" i="4" s="1"/>
  <c r="V1139" i="4"/>
  <c r="V1141" i="4" s="1"/>
  <c r="M859" i="4"/>
  <c r="M861" i="4" s="1"/>
  <c r="O887" i="4"/>
  <c r="O889" i="4" s="1"/>
  <c r="H915" i="4"/>
  <c r="H917" i="4" s="1"/>
  <c r="M943" i="4"/>
  <c r="M945" i="4" s="1"/>
  <c r="K1139" i="4"/>
  <c r="K1141" i="4" s="1"/>
  <c r="P859" i="4"/>
  <c r="P861" i="4" s="1"/>
  <c r="D943" i="4"/>
  <c r="D945" i="4" s="1"/>
  <c r="E859" i="4"/>
  <c r="E861" i="4" s="1"/>
  <c r="L915" i="4"/>
  <c r="L917" i="4" s="1"/>
  <c r="K859" i="4"/>
  <c r="K861" i="4" s="1"/>
  <c r="F915" i="4"/>
  <c r="F917" i="4" s="1"/>
  <c r="K943" i="4"/>
  <c r="K945" i="4" s="1"/>
  <c r="I1139" i="4"/>
  <c r="I1141" i="4" s="1"/>
  <c r="N859" i="4"/>
  <c r="N861" i="4" s="1"/>
  <c r="D887" i="4"/>
  <c r="D889" i="4" s="1"/>
  <c r="P887" i="4"/>
  <c r="P889" i="4" s="1"/>
  <c r="I915" i="4"/>
  <c r="I917" i="4" s="1"/>
  <c r="N943" i="4"/>
  <c r="N945" i="4" s="1"/>
  <c r="L1139" i="4"/>
  <c r="L1141" i="4" s="1"/>
  <c r="F30" i="15"/>
  <c r="H30" i="15"/>
  <c r="G30" i="15"/>
  <c r="J30" i="15"/>
  <c r="R39" i="15"/>
  <c r="R18" i="15"/>
  <c r="W143" i="3"/>
  <c r="W147" i="3" s="1"/>
  <c r="R283" i="3"/>
  <c r="R284" i="3" s="1"/>
  <c r="R286" i="3" s="1"/>
  <c r="R288" i="3" s="1"/>
  <c r="S281" i="3"/>
  <c r="S282" i="3" s="1"/>
  <c r="U278" i="3"/>
  <c r="T280" i="3"/>
  <c r="T60" i="15"/>
  <c r="W351" i="4"/>
  <c r="W356" i="4" s="1"/>
  <c r="W350" i="4"/>
  <c r="W355" i="4" s="1"/>
  <c r="S60" i="15"/>
  <c r="W352" i="4"/>
  <c r="W357" i="4" s="1"/>
  <c r="U60" i="15"/>
  <c r="F1083" i="4"/>
  <c r="F1085" i="4" s="1"/>
  <c r="G1083" i="4"/>
  <c r="G1085" i="4" s="1"/>
  <c r="O1083" i="4"/>
  <c r="O1085" i="4" s="1"/>
  <c r="M1083" i="4"/>
  <c r="M1085" i="4" s="1"/>
  <c r="H1083" i="4"/>
  <c r="H1085" i="4" s="1"/>
  <c r="P1083" i="4"/>
  <c r="P1085" i="4" s="1"/>
  <c r="Q1083" i="4"/>
  <c r="Q1085" i="4" s="1"/>
  <c r="I1083" i="4"/>
  <c r="I1085" i="4" s="1"/>
  <c r="J1083" i="4"/>
  <c r="J1085" i="4" s="1"/>
  <c r="R1083" i="4"/>
  <c r="R1085" i="4" s="1"/>
  <c r="K1083" i="4"/>
  <c r="K1085" i="4" s="1"/>
  <c r="S1083" i="4"/>
  <c r="S1085" i="4" s="1"/>
  <c r="E1083" i="4"/>
  <c r="E1085" i="4" s="1"/>
  <c r="N1083" i="4"/>
  <c r="N1085" i="4" s="1"/>
  <c r="L1083" i="4"/>
  <c r="L1085" i="4" s="1"/>
  <c r="D1083" i="4"/>
  <c r="D1085" i="4" s="1"/>
  <c r="I1055" i="4"/>
  <c r="I1057" i="4" s="1"/>
  <c r="Q1055" i="4"/>
  <c r="Q1057" i="4" s="1"/>
  <c r="F1055" i="4"/>
  <c r="F1057" i="4" s="1"/>
  <c r="H1055" i="4"/>
  <c r="H1057" i="4" s="1"/>
  <c r="J1055" i="4"/>
  <c r="J1057" i="4" s="1"/>
  <c r="R1055" i="4"/>
  <c r="R1057" i="4" s="1"/>
  <c r="P1055" i="4"/>
  <c r="P1057" i="4" s="1"/>
  <c r="K1055" i="4"/>
  <c r="K1057" i="4" s="1"/>
  <c r="S1055" i="4"/>
  <c r="S1057" i="4" s="1"/>
  <c r="L1055" i="4"/>
  <c r="L1057" i="4" s="1"/>
  <c r="E1055" i="4"/>
  <c r="E1057" i="4" s="1"/>
  <c r="M1055" i="4"/>
  <c r="M1057" i="4" s="1"/>
  <c r="N1055" i="4"/>
  <c r="N1057" i="4" s="1"/>
  <c r="G1055" i="4"/>
  <c r="G1057" i="4" s="1"/>
  <c r="O1055" i="4"/>
  <c r="O1057" i="4" s="1"/>
  <c r="D1055" i="4"/>
  <c r="D1057" i="4" s="1"/>
  <c r="F1027" i="4"/>
  <c r="F1029" i="4" s="1"/>
  <c r="N1027" i="4"/>
  <c r="N1029" i="4" s="1"/>
  <c r="L1027" i="4"/>
  <c r="L1029" i="4" s="1"/>
  <c r="G1027" i="4"/>
  <c r="G1029" i="4" s="1"/>
  <c r="O1027" i="4"/>
  <c r="O1029" i="4" s="1"/>
  <c r="H1027" i="4"/>
  <c r="H1029" i="4" s="1"/>
  <c r="P1027" i="4"/>
  <c r="P1029" i="4" s="1"/>
  <c r="S1027" i="4"/>
  <c r="S1029" i="4" s="1"/>
  <c r="M1027" i="4"/>
  <c r="M1029" i="4" s="1"/>
  <c r="I1027" i="4"/>
  <c r="I1029" i="4" s="1"/>
  <c r="Q1027" i="4"/>
  <c r="Q1029" i="4" s="1"/>
  <c r="K1027" i="4"/>
  <c r="K1029" i="4" s="1"/>
  <c r="J1027" i="4"/>
  <c r="J1029" i="4" s="1"/>
  <c r="R1027" i="4"/>
  <c r="R1029" i="4" s="1"/>
  <c r="D1027" i="4"/>
  <c r="D1029" i="4" s="1"/>
  <c r="O999" i="4"/>
  <c r="O1001" i="4" s="1"/>
  <c r="H999" i="4"/>
  <c r="H1001" i="4" s="1"/>
  <c r="P999" i="4"/>
  <c r="P1001" i="4" s="1"/>
  <c r="G999" i="4"/>
  <c r="G1001" i="4" s="1"/>
  <c r="I999" i="4"/>
  <c r="I1001" i="4" s="1"/>
  <c r="Q999" i="4"/>
  <c r="Q1001" i="4" s="1"/>
  <c r="F999" i="4"/>
  <c r="F1001" i="4" s="1"/>
  <c r="J999" i="4"/>
  <c r="J1001" i="4" s="1"/>
  <c r="R999" i="4"/>
  <c r="R1001" i="4" s="1"/>
  <c r="K999" i="4"/>
  <c r="K1001" i="4" s="1"/>
  <c r="S999" i="4"/>
  <c r="S1001" i="4" s="1"/>
  <c r="L999" i="4"/>
  <c r="L1001" i="4" s="1"/>
  <c r="N999" i="4"/>
  <c r="N1001" i="4" s="1"/>
  <c r="E999" i="4"/>
  <c r="E1001" i="4" s="1"/>
  <c r="M999" i="4"/>
  <c r="M1001" i="4" s="1"/>
  <c r="D999" i="4"/>
  <c r="D1001" i="4" s="1"/>
  <c r="I971" i="4"/>
  <c r="I973" i="4" s="1"/>
  <c r="Q971" i="4"/>
  <c r="Q973" i="4" s="1"/>
  <c r="J971" i="4"/>
  <c r="J973" i="4" s="1"/>
  <c r="R971" i="4"/>
  <c r="R973" i="4" s="1"/>
  <c r="K971" i="4"/>
  <c r="K973" i="4" s="1"/>
  <c r="L971" i="4"/>
  <c r="L973" i="4" s="1"/>
  <c r="E971" i="4"/>
  <c r="E973" i="4" s="1"/>
  <c r="M971" i="4"/>
  <c r="M973" i="4" s="1"/>
  <c r="F971" i="4"/>
  <c r="F973" i="4" s="1"/>
  <c r="N971" i="4"/>
  <c r="N973" i="4" s="1"/>
  <c r="G971" i="4"/>
  <c r="G973" i="4" s="1"/>
  <c r="O971" i="4"/>
  <c r="O973" i="4" s="1"/>
  <c r="S971" i="4"/>
  <c r="S973" i="4" s="1"/>
  <c r="H971" i="4"/>
  <c r="H973" i="4" s="1"/>
  <c r="P971" i="4"/>
  <c r="P973" i="4" s="1"/>
  <c r="D971" i="4"/>
  <c r="D973" i="4" s="1"/>
  <c r="E1027" i="4"/>
  <c r="E1029" i="4" s="1"/>
  <c r="W56" i="23"/>
  <c r="W136" i="23"/>
  <c r="W141" i="23" s="1"/>
  <c r="W79" i="23"/>
  <c r="W84" i="23" s="1"/>
  <c r="W77" i="23"/>
  <c r="W82" i="23" s="1"/>
  <c r="W106" i="23"/>
  <c r="W111" i="23" s="1"/>
  <c r="W108" i="23"/>
  <c r="W113" i="23" s="1"/>
  <c r="W49" i="23"/>
  <c r="W54" i="23" s="1"/>
  <c r="W137" i="23"/>
  <c r="W142" i="23" s="1"/>
  <c r="W78" i="23"/>
  <c r="W83" i="23" s="1"/>
  <c r="W107" i="23"/>
  <c r="W112" i="23" s="1"/>
  <c r="W19" i="23"/>
  <c r="W24" i="23" s="1"/>
  <c r="W143" i="23"/>
  <c r="W50" i="23"/>
  <c r="W55" i="23" s="1"/>
  <c r="W135" i="23"/>
  <c r="W140" i="23" s="1"/>
  <c r="W85" i="23"/>
  <c r="R119" i="15"/>
  <c r="W114" i="23"/>
  <c r="W48" i="23"/>
  <c r="W53" i="23" s="1"/>
  <c r="U41" i="15"/>
  <c r="U46" i="15"/>
  <c r="T42" i="15"/>
  <c r="S24" i="15"/>
  <c r="T44" i="15"/>
  <c r="U45" i="15"/>
  <c r="U42" i="15"/>
  <c r="T24" i="15"/>
  <c r="U44" i="15"/>
  <c r="T17" i="15"/>
  <c r="T23" i="15"/>
  <c r="U17" i="15"/>
  <c r="S38" i="15"/>
  <c r="S41" i="15"/>
  <c r="U24" i="15"/>
  <c r="T38" i="15"/>
  <c r="S17" i="15"/>
  <c r="T41" i="15"/>
  <c r="S34" i="15"/>
  <c r="U38" i="15"/>
  <c r="T35" i="15"/>
  <c r="S43" i="15"/>
  <c r="U34" i="15"/>
  <c r="T15" i="15"/>
  <c r="T37" i="15"/>
  <c r="S35" i="15"/>
  <c r="U23" i="15"/>
  <c r="T34" i="15"/>
  <c r="S15" i="15"/>
  <c r="S37" i="15"/>
  <c r="S46" i="15"/>
  <c r="U35" i="15"/>
  <c r="S23" i="15"/>
  <c r="T46" i="15"/>
  <c r="T43" i="15"/>
  <c r="U15" i="15"/>
  <c r="S45" i="15"/>
  <c r="U37" i="15"/>
  <c r="S42" i="15"/>
  <c r="U43" i="15"/>
  <c r="S44" i="15"/>
  <c r="T45" i="15"/>
  <c r="G1111" i="4"/>
  <c r="G1113" i="4" s="1"/>
  <c r="H1111" i="4"/>
  <c r="H1113" i="4" s="1"/>
  <c r="P1111" i="4"/>
  <c r="P1113" i="4" s="1"/>
  <c r="I1111" i="4"/>
  <c r="I1113" i="4" s="1"/>
  <c r="Q1111" i="4"/>
  <c r="Q1113" i="4" s="1"/>
  <c r="N1111" i="4"/>
  <c r="N1113" i="4" s="1"/>
  <c r="J1111" i="4"/>
  <c r="J1113" i="4" s="1"/>
  <c r="R1111" i="4"/>
  <c r="R1113" i="4" s="1"/>
  <c r="K1111" i="4"/>
  <c r="K1113" i="4" s="1"/>
  <c r="S1111" i="4"/>
  <c r="S1113" i="4" s="1"/>
  <c r="O1111" i="4"/>
  <c r="O1113" i="4" s="1"/>
  <c r="L1111" i="4"/>
  <c r="L1113" i="4" s="1"/>
  <c r="F1111" i="4"/>
  <c r="F1113" i="4" s="1"/>
  <c r="E1111" i="4"/>
  <c r="E1113" i="4" s="1"/>
  <c r="M1111" i="4"/>
  <c r="M1113" i="4" s="1"/>
  <c r="D1111" i="4"/>
  <c r="D1113" i="4" s="1"/>
  <c r="S4" i="23"/>
  <c r="U1127" i="4" l="1"/>
  <c r="H96" i="17"/>
  <c r="U1128" i="4"/>
  <c r="I96" i="17"/>
  <c r="U1125" i="4"/>
  <c r="F96" i="17"/>
  <c r="U1126" i="4"/>
  <c r="G96" i="17"/>
  <c r="U1099" i="4"/>
  <c r="H95" i="17"/>
  <c r="U1097" i="4"/>
  <c r="F95" i="17"/>
  <c r="U1100" i="4"/>
  <c r="I95" i="17"/>
  <c r="U1098" i="4"/>
  <c r="G95" i="17"/>
  <c r="U1069" i="4"/>
  <c r="F94" i="17"/>
  <c r="U1070" i="4"/>
  <c r="G94" i="17"/>
  <c r="U1071" i="4"/>
  <c r="H94" i="17"/>
  <c r="U1072" i="4"/>
  <c r="I94" i="17"/>
  <c r="T19" i="15"/>
  <c r="W844" i="3"/>
  <c r="W848" i="3" s="1"/>
  <c r="W842" i="3"/>
  <c r="W846" i="3" s="1"/>
  <c r="R19" i="15"/>
  <c r="W845" i="3"/>
  <c r="W849" i="3" s="1"/>
  <c r="U19" i="15"/>
  <c r="W843" i="3"/>
  <c r="W847" i="3" s="1"/>
  <c r="S19" i="15"/>
  <c r="R46" i="15"/>
  <c r="W617" i="3"/>
  <c r="W621" i="3" s="1"/>
  <c r="R45" i="15"/>
  <c r="W492" i="3"/>
  <c r="W496" i="3" s="1"/>
  <c r="W493" i="3"/>
  <c r="W497" i="3" s="1"/>
  <c r="W367" i="3"/>
  <c r="W371" i="3" s="1"/>
  <c r="R34" i="15"/>
  <c r="R295" i="3"/>
  <c r="R299" i="3" s="1"/>
  <c r="R293" i="3"/>
  <c r="R297" i="3" s="1"/>
  <c r="R296" i="3"/>
  <c r="R300" i="3" s="1"/>
  <c r="R294" i="3"/>
  <c r="R298" i="3" s="1"/>
  <c r="T40" i="15"/>
  <c r="V1038" i="4"/>
  <c r="V1043" i="4" s="1"/>
  <c r="L93" i="17"/>
  <c r="V1036" i="4"/>
  <c r="V1041" i="4" s="1"/>
  <c r="J93" i="17"/>
  <c r="O1037" i="4"/>
  <c r="O1042" i="4" s="1"/>
  <c r="O1038" i="4"/>
  <c r="O1043" i="4" s="1"/>
  <c r="O1039" i="4"/>
  <c r="O1044" i="4" s="1"/>
  <c r="O1036" i="4"/>
  <c r="O1041" i="4" s="1"/>
  <c r="V1037" i="4"/>
  <c r="V1042" i="4" s="1"/>
  <c r="K93" i="17"/>
  <c r="I1038" i="4"/>
  <c r="I1043" i="4" s="1"/>
  <c r="I1039" i="4"/>
  <c r="I1044" i="4" s="1"/>
  <c r="I1036" i="4"/>
  <c r="I1041" i="4" s="1"/>
  <c r="I1037" i="4"/>
  <c r="I1042" i="4" s="1"/>
  <c r="G1036" i="4"/>
  <c r="G1041" i="4" s="1"/>
  <c r="G1038" i="4"/>
  <c r="G1043" i="4" s="1"/>
  <c r="G1039" i="4"/>
  <c r="G1044" i="4" s="1"/>
  <c r="G1037" i="4"/>
  <c r="G1042" i="4" s="1"/>
  <c r="V1039" i="4"/>
  <c r="V1044" i="4" s="1"/>
  <c r="M93" i="17"/>
  <c r="E1038" i="4"/>
  <c r="E1043" i="4" s="1"/>
  <c r="E1036" i="4"/>
  <c r="E1041" i="4" s="1"/>
  <c r="E1037" i="4"/>
  <c r="E1042" i="4" s="1"/>
  <c r="E1039" i="4"/>
  <c r="E1044" i="4" s="1"/>
  <c r="U1036" i="4"/>
  <c r="U1041" i="4" s="1"/>
  <c r="F93" i="17"/>
  <c r="Q1038" i="4"/>
  <c r="Q1043" i="4" s="1"/>
  <c r="Q1037" i="4"/>
  <c r="Q1042" i="4" s="1"/>
  <c r="Q1036" i="4"/>
  <c r="Q1041" i="4" s="1"/>
  <c r="Q1039" i="4"/>
  <c r="Q1044" i="4" s="1"/>
  <c r="E93" i="12"/>
  <c r="D93" i="12"/>
  <c r="M1038" i="4"/>
  <c r="M1043" i="4" s="1"/>
  <c r="M1037" i="4"/>
  <c r="M1042" i="4" s="1"/>
  <c r="M1039" i="4"/>
  <c r="M1044" i="4" s="1"/>
  <c r="M1036" i="4"/>
  <c r="M1041" i="4" s="1"/>
  <c r="L1037" i="4"/>
  <c r="L1042" i="4" s="1"/>
  <c r="L1036" i="4"/>
  <c r="L1041" i="4" s="1"/>
  <c r="L1038" i="4"/>
  <c r="L1043" i="4" s="1"/>
  <c r="L1039" i="4"/>
  <c r="L1044" i="4" s="1"/>
  <c r="U1037" i="4"/>
  <c r="U1042" i="4" s="1"/>
  <c r="G93" i="17"/>
  <c r="U1038" i="4"/>
  <c r="U1043" i="4" s="1"/>
  <c r="H93" i="17"/>
  <c r="R1038" i="4"/>
  <c r="R1043" i="4" s="1"/>
  <c r="R1037" i="4"/>
  <c r="R1042" i="4" s="1"/>
  <c r="R1036" i="4"/>
  <c r="R1041" i="4" s="1"/>
  <c r="R1039" i="4"/>
  <c r="R1044" i="4" s="1"/>
  <c r="S1036" i="4"/>
  <c r="S1041" i="4" s="1"/>
  <c r="S1038" i="4"/>
  <c r="S1043" i="4" s="1"/>
  <c r="S1039" i="4"/>
  <c r="S1044" i="4" s="1"/>
  <c r="S1037" i="4"/>
  <c r="S1042" i="4" s="1"/>
  <c r="N1037" i="4"/>
  <c r="N1042" i="4" s="1"/>
  <c r="N1038" i="4"/>
  <c r="N1043" i="4" s="1"/>
  <c r="N1036" i="4"/>
  <c r="N1041" i="4" s="1"/>
  <c r="N1039" i="4"/>
  <c r="N1044" i="4" s="1"/>
  <c r="U1039" i="4"/>
  <c r="U1044" i="4" s="1"/>
  <c r="I93" i="17"/>
  <c r="T1038" i="4"/>
  <c r="T1043" i="4" s="1"/>
  <c r="D93" i="17"/>
  <c r="J1037" i="4"/>
  <c r="J1042" i="4" s="1"/>
  <c r="J1039" i="4"/>
  <c r="J1044" i="4" s="1"/>
  <c r="J1038" i="4"/>
  <c r="J1043" i="4" s="1"/>
  <c r="J1036" i="4"/>
  <c r="J1041" i="4" s="1"/>
  <c r="P1037" i="4"/>
  <c r="P1042" i="4" s="1"/>
  <c r="P1038" i="4"/>
  <c r="P1043" i="4" s="1"/>
  <c r="P1039" i="4"/>
  <c r="P1044" i="4" s="1"/>
  <c r="P1036" i="4"/>
  <c r="P1041" i="4" s="1"/>
  <c r="F1038" i="4"/>
  <c r="F1043" i="4" s="1"/>
  <c r="F1036" i="4"/>
  <c r="F1041" i="4" s="1"/>
  <c r="F1039" i="4"/>
  <c r="F1044" i="4" s="1"/>
  <c r="F1037" i="4"/>
  <c r="F1042" i="4" s="1"/>
  <c r="T1036" i="4"/>
  <c r="T1041" i="4" s="1"/>
  <c r="B93" i="17"/>
  <c r="T1039" i="4"/>
  <c r="T1044" i="4" s="1"/>
  <c r="E93" i="17"/>
  <c r="K1039" i="4"/>
  <c r="K1044" i="4" s="1"/>
  <c r="K1038" i="4"/>
  <c r="K1043" i="4" s="1"/>
  <c r="K1036" i="4"/>
  <c r="K1041" i="4" s="1"/>
  <c r="K1037" i="4"/>
  <c r="K1042" i="4" s="1"/>
  <c r="H1039" i="4"/>
  <c r="H1044" i="4" s="1"/>
  <c r="H1037" i="4"/>
  <c r="H1042" i="4" s="1"/>
  <c r="H1038" i="4"/>
  <c r="H1043" i="4" s="1"/>
  <c r="H1036" i="4"/>
  <c r="H1041" i="4" s="1"/>
  <c r="T1037" i="4"/>
  <c r="T1042" i="4" s="1"/>
  <c r="C93" i="17"/>
  <c r="V1009" i="4"/>
  <c r="V1014" i="4" s="1"/>
  <c r="M92" i="17"/>
  <c r="H1008" i="4"/>
  <c r="H1013" i="4" s="1"/>
  <c r="H1009" i="4"/>
  <c r="H1014" i="4" s="1"/>
  <c r="H1010" i="4"/>
  <c r="H1015" i="4" s="1"/>
  <c r="H1011" i="4"/>
  <c r="H1016" i="4" s="1"/>
  <c r="U1008" i="4"/>
  <c r="U1013" i="4" s="1"/>
  <c r="F92" i="17"/>
  <c r="H92" i="17"/>
  <c r="N1008" i="4"/>
  <c r="N1013" i="4" s="1"/>
  <c r="N1009" i="4"/>
  <c r="N1014" i="4" s="1"/>
  <c r="N1010" i="4"/>
  <c r="N1015" i="4" s="1"/>
  <c r="N1011" i="4"/>
  <c r="N1016" i="4" s="1"/>
  <c r="F1010" i="4"/>
  <c r="F1015" i="4" s="1"/>
  <c r="F1011" i="4"/>
  <c r="F1016" i="4" s="1"/>
  <c r="F1008" i="4"/>
  <c r="F1013" i="4" s="1"/>
  <c r="F1009" i="4"/>
  <c r="F1014" i="4" s="1"/>
  <c r="O1010" i="4"/>
  <c r="O1015" i="4" s="1"/>
  <c r="O1009" i="4"/>
  <c r="O1014" i="4" s="1"/>
  <c r="O1011" i="4"/>
  <c r="O1016" i="4" s="1"/>
  <c r="O1008" i="4"/>
  <c r="O1013" i="4" s="1"/>
  <c r="L1010" i="4"/>
  <c r="L1015" i="4" s="1"/>
  <c r="L1009" i="4"/>
  <c r="L1014" i="4" s="1"/>
  <c r="L1008" i="4"/>
  <c r="L1013" i="4" s="1"/>
  <c r="L1011" i="4"/>
  <c r="L1016" i="4" s="1"/>
  <c r="Q1009" i="4"/>
  <c r="Q1014" i="4" s="1"/>
  <c r="Q1010" i="4"/>
  <c r="Q1015" i="4" s="1"/>
  <c r="Q1011" i="4"/>
  <c r="Q1016" i="4" s="1"/>
  <c r="Q1008" i="4"/>
  <c r="Q1013" i="4" s="1"/>
  <c r="U1009" i="4"/>
  <c r="U1014" i="4" s="1"/>
  <c r="I92" i="17"/>
  <c r="J1009" i="4"/>
  <c r="J1014" i="4" s="1"/>
  <c r="J1011" i="4"/>
  <c r="J1016" i="4" s="1"/>
  <c r="J1008" i="4"/>
  <c r="J1013" i="4" s="1"/>
  <c r="J1010" i="4"/>
  <c r="J1015" i="4" s="1"/>
  <c r="S1011" i="4"/>
  <c r="S1016" i="4" s="1"/>
  <c r="S1009" i="4"/>
  <c r="S1014" i="4" s="1"/>
  <c r="S1008" i="4"/>
  <c r="S1013" i="4" s="1"/>
  <c r="S1010" i="4"/>
  <c r="S1015" i="4" s="1"/>
  <c r="I1009" i="4"/>
  <c r="I1014" i="4" s="1"/>
  <c r="I1008" i="4"/>
  <c r="I1013" i="4" s="1"/>
  <c r="I1011" i="4"/>
  <c r="I1016" i="4" s="1"/>
  <c r="I1010" i="4"/>
  <c r="I1015" i="4" s="1"/>
  <c r="E1011" i="4"/>
  <c r="E1016" i="4" s="1"/>
  <c r="E1010" i="4"/>
  <c r="E1015" i="4" s="1"/>
  <c r="E1008" i="4"/>
  <c r="E1013" i="4" s="1"/>
  <c r="E1009" i="4"/>
  <c r="E1014" i="4" s="1"/>
  <c r="D1010" i="4"/>
  <c r="D1015" i="4" s="1"/>
  <c r="K1008" i="4"/>
  <c r="K1013" i="4" s="1"/>
  <c r="K1011" i="4"/>
  <c r="K1016" i="4" s="1"/>
  <c r="K1010" i="4"/>
  <c r="K1015" i="4" s="1"/>
  <c r="K1009" i="4"/>
  <c r="K1014" i="4" s="1"/>
  <c r="G1011" i="4"/>
  <c r="G1016" i="4" s="1"/>
  <c r="G1008" i="4"/>
  <c r="G1013" i="4" s="1"/>
  <c r="G1009" i="4"/>
  <c r="G1014" i="4" s="1"/>
  <c r="G1010" i="4"/>
  <c r="G1015" i="4" s="1"/>
  <c r="T1008" i="4"/>
  <c r="T1013" i="4" s="1"/>
  <c r="B92" i="17"/>
  <c r="D92" i="17"/>
  <c r="T1009" i="4"/>
  <c r="T1014" i="4" s="1"/>
  <c r="E92" i="17"/>
  <c r="M1008" i="4"/>
  <c r="M1013" i="4" s="1"/>
  <c r="M1010" i="4"/>
  <c r="M1015" i="4" s="1"/>
  <c r="M1011" i="4"/>
  <c r="M1016" i="4" s="1"/>
  <c r="M1009" i="4"/>
  <c r="M1014" i="4" s="1"/>
  <c r="R1010" i="4"/>
  <c r="R1015" i="4" s="1"/>
  <c r="R1008" i="4"/>
  <c r="R1013" i="4" s="1"/>
  <c r="R1011" i="4"/>
  <c r="R1016" i="4" s="1"/>
  <c r="R1009" i="4"/>
  <c r="R1014" i="4" s="1"/>
  <c r="P1010" i="4"/>
  <c r="P1015" i="4" s="1"/>
  <c r="P1011" i="4"/>
  <c r="P1016" i="4" s="1"/>
  <c r="P1009" i="4"/>
  <c r="P1014" i="4" s="1"/>
  <c r="P1008" i="4"/>
  <c r="P1013" i="4" s="1"/>
  <c r="V1008" i="4"/>
  <c r="V1013" i="4" s="1"/>
  <c r="J92" i="17"/>
  <c r="L92" i="17"/>
  <c r="O981" i="4"/>
  <c r="O986" i="4" s="1"/>
  <c r="O980" i="4"/>
  <c r="O985" i="4" s="1"/>
  <c r="O982" i="4"/>
  <c r="O987" i="4" s="1"/>
  <c r="O983" i="4"/>
  <c r="O988" i="4" s="1"/>
  <c r="L981" i="4"/>
  <c r="L986" i="4" s="1"/>
  <c r="L982" i="4"/>
  <c r="L987" i="4" s="1"/>
  <c r="L980" i="4"/>
  <c r="L985" i="4" s="1"/>
  <c r="L983" i="4"/>
  <c r="L988" i="4" s="1"/>
  <c r="T980" i="4"/>
  <c r="T985" i="4" s="1"/>
  <c r="B91" i="17"/>
  <c r="T983" i="4"/>
  <c r="T988" i="4" s="1"/>
  <c r="E91" i="17"/>
  <c r="T981" i="4"/>
  <c r="T986" i="4" s="1"/>
  <c r="C91" i="17"/>
  <c r="D91" i="12"/>
  <c r="C91" i="12"/>
  <c r="N982" i="4"/>
  <c r="N987" i="4" s="1"/>
  <c r="N981" i="4"/>
  <c r="N986" i="4" s="1"/>
  <c r="N980" i="4"/>
  <c r="N985" i="4" s="1"/>
  <c r="N983" i="4"/>
  <c r="N988" i="4" s="1"/>
  <c r="R982" i="4"/>
  <c r="R987" i="4" s="1"/>
  <c r="R981" i="4"/>
  <c r="R986" i="4" s="1"/>
  <c r="R980" i="4"/>
  <c r="R985" i="4" s="1"/>
  <c r="R983" i="4"/>
  <c r="R988" i="4" s="1"/>
  <c r="V982" i="4"/>
  <c r="V987" i="4" s="1"/>
  <c r="L91" i="17"/>
  <c r="T982" i="4"/>
  <c r="T987" i="4" s="1"/>
  <c r="D91" i="17"/>
  <c r="V980" i="4"/>
  <c r="V985" i="4" s="1"/>
  <c r="J91" i="17"/>
  <c r="P981" i="4"/>
  <c r="P986" i="4" s="1"/>
  <c r="P982" i="4"/>
  <c r="P987" i="4" s="1"/>
  <c r="P980" i="4"/>
  <c r="P985" i="4" s="1"/>
  <c r="P983" i="4"/>
  <c r="P988" i="4" s="1"/>
  <c r="F982" i="4"/>
  <c r="F987" i="4" s="1"/>
  <c r="F983" i="4"/>
  <c r="F988" i="4" s="1"/>
  <c r="F980" i="4"/>
  <c r="F985" i="4" s="1"/>
  <c r="F981" i="4"/>
  <c r="F986" i="4" s="1"/>
  <c r="J983" i="4"/>
  <c r="J988" i="4" s="1"/>
  <c r="J981" i="4"/>
  <c r="J986" i="4" s="1"/>
  <c r="J980" i="4"/>
  <c r="J985" i="4" s="1"/>
  <c r="J982" i="4"/>
  <c r="J987" i="4" s="1"/>
  <c r="V983" i="4"/>
  <c r="V988" i="4" s="1"/>
  <c r="M91" i="17"/>
  <c r="V981" i="4"/>
  <c r="V986" i="4" s="1"/>
  <c r="K91" i="17"/>
  <c r="K983" i="4"/>
  <c r="K988" i="4" s="1"/>
  <c r="K981" i="4"/>
  <c r="K986" i="4" s="1"/>
  <c r="K982" i="4"/>
  <c r="K987" i="4" s="1"/>
  <c r="K980" i="4"/>
  <c r="K985" i="4" s="1"/>
  <c r="H980" i="4"/>
  <c r="H985" i="4" s="1"/>
  <c r="H983" i="4"/>
  <c r="H988" i="4" s="1"/>
  <c r="H981" i="4"/>
  <c r="H986" i="4" s="1"/>
  <c r="H982" i="4"/>
  <c r="H987" i="4" s="1"/>
  <c r="M980" i="4"/>
  <c r="M985" i="4" s="1"/>
  <c r="M983" i="4"/>
  <c r="M988" i="4" s="1"/>
  <c r="M982" i="4"/>
  <c r="M987" i="4" s="1"/>
  <c r="M981" i="4"/>
  <c r="M986" i="4" s="1"/>
  <c r="Q982" i="4"/>
  <c r="Q987" i="4" s="1"/>
  <c r="Q983" i="4"/>
  <c r="Q988" i="4" s="1"/>
  <c r="Q980" i="4"/>
  <c r="Q985" i="4" s="1"/>
  <c r="Q981" i="4"/>
  <c r="Q986" i="4" s="1"/>
  <c r="U982" i="4"/>
  <c r="U987" i="4" s="1"/>
  <c r="H91" i="17"/>
  <c r="U980" i="4"/>
  <c r="U985" i="4" s="1"/>
  <c r="F91" i="17"/>
  <c r="G980" i="4"/>
  <c r="G985" i="4" s="1"/>
  <c r="G981" i="4"/>
  <c r="G986" i="4" s="1"/>
  <c r="G982" i="4"/>
  <c r="G987" i="4" s="1"/>
  <c r="G983" i="4"/>
  <c r="G988" i="4" s="1"/>
  <c r="S980" i="4"/>
  <c r="S985" i="4" s="1"/>
  <c r="S981" i="4"/>
  <c r="S986" i="4" s="1"/>
  <c r="S983" i="4"/>
  <c r="S988" i="4" s="1"/>
  <c r="S982" i="4"/>
  <c r="S987" i="4" s="1"/>
  <c r="E983" i="4"/>
  <c r="E988" i="4" s="1"/>
  <c r="E982" i="4"/>
  <c r="E987" i="4" s="1"/>
  <c r="E981" i="4"/>
  <c r="E986" i="4" s="1"/>
  <c r="E980" i="4"/>
  <c r="E985" i="4" s="1"/>
  <c r="I983" i="4"/>
  <c r="I988" i="4" s="1"/>
  <c r="I981" i="4"/>
  <c r="I986" i="4" s="1"/>
  <c r="I982" i="4"/>
  <c r="I987" i="4" s="1"/>
  <c r="I980" i="4"/>
  <c r="I985" i="4" s="1"/>
  <c r="U981" i="4"/>
  <c r="U986" i="4" s="1"/>
  <c r="G91" i="17"/>
  <c r="U983" i="4"/>
  <c r="U988" i="4" s="1"/>
  <c r="I91" i="17"/>
  <c r="D925" i="4"/>
  <c r="D930" i="4" s="1"/>
  <c r="G101" i="17"/>
  <c r="D868" i="4"/>
  <c r="D873" i="4" s="1"/>
  <c r="E91" i="12"/>
  <c r="S40" i="15"/>
  <c r="R25" i="15"/>
  <c r="R23" i="15"/>
  <c r="G102" i="17"/>
  <c r="H102" i="17"/>
  <c r="I101" i="17"/>
  <c r="L102" i="17"/>
  <c r="J102" i="17"/>
  <c r="R44" i="15"/>
  <c r="K101" i="17"/>
  <c r="D1151" i="4"/>
  <c r="D1156" i="4" s="1"/>
  <c r="E86" i="12"/>
  <c r="J100" i="17"/>
  <c r="K103" i="17"/>
  <c r="D926" i="4"/>
  <c r="D931" i="4" s="1"/>
  <c r="D924" i="4"/>
  <c r="D929" i="4" s="1"/>
  <c r="J101" i="17"/>
  <c r="I102" i="17"/>
  <c r="K100" i="17"/>
  <c r="H101" i="17"/>
  <c r="L101" i="17"/>
  <c r="J103" i="17"/>
  <c r="K102" i="17"/>
  <c r="M101" i="17"/>
  <c r="D1037" i="4"/>
  <c r="D1042" i="4" s="1"/>
  <c r="B102" i="17"/>
  <c r="H103" i="17"/>
  <c r="E103" i="17"/>
  <c r="E100" i="17"/>
  <c r="C101" i="17"/>
  <c r="M102" i="17"/>
  <c r="D896" i="4"/>
  <c r="D901" i="4" s="1"/>
  <c r="C102" i="17"/>
  <c r="I100" i="17"/>
  <c r="B103" i="17"/>
  <c r="B100" i="17"/>
  <c r="B101" i="17"/>
  <c r="R43" i="15"/>
  <c r="D102" i="17"/>
  <c r="L103" i="17"/>
  <c r="L100" i="17"/>
  <c r="D103" i="17"/>
  <c r="D100" i="17"/>
  <c r="D101" i="17"/>
  <c r="F102" i="17"/>
  <c r="R42" i="15"/>
  <c r="M103" i="17"/>
  <c r="M100" i="17"/>
  <c r="C103" i="17"/>
  <c r="C100" i="17"/>
  <c r="E101" i="17"/>
  <c r="R15" i="15"/>
  <c r="R41" i="15"/>
  <c r="K30" i="15"/>
  <c r="R17" i="15"/>
  <c r="L30" i="15"/>
  <c r="M30" i="15"/>
  <c r="Q30" i="15"/>
  <c r="S283" i="3"/>
  <c r="S284" i="3" s="1"/>
  <c r="S286" i="3" s="1"/>
  <c r="S288" i="3" s="1"/>
  <c r="T281" i="3"/>
  <c r="T282" i="3" s="1"/>
  <c r="V278" i="3"/>
  <c r="U280" i="3"/>
  <c r="U22" i="15"/>
  <c r="R22" i="15"/>
  <c r="S22" i="15"/>
  <c r="T22" i="15"/>
  <c r="D1120" i="4"/>
  <c r="D1125" i="4" s="1"/>
  <c r="D1092" i="4"/>
  <c r="D1097" i="4" s="1"/>
  <c r="D1064" i="4"/>
  <c r="D1069" i="4" s="1"/>
  <c r="D1036" i="4"/>
  <c r="D1041" i="4" s="1"/>
  <c r="O92" i="14"/>
  <c r="G92" i="14"/>
  <c r="K92" i="13"/>
  <c r="S92" i="14"/>
  <c r="G92" i="16"/>
  <c r="G92" i="13"/>
  <c r="K92" i="15"/>
  <c r="C92" i="13"/>
  <c r="K92" i="14"/>
  <c r="O92" i="15"/>
  <c r="O92" i="13"/>
  <c r="C92" i="15"/>
  <c r="C92" i="16"/>
  <c r="C92" i="14"/>
  <c r="G92" i="15"/>
  <c r="C92" i="12"/>
  <c r="D1011" i="4"/>
  <c r="D1016" i="4" s="1"/>
  <c r="D980" i="4"/>
  <c r="D985" i="4" s="1"/>
  <c r="R37" i="15"/>
  <c r="R38" i="15"/>
  <c r="R35" i="15"/>
  <c r="W20" i="23"/>
  <c r="W25" i="23" s="1"/>
  <c r="S119" i="15"/>
  <c r="U26" i="15"/>
  <c r="U25" i="15"/>
  <c r="R26" i="15"/>
  <c r="S26" i="15"/>
  <c r="T25" i="15"/>
  <c r="T26" i="15"/>
  <c r="S25" i="15"/>
  <c r="B100" i="12"/>
  <c r="R40" i="15" l="1"/>
  <c r="S295" i="3"/>
  <c r="S299" i="3" s="1"/>
  <c r="S296" i="3"/>
  <c r="S300" i="3" s="1"/>
  <c r="S294" i="3"/>
  <c r="S298" i="3" s="1"/>
  <c r="S293" i="3"/>
  <c r="S297" i="3" s="1"/>
  <c r="D1039" i="4"/>
  <c r="D1044" i="4" s="1"/>
  <c r="D981" i="4"/>
  <c r="D986" i="4" s="1"/>
  <c r="C102" i="12"/>
  <c r="G103" i="17"/>
  <c r="F103" i="17"/>
  <c r="I103" i="17"/>
  <c r="B102" i="12"/>
  <c r="D983" i="4"/>
  <c r="D988" i="4" s="1"/>
  <c r="E102" i="17"/>
  <c r="D982" i="4"/>
  <c r="D987" i="4" s="1"/>
  <c r="F101" i="17"/>
  <c r="C93" i="12"/>
  <c r="F100" i="17"/>
  <c r="H100" i="17"/>
  <c r="G100" i="17"/>
  <c r="D1038" i="4"/>
  <c r="D1043" i="4" s="1"/>
  <c r="R24" i="15"/>
  <c r="L955" i="4"/>
  <c r="L960" i="4" s="1"/>
  <c r="Q103" i="14"/>
  <c r="J101" i="13"/>
  <c r="G896" i="4"/>
  <c r="G901" i="4" s="1"/>
  <c r="R102" i="14"/>
  <c r="M924" i="4"/>
  <c r="M929" i="4" s="1"/>
  <c r="O924" i="4"/>
  <c r="O929" i="4" s="1"/>
  <c r="F102" i="15"/>
  <c r="N952" i="4"/>
  <c r="N957" i="4" s="1"/>
  <c r="H1148" i="4"/>
  <c r="H1153" i="4" s="1"/>
  <c r="N86" i="13"/>
  <c r="G1149" i="4"/>
  <c r="G1154" i="4" s="1"/>
  <c r="K86" i="13"/>
  <c r="G101" i="13"/>
  <c r="F897" i="4"/>
  <c r="F902" i="4" s="1"/>
  <c r="L925" i="4"/>
  <c r="L930" i="4" s="1"/>
  <c r="O102" i="14"/>
  <c r="G870" i="4"/>
  <c r="G875" i="4" s="1"/>
  <c r="L100" i="13"/>
  <c r="J101" i="15"/>
  <c r="P896" i="4"/>
  <c r="P901" i="4" s="1"/>
  <c r="Q870" i="4"/>
  <c r="Q875" i="4" s="1"/>
  <c r="P100" i="15"/>
  <c r="N898" i="4"/>
  <c r="N903" i="4" s="1"/>
  <c r="D101" i="15"/>
  <c r="D1148" i="4"/>
  <c r="D1153" i="4" s="1"/>
  <c r="B86" i="12"/>
  <c r="Q1149" i="4"/>
  <c r="Q1154" i="4" s="1"/>
  <c r="O86" i="15"/>
  <c r="O925" i="4"/>
  <c r="O930" i="4" s="1"/>
  <c r="G102" i="15"/>
  <c r="K955" i="4"/>
  <c r="K960" i="4" s="1"/>
  <c r="M103" i="14"/>
  <c r="B101" i="12"/>
  <c r="O869" i="4"/>
  <c r="O874" i="4" s="1"/>
  <c r="G100" i="15"/>
  <c r="P1149" i="4"/>
  <c r="P1154" i="4" s="1"/>
  <c r="K86" i="15"/>
  <c r="N953" i="4"/>
  <c r="N958" i="4" s="1"/>
  <c r="C103" i="15"/>
  <c r="F896" i="4"/>
  <c r="F901" i="4" s="1"/>
  <c r="F101" i="13"/>
  <c r="H1149" i="4"/>
  <c r="H1154" i="4" s="1"/>
  <c r="O86" i="13"/>
  <c r="L926" i="4"/>
  <c r="L931" i="4" s="1"/>
  <c r="P102" i="14"/>
  <c r="S927" i="4"/>
  <c r="S932" i="4" s="1"/>
  <c r="I102" i="16"/>
  <c r="M927" i="4"/>
  <c r="M932" i="4" s="1"/>
  <c r="U102" i="14"/>
  <c r="P952" i="4"/>
  <c r="P957" i="4" s="1"/>
  <c r="J103" i="15"/>
  <c r="G871" i="4"/>
  <c r="G876" i="4" s="1"/>
  <c r="M100" i="13"/>
  <c r="M953" i="4"/>
  <c r="M958" i="4" s="1"/>
  <c r="S103" i="14"/>
  <c r="J927" i="4"/>
  <c r="J932" i="4" s="1"/>
  <c r="I102" i="14"/>
  <c r="I896" i="4"/>
  <c r="I901" i="4" s="1"/>
  <c r="B101" i="14"/>
  <c r="Q868" i="4"/>
  <c r="Q873" i="4" s="1"/>
  <c r="N100" i="15"/>
  <c r="Q100" i="13"/>
  <c r="H871" i="4"/>
  <c r="H876" i="4" s="1"/>
  <c r="Q924" i="4"/>
  <c r="Q929" i="4" s="1"/>
  <c r="N102" i="15"/>
  <c r="N899" i="4"/>
  <c r="N904" i="4" s="1"/>
  <c r="E101" i="15"/>
  <c r="R868" i="4"/>
  <c r="R873" i="4" s="1"/>
  <c r="B100" i="16"/>
  <c r="Q1148" i="4"/>
  <c r="Q1153" i="4" s="1"/>
  <c r="N86" i="15"/>
  <c r="O927" i="4"/>
  <c r="O932" i="4" s="1"/>
  <c r="I102" i="15"/>
  <c r="P924" i="4"/>
  <c r="P929" i="4" s="1"/>
  <c r="J102" i="15"/>
  <c r="J955" i="4"/>
  <c r="J960" i="4" s="1"/>
  <c r="I103" i="14"/>
  <c r="O897" i="4"/>
  <c r="O902" i="4" s="1"/>
  <c r="G101" i="15"/>
  <c r="N870" i="4"/>
  <c r="N875" i="4" s="1"/>
  <c r="D100" i="15"/>
  <c r="L1151" i="4"/>
  <c r="L1156" i="4" s="1"/>
  <c r="Q86" i="14"/>
  <c r="L871" i="4"/>
  <c r="L876" i="4" s="1"/>
  <c r="Q100" i="14"/>
  <c r="S1149" i="4"/>
  <c r="S1154" i="4" s="1"/>
  <c r="G86" i="16"/>
  <c r="F871" i="4"/>
  <c r="F876" i="4" s="1"/>
  <c r="I100" i="13"/>
  <c r="E103" i="12"/>
  <c r="D955" i="4"/>
  <c r="D960" i="4" s="1"/>
  <c r="G869" i="4"/>
  <c r="G874" i="4" s="1"/>
  <c r="K100" i="13"/>
  <c r="J926" i="4"/>
  <c r="J931" i="4" s="1"/>
  <c r="H102" i="14"/>
  <c r="J952" i="4"/>
  <c r="J957" i="4" s="1"/>
  <c r="F103" i="14"/>
  <c r="P1148" i="4"/>
  <c r="P1153" i="4" s="1"/>
  <c r="J86" i="15"/>
  <c r="R86" i="14"/>
  <c r="M1148" i="4"/>
  <c r="M1153" i="4" s="1"/>
  <c r="Q86" i="13"/>
  <c r="H1151" i="4"/>
  <c r="H1156" i="4" s="1"/>
  <c r="T102" i="14"/>
  <c r="M926" i="4"/>
  <c r="M931" i="4" s="1"/>
  <c r="G1150" i="4"/>
  <c r="G1155" i="4" s="1"/>
  <c r="L86" i="13"/>
  <c r="J925" i="4"/>
  <c r="J930" i="4" s="1"/>
  <c r="G102" i="14"/>
  <c r="H869" i="4"/>
  <c r="H874" i="4" s="1"/>
  <c r="O100" i="13"/>
  <c r="K1149" i="4"/>
  <c r="K1154" i="4" s="1"/>
  <c r="K86" i="14"/>
  <c r="J954" i="4"/>
  <c r="J959" i="4" s="1"/>
  <c r="H103" i="14"/>
  <c r="O871" i="4"/>
  <c r="O876" i="4" s="1"/>
  <c r="I100" i="15"/>
  <c r="L86" i="15"/>
  <c r="P1150" i="4"/>
  <c r="P1155" i="4" s="1"/>
  <c r="N1150" i="4"/>
  <c r="N1155" i="4" s="1"/>
  <c r="D86" i="15"/>
  <c r="E871" i="4"/>
  <c r="E876" i="4" s="1"/>
  <c r="E100" i="13"/>
  <c r="N954" i="4"/>
  <c r="N959" i="4" s="1"/>
  <c r="D103" i="15"/>
  <c r="F898" i="4"/>
  <c r="F903" i="4" s="1"/>
  <c r="H101" i="13"/>
  <c r="H1150" i="4"/>
  <c r="H1155" i="4" s="1"/>
  <c r="P86" i="13"/>
  <c r="L924" i="4"/>
  <c r="L929" i="4" s="1"/>
  <c r="N102" i="14"/>
  <c r="F102" i="16"/>
  <c r="S924" i="4"/>
  <c r="S929" i="4" s="1"/>
  <c r="P953" i="4"/>
  <c r="P958" i="4" s="1"/>
  <c r="K103" i="15"/>
  <c r="G868" i="4"/>
  <c r="G873" i="4" s="1"/>
  <c r="J100" i="13"/>
  <c r="E924" i="4"/>
  <c r="E929" i="4" s="1"/>
  <c r="B102" i="13"/>
  <c r="M954" i="4"/>
  <c r="M959" i="4" s="1"/>
  <c r="T103" i="14"/>
  <c r="H954" i="4"/>
  <c r="H959" i="4" s="1"/>
  <c r="P103" i="13"/>
  <c r="J924" i="4"/>
  <c r="J929" i="4" s="1"/>
  <c r="F102" i="14"/>
  <c r="E101" i="14"/>
  <c r="I899" i="4"/>
  <c r="I904" i="4" s="1"/>
  <c r="Q869" i="4"/>
  <c r="Q874" i="4" s="1"/>
  <c r="O100" i="15"/>
  <c r="H868" i="4"/>
  <c r="H873" i="4" s="1"/>
  <c r="N100" i="13"/>
  <c r="Q927" i="4"/>
  <c r="Q932" i="4" s="1"/>
  <c r="Q102" i="15"/>
  <c r="N896" i="4"/>
  <c r="N901" i="4" s="1"/>
  <c r="G102" i="13"/>
  <c r="F925" i="4"/>
  <c r="F930" i="4" s="1"/>
  <c r="R101" i="14"/>
  <c r="M896" i="4"/>
  <c r="M901" i="4" s="1"/>
  <c r="R870" i="4"/>
  <c r="R875" i="4" s="1"/>
  <c r="D100" i="16"/>
  <c r="Q1150" i="4"/>
  <c r="Q1155" i="4" s="1"/>
  <c r="P86" i="15"/>
  <c r="D869" i="4"/>
  <c r="D874" i="4" s="1"/>
  <c r="C100" i="12"/>
  <c r="P927" i="4"/>
  <c r="P932" i="4" s="1"/>
  <c r="M102" i="15"/>
  <c r="E955" i="4"/>
  <c r="E960" i="4" s="1"/>
  <c r="E103" i="13"/>
  <c r="O899" i="4"/>
  <c r="O904" i="4" s="1"/>
  <c r="I101" i="15"/>
  <c r="M1150" i="4"/>
  <c r="M1155" i="4" s="1"/>
  <c r="T86" i="14"/>
  <c r="M101" i="15"/>
  <c r="P899" i="4"/>
  <c r="P904" i="4" s="1"/>
  <c r="L1148" i="4"/>
  <c r="L1153" i="4" s="1"/>
  <c r="N86" i="14"/>
  <c r="M955" i="4"/>
  <c r="M960" i="4" s="1"/>
  <c r="U103" i="14"/>
  <c r="N955" i="4"/>
  <c r="N960" i="4" s="1"/>
  <c r="E103" i="15"/>
  <c r="F869" i="4"/>
  <c r="F874" i="4" s="1"/>
  <c r="G100" i="13"/>
  <c r="G899" i="4"/>
  <c r="G904" i="4" s="1"/>
  <c r="M101" i="13"/>
  <c r="L1149" i="4"/>
  <c r="L1154" i="4" s="1"/>
  <c r="O86" i="14"/>
  <c r="S926" i="4"/>
  <c r="S931" i="4" s="1"/>
  <c r="H102" i="16"/>
  <c r="P954" i="4"/>
  <c r="P959" i="4" s="1"/>
  <c r="L103" i="15"/>
  <c r="M952" i="4"/>
  <c r="M957" i="4" s="1"/>
  <c r="R103" i="14"/>
  <c r="H101" i="15"/>
  <c r="O898" i="4"/>
  <c r="O903" i="4" s="1"/>
  <c r="B95" i="12"/>
  <c r="O868" i="4"/>
  <c r="O873" i="4" s="1"/>
  <c r="F100" i="15"/>
  <c r="M86" i="15"/>
  <c r="P1151" i="4"/>
  <c r="P1156" i="4" s="1"/>
  <c r="C86" i="15"/>
  <c r="N1149" i="4"/>
  <c r="N1154" i="4" s="1"/>
  <c r="R925" i="4"/>
  <c r="R930" i="4" s="1"/>
  <c r="C102" i="16"/>
  <c r="E870" i="4"/>
  <c r="E875" i="4" s="1"/>
  <c r="D100" i="13"/>
  <c r="Q955" i="4"/>
  <c r="Q960" i="4" s="1"/>
  <c r="Q103" i="15"/>
  <c r="F899" i="4"/>
  <c r="F904" i="4" s="1"/>
  <c r="I101" i="13"/>
  <c r="E101" i="12"/>
  <c r="D899" i="4"/>
  <c r="D904" i="4" s="1"/>
  <c r="I869" i="4"/>
  <c r="I874" i="4" s="1"/>
  <c r="C100" i="14"/>
  <c r="S925" i="4"/>
  <c r="S930" i="4" s="1"/>
  <c r="G102" i="16"/>
  <c r="S870" i="4"/>
  <c r="S875" i="4" s="1"/>
  <c r="H100" i="16"/>
  <c r="E927" i="4"/>
  <c r="E932" i="4" s="1"/>
  <c r="E102" i="13"/>
  <c r="H953" i="4"/>
  <c r="H958" i="4" s="1"/>
  <c r="O103" i="13"/>
  <c r="I897" i="4"/>
  <c r="I902" i="4" s="1"/>
  <c r="C101" i="14"/>
  <c r="Q925" i="4"/>
  <c r="Q930" i="4" s="1"/>
  <c r="O102" i="15"/>
  <c r="I102" i="13"/>
  <c r="F927" i="4"/>
  <c r="F932" i="4" s="1"/>
  <c r="M898" i="4"/>
  <c r="M903" i="4" s="1"/>
  <c r="T101" i="14"/>
  <c r="R871" i="4"/>
  <c r="R876" i="4" s="1"/>
  <c r="E100" i="16"/>
  <c r="Q86" i="15"/>
  <c r="Q1151" i="4"/>
  <c r="Q1156" i="4" s="1"/>
  <c r="P925" i="4"/>
  <c r="P930" i="4" s="1"/>
  <c r="K102" i="15"/>
  <c r="E954" i="4"/>
  <c r="E959" i="4" s="1"/>
  <c r="D103" i="13"/>
  <c r="O896" i="4"/>
  <c r="O901" i="4" s="1"/>
  <c r="F101" i="15"/>
  <c r="D870" i="4"/>
  <c r="D875" i="4" s="1"/>
  <c r="D100" i="12"/>
  <c r="P926" i="4"/>
  <c r="P931" i="4" s="1"/>
  <c r="L102" i="15"/>
  <c r="B103" i="13"/>
  <c r="E952" i="4"/>
  <c r="E957" i="4" s="1"/>
  <c r="G952" i="4"/>
  <c r="G957" i="4" s="1"/>
  <c r="J103" i="13"/>
  <c r="I952" i="4"/>
  <c r="I957" i="4" s="1"/>
  <c r="B103" i="14"/>
  <c r="K952" i="4"/>
  <c r="K957" i="4" s="1"/>
  <c r="J103" i="14"/>
  <c r="M1151" i="4"/>
  <c r="M1156" i="4" s="1"/>
  <c r="U86" i="14"/>
  <c r="H102" i="15"/>
  <c r="O926" i="4"/>
  <c r="O931" i="4" s="1"/>
  <c r="N1151" i="4"/>
  <c r="N1156" i="4" s="1"/>
  <c r="E86" i="15"/>
  <c r="Q954" i="4"/>
  <c r="Q959" i="4" s="1"/>
  <c r="P103" i="15"/>
  <c r="K926" i="4"/>
  <c r="K931" i="4" s="1"/>
  <c r="L102" i="14"/>
  <c r="M101" i="14"/>
  <c r="K899" i="4"/>
  <c r="K904" i="4" s="1"/>
  <c r="Q102" i="13"/>
  <c r="H927" i="4"/>
  <c r="H932" i="4" s="1"/>
  <c r="M871" i="4"/>
  <c r="M876" i="4" s="1"/>
  <c r="U100" i="14"/>
  <c r="F924" i="4"/>
  <c r="F929" i="4" s="1"/>
  <c r="F102" i="13"/>
  <c r="O955" i="4"/>
  <c r="O960" i="4" s="1"/>
  <c r="I103" i="15"/>
  <c r="N925" i="4"/>
  <c r="N930" i="4" s="1"/>
  <c r="C102" i="15"/>
  <c r="N1148" i="4"/>
  <c r="N1153" i="4" s="1"/>
  <c r="R924" i="4"/>
  <c r="R929" i="4" s="1"/>
  <c r="B102" i="16"/>
  <c r="E869" i="4"/>
  <c r="E874" i="4" s="1"/>
  <c r="C100" i="13"/>
  <c r="D1150" i="4"/>
  <c r="D1155" i="4" s="1"/>
  <c r="D86" i="12"/>
  <c r="E897" i="4"/>
  <c r="E902" i="4" s="1"/>
  <c r="C101" i="13"/>
  <c r="Q952" i="4"/>
  <c r="Q957" i="4" s="1"/>
  <c r="N103" i="15"/>
  <c r="J1151" i="4"/>
  <c r="J1156" i="4" s="1"/>
  <c r="I86" i="14"/>
  <c r="D897" i="4"/>
  <c r="D902" i="4" s="1"/>
  <c r="C101" i="12"/>
  <c r="K925" i="4"/>
  <c r="K930" i="4" s="1"/>
  <c r="K102" i="14"/>
  <c r="I870" i="4"/>
  <c r="I875" i="4" s="1"/>
  <c r="D100" i="14"/>
  <c r="Q897" i="4"/>
  <c r="Q902" i="4" s="1"/>
  <c r="O101" i="15"/>
  <c r="S871" i="4"/>
  <c r="S876" i="4" s="1"/>
  <c r="I100" i="16"/>
  <c r="K898" i="4"/>
  <c r="K903" i="4" s="1"/>
  <c r="L101" i="14"/>
  <c r="E926" i="4"/>
  <c r="E931" i="4" s="1"/>
  <c r="D102" i="13"/>
  <c r="K868" i="4"/>
  <c r="K873" i="4" s="1"/>
  <c r="J100" i="14"/>
  <c r="H926" i="4"/>
  <c r="H931" i="4" s="1"/>
  <c r="P102" i="13"/>
  <c r="H952" i="4"/>
  <c r="H957" i="4" s="1"/>
  <c r="N103" i="13"/>
  <c r="S898" i="4"/>
  <c r="S903" i="4" s="1"/>
  <c r="H101" i="16"/>
  <c r="D927" i="4"/>
  <c r="D932" i="4" s="1"/>
  <c r="E102" i="12"/>
  <c r="M868" i="4"/>
  <c r="M873" i="4" s="1"/>
  <c r="R100" i="14"/>
  <c r="F926" i="4"/>
  <c r="F931" i="4" s="1"/>
  <c r="H102" i="13"/>
  <c r="M897" i="4"/>
  <c r="M902" i="4" s="1"/>
  <c r="S101" i="14"/>
  <c r="R954" i="4"/>
  <c r="R959" i="4" s="1"/>
  <c r="D103" i="16"/>
  <c r="O1149" i="4"/>
  <c r="O1154" i="4" s="1"/>
  <c r="G86" i="15"/>
  <c r="E100" i="12"/>
  <c r="D871" i="4"/>
  <c r="D876" i="4" s="1"/>
  <c r="E953" i="4"/>
  <c r="E958" i="4" s="1"/>
  <c r="C103" i="13"/>
  <c r="P870" i="4"/>
  <c r="P875" i="4" s="1"/>
  <c r="L100" i="15"/>
  <c r="D103" i="12"/>
  <c r="D954" i="4"/>
  <c r="D959" i="4" s="1"/>
  <c r="F952" i="4"/>
  <c r="F957" i="4" s="1"/>
  <c r="F103" i="13"/>
  <c r="J953" i="4"/>
  <c r="J958" i="4" s="1"/>
  <c r="G103" i="14"/>
  <c r="L927" i="4"/>
  <c r="L932" i="4" s="1"/>
  <c r="Q102" i="14"/>
  <c r="M103" i="15"/>
  <c r="P955" i="4"/>
  <c r="P960" i="4" s="1"/>
  <c r="Q871" i="4"/>
  <c r="Q876" i="4" s="1"/>
  <c r="Q100" i="15"/>
  <c r="H870" i="4"/>
  <c r="H875" i="4" s="1"/>
  <c r="P100" i="13"/>
  <c r="S1150" i="4"/>
  <c r="S1155" i="4" s="1"/>
  <c r="H86" i="16"/>
  <c r="C101" i="15"/>
  <c r="N897" i="4"/>
  <c r="N902" i="4" s="1"/>
  <c r="K1148" i="4"/>
  <c r="K1153" i="4" s="1"/>
  <c r="J86" i="14"/>
  <c r="K954" i="4"/>
  <c r="K959" i="4" s="1"/>
  <c r="L103" i="14"/>
  <c r="O952" i="4"/>
  <c r="O957" i="4" s="1"/>
  <c r="F103" i="15"/>
  <c r="N924" i="4"/>
  <c r="N929" i="4" s="1"/>
  <c r="R926" i="4"/>
  <c r="R931" i="4" s="1"/>
  <c r="D102" i="16"/>
  <c r="E898" i="4"/>
  <c r="E903" i="4" s="1"/>
  <c r="D101" i="13"/>
  <c r="Q953" i="4"/>
  <c r="Q958" i="4" s="1"/>
  <c r="O103" i="15"/>
  <c r="L899" i="4"/>
  <c r="L904" i="4" s="1"/>
  <c r="Q101" i="14"/>
  <c r="J1148" i="4"/>
  <c r="J1153" i="4" s="1"/>
  <c r="F86" i="14"/>
  <c r="D898" i="4"/>
  <c r="D903" i="4" s="1"/>
  <c r="D101" i="12"/>
  <c r="K927" i="4"/>
  <c r="K932" i="4" s="1"/>
  <c r="M102" i="14"/>
  <c r="I868" i="4"/>
  <c r="I873" i="4" s="1"/>
  <c r="B100" i="14"/>
  <c r="Q896" i="4"/>
  <c r="Q901" i="4" s="1"/>
  <c r="N101" i="15"/>
  <c r="S868" i="4"/>
  <c r="S873" i="4" s="1"/>
  <c r="F100" i="16"/>
  <c r="F86" i="13"/>
  <c r="F1148" i="4"/>
  <c r="F1153" i="4" s="1"/>
  <c r="K896" i="4"/>
  <c r="K901" i="4" s="1"/>
  <c r="J101" i="14"/>
  <c r="K870" i="4"/>
  <c r="K875" i="4" s="1"/>
  <c r="L100" i="14"/>
  <c r="H924" i="4"/>
  <c r="H929" i="4" s="1"/>
  <c r="N102" i="13"/>
  <c r="S897" i="4"/>
  <c r="S902" i="4" s="1"/>
  <c r="G101" i="16"/>
  <c r="E1149" i="4"/>
  <c r="E1154" i="4" s="1"/>
  <c r="C86" i="13"/>
  <c r="R1148" i="4"/>
  <c r="R1153" i="4" s="1"/>
  <c r="B86" i="16"/>
  <c r="R897" i="4"/>
  <c r="R902" i="4" s="1"/>
  <c r="C101" i="16"/>
  <c r="M869" i="4"/>
  <c r="M874" i="4" s="1"/>
  <c r="S100" i="14"/>
  <c r="R955" i="4"/>
  <c r="R960" i="4" s="1"/>
  <c r="E103" i="16"/>
  <c r="O1150" i="4"/>
  <c r="O1155" i="4" s="1"/>
  <c r="H86" i="15"/>
  <c r="J869" i="4"/>
  <c r="J874" i="4" s="1"/>
  <c r="G100" i="14"/>
  <c r="M100" i="15"/>
  <c r="P871" i="4"/>
  <c r="P876" i="4" s="1"/>
  <c r="E86" i="14"/>
  <c r="I1151" i="4"/>
  <c r="I1156" i="4" s="1"/>
  <c r="F870" i="4"/>
  <c r="F875" i="4" s="1"/>
  <c r="H100" i="13"/>
  <c r="S952" i="4"/>
  <c r="S957" i="4" s="1"/>
  <c r="F103" i="16"/>
  <c r="I925" i="4"/>
  <c r="I930" i="4" s="1"/>
  <c r="C102" i="14"/>
  <c r="J896" i="4"/>
  <c r="J901" i="4" s="1"/>
  <c r="F101" i="14"/>
  <c r="M925" i="4"/>
  <c r="M930" i="4" s="1"/>
  <c r="S102" i="14"/>
  <c r="H101" i="14"/>
  <c r="J898" i="4"/>
  <c r="J903" i="4" s="1"/>
  <c r="H100" i="15"/>
  <c r="O870" i="4"/>
  <c r="O875" i="4" s="1"/>
  <c r="R927" i="4"/>
  <c r="R932" i="4" s="1"/>
  <c r="E102" i="16"/>
  <c r="B101" i="13"/>
  <c r="E896" i="4"/>
  <c r="E901" i="4" s="1"/>
  <c r="J1150" i="4"/>
  <c r="J1155" i="4" s="1"/>
  <c r="H86" i="14"/>
  <c r="I871" i="4"/>
  <c r="I876" i="4" s="1"/>
  <c r="E100" i="14"/>
  <c r="K869" i="4"/>
  <c r="K874" i="4" s="1"/>
  <c r="K100" i="14"/>
  <c r="S896" i="4"/>
  <c r="S901" i="4" s="1"/>
  <c r="F101" i="16"/>
  <c r="I898" i="4"/>
  <c r="I903" i="4" s="1"/>
  <c r="D101" i="14"/>
  <c r="Q926" i="4"/>
  <c r="Q931" i="4" s="1"/>
  <c r="P102" i="15"/>
  <c r="M899" i="4"/>
  <c r="M904" i="4" s="1"/>
  <c r="U101" i="14"/>
  <c r="O953" i="4"/>
  <c r="O958" i="4" s="1"/>
  <c r="G103" i="15"/>
  <c r="N926" i="4"/>
  <c r="N931" i="4" s="1"/>
  <c r="D102" i="15"/>
  <c r="L952" i="4"/>
  <c r="L957" i="4" s="1"/>
  <c r="N103" i="14"/>
  <c r="N868" i="4"/>
  <c r="N873" i="4" s="1"/>
  <c r="N101" i="13"/>
  <c r="H896" i="4"/>
  <c r="H901" i="4" s="1"/>
  <c r="D1149" i="4"/>
  <c r="D1154" i="4" s="1"/>
  <c r="C86" i="12"/>
  <c r="E899" i="4"/>
  <c r="E904" i="4" s="1"/>
  <c r="E101" i="13"/>
  <c r="G953" i="4"/>
  <c r="G958" i="4" s="1"/>
  <c r="K103" i="13"/>
  <c r="L898" i="4"/>
  <c r="L903" i="4" s="1"/>
  <c r="P101" i="14"/>
  <c r="J1149" i="4"/>
  <c r="J1154" i="4" s="1"/>
  <c r="G86" i="14"/>
  <c r="K924" i="4"/>
  <c r="K929" i="4" s="1"/>
  <c r="J102" i="14"/>
  <c r="I953" i="4"/>
  <c r="I958" i="4" s="1"/>
  <c r="C103" i="14"/>
  <c r="Q898" i="4"/>
  <c r="Q903" i="4" s="1"/>
  <c r="P101" i="15"/>
  <c r="S953" i="4"/>
  <c r="S958" i="4" s="1"/>
  <c r="G103" i="16"/>
  <c r="F1149" i="4"/>
  <c r="F1154" i="4" s="1"/>
  <c r="G86" i="13"/>
  <c r="K897" i="4"/>
  <c r="K902" i="4" s="1"/>
  <c r="K101" i="14"/>
  <c r="L868" i="4"/>
  <c r="L873" i="4" s="1"/>
  <c r="N100" i="14"/>
  <c r="K871" i="4"/>
  <c r="K876" i="4" s="1"/>
  <c r="M100" i="14"/>
  <c r="H925" i="4"/>
  <c r="H930" i="4" s="1"/>
  <c r="O102" i="13"/>
  <c r="I101" i="16"/>
  <c r="S899" i="4"/>
  <c r="S904" i="4" s="1"/>
  <c r="B86" i="13"/>
  <c r="E1148" i="4"/>
  <c r="E1153" i="4" s="1"/>
  <c r="R1149" i="4"/>
  <c r="R1154" i="4" s="1"/>
  <c r="C86" i="16"/>
  <c r="R896" i="4"/>
  <c r="R901" i="4" s="1"/>
  <c r="B101" i="16"/>
  <c r="M870" i="4"/>
  <c r="M875" i="4" s="1"/>
  <c r="T100" i="14"/>
  <c r="I924" i="4"/>
  <c r="I929" i="4" s="1"/>
  <c r="B102" i="14"/>
  <c r="R952" i="4"/>
  <c r="R957" i="4" s="1"/>
  <c r="B103" i="16"/>
  <c r="O1151" i="4"/>
  <c r="O1156" i="4" s="1"/>
  <c r="I86" i="15"/>
  <c r="J868" i="4"/>
  <c r="J873" i="4" s="1"/>
  <c r="F100" i="14"/>
  <c r="G927" i="4"/>
  <c r="G932" i="4" s="1"/>
  <c r="M102" i="13"/>
  <c r="P868" i="4"/>
  <c r="P873" i="4" s="1"/>
  <c r="J100" i="15"/>
  <c r="I1148" i="4"/>
  <c r="I1153" i="4" s="1"/>
  <c r="B86" i="14"/>
  <c r="H898" i="4"/>
  <c r="H903" i="4" s="1"/>
  <c r="P101" i="13"/>
  <c r="G1148" i="4"/>
  <c r="G1153" i="4" s="1"/>
  <c r="J86" i="13"/>
  <c r="K1150" i="4"/>
  <c r="K1155" i="4" s="1"/>
  <c r="L86" i="14"/>
  <c r="G925" i="4"/>
  <c r="G930" i="4" s="1"/>
  <c r="K102" i="13"/>
  <c r="G897" i="4"/>
  <c r="G902" i="4" s="1"/>
  <c r="K101" i="13"/>
  <c r="L101" i="15"/>
  <c r="P898" i="4"/>
  <c r="P903" i="4" s="1"/>
  <c r="F953" i="4"/>
  <c r="F958" i="4" s="1"/>
  <c r="G103" i="13"/>
  <c r="B100" i="13"/>
  <c r="E868" i="4"/>
  <c r="E873" i="4" s="1"/>
  <c r="S869" i="4"/>
  <c r="S874" i="4" s="1"/>
  <c r="G100" i="16"/>
  <c r="E925" i="4"/>
  <c r="E930" i="4" s="1"/>
  <c r="C102" i="13"/>
  <c r="Q103" i="13"/>
  <c r="H955" i="4"/>
  <c r="H960" i="4" s="1"/>
  <c r="R869" i="4"/>
  <c r="R874" i="4" s="1"/>
  <c r="C100" i="16"/>
  <c r="D102" i="12"/>
  <c r="H103" i="15"/>
  <c r="O954" i="4"/>
  <c r="O959" i="4" s="1"/>
  <c r="E102" i="15"/>
  <c r="N927" i="4"/>
  <c r="N932" i="4" s="1"/>
  <c r="L953" i="4"/>
  <c r="L958" i="4" s="1"/>
  <c r="O103" i="14"/>
  <c r="N871" i="4"/>
  <c r="N876" i="4" s="1"/>
  <c r="E100" i="15"/>
  <c r="Q101" i="13"/>
  <c r="H899" i="4"/>
  <c r="H904" i="4" s="1"/>
  <c r="G954" i="4"/>
  <c r="G959" i="4" s="1"/>
  <c r="L103" i="13"/>
  <c r="L896" i="4"/>
  <c r="L901" i="4" s="1"/>
  <c r="N101" i="14"/>
  <c r="B103" i="12"/>
  <c r="D952" i="4"/>
  <c r="D957" i="4" s="1"/>
  <c r="I954" i="4"/>
  <c r="I959" i="4" s="1"/>
  <c r="D103" i="14"/>
  <c r="Q899" i="4"/>
  <c r="Q904" i="4" s="1"/>
  <c r="Q101" i="15"/>
  <c r="S954" i="4"/>
  <c r="S959" i="4" s="1"/>
  <c r="H103" i="16"/>
  <c r="F1150" i="4"/>
  <c r="F1155" i="4" s="1"/>
  <c r="H86" i="13"/>
  <c r="L870" i="4"/>
  <c r="L875" i="4" s="1"/>
  <c r="P100" i="14"/>
  <c r="F954" i="4"/>
  <c r="F959" i="4" s="1"/>
  <c r="H103" i="13"/>
  <c r="E1150" i="4"/>
  <c r="E1155" i="4" s="1"/>
  <c r="D86" i="13"/>
  <c r="R1150" i="4"/>
  <c r="R1155" i="4" s="1"/>
  <c r="D86" i="16"/>
  <c r="S1151" i="4"/>
  <c r="S1156" i="4" s="1"/>
  <c r="I86" i="16"/>
  <c r="R898" i="4"/>
  <c r="R903" i="4" s="1"/>
  <c r="D101" i="16"/>
  <c r="I926" i="4"/>
  <c r="I931" i="4" s="1"/>
  <c r="D102" i="14"/>
  <c r="R953" i="4"/>
  <c r="R958" i="4" s="1"/>
  <c r="C103" i="16"/>
  <c r="O1148" i="4"/>
  <c r="O1153" i="4" s="1"/>
  <c r="F86" i="15"/>
  <c r="J897" i="4"/>
  <c r="J902" i="4" s="1"/>
  <c r="G101" i="14"/>
  <c r="J870" i="4"/>
  <c r="J875" i="4" s="1"/>
  <c r="H100" i="14"/>
  <c r="L102" i="13"/>
  <c r="G926" i="4"/>
  <c r="G931" i="4" s="1"/>
  <c r="P869" i="4"/>
  <c r="P874" i="4" s="1"/>
  <c r="K100" i="15"/>
  <c r="I1149" i="4"/>
  <c r="I1154" i="4" s="1"/>
  <c r="C86" i="14"/>
  <c r="L954" i="4"/>
  <c r="L959" i="4" s="1"/>
  <c r="P103" i="14"/>
  <c r="N869" i="4"/>
  <c r="N874" i="4" s="1"/>
  <c r="C100" i="15"/>
  <c r="H897" i="4"/>
  <c r="H902" i="4" s="1"/>
  <c r="O101" i="13"/>
  <c r="F868" i="4"/>
  <c r="F873" i="4" s="1"/>
  <c r="F100" i="13"/>
  <c r="M1149" i="4"/>
  <c r="M1154" i="4" s="1"/>
  <c r="S86" i="14"/>
  <c r="G955" i="4"/>
  <c r="G960" i="4" s="1"/>
  <c r="M103" i="13"/>
  <c r="L101" i="13"/>
  <c r="G898" i="4"/>
  <c r="G903" i="4" s="1"/>
  <c r="L897" i="4"/>
  <c r="L902" i="4" s="1"/>
  <c r="O101" i="14"/>
  <c r="L1150" i="4"/>
  <c r="L1155" i="4" s="1"/>
  <c r="P86" i="14"/>
  <c r="D953" i="4"/>
  <c r="D958" i="4" s="1"/>
  <c r="C103" i="12"/>
  <c r="I955" i="4"/>
  <c r="I960" i="4" s="1"/>
  <c r="E103" i="14"/>
  <c r="S955" i="4"/>
  <c r="S960" i="4" s="1"/>
  <c r="I103" i="16"/>
  <c r="F1151" i="4"/>
  <c r="F1156" i="4" s="1"/>
  <c r="I86" i="13"/>
  <c r="G1151" i="4"/>
  <c r="G1156" i="4" s="1"/>
  <c r="M86" i="13"/>
  <c r="L869" i="4"/>
  <c r="L874" i="4" s="1"/>
  <c r="O100" i="14"/>
  <c r="K101" i="15"/>
  <c r="P897" i="4"/>
  <c r="P902" i="4" s="1"/>
  <c r="F955" i="4"/>
  <c r="F960" i="4" s="1"/>
  <c r="I103" i="13"/>
  <c r="E1151" i="4"/>
  <c r="E1156" i="4" s="1"/>
  <c r="E86" i="13"/>
  <c r="R1151" i="4"/>
  <c r="R1156" i="4" s="1"/>
  <c r="E86" i="16"/>
  <c r="S1148" i="4"/>
  <c r="S1153" i="4" s="1"/>
  <c r="F86" i="16"/>
  <c r="E101" i="16"/>
  <c r="R899" i="4"/>
  <c r="R904" i="4" s="1"/>
  <c r="K1151" i="4"/>
  <c r="K1156" i="4" s="1"/>
  <c r="M86" i="14"/>
  <c r="I927" i="4"/>
  <c r="I932" i="4" s="1"/>
  <c r="E102" i="14"/>
  <c r="I101" i="14"/>
  <c r="J899" i="4"/>
  <c r="J904" i="4" s="1"/>
  <c r="J871" i="4"/>
  <c r="J876" i="4" s="1"/>
  <c r="I100" i="14"/>
  <c r="G924" i="4"/>
  <c r="G929" i="4" s="1"/>
  <c r="J102" i="13"/>
  <c r="K953" i="4"/>
  <c r="K958" i="4" s="1"/>
  <c r="K103" i="14"/>
  <c r="I1150" i="4"/>
  <c r="I1155" i="4" s="1"/>
  <c r="D86" i="14"/>
  <c r="D30" i="16"/>
  <c r="P30" i="15"/>
  <c r="O30" i="15"/>
  <c r="N30" i="15"/>
  <c r="U281" i="3"/>
  <c r="U282" i="3" s="1"/>
  <c r="W278" i="3"/>
  <c r="W280" i="3" s="1"/>
  <c r="V280" i="3"/>
  <c r="T283" i="3"/>
  <c r="T284" i="3" s="1"/>
  <c r="T286" i="3" s="1"/>
  <c r="T288" i="3" s="1"/>
  <c r="B96" i="12"/>
  <c r="B94" i="12"/>
  <c r="R1123" i="4"/>
  <c r="R1128" i="4" s="1"/>
  <c r="E96" i="16"/>
  <c r="L1121" i="4"/>
  <c r="L1126" i="4" s="1"/>
  <c r="O96" i="14"/>
  <c r="F1120" i="4"/>
  <c r="F1125" i="4" s="1"/>
  <c r="F96" i="13"/>
  <c r="K1121" i="4"/>
  <c r="K1126" i="4" s="1"/>
  <c r="K96" i="14"/>
  <c r="J1121" i="4"/>
  <c r="J1126" i="4" s="1"/>
  <c r="G96" i="14"/>
  <c r="M1120" i="4"/>
  <c r="M1125" i="4" s="1"/>
  <c r="R96" i="14"/>
  <c r="E1122" i="4"/>
  <c r="E1127" i="4" s="1"/>
  <c r="D96" i="13"/>
  <c r="R1122" i="4"/>
  <c r="R1127" i="4" s="1"/>
  <c r="D96" i="16"/>
  <c r="F1122" i="4"/>
  <c r="F1127" i="4" s="1"/>
  <c r="H96" i="13"/>
  <c r="Q1123" i="4"/>
  <c r="Q1128" i="4" s="1"/>
  <c r="Q96" i="15"/>
  <c r="K1120" i="4"/>
  <c r="K1125" i="4" s="1"/>
  <c r="J96" i="14"/>
  <c r="M1121" i="4"/>
  <c r="M1126" i="4" s="1"/>
  <c r="S96" i="14"/>
  <c r="P1122" i="4"/>
  <c r="P1127" i="4" s="1"/>
  <c r="L96" i="15"/>
  <c r="M1123" i="4"/>
  <c r="M1128" i="4" s="1"/>
  <c r="U96" i="14"/>
  <c r="I1123" i="4"/>
  <c r="I1128" i="4" s="1"/>
  <c r="E96" i="14"/>
  <c r="R1120" i="4"/>
  <c r="R1125" i="4" s="1"/>
  <c r="B96" i="16"/>
  <c r="H1122" i="4"/>
  <c r="H1127" i="4" s="1"/>
  <c r="P96" i="13"/>
  <c r="Q1121" i="4"/>
  <c r="Q1126" i="4" s="1"/>
  <c r="O96" i="15"/>
  <c r="C96" i="15"/>
  <c r="N1121" i="4"/>
  <c r="N1126" i="4" s="1"/>
  <c r="Q96" i="13"/>
  <c r="H1123" i="4"/>
  <c r="H1128" i="4" s="1"/>
  <c r="P1121" i="4"/>
  <c r="P1126" i="4" s="1"/>
  <c r="K96" i="15"/>
  <c r="H96" i="15"/>
  <c r="O1122" i="4"/>
  <c r="O1127" i="4" s="1"/>
  <c r="M1122" i="4"/>
  <c r="M1127" i="4" s="1"/>
  <c r="T96" i="14"/>
  <c r="I1122" i="4"/>
  <c r="I1127" i="4" s="1"/>
  <c r="D96" i="14"/>
  <c r="H1121" i="4"/>
  <c r="H1126" i="4" s="1"/>
  <c r="O96" i="13"/>
  <c r="L96" i="13"/>
  <c r="G1122" i="4"/>
  <c r="G1127" i="4" s="1"/>
  <c r="Q1120" i="4"/>
  <c r="Q1125" i="4" s="1"/>
  <c r="N96" i="15"/>
  <c r="N1120" i="4"/>
  <c r="N1125" i="4" s="1"/>
  <c r="J1122" i="4"/>
  <c r="J1127" i="4" s="1"/>
  <c r="H96" i="14"/>
  <c r="M96" i="15"/>
  <c r="P1123" i="4"/>
  <c r="P1128" i="4" s="1"/>
  <c r="Q1122" i="4"/>
  <c r="Q1127" i="4" s="1"/>
  <c r="P96" i="15"/>
  <c r="S1123" i="4"/>
  <c r="S1128" i="4" s="1"/>
  <c r="I96" i="16"/>
  <c r="P1120" i="4"/>
  <c r="P1125" i="4" s="1"/>
  <c r="J96" i="15"/>
  <c r="O1123" i="4"/>
  <c r="O1128" i="4" s="1"/>
  <c r="I96" i="15"/>
  <c r="I1121" i="4"/>
  <c r="I1126" i="4" s="1"/>
  <c r="C96" i="14"/>
  <c r="L1120" i="4"/>
  <c r="L1125" i="4" s="1"/>
  <c r="N96" i="14"/>
  <c r="H1120" i="4"/>
  <c r="H1125" i="4" s="1"/>
  <c r="N96" i="13"/>
  <c r="G1121" i="4"/>
  <c r="G1126" i="4" s="1"/>
  <c r="K96" i="13"/>
  <c r="N1122" i="4"/>
  <c r="N1127" i="4" s="1"/>
  <c r="D96" i="15"/>
  <c r="E1123" i="4"/>
  <c r="E1128" i="4" s="1"/>
  <c r="E96" i="13"/>
  <c r="F1123" i="4"/>
  <c r="F1128" i="4" s="1"/>
  <c r="I96" i="13"/>
  <c r="S1122" i="4"/>
  <c r="S1127" i="4" s="1"/>
  <c r="H96" i="16"/>
  <c r="O1121" i="4"/>
  <c r="O1126" i="4" s="1"/>
  <c r="G96" i="15"/>
  <c r="E1121" i="4"/>
  <c r="E1126" i="4" s="1"/>
  <c r="C96" i="13"/>
  <c r="I1120" i="4"/>
  <c r="I1125" i="4" s="1"/>
  <c r="B96" i="14"/>
  <c r="L1123" i="4"/>
  <c r="L1128" i="4" s="1"/>
  <c r="Q96" i="14"/>
  <c r="G1123" i="4"/>
  <c r="G1128" i="4" s="1"/>
  <c r="M96" i="13"/>
  <c r="K1123" i="4"/>
  <c r="K1128" i="4" s="1"/>
  <c r="M96" i="14"/>
  <c r="N1123" i="4"/>
  <c r="N1128" i="4" s="1"/>
  <c r="E96" i="15"/>
  <c r="S1120" i="4"/>
  <c r="S1125" i="4" s="1"/>
  <c r="F96" i="16"/>
  <c r="J1120" i="4"/>
  <c r="J1125" i="4" s="1"/>
  <c r="F96" i="14"/>
  <c r="R1121" i="4"/>
  <c r="R1126" i="4" s="1"/>
  <c r="C96" i="16"/>
  <c r="S1121" i="4"/>
  <c r="S1126" i="4" s="1"/>
  <c r="G96" i="16"/>
  <c r="J1123" i="4"/>
  <c r="J1128" i="4" s="1"/>
  <c r="I96" i="14"/>
  <c r="O1120" i="4"/>
  <c r="O1125" i="4" s="1"/>
  <c r="F96" i="15"/>
  <c r="B96" i="13"/>
  <c r="E1120" i="4"/>
  <c r="E1125" i="4" s="1"/>
  <c r="L1122" i="4"/>
  <c r="L1127" i="4" s="1"/>
  <c r="P96" i="14"/>
  <c r="G96" i="13"/>
  <c r="F1121" i="4"/>
  <c r="F1126" i="4" s="1"/>
  <c r="G1120" i="4"/>
  <c r="G1125" i="4" s="1"/>
  <c r="J96" i="13"/>
  <c r="K1122" i="4"/>
  <c r="K1127" i="4" s="1"/>
  <c r="L96" i="14"/>
  <c r="D1121" i="4"/>
  <c r="D1126" i="4" s="1"/>
  <c r="C96" i="12"/>
  <c r="D1122" i="4"/>
  <c r="D1127" i="4" s="1"/>
  <c r="D96" i="12"/>
  <c r="D1123" i="4"/>
  <c r="D1128" i="4" s="1"/>
  <c r="E96" i="12"/>
  <c r="H1092" i="4"/>
  <c r="H1097" i="4" s="1"/>
  <c r="N95" i="13"/>
  <c r="E1095" i="4"/>
  <c r="E1100" i="4" s="1"/>
  <c r="E95" i="13"/>
  <c r="I1094" i="4"/>
  <c r="I1099" i="4" s="1"/>
  <c r="D95" i="14"/>
  <c r="F1092" i="4"/>
  <c r="F1097" i="4" s="1"/>
  <c r="F95" i="13"/>
  <c r="J1095" i="4"/>
  <c r="J1100" i="4" s="1"/>
  <c r="I95" i="14"/>
  <c r="P1093" i="4"/>
  <c r="P1098" i="4" s="1"/>
  <c r="K95" i="15"/>
  <c r="N1095" i="4"/>
  <c r="N1100" i="4" s="1"/>
  <c r="E95" i="15"/>
  <c r="O1092" i="4"/>
  <c r="O1097" i="4" s="1"/>
  <c r="F95" i="15"/>
  <c r="K1093" i="4"/>
  <c r="K1098" i="4" s="1"/>
  <c r="K95" i="14"/>
  <c r="I1093" i="4"/>
  <c r="I1098" i="4" s="1"/>
  <c r="C95" i="14"/>
  <c r="G95" i="13"/>
  <c r="F1093" i="4"/>
  <c r="F1098" i="4" s="1"/>
  <c r="K1092" i="4"/>
  <c r="K1097" i="4" s="1"/>
  <c r="J95" i="14"/>
  <c r="J1094" i="4"/>
  <c r="J1099" i="4" s="1"/>
  <c r="H95" i="14"/>
  <c r="G1094" i="4"/>
  <c r="G1099" i="4" s="1"/>
  <c r="L95" i="13"/>
  <c r="P1092" i="4"/>
  <c r="P1097" i="4" s="1"/>
  <c r="J95" i="15"/>
  <c r="N1094" i="4"/>
  <c r="N1099" i="4" s="1"/>
  <c r="D95" i="15"/>
  <c r="K1095" i="4"/>
  <c r="K1100" i="4" s="1"/>
  <c r="M95" i="14"/>
  <c r="M1094" i="4"/>
  <c r="M1099" i="4" s="1"/>
  <c r="T95" i="14"/>
  <c r="I1092" i="4"/>
  <c r="I1097" i="4" s="1"/>
  <c r="B95" i="14"/>
  <c r="P1094" i="4"/>
  <c r="P1099" i="4" s="1"/>
  <c r="L95" i="15"/>
  <c r="L1095" i="4"/>
  <c r="L1100" i="4" s="1"/>
  <c r="Q95" i="14"/>
  <c r="Q95" i="13"/>
  <c r="H1095" i="4"/>
  <c r="H1100" i="4" s="1"/>
  <c r="J1093" i="4"/>
  <c r="J1098" i="4" s="1"/>
  <c r="G95" i="14"/>
  <c r="G1095" i="4"/>
  <c r="G1100" i="4" s="1"/>
  <c r="M95" i="13"/>
  <c r="C95" i="15"/>
  <c r="N1093" i="4"/>
  <c r="N1098" i="4" s="1"/>
  <c r="Q1095" i="4"/>
  <c r="Q1100" i="4" s="1"/>
  <c r="Q95" i="15"/>
  <c r="K1094" i="4"/>
  <c r="K1099" i="4" s="1"/>
  <c r="L95" i="14"/>
  <c r="R95" i="14"/>
  <c r="M1092" i="4"/>
  <c r="M1097" i="4" s="1"/>
  <c r="H1094" i="4"/>
  <c r="H1099" i="4" s="1"/>
  <c r="P95" i="13"/>
  <c r="G1093" i="4"/>
  <c r="G1098" i="4" s="1"/>
  <c r="K95" i="13"/>
  <c r="R1092" i="4"/>
  <c r="R1097" i="4" s="1"/>
  <c r="B95" i="16"/>
  <c r="N1092" i="4"/>
  <c r="N1097" i="4" s="1"/>
  <c r="Q1094" i="4"/>
  <c r="Q1099" i="4" s="1"/>
  <c r="P95" i="15"/>
  <c r="M1095" i="4"/>
  <c r="M1100" i="4" s="1"/>
  <c r="U95" i="14"/>
  <c r="S1092" i="4"/>
  <c r="S1097" i="4" s="1"/>
  <c r="F95" i="16"/>
  <c r="F1095" i="4"/>
  <c r="F1100" i="4" s="1"/>
  <c r="I95" i="13"/>
  <c r="J1092" i="4"/>
  <c r="J1097" i="4" s="1"/>
  <c r="F95" i="14"/>
  <c r="O1093" i="4"/>
  <c r="O1098" i="4" s="1"/>
  <c r="G95" i="15"/>
  <c r="H1093" i="4"/>
  <c r="H1098" i="4" s="1"/>
  <c r="O95" i="13"/>
  <c r="E1094" i="4"/>
  <c r="E1099" i="4" s="1"/>
  <c r="D95" i="13"/>
  <c r="G1092" i="4"/>
  <c r="G1097" i="4" s="1"/>
  <c r="J95" i="13"/>
  <c r="R1095" i="4"/>
  <c r="R1100" i="4" s="1"/>
  <c r="E95" i="16"/>
  <c r="Q1093" i="4"/>
  <c r="Q1098" i="4" s="1"/>
  <c r="O95" i="15"/>
  <c r="L1094" i="4"/>
  <c r="L1099" i="4" s="1"/>
  <c r="P95" i="14"/>
  <c r="M1093" i="4"/>
  <c r="M1098" i="4" s="1"/>
  <c r="S95" i="14"/>
  <c r="S1093" i="4"/>
  <c r="S1098" i="4" s="1"/>
  <c r="G95" i="16"/>
  <c r="S1095" i="4"/>
  <c r="S1100" i="4" s="1"/>
  <c r="I95" i="16"/>
  <c r="E1093" i="4"/>
  <c r="E1098" i="4" s="1"/>
  <c r="C95" i="13"/>
  <c r="R1094" i="4"/>
  <c r="R1099" i="4" s="1"/>
  <c r="D95" i="16"/>
  <c r="O1095" i="4"/>
  <c r="O1100" i="4" s="1"/>
  <c r="I95" i="15"/>
  <c r="Q1092" i="4"/>
  <c r="Q1097" i="4" s="1"/>
  <c r="N95" i="15"/>
  <c r="L1093" i="4"/>
  <c r="L1098" i="4" s="1"/>
  <c r="O95" i="14"/>
  <c r="F1094" i="4"/>
  <c r="F1099" i="4" s="1"/>
  <c r="H95" i="13"/>
  <c r="E1092" i="4"/>
  <c r="E1097" i="4" s="1"/>
  <c r="B95" i="13"/>
  <c r="P1095" i="4"/>
  <c r="P1100" i="4" s="1"/>
  <c r="M95" i="15"/>
  <c r="R1093" i="4"/>
  <c r="R1098" i="4" s="1"/>
  <c r="C95" i="16"/>
  <c r="O1094" i="4"/>
  <c r="O1099" i="4" s="1"/>
  <c r="H95" i="15"/>
  <c r="L1092" i="4"/>
  <c r="L1097" i="4" s="1"/>
  <c r="N95" i="14"/>
  <c r="I1095" i="4"/>
  <c r="I1100" i="4" s="1"/>
  <c r="E95" i="14"/>
  <c r="S1094" i="4"/>
  <c r="S1099" i="4" s="1"/>
  <c r="H95" i="16"/>
  <c r="D1093" i="4"/>
  <c r="D1098" i="4" s="1"/>
  <c r="C95" i="12"/>
  <c r="D1094" i="4"/>
  <c r="D1099" i="4" s="1"/>
  <c r="D95" i="12"/>
  <c r="D1095" i="4"/>
  <c r="D1100" i="4" s="1"/>
  <c r="E95" i="12"/>
  <c r="K1066" i="4"/>
  <c r="K1071" i="4" s="1"/>
  <c r="L94" i="14"/>
  <c r="F94" i="16"/>
  <c r="S1064" i="4"/>
  <c r="S1069" i="4" s="1"/>
  <c r="I94" i="13"/>
  <c r="F1067" i="4"/>
  <c r="F1072" i="4" s="1"/>
  <c r="S1067" i="4"/>
  <c r="S1072" i="4" s="1"/>
  <c r="I94" i="16"/>
  <c r="S1066" i="4"/>
  <c r="S1071" i="4" s="1"/>
  <c r="H94" i="16"/>
  <c r="Q1067" i="4"/>
  <c r="Q1072" i="4" s="1"/>
  <c r="Q94" i="15"/>
  <c r="R1064" i="4"/>
  <c r="R1069" i="4" s="1"/>
  <c r="B94" i="16"/>
  <c r="G1066" i="4"/>
  <c r="G1071" i="4" s="1"/>
  <c r="L94" i="13"/>
  <c r="B94" i="13"/>
  <c r="E1064" i="4"/>
  <c r="E1069" i="4" s="1"/>
  <c r="Q94" i="13"/>
  <c r="H1067" i="4"/>
  <c r="H1072" i="4" s="1"/>
  <c r="K1065" i="4"/>
  <c r="K1070" i="4" s="1"/>
  <c r="K94" i="14"/>
  <c r="R1066" i="4"/>
  <c r="R1071" i="4" s="1"/>
  <c r="D94" i="16"/>
  <c r="I1064" i="4"/>
  <c r="I1069" i="4" s="1"/>
  <c r="B94" i="14"/>
  <c r="G1067" i="4"/>
  <c r="G1072" i="4" s="1"/>
  <c r="M94" i="13"/>
  <c r="J1067" i="4"/>
  <c r="J1072" i="4" s="1"/>
  <c r="I94" i="14"/>
  <c r="S1065" i="4"/>
  <c r="S1070" i="4" s="1"/>
  <c r="G94" i="16"/>
  <c r="Q1066" i="4"/>
  <c r="Q1071" i="4" s="1"/>
  <c r="P94" i="15"/>
  <c r="G1065" i="4"/>
  <c r="G1070" i="4" s="1"/>
  <c r="K94" i="13"/>
  <c r="M94" i="15"/>
  <c r="P1067" i="4"/>
  <c r="P1072" i="4" s="1"/>
  <c r="E1067" i="4"/>
  <c r="E1072" i="4" s="1"/>
  <c r="E94" i="13"/>
  <c r="H1066" i="4"/>
  <c r="H1071" i="4" s="1"/>
  <c r="P94" i="13"/>
  <c r="E1066" i="4"/>
  <c r="E1071" i="4" s="1"/>
  <c r="D94" i="13"/>
  <c r="E1065" i="4"/>
  <c r="E1070" i="4" s="1"/>
  <c r="C94" i="13"/>
  <c r="J1066" i="4"/>
  <c r="J1071" i="4" s="1"/>
  <c r="H94" i="14"/>
  <c r="Q1065" i="4"/>
  <c r="Q1070" i="4" s="1"/>
  <c r="O94" i="15"/>
  <c r="L1064" i="4"/>
  <c r="L1069" i="4" s="1"/>
  <c r="N94" i="14"/>
  <c r="G1064" i="4"/>
  <c r="G1069" i="4" s="1"/>
  <c r="J94" i="13"/>
  <c r="P1066" i="4"/>
  <c r="P1071" i="4" s="1"/>
  <c r="L94" i="15"/>
  <c r="H1065" i="4"/>
  <c r="H1070" i="4" s="1"/>
  <c r="O94" i="13"/>
  <c r="M1065" i="4"/>
  <c r="M1070" i="4" s="1"/>
  <c r="S94" i="14"/>
  <c r="I1065" i="4"/>
  <c r="I1070" i="4" s="1"/>
  <c r="C94" i="14"/>
  <c r="O1064" i="4"/>
  <c r="O1069" i="4" s="1"/>
  <c r="F94" i="15"/>
  <c r="R1065" i="4"/>
  <c r="R1070" i="4" s="1"/>
  <c r="C94" i="16"/>
  <c r="J1065" i="4"/>
  <c r="J1070" i="4" s="1"/>
  <c r="G94" i="14"/>
  <c r="N1066" i="4"/>
  <c r="N1071" i="4" s="1"/>
  <c r="D94" i="15"/>
  <c r="Q1064" i="4"/>
  <c r="Q1069" i="4" s="1"/>
  <c r="N94" i="15"/>
  <c r="L1067" i="4"/>
  <c r="L1072" i="4" s="1"/>
  <c r="Q94" i="14"/>
  <c r="P1065" i="4"/>
  <c r="P1070" i="4" s="1"/>
  <c r="K94" i="15"/>
  <c r="O1067" i="4"/>
  <c r="O1072" i="4" s="1"/>
  <c r="I94" i="15"/>
  <c r="H1064" i="4"/>
  <c r="H1069" i="4" s="1"/>
  <c r="N94" i="13"/>
  <c r="M1064" i="4"/>
  <c r="M1069" i="4" s="1"/>
  <c r="R94" i="14"/>
  <c r="E94" i="15"/>
  <c r="N1067" i="4"/>
  <c r="N1072" i="4" s="1"/>
  <c r="I1067" i="4"/>
  <c r="I1072" i="4" s="1"/>
  <c r="E94" i="14"/>
  <c r="J1064" i="4"/>
  <c r="J1069" i="4" s="1"/>
  <c r="F94" i="14"/>
  <c r="N1065" i="4"/>
  <c r="N1070" i="4" s="1"/>
  <c r="C94" i="15"/>
  <c r="O94" i="14"/>
  <c r="L1065" i="4"/>
  <c r="L1070" i="4" s="1"/>
  <c r="F1066" i="4"/>
  <c r="F1071" i="4" s="1"/>
  <c r="H94" i="13"/>
  <c r="P1064" i="4"/>
  <c r="P1069" i="4" s="1"/>
  <c r="J94" i="15"/>
  <c r="H94" i="15"/>
  <c r="O1066" i="4"/>
  <c r="O1071" i="4" s="1"/>
  <c r="M1066" i="4"/>
  <c r="M1071" i="4" s="1"/>
  <c r="T94" i="14"/>
  <c r="K1067" i="4"/>
  <c r="K1072" i="4" s="1"/>
  <c r="M94" i="14"/>
  <c r="F1064" i="4"/>
  <c r="F1069" i="4" s="1"/>
  <c r="F94" i="13"/>
  <c r="I1066" i="4"/>
  <c r="I1071" i="4" s="1"/>
  <c r="D94" i="14"/>
  <c r="N1064" i="4"/>
  <c r="N1069" i="4" s="1"/>
  <c r="R1067" i="4"/>
  <c r="R1072" i="4" s="1"/>
  <c r="E94" i="16"/>
  <c r="L1066" i="4"/>
  <c r="L1071" i="4" s="1"/>
  <c r="P94" i="14"/>
  <c r="G94" i="13"/>
  <c r="F1065" i="4"/>
  <c r="F1070" i="4" s="1"/>
  <c r="O1065" i="4"/>
  <c r="O1070" i="4" s="1"/>
  <c r="G94" i="15"/>
  <c r="K1064" i="4"/>
  <c r="K1069" i="4" s="1"/>
  <c r="J94" i="14"/>
  <c r="M1067" i="4"/>
  <c r="M1072" i="4" s="1"/>
  <c r="U94" i="14"/>
  <c r="D1066" i="4"/>
  <c r="D1071" i="4" s="1"/>
  <c r="D94" i="12"/>
  <c r="D1067" i="4"/>
  <c r="D1072" i="4" s="1"/>
  <c r="E94" i="12"/>
  <c r="D1065" i="4"/>
  <c r="D1070" i="4" s="1"/>
  <c r="C94" i="12"/>
  <c r="I93" i="13"/>
  <c r="M93" i="14"/>
  <c r="H93" i="13"/>
  <c r="E93" i="14"/>
  <c r="E93" i="13"/>
  <c r="P93" i="15"/>
  <c r="H93" i="15"/>
  <c r="S93" i="14"/>
  <c r="D93" i="13"/>
  <c r="B93" i="14"/>
  <c r="L93" i="13"/>
  <c r="J93" i="14"/>
  <c r="K93" i="15"/>
  <c r="R93" i="14"/>
  <c r="C93" i="16"/>
  <c r="U93" i="14"/>
  <c r="N93" i="15"/>
  <c r="M93" i="15"/>
  <c r="F93" i="15"/>
  <c r="C93" i="13"/>
  <c r="Q93" i="13"/>
  <c r="D93" i="14"/>
  <c r="K93" i="13"/>
  <c r="L93" i="15"/>
  <c r="H93" i="16"/>
  <c r="F93" i="14"/>
  <c r="Q93" i="15"/>
  <c r="B93" i="13"/>
  <c r="B93" i="16"/>
  <c r="T93" i="14"/>
  <c r="G93" i="15"/>
  <c r="I93" i="14"/>
  <c r="P93" i="13"/>
  <c r="J93" i="13"/>
  <c r="Q93" i="14"/>
  <c r="J93" i="15"/>
  <c r="G93" i="16"/>
  <c r="C93" i="14"/>
  <c r="G93" i="13"/>
  <c r="I93" i="15"/>
  <c r="G93" i="14"/>
  <c r="N93" i="13"/>
  <c r="D93" i="16"/>
  <c r="M93" i="13"/>
  <c r="P93" i="14"/>
  <c r="F93" i="16"/>
  <c r="N93" i="14"/>
  <c r="E93" i="15"/>
  <c r="L93" i="14"/>
  <c r="D93" i="15"/>
  <c r="K93" i="14"/>
  <c r="F93" i="13"/>
  <c r="H93" i="14"/>
  <c r="C93" i="15"/>
  <c r="O93" i="13"/>
  <c r="E93" i="16"/>
  <c r="O93" i="14"/>
  <c r="O93" i="15"/>
  <c r="I93" i="16"/>
  <c r="B93" i="12"/>
  <c r="I92" i="15"/>
  <c r="H92" i="14"/>
  <c r="F92" i="14"/>
  <c r="L92" i="15"/>
  <c r="J92" i="15"/>
  <c r="E92" i="13"/>
  <c r="P92" i="13"/>
  <c r="N92" i="13"/>
  <c r="B92" i="13"/>
  <c r="D92" i="13"/>
  <c r="U92" i="14"/>
  <c r="P92" i="15"/>
  <c r="N92" i="15"/>
  <c r="M92" i="13"/>
  <c r="E92" i="16"/>
  <c r="E92" i="15"/>
  <c r="F92" i="13"/>
  <c r="H92" i="13"/>
  <c r="T92" i="14"/>
  <c r="R92" i="14"/>
  <c r="E92" i="14"/>
  <c r="Q92" i="15"/>
  <c r="M92" i="14"/>
  <c r="I92" i="16"/>
  <c r="Q92" i="14"/>
  <c r="I92" i="13"/>
  <c r="D92" i="15"/>
  <c r="H92" i="15"/>
  <c r="F92" i="15"/>
  <c r="D92" i="14"/>
  <c r="B92" i="14"/>
  <c r="D92" i="16"/>
  <c r="B92" i="16"/>
  <c r="Q92" i="13"/>
  <c r="L92" i="14"/>
  <c r="J92" i="14"/>
  <c r="M92" i="15"/>
  <c r="H92" i="16"/>
  <c r="F92" i="16"/>
  <c r="L92" i="13"/>
  <c r="J92" i="13"/>
  <c r="I92" i="14"/>
  <c r="P92" i="14"/>
  <c r="N92" i="14"/>
  <c r="D1009" i="4"/>
  <c r="D1014" i="4" s="1"/>
  <c r="E92" i="12"/>
  <c r="D1008" i="4"/>
  <c r="D1013" i="4" s="1"/>
  <c r="D92" i="12"/>
  <c r="B92" i="12"/>
  <c r="F91" i="16"/>
  <c r="K91" i="15"/>
  <c r="L91" i="13"/>
  <c r="F91" i="14"/>
  <c r="S91" i="14"/>
  <c r="B91" i="14"/>
  <c r="G91" i="13"/>
  <c r="J91" i="15"/>
  <c r="N91" i="14"/>
  <c r="E91" i="15"/>
  <c r="M91" i="13"/>
  <c r="U91" i="14"/>
  <c r="H91" i="13"/>
  <c r="B91" i="13"/>
  <c r="J91" i="13"/>
  <c r="I91" i="13"/>
  <c r="Q91" i="13"/>
  <c r="L91" i="14"/>
  <c r="E91" i="13"/>
  <c r="P91" i="15"/>
  <c r="O91" i="14"/>
  <c r="O91" i="13"/>
  <c r="C91" i="16"/>
  <c r="H91" i="15"/>
  <c r="F91" i="13"/>
  <c r="E91" i="16"/>
  <c r="K91" i="14"/>
  <c r="I91" i="16"/>
  <c r="D91" i="13"/>
  <c r="O91" i="15"/>
  <c r="N91" i="13"/>
  <c r="I91" i="14"/>
  <c r="B91" i="16"/>
  <c r="F91" i="15"/>
  <c r="Q91" i="14"/>
  <c r="T91" i="14"/>
  <c r="C91" i="13"/>
  <c r="K91" i="13"/>
  <c r="E91" i="14"/>
  <c r="J91" i="14"/>
  <c r="H91" i="16"/>
  <c r="Q91" i="15"/>
  <c r="D91" i="15"/>
  <c r="P91" i="13"/>
  <c r="H91" i="14"/>
  <c r="G91" i="15"/>
  <c r="C91" i="14"/>
  <c r="L91" i="15"/>
  <c r="M91" i="14"/>
  <c r="P91" i="14"/>
  <c r="D91" i="16"/>
  <c r="D91" i="14"/>
  <c r="G91" i="16"/>
  <c r="M91" i="15"/>
  <c r="N91" i="15"/>
  <c r="C91" i="15"/>
  <c r="G91" i="14"/>
  <c r="R91" i="14"/>
  <c r="I91" i="15"/>
  <c r="B91" i="12"/>
  <c r="T119" i="15"/>
  <c r="W21" i="23"/>
  <c r="W26" i="23" s="1"/>
  <c r="T296" i="3" l="1"/>
  <c r="T300" i="3" s="1"/>
  <c r="T294" i="3"/>
  <c r="T298" i="3" s="1"/>
  <c r="T293" i="3"/>
  <c r="T297" i="3" s="1"/>
  <c r="T295" i="3"/>
  <c r="T299" i="3" s="1"/>
  <c r="C30" i="16"/>
  <c r="B30" i="16"/>
  <c r="E30" i="16"/>
  <c r="V281" i="3"/>
  <c r="V282" i="3" s="1"/>
  <c r="W281" i="3"/>
  <c r="W282" i="3" s="1"/>
  <c r="U283" i="3"/>
  <c r="U284" i="3" s="1"/>
  <c r="U286" i="3" s="1"/>
  <c r="U288" i="3" s="1"/>
  <c r="U119" i="15"/>
  <c r="W22" i="23"/>
  <c r="W27" i="23" s="1"/>
  <c r="V34" i="4"/>
  <c r="V35" i="4" s="1"/>
  <c r="U296" i="3" l="1"/>
  <c r="U300" i="3" s="1"/>
  <c r="U294" i="3"/>
  <c r="U298" i="3" s="1"/>
  <c r="U295" i="3"/>
  <c r="U299" i="3" s="1"/>
  <c r="U293" i="3"/>
  <c r="U297" i="3" s="1"/>
  <c r="I30" i="16"/>
  <c r="E31" i="17"/>
  <c r="H30" i="16"/>
  <c r="G30" i="16"/>
  <c r="F30" i="16"/>
  <c r="W283" i="3"/>
  <c r="W284" i="3" s="1"/>
  <c r="W286" i="3" s="1"/>
  <c r="W288" i="3" s="1"/>
  <c r="V283" i="3"/>
  <c r="V284" i="3" s="1"/>
  <c r="V286" i="3" s="1"/>
  <c r="V288" i="3" s="1"/>
  <c r="V296" i="3" l="1"/>
  <c r="V300" i="3" s="1"/>
  <c r="V294" i="3"/>
  <c r="V298" i="3" s="1"/>
  <c r="V295" i="3"/>
  <c r="V299" i="3" s="1"/>
  <c r="V293" i="3"/>
  <c r="V297" i="3" s="1"/>
  <c r="W296" i="3"/>
  <c r="W300" i="3" s="1"/>
  <c r="W294" i="3"/>
  <c r="W298" i="3" s="1"/>
  <c r="W295" i="3"/>
  <c r="W299" i="3" s="1"/>
  <c r="W293" i="3"/>
  <c r="W297" i="3" s="1"/>
  <c r="C31" i="17"/>
  <c r="B31" i="17"/>
  <c r="G31" i="17"/>
  <c r="D31" i="17"/>
  <c r="R30" i="15" l="1"/>
  <c r="H31" i="17"/>
  <c r="L31" i="17"/>
  <c r="F31" i="17"/>
  <c r="I31" i="17"/>
  <c r="T30" i="15" l="1"/>
  <c r="K31" i="17"/>
  <c r="S30" i="15"/>
  <c r="U30" i="15"/>
  <c r="J31" i="17"/>
  <c r="M31" i="17"/>
  <c r="V828" i="4"/>
  <c r="V829" i="4" s="1"/>
  <c r="U828" i="4"/>
  <c r="U829" i="4" s="1"/>
  <c r="T828" i="4"/>
  <c r="T829" i="4" s="1"/>
  <c r="S828" i="4"/>
  <c r="S829" i="4" s="1"/>
  <c r="R828" i="4"/>
  <c r="R829" i="4" s="1"/>
  <c r="Q828" i="4"/>
  <c r="Q829" i="4" s="1"/>
  <c r="P828" i="4"/>
  <c r="P829" i="4" s="1"/>
  <c r="O828" i="4"/>
  <c r="O829" i="4" s="1"/>
  <c r="N828" i="4"/>
  <c r="N829" i="4" s="1"/>
  <c r="M828" i="4"/>
  <c r="M829" i="4" s="1"/>
  <c r="L828" i="4"/>
  <c r="L829" i="4" s="1"/>
  <c r="K828" i="4"/>
  <c r="K829" i="4" s="1"/>
  <c r="J828" i="4"/>
  <c r="J829" i="4" s="1"/>
  <c r="I828" i="4"/>
  <c r="I829" i="4" s="1"/>
  <c r="H828" i="4"/>
  <c r="H829" i="4" s="1"/>
  <c r="G828" i="4"/>
  <c r="G829" i="4" s="1"/>
  <c r="F828" i="4"/>
  <c r="F829" i="4" s="1"/>
  <c r="E828" i="4"/>
  <c r="E829" i="4" s="1"/>
  <c r="D828" i="4"/>
  <c r="D829" i="4" s="1"/>
  <c r="V800" i="4"/>
  <c r="V801" i="4" s="1"/>
  <c r="U800" i="4"/>
  <c r="U801" i="4" s="1"/>
  <c r="T800" i="4"/>
  <c r="T801" i="4" s="1"/>
  <c r="S800" i="4"/>
  <c r="S801" i="4" s="1"/>
  <c r="R800" i="4"/>
  <c r="R801" i="4" s="1"/>
  <c r="Q800" i="4"/>
  <c r="Q801" i="4" s="1"/>
  <c r="P800" i="4"/>
  <c r="P801" i="4" s="1"/>
  <c r="O800" i="4"/>
  <c r="O801" i="4" s="1"/>
  <c r="N800" i="4"/>
  <c r="N801" i="4" s="1"/>
  <c r="M800" i="4"/>
  <c r="M801" i="4" s="1"/>
  <c r="L800" i="4"/>
  <c r="L801" i="4" s="1"/>
  <c r="K800" i="4"/>
  <c r="K801" i="4" s="1"/>
  <c r="J800" i="4"/>
  <c r="J801" i="4" s="1"/>
  <c r="I800" i="4"/>
  <c r="I801" i="4" s="1"/>
  <c r="H800" i="4"/>
  <c r="H801" i="4" s="1"/>
  <c r="G800" i="4"/>
  <c r="G801" i="4" s="1"/>
  <c r="F800" i="4"/>
  <c r="F801" i="4" s="1"/>
  <c r="E800" i="4"/>
  <c r="E801" i="4" s="1"/>
  <c r="D800" i="4"/>
  <c r="D801" i="4" s="1"/>
  <c r="T55" i="3"/>
  <c r="T56" i="3" s="1"/>
  <c r="T803" i="4" l="1"/>
  <c r="T805" i="4" s="1"/>
  <c r="U803" i="4"/>
  <c r="U805" i="4" s="1"/>
  <c r="T831" i="4"/>
  <c r="T833" i="4" s="1"/>
  <c r="U831" i="4"/>
  <c r="U833" i="4" s="1"/>
  <c r="V831" i="4"/>
  <c r="V833" i="4" s="1"/>
  <c r="V803" i="4"/>
  <c r="V805" i="4" s="1"/>
  <c r="Q831" i="4"/>
  <c r="Q833" i="4" s="1"/>
  <c r="S831" i="4"/>
  <c r="S833" i="4" s="1"/>
  <c r="P831" i="4"/>
  <c r="P833" i="4" s="1"/>
  <c r="J831" i="4"/>
  <c r="J833" i="4" s="1"/>
  <c r="D831" i="4"/>
  <c r="D833" i="4" s="1"/>
  <c r="L831" i="4"/>
  <c r="L833" i="4" s="1"/>
  <c r="I831" i="4"/>
  <c r="I833" i="4" s="1"/>
  <c r="K831" i="4"/>
  <c r="K833" i="4" s="1"/>
  <c r="E831" i="4"/>
  <c r="E833" i="4" s="1"/>
  <c r="M831" i="4"/>
  <c r="M833" i="4" s="1"/>
  <c r="H831" i="4"/>
  <c r="H833" i="4" s="1"/>
  <c r="R831" i="4"/>
  <c r="R833" i="4" s="1"/>
  <c r="F831" i="4"/>
  <c r="F833" i="4" s="1"/>
  <c r="N831" i="4"/>
  <c r="N833" i="4" s="1"/>
  <c r="G831" i="4"/>
  <c r="G833" i="4" s="1"/>
  <c r="O831" i="4"/>
  <c r="O833" i="4" s="1"/>
  <c r="S803" i="4"/>
  <c r="L803" i="4"/>
  <c r="K803" i="4"/>
  <c r="M803" i="4"/>
  <c r="N803" i="4"/>
  <c r="E803" i="4"/>
  <c r="O803" i="4"/>
  <c r="R803" i="4"/>
  <c r="G803" i="4"/>
  <c r="H803" i="4"/>
  <c r="P803" i="4"/>
  <c r="J803" i="4"/>
  <c r="F803" i="4"/>
  <c r="I803" i="4"/>
  <c r="Q803" i="4"/>
  <c r="D803" i="4"/>
  <c r="T57" i="3"/>
  <c r="J1258" i="4" l="1"/>
  <c r="J1285" i="4"/>
  <c r="J1260" i="4"/>
  <c r="J1265" i="4" s="1"/>
  <c r="J1338" i="4"/>
  <c r="J1341" i="4"/>
  <c r="J1346" i="4" s="1"/>
  <c r="J1422" i="4"/>
  <c r="J1427" i="4" s="1"/>
  <c r="J1475" i="4"/>
  <c r="J1420" i="4"/>
  <c r="J1395" i="4"/>
  <c r="J1400" i="4" s="1"/>
  <c r="J1449" i="4"/>
  <c r="J1454" i="4" s="1"/>
  <c r="J1286" i="4"/>
  <c r="J1394" i="4"/>
  <c r="J1473" i="4"/>
  <c r="J1340" i="4"/>
  <c r="J1446" i="4"/>
  <c r="J1287" i="4"/>
  <c r="J1292" i="4" s="1"/>
  <c r="J1503" i="4"/>
  <c r="J1508" i="4" s="1"/>
  <c r="J1501" i="4"/>
  <c r="J1312" i="4"/>
  <c r="J1314" i="4"/>
  <c r="J1319" i="4" s="1"/>
  <c r="J1367" i="4"/>
  <c r="J1474" i="4"/>
  <c r="J1447" i="4"/>
  <c r="J1366" i="4"/>
  <c r="J1421" i="4"/>
  <c r="J1392" i="4"/>
  <c r="J1393" i="4"/>
  <c r="J1476" i="4"/>
  <c r="J1481" i="4" s="1"/>
  <c r="J1365" i="4"/>
  <c r="J1339" i="4"/>
  <c r="J1284" i="4"/>
  <c r="J1500" i="4"/>
  <c r="J1419" i="4"/>
  <c r="J1257" i="4"/>
  <c r="J1368" i="4"/>
  <c r="J1373" i="4" s="1"/>
  <c r="J1448" i="4"/>
  <c r="J1259" i="4"/>
  <c r="J1311" i="4"/>
  <c r="J1502" i="4"/>
  <c r="J1313" i="4"/>
  <c r="J1310" i="4"/>
  <c r="J1283" i="4"/>
  <c r="J1391" i="4"/>
  <c r="J1472" i="4"/>
  <c r="J1499" i="4"/>
  <c r="J1337" i="4"/>
  <c r="J1445" i="4"/>
  <c r="J1364" i="4"/>
  <c r="J1418" i="4"/>
  <c r="J1256" i="4"/>
  <c r="P805" i="4"/>
  <c r="N1259" i="4"/>
  <c r="N1313" i="4"/>
  <c r="N1446" i="4"/>
  <c r="N1451" i="4" s="1"/>
  <c r="N1284" i="4"/>
  <c r="N1289" i="4" s="1"/>
  <c r="N1501" i="4"/>
  <c r="N1312" i="4"/>
  <c r="N1500" i="4"/>
  <c r="N1505" i="4" s="1"/>
  <c r="N1419" i="4"/>
  <c r="N1424" i="4" s="1"/>
  <c r="N1368" i="4"/>
  <c r="N1373" i="4" s="1"/>
  <c r="N1341" i="4"/>
  <c r="N1346" i="4" s="1"/>
  <c r="N1258" i="4"/>
  <c r="N1474" i="4"/>
  <c r="N1475" i="4"/>
  <c r="N1421" i="4"/>
  <c r="N1502" i="4"/>
  <c r="N1367" i="4"/>
  <c r="N1287" i="4"/>
  <c r="N1292" i="4" s="1"/>
  <c r="N1422" i="4"/>
  <c r="N1427" i="4" s="1"/>
  <c r="N1393" i="4"/>
  <c r="N1366" i="4"/>
  <c r="N1340" i="4"/>
  <c r="N1392" i="4"/>
  <c r="N1339" i="4"/>
  <c r="N1285" i="4"/>
  <c r="N1286" i="4"/>
  <c r="N1449" i="4"/>
  <c r="N1454" i="4" s="1"/>
  <c r="N1447" i="4"/>
  <c r="N1473" i="4"/>
  <c r="N1478" i="4" s="1"/>
  <c r="N1420" i="4"/>
  <c r="N1311" i="4"/>
  <c r="N1316" i="4" s="1"/>
  <c r="N1448" i="4"/>
  <c r="N1476" i="4"/>
  <c r="N1481" i="4" s="1"/>
  <c r="N1257" i="4"/>
  <c r="N1395" i="4"/>
  <c r="N1400" i="4" s="1"/>
  <c r="N1260" i="4"/>
  <c r="N1265" i="4" s="1"/>
  <c r="N1365" i="4"/>
  <c r="N1370" i="4" s="1"/>
  <c r="N1394" i="4"/>
  <c r="N1338" i="4"/>
  <c r="N1343" i="4" s="1"/>
  <c r="N1314" i="4"/>
  <c r="N1319" i="4" s="1"/>
  <c r="N1503" i="4"/>
  <c r="N1508" i="4" s="1"/>
  <c r="N1472" i="4"/>
  <c r="N1391" i="4"/>
  <c r="N1283" i="4"/>
  <c r="N1445" i="4"/>
  <c r="N1310" i="4"/>
  <c r="N1418" i="4"/>
  <c r="N1364" i="4"/>
  <c r="N1256" i="4"/>
  <c r="N1337" i="4"/>
  <c r="N1499" i="4"/>
  <c r="Q1367" i="4"/>
  <c r="Q1393" i="4"/>
  <c r="Q1368" i="4"/>
  <c r="Q1373" i="4" s="1"/>
  <c r="Q1421" i="4"/>
  <c r="Q1502" i="4"/>
  <c r="Q1507" i="4" s="1"/>
  <c r="Q1260" i="4"/>
  <c r="Q1265" i="4" s="1"/>
  <c r="Q1287" i="4"/>
  <c r="Q1292" i="4" s="1"/>
  <c r="Q1420" i="4"/>
  <c r="Q1422" i="4"/>
  <c r="Q1427" i="4" s="1"/>
  <c r="Q1501" i="4"/>
  <c r="Q1476" i="4"/>
  <c r="Q1481" i="4" s="1"/>
  <c r="Q1341" i="4"/>
  <c r="Q1346" i="4" s="1"/>
  <c r="Q1338" i="4"/>
  <c r="Q1503" i="4"/>
  <c r="Q1508" i="4" s="1"/>
  <c r="Q1258" i="4"/>
  <c r="Q1259" i="4"/>
  <c r="Q1264" i="4" s="1"/>
  <c r="Q1339" i="4"/>
  <c r="Q1312" i="4"/>
  <c r="Q1313" i="4"/>
  <c r="Q1318" i="4" s="1"/>
  <c r="Q1366" i="4"/>
  <c r="Q1449" i="4"/>
  <c r="Q1454" i="4" s="1"/>
  <c r="Q1340" i="4"/>
  <c r="Q1345" i="4" s="1"/>
  <c r="Q1500" i="4"/>
  <c r="Q1394" i="4"/>
  <c r="Q1419" i="4"/>
  <c r="Q1365" i="4"/>
  <c r="Q1475" i="4"/>
  <c r="Q1448" i="4"/>
  <c r="Q1453" i="4" s="1"/>
  <c r="Q1286" i="4"/>
  <c r="Q1291" i="4" s="1"/>
  <c r="Q1392" i="4"/>
  <c r="Q1285" i="4"/>
  <c r="Q1257" i="4"/>
  <c r="Q1474" i="4"/>
  <c r="Q1314" i="4"/>
  <c r="Q1319" i="4" s="1"/>
  <c r="Q1311" i="4"/>
  <c r="Q1395" i="4"/>
  <c r="Q1400" i="4" s="1"/>
  <c r="Q1473" i="4"/>
  <c r="Q1447" i="4"/>
  <c r="Q1446" i="4"/>
  <c r="Q1284" i="4"/>
  <c r="Q1256" i="4"/>
  <c r="Q1283" i="4"/>
  <c r="Q1445" i="4"/>
  <c r="Q1391" i="4"/>
  <c r="Q1472" i="4"/>
  <c r="Q1499" i="4"/>
  <c r="Q1337" i="4"/>
  <c r="Q1364" i="4"/>
  <c r="Q1310" i="4"/>
  <c r="Q1418" i="4"/>
  <c r="R805" i="4"/>
  <c r="O805" i="4"/>
  <c r="O1421" i="4"/>
  <c r="O1426" i="4" s="1"/>
  <c r="O1365" i="4"/>
  <c r="O1259" i="4"/>
  <c r="O1392" i="4"/>
  <c r="O1287" i="4"/>
  <c r="O1292" i="4" s="1"/>
  <c r="O1285" i="4"/>
  <c r="O1449" i="4"/>
  <c r="O1454" i="4" s="1"/>
  <c r="O1476" i="4"/>
  <c r="O1481" i="4" s="1"/>
  <c r="O1284" i="4"/>
  <c r="O1501" i="4"/>
  <c r="O1314" i="4"/>
  <c r="O1319" i="4" s="1"/>
  <c r="O1260" i="4"/>
  <c r="O1265" i="4" s="1"/>
  <c r="O1258" i="4"/>
  <c r="O1420" i="4"/>
  <c r="O1311" i="4"/>
  <c r="O1475" i="4"/>
  <c r="O1340" i="4"/>
  <c r="O1257" i="4"/>
  <c r="O1393" i="4"/>
  <c r="O1366" i="4"/>
  <c r="O1313" i="4"/>
  <c r="O1448" i="4"/>
  <c r="O1500" i="4"/>
  <c r="O1338" i="4"/>
  <c r="O1341" i="4"/>
  <c r="O1346" i="4" s="1"/>
  <c r="O1503" i="4"/>
  <c r="O1508" i="4" s="1"/>
  <c r="O1474" i="4"/>
  <c r="O1368" i="4"/>
  <c r="O1373" i="4" s="1"/>
  <c r="O1339" i="4"/>
  <c r="O1473" i="4"/>
  <c r="O1367" i="4"/>
  <c r="O1502" i="4"/>
  <c r="O1446" i="4"/>
  <c r="O1447" i="4"/>
  <c r="O1452" i="4" s="1"/>
  <c r="O1419" i="4"/>
  <c r="O1394" i="4"/>
  <c r="O1286" i="4"/>
  <c r="O1395" i="4"/>
  <c r="O1400" i="4" s="1"/>
  <c r="O1422" i="4"/>
  <c r="O1427" i="4" s="1"/>
  <c r="O1312" i="4"/>
  <c r="O1499" i="4"/>
  <c r="O1310" i="4"/>
  <c r="O1418" i="4"/>
  <c r="O1364" i="4"/>
  <c r="O1369" i="4" s="1"/>
  <c r="O1256" i="4"/>
  <c r="O1261" i="4" s="1"/>
  <c r="O1472" i="4"/>
  <c r="O1477" i="4" s="1"/>
  <c r="O1445" i="4"/>
  <c r="O1337" i="4"/>
  <c r="O1283" i="4"/>
  <c r="O1391" i="4"/>
  <c r="P1260" i="4"/>
  <c r="P1265" i="4" s="1"/>
  <c r="P1259" i="4"/>
  <c r="P1501" i="4"/>
  <c r="P1311" i="4"/>
  <c r="P1284" i="4"/>
  <c r="P1447" i="4"/>
  <c r="P1475" i="4"/>
  <c r="P1420" i="4"/>
  <c r="P1500" i="4"/>
  <c r="P1503" i="4"/>
  <c r="P1508" i="4" s="1"/>
  <c r="P1473" i="4"/>
  <c r="P1365" i="4"/>
  <c r="P1502" i="4"/>
  <c r="P1419" i="4"/>
  <c r="P1257" i="4"/>
  <c r="P1449" i="4"/>
  <c r="P1454" i="4" s="1"/>
  <c r="P1313" i="4"/>
  <c r="P1258" i="4"/>
  <c r="P1340" i="4"/>
  <c r="P1476" i="4"/>
  <c r="P1481" i="4" s="1"/>
  <c r="P1368" i="4"/>
  <c r="P1373" i="4" s="1"/>
  <c r="P1339" i="4"/>
  <c r="P1395" i="4"/>
  <c r="P1400" i="4" s="1"/>
  <c r="P1393" i="4"/>
  <c r="P1398" i="4" s="1"/>
  <c r="P1421" i="4"/>
  <c r="P1341" i="4"/>
  <c r="P1346" i="4" s="1"/>
  <c r="P1366" i="4"/>
  <c r="P1448" i="4"/>
  <c r="P1312" i="4"/>
  <c r="P1394" i="4"/>
  <c r="P1287" i="4"/>
  <c r="P1292" i="4" s="1"/>
  <c r="P1367" i="4"/>
  <c r="P1446" i="4"/>
  <c r="P1314" i="4"/>
  <c r="P1319" i="4" s="1"/>
  <c r="P1338" i="4"/>
  <c r="P1285" i="4"/>
  <c r="P1286" i="4"/>
  <c r="P1474" i="4"/>
  <c r="P1392" i="4"/>
  <c r="P1422" i="4"/>
  <c r="P1427" i="4" s="1"/>
  <c r="P1418" i="4"/>
  <c r="P1283" i="4"/>
  <c r="P1256" i="4"/>
  <c r="P1310" i="4"/>
  <c r="P1315" i="4" s="1"/>
  <c r="P1391" i="4"/>
  <c r="P1396" i="4" s="1"/>
  <c r="P1337" i="4"/>
  <c r="P1342" i="4" s="1"/>
  <c r="P1364" i="4"/>
  <c r="P1499" i="4"/>
  <c r="P1445" i="4"/>
  <c r="P1472" i="4"/>
  <c r="S1475" i="4"/>
  <c r="S1366" i="4"/>
  <c r="S1394" i="4"/>
  <c r="S1285" i="4"/>
  <c r="S1447" i="4"/>
  <c r="S1393" i="4"/>
  <c r="S1419" i="4"/>
  <c r="S1367" i="4"/>
  <c r="S1258" i="4"/>
  <c r="S1287" i="4"/>
  <c r="S1292" i="4" s="1"/>
  <c r="S1421" i="4"/>
  <c r="S1503" i="4"/>
  <c r="S1508" i="4" s="1"/>
  <c r="S1260" i="4"/>
  <c r="S1265" i="4" s="1"/>
  <c r="S1474" i="4"/>
  <c r="S1314" i="4"/>
  <c r="S1319" i="4" s="1"/>
  <c r="S1286" i="4"/>
  <c r="S1257" i="4"/>
  <c r="S1476" i="4"/>
  <c r="S1481" i="4" s="1"/>
  <c r="S1446" i="4"/>
  <c r="S1284" i="4"/>
  <c r="S1313" i="4"/>
  <c r="S1312" i="4"/>
  <c r="S1341" i="4"/>
  <c r="S1346" i="4" s="1"/>
  <c r="S1420" i="4"/>
  <c r="S1502" i="4"/>
  <c r="S1422" i="4"/>
  <c r="S1427" i="4" s="1"/>
  <c r="S1259" i="4"/>
  <c r="S1339" i="4"/>
  <c r="S1338" i="4"/>
  <c r="S1395" i="4"/>
  <c r="S1400" i="4" s="1"/>
  <c r="S1392" i="4"/>
  <c r="S1365" i="4"/>
  <c r="S1501" i="4"/>
  <c r="S1311" i="4"/>
  <c r="S1448" i="4"/>
  <c r="S1368" i="4"/>
  <c r="S1373" i="4" s="1"/>
  <c r="S1340" i="4"/>
  <c r="S1449" i="4"/>
  <c r="S1454" i="4" s="1"/>
  <c r="S1500" i="4"/>
  <c r="S1473" i="4"/>
  <c r="S1283" i="4"/>
  <c r="S1310" i="4"/>
  <c r="S1364" i="4"/>
  <c r="S1337" i="4"/>
  <c r="S1391" i="4"/>
  <c r="S1499" i="4"/>
  <c r="S1445" i="4"/>
  <c r="S1418" i="4"/>
  <c r="S1472" i="4"/>
  <c r="S1256" i="4"/>
  <c r="G805" i="4"/>
  <c r="R1393" i="4"/>
  <c r="R1475" i="4"/>
  <c r="R1367" i="4"/>
  <c r="R1365" i="4"/>
  <c r="R1257" i="4"/>
  <c r="R1259" i="4"/>
  <c r="R1447" i="4"/>
  <c r="R1448" i="4"/>
  <c r="R1449" i="4"/>
  <c r="R1454" i="4" s="1"/>
  <c r="R1340" i="4"/>
  <c r="R1345" i="4" s="1"/>
  <c r="R1339" i="4"/>
  <c r="R1502" i="4"/>
  <c r="R1500" i="4"/>
  <c r="R1311" i="4"/>
  <c r="R1314" i="4"/>
  <c r="R1319" i="4" s="1"/>
  <c r="R1368" i="4"/>
  <c r="R1373" i="4" s="1"/>
  <c r="R1285" i="4"/>
  <c r="R1419" i="4"/>
  <c r="R1392" i="4"/>
  <c r="R1260" i="4"/>
  <c r="R1265" i="4" s="1"/>
  <c r="R1395" i="4"/>
  <c r="R1400" i="4" s="1"/>
  <c r="R1421" i="4"/>
  <c r="R1446" i="4"/>
  <c r="R1312" i="4"/>
  <c r="R1287" i="4"/>
  <c r="R1292" i="4" s="1"/>
  <c r="R1284" i="4"/>
  <c r="R1474" i="4"/>
  <c r="R1394" i="4"/>
  <c r="R1501" i="4"/>
  <c r="R1338" i="4"/>
  <c r="R1366" i="4"/>
  <c r="R1422" i="4"/>
  <c r="R1427" i="4" s="1"/>
  <c r="R1341" i="4"/>
  <c r="R1346" i="4" s="1"/>
  <c r="R1313" i="4"/>
  <c r="R1258" i="4"/>
  <c r="R1473" i="4"/>
  <c r="R1503" i="4"/>
  <c r="R1508" i="4" s="1"/>
  <c r="R1476" i="4"/>
  <c r="R1481" i="4" s="1"/>
  <c r="R1420" i="4"/>
  <c r="R1286" i="4"/>
  <c r="R1337" i="4"/>
  <c r="R1391" i="4"/>
  <c r="R1445" i="4"/>
  <c r="R1283" i="4"/>
  <c r="R1418" i="4"/>
  <c r="R1364" i="4"/>
  <c r="R1472" i="4"/>
  <c r="R1499" i="4"/>
  <c r="R1310" i="4"/>
  <c r="R1256" i="4"/>
  <c r="H1422" i="4"/>
  <c r="H1427" i="4" s="1"/>
  <c r="H1368" i="4"/>
  <c r="H1373" i="4" s="1"/>
  <c r="H1446" i="4"/>
  <c r="H1367" i="4"/>
  <c r="H1448" i="4"/>
  <c r="H1393" i="4"/>
  <c r="H1395" i="4"/>
  <c r="H1400" i="4" s="1"/>
  <c r="H1312" i="4"/>
  <c r="H1420" i="4"/>
  <c r="H1284" i="4"/>
  <c r="H1447" i="4"/>
  <c r="H1287" i="4"/>
  <c r="H1292" i="4" s="1"/>
  <c r="H1500" i="4"/>
  <c r="H1365" i="4"/>
  <c r="H1366" i="4"/>
  <c r="H1473" i="4"/>
  <c r="H1419" i="4"/>
  <c r="H1474" i="4"/>
  <c r="H1259" i="4"/>
  <c r="H1258" i="4"/>
  <c r="H1421" i="4"/>
  <c r="H1476" i="4"/>
  <c r="H1481" i="4" s="1"/>
  <c r="H1313" i="4"/>
  <c r="H1257" i="4"/>
  <c r="H1449" i="4"/>
  <c r="H1454" i="4" s="1"/>
  <c r="H1314" i="4"/>
  <c r="H1319" i="4" s="1"/>
  <c r="H1286" i="4"/>
  <c r="H1339" i="4"/>
  <c r="H1475" i="4"/>
  <c r="H1311" i="4"/>
  <c r="H1502" i="4"/>
  <c r="H1394" i="4"/>
  <c r="H1340" i="4"/>
  <c r="H1341" i="4"/>
  <c r="H1346" i="4" s="1"/>
  <c r="H1338" i="4"/>
  <c r="H1503" i="4"/>
  <c r="H1508" i="4" s="1"/>
  <c r="H1501" i="4"/>
  <c r="H1260" i="4"/>
  <c r="H1265" i="4" s="1"/>
  <c r="H1392" i="4"/>
  <c r="H1285" i="4"/>
  <c r="H1445" i="4"/>
  <c r="H1256" i="4"/>
  <c r="H1418" i="4"/>
  <c r="H1283" i="4"/>
  <c r="H1499" i="4"/>
  <c r="H1310" i="4"/>
  <c r="H1364" i="4"/>
  <c r="H1391" i="4"/>
  <c r="H1337" i="4"/>
  <c r="H1472" i="4"/>
  <c r="E805" i="4"/>
  <c r="N805" i="4"/>
  <c r="K1422" i="4"/>
  <c r="K1427" i="4" s="1"/>
  <c r="K1260" i="4"/>
  <c r="K1265" i="4" s="1"/>
  <c r="K1449" i="4"/>
  <c r="K1454" i="4" s="1"/>
  <c r="K1473" i="4"/>
  <c r="K1446" i="4"/>
  <c r="K1393" i="4"/>
  <c r="K1503" i="4"/>
  <c r="K1508" i="4" s="1"/>
  <c r="K1474" i="4"/>
  <c r="K1285" i="4"/>
  <c r="K1259" i="4"/>
  <c r="K1287" i="4"/>
  <c r="K1292" i="4" s="1"/>
  <c r="K1341" i="4"/>
  <c r="K1346" i="4" s="1"/>
  <c r="K1392" i="4"/>
  <c r="K1365" i="4"/>
  <c r="K1284" i="4"/>
  <c r="K1257" i="4"/>
  <c r="K1286" i="4"/>
  <c r="K1368" i="4"/>
  <c r="K1373" i="4" s="1"/>
  <c r="K1419" i="4"/>
  <c r="K1421" i="4"/>
  <c r="K1476" i="4"/>
  <c r="K1481" i="4" s="1"/>
  <c r="K1420" i="4"/>
  <c r="K1258" i="4"/>
  <c r="K1502" i="4"/>
  <c r="K1340" i="4"/>
  <c r="K1500" i="4"/>
  <c r="K1311" i="4"/>
  <c r="K1448" i="4"/>
  <c r="K1447" i="4"/>
  <c r="K1339" i="4"/>
  <c r="K1501" i="4"/>
  <c r="K1338" i="4"/>
  <c r="K1475" i="4"/>
  <c r="K1367" i="4"/>
  <c r="K1312" i="4"/>
  <c r="K1314" i="4"/>
  <c r="K1319" i="4" s="1"/>
  <c r="K1394" i="4"/>
  <c r="K1313" i="4"/>
  <c r="K1366" i="4"/>
  <c r="K1395" i="4"/>
  <c r="K1400" i="4" s="1"/>
  <c r="K1445" i="4"/>
  <c r="K1283" i="4"/>
  <c r="K1337" i="4"/>
  <c r="K1472" i="4"/>
  <c r="K1256" i="4"/>
  <c r="K1418" i="4"/>
  <c r="K1364" i="4"/>
  <c r="K1310" i="4"/>
  <c r="K1499" i="4"/>
  <c r="K1504" i="4" s="1"/>
  <c r="K1391" i="4"/>
  <c r="K1396" i="4" s="1"/>
  <c r="L805" i="4"/>
  <c r="J805" i="4"/>
  <c r="G1393" i="4"/>
  <c r="G1394" i="4"/>
  <c r="G1399" i="4" s="1"/>
  <c r="G1447" i="4"/>
  <c r="G1286" i="4"/>
  <c r="G1340" i="4"/>
  <c r="G1500" i="4"/>
  <c r="G1473" i="4"/>
  <c r="G1420" i="4"/>
  <c r="G1367" i="4"/>
  <c r="G1365" i="4"/>
  <c r="G1260" i="4"/>
  <c r="G1265" i="4" s="1"/>
  <c r="G1474" i="4"/>
  <c r="G1314" i="4"/>
  <c r="G1319" i="4" s="1"/>
  <c r="G1422" i="4"/>
  <c r="G1427" i="4" s="1"/>
  <c r="G1285" i="4"/>
  <c r="G1366" i="4"/>
  <c r="G1339" i="4"/>
  <c r="G1449" i="4"/>
  <c r="G1454" i="4" s="1"/>
  <c r="G1503" i="4"/>
  <c r="G1508" i="4" s="1"/>
  <c r="G1287" i="4"/>
  <c r="G1292" i="4" s="1"/>
  <c r="G1448" i="4"/>
  <c r="G1502" i="4"/>
  <c r="G1311" i="4"/>
  <c r="G1284" i="4"/>
  <c r="G1476" i="4"/>
  <c r="G1481" i="4" s="1"/>
  <c r="G1446" i="4"/>
  <c r="G1313" i="4"/>
  <c r="G1392" i="4"/>
  <c r="G1312" i="4"/>
  <c r="G1259" i="4"/>
  <c r="G1368" i="4"/>
  <c r="G1373" i="4" s="1"/>
  <c r="G1338" i="4"/>
  <c r="G1421" i="4"/>
  <c r="G1395" i="4"/>
  <c r="G1400" i="4" s="1"/>
  <c r="G1475" i="4"/>
  <c r="G1480" i="4" s="1"/>
  <c r="G1257" i="4"/>
  <c r="G1258" i="4"/>
  <c r="G1501" i="4"/>
  <c r="G1341" i="4"/>
  <c r="G1346" i="4" s="1"/>
  <c r="G1419" i="4"/>
  <c r="G1418" i="4"/>
  <c r="G1337" i="4"/>
  <c r="G1391" i="4"/>
  <c r="G1445" i="4"/>
  <c r="G1499" i="4"/>
  <c r="G1504" i="4" s="1"/>
  <c r="G1472" i="4"/>
  <c r="G1477" i="4" s="1"/>
  <c r="G1364" i="4"/>
  <c r="G1310" i="4"/>
  <c r="G1256" i="4"/>
  <c r="G1283" i="4"/>
  <c r="H805" i="4"/>
  <c r="F1257" i="4"/>
  <c r="F1262" i="4" s="1"/>
  <c r="F1259" i="4"/>
  <c r="F1287" i="4"/>
  <c r="F1292" i="4" s="1"/>
  <c r="F1341" i="4"/>
  <c r="F1346" i="4" s="1"/>
  <c r="F1502" i="4"/>
  <c r="F1449" i="4"/>
  <c r="F1454" i="4" s="1"/>
  <c r="F1258" i="4"/>
  <c r="F1260" i="4"/>
  <c r="F1265" i="4" s="1"/>
  <c r="F1365" i="4"/>
  <c r="F1314" i="4"/>
  <c r="F1319" i="4" s="1"/>
  <c r="F1285" i="4"/>
  <c r="F1290" i="4" s="1"/>
  <c r="F1422" i="4"/>
  <c r="F1427" i="4" s="1"/>
  <c r="F1500" i="4"/>
  <c r="F1503" i="4"/>
  <c r="F1508" i="4" s="1"/>
  <c r="F1474" i="4"/>
  <c r="F1286" i="4"/>
  <c r="F1395" i="4"/>
  <c r="F1400" i="4" s="1"/>
  <c r="F1340" i="4"/>
  <c r="F1473" i="4"/>
  <c r="F1448" i="4"/>
  <c r="F1339" i="4"/>
  <c r="F1501" i="4"/>
  <c r="F1394" i="4"/>
  <c r="F1421" i="4"/>
  <c r="F1338" i="4"/>
  <c r="F1311" i="4"/>
  <c r="F1476" i="4"/>
  <c r="F1481" i="4" s="1"/>
  <c r="F1313" i="4"/>
  <c r="F1420" i="4"/>
  <c r="F1368" i="4"/>
  <c r="F1373" i="4" s="1"/>
  <c r="F1419" i="4"/>
  <c r="F1446" i="4"/>
  <c r="F1392" i="4"/>
  <c r="F1475" i="4"/>
  <c r="F1393" i="4"/>
  <c r="F1398" i="4" s="1"/>
  <c r="F1366" i="4"/>
  <c r="F1371" i="4" s="1"/>
  <c r="F1284" i="4"/>
  <c r="F1312" i="4"/>
  <c r="F1367" i="4"/>
  <c r="F1447" i="4"/>
  <c r="F1391" i="4"/>
  <c r="F1418" i="4"/>
  <c r="F1283" i="4"/>
  <c r="F1445" i="4"/>
  <c r="F1450" i="4" s="1"/>
  <c r="F1256" i="4"/>
  <c r="F1310" i="4"/>
  <c r="F1499" i="4"/>
  <c r="F1337" i="4"/>
  <c r="F1472" i="4"/>
  <c r="F1364" i="4"/>
  <c r="J98" i="17"/>
  <c r="M98" i="17"/>
  <c r="K98" i="17"/>
  <c r="L98" i="17"/>
  <c r="M1475" i="4"/>
  <c r="M1314" i="4"/>
  <c r="M1319" i="4" s="1"/>
  <c r="M1393" i="4"/>
  <c r="M1447" i="4"/>
  <c r="M1420" i="4"/>
  <c r="M1503" i="4"/>
  <c r="M1508" i="4" s="1"/>
  <c r="M1421" i="4"/>
  <c r="M1340" i="4"/>
  <c r="M1474" i="4"/>
  <c r="M1339" i="4"/>
  <c r="M1501" i="4"/>
  <c r="M1287" i="4"/>
  <c r="M1292" i="4" s="1"/>
  <c r="M1473" i="4"/>
  <c r="M1341" i="4"/>
  <c r="M1346" i="4" s="1"/>
  <c r="M1448" i="4"/>
  <c r="M1366" i="4"/>
  <c r="M1368" i="4"/>
  <c r="M1373" i="4" s="1"/>
  <c r="M1449" i="4"/>
  <c r="M1454" i="4" s="1"/>
  <c r="M1502" i="4"/>
  <c r="M1367" i="4"/>
  <c r="M1258" i="4"/>
  <c r="M1260" i="4"/>
  <c r="M1265" i="4" s="1"/>
  <c r="M1311" i="4"/>
  <c r="M1284" i="4"/>
  <c r="M1476" i="4"/>
  <c r="M1481" i="4" s="1"/>
  <c r="M1312" i="4"/>
  <c r="M1446" i="4"/>
  <c r="M1422" i="4"/>
  <c r="M1427" i="4" s="1"/>
  <c r="M1259" i="4"/>
  <c r="M1338" i="4"/>
  <c r="M1394" i="4"/>
  <c r="M1365" i="4"/>
  <c r="M1419" i="4"/>
  <c r="M1313" i="4"/>
  <c r="M1500" i="4"/>
  <c r="M1285" i="4"/>
  <c r="M1257" i="4"/>
  <c r="M1286" i="4"/>
  <c r="M1392" i="4"/>
  <c r="M1395" i="4"/>
  <c r="M1400" i="4" s="1"/>
  <c r="M1364" i="4"/>
  <c r="M1283" i="4"/>
  <c r="M1337" i="4"/>
  <c r="M1472" i="4"/>
  <c r="M1391" i="4"/>
  <c r="M1418" i="4"/>
  <c r="M1445" i="4"/>
  <c r="M1499" i="4"/>
  <c r="M1310" i="4"/>
  <c r="M1256" i="4"/>
  <c r="E1340" i="4"/>
  <c r="E1312" i="4"/>
  <c r="E1447" i="4"/>
  <c r="E1473" i="4"/>
  <c r="E1392" i="4"/>
  <c r="E1257" i="4"/>
  <c r="E1259" i="4"/>
  <c r="E1258" i="4"/>
  <c r="E1446" i="4"/>
  <c r="E1368" i="4"/>
  <c r="E1373" i="4" s="1"/>
  <c r="E1365" i="4"/>
  <c r="E1338" i="4"/>
  <c r="E1311" i="4"/>
  <c r="E1284" i="4"/>
  <c r="E1286" i="4"/>
  <c r="E1449" i="4"/>
  <c r="E1454" i="4" s="1"/>
  <c r="E1474" i="4"/>
  <c r="E1475" i="4"/>
  <c r="E1422" i="4"/>
  <c r="E1427" i="4" s="1"/>
  <c r="E1420" i="4"/>
  <c r="E1367" i="4"/>
  <c r="E1503" i="4"/>
  <c r="E1508" i="4" s="1"/>
  <c r="E1500" i="4"/>
  <c r="E1260" i="4"/>
  <c r="E1265" i="4" s="1"/>
  <c r="E1395" i="4"/>
  <c r="E1400" i="4" s="1"/>
  <c r="E1421" i="4"/>
  <c r="E1419" i="4"/>
  <c r="E1501" i="4"/>
  <c r="E1339" i="4"/>
  <c r="E1502" i="4"/>
  <c r="E1313" i="4"/>
  <c r="E1366" i="4"/>
  <c r="E1285" i="4"/>
  <c r="E1393" i="4"/>
  <c r="E1287" i="4"/>
  <c r="E1292" i="4" s="1"/>
  <c r="E1394" i="4"/>
  <c r="E1476" i="4"/>
  <c r="E1481" i="4" s="1"/>
  <c r="E1341" i="4"/>
  <c r="E1346" i="4" s="1"/>
  <c r="E1314" i="4"/>
  <c r="E1319" i="4" s="1"/>
  <c r="E1448" i="4"/>
  <c r="E1418" i="4"/>
  <c r="E1256" i="4"/>
  <c r="E1364" i="4"/>
  <c r="E1283" i="4"/>
  <c r="E1499" i="4"/>
  <c r="E1472" i="4"/>
  <c r="E1445" i="4"/>
  <c r="E1310" i="4"/>
  <c r="E1337" i="4"/>
  <c r="E1391" i="4"/>
  <c r="M805" i="4"/>
  <c r="Q805" i="4"/>
  <c r="K805" i="4"/>
  <c r="I1341" i="4"/>
  <c r="I1346" i="4" s="1"/>
  <c r="I1422" i="4"/>
  <c r="I1427" i="4" s="1"/>
  <c r="I1367" i="4"/>
  <c r="I1447" i="4"/>
  <c r="I1448" i="4"/>
  <c r="I1287" i="4"/>
  <c r="I1292" i="4" s="1"/>
  <c r="I1258" i="4"/>
  <c r="I1476" i="4"/>
  <c r="I1481" i="4" s="1"/>
  <c r="I1338" i="4"/>
  <c r="I1340" i="4"/>
  <c r="I1339" i="4"/>
  <c r="I1420" i="4"/>
  <c r="I1475" i="4"/>
  <c r="I1446" i="4"/>
  <c r="I1311" i="4"/>
  <c r="I1260" i="4"/>
  <c r="I1265" i="4" s="1"/>
  <c r="I1285" i="4"/>
  <c r="I1290" i="4" s="1"/>
  <c r="I1449" i="4"/>
  <c r="I1454" i="4" s="1"/>
  <c r="I1393" i="4"/>
  <c r="I1392" i="4"/>
  <c r="I1395" i="4"/>
  <c r="I1400" i="4" s="1"/>
  <c r="I1503" i="4"/>
  <c r="I1508" i="4" s="1"/>
  <c r="I1474" i="4"/>
  <c r="I1366" i="4"/>
  <c r="I1473" i="4"/>
  <c r="I1286" i="4"/>
  <c r="I1313" i="4"/>
  <c r="I1312" i="4"/>
  <c r="I1502" i="4"/>
  <c r="I1368" i="4"/>
  <c r="I1373" i="4" s="1"/>
  <c r="I1394" i="4"/>
  <c r="I1365" i="4"/>
  <c r="I1257" i="4"/>
  <c r="I1284" i="4"/>
  <c r="I1501" i="4"/>
  <c r="I1421" i="4"/>
  <c r="I1314" i="4"/>
  <c r="I1319" i="4" s="1"/>
  <c r="I1419" i="4"/>
  <c r="I1500" i="4"/>
  <c r="I1259" i="4"/>
  <c r="I1256" i="4"/>
  <c r="I1364" i="4"/>
  <c r="I1337" i="4"/>
  <c r="I1283" i="4"/>
  <c r="I1472" i="4"/>
  <c r="I1310" i="4"/>
  <c r="I1445" i="4"/>
  <c r="I1499" i="4"/>
  <c r="I1418" i="4"/>
  <c r="I1391" i="4"/>
  <c r="I805" i="4"/>
  <c r="L1449" i="4"/>
  <c r="L1454" i="4" s="1"/>
  <c r="L1447" i="4"/>
  <c r="L1503" i="4"/>
  <c r="L1508" i="4" s="1"/>
  <c r="L1473" i="4"/>
  <c r="L1367" i="4"/>
  <c r="L1475" i="4"/>
  <c r="L1313" i="4"/>
  <c r="L1392" i="4"/>
  <c r="L1338" i="4"/>
  <c r="L1421" i="4"/>
  <c r="L1312" i="4"/>
  <c r="L1259" i="4"/>
  <c r="L1419" i="4"/>
  <c r="L1340" i="4"/>
  <c r="L1257" i="4"/>
  <c r="L1285" i="4"/>
  <c r="L1448" i="4"/>
  <c r="L1341" i="4"/>
  <c r="L1346" i="4" s="1"/>
  <c r="L1393" i="4"/>
  <c r="L1474" i="4"/>
  <c r="L1258" i="4"/>
  <c r="L1502" i="4"/>
  <c r="L1365" i="4"/>
  <c r="L1284" i="4"/>
  <c r="L1395" i="4"/>
  <c r="L1400" i="4" s="1"/>
  <c r="L1420" i="4"/>
  <c r="L1446" i="4"/>
  <c r="L1394" i="4"/>
  <c r="L1476" i="4"/>
  <c r="L1481" i="4" s="1"/>
  <c r="L1501" i="4"/>
  <c r="L1422" i="4"/>
  <c r="L1427" i="4" s="1"/>
  <c r="L1311" i="4"/>
  <c r="L1339" i="4"/>
  <c r="L1366" i="4"/>
  <c r="L1286" i="4"/>
  <c r="L1368" i="4"/>
  <c r="L1373" i="4" s="1"/>
  <c r="L1500" i="4"/>
  <c r="L1287" i="4"/>
  <c r="L1292" i="4" s="1"/>
  <c r="L1260" i="4"/>
  <c r="L1265" i="4" s="1"/>
  <c r="L1314" i="4"/>
  <c r="L1319" i="4" s="1"/>
  <c r="L1499" i="4"/>
  <c r="L1418" i="4"/>
  <c r="L1445" i="4"/>
  <c r="L1337" i="4"/>
  <c r="L1310" i="4"/>
  <c r="L1283" i="4"/>
  <c r="L1364" i="4"/>
  <c r="L1256" i="4"/>
  <c r="L1391" i="4"/>
  <c r="L1472" i="4"/>
  <c r="F98" i="17"/>
  <c r="I98" i="17"/>
  <c r="G98" i="17"/>
  <c r="H98" i="17"/>
  <c r="F805" i="4"/>
  <c r="S805" i="4"/>
  <c r="D1313" i="4"/>
  <c r="D1312" i="4"/>
  <c r="D1311" i="4"/>
  <c r="D1475" i="4"/>
  <c r="D1394" i="4"/>
  <c r="D1284" i="4"/>
  <c r="D1257" i="4"/>
  <c r="D1262" i="4" s="1"/>
  <c r="D1503" i="4"/>
  <c r="D1508" i="4" s="1"/>
  <c r="D1393" i="4"/>
  <c r="D1287" i="4"/>
  <c r="D1292" i="4" s="1"/>
  <c r="D1259" i="4"/>
  <c r="D1474" i="4"/>
  <c r="D1260" i="4"/>
  <c r="D1265" i="4" s="1"/>
  <c r="D1314" i="4"/>
  <c r="D1319" i="4" s="1"/>
  <c r="D1338" i="4"/>
  <c r="D1367" i="4"/>
  <c r="D1339" i="4"/>
  <c r="D1365" i="4"/>
  <c r="D1370" i="4" s="1"/>
  <c r="D1366" i="4"/>
  <c r="D1286" i="4"/>
  <c r="D1449" i="4"/>
  <c r="D1454" i="4" s="1"/>
  <c r="D1500" i="4"/>
  <c r="D1473" i="4"/>
  <c r="D1392" i="4"/>
  <c r="D1341" i="4"/>
  <c r="D1346" i="4" s="1"/>
  <c r="D1422" i="4"/>
  <c r="D1427" i="4" s="1"/>
  <c r="D1420" i="4"/>
  <c r="D1501" i="4"/>
  <c r="D1285" i="4"/>
  <c r="D1368" i="4"/>
  <c r="D1373" i="4" s="1"/>
  <c r="D1419" i="4"/>
  <c r="D1395" i="4"/>
  <c r="D1400" i="4" s="1"/>
  <c r="D1502" i="4"/>
  <c r="D1447" i="4"/>
  <c r="D1446" i="4"/>
  <c r="D1258" i="4"/>
  <c r="D1340" i="4"/>
  <c r="D1476" i="4"/>
  <c r="D1481" i="4" s="1"/>
  <c r="D1448" i="4"/>
  <c r="D1421" i="4"/>
  <c r="D1472" i="4"/>
  <c r="D1256" i="4"/>
  <c r="D1310" i="4"/>
  <c r="D1283" i="4"/>
  <c r="D1499" i="4"/>
  <c r="D1418" i="4"/>
  <c r="D1337" i="4"/>
  <c r="D1445" i="4"/>
  <c r="D1364" i="4"/>
  <c r="D1391" i="4"/>
  <c r="D842" i="4"/>
  <c r="D847" i="4" s="1"/>
  <c r="D841" i="4"/>
  <c r="D846" i="4" s="1"/>
  <c r="D840" i="4"/>
  <c r="D845" i="4" s="1"/>
  <c r="C98" i="17"/>
  <c r="D98" i="17"/>
  <c r="B98" i="17"/>
  <c r="E98" i="17"/>
  <c r="D805" i="4"/>
  <c r="L1179" i="4"/>
  <c r="L1176" i="4"/>
  <c r="L1178" i="4"/>
  <c r="L1177" i="4"/>
  <c r="L1175" i="4"/>
  <c r="N1179" i="4"/>
  <c r="N1177" i="4"/>
  <c r="N1176" i="4"/>
  <c r="N1178" i="4"/>
  <c r="N1175" i="4"/>
  <c r="M1179" i="4"/>
  <c r="M1178" i="4"/>
  <c r="M1177" i="4"/>
  <c r="M1176" i="4"/>
  <c r="M1175" i="4"/>
  <c r="S1178" i="4"/>
  <c r="S1176" i="4"/>
  <c r="S1179" i="4"/>
  <c r="S1177" i="4"/>
  <c r="S1175" i="4"/>
  <c r="E1176" i="4"/>
  <c r="E1178" i="4"/>
  <c r="E1179" i="4"/>
  <c r="E1177" i="4"/>
  <c r="E1175" i="4"/>
  <c r="Q1179" i="4"/>
  <c r="Q1177" i="4"/>
  <c r="Q1178" i="4"/>
  <c r="Q1176" i="4"/>
  <c r="Q1175" i="4"/>
  <c r="F1176" i="4"/>
  <c r="F1178" i="4"/>
  <c r="F1177" i="4"/>
  <c r="F1179" i="4"/>
  <c r="F1175" i="4"/>
  <c r="R1179" i="4"/>
  <c r="R1176" i="4"/>
  <c r="R1178" i="4"/>
  <c r="R1177" i="4"/>
  <c r="R1175" i="4"/>
  <c r="J1177" i="4"/>
  <c r="J1178" i="4"/>
  <c r="J1179" i="4"/>
  <c r="J1176" i="4"/>
  <c r="J1175" i="4"/>
  <c r="O1176" i="4"/>
  <c r="O1178" i="4"/>
  <c r="O1179" i="4"/>
  <c r="O1177" i="4"/>
  <c r="O1175" i="4"/>
  <c r="K1178" i="4"/>
  <c r="K1177" i="4"/>
  <c r="K1176" i="4"/>
  <c r="K1179" i="4"/>
  <c r="K1175" i="4"/>
  <c r="G1179" i="4"/>
  <c r="G1178" i="4"/>
  <c r="G1176" i="4"/>
  <c r="G1177" i="4"/>
  <c r="G1175" i="4"/>
  <c r="H1179" i="4"/>
  <c r="H1177" i="4"/>
  <c r="H1176" i="4"/>
  <c r="H1178" i="4"/>
  <c r="H1175" i="4"/>
  <c r="I1179" i="4"/>
  <c r="I1178" i="4"/>
  <c r="I1177" i="4"/>
  <c r="I1176" i="4"/>
  <c r="I1175" i="4"/>
  <c r="P1179" i="4"/>
  <c r="P1177" i="4"/>
  <c r="P1176" i="4"/>
  <c r="P1178" i="4"/>
  <c r="P1175" i="4"/>
  <c r="D1179" i="4"/>
  <c r="D1176" i="4"/>
  <c r="D1177" i="4"/>
  <c r="D1178" i="4"/>
  <c r="D1175" i="4"/>
  <c r="C99" i="12"/>
  <c r="T58" i="3"/>
  <c r="T59" i="3" s="1"/>
  <c r="T61" i="3" s="1"/>
  <c r="T63" i="3" s="1"/>
  <c r="T71" i="3" l="1"/>
  <c r="T75" i="3" s="1"/>
  <c r="T70" i="3"/>
  <c r="T74" i="3" s="1"/>
  <c r="F1261" i="4"/>
  <c r="M1345" i="4"/>
  <c r="K1371" i="4"/>
  <c r="K1452" i="4"/>
  <c r="K1398" i="4"/>
  <c r="M1264" i="4"/>
  <c r="M1507" i="4"/>
  <c r="M1426" i="4"/>
  <c r="H1261" i="4"/>
  <c r="L1505" i="4"/>
  <c r="L1262" i="4"/>
  <c r="L1290" i="4"/>
  <c r="I1317" i="4"/>
  <c r="G1289" i="4"/>
  <c r="L1261" i="4"/>
  <c r="S1318" i="4"/>
  <c r="G1290" i="4"/>
  <c r="S1342" i="4"/>
  <c r="S1506" i="4"/>
  <c r="S1317" i="4"/>
  <c r="J1372" i="4"/>
  <c r="S1369" i="4"/>
  <c r="D814" i="4"/>
  <c r="D819" i="4" s="1"/>
  <c r="I1264" i="4"/>
  <c r="I1507" i="4"/>
  <c r="E1289" i="4"/>
  <c r="K1262" i="4"/>
  <c r="K1451" i="4"/>
  <c r="D1396" i="4"/>
  <c r="E1478" i="4"/>
  <c r="E1316" i="4"/>
  <c r="G1452" i="4"/>
  <c r="I1505" i="4"/>
  <c r="E1399" i="4"/>
  <c r="L1369" i="4"/>
  <c r="E1315" i="4"/>
  <c r="L1425" i="4"/>
  <c r="S1396" i="4"/>
  <c r="S1371" i="4"/>
  <c r="P1426" i="4"/>
  <c r="P1507" i="4"/>
  <c r="P1264" i="4"/>
  <c r="O1507" i="4"/>
  <c r="O1453" i="4"/>
  <c r="L1478" i="4"/>
  <c r="F1426" i="4"/>
  <c r="F1315" i="4"/>
  <c r="D1477" i="4"/>
  <c r="D1424" i="4"/>
  <c r="L1396" i="4"/>
  <c r="L1451" i="4"/>
  <c r="L1453" i="4"/>
  <c r="L1372" i="4"/>
  <c r="I1263" i="4"/>
  <c r="E1342" i="4"/>
  <c r="E1426" i="4"/>
  <c r="M1399" i="4"/>
  <c r="M1372" i="4"/>
  <c r="F1289" i="4"/>
  <c r="F1343" i="4"/>
  <c r="F1505" i="4"/>
  <c r="G1369" i="4"/>
  <c r="G1262" i="4"/>
  <c r="G1371" i="4"/>
  <c r="K1344" i="4"/>
  <c r="D1369" i="4"/>
  <c r="D1289" i="4"/>
  <c r="L1345" i="4"/>
  <c r="I1424" i="4"/>
  <c r="G1450" i="4"/>
  <c r="K1315" i="4"/>
  <c r="K1316" i="4"/>
  <c r="K1505" i="4"/>
  <c r="K1370" i="4"/>
  <c r="Q1426" i="4"/>
  <c r="F1264" i="4"/>
  <c r="H1452" i="4"/>
  <c r="S1316" i="4"/>
  <c r="P1343" i="4"/>
  <c r="F1399" i="4"/>
  <c r="S1426" i="4"/>
  <c r="S1480" i="4"/>
  <c r="D1342" i="4"/>
  <c r="K1423" i="4"/>
  <c r="H1425" i="4"/>
  <c r="S1370" i="4"/>
  <c r="O1451" i="4"/>
  <c r="G1291" i="4"/>
  <c r="R1344" i="4"/>
  <c r="S1263" i="4"/>
  <c r="P1372" i="4"/>
  <c r="O1372" i="4"/>
  <c r="O1424" i="4"/>
  <c r="G1288" i="4"/>
  <c r="H1399" i="4"/>
  <c r="O1343" i="4"/>
  <c r="N1453" i="4"/>
  <c r="J1505" i="4"/>
  <c r="P1370" i="4"/>
  <c r="O1505" i="4"/>
  <c r="D1450" i="4"/>
  <c r="D1397" i="4"/>
  <c r="L1316" i="4"/>
  <c r="E1291" i="4"/>
  <c r="E1397" i="4"/>
  <c r="H1423" i="4"/>
  <c r="R1426" i="4"/>
  <c r="O1263" i="4"/>
  <c r="O1370" i="4"/>
  <c r="J1479" i="4"/>
  <c r="I1318" i="4"/>
  <c r="I1316" i="4"/>
  <c r="I1453" i="4"/>
  <c r="E1450" i="4"/>
  <c r="E1343" i="4"/>
  <c r="E1452" i="4"/>
  <c r="F1506" i="4"/>
  <c r="K1289" i="4"/>
  <c r="K1478" i="4"/>
  <c r="H1450" i="4"/>
  <c r="P1344" i="4"/>
  <c r="L1371" i="4"/>
  <c r="L1370" i="4"/>
  <c r="L1264" i="4"/>
  <c r="I1426" i="4"/>
  <c r="I1478" i="4"/>
  <c r="E1504" i="4"/>
  <c r="D1423" i="4"/>
  <c r="I1506" i="4"/>
  <c r="L1507" i="4"/>
  <c r="L1426" i="4"/>
  <c r="I1289" i="4"/>
  <c r="I1479" i="4"/>
  <c r="K1477" i="4"/>
  <c r="H1345" i="4"/>
  <c r="H1318" i="4"/>
  <c r="L1291" i="4"/>
  <c r="I1291" i="4"/>
  <c r="E1505" i="4"/>
  <c r="E1370" i="4"/>
  <c r="M1291" i="4"/>
  <c r="I1480" i="4"/>
  <c r="I1372" i="4"/>
  <c r="E1290" i="4"/>
  <c r="G1396" i="4"/>
  <c r="K1397" i="4"/>
  <c r="H1477" i="4"/>
  <c r="D1451" i="4"/>
  <c r="I1371" i="4"/>
  <c r="I1425" i="4"/>
  <c r="E1451" i="4"/>
  <c r="M1453" i="4"/>
  <c r="K1317" i="4"/>
  <c r="I1344" i="4"/>
  <c r="E1369" i="4"/>
  <c r="E1425" i="4"/>
  <c r="F1372" i="4"/>
  <c r="F1263" i="4"/>
  <c r="G1423" i="4"/>
  <c r="K1263" i="4"/>
  <c r="H1396" i="4"/>
  <c r="Q1480" i="4"/>
  <c r="M1288" i="4"/>
  <c r="M1479" i="4"/>
  <c r="R1288" i="4"/>
  <c r="Q1506" i="4"/>
  <c r="N1396" i="4"/>
  <c r="N1345" i="4"/>
  <c r="J1477" i="4"/>
  <c r="J1424" i="4"/>
  <c r="H1426" i="4"/>
  <c r="G1426" i="4"/>
  <c r="O1506" i="4"/>
  <c r="L1342" i="4"/>
  <c r="E1345" i="4"/>
  <c r="F1451" i="4"/>
  <c r="F1453" i="4"/>
  <c r="F1370" i="4"/>
  <c r="G1507" i="4"/>
  <c r="H1479" i="4"/>
  <c r="H1398" i="4"/>
  <c r="R1425" i="4"/>
  <c r="R1506" i="4"/>
  <c r="R1290" i="4"/>
  <c r="R1452" i="4"/>
  <c r="S1372" i="4"/>
  <c r="P1505" i="4"/>
  <c r="O1478" i="4"/>
  <c r="O1371" i="4"/>
  <c r="J1507" i="4"/>
  <c r="G1372" i="4"/>
  <c r="S1344" i="4"/>
  <c r="S1291" i="4"/>
  <c r="S1398" i="4"/>
  <c r="P1480" i="4"/>
  <c r="D1504" i="4"/>
  <c r="D1478" i="4"/>
  <c r="I1345" i="4"/>
  <c r="M1318" i="4"/>
  <c r="K1425" i="4"/>
  <c r="D1288" i="4"/>
  <c r="D1505" i="4"/>
  <c r="E1344" i="4"/>
  <c r="M1480" i="4"/>
  <c r="G1318" i="4"/>
  <c r="K1290" i="4"/>
  <c r="D1261" i="4"/>
  <c r="L1399" i="4"/>
  <c r="L1480" i="4"/>
  <c r="E1424" i="4"/>
  <c r="E1262" i="4"/>
  <c r="K1424" i="4"/>
  <c r="K843" i="4"/>
  <c r="K848" i="4" s="1"/>
  <c r="M99" i="14"/>
  <c r="Q1262" i="4"/>
  <c r="J1396" i="4"/>
  <c r="D1344" i="4"/>
  <c r="I1423" i="4"/>
  <c r="Q1290" i="4"/>
  <c r="Q1371" i="4"/>
  <c r="Q1425" i="4"/>
  <c r="N843" i="4"/>
  <c r="N848" i="4" s="1"/>
  <c r="E99" i="15"/>
  <c r="C98" i="12"/>
  <c r="D1506" i="4"/>
  <c r="I1504" i="4"/>
  <c r="C99" i="17"/>
  <c r="M1261" i="4"/>
  <c r="M1397" i="4"/>
  <c r="F843" i="4"/>
  <c r="F848" i="4" s="1"/>
  <c r="I99" i="13"/>
  <c r="F1288" i="4"/>
  <c r="F1480" i="4"/>
  <c r="G1316" i="4"/>
  <c r="G1398" i="4"/>
  <c r="K1399" i="4"/>
  <c r="H842" i="4"/>
  <c r="H847" i="4" s="1"/>
  <c r="P99" i="13"/>
  <c r="H1316" i="4"/>
  <c r="H1263" i="4"/>
  <c r="H1317" i="4"/>
  <c r="R842" i="4"/>
  <c r="R847" i="4" s="1"/>
  <c r="D99" i="16"/>
  <c r="R1342" i="4"/>
  <c r="R1371" i="4"/>
  <c r="R1397" i="4"/>
  <c r="S841" i="4"/>
  <c r="S846" i="4" s="1"/>
  <c r="G99" i="16"/>
  <c r="S1315" i="4"/>
  <c r="S1397" i="4"/>
  <c r="S1289" i="4"/>
  <c r="P841" i="4"/>
  <c r="P846" i="4" s="1"/>
  <c r="K99" i="15"/>
  <c r="P1261" i="4"/>
  <c r="P1451" i="4"/>
  <c r="P1478" i="4"/>
  <c r="O841" i="4"/>
  <c r="O846" i="4" s="1"/>
  <c r="G99" i="15"/>
  <c r="O1423" i="4"/>
  <c r="H99" i="17"/>
  <c r="Q1423" i="4"/>
  <c r="Q1289" i="4"/>
  <c r="Q1397" i="4"/>
  <c r="N1504" i="4"/>
  <c r="N1425" i="4"/>
  <c r="N1317" i="4"/>
  <c r="J842" i="4"/>
  <c r="J847" i="4" s="1"/>
  <c r="H99" i="14"/>
  <c r="J1315" i="4"/>
  <c r="J1344" i="4"/>
  <c r="J1317" i="4"/>
  <c r="J1425" i="4"/>
  <c r="Q1288" i="4"/>
  <c r="N840" i="4"/>
  <c r="N845" i="4" s="1"/>
  <c r="D1426" i="4"/>
  <c r="K1291" i="4"/>
  <c r="R1396" i="4"/>
  <c r="D1372" i="4"/>
  <c r="L1288" i="4"/>
  <c r="D99" i="12"/>
  <c r="D1345" i="4"/>
  <c r="D1425" i="4"/>
  <c r="D1343" i="4"/>
  <c r="D1399" i="4"/>
  <c r="L1315" i="4"/>
  <c r="L1289" i="4"/>
  <c r="L1424" i="4"/>
  <c r="L1452" i="4"/>
  <c r="I1450" i="4"/>
  <c r="I1451" i="4"/>
  <c r="I1452" i="4"/>
  <c r="E1477" i="4"/>
  <c r="E1398" i="4"/>
  <c r="E1317" i="4"/>
  <c r="M1315" i="4"/>
  <c r="M1451" i="4"/>
  <c r="F842" i="4"/>
  <c r="F847" i="4" s="1"/>
  <c r="H99" i="13"/>
  <c r="F1423" i="4"/>
  <c r="F1397" i="4"/>
  <c r="F1344" i="4"/>
  <c r="G1343" i="4"/>
  <c r="G1479" i="4"/>
  <c r="K1369" i="4"/>
  <c r="H840" i="4"/>
  <c r="H845" i="4" s="1"/>
  <c r="N99" i="13"/>
  <c r="H1290" i="4"/>
  <c r="H1264" i="4"/>
  <c r="E99" i="16"/>
  <c r="R843" i="4"/>
  <c r="R848" i="4" s="1"/>
  <c r="R1291" i="4"/>
  <c r="R1343" i="4"/>
  <c r="R1424" i="4"/>
  <c r="R1453" i="4"/>
  <c r="S843" i="4"/>
  <c r="S848" i="4" s="1"/>
  <c r="I99" i="16"/>
  <c r="S1451" i="4"/>
  <c r="P842" i="4"/>
  <c r="P847" i="4" s="1"/>
  <c r="L99" i="15"/>
  <c r="P1288" i="4"/>
  <c r="H99" i="15"/>
  <c r="O842" i="4"/>
  <c r="O847" i="4" s="1"/>
  <c r="O1315" i="4"/>
  <c r="O1318" i="4"/>
  <c r="O1289" i="4"/>
  <c r="F99" i="17"/>
  <c r="Q1315" i="4"/>
  <c r="Q1451" i="4"/>
  <c r="Q1317" i="4"/>
  <c r="N1342" i="4"/>
  <c r="N1506" i="4"/>
  <c r="I99" i="14"/>
  <c r="J843" i="4"/>
  <c r="J848" i="4" s="1"/>
  <c r="J1318" i="4"/>
  <c r="J1370" i="4"/>
  <c r="J1506" i="4"/>
  <c r="J1480" i="4"/>
  <c r="M841" i="4"/>
  <c r="M846" i="4" s="1"/>
  <c r="S99" i="14"/>
  <c r="M1369" i="4"/>
  <c r="N1371" i="4"/>
  <c r="D1290" i="4"/>
  <c r="K1318" i="4"/>
  <c r="M1262" i="4"/>
  <c r="M1317" i="4"/>
  <c r="M1371" i="4"/>
  <c r="M1425" i="4"/>
  <c r="F840" i="4"/>
  <c r="F845" i="4" s="1"/>
  <c r="F99" i="13"/>
  <c r="F1396" i="4"/>
  <c r="G841" i="4"/>
  <c r="G846" i="4" s="1"/>
  <c r="K99" i="13"/>
  <c r="K1345" i="4"/>
  <c r="H1397" i="4"/>
  <c r="H1480" i="4"/>
  <c r="R1261" i="4"/>
  <c r="S840" i="4"/>
  <c r="S845" i="4" s="1"/>
  <c r="F99" i="16"/>
  <c r="S1288" i="4"/>
  <c r="P840" i="4"/>
  <c r="P845" i="4" s="1"/>
  <c r="J99" i="15"/>
  <c r="P1423" i="4"/>
  <c r="F99" i="15"/>
  <c r="O840" i="4"/>
  <c r="O845" i="4" s="1"/>
  <c r="O1504" i="4"/>
  <c r="G99" i="17"/>
  <c r="Q1369" i="4"/>
  <c r="Q1452" i="4"/>
  <c r="Q1344" i="4"/>
  <c r="N1261" i="4"/>
  <c r="N1399" i="4"/>
  <c r="N1452" i="4"/>
  <c r="N1372" i="4"/>
  <c r="D99" i="17"/>
  <c r="M1343" i="4"/>
  <c r="Q1261" i="4"/>
  <c r="N842" i="4"/>
  <c r="N847" i="4" s="1"/>
  <c r="D99" i="15"/>
  <c r="N1398" i="4"/>
  <c r="D1480" i="4"/>
  <c r="D1316" i="4"/>
  <c r="L1450" i="4"/>
  <c r="L1344" i="4"/>
  <c r="L1317" i="4"/>
  <c r="I1477" i="4"/>
  <c r="E1288" i="4"/>
  <c r="E1371" i="4"/>
  <c r="E1372" i="4"/>
  <c r="K99" i="17"/>
  <c r="M1504" i="4"/>
  <c r="M1290" i="4"/>
  <c r="M1452" i="4"/>
  <c r="G99" i="13"/>
  <c r="F841" i="4"/>
  <c r="F846" i="4" s="1"/>
  <c r="F1452" i="4"/>
  <c r="F1424" i="4"/>
  <c r="F1478" i="4"/>
  <c r="G843" i="4"/>
  <c r="G848" i="4" s="1"/>
  <c r="M99" i="13"/>
  <c r="G1342" i="4"/>
  <c r="G1264" i="4"/>
  <c r="G1453" i="4"/>
  <c r="G1370" i="4"/>
  <c r="K1261" i="4"/>
  <c r="K1507" i="4"/>
  <c r="H1342" i="4"/>
  <c r="H1344" i="4"/>
  <c r="H1424" i="4"/>
  <c r="H1453" i="4"/>
  <c r="R1315" i="4"/>
  <c r="R1399" i="4"/>
  <c r="R1264" i="4"/>
  <c r="S842" i="4"/>
  <c r="S847" i="4" s="1"/>
  <c r="H99" i="16"/>
  <c r="S1478" i="4"/>
  <c r="S1343" i="4"/>
  <c r="S1262" i="4"/>
  <c r="S1424" i="4"/>
  <c r="P843" i="4"/>
  <c r="P848" i="4" s="1"/>
  <c r="M99" i="15"/>
  <c r="P1399" i="4"/>
  <c r="P1345" i="4"/>
  <c r="P1425" i="4"/>
  <c r="O843" i="4"/>
  <c r="O848" i="4" s="1"/>
  <c r="I99" i="15"/>
  <c r="O1317" i="4"/>
  <c r="O1344" i="4"/>
  <c r="O1398" i="4"/>
  <c r="Q1342" i="4"/>
  <c r="Q1478" i="4"/>
  <c r="N1369" i="4"/>
  <c r="N1507" i="4"/>
  <c r="J1261" i="4"/>
  <c r="J1316" i="4"/>
  <c r="J1398" i="4"/>
  <c r="E99" i="17"/>
  <c r="E99" i="12"/>
  <c r="D843" i="4"/>
  <c r="D848" i="4" s="1"/>
  <c r="I1396" i="4"/>
  <c r="H1289" i="4"/>
  <c r="M842" i="4"/>
  <c r="M847" i="4" s="1"/>
  <c r="T99" i="14"/>
  <c r="H1507" i="4"/>
  <c r="J1288" i="4"/>
  <c r="L1423" i="4"/>
  <c r="I1288" i="4"/>
  <c r="E843" i="4"/>
  <c r="E848" i="4" s="1"/>
  <c r="E99" i="13"/>
  <c r="E1318" i="4"/>
  <c r="L99" i="17"/>
  <c r="M1450" i="4"/>
  <c r="M1505" i="4"/>
  <c r="M1289" i="4"/>
  <c r="M1398" i="4"/>
  <c r="F1345" i="4"/>
  <c r="G842" i="4"/>
  <c r="G847" i="4" s="1"/>
  <c r="L99" i="13"/>
  <c r="G1317" i="4"/>
  <c r="K1372" i="4"/>
  <c r="H1506" i="4"/>
  <c r="H1291" i="4"/>
  <c r="H1478" i="4"/>
  <c r="H1372" i="4"/>
  <c r="R1504" i="4"/>
  <c r="R1479" i="4"/>
  <c r="R1262" i="4"/>
  <c r="S1261" i="4"/>
  <c r="S1505" i="4"/>
  <c r="P1477" i="4"/>
  <c r="P1397" i="4"/>
  <c r="P1263" i="4"/>
  <c r="O1262" i="4"/>
  <c r="Q1504" i="4"/>
  <c r="Q1263" i="4"/>
  <c r="N1423" i="4"/>
  <c r="N1291" i="4"/>
  <c r="N1426" i="4"/>
  <c r="J1423" i="4"/>
  <c r="J1264" i="4"/>
  <c r="J1451" i="4"/>
  <c r="J1343" i="4"/>
  <c r="Q840" i="4"/>
  <c r="Q845" i="4" s="1"/>
  <c r="N99" i="15"/>
  <c r="R1450" i="4"/>
  <c r="Q841" i="4"/>
  <c r="Q846" i="4" s="1"/>
  <c r="O99" i="15"/>
  <c r="J840" i="4"/>
  <c r="J845" i="4" s="1"/>
  <c r="F99" i="14"/>
  <c r="D1453" i="4"/>
  <c r="D1479" i="4"/>
  <c r="D1507" i="4"/>
  <c r="D1318" i="4"/>
  <c r="L841" i="4"/>
  <c r="L846" i="4" s="1"/>
  <c r="O99" i="14"/>
  <c r="L1263" i="4"/>
  <c r="L1343" i="4"/>
  <c r="I1342" i="4"/>
  <c r="I1262" i="4"/>
  <c r="E842" i="4"/>
  <c r="E847" i="4" s="1"/>
  <c r="D99" i="13"/>
  <c r="E1261" i="4"/>
  <c r="E1507" i="4"/>
  <c r="E1263" i="4"/>
  <c r="M99" i="17"/>
  <c r="M1423" i="4"/>
  <c r="M1316" i="4"/>
  <c r="M1478" i="4"/>
  <c r="F1369" i="4"/>
  <c r="F1317" i="4"/>
  <c r="F1425" i="4"/>
  <c r="J99" i="13"/>
  <c r="G840" i="4"/>
  <c r="G845" i="4" s="1"/>
  <c r="G1424" i="4"/>
  <c r="G1397" i="4"/>
  <c r="G1425" i="4"/>
  <c r="K1480" i="4"/>
  <c r="K1264" i="4"/>
  <c r="H1369" i="4"/>
  <c r="H1371" i="4"/>
  <c r="H1451" i="4"/>
  <c r="R1477" i="4"/>
  <c r="R1478" i="4"/>
  <c r="R1289" i="4"/>
  <c r="R1370" i="4"/>
  <c r="S1477" i="4"/>
  <c r="S1264" i="4"/>
  <c r="S1452" i="4"/>
  <c r="P1450" i="4"/>
  <c r="P1479" i="4"/>
  <c r="P1317" i="4"/>
  <c r="P1318" i="4"/>
  <c r="P1452" i="4"/>
  <c r="O1396" i="4"/>
  <c r="O1345" i="4"/>
  <c r="O1290" i="4"/>
  <c r="Q1370" i="4"/>
  <c r="Q1398" i="4"/>
  <c r="N1290" i="4"/>
  <c r="N1480" i="4"/>
  <c r="N1318" i="4"/>
  <c r="J1369" i="4"/>
  <c r="J1453" i="4"/>
  <c r="J1397" i="4"/>
  <c r="J1345" i="4"/>
  <c r="R840" i="4"/>
  <c r="R845" i="4" s="1"/>
  <c r="B99" i="16"/>
  <c r="N1477" i="4"/>
  <c r="J841" i="4"/>
  <c r="J846" i="4" s="1"/>
  <c r="G99" i="14"/>
  <c r="D1263" i="4"/>
  <c r="I1315" i="4"/>
  <c r="L840" i="4"/>
  <c r="L845" i="4" s="1"/>
  <c r="N99" i="14"/>
  <c r="D1264" i="4"/>
  <c r="L1504" i="4"/>
  <c r="I841" i="4"/>
  <c r="I846" i="4" s="1"/>
  <c r="C99" i="14"/>
  <c r="E840" i="4"/>
  <c r="E845" i="4" s="1"/>
  <c r="B99" i="13"/>
  <c r="E1423" i="4"/>
  <c r="E1480" i="4"/>
  <c r="J99" i="17"/>
  <c r="M1396" i="4"/>
  <c r="M1424" i="4"/>
  <c r="F1477" i="4"/>
  <c r="F1318" i="4"/>
  <c r="F1291" i="4"/>
  <c r="F1507" i="4"/>
  <c r="G1478" i="4"/>
  <c r="K840" i="4"/>
  <c r="K845" i="4" s="1"/>
  <c r="J99" i="14"/>
  <c r="K1342" i="4"/>
  <c r="H1315" i="4"/>
  <c r="H1343" i="4"/>
  <c r="H1370" i="4"/>
  <c r="R1369" i="4"/>
  <c r="R1263" i="4"/>
  <c r="R1316" i="4"/>
  <c r="R1372" i="4"/>
  <c r="S1423" i="4"/>
  <c r="S1345" i="4"/>
  <c r="S1290" i="4"/>
  <c r="P1504" i="4"/>
  <c r="P1453" i="4"/>
  <c r="P1289" i="4"/>
  <c r="O1288" i="4"/>
  <c r="O1480" i="4"/>
  <c r="Q1477" i="4"/>
  <c r="Q1316" i="4"/>
  <c r="Q1424" i="4"/>
  <c r="Q1343" i="4"/>
  <c r="Q1372" i="4"/>
  <c r="N1315" i="4"/>
  <c r="N1479" i="4"/>
  <c r="N1264" i="4"/>
  <c r="J1450" i="4"/>
  <c r="J1426" i="4"/>
  <c r="J1478" i="4"/>
  <c r="D1371" i="4"/>
  <c r="I840" i="4"/>
  <c r="I845" i="4" s="1"/>
  <c r="B99" i="14"/>
  <c r="H841" i="4"/>
  <c r="H846" i="4" s="1"/>
  <c r="O99" i="13"/>
  <c r="Q99" i="13"/>
  <c r="H843" i="4"/>
  <c r="H848" i="4" s="1"/>
  <c r="P99" i="15"/>
  <c r="Q842" i="4"/>
  <c r="Q847" i="4" s="1"/>
  <c r="D1452" i="4"/>
  <c r="L842" i="4"/>
  <c r="L847" i="4" s="1"/>
  <c r="P99" i="14"/>
  <c r="L1506" i="4"/>
  <c r="L1479" i="4"/>
  <c r="L1397" i="4"/>
  <c r="I1369" i="4"/>
  <c r="I1370" i="4"/>
  <c r="I1343" i="4"/>
  <c r="D1315" i="4"/>
  <c r="L843" i="4"/>
  <c r="L848" i="4" s="1"/>
  <c r="Q99" i="14"/>
  <c r="L1398" i="4"/>
  <c r="L1318" i="4"/>
  <c r="I843" i="4"/>
  <c r="I848" i="4" s="1"/>
  <c r="E99" i="14"/>
  <c r="I1261" i="4"/>
  <c r="I1399" i="4"/>
  <c r="I1397" i="4"/>
  <c r="E841" i="4"/>
  <c r="E846" i="4" s="1"/>
  <c r="C99" i="13"/>
  <c r="E1453" i="4"/>
  <c r="E1506" i="4"/>
  <c r="E1479" i="4"/>
  <c r="E1264" i="4"/>
  <c r="M1477" i="4"/>
  <c r="M1506" i="4"/>
  <c r="F1342" i="4"/>
  <c r="F1479" i="4"/>
  <c r="G1261" i="4"/>
  <c r="G1506" i="4"/>
  <c r="G1505" i="4"/>
  <c r="K841" i="4"/>
  <c r="K846" i="4" s="1"/>
  <c r="K99" i="14"/>
  <c r="K1288" i="4"/>
  <c r="K1343" i="4"/>
  <c r="K1426" i="4"/>
  <c r="H1504" i="4"/>
  <c r="H1505" i="4"/>
  <c r="R1318" i="4"/>
  <c r="R1317" i="4"/>
  <c r="R1505" i="4"/>
  <c r="R1480" i="4"/>
  <c r="S1450" i="4"/>
  <c r="S1507" i="4"/>
  <c r="S1479" i="4"/>
  <c r="P1291" i="4"/>
  <c r="P1371" i="4"/>
  <c r="P1262" i="4"/>
  <c r="P1316" i="4"/>
  <c r="O1342" i="4"/>
  <c r="O1291" i="4"/>
  <c r="O1479" i="4"/>
  <c r="O1316" i="4"/>
  <c r="O1397" i="4"/>
  <c r="Q1396" i="4"/>
  <c r="Q1399" i="4"/>
  <c r="N1450" i="4"/>
  <c r="N1262" i="4"/>
  <c r="N1344" i="4"/>
  <c r="N1263" i="4"/>
  <c r="J1342" i="4"/>
  <c r="J1371" i="4"/>
  <c r="J1399" i="4"/>
  <c r="J1290" i="4"/>
  <c r="R99" i="14"/>
  <c r="M840" i="4"/>
  <c r="M845" i="4" s="1"/>
  <c r="B99" i="17"/>
  <c r="K1453" i="4"/>
  <c r="R841" i="4"/>
  <c r="R846" i="4" s="1"/>
  <c r="C99" i="16"/>
  <c r="I99" i="17"/>
  <c r="J1289" i="4"/>
  <c r="D1317" i="4"/>
  <c r="D1291" i="4"/>
  <c r="D1398" i="4"/>
  <c r="L1477" i="4"/>
  <c r="D99" i="14"/>
  <c r="I842" i="4"/>
  <c r="I847" i="4" s="1"/>
  <c r="I1398" i="4"/>
  <c r="E1396" i="4"/>
  <c r="M843" i="4"/>
  <c r="M848" i="4" s="1"/>
  <c r="U99" i="14"/>
  <c r="M1342" i="4"/>
  <c r="M1370" i="4"/>
  <c r="M1263" i="4"/>
  <c r="M1344" i="4"/>
  <c r="F1504" i="4"/>
  <c r="F1316" i="4"/>
  <c r="G1315" i="4"/>
  <c r="G1263" i="4"/>
  <c r="G1451" i="4"/>
  <c r="G1344" i="4"/>
  <c r="G1345" i="4"/>
  <c r="K842" i="4"/>
  <c r="K847" i="4" s="1"/>
  <c r="L99" i="14"/>
  <c r="K1450" i="4"/>
  <c r="K1506" i="4"/>
  <c r="K1479" i="4"/>
  <c r="H1288" i="4"/>
  <c r="H1262" i="4"/>
  <c r="R1423" i="4"/>
  <c r="R1451" i="4"/>
  <c r="R1507" i="4"/>
  <c r="R1398" i="4"/>
  <c r="S1504" i="4"/>
  <c r="S1453" i="4"/>
  <c r="S1425" i="4"/>
  <c r="S1399" i="4"/>
  <c r="P1369" i="4"/>
  <c r="P1290" i="4"/>
  <c r="P1424" i="4"/>
  <c r="P1506" i="4"/>
  <c r="O1450" i="4"/>
  <c r="O1399" i="4"/>
  <c r="O1425" i="4"/>
  <c r="O1264" i="4"/>
  <c r="Q843" i="4"/>
  <c r="Q848" i="4" s="1"/>
  <c r="Q99" i="15"/>
  <c r="Q1450" i="4"/>
  <c r="Q1479" i="4"/>
  <c r="Q1505" i="4"/>
  <c r="N841" i="4"/>
  <c r="N846" i="4" s="1"/>
  <c r="C99" i="15"/>
  <c r="N1288" i="4"/>
  <c r="N1397" i="4"/>
  <c r="J1504" i="4"/>
  <c r="J1262" i="4"/>
  <c r="J1452" i="4"/>
  <c r="J1291" i="4"/>
  <c r="J1263" i="4"/>
  <c r="Q1184" i="4"/>
  <c r="O1182" i="4"/>
  <c r="R1184" i="4"/>
  <c r="I1184" i="4"/>
  <c r="P1183" i="4"/>
  <c r="P1184" i="4"/>
  <c r="H1183" i="4"/>
  <c r="G1183" i="4"/>
  <c r="G1181" i="4"/>
  <c r="P1181" i="4"/>
  <c r="P1182" i="4"/>
  <c r="I1182" i="4"/>
  <c r="K1184" i="4"/>
  <c r="O1183" i="4"/>
  <c r="I1181" i="4"/>
  <c r="H1184" i="4"/>
  <c r="G1182" i="4"/>
  <c r="H1182" i="4"/>
  <c r="G1184" i="4"/>
  <c r="R1183" i="4"/>
  <c r="J1182" i="4"/>
  <c r="F1183" i="4"/>
  <c r="F1181" i="4"/>
  <c r="Q1182" i="4"/>
  <c r="N1183" i="4"/>
  <c r="N1182" i="4"/>
  <c r="H1181" i="4"/>
  <c r="K1182" i="4"/>
  <c r="K1183" i="4"/>
  <c r="J1184" i="4"/>
  <c r="R1181" i="4"/>
  <c r="S1184" i="4"/>
  <c r="M1183" i="4"/>
  <c r="L1184" i="4"/>
  <c r="Q1181" i="4"/>
  <c r="E1182" i="4"/>
  <c r="L1182" i="4"/>
  <c r="L1183" i="4"/>
  <c r="J1181" i="4"/>
  <c r="F1184" i="4"/>
  <c r="Q1183" i="4"/>
  <c r="E1184" i="4"/>
  <c r="S1182" i="4"/>
  <c r="M1181" i="4"/>
  <c r="J1183" i="4"/>
  <c r="R1182" i="4"/>
  <c r="E1181" i="4"/>
  <c r="N1181" i="4"/>
  <c r="N1184" i="4"/>
  <c r="I1183" i="4"/>
  <c r="K1181" i="4"/>
  <c r="O1184" i="4"/>
  <c r="O1181" i="4"/>
  <c r="F1182" i="4"/>
  <c r="E1183" i="4"/>
  <c r="M1182" i="4"/>
  <c r="M1184" i="4"/>
  <c r="S1181" i="4"/>
  <c r="S1183" i="4"/>
  <c r="L1181" i="4"/>
  <c r="D1183" i="4"/>
  <c r="D1184" i="4"/>
  <c r="D1181" i="4"/>
  <c r="D1182" i="4"/>
  <c r="T68" i="3" l="1"/>
  <c r="T72" i="3" s="1"/>
  <c r="T69" i="3"/>
  <c r="T73" i="3" s="1"/>
  <c r="D813" i="4"/>
  <c r="D818" i="4" s="1"/>
  <c r="D98" i="12"/>
  <c r="R815" i="4"/>
  <c r="R820" i="4" s="1"/>
  <c r="E98" i="16"/>
  <c r="O815" i="4"/>
  <c r="O820" i="4" s="1"/>
  <c r="I98" i="15"/>
  <c r="M814" i="4"/>
  <c r="M819" i="4" s="1"/>
  <c r="T98" i="14"/>
  <c r="P815" i="4"/>
  <c r="P820" i="4" s="1"/>
  <c r="M98" i="15"/>
  <c r="I98" i="13"/>
  <c r="F815" i="4"/>
  <c r="F820" i="4" s="1"/>
  <c r="F98" i="15"/>
  <c r="O812" i="4"/>
  <c r="O817" i="4" s="1"/>
  <c r="L98" i="13"/>
  <c r="G814" i="4"/>
  <c r="G819" i="4" s="1"/>
  <c r="E814" i="4"/>
  <c r="E819" i="4" s="1"/>
  <c r="D98" i="13"/>
  <c r="G813" i="4"/>
  <c r="G818" i="4" s="1"/>
  <c r="K98" i="13"/>
  <c r="P813" i="4"/>
  <c r="P818" i="4" s="1"/>
  <c r="K98" i="15"/>
  <c r="F812" i="4"/>
  <c r="F817" i="4" s="1"/>
  <c r="F98" i="13"/>
  <c r="O813" i="4"/>
  <c r="O818" i="4" s="1"/>
  <c r="G98" i="15"/>
  <c r="J98" i="13"/>
  <c r="G812" i="4"/>
  <c r="G817" i="4" s="1"/>
  <c r="L98" i="15"/>
  <c r="P814" i="4"/>
  <c r="P819" i="4" s="1"/>
  <c r="H98" i="15"/>
  <c r="O814" i="4"/>
  <c r="O819" i="4" s="1"/>
  <c r="P812" i="4"/>
  <c r="P817" i="4" s="1"/>
  <c r="J98" i="15"/>
  <c r="G815" i="4"/>
  <c r="G820" i="4" s="1"/>
  <c r="M98" i="13"/>
  <c r="H812" i="4"/>
  <c r="H817" i="4" s="1"/>
  <c r="N98" i="13"/>
  <c r="Q815" i="4"/>
  <c r="Q820" i="4" s="1"/>
  <c r="Q98" i="15"/>
  <c r="K815" i="4"/>
  <c r="K820" i="4" s="1"/>
  <c r="M98" i="14"/>
  <c r="H813" i="4"/>
  <c r="H818" i="4" s="1"/>
  <c r="O98" i="13"/>
  <c r="R812" i="4"/>
  <c r="R817" i="4" s="1"/>
  <c r="B98" i="16"/>
  <c r="K98" i="14"/>
  <c r="K813" i="4"/>
  <c r="K818" i="4" s="1"/>
  <c r="I812" i="4"/>
  <c r="I817" i="4" s="1"/>
  <c r="B98" i="14"/>
  <c r="P98" i="13"/>
  <c r="H814" i="4"/>
  <c r="H819" i="4" s="1"/>
  <c r="G98" i="16"/>
  <c r="S813" i="4"/>
  <c r="S818" i="4" s="1"/>
  <c r="N814" i="4"/>
  <c r="N819" i="4" s="1"/>
  <c r="D98" i="15"/>
  <c r="K814" i="4"/>
  <c r="K819" i="4" s="1"/>
  <c r="L98" i="14"/>
  <c r="I813" i="4"/>
  <c r="I818" i="4" s="1"/>
  <c r="C98" i="14"/>
  <c r="J812" i="4"/>
  <c r="J817" i="4" s="1"/>
  <c r="F98" i="14"/>
  <c r="H815" i="4"/>
  <c r="H820" i="4" s="1"/>
  <c r="Q98" i="13"/>
  <c r="E98" i="12"/>
  <c r="D815" i="4"/>
  <c r="D820" i="4" s="1"/>
  <c r="R98" i="14"/>
  <c r="M812" i="4"/>
  <c r="M817" i="4" s="1"/>
  <c r="F813" i="4"/>
  <c r="F818" i="4" s="1"/>
  <c r="G98" i="13"/>
  <c r="E813" i="4"/>
  <c r="E818" i="4" s="1"/>
  <c r="C98" i="13"/>
  <c r="Q813" i="4"/>
  <c r="Q818" i="4" s="1"/>
  <c r="O98" i="15"/>
  <c r="S814" i="4"/>
  <c r="S819" i="4" s="1"/>
  <c r="H98" i="16"/>
  <c r="E98" i="15"/>
  <c r="N815" i="4"/>
  <c r="N820" i="4" s="1"/>
  <c r="K812" i="4"/>
  <c r="K817" i="4" s="1"/>
  <c r="J98" i="14"/>
  <c r="Q98" i="14"/>
  <c r="L815" i="4"/>
  <c r="L820" i="4" s="1"/>
  <c r="D98" i="14"/>
  <c r="I814" i="4"/>
  <c r="I819" i="4" s="1"/>
  <c r="G98" i="14"/>
  <c r="J813" i="4"/>
  <c r="J818" i="4" s="1"/>
  <c r="L812" i="4"/>
  <c r="L817" i="4" s="1"/>
  <c r="N98" i="14"/>
  <c r="M813" i="4"/>
  <c r="M818" i="4" s="1"/>
  <c r="S98" i="14"/>
  <c r="F814" i="4"/>
  <c r="F819" i="4" s="1"/>
  <c r="H98" i="13"/>
  <c r="S815" i="4"/>
  <c r="S820" i="4" s="1"/>
  <c r="I98" i="16"/>
  <c r="R814" i="4"/>
  <c r="R819" i="4" s="1"/>
  <c r="D98" i="16"/>
  <c r="N813" i="4"/>
  <c r="N818" i="4" s="1"/>
  <c r="C98" i="15"/>
  <c r="L813" i="4"/>
  <c r="L818" i="4" s="1"/>
  <c r="O98" i="14"/>
  <c r="I815" i="4"/>
  <c r="I820" i="4" s="1"/>
  <c r="E98" i="14"/>
  <c r="J814" i="4"/>
  <c r="J819" i="4" s="1"/>
  <c r="H98" i="14"/>
  <c r="E98" i="13"/>
  <c r="E815" i="4"/>
  <c r="E820" i="4" s="1"/>
  <c r="P98" i="15"/>
  <c r="Q814" i="4"/>
  <c r="Q819" i="4" s="1"/>
  <c r="B98" i="13"/>
  <c r="E812" i="4"/>
  <c r="E817" i="4" s="1"/>
  <c r="Q812" i="4"/>
  <c r="Q817" i="4" s="1"/>
  <c r="N98" i="15"/>
  <c r="S812" i="4"/>
  <c r="S817" i="4" s="1"/>
  <c r="F98" i="16"/>
  <c r="R813" i="4"/>
  <c r="R818" i="4" s="1"/>
  <c r="C98" i="16"/>
  <c r="N812" i="4"/>
  <c r="N817" i="4" s="1"/>
  <c r="L814" i="4"/>
  <c r="L819" i="4" s="1"/>
  <c r="P98" i="14"/>
  <c r="J815" i="4"/>
  <c r="J820" i="4" s="1"/>
  <c r="I98" i="14"/>
  <c r="U98" i="14"/>
  <c r="M815" i="4"/>
  <c r="M820" i="4" s="1"/>
  <c r="B99" i="12"/>
  <c r="D812" i="4"/>
  <c r="D817" i="4" s="1"/>
  <c r="B98" i="12"/>
  <c r="H1180" i="4"/>
  <c r="J1180" i="4"/>
  <c r="Q1180" i="4"/>
  <c r="M1180" i="4"/>
  <c r="N1180" i="4"/>
  <c r="K1180" i="4"/>
  <c r="R1180" i="4"/>
  <c r="I1180" i="4"/>
  <c r="P1180" i="4"/>
  <c r="S1180" i="4"/>
  <c r="F1180" i="4"/>
  <c r="L1180" i="4"/>
  <c r="O1180" i="4"/>
  <c r="E1180" i="4"/>
  <c r="G1180" i="4"/>
  <c r="D1180" i="4"/>
  <c r="V143" i="23" l="1"/>
  <c r="T143" i="23"/>
  <c r="M143" i="23"/>
  <c r="L143" i="23"/>
  <c r="K143" i="23"/>
  <c r="F143" i="23"/>
  <c r="V137" i="23"/>
  <c r="V142" i="23" s="1"/>
  <c r="T137" i="23"/>
  <c r="T142" i="23" s="1"/>
  <c r="M137" i="23"/>
  <c r="M142" i="23" s="1"/>
  <c r="L137" i="23"/>
  <c r="L142" i="23" s="1"/>
  <c r="K137" i="23"/>
  <c r="K142" i="23" s="1"/>
  <c r="F137" i="23"/>
  <c r="F142" i="23" s="1"/>
  <c r="V136" i="23"/>
  <c r="V141" i="23" s="1"/>
  <c r="T136" i="23"/>
  <c r="T141" i="23" s="1"/>
  <c r="M136" i="23"/>
  <c r="M141" i="23" s="1"/>
  <c r="L136" i="23"/>
  <c r="L141" i="23" s="1"/>
  <c r="K136" i="23"/>
  <c r="K141" i="23" s="1"/>
  <c r="F136" i="23"/>
  <c r="F141" i="23" s="1"/>
  <c r="V135" i="23"/>
  <c r="V140" i="23" s="1"/>
  <c r="T135" i="23"/>
  <c r="T140" i="23" s="1"/>
  <c r="M135" i="23"/>
  <c r="M140" i="23" s="1"/>
  <c r="L135" i="23"/>
  <c r="L140" i="23" s="1"/>
  <c r="K135" i="23"/>
  <c r="K140" i="23" s="1"/>
  <c r="F135" i="23"/>
  <c r="F140" i="23" s="1"/>
  <c r="V119" i="23"/>
  <c r="U119" i="23"/>
  <c r="T119" i="23"/>
  <c r="S119" i="23"/>
  <c r="R119" i="23"/>
  <c r="R121" i="23" s="1"/>
  <c r="Q119" i="23"/>
  <c r="Q121" i="23" s="1"/>
  <c r="O119" i="23"/>
  <c r="N119" i="23"/>
  <c r="M119" i="23"/>
  <c r="L119" i="23"/>
  <c r="K119" i="23"/>
  <c r="J119" i="23"/>
  <c r="J121" i="23" s="1"/>
  <c r="I119" i="23"/>
  <c r="I121" i="23" s="1"/>
  <c r="H119" i="23"/>
  <c r="G119" i="23"/>
  <c r="F119" i="23"/>
  <c r="E119" i="23"/>
  <c r="D119" i="23"/>
  <c r="V114" i="23"/>
  <c r="T114" i="23"/>
  <c r="M114" i="23"/>
  <c r="L114" i="23"/>
  <c r="K114" i="23"/>
  <c r="F114" i="23"/>
  <c r="V108" i="23"/>
  <c r="V113" i="23" s="1"/>
  <c r="T108" i="23"/>
  <c r="T113" i="23" s="1"/>
  <c r="M108" i="23"/>
  <c r="M113" i="23" s="1"/>
  <c r="L108" i="23"/>
  <c r="L113" i="23" s="1"/>
  <c r="K108" i="23"/>
  <c r="K113" i="23" s="1"/>
  <c r="F108" i="23"/>
  <c r="F113" i="23" s="1"/>
  <c r="V107" i="23"/>
  <c r="V112" i="23" s="1"/>
  <c r="T107" i="23"/>
  <c r="T112" i="23" s="1"/>
  <c r="M107" i="23"/>
  <c r="M112" i="23" s="1"/>
  <c r="L107" i="23"/>
  <c r="L112" i="23" s="1"/>
  <c r="K107" i="23"/>
  <c r="K112" i="23" s="1"/>
  <c r="F107" i="23"/>
  <c r="F112" i="23" s="1"/>
  <c r="V106" i="23"/>
  <c r="V111" i="23" s="1"/>
  <c r="T106" i="23"/>
  <c r="T111" i="23" s="1"/>
  <c r="M106" i="23"/>
  <c r="M111" i="23" s="1"/>
  <c r="L106" i="23"/>
  <c r="L111" i="23" s="1"/>
  <c r="K106" i="23"/>
  <c r="K111" i="23" s="1"/>
  <c r="F106" i="23"/>
  <c r="F111" i="23" s="1"/>
  <c r="V90" i="23"/>
  <c r="V91" i="23" s="1"/>
  <c r="U90" i="23"/>
  <c r="T90" i="23"/>
  <c r="T91" i="23" s="1"/>
  <c r="T92" i="23" s="1"/>
  <c r="S90" i="23"/>
  <c r="S91" i="23" s="1"/>
  <c r="S92" i="23" s="1"/>
  <c r="R90" i="23"/>
  <c r="R91" i="23" s="1"/>
  <c r="Q90" i="23"/>
  <c r="Q91" i="23" s="1"/>
  <c r="Q92" i="23" s="1"/>
  <c r="P90" i="23"/>
  <c r="O90" i="23"/>
  <c r="N90" i="23"/>
  <c r="N91" i="23" s="1"/>
  <c r="M90" i="23"/>
  <c r="L90" i="23"/>
  <c r="L91" i="23" s="1"/>
  <c r="L92" i="23" s="1"/>
  <c r="K90" i="23"/>
  <c r="K91" i="23" s="1"/>
  <c r="K92" i="23" s="1"/>
  <c r="J90" i="23"/>
  <c r="J91" i="23" s="1"/>
  <c r="I90" i="23"/>
  <c r="I91" i="23" s="1"/>
  <c r="I92" i="23" s="1"/>
  <c r="H90" i="23"/>
  <c r="G90" i="23"/>
  <c r="F90" i="23"/>
  <c r="F91" i="23" s="1"/>
  <c r="E90" i="23"/>
  <c r="D90" i="23"/>
  <c r="D92" i="23" s="1"/>
  <c r="V85" i="23"/>
  <c r="T85" i="23"/>
  <c r="M85" i="23"/>
  <c r="L85" i="23"/>
  <c r="K85" i="23"/>
  <c r="F85" i="23"/>
  <c r="V79" i="23"/>
  <c r="V84" i="23" s="1"/>
  <c r="T79" i="23"/>
  <c r="T84" i="23" s="1"/>
  <c r="M79" i="23"/>
  <c r="M84" i="23" s="1"/>
  <c r="L79" i="23"/>
  <c r="L84" i="23" s="1"/>
  <c r="K79" i="23"/>
  <c r="K84" i="23" s="1"/>
  <c r="F79" i="23"/>
  <c r="F84" i="23" s="1"/>
  <c r="V78" i="23"/>
  <c r="V83" i="23" s="1"/>
  <c r="T78" i="23"/>
  <c r="T83" i="23" s="1"/>
  <c r="M78" i="23"/>
  <c r="M83" i="23" s="1"/>
  <c r="L78" i="23"/>
  <c r="L83" i="23" s="1"/>
  <c r="K78" i="23"/>
  <c r="K83" i="23" s="1"/>
  <c r="F78" i="23"/>
  <c r="F83" i="23" s="1"/>
  <c r="V77" i="23"/>
  <c r="V82" i="23" s="1"/>
  <c r="T77" i="23"/>
  <c r="T82" i="23" s="1"/>
  <c r="M77" i="23"/>
  <c r="M82" i="23" s="1"/>
  <c r="L77" i="23"/>
  <c r="L82" i="23" s="1"/>
  <c r="K77" i="23"/>
  <c r="K82" i="23" s="1"/>
  <c r="F77" i="23"/>
  <c r="F82" i="23" s="1"/>
  <c r="V61" i="23"/>
  <c r="V63" i="23" s="1"/>
  <c r="U61" i="23"/>
  <c r="T61" i="23"/>
  <c r="T63" i="23" s="1"/>
  <c r="S61" i="23"/>
  <c r="R61" i="23"/>
  <c r="Q61" i="23"/>
  <c r="P61" i="23"/>
  <c r="O61" i="23"/>
  <c r="N61" i="23"/>
  <c r="N63" i="23" s="1"/>
  <c r="M61" i="23"/>
  <c r="L61" i="23"/>
  <c r="L63" i="23" s="1"/>
  <c r="K61" i="23"/>
  <c r="J61" i="23"/>
  <c r="I61" i="23"/>
  <c r="H61" i="23"/>
  <c r="G61" i="23"/>
  <c r="F61" i="23"/>
  <c r="F63" i="23" s="1"/>
  <c r="E61" i="23"/>
  <c r="D61" i="23"/>
  <c r="D63" i="23" s="1"/>
  <c r="V50" i="23"/>
  <c r="T50" i="23"/>
  <c r="L50" i="23"/>
  <c r="K50" i="23"/>
  <c r="F50" i="23"/>
  <c r="V49" i="23"/>
  <c r="T49" i="23"/>
  <c r="L49" i="23"/>
  <c r="K49" i="23"/>
  <c r="F49" i="23"/>
  <c r="V48" i="23"/>
  <c r="T48" i="23"/>
  <c r="L48" i="23"/>
  <c r="K48" i="23"/>
  <c r="F48" i="23"/>
  <c r="V32" i="23"/>
  <c r="U32" i="23"/>
  <c r="T32" i="23"/>
  <c r="S32" i="23"/>
  <c r="R32" i="23"/>
  <c r="R34" i="23" s="1"/>
  <c r="Q32" i="23"/>
  <c r="Q34" i="23" s="1"/>
  <c r="P32" i="23"/>
  <c r="O32" i="23"/>
  <c r="N32" i="23"/>
  <c r="M32" i="23"/>
  <c r="L32" i="23"/>
  <c r="K32" i="23"/>
  <c r="J32" i="23"/>
  <c r="J34" i="23" s="1"/>
  <c r="I32" i="23"/>
  <c r="I34" i="23" s="1"/>
  <c r="H32" i="23"/>
  <c r="G32" i="23"/>
  <c r="F32" i="23"/>
  <c r="E32" i="23"/>
  <c r="D32" i="23"/>
  <c r="V4" i="23"/>
  <c r="U4" i="23"/>
  <c r="T4" i="23"/>
  <c r="R4" i="23"/>
  <c r="R6" i="23" s="1"/>
  <c r="Q4" i="23"/>
  <c r="Q6" i="23" s="1"/>
  <c r="P4" i="23"/>
  <c r="O4" i="23"/>
  <c r="N4" i="23"/>
  <c r="L4" i="23"/>
  <c r="I4" i="23"/>
  <c r="I6" i="23" s="1"/>
  <c r="H4" i="23"/>
  <c r="G4" i="23"/>
  <c r="F4" i="23"/>
  <c r="E4" i="23"/>
  <c r="E6" i="23" s="1"/>
  <c r="D4" i="23"/>
  <c r="J4" i="23"/>
  <c r="E7" i="23" l="1"/>
  <c r="E8" i="23" s="1"/>
  <c r="E121" i="23"/>
  <c r="E122" i="23" s="1"/>
  <c r="E123" i="23" s="1"/>
  <c r="E125" i="23" s="1"/>
  <c r="E127" i="23" s="1"/>
  <c r="E134" i="23" s="1"/>
  <c r="E139" i="23" s="1"/>
  <c r="U121" i="23"/>
  <c r="U122" i="23" s="1"/>
  <c r="U123" i="23" s="1"/>
  <c r="U125" i="23" s="1"/>
  <c r="U127" i="23" s="1"/>
  <c r="U134" i="23" s="1"/>
  <c r="U139" i="23" s="1"/>
  <c r="T121" i="23"/>
  <c r="T122" i="23" s="1"/>
  <c r="L121" i="23"/>
  <c r="L122" i="23" s="1"/>
  <c r="L123" i="23" s="1"/>
  <c r="L125" i="23" s="1"/>
  <c r="L127" i="23" s="1"/>
  <c r="L134" i="23" s="1"/>
  <c r="L139" i="23" s="1"/>
  <c r="D121" i="23"/>
  <c r="D122" i="23" s="1"/>
  <c r="M121" i="23"/>
  <c r="M122" i="23" s="1"/>
  <c r="M123" i="23" s="1"/>
  <c r="M125" i="23" s="1"/>
  <c r="M127" i="23" s="1"/>
  <c r="M134" i="23" s="1"/>
  <c r="M139" i="23" s="1"/>
  <c r="F92" i="23"/>
  <c r="N92" i="23"/>
  <c r="N93" i="23" s="1"/>
  <c r="V92" i="23"/>
  <c r="V93" i="23" s="1"/>
  <c r="V94" i="23" s="1"/>
  <c r="V96" i="23" s="1"/>
  <c r="V98" i="23" s="1"/>
  <c r="V105" i="23" s="1"/>
  <c r="V110" i="23" s="1"/>
  <c r="Q63" i="23"/>
  <c r="M63" i="23"/>
  <c r="M64" i="23" s="1"/>
  <c r="M65" i="23" s="1"/>
  <c r="M67" i="23" s="1"/>
  <c r="M69" i="23" s="1"/>
  <c r="M76" i="23" s="1"/>
  <c r="M81" i="23" s="1"/>
  <c r="U63" i="23"/>
  <c r="I63" i="23"/>
  <c r="E63" i="23"/>
  <c r="L34" i="23"/>
  <c r="L35" i="23" s="1"/>
  <c r="L36" i="23" s="1"/>
  <c r="L38" i="23" s="1"/>
  <c r="L40" i="23" s="1"/>
  <c r="L47" i="23" s="1"/>
  <c r="L52" i="23" s="1"/>
  <c r="T34" i="23"/>
  <c r="T35" i="23" s="1"/>
  <c r="T36" i="23" s="1"/>
  <c r="T38" i="23" s="1"/>
  <c r="T40" i="23" s="1"/>
  <c r="T47" i="23" s="1"/>
  <c r="T52" i="23" s="1"/>
  <c r="M34" i="23"/>
  <c r="M35" i="23" s="1"/>
  <c r="U34" i="23"/>
  <c r="D34" i="23"/>
  <c r="E34" i="23"/>
  <c r="I122" i="23"/>
  <c r="I123" i="23" s="1"/>
  <c r="I125" i="23" s="1"/>
  <c r="I127" i="23" s="1"/>
  <c r="I134" i="23" s="1"/>
  <c r="I139" i="23" s="1"/>
  <c r="Q122" i="23"/>
  <c r="Q123" i="23" s="1"/>
  <c r="Q125" i="23" s="1"/>
  <c r="Q127" i="23" s="1"/>
  <c r="Q134" i="23" s="1"/>
  <c r="Q139" i="23" s="1"/>
  <c r="J122" i="23"/>
  <c r="J123" i="23" s="1"/>
  <c r="J125" i="23" s="1"/>
  <c r="J127" i="23" s="1"/>
  <c r="J134" i="23" s="1"/>
  <c r="J139" i="23" s="1"/>
  <c r="R122" i="23"/>
  <c r="R123" i="23" s="1"/>
  <c r="R125" i="23" s="1"/>
  <c r="R127" i="23" s="1"/>
  <c r="R134" i="23" s="1"/>
  <c r="R139" i="23" s="1"/>
  <c r="F121" i="23"/>
  <c r="N121" i="23"/>
  <c r="V121" i="23"/>
  <c r="K121" i="23"/>
  <c r="S121" i="23"/>
  <c r="G121" i="23"/>
  <c r="O121" i="23"/>
  <c r="H121" i="23"/>
  <c r="K93" i="23"/>
  <c r="K94" i="23" s="1"/>
  <c r="K96" i="23" s="1"/>
  <c r="K98" i="23" s="1"/>
  <c r="K105" i="23" s="1"/>
  <c r="K110" i="23" s="1"/>
  <c r="S93" i="23"/>
  <c r="S94" i="23" s="1"/>
  <c r="S96" i="23" s="1"/>
  <c r="S98" i="23" s="1"/>
  <c r="S105" i="23" s="1"/>
  <c r="S110" i="23" s="1"/>
  <c r="T93" i="23"/>
  <c r="T94" i="23" s="1"/>
  <c r="T96" i="23" s="1"/>
  <c r="T98" i="23" s="1"/>
  <c r="T105" i="23" s="1"/>
  <c r="T110" i="23" s="1"/>
  <c r="D93" i="23"/>
  <c r="D94" i="23" s="1"/>
  <c r="D96" i="23" s="1"/>
  <c r="D98" i="23" s="1"/>
  <c r="I93" i="23"/>
  <c r="I94" i="23" s="1"/>
  <c r="I96" i="23" s="1"/>
  <c r="I98" i="23" s="1"/>
  <c r="I105" i="23" s="1"/>
  <c r="I110" i="23" s="1"/>
  <c r="Q93" i="23"/>
  <c r="Q94" i="23" s="1"/>
  <c r="Q96" i="23" s="1"/>
  <c r="Q98" i="23" s="1"/>
  <c r="Q105" i="23" s="1"/>
  <c r="Q110" i="23" s="1"/>
  <c r="L93" i="23"/>
  <c r="L94" i="23" s="1"/>
  <c r="L96" i="23" s="1"/>
  <c r="L98" i="23" s="1"/>
  <c r="L105" i="23" s="1"/>
  <c r="L110" i="23" s="1"/>
  <c r="E91" i="23"/>
  <c r="E92" i="23" s="1"/>
  <c r="M91" i="23"/>
  <c r="M92" i="23" s="1"/>
  <c r="U91" i="23"/>
  <c r="U92" i="23" s="1"/>
  <c r="J92" i="23"/>
  <c r="R92" i="23"/>
  <c r="G91" i="23"/>
  <c r="G92" i="23" s="1"/>
  <c r="O91" i="23"/>
  <c r="O92" i="23" s="1"/>
  <c r="H91" i="23"/>
  <c r="H92" i="23" s="1"/>
  <c r="P91" i="23"/>
  <c r="P92" i="23" s="1"/>
  <c r="L64" i="23"/>
  <c r="L65" i="23" s="1"/>
  <c r="L67" i="23" s="1"/>
  <c r="L69" i="23" s="1"/>
  <c r="L76" i="23" s="1"/>
  <c r="L81" i="23" s="1"/>
  <c r="T64" i="23"/>
  <c r="T65" i="23" s="1"/>
  <c r="T67" i="23" s="1"/>
  <c r="T69" i="23" s="1"/>
  <c r="T76" i="23" s="1"/>
  <c r="T81" i="23" s="1"/>
  <c r="F64" i="23"/>
  <c r="F65" i="23" s="1"/>
  <c r="F67" i="23" s="1"/>
  <c r="F69" i="23" s="1"/>
  <c r="F76" i="23" s="1"/>
  <c r="F81" i="23" s="1"/>
  <c r="N64" i="23"/>
  <c r="N65" i="23" s="1"/>
  <c r="V64" i="23"/>
  <c r="V65" i="23" s="1"/>
  <c r="V67" i="23" s="1"/>
  <c r="V69" i="23" s="1"/>
  <c r="V76" i="23" s="1"/>
  <c r="V81" i="23" s="1"/>
  <c r="D64" i="23"/>
  <c r="D65" i="23" s="1"/>
  <c r="J63" i="23"/>
  <c r="R63" i="23"/>
  <c r="K63" i="23"/>
  <c r="S63" i="23"/>
  <c r="G63" i="23"/>
  <c r="H63" i="23"/>
  <c r="P63" i="23"/>
  <c r="O63" i="23"/>
  <c r="Q35" i="23"/>
  <c r="Q36" i="23" s="1"/>
  <c r="R35" i="23"/>
  <c r="R36" i="23" s="1"/>
  <c r="J35" i="23"/>
  <c r="J36" i="23" s="1"/>
  <c r="J38" i="23" s="1"/>
  <c r="J40" i="23" s="1"/>
  <c r="J47" i="23" s="1"/>
  <c r="J52" i="23" s="1"/>
  <c r="H34" i="23"/>
  <c r="I35" i="23"/>
  <c r="I36" i="23" s="1"/>
  <c r="F34" i="23"/>
  <c r="N34" i="23"/>
  <c r="V34" i="23"/>
  <c r="K34" i="23"/>
  <c r="S34" i="23"/>
  <c r="G34" i="23"/>
  <c r="O34" i="23"/>
  <c r="P34" i="23"/>
  <c r="T6" i="23"/>
  <c r="U6" i="23"/>
  <c r="D6" i="23"/>
  <c r="H6" i="23"/>
  <c r="L6" i="23"/>
  <c r="P6" i="23"/>
  <c r="I7" i="23"/>
  <c r="I8" i="23" s="1"/>
  <c r="J6" i="23"/>
  <c r="S6" i="23"/>
  <c r="Q7" i="23"/>
  <c r="Q8" i="23" s="1"/>
  <c r="R7" i="23"/>
  <c r="R8" i="23" s="1"/>
  <c r="F6" i="23"/>
  <c r="N6" i="23"/>
  <c r="V6" i="23"/>
  <c r="G6" i="23"/>
  <c r="O6" i="23"/>
  <c r="U35" i="23" l="1"/>
  <c r="U36" i="23" s="1"/>
  <c r="E35" i="23"/>
  <c r="E36" i="23" s="1"/>
  <c r="R38" i="23"/>
  <c r="R40" i="23" s="1"/>
  <c r="N94" i="23"/>
  <c r="N96" i="23" s="1"/>
  <c r="N98" i="23" s="1"/>
  <c r="N105" i="23" s="1"/>
  <c r="N110" i="23" s="1"/>
  <c r="N67" i="23"/>
  <c r="N69" i="23" s="1"/>
  <c r="I10" i="23"/>
  <c r="I12" i="23" s="1"/>
  <c r="F93" i="23"/>
  <c r="F94" i="23" s="1"/>
  <c r="F96" i="23" s="1"/>
  <c r="F98" i="23" s="1"/>
  <c r="F105" i="23" s="1"/>
  <c r="F110" i="23" s="1"/>
  <c r="I38" i="23"/>
  <c r="I40" i="23" s="1"/>
  <c r="E10" i="23"/>
  <c r="E12" i="23" s="1"/>
  <c r="U64" i="23"/>
  <c r="U65" i="23" s="1"/>
  <c r="P7" i="23"/>
  <c r="P8" i="23" s="1"/>
  <c r="R10" i="23"/>
  <c r="R12" i="23" s="1"/>
  <c r="E120" i="16"/>
  <c r="I64" i="23"/>
  <c r="I65" i="23" s="1"/>
  <c r="T123" i="23"/>
  <c r="T125" i="23" s="1"/>
  <c r="T127" i="23" s="1"/>
  <c r="T134" i="23" s="1"/>
  <c r="T139" i="23" s="1"/>
  <c r="M36" i="23"/>
  <c r="M38" i="23" s="1"/>
  <c r="M40" i="23" s="1"/>
  <c r="L55" i="23"/>
  <c r="Q64" i="23"/>
  <c r="Q65" i="23" s="1"/>
  <c r="T55" i="23"/>
  <c r="D67" i="23"/>
  <c r="D69" i="23" s="1"/>
  <c r="L54" i="23"/>
  <c r="T54" i="23"/>
  <c r="L53" i="23"/>
  <c r="D123" i="23"/>
  <c r="T53" i="23"/>
  <c r="Q10" i="23"/>
  <c r="Q12" i="23" s="1"/>
  <c r="L56" i="23"/>
  <c r="Q38" i="23"/>
  <c r="Q40" i="23" s="1"/>
  <c r="D105" i="23"/>
  <c r="D110" i="23" s="1"/>
  <c r="D114" i="23"/>
  <c r="D108" i="23"/>
  <c r="D113" i="23" s="1"/>
  <c r="D107" i="23"/>
  <c r="D112" i="23" s="1"/>
  <c r="D106" i="23"/>
  <c r="D111" i="23" s="1"/>
  <c r="T56" i="23"/>
  <c r="D7" i="23"/>
  <c r="D8" i="23" s="1"/>
  <c r="E64" i="23"/>
  <c r="E65" i="23" s="1"/>
  <c r="D35" i="23"/>
  <c r="D36" i="23" s="1"/>
  <c r="P125" i="23"/>
  <c r="P127" i="23" s="1"/>
  <c r="V122" i="23"/>
  <c r="V123" i="23" s="1"/>
  <c r="V125" i="23" s="1"/>
  <c r="V127" i="23" s="1"/>
  <c r="V134" i="23" s="1"/>
  <c r="V139" i="23" s="1"/>
  <c r="O122" i="23"/>
  <c r="O123" i="23" s="1"/>
  <c r="O125" i="23" s="1"/>
  <c r="O127" i="23" s="1"/>
  <c r="O134" i="23" s="1"/>
  <c r="O139" i="23" s="1"/>
  <c r="N122" i="23"/>
  <c r="N123" i="23" s="1"/>
  <c r="N125" i="23" s="1"/>
  <c r="N127" i="23" s="1"/>
  <c r="K122" i="23"/>
  <c r="K123" i="23" s="1"/>
  <c r="K125" i="23" s="1"/>
  <c r="K127" i="23" s="1"/>
  <c r="K134" i="23" s="1"/>
  <c r="K139" i="23" s="1"/>
  <c r="S122" i="23"/>
  <c r="S123" i="23" s="1"/>
  <c r="S125" i="23" s="1"/>
  <c r="S127" i="23" s="1"/>
  <c r="S134" i="23" s="1"/>
  <c r="S139" i="23" s="1"/>
  <c r="F122" i="23"/>
  <c r="F123" i="23" s="1"/>
  <c r="F125" i="23" s="1"/>
  <c r="F127" i="23" s="1"/>
  <c r="F134" i="23" s="1"/>
  <c r="F139" i="23" s="1"/>
  <c r="G122" i="23"/>
  <c r="G123" i="23" s="1"/>
  <c r="G125" i="23" s="1"/>
  <c r="G127" i="23" s="1"/>
  <c r="G134" i="23" s="1"/>
  <c r="G139" i="23" s="1"/>
  <c r="H122" i="23"/>
  <c r="H123" i="23" s="1"/>
  <c r="H125" i="23" s="1"/>
  <c r="H127" i="23" s="1"/>
  <c r="H134" i="23" s="1"/>
  <c r="H139" i="23" s="1"/>
  <c r="U93" i="23"/>
  <c r="U94" i="23" s="1"/>
  <c r="U96" i="23" s="1"/>
  <c r="U98" i="23" s="1"/>
  <c r="U105" i="23" s="1"/>
  <c r="U110" i="23" s="1"/>
  <c r="E93" i="23"/>
  <c r="E94" i="23" s="1"/>
  <c r="E96" i="23" s="1"/>
  <c r="E98" i="23" s="1"/>
  <c r="E105" i="23" s="1"/>
  <c r="E110" i="23" s="1"/>
  <c r="M93" i="23"/>
  <c r="M94" i="23" s="1"/>
  <c r="M96" i="23" s="1"/>
  <c r="M98" i="23" s="1"/>
  <c r="M105" i="23" s="1"/>
  <c r="M110" i="23" s="1"/>
  <c r="P93" i="23"/>
  <c r="P94" i="23" s="1"/>
  <c r="P96" i="23" s="1"/>
  <c r="P98" i="23" s="1"/>
  <c r="P105" i="23" s="1"/>
  <c r="P110" i="23" s="1"/>
  <c r="R93" i="23"/>
  <c r="R94" i="23" s="1"/>
  <c r="R96" i="23" s="1"/>
  <c r="R98" i="23" s="1"/>
  <c r="R105" i="23" s="1"/>
  <c r="R110" i="23" s="1"/>
  <c r="O93" i="23"/>
  <c r="O94" i="23" s="1"/>
  <c r="O96" i="23" s="1"/>
  <c r="O98" i="23" s="1"/>
  <c r="O105" i="23" s="1"/>
  <c r="O110" i="23" s="1"/>
  <c r="J93" i="23"/>
  <c r="J94" i="23" s="1"/>
  <c r="J96" i="23" s="1"/>
  <c r="J98" i="23" s="1"/>
  <c r="J105" i="23" s="1"/>
  <c r="J110" i="23" s="1"/>
  <c r="H93" i="23"/>
  <c r="H94" i="23" s="1"/>
  <c r="H96" i="23" s="1"/>
  <c r="H98" i="23" s="1"/>
  <c r="H105" i="23" s="1"/>
  <c r="H110" i="23" s="1"/>
  <c r="G93" i="23"/>
  <c r="G94" i="23" s="1"/>
  <c r="G96" i="23" s="1"/>
  <c r="G98" i="23" s="1"/>
  <c r="G105" i="23" s="1"/>
  <c r="G110" i="23" s="1"/>
  <c r="G64" i="23"/>
  <c r="G65" i="23" s="1"/>
  <c r="H64" i="23"/>
  <c r="H65" i="23" s="1"/>
  <c r="O64" i="23"/>
  <c r="O65" i="23" s="1"/>
  <c r="S64" i="23"/>
  <c r="S65" i="23" s="1"/>
  <c r="K64" i="23"/>
  <c r="K65" i="23" s="1"/>
  <c r="K67" i="23" s="1"/>
  <c r="K69" i="23" s="1"/>
  <c r="K76" i="23" s="1"/>
  <c r="K81" i="23" s="1"/>
  <c r="P64" i="23"/>
  <c r="P65" i="23" s="1"/>
  <c r="R64" i="23"/>
  <c r="R65" i="23" s="1"/>
  <c r="J64" i="23"/>
  <c r="J65" i="23" s="1"/>
  <c r="J67" i="23" s="1"/>
  <c r="J69" i="23" s="1"/>
  <c r="J76" i="23" s="1"/>
  <c r="J81" i="23" s="1"/>
  <c r="O35" i="23"/>
  <c r="O36" i="23" s="1"/>
  <c r="G35" i="23"/>
  <c r="G36" i="23" s="1"/>
  <c r="P35" i="23"/>
  <c r="P36" i="23" s="1"/>
  <c r="F35" i="23"/>
  <c r="F36" i="23" s="1"/>
  <c r="F38" i="23" s="1"/>
  <c r="F40" i="23" s="1"/>
  <c r="K35" i="23"/>
  <c r="K36" i="23" s="1"/>
  <c r="K38" i="23" s="1"/>
  <c r="K40" i="23" s="1"/>
  <c r="H35" i="23"/>
  <c r="H36" i="23" s="1"/>
  <c r="N35" i="23"/>
  <c r="N36" i="23" s="1"/>
  <c r="S35" i="23"/>
  <c r="S36" i="23" s="1"/>
  <c r="V35" i="23"/>
  <c r="V36" i="23" s="1"/>
  <c r="V38" i="23" s="1"/>
  <c r="V40" i="23" s="1"/>
  <c r="L7" i="23"/>
  <c r="L8" i="23" s="1"/>
  <c r="L10" i="23" s="1"/>
  <c r="L12" i="23" s="1"/>
  <c r="H7" i="23"/>
  <c r="H8" i="23" s="1"/>
  <c r="U7" i="23"/>
  <c r="U8" i="23" s="1"/>
  <c r="T7" i="23"/>
  <c r="T8" i="23" s="1"/>
  <c r="T10" i="23" s="1"/>
  <c r="T12" i="23" s="1"/>
  <c r="N7" i="23"/>
  <c r="N8" i="23" s="1"/>
  <c r="J7" i="23"/>
  <c r="J8" i="23" s="1"/>
  <c r="J10" i="23" s="1"/>
  <c r="J12" i="23" s="1"/>
  <c r="O7" i="23"/>
  <c r="O8" i="23" s="1"/>
  <c r="G7" i="23"/>
  <c r="G8" i="23" s="1"/>
  <c r="S7" i="23"/>
  <c r="S8" i="23" s="1"/>
  <c r="F7" i="23"/>
  <c r="F8" i="23" s="1"/>
  <c r="F10" i="23" s="1"/>
  <c r="F12" i="23" s="1"/>
  <c r="K4" i="23"/>
  <c r="M4" i="23"/>
  <c r="V7" i="23"/>
  <c r="V8" i="23" s="1"/>
  <c r="V10" i="23" s="1"/>
  <c r="V12" i="23" s="1"/>
  <c r="B120" i="14" l="1"/>
  <c r="E120" i="14"/>
  <c r="C120" i="14"/>
  <c r="D120" i="14"/>
  <c r="N38" i="23"/>
  <c r="N40" i="23" s="1"/>
  <c r="N119" i="15"/>
  <c r="C120" i="16"/>
  <c r="O67" i="23"/>
  <c r="O69" i="23" s="1"/>
  <c r="N76" i="23"/>
  <c r="N81" i="23" s="1"/>
  <c r="P38" i="23"/>
  <c r="P40" i="23" s="1"/>
  <c r="D120" i="16"/>
  <c r="E67" i="23"/>
  <c r="E69" i="23" s="1"/>
  <c r="H38" i="23"/>
  <c r="H40" i="23" s="1"/>
  <c r="G10" i="23"/>
  <c r="G12" i="23" s="1"/>
  <c r="R47" i="23"/>
  <c r="R52" i="23" s="1"/>
  <c r="B120" i="16"/>
  <c r="D125" i="23"/>
  <c r="D127" i="23" s="1"/>
  <c r="O38" i="23"/>
  <c r="O40" i="23" s="1"/>
  <c r="U10" i="23"/>
  <c r="U12" i="23" s="1"/>
  <c r="E38" i="23"/>
  <c r="E40" i="23" s="1"/>
  <c r="G38" i="23"/>
  <c r="G40" i="23" s="1"/>
  <c r="R67" i="23"/>
  <c r="R69" i="23" s="1"/>
  <c r="G67" i="23"/>
  <c r="G69" i="23" s="1"/>
  <c r="H10" i="23"/>
  <c r="H12" i="23" s="1"/>
  <c r="U38" i="23"/>
  <c r="U40" i="23" s="1"/>
  <c r="H67" i="23"/>
  <c r="H69" i="23" s="1"/>
  <c r="P67" i="23"/>
  <c r="P69" i="23" s="1"/>
  <c r="N137" i="23"/>
  <c r="N142" i="23" s="1"/>
  <c r="N136" i="23"/>
  <c r="N141" i="23" s="1"/>
  <c r="N135" i="23"/>
  <c r="N140" i="23" s="1"/>
  <c r="N134" i="23"/>
  <c r="N139" i="23" s="1"/>
  <c r="U67" i="23"/>
  <c r="U69" i="23" s="1"/>
  <c r="I47" i="23"/>
  <c r="I52" i="23" s="1"/>
  <c r="I67" i="23"/>
  <c r="I69" i="23" s="1"/>
  <c r="O10" i="23"/>
  <c r="O12" i="23" s="1"/>
  <c r="N10" i="23"/>
  <c r="N12" i="23" s="1"/>
  <c r="P10" i="23"/>
  <c r="P12" i="23" s="1"/>
  <c r="S67" i="23"/>
  <c r="P120" i="15"/>
  <c r="Q120" i="15"/>
  <c r="N120" i="15"/>
  <c r="O120" i="15"/>
  <c r="S10" i="23"/>
  <c r="S12" i="23" s="1"/>
  <c r="S38" i="23"/>
  <c r="S40" i="23" s="1"/>
  <c r="C122" i="12"/>
  <c r="B122" i="12"/>
  <c r="E122" i="12"/>
  <c r="D122" i="12"/>
  <c r="M48" i="23"/>
  <c r="M53" i="23" s="1"/>
  <c r="M47" i="23"/>
  <c r="M52" i="23" s="1"/>
  <c r="M50" i="23"/>
  <c r="M55" i="23" s="1"/>
  <c r="Q19" i="23"/>
  <c r="Q24" i="23" s="1"/>
  <c r="Q136" i="23"/>
  <c r="Q141" i="23" s="1"/>
  <c r="Q108" i="23"/>
  <c r="Q113" i="23" s="1"/>
  <c r="Q107" i="23"/>
  <c r="Q112" i="23" s="1"/>
  <c r="M56" i="23"/>
  <c r="M49" i="23"/>
  <c r="M54" i="23" s="1"/>
  <c r="T22" i="23"/>
  <c r="T27" i="23" s="1"/>
  <c r="T21" i="23"/>
  <c r="T26" i="23" s="1"/>
  <c r="T20" i="23"/>
  <c r="T25" i="23" s="1"/>
  <c r="T19" i="23"/>
  <c r="T24" i="23" s="1"/>
  <c r="K47" i="23"/>
  <c r="K52" i="23" s="1"/>
  <c r="K56" i="23"/>
  <c r="K53" i="23"/>
  <c r="K54" i="23"/>
  <c r="K55" i="23"/>
  <c r="Q67" i="23"/>
  <c r="Q69" i="23" s="1"/>
  <c r="D85" i="23"/>
  <c r="D77" i="23"/>
  <c r="D82" i="23" s="1"/>
  <c r="D76" i="23"/>
  <c r="D81" i="23" s="1"/>
  <c r="F47" i="23"/>
  <c r="F52" i="23" s="1"/>
  <c r="F56" i="23"/>
  <c r="F53" i="23"/>
  <c r="F54" i="23"/>
  <c r="F55" i="23"/>
  <c r="V47" i="23"/>
  <c r="V52" i="23" s="1"/>
  <c r="V55" i="23"/>
  <c r="V56" i="23"/>
  <c r="V53" i="23"/>
  <c r="V54" i="23"/>
  <c r="Q20" i="23"/>
  <c r="Q25" i="23" s="1"/>
  <c r="F19" i="23"/>
  <c r="F24" i="23" s="1"/>
  <c r="F22" i="23"/>
  <c r="F27" i="23" s="1"/>
  <c r="F21" i="23"/>
  <c r="F26" i="23" s="1"/>
  <c r="F20" i="23"/>
  <c r="F25" i="23" s="1"/>
  <c r="L21" i="23"/>
  <c r="L26" i="23" s="1"/>
  <c r="L20" i="23"/>
  <c r="L25" i="23" s="1"/>
  <c r="L22" i="23"/>
  <c r="L27" i="23" s="1"/>
  <c r="L19" i="23"/>
  <c r="L24" i="23" s="1"/>
  <c r="J22" i="23"/>
  <c r="J27" i="23" s="1"/>
  <c r="J21" i="23"/>
  <c r="J26" i="23" s="1"/>
  <c r="J20" i="23"/>
  <c r="J25" i="23" s="1"/>
  <c r="J19" i="23"/>
  <c r="J24" i="23" s="1"/>
  <c r="Q49" i="23"/>
  <c r="Q54" i="23" s="1"/>
  <c r="Q56" i="23"/>
  <c r="V20" i="23"/>
  <c r="V25" i="23" s="1"/>
  <c r="V19" i="23"/>
  <c r="V24" i="23" s="1"/>
  <c r="V21" i="23"/>
  <c r="V26" i="23" s="1"/>
  <c r="V22" i="23"/>
  <c r="V27" i="23" s="1"/>
  <c r="D38" i="23"/>
  <c r="D40" i="23" s="1"/>
  <c r="D10" i="23"/>
  <c r="D12" i="23" s="1"/>
  <c r="K6" i="23"/>
  <c r="M6" i="23"/>
  <c r="Q143" i="23" l="1"/>
  <c r="Q50" i="23"/>
  <c r="Q55" i="23" s="1"/>
  <c r="Q114" i="23"/>
  <c r="Q137" i="23"/>
  <c r="Q142" i="23" s="1"/>
  <c r="Q106" i="23"/>
  <c r="Q111" i="23" s="1"/>
  <c r="I48" i="23"/>
  <c r="I53" i="23" s="1"/>
  <c r="J77" i="23"/>
  <c r="J82" i="23" s="1"/>
  <c r="J137" i="23"/>
  <c r="J142" i="23" s="1"/>
  <c r="J106" i="23"/>
  <c r="J111" i="23" s="1"/>
  <c r="J56" i="23"/>
  <c r="J49" i="23"/>
  <c r="J54" i="23" s="1"/>
  <c r="J85" i="23"/>
  <c r="J79" i="23"/>
  <c r="J84" i="23" s="1"/>
  <c r="J135" i="23"/>
  <c r="J140" i="23" s="1"/>
  <c r="J114" i="23"/>
  <c r="J50" i="23"/>
  <c r="J55" i="23" s="1"/>
  <c r="J48" i="23"/>
  <c r="J53" i="23" s="1"/>
  <c r="J78" i="23"/>
  <c r="J83" i="23" s="1"/>
  <c r="J136" i="23"/>
  <c r="J141" i="23" s="1"/>
  <c r="J143" i="23"/>
  <c r="J107" i="23"/>
  <c r="J112" i="23" s="1"/>
  <c r="J108" i="23"/>
  <c r="J113" i="23" s="1"/>
  <c r="Q47" i="23"/>
  <c r="Q52" i="23" s="1"/>
  <c r="Q135" i="23"/>
  <c r="Q140" i="23" s="1"/>
  <c r="Q48" i="23"/>
  <c r="Q53" i="23" s="1"/>
  <c r="U85" i="23"/>
  <c r="M120" i="15"/>
  <c r="L120" i="15"/>
  <c r="K120" i="15"/>
  <c r="C119" i="14"/>
  <c r="I20" i="23"/>
  <c r="I25" i="23" s="1"/>
  <c r="B120" i="13"/>
  <c r="D78" i="23"/>
  <c r="D83" i="23" s="1"/>
  <c r="E119" i="14"/>
  <c r="I22" i="23"/>
  <c r="I27" i="23" s="1"/>
  <c r="F120" i="17"/>
  <c r="D79" i="23"/>
  <c r="D84" i="23" s="1"/>
  <c r="I50" i="23"/>
  <c r="I55" i="23" s="1"/>
  <c r="J121" i="15"/>
  <c r="I120" i="15"/>
  <c r="H120" i="15"/>
  <c r="G120" i="15"/>
  <c r="G76" i="23"/>
  <c r="G81" i="23" s="1"/>
  <c r="O76" i="23"/>
  <c r="O81" i="23" s="1"/>
  <c r="E120" i="15"/>
  <c r="D120" i="15"/>
  <c r="C120" i="15"/>
  <c r="I49" i="23"/>
  <c r="I54" i="23" s="1"/>
  <c r="P134" i="23"/>
  <c r="P139" i="23" s="1"/>
  <c r="E119" i="13"/>
  <c r="E22" i="23"/>
  <c r="E27" i="23" s="1"/>
  <c r="R76" i="23"/>
  <c r="R81" i="23" s="1"/>
  <c r="R49" i="23"/>
  <c r="R54" i="23" s="1"/>
  <c r="P76" i="23"/>
  <c r="P81" i="23" s="1"/>
  <c r="B119" i="13"/>
  <c r="E108" i="23"/>
  <c r="E113" i="23" s="1"/>
  <c r="E114" i="23"/>
  <c r="E56" i="23"/>
  <c r="E85" i="23"/>
  <c r="E136" i="23"/>
  <c r="E141" i="23" s="1"/>
  <c r="E137" i="23"/>
  <c r="E142" i="23" s="1"/>
  <c r="E106" i="23"/>
  <c r="E111" i="23" s="1"/>
  <c r="E107" i="23"/>
  <c r="E112" i="23" s="1"/>
  <c r="E135" i="23"/>
  <c r="E140" i="23" s="1"/>
  <c r="E143" i="23"/>
  <c r="E19" i="23"/>
  <c r="E24" i="23" s="1"/>
  <c r="B119" i="14"/>
  <c r="I114" i="23"/>
  <c r="I56" i="23"/>
  <c r="I85" i="23"/>
  <c r="I135" i="23"/>
  <c r="I140" i="23" s="1"/>
  <c r="I136" i="23"/>
  <c r="I141" i="23" s="1"/>
  <c r="I137" i="23"/>
  <c r="I142" i="23" s="1"/>
  <c r="I106" i="23"/>
  <c r="I111" i="23" s="1"/>
  <c r="I143" i="23"/>
  <c r="I107" i="23"/>
  <c r="I112" i="23" s="1"/>
  <c r="I108" i="23"/>
  <c r="I113" i="23" s="1"/>
  <c r="I19" i="23"/>
  <c r="I24" i="23" s="1"/>
  <c r="B122" i="14"/>
  <c r="D119" i="14"/>
  <c r="I21" i="23"/>
  <c r="I26" i="23" s="1"/>
  <c r="C119" i="13"/>
  <c r="E20" i="23"/>
  <c r="E25" i="23" s="1"/>
  <c r="H76" i="23"/>
  <c r="H81" i="23" s="1"/>
  <c r="D119" i="13"/>
  <c r="E21" i="23"/>
  <c r="E26" i="23" s="1"/>
  <c r="B122" i="13"/>
  <c r="R50" i="23"/>
  <c r="R55" i="23" s="1"/>
  <c r="B119" i="16"/>
  <c r="R85" i="23"/>
  <c r="R79" i="23"/>
  <c r="R84" i="23" s="1"/>
  <c r="R78" i="23"/>
  <c r="R83" i="23" s="1"/>
  <c r="R77" i="23"/>
  <c r="R82" i="23" s="1"/>
  <c r="R143" i="23"/>
  <c r="R137" i="23"/>
  <c r="R142" i="23" s="1"/>
  <c r="R136" i="23"/>
  <c r="R141" i="23" s="1"/>
  <c r="R135" i="23"/>
  <c r="R140" i="23" s="1"/>
  <c r="R56" i="23"/>
  <c r="R114" i="23"/>
  <c r="R108" i="23"/>
  <c r="R113" i="23" s="1"/>
  <c r="R107" i="23"/>
  <c r="R112" i="23" s="1"/>
  <c r="R106" i="23"/>
  <c r="R111" i="23" s="1"/>
  <c r="R19" i="23"/>
  <c r="R24" i="23" s="1"/>
  <c r="R48" i="23"/>
  <c r="R53" i="23" s="1"/>
  <c r="Q122" i="15"/>
  <c r="O122" i="15"/>
  <c r="N122" i="15"/>
  <c r="P122" i="15"/>
  <c r="D19" i="23"/>
  <c r="D24" i="23" s="1"/>
  <c r="D20" i="23"/>
  <c r="D25" i="23" s="1"/>
  <c r="B119" i="12"/>
  <c r="D143" i="23"/>
  <c r="O119" i="15"/>
  <c r="B120" i="12"/>
  <c r="D120" i="12"/>
  <c r="E120" i="12"/>
  <c r="C120" i="12"/>
  <c r="S69" i="23"/>
  <c r="Q85" i="23"/>
  <c r="D56" i="23"/>
  <c r="D50" i="23"/>
  <c r="D55" i="23" s="1"/>
  <c r="D49" i="23"/>
  <c r="D54" i="23" s="1"/>
  <c r="M7" i="23"/>
  <c r="M8" i="23" s="1"/>
  <c r="M10" i="23" s="1"/>
  <c r="M12" i="23" s="1"/>
  <c r="K7" i="23"/>
  <c r="K8" i="23" s="1"/>
  <c r="K10" i="23" s="1"/>
  <c r="K12" i="23" s="1"/>
  <c r="U47" i="23" l="1"/>
  <c r="U52" i="23" s="1"/>
  <c r="Q77" i="23"/>
  <c r="Q82" i="23" s="1"/>
  <c r="Q76" i="23"/>
  <c r="Q81" i="23" s="1"/>
  <c r="E76" i="23"/>
  <c r="E81" i="23" s="1"/>
  <c r="Q79" i="23"/>
  <c r="Q84" i="23" s="1"/>
  <c r="H120" i="17"/>
  <c r="U49" i="23"/>
  <c r="U54" i="23" s="1"/>
  <c r="F119" i="17"/>
  <c r="U136" i="23"/>
  <c r="U141" i="23" s="1"/>
  <c r="U137" i="23"/>
  <c r="U142" i="23" s="1"/>
  <c r="U106" i="23"/>
  <c r="U111" i="23" s="1"/>
  <c r="U143" i="23"/>
  <c r="U107" i="23"/>
  <c r="U112" i="23" s="1"/>
  <c r="U108" i="23"/>
  <c r="U113" i="23" s="1"/>
  <c r="U114" i="23"/>
  <c r="U135" i="23"/>
  <c r="U140" i="23" s="1"/>
  <c r="U56" i="23"/>
  <c r="U19" i="23"/>
  <c r="U24" i="23" s="1"/>
  <c r="J120" i="15"/>
  <c r="P47" i="23"/>
  <c r="P52" i="23" s="1"/>
  <c r="E122" i="14"/>
  <c r="I79" i="23"/>
  <c r="I84" i="23" s="1"/>
  <c r="N47" i="23"/>
  <c r="N52" i="23" s="1"/>
  <c r="K121" i="15"/>
  <c r="C122" i="14"/>
  <c r="I77" i="23"/>
  <c r="I82" i="23" s="1"/>
  <c r="J120" i="13"/>
  <c r="G47" i="23"/>
  <c r="G52" i="23" s="1"/>
  <c r="D122" i="14"/>
  <c r="I78" i="23"/>
  <c r="I83" i="23" s="1"/>
  <c r="K119" i="13"/>
  <c r="G20" i="23"/>
  <c r="G25" i="23" s="1"/>
  <c r="Q119" i="13"/>
  <c r="H22" i="23"/>
  <c r="H27" i="23" s="1"/>
  <c r="B121" i="12"/>
  <c r="D134" i="23"/>
  <c r="D139" i="23" s="1"/>
  <c r="I120" i="17"/>
  <c r="U50" i="23"/>
  <c r="U55" i="23" s="1"/>
  <c r="N120" i="13"/>
  <c r="H47" i="23"/>
  <c r="H52" i="23" s="1"/>
  <c r="L119" i="13"/>
  <c r="G21" i="23"/>
  <c r="G26" i="23" s="1"/>
  <c r="N119" i="13"/>
  <c r="H135" i="23"/>
  <c r="H140" i="23" s="1"/>
  <c r="H79" i="23"/>
  <c r="H84" i="23" s="1"/>
  <c r="H77" i="23"/>
  <c r="H82" i="23" s="1"/>
  <c r="H56" i="23"/>
  <c r="H85" i="23"/>
  <c r="H114" i="23"/>
  <c r="H136" i="23"/>
  <c r="H141" i="23" s="1"/>
  <c r="H108" i="23"/>
  <c r="H113" i="23" s="1"/>
  <c r="H78" i="23"/>
  <c r="H83" i="23" s="1"/>
  <c r="H137" i="23"/>
  <c r="H142" i="23" s="1"/>
  <c r="H106" i="23"/>
  <c r="H111" i="23" s="1"/>
  <c r="H143" i="23"/>
  <c r="H107" i="23"/>
  <c r="H112" i="23" s="1"/>
  <c r="H19" i="23"/>
  <c r="H24" i="23" s="1"/>
  <c r="D120" i="13"/>
  <c r="E49" i="23"/>
  <c r="E54" i="23" s="1"/>
  <c r="U76" i="23"/>
  <c r="U81" i="23" s="1"/>
  <c r="F122" i="17"/>
  <c r="O119" i="13"/>
  <c r="H20" i="23"/>
  <c r="H25" i="23" s="1"/>
  <c r="F120" i="15"/>
  <c r="O47" i="23"/>
  <c r="O52" i="23" s="1"/>
  <c r="U77" i="23"/>
  <c r="U82" i="23" s="1"/>
  <c r="G122" i="17"/>
  <c r="C122" i="13"/>
  <c r="E77" i="23"/>
  <c r="E82" i="23" s="1"/>
  <c r="M120" i="13"/>
  <c r="G50" i="23"/>
  <c r="G55" i="23" s="1"/>
  <c r="L120" i="13"/>
  <c r="G49" i="23"/>
  <c r="G54" i="23" s="1"/>
  <c r="M119" i="13"/>
  <c r="G22" i="23"/>
  <c r="G27" i="23" s="1"/>
  <c r="C120" i="13"/>
  <c r="E48" i="23"/>
  <c r="E53" i="23" s="1"/>
  <c r="U78" i="23"/>
  <c r="U83" i="23" s="1"/>
  <c r="H122" i="17"/>
  <c r="P120" i="13"/>
  <c r="H49" i="23"/>
  <c r="H54" i="23" s="1"/>
  <c r="P119" i="13"/>
  <c r="H21" i="23"/>
  <c r="H26" i="23" s="1"/>
  <c r="H119" i="17"/>
  <c r="U21" i="23"/>
  <c r="U26" i="23" s="1"/>
  <c r="G120" i="17"/>
  <c r="U48" i="23"/>
  <c r="U53" i="23" s="1"/>
  <c r="E120" i="13"/>
  <c r="E50" i="23"/>
  <c r="E55" i="23" s="1"/>
  <c r="D122" i="13"/>
  <c r="E78" i="23"/>
  <c r="E83" i="23" s="1"/>
  <c r="E122" i="13"/>
  <c r="E79" i="23"/>
  <c r="E84" i="23" s="1"/>
  <c r="I119" i="17"/>
  <c r="U22" i="23"/>
  <c r="U27" i="23" s="1"/>
  <c r="J119" i="13"/>
  <c r="G79" i="23"/>
  <c r="G84" i="23" s="1"/>
  <c r="G56" i="23"/>
  <c r="G78" i="23"/>
  <c r="G83" i="23" s="1"/>
  <c r="G77" i="23"/>
  <c r="G82" i="23" s="1"/>
  <c r="G143" i="23"/>
  <c r="G19" i="23"/>
  <c r="G24" i="23" s="1"/>
  <c r="G114" i="23"/>
  <c r="G137" i="23"/>
  <c r="G142" i="23" s="1"/>
  <c r="G85" i="23"/>
  <c r="G108" i="23"/>
  <c r="G113" i="23" s="1"/>
  <c r="G136" i="23"/>
  <c r="G141" i="23" s="1"/>
  <c r="G107" i="23"/>
  <c r="G112" i="23" s="1"/>
  <c r="G135" i="23"/>
  <c r="G140" i="23" s="1"/>
  <c r="G106" i="23"/>
  <c r="G111" i="23" s="1"/>
  <c r="Q78" i="23"/>
  <c r="Q83" i="23" s="1"/>
  <c r="I76" i="23"/>
  <c r="I81" i="23" s="1"/>
  <c r="O120" i="13"/>
  <c r="H48" i="23"/>
  <c r="H53" i="23" s="1"/>
  <c r="K120" i="13"/>
  <c r="G48" i="23"/>
  <c r="G53" i="23" s="1"/>
  <c r="Q120" i="13"/>
  <c r="H50" i="23"/>
  <c r="H55" i="23" s="1"/>
  <c r="G119" i="17"/>
  <c r="U20" i="23"/>
  <c r="U25" i="23" s="1"/>
  <c r="E47" i="23"/>
  <c r="E52" i="23" s="1"/>
  <c r="U79" i="23"/>
  <c r="U84" i="23" s="1"/>
  <c r="I122" i="17"/>
  <c r="F119" i="15"/>
  <c r="O114" i="23"/>
  <c r="O108" i="23"/>
  <c r="O113" i="23" s="1"/>
  <c r="O107" i="23"/>
  <c r="O112" i="23" s="1"/>
  <c r="O106" i="23"/>
  <c r="O111" i="23" s="1"/>
  <c r="O78" i="23"/>
  <c r="O83" i="23" s="1"/>
  <c r="O48" i="23"/>
  <c r="O53" i="23" s="1"/>
  <c r="O50" i="23"/>
  <c r="O55" i="23" s="1"/>
  <c r="O49" i="23"/>
  <c r="O54" i="23" s="1"/>
  <c r="O77" i="23"/>
  <c r="O82" i="23" s="1"/>
  <c r="O85" i="23"/>
  <c r="O79" i="23"/>
  <c r="O84" i="23" s="1"/>
  <c r="O143" i="23"/>
  <c r="O137" i="23"/>
  <c r="O142" i="23" s="1"/>
  <c r="O136" i="23"/>
  <c r="O141" i="23" s="1"/>
  <c r="O135" i="23"/>
  <c r="O140" i="23" s="1"/>
  <c r="O56" i="23"/>
  <c r="O19" i="23"/>
  <c r="O24" i="23" s="1"/>
  <c r="J119" i="15"/>
  <c r="P48" i="23"/>
  <c r="P53" i="23" s="1"/>
  <c r="P114" i="23"/>
  <c r="P49" i="23"/>
  <c r="P54" i="23" s="1"/>
  <c r="P85" i="23"/>
  <c r="P79" i="23"/>
  <c r="P84" i="23" s="1"/>
  <c r="P78" i="23"/>
  <c r="P83" i="23" s="1"/>
  <c r="P77" i="23"/>
  <c r="P82" i="23" s="1"/>
  <c r="P108" i="23"/>
  <c r="P113" i="23" s="1"/>
  <c r="P143" i="23"/>
  <c r="P136" i="23"/>
  <c r="P141" i="23" s="1"/>
  <c r="P135" i="23"/>
  <c r="P140" i="23" s="1"/>
  <c r="P50" i="23"/>
  <c r="P55" i="23" s="1"/>
  <c r="P107" i="23"/>
  <c r="P112" i="23" s="1"/>
  <c r="P56" i="23"/>
  <c r="P106" i="23"/>
  <c r="P111" i="23" s="1"/>
  <c r="P19" i="23"/>
  <c r="P24" i="23" s="1"/>
  <c r="N56" i="23"/>
  <c r="N114" i="23"/>
  <c r="N108" i="23"/>
  <c r="N113" i="23" s="1"/>
  <c r="N107" i="23"/>
  <c r="N112" i="23" s="1"/>
  <c r="N106" i="23"/>
  <c r="N111" i="23" s="1"/>
  <c r="N48" i="23"/>
  <c r="N53" i="23" s="1"/>
  <c r="N50" i="23"/>
  <c r="N55" i="23" s="1"/>
  <c r="N49" i="23"/>
  <c r="N54" i="23" s="1"/>
  <c r="N85" i="23"/>
  <c r="N79" i="23"/>
  <c r="N84" i="23" s="1"/>
  <c r="N78" i="23"/>
  <c r="N83" i="23" s="1"/>
  <c r="N77" i="23"/>
  <c r="N82" i="23" s="1"/>
  <c r="N143" i="23"/>
  <c r="N19" i="23"/>
  <c r="N24" i="23" s="1"/>
  <c r="C119" i="16"/>
  <c r="R20" i="23"/>
  <c r="R25" i="23" s="1"/>
  <c r="D48" i="23"/>
  <c r="D53" i="23" s="1"/>
  <c r="F120" i="16"/>
  <c r="S47" i="23"/>
  <c r="S52" i="23" s="1"/>
  <c r="F119" i="16"/>
  <c r="S137" i="23"/>
  <c r="S142" i="23" s="1"/>
  <c r="S143" i="23"/>
  <c r="S114" i="23"/>
  <c r="S56" i="23"/>
  <c r="S107" i="23"/>
  <c r="S112" i="23" s="1"/>
  <c r="S85" i="23"/>
  <c r="S136" i="23"/>
  <c r="S141" i="23" s="1"/>
  <c r="S108" i="23"/>
  <c r="S113" i="23" s="1"/>
  <c r="S135" i="23"/>
  <c r="S140" i="23" s="1"/>
  <c r="S106" i="23"/>
  <c r="S111" i="23" s="1"/>
  <c r="S19" i="23"/>
  <c r="S24" i="23" s="1"/>
  <c r="I120" i="16"/>
  <c r="S50" i="23"/>
  <c r="S55" i="23" s="1"/>
  <c r="D47" i="23"/>
  <c r="D52" i="23" s="1"/>
  <c r="C119" i="12"/>
  <c r="P119" i="15"/>
  <c r="Q21" i="23"/>
  <c r="Q26" i="23" s="1"/>
  <c r="G120" i="16"/>
  <c r="S48" i="23"/>
  <c r="S53" i="23" s="1"/>
  <c r="H120" i="16"/>
  <c r="S49" i="23"/>
  <c r="S54" i="23" s="1"/>
  <c r="M20" i="23"/>
  <c r="M25" i="23" s="1"/>
  <c r="M19" i="23"/>
  <c r="M24" i="23" s="1"/>
  <c r="M21" i="23"/>
  <c r="M26" i="23" s="1"/>
  <c r="M22" i="23"/>
  <c r="M27" i="23" s="1"/>
  <c r="K22" i="23"/>
  <c r="K27" i="23" s="1"/>
  <c r="K21" i="23"/>
  <c r="K26" i="23" s="1"/>
  <c r="K20" i="23"/>
  <c r="K25" i="23" s="1"/>
  <c r="K19" i="23"/>
  <c r="K24" i="23" s="1"/>
  <c r="D135" i="23" l="1"/>
  <c r="D140" i="23" s="1"/>
  <c r="C121" i="12"/>
  <c r="L121" i="15"/>
  <c r="C119" i="15"/>
  <c r="N20" i="23"/>
  <c r="N25" i="23" s="1"/>
  <c r="K119" i="15"/>
  <c r="P20" i="23"/>
  <c r="P25" i="23" s="1"/>
  <c r="D119" i="16"/>
  <c r="R21" i="23"/>
  <c r="R26" i="23" s="1"/>
  <c r="G119" i="15"/>
  <c r="O20" i="23"/>
  <c r="O25" i="23" s="1"/>
  <c r="G122" i="16"/>
  <c r="S77" i="23"/>
  <c r="S82" i="23" s="1"/>
  <c r="Q119" i="15"/>
  <c r="Q22" i="23"/>
  <c r="Q27" i="23" s="1"/>
  <c r="H119" i="16"/>
  <c r="G119" i="16"/>
  <c r="S20" i="23"/>
  <c r="S25" i="23" s="1"/>
  <c r="D119" i="12"/>
  <c r="D21" i="23"/>
  <c r="D26" i="23" s="1"/>
  <c r="H122" i="16"/>
  <c r="S78" i="23"/>
  <c r="S83" i="23" s="1"/>
  <c r="F122" i="16"/>
  <c r="S76" i="23"/>
  <c r="S81" i="23" s="1"/>
  <c r="I122" i="16"/>
  <c r="S79" i="23"/>
  <c r="S84" i="23" s="1"/>
  <c r="V746" i="4"/>
  <c r="V747" i="4" s="1"/>
  <c r="U746" i="4"/>
  <c r="U747" i="4" s="1"/>
  <c r="T746" i="4"/>
  <c r="T747" i="4" s="1"/>
  <c r="D746" i="4"/>
  <c r="D747" i="4" s="1"/>
  <c r="S743" i="4"/>
  <c r="S745" i="4" s="1"/>
  <c r="S746" i="4" s="1"/>
  <c r="S747" i="4" s="1"/>
  <c r="R743" i="4"/>
  <c r="R745" i="4" s="1"/>
  <c r="R746" i="4" s="1"/>
  <c r="R747" i="4" s="1"/>
  <c r="Q743" i="4"/>
  <c r="Q745" i="4" s="1"/>
  <c r="Q746" i="4" s="1"/>
  <c r="Q747" i="4" s="1"/>
  <c r="P743" i="4"/>
  <c r="P745" i="4" s="1"/>
  <c r="P746" i="4" s="1"/>
  <c r="P747" i="4" s="1"/>
  <c r="O743" i="4"/>
  <c r="O745" i="4" s="1"/>
  <c r="O746" i="4" s="1"/>
  <c r="O747" i="4" s="1"/>
  <c r="N743" i="4"/>
  <c r="N745" i="4" s="1"/>
  <c r="N746" i="4" s="1"/>
  <c r="N747" i="4" s="1"/>
  <c r="M743" i="4"/>
  <c r="M745" i="4" s="1"/>
  <c r="M746" i="4" s="1"/>
  <c r="M747" i="4" s="1"/>
  <c r="L743" i="4"/>
  <c r="L745" i="4" s="1"/>
  <c r="L746" i="4" s="1"/>
  <c r="L747" i="4" s="1"/>
  <c r="K743" i="4"/>
  <c r="K745" i="4" s="1"/>
  <c r="K746" i="4" s="1"/>
  <c r="K747" i="4" s="1"/>
  <c r="J743" i="4"/>
  <c r="I743" i="4"/>
  <c r="I745" i="4" s="1"/>
  <c r="I746" i="4" s="1"/>
  <c r="I747" i="4" s="1"/>
  <c r="H743" i="4"/>
  <c r="H745" i="4" s="1"/>
  <c r="H746" i="4" s="1"/>
  <c r="H747" i="4" s="1"/>
  <c r="G743" i="4"/>
  <c r="G745" i="4" s="1"/>
  <c r="G746" i="4" s="1"/>
  <c r="G747" i="4" s="1"/>
  <c r="F743" i="4"/>
  <c r="F745" i="4" s="1"/>
  <c r="F746" i="4" s="1"/>
  <c r="F747" i="4" s="1"/>
  <c r="E743" i="4"/>
  <c r="E745" i="4" s="1"/>
  <c r="E746" i="4" s="1"/>
  <c r="E747" i="4" s="1"/>
  <c r="V719" i="4"/>
  <c r="V720" i="4" s="1"/>
  <c r="V722" i="4" s="1"/>
  <c r="V724" i="4" s="1"/>
  <c r="U719" i="4"/>
  <c r="U720" i="4" s="1"/>
  <c r="U722" i="4" s="1"/>
  <c r="U724" i="4" s="1"/>
  <c r="T719" i="4"/>
  <c r="T720" i="4" s="1"/>
  <c r="D719" i="4"/>
  <c r="D720" i="4" s="1"/>
  <c r="S716" i="4"/>
  <c r="S718" i="4" s="1"/>
  <c r="S719" i="4" s="1"/>
  <c r="S720" i="4" s="1"/>
  <c r="R716" i="4"/>
  <c r="R718" i="4" s="1"/>
  <c r="R719" i="4" s="1"/>
  <c r="R720" i="4" s="1"/>
  <c r="Q716" i="4"/>
  <c r="Q718" i="4" s="1"/>
  <c r="Q719" i="4" s="1"/>
  <c r="Q720" i="4" s="1"/>
  <c r="P716" i="4"/>
  <c r="P718" i="4" s="1"/>
  <c r="P719" i="4" s="1"/>
  <c r="P720" i="4" s="1"/>
  <c r="O716" i="4"/>
  <c r="O718" i="4" s="1"/>
  <c r="O719" i="4" s="1"/>
  <c r="O720" i="4" s="1"/>
  <c r="N716" i="4"/>
  <c r="N718" i="4" s="1"/>
  <c r="N719" i="4" s="1"/>
  <c r="N720" i="4" s="1"/>
  <c r="M716" i="4"/>
  <c r="M718" i="4" s="1"/>
  <c r="M719" i="4" s="1"/>
  <c r="M720" i="4" s="1"/>
  <c r="L716" i="4"/>
  <c r="L718" i="4" s="1"/>
  <c r="L719" i="4" s="1"/>
  <c r="L720" i="4" s="1"/>
  <c r="K716" i="4"/>
  <c r="K718" i="4" s="1"/>
  <c r="K719" i="4" s="1"/>
  <c r="K720" i="4" s="1"/>
  <c r="J716" i="4"/>
  <c r="I716" i="4"/>
  <c r="I718" i="4" s="1"/>
  <c r="I719" i="4" s="1"/>
  <c r="I720" i="4" s="1"/>
  <c r="H716" i="4"/>
  <c r="H718" i="4" s="1"/>
  <c r="H719" i="4" s="1"/>
  <c r="H720" i="4" s="1"/>
  <c r="G716" i="4"/>
  <c r="G718" i="4" s="1"/>
  <c r="G719" i="4" s="1"/>
  <c r="G720" i="4" s="1"/>
  <c r="F716" i="4"/>
  <c r="F718" i="4" s="1"/>
  <c r="F719" i="4" s="1"/>
  <c r="F720" i="4" s="1"/>
  <c r="E716" i="4"/>
  <c r="E718" i="4" s="1"/>
  <c r="E719" i="4" s="1"/>
  <c r="E720" i="4" s="1"/>
  <c r="V692" i="4"/>
  <c r="V693" i="4" s="1"/>
  <c r="V695" i="4" s="1"/>
  <c r="V697" i="4" s="1"/>
  <c r="U692" i="4"/>
  <c r="U693" i="4" s="1"/>
  <c r="U695" i="4" s="1"/>
  <c r="U697" i="4" s="1"/>
  <c r="T692" i="4"/>
  <c r="T693" i="4" s="1"/>
  <c r="D692" i="4"/>
  <c r="D693" i="4" s="1"/>
  <c r="S689" i="4"/>
  <c r="S691" i="4" s="1"/>
  <c r="S692" i="4" s="1"/>
  <c r="S693" i="4" s="1"/>
  <c r="R689" i="4"/>
  <c r="R691" i="4" s="1"/>
  <c r="R692" i="4" s="1"/>
  <c r="R693" i="4" s="1"/>
  <c r="Q689" i="4"/>
  <c r="Q691" i="4" s="1"/>
  <c r="Q692" i="4" s="1"/>
  <c r="Q693" i="4" s="1"/>
  <c r="P689" i="4"/>
  <c r="P691" i="4" s="1"/>
  <c r="P692" i="4" s="1"/>
  <c r="P693" i="4" s="1"/>
  <c r="O689" i="4"/>
  <c r="O691" i="4" s="1"/>
  <c r="O692" i="4" s="1"/>
  <c r="O693" i="4" s="1"/>
  <c r="N689" i="4"/>
  <c r="N691" i="4" s="1"/>
  <c r="N692" i="4" s="1"/>
  <c r="N693" i="4" s="1"/>
  <c r="M689" i="4"/>
  <c r="M691" i="4" s="1"/>
  <c r="M692" i="4" s="1"/>
  <c r="M693" i="4" s="1"/>
  <c r="L689" i="4"/>
  <c r="L691" i="4" s="1"/>
  <c r="L692" i="4" s="1"/>
  <c r="L693" i="4" s="1"/>
  <c r="K689" i="4"/>
  <c r="K691" i="4" s="1"/>
  <c r="K692" i="4" s="1"/>
  <c r="K693" i="4" s="1"/>
  <c r="J689" i="4"/>
  <c r="I689" i="4"/>
  <c r="I691" i="4" s="1"/>
  <c r="I692" i="4" s="1"/>
  <c r="I693" i="4" s="1"/>
  <c r="H689" i="4"/>
  <c r="H691" i="4" s="1"/>
  <c r="H692" i="4" s="1"/>
  <c r="H693" i="4" s="1"/>
  <c r="G689" i="4"/>
  <c r="G691" i="4" s="1"/>
  <c r="G692" i="4" s="1"/>
  <c r="G693" i="4" s="1"/>
  <c r="F689" i="4"/>
  <c r="F691" i="4" s="1"/>
  <c r="F692" i="4" s="1"/>
  <c r="F693" i="4" s="1"/>
  <c r="E689" i="4"/>
  <c r="E691" i="4" s="1"/>
  <c r="E692" i="4" s="1"/>
  <c r="E693" i="4" s="1"/>
  <c r="V665" i="4"/>
  <c r="V666" i="4" s="1"/>
  <c r="V668" i="4" s="1"/>
  <c r="U665" i="4"/>
  <c r="U666" i="4" s="1"/>
  <c r="U668" i="4" s="1"/>
  <c r="T665" i="4"/>
  <c r="T666" i="4" s="1"/>
  <c r="D665" i="4"/>
  <c r="D666" i="4" s="1"/>
  <c r="S662" i="4"/>
  <c r="S664" i="4" s="1"/>
  <c r="S665" i="4" s="1"/>
  <c r="S666" i="4" s="1"/>
  <c r="R662" i="4"/>
  <c r="R664" i="4" s="1"/>
  <c r="R665" i="4" s="1"/>
  <c r="R666" i="4" s="1"/>
  <c r="Q662" i="4"/>
  <c r="Q664" i="4" s="1"/>
  <c r="Q665" i="4" s="1"/>
  <c r="Q666" i="4" s="1"/>
  <c r="P662" i="4"/>
  <c r="P664" i="4" s="1"/>
  <c r="P665" i="4" s="1"/>
  <c r="P666" i="4" s="1"/>
  <c r="O662" i="4"/>
  <c r="O664" i="4" s="1"/>
  <c r="O665" i="4" s="1"/>
  <c r="O666" i="4" s="1"/>
  <c r="N662" i="4"/>
  <c r="N664" i="4" s="1"/>
  <c r="N665" i="4" s="1"/>
  <c r="N666" i="4" s="1"/>
  <c r="M662" i="4"/>
  <c r="M664" i="4" s="1"/>
  <c r="M665" i="4" s="1"/>
  <c r="M666" i="4" s="1"/>
  <c r="L662" i="4"/>
  <c r="L664" i="4" s="1"/>
  <c r="L665" i="4" s="1"/>
  <c r="L666" i="4" s="1"/>
  <c r="K662" i="4"/>
  <c r="K664" i="4" s="1"/>
  <c r="K665" i="4" s="1"/>
  <c r="K666" i="4" s="1"/>
  <c r="J662" i="4"/>
  <c r="I662" i="4"/>
  <c r="I664" i="4" s="1"/>
  <c r="I665" i="4" s="1"/>
  <c r="I666" i="4" s="1"/>
  <c r="H662" i="4"/>
  <c r="H664" i="4" s="1"/>
  <c r="H665" i="4" s="1"/>
  <c r="H666" i="4" s="1"/>
  <c r="G662" i="4"/>
  <c r="G664" i="4" s="1"/>
  <c r="G665" i="4" s="1"/>
  <c r="G666" i="4" s="1"/>
  <c r="F662" i="4"/>
  <c r="F664" i="4" s="1"/>
  <c r="F665" i="4" s="1"/>
  <c r="F666" i="4" s="1"/>
  <c r="E662" i="4"/>
  <c r="E664" i="4" s="1"/>
  <c r="E665" i="4" s="1"/>
  <c r="E666" i="4" s="1"/>
  <c r="R337" i="4"/>
  <c r="R338" i="4" s="1"/>
  <c r="J337" i="4"/>
  <c r="J338" i="4" s="1"/>
  <c r="Q337" i="4"/>
  <c r="P337" i="4"/>
  <c r="O337" i="4"/>
  <c r="O338" i="4" s="1"/>
  <c r="I337" i="4"/>
  <c r="H337" i="4"/>
  <c r="G337" i="4"/>
  <c r="G338" i="4" s="1"/>
  <c r="V199" i="4"/>
  <c r="V200" i="4" s="1"/>
  <c r="V202" i="4" s="1"/>
  <c r="V204" i="4" s="1"/>
  <c r="U199" i="4"/>
  <c r="U200" i="4" s="1"/>
  <c r="U202" i="4" s="1"/>
  <c r="U204" i="4" s="1"/>
  <c r="T199" i="4"/>
  <c r="T200" i="4" s="1"/>
  <c r="T202" i="4" s="1"/>
  <c r="T204" i="4" s="1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W716" i="4" l="1"/>
  <c r="W718" i="4" s="1"/>
  <c r="W719" i="4" s="1"/>
  <c r="W720" i="4" s="1"/>
  <c r="W722" i="4" s="1"/>
  <c r="W724" i="4" s="1"/>
  <c r="J718" i="4"/>
  <c r="J719" i="4" s="1"/>
  <c r="J720" i="4" s="1"/>
  <c r="J722" i="4" s="1"/>
  <c r="J724" i="4" s="1"/>
  <c r="W743" i="4"/>
  <c r="W745" i="4" s="1"/>
  <c r="W746" i="4" s="1"/>
  <c r="W747" i="4" s="1"/>
  <c r="W749" i="4" s="1"/>
  <c r="W751" i="4" s="1"/>
  <c r="J745" i="4"/>
  <c r="J746" i="4" s="1"/>
  <c r="J747" i="4" s="1"/>
  <c r="J749" i="4" s="1"/>
  <c r="J751" i="4" s="1"/>
  <c r="W689" i="4"/>
  <c r="W691" i="4" s="1"/>
  <c r="W692" i="4" s="1"/>
  <c r="W693" i="4" s="1"/>
  <c r="W695" i="4" s="1"/>
  <c r="W697" i="4" s="1"/>
  <c r="J691" i="4"/>
  <c r="J692" i="4" s="1"/>
  <c r="J693" i="4" s="1"/>
  <c r="J695" i="4" s="1"/>
  <c r="J697" i="4" s="1"/>
  <c r="W662" i="4"/>
  <c r="W664" i="4" s="1"/>
  <c r="W665" i="4" s="1"/>
  <c r="W666" i="4" s="1"/>
  <c r="W668" i="4" s="1"/>
  <c r="W670" i="4" s="1"/>
  <c r="J664" i="4"/>
  <c r="J665" i="4" s="1"/>
  <c r="J666" i="4" s="1"/>
  <c r="M67" i="17"/>
  <c r="K67" i="17"/>
  <c r="L67" i="17"/>
  <c r="J67" i="17"/>
  <c r="H67" i="17"/>
  <c r="G67" i="17"/>
  <c r="U704" i="4"/>
  <c r="U709" i="4" s="1"/>
  <c r="I67" i="17"/>
  <c r="M121" i="15"/>
  <c r="P137" i="23"/>
  <c r="P142" i="23" s="1"/>
  <c r="D136" i="23"/>
  <c r="D141" i="23" s="1"/>
  <c r="D121" i="12"/>
  <c r="U670" i="4"/>
  <c r="V670" i="4"/>
  <c r="O340" i="4"/>
  <c r="R340" i="4"/>
  <c r="G340" i="4"/>
  <c r="J340" i="4"/>
  <c r="F200" i="4"/>
  <c r="F202" i="4" s="1"/>
  <c r="F204" i="4" s="1"/>
  <c r="N200" i="4"/>
  <c r="N202" i="4" s="1"/>
  <c r="N204" i="4" s="1"/>
  <c r="O200" i="4"/>
  <c r="O202" i="4" s="1"/>
  <c r="O204" i="4" s="1"/>
  <c r="P200" i="4"/>
  <c r="P202" i="4" s="1"/>
  <c r="P204" i="4" s="1"/>
  <c r="J200" i="4"/>
  <c r="J202" i="4" s="1"/>
  <c r="J204" i="4" s="1"/>
  <c r="K200" i="4"/>
  <c r="K202" i="4" s="1"/>
  <c r="K204" i="4" s="1"/>
  <c r="S200" i="4"/>
  <c r="S202" i="4" s="1"/>
  <c r="S204" i="4" s="1"/>
  <c r="G200" i="4"/>
  <c r="G202" i="4" s="1"/>
  <c r="G204" i="4" s="1"/>
  <c r="I200" i="4"/>
  <c r="I202" i="4" s="1"/>
  <c r="I204" i="4" s="1"/>
  <c r="R200" i="4"/>
  <c r="R202" i="4" s="1"/>
  <c r="R204" i="4" s="1"/>
  <c r="L200" i="4"/>
  <c r="L202" i="4" s="1"/>
  <c r="L204" i="4" s="1"/>
  <c r="H200" i="4"/>
  <c r="H202" i="4" s="1"/>
  <c r="H204" i="4" s="1"/>
  <c r="Q200" i="4"/>
  <c r="Q202" i="4" s="1"/>
  <c r="Q204" i="4" s="1"/>
  <c r="E200" i="4"/>
  <c r="E202" i="4" s="1"/>
  <c r="E204" i="4" s="1"/>
  <c r="M200" i="4"/>
  <c r="M202" i="4" s="1"/>
  <c r="M204" i="4" s="1"/>
  <c r="D200" i="4"/>
  <c r="D202" i="4" s="1"/>
  <c r="D204" i="4" s="1"/>
  <c r="V705" i="4"/>
  <c r="V710" i="4" s="1"/>
  <c r="V707" i="4"/>
  <c r="V712" i="4" s="1"/>
  <c r="E119" i="16"/>
  <c r="R22" i="23"/>
  <c r="R27" i="23" s="1"/>
  <c r="L119" i="15"/>
  <c r="P21" i="23"/>
  <c r="P26" i="23" s="1"/>
  <c r="H119" i="15"/>
  <c r="O21" i="23"/>
  <c r="O26" i="23" s="1"/>
  <c r="D119" i="15"/>
  <c r="N21" i="23"/>
  <c r="N26" i="23" s="1"/>
  <c r="E119" i="12"/>
  <c r="D22" i="23"/>
  <c r="D27" i="23" s="1"/>
  <c r="S21" i="23"/>
  <c r="S26" i="23" s="1"/>
  <c r="G749" i="4"/>
  <c r="G751" i="4" s="1"/>
  <c r="O749" i="4"/>
  <c r="O751" i="4" s="1"/>
  <c r="H749" i="4"/>
  <c r="H751" i="4" s="1"/>
  <c r="P749" i="4"/>
  <c r="P751" i="4" s="1"/>
  <c r="I749" i="4"/>
  <c r="I751" i="4" s="1"/>
  <c r="Q749" i="4"/>
  <c r="Q751" i="4" s="1"/>
  <c r="R749" i="4"/>
  <c r="R751" i="4" s="1"/>
  <c r="K749" i="4"/>
  <c r="K751" i="4" s="1"/>
  <c r="S749" i="4"/>
  <c r="S751" i="4" s="1"/>
  <c r="L749" i="4"/>
  <c r="L751" i="4" s="1"/>
  <c r="T749" i="4"/>
  <c r="T751" i="4" s="1"/>
  <c r="E749" i="4"/>
  <c r="E751" i="4" s="1"/>
  <c r="M749" i="4"/>
  <c r="M751" i="4" s="1"/>
  <c r="U749" i="4"/>
  <c r="U751" i="4" s="1"/>
  <c r="F749" i="4"/>
  <c r="F751" i="4" s="1"/>
  <c r="N749" i="4"/>
  <c r="N751" i="4" s="1"/>
  <c r="V749" i="4"/>
  <c r="V751" i="4" s="1"/>
  <c r="D749" i="4"/>
  <c r="D751" i="4" s="1"/>
  <c r="T695" i="4"/>
  <c r="T697" i="4" s="1"/>
  <c r="T722" i="4"/>
  <c r="T724" i="4" s="1"/>
  <c r="T668" i="4"/>
  <c r="R668" i="4"/>
  <c r="K668" i="4"/>
  <c r="E668" i="4"/>
  <c r="L668" i="4"/>
  <c r="M668" i="4"/>
  <c r="E695" i="4"/>
  <c r="E697" i="4" s="1"/>
  <c r="M695" i="4"/>
  <c r="M697" i="4" s="1"/>
  <c r="K722" i="4"/>
  <c r="K724" i="4" s="1"/>
  <c r="S722" i="4"/>
  <c r="S724" i="4" s="1"/>
  <c r="D668" i="4"/>
  <c r="F668" i="4"/>
  <c r="N668" i="4"/>
  <c r="F695" i="4"/>
  <c r="F697" i="4" s="1"/>
  <c r="N695" i="4"/>
  <c r="N697" i="4" s="1"/>
  <c r="D722" i="4"/>
  <c r="D724" i="4" s="1"/>
  <c r="L722" i="4"/>
  <c r="L724" i="4" s="1"/>
  <c r="L695" i="4"/>
  <c r="L697" i="4" s="1"/>
  <c r="G668" i="4"/>
  <c r="O668" i="4"/>
  <c r="G695" i="4"/>
  <c r="G697" i="4" s="1"/>
  <c r="O695" i="4"/>
  <c r="O697" i="4" s="1"/>
  <c r="E722" i="4"/>
  <c r="E724" i="4" s="1"/>
  <c r="M722" i="4"/>
  <c r="M724" i="4" s="1"/>
  <c r="R722" i="4"/>
  <c r="R724" i="4" s="1"/>
  <c r="H668" i="4"/>
  <c r="P668" i="4"/>
  <c r="J668" i="4"/>
  <c r="H695" i="4"/>
  <c r="H697" i="4" s="1"/>
  <c r="P695" i="4"/>
  <c r="P697" i="4" s="1"/>
  <c r="F722" i="4"/>
  <c r="F724" i="4" s="1"/>
  <c r="N722" i="4"/>
  <c r="N724" i="4" s="1"/>
  <c r="D695" i="4"/>
  <c r="D697" i="4" s="1"/>
  <c r="I668" i="4"/>
  <c r="Q668" i="4"/>
  <c r="I695" i="4"/>
  <c r="I697" i="4" s="1"/>
  <c r="Q695" i="4"/>
  <c r="Q697" i="4" s="1"/>
  <c r="G722" i="4"/>
  <c r="G724" i="4" s="1"/>
  <c r="O722" i="4"/>
  <c r="O724" i="4" s="1"/>
  <c r="R695" i="4"/>
  <c r="R697" i="4" s="1"/>
  <c r="H722" i="4"/>
  <c r="H724" i="4" s="1"/>
  <c r="P722" i="4"/>
  <c r="P724" i="4" s="1"/>
  <c r="S668" i="4"/>
  <c r="K695" i="4"/>
  <c r="K697" i="4" s="1"/>
  <c r="S695" i="4"/>
  <c r="S697" i="4" s="1"/>
  <c r="I722" i="4"/>
  <c r="I724" i="4" s="1"/>
  <c r="Q722" i="4"/>
  <c r="Q724" i="4" s="1"/>
  <c r="K337" i="4"/>
  <c r="K338" i="4" s="1"/>
  <c r="S337" i="4"/>
  <c r="H338" i="4"/>
  <c r="P338" i="4"/>
  <c r="D337" i="4"/>
  <c r="D338" i="4" s="1"/>
  <c r="L337" i="4"/>
  <c r="L338" i="4" s="1"/>
  <c r="T337" i="4"/>
  <c r="T338" i="4" s="1"/>
  <c r="T340" i="4" s="1"/>
  <c r="I338" i="4"/>
  <c r="Q338" i="4"/>
  <c r="E337" i="4"/>
  <c r="E338" i="4" s="1"/>
  <c r="M337" i="4"/>
  <c r="M338" i="4" s="1"/>
  <c r="U337" i="4"/>
  <c r="F337" i="4"/>
  <c r="F338" i="4" s="1"/>
  <c r="N337" i="4"/>
  <c r="N338" i="4" s="1"/>
  <c r="V337" i="4"/>
  <c r="D180" i="3"/>
  <c r="E178" i="3"/>
  <c r="F178" i="3" s="1"/>
  <c r="F180" i="3" s="1"/>
  <c r="F181" i="3" s="1"/>
  <c r="D155" i="3"/>
  <c r="D156" i="3" s="1"/>
  <c r="E153" i="3"/>
  <c r="E155" i="3" s="1"/>
  <c r="W677" i="4" l="1"/>
  <c r="W682" i="4" s="1"/>
  <c r="W680" i="4"/>
  <c r="W685" i="4" s="1"/>
  <c r="W679" i="4"/>
  <c r="W684" i="4" s="1"/>
  <c r="W678" i="4"/>
  <c r="W683" i="4" s="1"/>
  <c r="V338" i="4"/>
  <c r="V340" i="4" s="1"/>
  <c r="V342" i="4" s="1"/>
  <c r="W705" i="4"/>
  <c r="W710" i="4" s="1"/>
  <c r="W706" i="4"/>
  <c r="W711" i="4" s="1"/>
  <c r="W704" i="4"/>
  <c r="W709" i="4" s="1"/>
  <c r="W707" i="4"/>
  <c r="W712" i="4" s="1"/>
  <c r="U338" i="4"/>
  <c r="U340" i="4" s="1"/>
  <c r="U342" i="4" s="1"/>
  <c r="W760" i="4"/>
  <c r="W765" i="4" s="1"/>
  <c r="W761" i="4"/>
  <c r="W766" i="4" s="1"/>
  <c r="W758" i="4"/>
  <c r="W763" i="4" s="1"/>
  <c r="W759" i="4"/>
  <c r="W764" i="4" s="1"/>
  <c r="W734" i="4"/>
  <c r="W739" i="4" s="1"/>
  <c r="W731" i="4"/>
  <c r="W736" i="4" s="1"/>
  <c r="W733" i="4"/>
  <c r="W738" i="4" s="1"/>
  <c r="W732" i="4"/>
  <c r="W737" i="4" s="1"/>
  <c r="H761" i="4"/>
  <c r="H766" i="4" s="1"/>
  <c r="H758" i="4"/>
  <c r="H763" i="4" s="1"/>
  <c r="H760" i="4"/>
  <c r="H765" i="4" s="1"/>
  <c r="H759" i="4"/>
  <c r="H764" i="4" s="1"/>
  <c r="E759" i="4"/>
  <c r="E764" i="4" s="1"/>
  <c r="E761" i="4"/>
  <c r="E766" i="4" s="1"/>
  <c r="E760" i="4"/>
  <c r="E765" i="4" s="1"/>
  <c r="E758" i="4"/>
  <c r="E763" i="4" s="1"/>
  <c r="J90" i="17"/>
  <c r="L90" i="17"/>
  <c r="K90" i="17"/>
  <c r="G759" i="4"/>
  <c r="G764" i="4" s="1"/>
  <c r="G758" i="4"/>
  <c r="G763" i="4" s="1"/>
  <c r="G761" i="4"/>
  <c r="G766" i="4" s="1"/>
  <c r="G760" i="4"/>
  <c r="G765" i="4" s="1"/>
  <c r="B90" i="17"/>
  <c r="D90" i="17"/>
  <c r="C90" i="17"/>
  <c r="F759" i="4"/>
  <c r="F764" i="4" s="1"/>
  <c r="F758" i="4"/>
  <c r="F763" i="4" s="1"/>
  <c r="F760" i="4"/>
  <c r="F765" i="4" s="1"/>
  <c r="F761" i="4"/>
  <c r="F766" i="4" s="1"/>
  <c r="D759" i="4"/>
  <c r="D764" i="4" s="1"/>
  <c r="D761" i="4"/>
  <c r="D766" i="4" s="1"/>
  <c r="D758" i="4"/>
  <c r="D763" i="4" s="1"/>
  <c r="D760" i="4"/>
  <c r="D765" i="4" s="1"/>
  <c r="F90" i="17"/>
  <c r="H90" i="17"/>
  <c r="G90" i="17"/>
  <c r="U707" i="4"/>
  <c r="U712" i="4" s="1"/>
  <c r="U705" i="4"/>
  <c r="U710" i="4" s="1"/>
  <c r="U706" i="4"/>
  <c r="U711" i="4" s="1"/>
  <c r="F67" i="17"/>
  <c r="D731" i="4"/>
  <c r="D736" i="4" s="1"/>
  <c r="D67" i="17"/>
  <c r="C67" i="17"/>
  <c r="B67" i="17"/>
  <c r="E67" i="17"/>
  <c r="D704" i="4"/>
  <c r="D709" i="4" s="1"/>
  <c r="V706" i="4"/>
  <c r="V711" i="4" s="1"/>
  <c r="V704" i="4"/>
  <c r="V709" i="4" s="1"/>
  <c r="U213" i="4"/>
  <c r="U218" i="4" s="1"/>
  <c r="H69" i="17"/>
  <c r="E69" i="17"/>
  <c r="T214" i="4"/>
  <c r="T219" i="4" s="1"/>
  <c r="T212" i="4"/>
  <c r="T217" i="4" s="1"/>
  <c r="C69" i="17"/>
  <c r="D69" i="17"/>
  <c r="T213" i="4"/>
  <c r="T218" i="4" s="1"/>
  <c r="T211" i="4"/>
  <c r="T216" i="4" s="1"/>
  <c r="B69" i="17"/>
  <c r="V214" i="4"/>
  <c r="V219" i="4" s="1"/>
  <c r="M69" i="17"/>
  <c r="V213" i="4"/>
  <c r="V218" i="4" s="1"/>
  <c r="L69" i="17"/>
  <c r="I69" i="17"/>
  <c r="U214" i="4"/>
  <c r="U219" i="4" s="1"/>
  <c r="K69" i="17"/>
  <c r="V212" i="4"/>
  <c r="V217" i="4" s="1"/>
  <c r="F69" i="17"/>
  <c r="U211" i="4"/>
  <c r="U216" i="4" s="1"/>
  <c r="G69" i="17"/>
  <c r="U212" i="4"/>
  <c r="U217" i="4" s="1"/>
  <c r="V211" i="4"/>
  <c r="V216" i="4" s="1"/>
  <c r="J69" i="17"/>
  <c r="E121" i="12"/>
  <c r="D137" i="23"/>
  <c r="D142" i="23" s="1"/>
  <c r="T342" i="4"/>
  <c r="V731" i="4"/>
  <c r="V736" i="4" s="1"/>
  <c r="J68" i="17"/>
  <c r="V732" i="4"/>
  <c r="V737" i="4" s="1"/>
  <c r="K68" i="17"/>
  <c r="U734" i="4"/>
  <c r="U739" i="4" s="1"/>
  <c r="I68" i="17"/>
  <c r="U731" i="4"/>
  <c r="U736" i="4" s="1"/>
  <c r="F68" i="17"/>
  <c r="U732" i="4"/>
  <c r="U737" i="4" s="1"/>
  <c r="G68" i="17"/>
  <c r="V733" i="4"/>
  <c r="V738" i="4" s="1"/>
  <c r="L68" i="17"/>
  <c r="U733" i="4"/>
  <c r="U738" i="4" s="1"/>
  <c r="H68" i="17"/>
  <c r="V734" i="4"/>
  <c r="V739" i="4" s="1"/>
  <c r="M68" i="17"/>
  <c r="V677" i="4"/>
  <c r="V682" i="4" s="1"/>
  <c r="J66" i="17"/>
  <c r="F66" i="17"/>
  <c r="U677" i="4"/>
  <c r="U682" i="4" s="1"/>
  <c r="T670" i="4"/>
  <c r="E670" i="4"/>
  <c r="R670" i="4"/>
  <c r="K670" i="4"/>
  <c r="S670" i="4"/>
  <c r="Q670" i="4"/>
  <c r="J670" i="4"/>
  <c r="O670" i="4"/>
  <c r="N670" i="4"/>
  <c r="M670" i="4"/>
  <c r="I670" i="4"/>
  <c r="P670" i="4"/>
  <c r="G670" i="4"/>
  <c r="F670" i="4"/>
  <c r="H670" i="4"/>
  <c r="L670" i="4"/>
  <c r="D670" i="4"/>
  <c r="N340" i="4"/>
  <c r="J342" i="4"/>
  <c r="G342" i="4"/>
  <c r="M340" i="4"/>
  <c r="H340" i="4"/>
  <c r="L340" i="4"/>
  <c r="E340" i="4"/>
  <c r="R342" i="4"/>
  <c r="P340" i="4"/>
  <c r="K340" i="4"/>
  <c r="F340" i="4"/>
  <c r="Q340" i="4"/>
  <c r="I340" i="4"/>
  <c r="O342" i="4"/>
  <c r="D340" i="4"/>
  <c r="D211" i="4"/>
  <c r="D216" i="4" s="1"/>
  <c r="I119" i="15"/>
  <c r="O22" i="23"/>
  <c r="O27" i="23" s="1"/>
  <c r="M119" i="15"/>
  <c r="P22" i="23"/>
  <c r="P27" i="23" s="1"/>
  <c r="S22" i="23"/>
  <c r="S27" i="23" s="1"/>
  <c r="I119" i="16"/>
  <c r="E119" i="15"/>
  <c r="N22" i="23"/>
  <c r="N27" i="23" s="1"/>
  <c r="S338" i="4"/>
  <c r="F182" i="3"/>
  <c r="D181" i="3"/>
  <c r="D182" i="3" s="1"/>
  <c r="G178" i="3"/>
  <c r="E180" i="3"/>
  <c r="F153" i="3"/>
  <c r="F155" i="3" s="1"/>
  <c r="F156" i="3" s="1"/>
  <c r="F157" i="3" s="1"/>
  <c r="E156" i="3"/>
  <c r="E157" i="3" s="1"/>
  <c r="D157" i="3"/>
  <c r="V854" i="3"/>
  <c r="V855" i="3" s="1"/>
  <c r="V856" i="3" s="1"/>
  <c r="U854" i="3"/>
  <c r="T854" i="3"/>
  <c r="S854" i="3"/>
  <c r="R854" i="3"/>
  <c r="Q854" i="3"/>
  <c r="Q855" i="3" s="1"/>
  <c r="P854" i="3"/>
  <c r="P855" i="3" s="1"/>
  <c r="O854" i="3"/>
  <c r="O855" i="3" s="1"/>
  <c r="N854" i="3"/>
  <c r="N855" i="3" s="1"/>
  <c r="N856" i="3" s="1"/>
  <c r="M854" i="3"/>
  <c r="L854" i="3"/>
  <c r="K854" i="3"/>
  <c r="J854" i="3"/>
  <c r="I854" i="3"/>
  <c r="I855" i="3" s="1"/>
  <c r="H854" i="3"/>
  <c r="H855" i="3" s="1"/>
  <c r="G854" i="3"/>
  <c r="G855" i="3" s="1"/>
  <c r="F854" i="3"/>
  <c r="F855" i="3" s="1"/>
  <c r="F856" i="3" s="1"/>
  <c r="E854" i="3"/>
  <c r="D854" i="3"/>
  <c r="V829" i="3"/>
  <c r="V830" i="3" s="1"/>
  <c r="U829" i="3"/>
  <c r="T829" i="3"/>
  <c r="S829" i="3"/>
  <c r="S830" i="3" s="1"/>
  <c r="S831" i="3" s="1"/>
  <c r="R829" i="3"/>
  <c r="Q829" i="3"/>
  <c r="P829" i="3"/>
  <c r="P830" i="3" s="1"/>
  <c r="P831" i="3" s="1"/>
  <c r="O829" i="3"/>
  <c r="O830" i="3" s="1"/>
  <c r="N829" i="3"/>
  <c r="N830" i="3" s="1"/>
  <c r="M829" i="3"/>
  <c r="L829" i="3"/>
  <c r="K829" i="3"/>
  <c r="K830" i="3" s="1"/>
  <c r="K831" i="3" s="1"/>
  <c r="J829" i="3"/>
  <c r="H829" i="3"/>
  <c r="H830" i="3" s="1"/>
  <c r="H831" i="3" s="1"/>
  <c r="G829" i="3"/>
  <c r="G830" i="3" s="1"/>
  <c r="F829" i="3"/>
  <c r="F830" i="3" s="1"/>
  <c r="E829" i="3"/>
  <c r="D829" i="3"/>
  <c r="I759" i="4" l="1"/>
  <c r="I764" i="4" s="1"/>
  <c r="C90" i="14"/>
  <c r="O761" i="4"/>
  <c r="O766" i="4" s="1"/>
  <c r="I90" i="15"/>
  <c r="J761" i="4"/>
  <c r="J766" i="4" s="1"/>
  <c r="I90" i="14"/>
  <c r="P759" i="4"/>
  <c r="P764" i="4" s="1"/>
  <c r="K90" i="15"/>
  <c r="Q760" i="4"/>
  <c r="Q765" i="4" s="1"/>
  <c r="P90" i="15"/>
  <c r="N758" i="4"/>
  <c r="N763" i="4" s="1"/>
  <c r="R758" i="4"/>
  <c r="R763" i="4" s="1"/>
  <c r="B90" i="16"/>
  <c r="S760" i="4"/>
  <c r="S765" i="4" s="1"/>
  <c r="H90" i="16"/>
  <c r="M761" i="4"/>
  <c r="M766" i="4" s="1"/>
  <c r="U90" i="14"/>
  <c r="Q761" i="4"/>
  <c r="Q766" i="4" s="1"/>
  <c r="Q90" i="15"/>
  <c r="N761" i="4"/>
  <c r="N766" i="4" s="1"/>
  <c r="E90" i="15"/>
  <c r="R760" i="4"/>
  <c r="R765" i="4" s="1"/>
  <c r="D90" i="16"/>
  <c r="S761" i="4"/>
  <c r="S766" i="4" s="1"/>
  <c r="I90" i="16"/>
  <c r="M758" i="4"/>
  <c r="M763" i="4" s="1"/>
  <c r="R90" i="14"/>
  <c r="U761" i="4"/>
  <c r="U766" i="4" s="1"/>
  <c r="I90" i="17"/>
  <c r="Q758" i="4"/>
  <c r="Q763" i="4" s="1"/>
  <c r="N90" i="15"/>
  <c r="N759" i="4"/>
  <c r="N764" i="4" s="1"/>
  <c r="C90" i="15"/>
  <c r="R761" i="4"/>
  <c r="R766" i="4" s="1"/>
  <c r="E90" i="16"/>
  <c r="S758" i="4"/>
  <c r="S763" i="4" s="1"/>
  <c r="F90" i="16"/>
  <c r="M759" i="4"/>
  <c r="M764" i="4" s="1"/>
  <c r="S90" i="14"/>
  <c r="O758" i="4"/>
  <c r="O763" i="4" s="1"/>
  <c r="F90" i="15"/>
  <c r="K760" i="4"/>
  <c r="K765" i="4" s="1"/>
  <c r="L90" i="14"/>
  <c r="K761" i="4"/>
  <c r="K766" i="4" s="1"/>
  <c r="M90" i="14"/>
  <c r="O760" i="4"/>
  <c r="O765" i="4" s="1"/>
  <c r="H90" i="15"/>
  <c r="Q759" i="4"/>
  <c r="Q764" i="4" s="1"/>
  <c r="O90" i="15"/>
  <c r="N760" i="4"/>
  <c r="N765" i="4" s="1"/>
  <c r="D90" i="15"/>
  <c r="R759" i="4"/>
  <c r="R764" i="4" s="1"/>
  <c r="C90" i="16"/>
  <c r="S759" i="4"/>
  <c r="S764" i="4" s="1"/>
  <c r="G90" i="16"/>
  <c r="M760" i="4"/>
  <c r="M765" i="4" s="1"/>
  <c r="T90" i="14"/>
  <c r="P761" i="4"/>
  <c r="P766" i="4" s="1"/>
  <c r="M90" i="15"/>
  <c r="J758" i="4"/>
  <c r="J763" i="4" s="1"/>
  <c r="F90" i="14"/>
  <c r="L761" i="4"/>
  <c r="L766" i="4" s="1"/>
  <c r="Q90" i="14"/>
  <c r="K759" i="4"/>
  <c r="K764" i="4" s="1"/>
  <c r="K90" i="14"/>
  <c r="I760" i="4"/>
  <c r="I765" i="4" s="1"/>
  <c r="D90" i="14"/>
  <c r="P758" i="4"/>
  <c r="P763" i="4" s="1"/>
  <c r="J90" i="15"/>
  <c r="J759" i="4"/>
  <c r="J764" i="4" s="1"/>
  <c r="G90" i="14"/>
  <c r="J760" i="4"/>
  <c r="J765" i="4" s="1"/>
  <c r="H90" i="14"/>
  <c r="O759" i="4"/>
  <c r="O764" i="4" s="1"/>
  <c r="G90" i="15"/>
  <c r="I758" i="4"/>
  <c r="I763" i="4" s="1"/>
  <c r="B90" i="14"/>
  <c r="L758" i="4"/>
  <c r="L763" i="4" s="1"/>
  <c r="N90" i="14"/>
  <c r="T761" i="4"/>
  <c r="T766" i="4" s="1"/>
  <c r="E90" i="17"/>
  <c r="V761" i="4"/>
  <c r="V766" i="4" s="1"/>
  <c r="M90" i="17"/>
  <c r="L759" i="4"/>
  <c r="L764" i="4" s="1"/>
  <c r="O90" i="14"/>
  <c r="P760" i="4"/>
  <c r="P765" i="4" s="1"/>
  <c r="L90" i="15"/>
  <c r="I761" i="4"/>
  <c r="I766" i="4" s="1"/>
  <c r="E90" i="14"/>
  <c r="K758" i="4"/>
  <c r="K763" i="4" s="1"/>
  <c r="J90" i="14"/>
  <c r="L760" i="4"/>
  <c r="L765" i="4" s="1"/>
  <c r="P90" i="14"/>
  <c r="B90" i="12"/>
  <c r="C90" i="12"/>
  <c r="D90" i="12"/>
  <c r="T706" i="4"/>
  <c r="T711" i="4" s="1"/>
  <c r="E90" i="12"/>
  <c r="T705" i="4"/>
  <c r="T710" i="4" s="1"/>
  <c r="T704" i="4"/>
  <c r="T709" i="4" s="1"/>
  <c r="U760" i="4"/>
  <c r="U765" i="4" s="1"/>
  <c r="U758" i="4"/>
  <c r="U763" i="4" s="1"/>
  <c r="T759" i="4"/>
  <c r="T764" i="4" s="1"/>
  <c r="V759" i="4"/>
  <c r="V764" i="4" s="1"/>
  <c r="T760" i="4"/>
  <c r="T765" i="4" s="1"/>
  <c r="V760" i="4"/>
  <c r="V765" i="4" s="1"/>
  <c r="T758" i="4"/>
  <c r="T763" i="4" s="1"/>
  <c r="V758" i="4"/>
  <c r="V763" i="4" s="1"/>
  <c r="U759" i="4"/>
  <c r="U764" i="4" s="1"/>
  <c r="T707" i="4"/>
  <c r="T712" i="4" s="1"/>
  <c r="T349" i="4"/>
  <c r="T354" i="4" s="1"/>
  <c r="B60" i="17"/>
  <c r="S340" i="4"/>
  <c r="D677" i="4"/>
  <c r="D682" i="4" s="1"/>
  <c r="F60" i="17"/>
  <c r="U349" i="4"/>
  <c r="U354" i="4" s="1"/>
  <c r="V349" i="4"/>
  <c r="V354" i="4" s="1"/>
  <c r="J60" i="17"/>
  <c r="T731" i="4"/>
  <c r="T736" i="4" s="1"/>
  <c r="B68" i="17"/>
  <c r="T732" i="4"/>
  <c r="T737" i="4" s="1"/>
  <c r="C68" i="17"/>
  <c r="E68" i="17"/>
  <c r="T734" i="4"/>
  <c r="T739" i="4" s="1"/>
  <c r="T733" i="4"/>
  <c r="T738" i="4" s="1"/>
  <c r="D68" i="17"/>
  <c r="V680" i="4"/>
  <c r="V685" i="4" s="1"/>
  <c r="M66" i="17"/>
  <c r="V678" i="4"/>
  <c r="V683" i="4" s="1"/>
  <c r="K66" i="17"/>
  <c r="U680" i="4"/>
  <c r="U685" i="4" s="1"/>
  <c r="I66" i="17"/>
  <c r="V679" i="4"/>
  <c r="V684" i="4" s="1"/>
  <c r="L66" i="17"/>
  <c r="U678" i="4"/>
  <c r="U683" i="4" s="1"/>
  <c r="G66" i="17"/>
  <c r="U679" i="4"/>
  <c r="U684" i="4" s="1"/>
  <c r="H66" i="17"/>
  <c r="T677" i="4"/>
  <c r="T682" i="4" s="1"/>
  <c r="B66" i="17"/>
  <c r="R732" i="4"/>
  <c r="R737" i="4" s="1"/>
  <c r="C68" i="16"/>
  <c r="H68" i="13"/>
  <c r="F733" i="4"/>
  <c r="F738" i="4" s="1"/>
  <c r="R733" i="4"/>
  <c r="R738" i="4" s="1"/>
  <c r="D68" i="16"/>
  <c r="Q732" i="4"/>
  <c r="Q737" i="4" s="1"/>
  <c r="O68" i="15"/>
  <c r="N731" i="4"/>
  <c r="N736" i="4" s="1"/>
  <c r="K734" i="4"/>
  <c r="K739" i="4" s="1"/>
  <c r="M68" i="14"/>
  <c r="M732" i="4"/>
  <c r="M737" i="4" s="1"/>
  <c r="S68" i="14"/>
  <c r="L733" i="4"/>
  <c r="L738" i="4" s="1"/>
  <c r="P68" i="14"/>
  <c r="K733" i="4"/>
  <c r="K738" i="4" s="1"/>
  <c r="L68" i="14"/>
  <c r="R734" i="4"/>
  <c r="R739" i="4" s="1"/>
  <c r="E68" i="16"/>
  <c r="O734" i="4"/>
  <c r="O739" i="4" s="1"/>
  <c r="I68" i="15"/>
  <c r="Q731" i="4"/>
  <c r="Q736" i="4" s="1"/>
  <c r="N68" i="15"/>
  <c r="N732" i="4"/>
  <c r="N737" i="4" s="1"/>
  <c r="C68" i="15"/>
  <c r="M733" i="4"/>
  <c r="M738" i="4" s="1"/>
  <c r="T68" i="14"/>
  <c r="H734" i="4"/>
  <c r="H739" i="4" s="1"/>
  <c r="Q68" i="13"/>
  <c r="L734" i="4"/>
  <c r="L739" i="4" s="1"/>
  <c r="Q68" i="14"/>
  <c r="Q734" i="4"/>
  <c r="Q739" i="4" s="1"/>
  <c r="Q68" i="15"/>
  <c r="P734" i="4"/>
  <c r="P739" i="4" s="1"/>
  <c r="M68" i="15"/>
  <c r="R731" i="4"/>
  <c r="R736" i="4" s="1"/>
  <c r="B68" i="16"/>
  <c r="O731" i="4"/>
  <c r="O736" i="4" s="1"/>
  <c r="F68" i="15"/>
  <c r="D68" i="15"/>
  <c r="N733" i="4"/>
  <c r="N738" i="4" s="1"/>
  <c r="S731" i="4"/>
  <c r="S736" i="4" s="1"/>
  <c r="F68" i="16"/>
  <c r="M734" i="4"/>
  <c r="M739" i="4" s="1"/>
  <c r="U68" i="14"/>
  <c r="H733" i="4"/>
  <c r="H738" i="4" s="1"/>
  <c r="P68" i="13"/>
  <c r="M731" i="4"/>
  <c r="M736" i="4" s="1"/>
  <c r="R68" i="14"/>
  <c r="L68" i="15"/>
  <c r="P733" i="4"/>
  <c r="P738" i="4" s="1"/>
  <c r="O732" i="4"/>
  <c r="O737" i="4" s="1"/>
  <c r="G68" i="15"/>
  <c r="B68" i="13"/>
  <c r="E731" i="4"/>
  <c r="E736" i="4" s="1"/>
  <c r="N734" i="4"/>
  <c r="N739" i="4" s="1"/>
  <c r="E68" i="15"/>
  <c r="S732" i="4"/>
  <c r="S737" i="4" s="1"/>
  <c r="G68" i="16"/>
  <c r="H731" i="4"/>
  <c r="H736" i="4" s="1"/>
  <c r="N68" i="13"/>
  <c r="G68" i="14"/>
  <c r="J732" i="4"/>
  <c r="J737" i="4" s="1"/>
  <c r="P731" i="4"/>
  <c r="P736" i="4" s="1"/>
  <c r="J68" i="15"/>
  <c r="F734" i="4"/>
  <c r="F739" i="4" s="1"/>
  <c r="I68" i="13"/>
  <c r="H68" i="15"/>
  <c r="O733" i="4"/>
  <c r="O738" i="4" s="1"/>
  <c r="E732" i="4"/>
  <c r="E737" i="4" s="1"/>
  <c r="C68" i="13"/>
  <c r="S733" i="4"/>
  <c r="S738" i="4" s="1"/>
  <c r="H68" i="16"/>
  <c r="I733" i="4"/>
  <c r="I738" i="4" s="1"/>
  <c r="D68" i="14"/>
  <c r="H732" i="4"/>
  <c r="H737" i="4" s="1"/>
  <c r="O68" i="13"/>
  <c r="J733" i="4"/>
  <c r="J738" i="4" s="1"/>
  <c r="H68" i="14"/>
  <c r="L732" i="4"/>
  <c r="L737" i="4" s="1"/>
  <c r="O68" i="14"/>
  <c r="P732" i="4"/>
  <c r="P737" i="4" s="1"/>
  <c r="K68" i="15"/>
  <c r="F68" i="13"/>
  <c r="F731" i="4"/>
  <c r="F736" i="4" s="1"/>
  <c r="E733" i="4"/>
  <c r="E738" i="4" s="1"/>
  <c r="D68" i="13"/>
  <c r="K731" i="4"/>
  <c r="K736" i="4" s="1"/>
  <c r="J68" i="14"/>
  <c r="I68" i="16"/>
  <c r="S734" i="4"/>
  <c r="S739" i="4" s="1"/>
  <c r="I732" i="4"/>
  <c r="I737" i="4" s="1"/>
  <c r="C68" i="14"/>
  <c r="J734" i="4"/>
  <c r="J739" i="4" s="1"/>
  <c r="I68" i="14"/>
  <c r="I731" i="4"/>
  <c r="I736" i="4" s="1"/>
  <c r="B68" i="14"/>
  <c r="F732" i="4"/>
  <c r="F737" i="4" s="1"/>
  <c r="G68" i="13"/>
  <c r="Q733" i="4"/>
  <c r="Q738" i="4" s="1"/>
  <c r="P68" i="15"/>
  <c r="E734" i="4"/>
  <c r="E739" i="4" s="1"/>
  <c r="E68" i="13"/>
  <c r="K68" i="14"/>
  <c r="K732" i="4"/>
  <c r="K737" i="4" s="1"/>
  <c r="I734" i="4"/>
  <c r="I739" i="4" s="1"/>
  <c r="E68" i="14"/>
  <c r="L731" i="4"/>
  <c r="L736" i="4" s="1"/>
  <c r="N68" i="14"/>
  <c r="J731" i="4"/>
  <c r="J736" i="4" s="1"/>
  <c r="F68" i="14"/>
  <c r="E68" i="12"/>
  <c r="D734" i="4"/>
  <c r="D739" i="4" s="1"/>
  <c r="C68" i="12"/>
  <c r="D732" i="4"/>
  <c r="D737" i="4" s="1"/>
  <c r="D68" i="12"/>
  <c r="D733" i="4"/>
  <c r="D738" i="4" s="1"/>
  <c r="K707" i="4"/>
  <c r="K712" i="4" s="1"/>
  <c r="M67" i="14"/>
  <c r="J705" i="4"/>
  <c r="J710" i="4" s="1"/>
  <c r="G67" i="14"/>
  <c r="F705" i="4"/>
  <c r="F710" i="4" s="1"/>
  <c r="G67" i="13"/>
  <c r="K706" i="4"/>
  <c r="K711" i="4" s="1"/>
  <c r="L67" i="14"/>
  <c r="H706" i="4"/>
  <c r="H711" i="4" s="1"/>
  <c r="P67" i="13"/>
  <c r="N704" i="4"/>
  <c r="N709" i="4" s="1"/>
  <c r="H67" i="15"/>
  <c r="O706" i="4"/>
  <c r="O711" i="4" s="1"/>
  <c r="Q706" i="4"/>
  <c r="Q711" i="4" s="1"/>
  <c r="P67" i="15"/>
  <c r="J704" i="4"/>
  <c r="J709" i="4" s="1"/>
  <c r="F67" i="14"/>
  <c r="O707" i="4"/>
  <c r="O712" i="4" s="1"/>
  <c r="I67" i="15"/>
  <c r="K705" i="4"/>
  <c r="K710" i="4" s="1"/>
  <c r="K67" i="14"/>
  <c r="G704" i="4"/>
  <c r="G709" i="4" s="1"/>
  <c r="J67" i="13"/>
  <c r="H707" i="4"/>
  <c r="H712" i="4" s="1"/>
  <c r="Q67" i="13"/>
  <c r="N707" i="4"/>
  <c r="N712" i="4" s="1"/>
  <c r="E67" i="15"/>
  <c r="Q704" i="4"/>
  <c r="Q709" i="4" s="1"/>
  <c r="N67" i="15"/>
  <c r="R706" i="4"/>
  <c r="R711" i="4" s="1"/>
  <c r="D67" i="16"/>
  <c r="J707" i="4"/>
  <c r="J712" i="4" s="1"/>
  <c r="I67" i="14"/>
  <c r="S704" i="4"/>
  <c r="S709" i="4" s="1"/>
  <c r="F67" i="16"/>
  <c r="I705" i="4"/>
  <c r="I710" i="4" s="1"/>
  <c r="C67" i="14"/>
  <c r="K704" i="4"/>
  <c r="K709" i="4" s="1"/>
  <c r="J67" i="14"/>
  <c r="G705" i="4"/>
  <c r="G710" i="4" s="1"/>
  <c r="K67" i="13"/>
  <c r="N706" i="4"/>
  <c r="N711" i="4" s="1"/>
  <c r="D67" i="15"/>
  <c r="P704" i="4"/>
  <c r="P709" i="4" s="1"/>
  <c r="J67" i="15"/>
  <c r="Q67" i="15"/>
  <c r="Q707" i="4"/>
  <c r="Q712" i="4" s="1"/>
  <c r="C67" i="16"/>
  <c r="R705" i="4"/>
  <c r="R710" i="4" s="1"/>
  <c r="B67" i="13"/>
  <c r="E704" i="4"/>
  <c r="E709" i="4" s="1"/>
  <c r="I704" i="4"/>
  <c r="I709" i="4" s="1"/>
  <c r="B67" i="14"/>
  <c r="G707" i="4"/>
  <c r="G712" i="4" s="1"/>
  <c r="M67" i="13"/>
  <c r="M707" i="4"/>
  <c r="M712" i="4" s="1"/>
  <c r="U67" i="14"/>
  <c r="N705" i="4"/>
  <c r="N710" i="4" s="1"/>
  <c r="C67" i="15"/>
  <c r="P706" i="4"/>
  <c r="P711" i="4" s="1"/>
  <c r="L67" i="15"/>
  <c r="R707" i="4"/>
  <c r="R712" i="4" s="1"/>
  <c r="E67" i="16"/>
  <c r="L707" i="4"/>
  <c r="L712" i="4" s="1"/>
  <c r="Q67" i="14"/>
  <c r="Q705" i="4"/>
  <c r="Q710" i="4" s="1"/>
  <c r="O67" i="15"/>
  <c r="I707" i="4"/>
  <c r="I712" i="4" s="1"/>
  <c r="E67" i="14"/>
  <c r="E707" i="4"/>
  <c r="E712" i="4" s="1"/>
  <c r="E67" i="13"/>
  <c r="L67" i="13"/>
  <c r="G706" i="4"/>
  <c r="G711" i="4" s="1"/>
  <c r="M706" i="4"/>
  <c r="M711" i="4" s="1"/>
  <c r="T67" i="14"/>
  <c r="P705" i="4"/>
  <c r="P710" i="4" s="1"/>
  <c r="K67" i="15"/>
  <c r="S707" i="4"/>
  <c r="S712" i="4" s="1"/>
  <c r="I67" i="16"/>
  <c r="R704" i="4"/>
  <c r="R709" i="4" s="1"/>
  <c r="B67" i="16"/>
  <c r="L706" i="4"/>
  <c r="L711" i="4" s="1"/>
  <c r="P67" i="14"/>
  <c r="F706" i="4"/>
  <c r="F711" i="4" s="1"/>
  <c r="H67" i="13"/>
  <c r="F704" i="4"/>
  <c r="F709" i="4" s="1"/>
  <c r="F67" i="13"/>
  <c r="I706" i="4"/>
  <c r="I711" i="4" s="1"/>
  <c r="D67" i="14"/>
  <c r="E706" i="4"/>
  <c r="E711" i="4" s="1"/>
  <c r="D67" i="13"/>
  <c r="M705" i="4"/>
  <c r="M710" i="4" s="1"/>
  <c r="S67" i="14"/>
  <c r="G67" i="15"/>
  <c r="O705" i="4"/>
  <c r="O710" i="4" s="1"/>
  <c r="P707" i="4"/>
  <c r="P712" i="4" s="1"/>
  <c r="M67" i="15"/>
  <c r="S706" i="4"/>
  <c r="S711" i="4" s="1"/>
  <c r="H67" i="16"/>
  <c r="L705" i="4"/>
  <c r="L710" i="4" s="1"/>
  <c r="O67" i="14"/>
  <c r="H705" i="4"/>
  <c r="H710" i="4" s="1"/>
  <c r="O67" i="13"/>
  <c r="F707" i="4"/>
  <c r="F712" i="4" s="1"/>
  <c r="I67" i="13"/>
  <c r="E705" i="4"/>
  <c r="E710" i="4" s="1"/>
  <c r="C67" i="13"/>
  <c r="H704" i="4"/>
  <c r="H709" i="4" s="1"/>
  <c r="N67" i="13"/>
  <c r="R67" i="14"/>
  <c r="M704" i="4"/>
  <c r="M709" i="4" s="1"/>
  <c r="O704" i="4"/>
  <c r="O709" i="4" s="1"/>
  <c r="F67" i="15"/>
  <c r="S705" i="4"/>
  <c r="S710" i="4" s="1"/>
  <c r="G67" i="16"/>
  <c r="J706" i="4"/>
  <c r="J711" i="4" s="1"/>
  <c r="H67" i="14"/>
  <c r="L704" i="4"/>
  <c r="L709" i="4" s="1"/>
  <c r="N67" i="14"/>
  <c r="E67" i="12"/>
  <c r="D707" i="4"/>
  <c r="D712" i="4" s="1"/>
  <c r="D67" i="12"/>
  <c r="D706" i="4"/>
  <c r="D711" i="4" s="1"/>
  <c r="D705" i="4"/>
  <c r="D710" i="4" s="1"/>
  <c r="C67" i="12"/>
  <c r="B69" i="12"/>
  <c r="G677" i="4"/>
  <c r="G682" i="4" s="1"/>
  <c r="J66" i="13"/>
  <c r="N677" i="4"/>
  <c r="N682" i="4" s="1"/>
  <c r="S677" i="4"/>
  <c r="S682" i="4" s="1"/>
  <c r="F66" i="16"/>
  <c r="L677" i="4"/>
  <c r="L682" i="4" s="1"/>
  <c r="N66" i="14"/>
  <c r="P677" i="4"/>
  <c r="P682" i="4" s="1"/>
  <c r="J66" i="15"/>
  <c r="O677" i="4"/>
  <c r="O682" i="4" s="1"/>
  <c r="F66" i="15"/>
  <c r="K677" i="4"/>
  <c r="K682" i="4" s="1"/>
  <c r="J66" i="14"/>
  <c r="H677" i="4"/>
  <c r="H682" i="4" s="1"/>
  <c r="N66" i="13"/>
  <c r="I677" i="4"/>
  <c r="I682" i="4" s="1"/>
  <c r="B66" i="14"/>
  <c r="J677" i="4"/>
  <c r="J682" i="4" s="1"/>
  <c r="F66" i="14"/>
  <c r="R677" i="4"/>
  <c r="R682" i="4" s="1"/>
  <c r="B66" i="16"/>
  <c r="F677" i="4"/>
  <c r="F682" i="4" s="1"/>
  <c r="F66" i="13"/>
  <c r="R66" i="14"/>
  <c r="M677" i="4"/>
  <c r="M682" i="4" s="1"/>
  <c r="Q677" i="4"/>
  <c r="Q682" i="4" s="1"/>
  <c r="N66" i="15"/>
  <c r="B66" i="13"/>
  <c r="E677" i="4"/>
  <c r="E682" i="4" s="1"/>
  <c r="R349" i="4"/>
  <c r="R354" i="4" s="1"/>
  <c r="B60" i="16"/>
  <c r="Q342" i="4"/>
  <c r="M342" i="4"/>
  <c r="J60" i="13"/>
  <c r="G349" i="4"/>
  <c r="G354" i="4" s="1"/>
  <c r="F342" i="4"/>
  <c r="E342" i="4"/>
  <c r="J349" i="4"/>
  <c r="J354" i="4" s="1"/>
  <c r="F60" i="14"/>
  <c r="O349" i="4"/>
  <c r="O354" i="4" s="1"/>
  <c r="F60" i="15"/>
  <c r="K342" i="4"/>
  <c r="L342" i="4"/>
  <c r="I342" i="4"/>
  <c r="P342" i="4"/>
  <c r="H342" i="4"/>
  <c r="N342" i="4"/>
  <c r="D342" i="4"/>
  <c r="K213" i="4"/>
  <c r="K218" i="4" s="1"/>
  <c r="L69" i="14"/>
  <c r="L211" i="4"/>
  <c r="L216" i="4" s="1"/>
  <c r="N69" i="14"/>
  <c r="J212" i="4"/>
  <c r="J217" i="4" s="1"/>
  <c r="G69" i="14"/>
  <c r="Q212" i="4"/>
  <c r="Q217" i="4" s="1"/>
  <c r="O69" i="15"/>
  <c r="S214" i="4"/>
  <c r="S219" i="4" s="1"/>
  <c r="I69" i="16"/>
  <c r="N212" i="4"/>
  <c r="N217" i="4" s="1"/>
  <c r="C69" i="15"/>
  <c r="E214" i="4"/>
  <c r="E219" i="4" s="1"/>
  <c r="E69" i="13"/>
  <c r="M213" i="4"/>
  <c r="M218" i="4" s="1"/>
  <c r="T69" i="14"/>
  <c r="Q69" i="14"/>
  <c r="L214" i="4"/>
  <c r="L219" i="4" s="1"/>
  <c r="S211" i="4"/>
  <c r="S216" i="4" s="1"/>
  <c r="F69" i="16"/>
  <c r="Q211" i="4"/>
  <c r="Q216" i="4" s="1"/>
  <c r="N69" i="15"/>
  <c r="F212" i="4"/>
  <c r="F217" i="4" s="1"/>
  <c r="G69" i="13"/>
  <c r="S212" i="4"/>
  <c r="S217" i="4" s="1"/>
  <c r="G69" i="16"/>
  <c r="N213" i="4"/>
  <c r="N218" i="4" s="1"/>
  <c r="D69" i="15"/>
  <c r="R69" i="14"/>
  <c r="M211" i="4"/>
  <c r="M216" i="4" s="1"/>
  <c r="R211" i="4"/>
  <c r="R216" i="4" s="1"/>
  <c r="B69" i="16"/>
  <c r="L212" i="4"/>
  <c r="L217" i="4" s="1"/>
  <c r="O69" i="14"/>
  <c r="I214" i="4"/>
  <c r="I219" i="4" s="1"/>
  <c r="E69" i="14"/>
  <c r="F213" i="4"/>
  <c r="F218" i="4" s="1"/>
  <c r="H69" i="13"/>
  <c r="N211" i="4"/>
  <c r="N216" i="4" s="1"/>
  <c r="O212" i="4"/>
  <c r="O217" i="4" s="1"/>
  <c r="G69" i="15"/>
  <c r="M214" i="4"/>
  <c r="M219" i="4" s="1"/>
  <c r="U69" i="14"/>
  <c r="R213" i="4"/>
  <c r="R218" i="4" s="1"/>
  <c r="D69" i="16"/>
  <c r="B69" i="13"/>
  <c r="E211" i="4"/>
  <c r="E216" i="4" s="1"/>
  <c r="Q213" i="4"/>
  <c r="Q218" i="4" s="1"/>
  <c r="P69" i="15"/>
  <c r="I211" i="4"/>
  <c r="I216" i="4" s="1"/>
  <c r="B69" i="14"/>
  <c r="F211" i="4"/>
  <c r="F216" i="4" s="1"/>
  <c r="F69" i="13"/>
  <c r="G212" i="4"/>
  <c r="G217" i="4" s="1"/>
  <c r="K69" i="13"/>
  <c r="N214" i="4"/>
  <c r="N219" i="4" s="1"/>
  <c r="E69" i="15"/>
  <c r="O213" i="4"/>
  <c r="O218" i="4" s="1"/>
  <c r="H69" i="15"/>
  <c r="R214" i="4"/>
  <c r="R219" i="4" s="1"/>
  <c r="E69" i="16"/>
  <c r="H212" i="4"/>
  <c r="H217" i="4" s="1"/>
  <c r="O69" i="13"/>
  <c r="M212" i="4"/>
  <c r="M217" i="4" s="1"/>
  <c r="S69" i="14"/>
  <c r="I212" i="4"/>
  <c r="I217" i="4" s="1"/>
  <c r="C69" i="14"/>
  <c r="K211" i="4"/>
  <c r="K216" i="4" s="1"/>
  <c r="J69" i="14"/>
  <c r="F214" i="4"/>
  <c r="F219" i="4" s="1"/>
  <c r="I69" i="13"/>
  <c r="L69" i="13"/>
  <c r="G213" i="4"/>
  <c r="G218" i="4" s="1"/>
  <c r="O214" i="4"/>
  <c r="O219" i="4" s="1"/>
  <c r="I69" i="15"/>
  <c r="P214" i="4"/>
  <c r="P219" i="4" s="1"/>
  <c r="M69" i="15"/>
  <c r="R212" i="4"/>
  <c r="R217" i="4" s="1"/>
  <c r="C69" i="16"/>
  <c r="H214" i="4"/>
  <c r="H219" i="4" s="1"/>
  <c r="Q69" i="13"/>
  <c r="J213" i="4"/>
  <c r="J218" i="4" s="1"/>
  <c r="H69" i="14"/>
  <c r="J211" i="4"/>
  <c r="J216" i="4" s="1"/>
  <c r="F69" i="14"/>
  <c r="K214" i="4"/>
  <c r="K219" i="4" s="1"/>
  <c r="M69" i="14"/>
  <c r="G214" i="4"/>
  <c r="G219" i="4" s="1"/>
  <c r="M69" i="13"/>
  <c r="E212" i="4"/>
  <c r="E217" i="4" s="1"/>
  <c r="C69" i="13"/>
  <c r="O211" i="4"/>
  <c r="O216" i="4" s="1"/>
  <c r="F69" i="15"/>
  <c r="P212" i="4"/>
  <c r="P217" i="4" s="1"/>
  <c r="K69" i="15"/>
  <c r="H211" i="4"/>
  <c r="H216" i="4" s="1"/>
  <c r="N69" i="13"/>
  <c r="Q214" i="4"/>
  <c r="Q219" i="4" s="1"/>
  <c r="Q69" i="15"/>
  <c r="P213" i="4"/>
  <c r="P218" i="4" s="1"/>
  <c r="L69" i="15"/>
  <c r="I213" i="4"/>
  <c r="I218" i="4" s="1"/>
  <c r="D69" i="14"/>
  <c r="J214" i="4"/>
  <c r="J219" i="4" s="1"/>
  <c r="I69" i="14"/>
  <c r="K212" i="4"/>
  <c r="K217" i="4" s="1"/>
  <c r="K69" i="14"/>
  <c r="S213" i="4"/>
  <c r="S218" i="4" s="1"/>
  <c r="H69" i="16"/>
  <c r="G211" i="4"/>
  <c r="G216" i="4" s="1"/>
  <c r="J69" i="13"/>
  <c r="E213" i="4"/>
  <c r="E218" i="4" s="1"/>
  <c r="D69" i="13"/>
  <c r="P211" i="4"/>
  <c r="P216" i="4" s="1"/>
  <c r="J69" i="15"/>
  <c r="L213" i="4"/>
  <c r="L218" i="4" s="1"/>
  <c r="P69" i="14"/>
  <c r="H213" i="4"/>
  <c r="H218" i="4" s="1"/>
  <c r="P69" i="13"/>
  <c r="D214" i="4"/>
  <c r="D219" i="4" s="1"/>
  <c r="E69" i="12"/>
  <c r="D212" i="4"/>
  <c r="D217" i="4" s="1"/>
  <c r="C69" i="12"/>
  <c r="D213" i="4"/>
  <c r="D218" i="4" s="1"/>
  <c r="D69" i="12"/>
  <c r="G731" i="4"/>
  <c r="G736" i="4" s="1"/>
  <c r="J68" i="13"/>
  <c r="G734" i="4"/>
  <c r="G739" i="4" s="1"/>
  <c r="M68" i="13"/>
  <c r="G732" i="4"/>
  <c r="G737" i="4" s="1"/>
  <c r="K68" i="13"/>
  <c r="L68" i="13"/>
  <c r="G733" i="4"/>
  <c r="G738" i="4" s="1"/>
  <c r="B67" i="12"/>
  <c r="B68" i="12"/>
  <c r="B66" i="12"/>
  <c r="G153" i="3"/>
  <c r="G155" i="3" s="1"/>
  <c r="E181" i="3"/>
  <c r="E182" i="3" s="1"/>
  <c r="I178" i="3"/>
  <c r="G180" i="3"/>
  <c r="H178" i="3"/>
  <c r="H180" i="3" s="1"/>
  <c r="D183" i="3"/>
  <c r="D184" i="3" s="1"/>
  <c r="D186" i="3" s="1"/>
  <c r="D188" i="3" s="1"/>
  <c r="F183" i="3"/>
  <c r="F184" i="3" s="1"/>
  <c r="F186" i="3" s="1"/>
  <c r="F188" i="3" s="1"/>
  <c r="Q856" i="3"/>
  <c r="I856" i="3"/>
  <c r="F158" i="3"/>
  <c r="F159" i="3" s="1"/>
  <c r="F161" i="3" s="1"/>
  <c r="E158" i="3"/>
  <c r="E159" i="3" s="1"/>
  <c r="E161" i="3" s="1"/>
  <c r="D158" i="3"/>
  <c r="D159" i="3" s="1"/>
  <c r="D161" i="3" s="1"/>
  <c r="F857" i="3"/>
  <c r="F858" i="3" s="1"/>
  <c r="N857" i="3"/>
  <c r="N858" i="3" s="1"/>
  <c r="V857" i="3"/>
  <c r="V858" i="3" s="1"/>
  <c r="J855" i="3"/>
  <c r="J856" i="3" s="1"/>
  <c r="R855" i="3"/>
  <c r="R856" i="3" s="1"/>
  <c r="G856" i="3"/>
  <c r="O856" i="3"/>
  <c r="K855" i="3"/>
  <c r="K856" i="3" s="1"/>
  <c r="S855" i="3"/>
  <c r="S856" i="3" s="1"/>
  <c r="H856" i="3"/>
  <c r="P856" i="3"/>
  <c r="D855" i="3"/>
  <c r="D856" i="3" s="1"/>
  <c r="L855" i="3"/>
  <c r="L856" i="3" s="1"/>
  <c r="T855" i="3"/>
  <c r="T856" i="3" s="1"/>
  <c r="E855" i="3"/>
  <c r="E856" i="3" s="1"/>
  <c r="M855" i="3"/>
  <c r="M856" i="3" s="1"/>
  <c r="U855" i="3"/>
  <c r="U856" i="3" s="1"/>
  <c r="H832" i="3"/>
  <c r="H833" i="3" s="1"/>
  <c r="S832" i="3"/>
  <c r="S833" i="3" s="1"/>
  <c r="P832" i="3"/>
  <c r="P833" i="3" s="1"/>
  <c r="K832" i="3"/>
  <c r="K833" i="3" s="1"/>
  <c r="Q830" i="3"/>
  <c r="Q831" i="3" s="1"/>
  <c r="F831" i="3"/>
  <c r="N831" i="3"/>
  <c r="V831" i="3"/>
  <c r="J830" i="3"/>
  <c r="J831" i="3" s="1"/>
  <c r="R830" i="3"/>
  <c r="R831" i="3" s="1"/>
  <c r="G831" i="3"/>
  <c r="O831" i="3"/>
  <c r="D830" i="3"/>
  <c r="D831" i="3" s="1"/>
  <c r="L830" i="3"/>
  <c r="L831" i="3" s="1"/>
  <c r="T830" i="3"/>
  <c r="T831" i="3" s="1"/>
  <c r="E830" i="3"/>
  <c r="E831" i="3" s="1"/>
  <c r="M830" i="3"/>
  <c r="M831" i="3" s="1"/>
  <c r="U830" i="3"/>
  <c r="U831" i="3" s="1"/>
  <c r="F195" i="3" l="1"/>
  <c r="F199" i="3" s="1"/>
  <c r="F196" i="3"/>
  <c r="F200" i="3" s="1"/>
  <c r="D196" i="3"/>
  <c r="D200" i="3" s="1"/>
  <c r="D195" i="3"/>
  <c r="D199" i="3" s="1"/>
  <c r="S342" i="4"/>
  <c r="S349" i="4" s="1"/>
  <c r="S354" i="4" s="1"/>
  <c r="D163" i="3"/>
  <c r="E163" i="3"/>
  <c r="F163" i="3"/>
  <c r="U352" i="4"/>
  <c r="U357" i="4" s="1"/>
  <c r="I60" i="17"/>
  <c r="V352" i="4"/>
  <c r="V357" i="4" s="1"/>
  <c r="M60" i="17"/>
  <c r="V351" i="4"/>
  <c r="V356" i="4" s="1"/>
  <c r="L60" i="17"/>
  <c r="D349" i="4"/>
  <c r="D354" i="4" s="1"/>
  <c r="V350" i="4"/>
  <c r="V355" i="4" s="1"/>
  <c r="K60" i="17"/>
  <c r="C60" i="17"/>
  <c r="T350" i="4"/>
  <c r="T355" i="4" s="1"/>
  <c r="T351" i="4"/>
  <c r="T356" i="4" s="1"/>
  <c r="D60" i="17"/>
  <c r="E60" i="17"/>
  <c r="T352" i="4"/>
  <c r="T357" i="4" s="1"/>
  <c r="U351" i="4"/>
  <c r="U356" i="4" s="1"/>
  <c r="H60" i="17"/>
  <c r="U350" i="4"/>
  <c r="U355" i="4" s="1"/>
  <c r="G60" i="17"/>
  <c r="F860" i="3"/>
  <c r="C21" i="12"/>
  <c r="T678" i="4"/>
  <c r="T683" i="4" s="1"/>
  <c r="C66" i="17"/>
  <c r="T679" i="4"/>
  <c r="T684" i="4" s="1"/>
  <c r="D66" i="17"/>
  <c r="E66" i="17"/>
  <c r="T680" i="4"/>
  <c r="T685" i="4" s="1"/>
  <c r="B60" i="12"/>
  <c r="N860" i="3"/>
  <c r="N862" i="3" s="1"/>
  <c r="I857" i="3"/>
  <c r="I858" i="3" s="1"/>
  <c r="Q857" i="3"/>
  <c r="Q858" i="3" s="1"/>
  <c r="V860" i="3"/>
  <c r="V862" i="3" s="1"/>
  <c r="H678" i="4"/>
  <c r="H683" i="4" s="1"/>
  <c r="O66" i="13"/>
  <c r="K678" i="4"/>
  <c r="K683" i="4" s="1"/>
  <c r="K66" i="14"/>
  <c r="P679" i="4"/>
  <c r="P684" i="4" s="1"/>
  <c r="L66" i="15"/>
  <c r="G680" i="4"/>
  <c r="G685" i="4" s="1"/>
  <c r="M66" i="13"/>
  <c r="N680" i="4"/>
  <c r="N685" i="4" s="1"/>
  <c r="E66" i="15"/>
  <c r="E679" i="4"/>
  <c r="E684" i="4" s="1"/>
  <c r="D66" i="13"/>
  <c r="M678" i="4"/>
  <c r="M683" i="4" s="1"/>
  <c r="S66" i="14"/>
  <c r="R679" i="4"/>
  <c r="R684" i="4" s="1"/>
  <c r="D66" i="16"/>
  <c r="H680" i="4"/>
  <c r="H685" i="4" s="1"/>
  <c r="Q66" i="13"/>
  <c r="K679" i="4"/>
  <c r="K684" i="4" s="1"/>
  <c r="L66" i="14"/>
  <c r="P680" i="4"/>
  <c r="P685" i="4" s="1"/>
  <c r="M66" i="15"/>
  <c r="G678" i="4"/>
  <c r="G683" i="4" s="1"/>
  <c r="K66" i="13"/>
  <c r="N678" i="4"/>
  <c r="N683" i="4" s="1"/>
  <c r="C66" i="15"/>
  <c r="M680" i="4"/>
  <c r="M685" i="4" s="1"/>
  <c r="U66" i="14"/>
  <c r="Q678" i="4"/>
  <c r="Q683" i="4" s="1"/>
  <c r="O66" i="15"/>
  <c r="F679" i="4"/>
  <c r="F684" i="4" s="1"/>
  <c r="H66" i="13"/>
  <c r="I678" i="4"/>
  <c r="I683" i="4" s="1"/>
  <c r="C66" i="14"/>
  <c r="J680" i="4"/>
  <c r="J685" i="4" s="1"/>
  <c r="I66" i="14"/>
  <c r="H66" i="15"/>
  <c r="O679" i="4"/>
  <c r="O684" i="4" s="1"/>
  <c r="Q66" i="14"/>
  <c r="L680" i="4"/>
  <c r="L685" i="4" s="1"/>
  <c r="S680" i="4"/>
  <c r="S685" i="4" s="1"/>
  <c r="I66" i="16"/>
  <c r="Q679" i="4"/>
  <c r="Q684" i="4" s="1"/>
  <c r="P66" i="15"/>
  <c r="F680" i="4"/>
  <c r="F685" i="4" s="1"/>
  <c r="I66" i="13"/>
  <c r="I679" i="4"/>
  <c r="I684" i="4" s="1"/>
  <c r="D66" i="14"/>
  <c r="G66" i="14"/>
  <c r="J678" i="4"/>
  <c r="J683" i="4" s="1"/>
  <c r="O680" i="4"/>
  <c r="O685" i="4" s="1"/>
  <c r="I66" i="15"/>
  <c r="L678" i="4"/>
  <c r="L683" i="4" s="1"/>
  <c r="O66" i="14"/>
  <c r="S678" i="4"/>
  <c r="S683" i="4" s="1"/>
  <c r="G66" i="16"/>
  <c r="R680" i="4"/>
  <c r="R685" i="4" s="1"/>
  <c r="E66" i="16"/>
  <c r="Q680" i="4"/>
  <c r="Q685" i="4" s="1"/>
  <c r="Q66" i="15"/>
  <c r="F678" i="4"/>
  <c r="F683" i="4" s="1"/>
  <c r="G66" i="13"/>
  <c r="I680" i="4"/>
  <c r="I685" i="4" s="1"/>
  <c r="E66" i="14"/>
  <c r="J679" i="4"/>
  <c r="J684" i="4" s="1"/>
  <c r="H66" i="14"/>
  <c r="O678" i="4"/>
  <c r="O683" i="4" s="1"/>
  <c r="G66" i="15"/>
  <c r="L679" i="4"/>
  <c r="L684" i="4" s="1"/>
  <c r="P66" i="14"/>
  <c r="S679" i="4"/>
  <c r="S684" i="4" s="1"/>
  <c r="H66" i="16"/>
  <c r="E678" i="4"/>
  <c r="E683" i="4" s="1"/>
  <c r="C66" i="13"/>
  <c r="E680" i="4"/>
  <c r="E685" i="4" s="1"/>
  <c r="E66" i="13"/>
  <c r="M679" i="4"/>
  <c r="M684" i="4" s="1"/>
  <c r="T66" i="14"/>
  <c r="C66" i="16"/>
  <c r="R678" i="4"/>
  <c r="R683" i="4" s="1"/>
  <c r="H679" i="4"/>
  <c r="H684" i="4" s="1"/>
  <c r="P66" i="13"/>
  <c r="K680" i="4"/>
  <c r="K685" i="4" s="1"/>
  <c r="M66" i="14"/>
  <c r="P678" i="4"/>
  <c r="P683" i="4" s="1"/>
  <c r="K66" i="15"/>
  <c r="L66" i="13"/>
  <c r="G679" i="4"/>
  <c r="G684" i="4" s="1"/>
  <c r="N679" i="4"/>
  <c r="N684" i="4" s="1"/>
  <c r="D66" i="15"/>
  <c r="D679" i="4"/>
  <c r="D684" i="4" s="1"/>
  <c r="D66" i="12"/>
  <c r="D680" i="4"/>
  <c r="D685" i="4" s="1"/>
  <c r="E66" i="12"/>
  <c r="D678" i="4"/>
  <c r="D683" i="4" s="1"/>
  <c r="C66" i="12"/>
  <c r="I349" i="4"/>
  <c r="I354" i="4" s="1"/>
  <c r="B60" i="14"/>
  <c r="R352" i="4"/>
  <c r="R357" i="4" s="1"/>
  <c r="E60" i="16"/>
  <c r="N349" i="4"/>
  <c r="N354" i="4" s="1"/>
  <c r="F60" i="16"/>
  <c r="K349" i="4"/>
  <c r="K354" i="4" s="1"/>
  <c r="J60" i="14"/>
  <c r="F349" i="4"/>
  <c r="F354" i="4" s="1"/>
  <c r="F60" i="13"/>
  <c r="R351" i="4"/>
  <c r="R356" i="4" s="1"/>
  <c r="D60" i="16"/>
  <c r="B60" i="13"/>
  <c r="E349" i="4"/>
  <c r="E354" i="4" s="1"/>
  <c r="C60" i="16"/>
  <c r="R350" i="4"/>
  <c r="R355" i="4" s="1"/>
  <c r="H349" i="4"/>
  <c r="H354" i="4" s="1"/>
  <c r="N60" i="13"/>
  <c r="Q349" i="4"/>
  <c r="Q354" i="4" s="1"/>
  <c r="N60" i="15"/>
  <c r="J352" i="4"/>
  <c r="J357" i="4" s="1"/>
  <c r="I60" i="14"/>
  <c r="O352" i="4"/>
  <c r="O357" i="4" s="1"/>
  <c r="I60" i="15"/>
  <c r="G350" i="4"/>
  <c r="G355" i="4" s="1"/>
  <c r="K60" i="13"/>
  <c r="L349" i="4"/>
  <c r="L354" i="4" s="1"/>
  <c r="N60" i="14"/>
  <c r="P349" i="4"/>
  <c r="P354" i="4" s="1"/>
  <c r="J60" i="15"/>
  <c r="J351" i="4"/>
  <c r="J356" i="4" s="1"/>
  <c r="H60" i="14"/>
  <c r="O350" i="4"/>
  <c r="O355" i="4" s="1"/>
  <c r="G60" i="15"/>
  <c r="G352" i="4"/>
  <c r="G357" i="4" s="1"/>
  <c r="M60" i="13"/>
  <c r="R60" i="14"/>
  <c r="M349" i="4"/>
  <c r="M354" i="4" s="1"/>
  <c r="G60" i="14"/>
  <c r="J350" i="4"/>
  <c r="J355" i="4" s="1"/>
  <c r="O351" i="4"/>
  <c r="O356" i="4" s="1"/>
  <c r="H60" i="15"/>
  <c r="G351" i="4"/>
  <c r="G356" i="4" s="1"/>
  <c r="L60" i="13"/>
  <c r="S835" i="3"/>
  <c r="S837" i="3" s="1"/>
  <c r="P835" i="3"/>
  <c r="P837" i="3" s="1"/>
  <c r="H835" i="3"/>
  <c r="H837" i="3" s="1"/>
  <c r="K835" i="3"/>
  <c r="K837" i="3" s="1"/>
  <c r="H153" i="3"/>
  <c r="H155" i="3" s="1"/>
  <c r="H156" i="3" s="1"/>
  <c r="H157" i="3" s="1"/>
  <c r="I153" i="3"/>
  <c r="J153" i="3" s="1"/>
  <c r="H181" i="3"/>
  <c r="H182" i="3" s="1"/>
  <c r="G181" i="3"/>
  <c r="G182" i="3" s="1"/>
  <c r="I180" i="3"/>
  <c r="J178" i="3"/>
  <c r="E183" i="3"/>
  <c r="E184" i="3" s="1"/>
  <c r="E186" i="3" s="1"/>
  <c r="E188" i="3" s="1"/>
  <c r="G156" i="3"/>
  <c r="G157" i="3" s="1"/>
  <c r="E857" i="3"/>
  <c r="E858" i="3" s="1"/>
  <c r="E860" i="3" s="1"/>
  <c r="E862" i="3" s="1"/>
  <c r="L857" i="3"/>
  <c r="L858" i="3" s="1"/>
  <c r="R857" i="3"/>
  <c r="R858" i="3" s="1"/>
  <c r="D857" i="3"/>
  <c r="D858" i="3" s="1"/>
  <c r="J857" i="3"/>
  <c r="J858" i="3" s="1"/>
  <c r="T857" i="3"/>
  <c r="T858" i="3" s="1"/>
  <c r="O857" i="3"/>
  <c r="O858" i="3" s="1"/>
  <c r="U857" i="3"/>
  <c r="U858" i="3" s="1"/>
  <c r="S857" i="3"/>
  <c r="S858" i="3" s="1"/>
  <c r="G857" i="3"/>
  <c r="G858" i="3" s="1"/>
  <c r="M857" i="3"/>
  <c r="M858" i="3" s="1"/>
  <c r="K857" i="3"/>
  <c r="K858" i="3" s="1"/>
  <c r="P857" i="3"/>
  <c r="P858" i="3" s="1"/>
  <c r="H857" i="3"/>
  <c r="H858" i="3" s="1"/>
  <c r="M832" i="3"/>
  <c r="M833" i="3" s="1"/>
  <c r="J832" i="3"/>
  <c r="J833" i="3" s="1"/>
  <c r="E832" i="3"/>
  <c r="E833" i="3" s="1"/>
  <c r="R832" i="3"/>
  <c r="R833" i="3" s="1"/>
  <c r="L832" i="3"/>
  <c r="L833" i="3" s="1"/>
  <c r="D832" i="3"/>
  <c r="D833" i="3" s="1"/>
  <c r="Q832" i="3"/>
  <c r="Q833" i="3" s="1"/>
  <c r="T832" i="3"/>
  <c r="T833" i="3" s="1"/>
  <c r="V832" i="3"/>
  <c r="V833" i="3" s="1"/>
  <c r="U832" i="3"/>
  <c r="U833" i="3" s="1"/>
  <c r="N832" i="3"/>
  <c r="N833" i="3" s="1"/>
  <c r="F832" i="3"/>
  <c r="F833" i="3" s="1"/>
  <c r="O832" i="3"/>
  <c r="O833" i="3" s="1"/>
  <c r="G832" i="3"/>
  <c r="G833" i="3" s="1"/>
  <c r="N867" i="3" l="1"/>
  <c r="N871" i="3" s="1"/>
  <c r="N870" i="3"/>
  <c r="N874" i="3" s="1"/>
  <c r="N868" i="3"/>
  <c r="N872" i="3" s="1"/>
  <c r="N869" i="3"/>
  <c r="N873" i="3" s="1"/>
  <c r="E870" i="3"/>
  <c r="E874" i="3" s="1"/>
  <c r="E869" i="3"/>
  <c r="E873" i="3" s="1"/>
  <c r="E868" i="3"/>
  <c r="E872" i="3" s="1"/>
  <c r="E867" i="3"/>
  <c r="E871" i="3" s="1"/>
  <c r="V869" i="3"/>
  <c r="V873" i="3" s="1"/>
  <c r="V867" i="3"/>
  <c r="V871" i="3" s="1"/>
  <c r="V870" i="3"/>
  <c r="V874" i="3" s="1"/>
  <c r="V868" i="3"/>
  <c r="V872" i="3" s="1"/>
  <c r="F194" i="3"/>
  <c r="F198" i="3" s="1"/>
  <c r="F193" i="3"/>
  <c r="F197" i="3" s="1"/>
  <c r="D194" i="3"/>
  <c r="D198" i="3" s="1"/>
  <c r="D193" i="3"/>
  <c r="D197" i="3" s="1"/>
  <c r="D170" i="3"/>
  <c r="D174" i="3" s="1"/>
  <c r="D171" i="3"/>
  <c r="D175" i="3" s="1"/>
  <c r="F170" i="3"/>
  <c r="F174" i="3" s="1"/>
  <c r="F171" i="3"/>
  <c r="F175" i="3" s="1"/>
  <c r="D20" i="13"/>
  <c r="E171" i="3"/>
  <c r="E175" i="3" s="1"/>
  <c r="E169" i="3"/>
  <c r="E173" i="3" s="1"/>
  <c r="F862" i="3"/>
  <c r="G21" i="13"/>
  <c r="I21" i="13"/>
  <c r="H21" i="13"/>
  <c r="I155" i="3"/>
  <c r="I156" i="3" s="1"/>
  <c r="I157" i="3" s="1"/>
  <c r="K860" i="3"/>
  <c r="K862" i="3" s="1"/>
  <c r="D860" i="3"/>
  <c r="M860" i="3"/>
  <c r="M862" i="3" s="1"/>
  <c r="R860" i="3"/>
  <c r="R862" i="3" s="1"/>
  <c r="J860" i="3"/>
  <c r="J862" i="3" s="1"/>
  <c r="G860" i="3"/>
  <c r="G862" i="3" s="1"/>
  <c r="L860" i="3"/>
  <c r="L862" i="3" s="1"/>
  <c r="S860" i="3"/>
  <c r="S862" i="3" s="1"/>
  <c r="U860" i="3"/>
  <c r="U862" i="3" s="1"/>
  <c r="Q860" i="3"/>
  <c r="Q862" i="3" s="1"/>
  <c r="O860" i="3"/>
  <c r="O862" i="3" s="1"/>
  <c r="P860" i="3"/>
  <c r="P862" i="3" s="1"/>
  <c r="H860" i="3"/>
  <c r="H862" i="3" s="1"/>
  <c r="T860" i="3"/>
  <c r="T862" i="3" s="1"/>
  <c r="I860" i="3"/>
  <c r="I862" i="3" s="1"/>
  <c r="M351" i="4"/>
  <c r="M356" i="4" s="1"/>
  <c r="T60" i="14"/>
  <c r="L351" i="4"/>
  <c r="L356" i="4" s="1"/>
  <c r="P60" i="14"/>
  <c r="M350" i="4"/>
  <c r="M355" i="4" s="1"/>
  <c r="S60" i="14"/>
  <c r="P351" i="4"/>
  <c r="P356" i="4" s="1"/>
  <c r="L60" i="15"/>
  <c r="Q351" i="4"/>
  <c r="Q356" i="4" s="1"/>
  <c r="P60" i="15"/>
  <c r="K351" i="4"/>
  <c r="K356" i="4" s="1"/>
  <c r="L60" i="14"/>
  <c r="N352" i="4"/>
  <c r="N357" i="4" s="1"/>
  <c r="E60" i="15"/>
  <c r="L352" i="4"/>
  <c r="L357" i="4" s="1"/>
  <c r="Q60" i="14"/>
  <c r="P352" i="4"/>
  <c r="P357" i="4" s="1"/>
  <c r="M60" i="15"/>
  <c r="K352" i="4"/>
  <c r="K357" i="4" s="1"/>
  <c r="M60" i="14"/>
  <c r="H352" i="4"/>
  <c r="H357" i="4" s="1"/>
  <c r="Q60" i="13"/>
  <c r="K350" i="4"/>
  <c r="K355" i="4" s="1"/>
  <c r="K60" i="14"/>
  <c r="N351" i="4"/>
  <c r="N356" i="4" s="1"/>
  <c r="D60" i="15"/>
  <c r="E350" i="4"/>
  <c r="E355" i="4" s="1"/>
  <c r="C60" i="13"/>
  <c r="I351" i="4"/>
  <c r="I356" i="4" s="1"/>
  <c r="D60" i="14"/>
  <c r="Q350" i="4"/>
  <c r="Q355" i="4" s="1"/>
  <c r="O60" i="15"/>
  <c r="H351" i="4"/>
  <c r="H356" i="4" s="1"/>
  <c r="P60" i="13"/>
  <c r="E351" i="4"/>
  <c r="E356" i="4" s="1"/>
  <c r="D60" i="13"/>
  <c r="I352" i="4"/>
  <c r="I357" i="4" s="1"/>
  <c r="E60" i="14"/>
  <c r="Q352" i="4"/>
  <c r="Q357" i="4" s="1"/>
  <c r="Q60" i="15"/>
  <c r="H350" i="4"/>
  <c r="H355" i="4" s="1"/>
  <c r="O60" i="13"/>
  <c r="F352" i="4"/>
  <c r="F357" i="4" s="1"/>
  <c r="I60" i="13"/>
  <c r="S351" i="4"/>
  <c r="S356" i="4" s="1"/>
  <c r="H60" i="16"/>
  <c r="E352" i="4"/>
  <c r="E357" i="4" s="1"/>
  <c r="E60" i="13"/>
  <c r="I350" i="4"/>
  <c r="I355" i="4" s="1"/>
  <c r="C60" i="14"/>
  <c r="N350" i="4"/>
  <c r="N355" i="4" s="1"/>
  <c r="C60" i="15"/>
  <c r="F350" i="4"/>
  <c r="F355" i="4" s="1"/>
  <c r="G60" i="13"/>
  <c r="S350" i="4"/>
  <c r="S355" i="4" s="1"/>
  <c r="G60" i="16"/>
  <c r="P350" i="4"/>
  <c r="P355" i="4" s="1"/>
  <c r="K60" i="15"/>
  <c r="M352" i="4"/>
  <c r="M357" i="4" s="1"/>
  <c r="U60" i="14"/>
  <c r="F351" i="4"/>
  <c r="F356" i="4" s="1"/>
  <c r="H60" i="13"/>
  <c r="S352" i="4"/>
  <c r="S357" i="4" s="1"/>
  <c r="I60" i="16"/>
  <c r="O60" i="14"/>
  <c r="L350" i="4"/>
  <c r="L355" i="4" s="1"/>
  <c r="D351" i="4"/>
  <c r="D356" i="4" s="1"/>
  <c r="D60" i="12"/>
  <c r="D352" i="4"/>
  <c r="D357" i="4" s="1"/>
  <c r="E60" i="12"/>
  <c r="D350" i="4"/>
  <c r="D355" i="4" s="1"/>
  <c r="C60" i="12"/>
  <c r="R835" i="3"/>
  <c r="R837" i="3" s="1"/>
  <c r="N835" i="3"/>
  <c r="N837" i="3" s="1"/>
  <c r="E835" i="3"/>
  <c r="E837" i="3" s="1"/>
  <c r="F835" i="3"/>
  <c r="F837" i="3" s="1"/>
  <c r="D20" i="12"/>
  <c r="U835" i="3"/>
  <c r="U837" i="3" s="1"/>
  <c r="T835" i="3"/>
  <c r="T837" i="3" s="1"/>
  <c r="Q835" i="3"/>
  <c r="Q837" i="3" s="1"/>
  <c r="V835" i="3"/>
  <c r="V837" i="3" s="1"/>
  <c r="G835" i="3"/>
  <c r="G837" i="3" s="1"/>
  <c r="D835" i="3"/>
  <c r="D837" i="3" s="1"/>
  <c r="D845" i="3" s="1"/>
  <c r="D849" i="3" s="1"/>
  <c r="O835" i="3"/>
  <c r="O837" i="3" s="1"/>
  <c r="J835" i="3"/>
  <c r="J837" i="3" s="1"/>
  <c r="L835" i="3"/>
  <c r="L837" i="3" s="1"/>
  <c r="M835" i="3"/>
  <c r="M837" i="3" s="1"/>
  <c r="C20" i="12"/>
  <c r="E195" i="3"/>
  <c r="E199" i="3" s="1"/>
  <c r="E194" i="3"/>
  <c r="E198" i="3" s="1"/>
  <c r="E196" i="3"/>
  <c r="E200" i="3" s="1"/>
  <c r="G183" i="3"/>
  <c r="G184" i="3" s="1"/>
  <c r="G186" i="3" s="1"/>
  <c r="G188" i="3" s="1"/>
  <c r="H183" i="3"/>
  <c r="H184" i="3" s="1"/>
  <c r="H186" i="3" s="1"/>
  <c r="I181" i="3"/>
  <c r="I182" i="3" s="1"/>
  <c r="J180" i="3"/>
  <c r="K178" i="3"/>
  <c r="H158" i="3"/>
  <c r="H159" i="3" s="1"/>
  <c r="H161" i="3" s="1"/>
  <c r="G158" i="3"/>
  <c r="G159" i="3" s="1"/>
  <c r="G161" i="3" s="1"/>
  <c r="G163" i="3" s="1"/>
  <c r="K153" i="3"/>
  <c r="J155" i="3"/>
  <c r="D638" i="4"/>
  <c r="D639" i="4" s="1"/>
  <c r="V638" i="4"/>
  <c r="U638" i="4"/>
  <c r="U639" i="4" s="1"/>
  <c r="U641" i="4" s="1"/>
  <c r="U643" i="4" s="1"/>
  <c r="T638" i="4"/>
  <c r="T639" i="4" s="1"/>
  <c r="S635" i="4"/>
  <c r="S637" i="4" s="1"/>
  <c r="S638" i="4" s="1"/>
  <c r="S639" i="4" s="1"/>
  <c r="R635" i="4"/>
  <c r="R637" i="4" s="1"/>
  <c r="R638" i="4" s="1"/>
  <c r="R639" i="4" s="1"/>
  <c r="Q635" i="4"/>
  <c r="Q637" i="4" s="1"/>
  <c r="Q638" i="4" s="1"/>
  <c r="Q639" i="4" s="1"/>
  <c r="P635" i="4"/>
  <c r="P637" i="4" s="1"/>
  <c r="P638" i="4" s="1"/>
  <c r="P639" i="4" s="1"/>
  <c r="O635" i="4"/>
  <c r="O637" i="4" s="1"/>
  <c r="O638" i="4" s="1"/>
  <c r="O639" i="4" s="1"/>
  <c r="N635" i="4"/>
  <c r="N637" i="4" s="1"/>
  <c r="N638" i="4" s="1"/>
  <c r="N639" i="4" s="1"/>
  <c r="M635" i="4"/>
  <c r="M637" i="4" s="1"/>
  <c r="M638" i="4" s="1"/>
  <c r="M639" i="4" s="1"/>
  <c r="L635" i="4"/>
  <c r="L637" i="4" s="1"/>
  <c r="L638" i="4" s="1"/>
  <c r="L639" i="4" s="1"/>
  <c r="K635" i="4"/>
  <c r="K637" i="4" s="1"/>
  <c r="K638" i="4" s="1"/>
  <c r="K639" i="4" s="1"/>
  <c r="J635" i="4"/>
  <c r="I635" i="4"/>
  <c r="I637" i="4" s="1"/>
  <c r="I638" i="4" s="1"/>
  <c r="I639" i="4" s="1"/>
  <c r="H635" i="4"/>
  <c r="H637" i="4" s="1"/>
  <c r="H638" i="4" s="1"/>
  <c r="H639" i="4" s="1"/>
  <c r="G635" i="4"/>
  <c r="G637" i="4" s="1"/>
  <c r="G638" i="4" s="1"/>
  <c r="G639" i="4" s="1"/>
  <c r="F635" i="4"/>
  <c r="F637" i="4" s="1"/>
  <c r="F638" i="4" s="1"/>
  <c r="F639" i="4" s="1"/>
  <c r="E635" i="4"/>
  <c r="E637" i="4" s="1"/>
  <c r="E638" i="4" s="1"/>
  <c r="E639" i="4" s="1"/>
  <c r="D611" i="4"/>
  <c r="D612" i="4" s="1"/>
  <c r="V611" i="4"/>
  <c r="V612" i="4" s="1"/>
  <c r="U611" i="4"/>
  <c r="U612" i="4" s="1"/>
  <c r="S608" i="4"/>
  <c r="S610" i="4" s="1"/>
  <c r="S611" i="4" s="1"/>
  <c r="S612" i="4" s="1"/>
  <c r="R608" i="4"/>
  <c r="R610" i="4" s="1"/>
  <c r="R611" i="4" s="1"/>
  <c r="R612" i="4" s="1"/>
  <c r="Q608" i="4"/>
  <c r="Q610" i="4" s="1"/>
  <c r="Q611" i="4" s="1"/>
  <c r="Q612" i="4" s="1"/>
  <c r="P608" i="4"/>
  <c r="P610" i="4" s="1"/>
  <c r="P611" i="4" s="1"/>
  <c r="P612" i="4" s="1"/>
  <c r="O608" i="4"/>
  <c r="O610" i="4" s="1"/>
  <c r="O611" i="4" s="1"/>
  <c r="O612" i="4" s="1"/>
  <c r="N608" i="4"/>
  <c r="N610" i="4" s="1"/>
  <c r="N611" i="4" s="1"/>
  <c r="N612" i="4" s="1"/>
  <c r="M608" i="4"/>
  <c r="M610" i="4" s="1"/>
  <c r="M611" i="4" s="1"/>
  <c r="M612" i="4" s="1"/>
  <c r="L608" i="4"/>
  <c r="L610" i="4" s="1"/>
  <c r="L611" i="4" s="1"/>
  <c r="L612" i="4" s="1"/>
  <c r="K608" i="4"/>
  <c r="K610" i="4" s="1"/>
  <c r="K611" i="4" s="1"/>
  <c r="K612" i="4" s="1"/>
  <c r="J608" i="4"/>
  <c r="I608" i="4"/>
  <c r="I610" i="4" s="1"/>
  <c r="I611" i="4" s="1"/>
  <c r="I612" i="4" s="1"/>
  <c r="H608" i="4"/>
  <c r="H610" i="4" s="1"/>
  <c r="H611" i="4" s="1"/>
  <c r="H612" i="4" s="1"/>
  <c r="G608" i="4"/>
  <c r="G610" i="4" s="1"/>
  <c r="G611" i="4" s="1"/>
  <c r="G612" i="4" s="1"/>
  <c r="F608" i="4"/>
  <c r="F610" i="4" s="1"/>
  <c r="F611" i="4" s="1"/>
  <c r="F612" i="4" s="1"/>
  <c r="E608" i="4"/>
  <c r="E610" i="4" s="1"/>
  <c r="E611" i="4" s="1"/>
  <c r="E612" i="4" s="1"/>
  <c r="D584" i="4"/>
  <c r="D585" i="4" s="1"/>
  <c r="D587" i="4" s="1"/>
  <c r="D589" i="4" s="1"/>
  <c r="S581" i="4"/>
  <c r="S583" i="4" s="1"/>
  <c r="S584" i="4" s="1"/>
  <c r="S585" i="4" s="1"/>
  <c r="S587" i="4" s="1"/>
  <c r="S589" i="4" s="1"/>
  <c r="R581" i="4"/>
  <c r="R583" i="4" s="1"/>
  <c r="R584" i="4" s="1"/>
  <c r="R585" i="4" s="1"/>
  <c r="R587" i="4" s="1"/>
  <c r="R589" i="4" s="1"/>
  <c r="Q581" i="4"/>
  <c r="Q583" i="4" s="1"/>
  <c r="Q584" i="4" s="1"/>
  <c r="Q585" i="4" s="1"/>
  <c r="Q587" i="4" s="1"/>
  <c r="Q589" i="4" s="1"/>
  <c r="P581" i="4"/>
  <c r="P583" i="4" s="1"/>
  <c r="P584" i="4" s="1"/>
  <c r="P585" i="4" s="1"/>
  <c r="P587" i="4" s="1"/>
  <c r="P589" i="4" s="1"/>
  <c r="O581" i="4"/>
  <c r="O583" i="4" s="1"/>
  <c r="O584" i="4" s="1"/>
  <c r="O585" i="4" s="1"/>
  <c r="O587" i="4" s="1"/>
  <c r="O589" i="4" s="1"/>
  <c r="N581" i="4"/>
  <c r="N583" i="4" s="1"/>
  <c r="N584" i="4" s="1"/>
  <c r="N585" i="4" s="1"/>
  <c r="N587" i="4" s="1"/>
  <c r="N589" i="4" s="1"/>
  <c r="M581" i="4"/>
  <c r="M583" i="4" s="1"/>
  <c r="M584" i="4" s="1"/>
  <c r="M585" i="4" s="1"/>
  <c r="M587" i="4" s="1"/>
  <c r="M589" i="4" s="1"/>
  <c r="L581" i="4"/>
  <c r="L583" i="4" s="1"/>
  <c r="L584" i="4" s="1"/>
  <c r="L585" i="4" s="1"/>
  <c r="L587" i="4" s="1"/>
  <c r="L589" i="4" s="1"/>
  <c r="K581" i="4"/>
  <c r="K583" i="4" s="1"/>
  <c r="K584" i="4" s="1"/>
  <c r="K585" i="4" s="1"/>
  <c r="K587" i="4" s="1"/>
  <c r="K589" i="4" s="1"/>
  <c r="J581" i="4"/>
  <c r="I581" i="4"/>
  <c r="I583" i="4" s="1"/>
  <c r="I584" i="4" s="1"/>
  <c r="I585" i="4" s="1"/>
  <c r="I587" i="4" s="1"/>
  <c r="I589" i="4" s="1"/>
  <c r="H581" i="4"/>
  <c r="H583" i="4" s="1"/>
  <c r="H584" i="4" s="1"/>
  <c r="H585" i="4" s="1"/>
  <c r="H587" i="4" s="1"/>
  <c r="H589" i="4" s="1"/>
  <c r="G581" i="4"/>
  <c r="G583" i="4" s="1"/>
  <c r="G584" i="4" s="1"/>
  <c r="G585" i="4" s="1"/>
  <c r="G587" i="4" s="1"/>
  <c r="G589" i="4" s="1"/>
  <c r="F581" i="4"/>
  <c r="F583" i="4" s="1"/>
  <c r="F584" i="4" s="1"/>
  <c r="F585" i="4" s="1"/>
  <c r="F587" i="4" s="1"/>
  <c r="F589" i="4" s="1"/>
  <c r="E581" i="4"/>
  <c r="E583" i="4" s="1"/>
  <c r="E584" i="4" s="1"/>
  <c r="E585" i="4" s="1"/>
  <c r="E587" i="4" s="1"/>
  <c r="E589" i="4" s="1"/>
  <c r="W608" i="4" l="1"/>
  <c r="W610" i="4" s="1"/>
  <c r="W611" i="4" s="1"/>
  <c r="W612" i="4" s="1"/>
  <c r="W614" i="4" s="1"/>
  <c r="W616" i="4" s="1"/>
  <c r="J610" i="4"/>
  <c r="J611" i="4" s="1"/>
  <c r="J612" i="4" s="1"/>
  <c r="W581" i="4"/>
  <c r="W583" i="4" s="1"/>
  <c r="W584" i="4" s="1"/>
  <c r="W585" i="4" s="1"/>
  <c r="W587" i="4" s="1"/>
  <c r="W589" i="4" s="1"/>
  <c r="J583" i="4"/>
  <c r="J584" i="4" s="1"/>
  <c r="J585" i="4" s="1"/>
  <c r="J587" i="4" s="1"/>
  <c r="J589" i="4" s="1"/>
  <c r="W635" i="4"/>
  <c r="W637" i="4" s="1"/>
  <c r="W638" i="4" s="1"/>
  <c r="W639" i="4" s="1"/>
  <c r="W641" i="4" s="1"/>
  <c r="W643" i="4" s="1"/>
  <c r="J637" i="4"/>
  <c r="J638" i="4" s="1"/>
  <c r="J639" i="4" s="1"/>
  <c r="J641" i="4" s="1"/>
  <c r="J643" i="4" s="1"/>
  <c r="M869" i="3"/>
  <c r="M873" i="3" s="1"/>
  <c r="M867" i="3"/>
  <c r="M871" i="3" s="1"/>
  <c r="M870" i="3"/>
  <c r="M874" i="3" s="1"/>
  <c r="M868" i="3"/>
  <c r="M872" i="3" s="1"/>
  <c r="P870" i="3"/>
  <c r="P874" i="3" s="1"/>
  <c r="P868" i="3"/>
  <c r="P872" i="3" s="1"/>
  <c r="P867" i="3"/>
  <c r="P871" i="3" s="1"/>
  <c r="P869" i="3"/>
  <c r="P873" i="3" s="1"/>
  <c r="T868" i="3"/>
  <c r="T872" i="3" s="1"/>
  <c r="T869" i="3"/>
  <c r="T873" i="3" s="1"/>
  <c r="T867" i="3"/>
  <c r="T871" i="3" s="1"/>
  <c r="T870" i="3"/>
  <c r="T874" i="3" s="1"/>
  <c r="S868" i="3"/>
  <c r="S872" i="3" s="1"/>
  <c r="S869" i="3"/>
  <c r="S873" i="3" s="1"/>
  <c r="S867" i="3"/>
  <c r="S871" i="3" s="1"/>
  <c r="S870" i="3"/>
  <c r="S874" i="3" s="1"/>
  <c r="L869" i="3"/>
  <c r="L873" i="3" s="1"/>
  <c r="L870" i="3"/>
  <c r="L874" i="3" s="1"/>
  <c r="L867" i="3"/>
  <c r="L871" i="3" s="1"/>
  <c r="L868" i="3"/>
  <c r="L872" i="3" s="1"/>
  <c r="G869" i="3"/>
  <c r="G873" i="3" s="1"/>
  <c r="G868" i="3"/>
  <c r="G872" i="3" s="1"/>
  <c r="G870" i="3"/>
  <c r="G874" i="3" s="1"/>
  <c r="G867" i="3"/>
  <c r="G871" i="3" s="1"/>
  <c r="F870" i="3"/>
  <c r="F874" i="3" s="1"/>
  <c r="F868" i="3"/>
  <c r="F872" i="3" s="1"/>
  <c r="F869" i="3"/>
  <c r="F873" i="3" s="1"/>
  <c r="F867" i="3"/>
  <c r="F871" i="3" s="1"/>
  <c r="O867" i="3"/>
  <c r="O871" i="3" s="1"/>
  <c r="O870" i="3"/>
  <c r="O874" i="3" s="1"/>
  <c r="O868" i="3"/>
  <c r="O872" i="3" s="1"/>
  <c r="O869" i="3"/>
  <c r="O873" i="3" s="1"/>
  <c r="Q870" i="3"/>
  <c r="Q874" i="3" s="1"/>
  <c r="Q868" i="3"/>
  <c r="Q872" i="3" s="1"/>
  <c r="Q867" i="3"/>
  <c r="Q871" i="3" s="1"/>
  <c r="Q869" i="3"/>
  <c r="Q873" i="3" s="1"/>
  <c r="J869" i="3"/>
  <c r="J873" i="3" s="1"/>
  <c r="J870" i="3"/>
  <c r="J874" i="3" s="1"/>
  <c r="J867" i="3"/>
  <c r="J871" i="3" s="1"/>
  <c r="J868" i="3"/>
  <c r="J872" i="3" s="1"/>
  <c r="H868" i="3"/>
  <c r="H872" i="3" s="1"/>
  <c r="H869" i="3"/>
  <c r="H873" i="3" s="1"/>
  <c r="H867" i="3"/>
  <c r="H871" i="3" s="1"/>
  <c r="H870" i="3"/>
  <c r="H874" i="3" s="1"/>
  <c r="K869" i="3"/>
  <c r="K873" i="3" s="1"/>
  <c r="K867" i="3"/>
  <c r="K871" i="3" s="1"/>
  <c r="K870" i="3"/>
  <c r="K874" i="3" s="1"/>
  <c r="K868" i="3"/>
  <c r="K872" i="3" s="1"/>
  <c r="I867" i="3"/>
  <c r="I871" i="3" s="1"/>
  <c r="I869" i="3"/>
  <c r="I873" i="3" s="1"/>
  <c r="I868" i="3"/>
  <c r="I872" i="3" s="1"/>
  <c r="I870" i="3"/>
  <c r="I874" i="3" s="1"/>
  <c r="U868" i="3"/>
  <c r="U872" i="3" s="1"/>
  <c r="U869" i="3"/>
  <c r="U873" i="3" s="1"/>
  <c r="U867" i="3"/>
  <c r="U871" i="3" s="1"/>
  <c r="U870" i="3"/>
  <c r="U874" i="3" s="1"/>
  <c r="R870" i="3"/>
  <c r="R874" i="3" s="1"/>
  <c r="R868" i="3"/>
  <c r="R872" i="3" s="1"/>
  <c r="R869" i="3"/>
  <c r="R873" i="3" s="1"/>
  <c r="R867" i="3"/>
  <c r="R871" i="3" s="1"/>
  <c r="G19" i="16"/>
  <c r="S843" i="3"/>
  <c r="S847" i="3" s="1"/>
  <c r="S844" i="3"/>
  <c r="S848" i="3" s="1"/>
  <c r="H19" i="16"/>
  <c r="S842" i="3"/>
  <c r="S846" i="3" s="1"/>
  <c r="F19" i="16"/>
  <c r="S845" i="3"/>
  <c r="S849" i="3" s="1"/>
  <c r="I19" i="16"/>
  <c r="M19" i="15"/>
  <c r="P845" i="3"/>
  <c r="P849" i="3" s="1"/>
  <c r="P842" i="3"/>
  <c r="P846" i="3" s="1"/>
  <c r="J19" i="15"/>
  <c r="P844" i="3"/>
  <c r="P848" i="3" s="1"/>
  <c r="L19" i="15"/>
  <c r="P843" i="3"/>
  <c r="P847" i="3" s="1"/>
  <c r="K19" i="15"/>
  <c r="K845" i="3"/>
  <c r="K849" i="3" s="1"/>
  <c r="M19" i="14"/>
  <c r="K843" i="3"/>
  <c r="K847" i="3" s="1"/>
  <c r="K19" i="14"/>
  <c r="K842" i="3"/>
  <c r="K846" i="3" s="1"/>
  <c r="J19" i="14"/>
  <c r="L19" i="14"/>
  <c r="K844" i="3"/>
  <c r="K848" i="3" s="1"/>
  <c r="H843" i="3"/>
  <c r="H847" i="3" s="1"/>
  <c r="O19" i="13"/>
  <c r="H844" i="3"/>
  <c r="H848" i="3" s="1"/>
  <c r="P19" i="13"/>
  <c r="H842" i="3"/>
  <c r="H846" i="3" s="1"/>
  <c r="N19" i="13"/>
  <c r="H845" i="3"/>
  <c r="H849" i="3" s="1"/>
  <c r="Q19" i="13"/>
  <c r="G195" i="3"/>
  <c r="G199" i="3" s="1"/>
  <c r="G196" i="3"/>
  <c r="G200" i="3" s="1"/>
  <c r="I20" i="13"/>
  <c r="E20" i="13"/>
  <c r="E170" i="3"/>
  <c r="E174" i="3" s="1"/>
  <c r="D169" i="3"/>
  <c r="D173" i="3" s="1"/>
  <c r="D168" i="3"/>
  <c r="D172" i="3" s="1"/>
  <c r="H20" i="13"/>
  <c r="E168" i="3"/>
  <c r="E172" i="3" s="1"/>
  <c r="F169" i="3"/>
  <c r="F173" i="3" s="1"/>
  <c r="F168" i="3"/>
  <c r="F172" i="3" s="1"/>
  <c r="G170" i="3"/>
  <c r="G174" i="3" s="1"/>
  <c r="G171" i="3"/>
  <c r="G175" i="3" s="1"/>
  <c r="C20" i="13"/>
  <c r="E20" i="12"/>
  <c r="D596" i="4"/>
  <c r="D601" i="4" s="1"/>
  <c r="G20" i="13"/>
  <c r="D21" i="12"/>
  <c r="I22" i="13"/>
  <c r="B21" i="12"/>
  <c r="E21" i="12"/>
  <c r="D862" i="3"/>
  <c r="D842" i="3"/>
  <c r="D846" i="3" s="1"/>
  <c r="D843" i="3"/>
  <c r="D847" i="3" s="1"/>
  <c r="D844" i="3"/>
  <c r="D848" i="3" s="1"/>
  <c r="H188" i="3"/>
  <c r="H163" i="3"/>
  <c r="E21" i="13"/>
  <c r="F21" i="13"/>
  <c r="D21" i="13"/>
  <c r="J22" i="17"/>
  <c r="M22" i="17"/>
  <c r="D22" i="15"/>
  <c r="E22" i="15"/>
  <c r="K22" i="17"/>
  <c r="C22" i="15"/>
  <c r="L22" i="17"/>
  <c r="T584" i="4"/>
  <c r="T585" i="4" s="1"/>
  <c r="T587" i="4" s="1"/>
  <c r="T589" i="4" s="1"/>
  <c r="V584" i="4"/>
  <c r="V585" i="4" s="1"/>
  <c r="V587" i="4" s="1"/>
  <c r="V589" i="4" s="1"/>
  <c r="U584" i="4"/>
  <c r="U585" i="4" s="1"/>
  <c r="U587" i="4" s="1"/>
  <c r="U589" i="4" s="1"/>
  <c r="T641" i="4"/>
  <c r="T643" i="4" s="1"/>
  <c r="H641" i="4"/>
  <c r="H643" i="4" s="1"/>
  <c r="P641" i="4"/>
  <c r="P643" i="4" s="1"/>
  <c r="I641" i="4"/>
  <c r="I643" i="4" s="1"/>
  <c r="Q641" i="4"/>
  <c r="Q643" i="4" s="1"/>
  <c r="O641" i="4"/>
  <c r="O643" i="4" s="1"/>
  <c r="R641" i="4"/>
  <c r="R643" i="4" s="1"/>
  <c r="G641" i="4"/>
  <c r="G643" i="4" s="1"/>
  <c r="K641" i="4"/>
  <c r="K643" i="4" s="1"/>
  <c r="S641" i="4"/>
  <c r="S643" i="4" s="1"/>
  <c r="D641" i="4"/>
  <c r="D643" i="4" s="1"/>
  <c r="L641" i="4"/>
  <c r="L643" i="4" s="1"/>
  <c r="E641" i="4"/>
  <c r="E643" i="4" s="1"/>
  <c r="M641" i="4"/>
  <c r="M643" i="4" s="1"/>
  <c r="F641" i="4"/>
  <c r="F643" i="4" s="1"/>
  <c r="N641" i="4"/>
  <c r="N643" i="4" s="1"/>
  <c r="C21" i="13"/>
  <c r="B20" i="12"/>
  <c r="M614" i="4"/>
  <c r="F614" i="4"/>
  <c r="N614" i="4"/>
  <c r="G614" i="4"/>
  <c r="O614" i="4"/>
  <c r="H614" i="4"/>
  <c r="P614" i="4"/>
  <c r="I614" i="4"/>
  <c r="Q614" i="4"/>
  <c r="E614" i="4"/>
  <c r="J614" i="4"/>
  <c r="R614" i="4"/>
  <c r="K614" i="4"/>
  <c r="S614" i="4"/>
  <c r="L614" i="4"/>
  <c r="K180" i="3"/>
  <c r="L178" i="3"/>
  <c r="J181" i="3"/>
  <c r="J182" i="3" s="1"/>
  <c r="E193" i="3"/>
  <c r="E197" i="3" s="1"/>
  <c r="I183" i="3"/>
  <c r="I184" i="3" s="1"/>
  <c r="I186" i="3" s="1"/>
  <c r="I158" i="3"/>
  <c r="I159" i="3" s="1"/>
  <c r="I161" i="3" s="1"/>
  <c r="J156" i="3"/>
  <c r="J157" i="3" s="1"/>
  <c r="K155" i="3"/>
  <c r="L153" i="3"/>
  <c r="V639" i="4"/>
  <c r="V641" i="4" s="1"/>
  <c r="V643" i="4" s="1"/>
  <c r="U614" i="4"/>
  <c r="V614" i="4"/>
  <c r="T611" i="4"/>
  <c r="W653" i="4" l="1"/>
  <c r="W658" i="4" s="1"/>
  <c r="W651" i="4"/>
  <c r="W656" i="4" s="1"/>
  <c r="W650" i="4"/>
  <c r="W655" i="4" s="1"/>
  <c r="W652" i="4"/>
  <c r="W657" i="4" s="1"/>
  <c r="W598" i="4"/>
  <c r="W603" i="4" s="1"/>
  <c r="W596" i="4"/>
  <c r="W601" i="4" s="1"/>
  <c r="W599" i="4"/>
  <c r="W604" i="4" s="1"/>
  <c r="W597" i="4"/>
  <c r="W602" i="4" s="1"/>
  <c r="W623" i="4"/>
  <c r="W628" i="4" s="1"/>
  <c r="W625" i="4"/>
  <c r="W630" i="4" s="1"/>
  <c r="W624" i="4"/>
  <c r="W629" i="4" s="1"/>
  <c r="W626" i="4"/>
  <c r="W631" i="4" s="1"/>
  <c r="D869" i="3"/>
  <c r="D873" i="3" s="1"/>
  <c r="G19" i="17"/>
  <c r="U843" i="3"/>
  <c r="U847" i="3" s="1"/>
  <c r="U844" i="3"/>
  <c r="U848" i="3" s="1"/>
  <c r="H19" i="17"/>
  <c r="U842" i="3"/>
  <c r="U846" i="3" s="1"/>
  <c r="F19" i="17"/>
  <c r="U845" i="3"/>
  <c r="U849" i="3" s="1"/>
  <c r="I19" i="17"/>
  <c r="C19" i="17"/>
  <c r="T843" i="3"/>
  <c r="T847" i="3" s="1"/>
  <c r="T844" i="3"/>
  <c r="T848" i="3" s="1"/>
  <c r="D19" i="17"/>
  <c r="T845" i="3"/>
  <c r="T849" i="3" s="1"/>
  <c r="E19" i="17"/>
  <c r="T842" i="3"/>
  <c r="T846" i="3" s="1"/>
  <c r="B19" i="17"/>
  <c r="V845" i="3"/>
  <c r="V849" i="3" s="1"/>
  <c r="M19" i="17"/>
  <c r="V842" i="3"/>
  <c r="V846" i="3" s="1"/>
  <c r="J19" i="17"/>
  <c r="V843" i="3"/>
  <c r="V847" i="3" s="1"/>
  <c r="K19" i="17"/>
  <c r="V844" i="3"/>
  <c r="V848" i="3" s="1"/>
  <c r="L19" i="17"/>
  <c r="R843" i="3"/>
  <c r="R847" i="3" s="1"/>
  <c r="C19" i="16"/>
  <c r="E19" i="16"/>
  <c r="R845" i="3"/>
  <c r="R849" i="3" s="1"/>
  <c r="R842" i="3"/>
  <c r="R846" i="3" s="1"/>
  <c r="B19" i="16"/>
  <c r="R844" i="3"/>
  <c r="R848" i="3" s="1"/>
  <c r="D19" i="16"/>
  <c r="Q842" i="3"/>
  <c r="Q846" i="3" s="1"/>
  <c r="N19" i="15"/>
  <c r="Q844" i="3"/>
  <c r="Q848" i="3" s="1"/>
  <c r="P19" i="15"/>
  <c r="Q845" i="3"/>
  <c r="Q849" i="3" s="1"/>
  <c r="Q19" i="15"/>
  <c r="Q843" i="3"/>
  <c r="Q847" i="3" s="1"/>
  <c r="O19" i="15"/>
  <c r="O844" i="3"/>
  <c r="O848" i="3" s="1"/>
  <c r="H19" i="15"/>
  <c r="O843" i="3"/>
  <c r="O847" i="3" s="1"/>
  <c r="G19" i="15"/>
  <c r="F19" i="15"/>
  <c r="O842" i="3"/>
  <c r="O846" i="3" s="1"/>
  <c r="O845" i="3"/>
  <c r="O849" i="3" s="1"/>
  <c r="I19" i="15"/>
  <c r="N845" i="3"/>
  <c r="N849" i="3" s="1"/>
  <c r="E19" i="15"/>
  <c r="N844" i="3"/>
  <c r="N848" i="3" s="1"/>
  <c r="D19" i="15"/>
  <c r="N842" i="3"/>
  <c r="N846" i="3" s="1"/>
  <c r="N843" i="3"/>
  <c r="N847" i="3" s="1"/>
  <c r="C19" i="15"/>
  <c r="M843" i="3"/>
  <c r="M847" i="3" s="1"/>
  <c r="S19" i="14"/>
  <c r="T19" i="14"/>
  <c r="M844" i="3"/>
  <c r="M848" i="3" s="1"/>
  <c r="R19" i="14"/>
  <c r="M842" i="3"/>
  <c r="M846" i="3" s="1"/>
  <c r="M845" i="3"/>
  <c r="M849" i="3" s="1"/>
  <c r="U19" i="14"/>
  <c r="L842" i="3"/>
  <c r="L846" i="3" s="1"/>
  <c r="N19" i="14"/>
  <c r="L845" i="3"/>
  <c r="L849" i="3" s="1"/>
  <c r="Q19" i="14"/>
  <c r="L843" i="3"/>
  <c r="L847" i="3" s="1"/>
  <c r="O19" i="14"/>
  <c r="L844" i="3"/>
  <c r="L848" i="3" s="1"/>
  <c r="P19" i="14"/>
  <c r="J844" i="3"/>
  <c r="J848" i="3" s="1"/>
  <c r="H19" i="14"/>
  <c r="J842" i="3"/>
  <c r="J846" i="3" s="1"/>
  <c r="F19" i="14"/>
  <c r="J845" i="3"/>
  <c r="J849" i="3" s="1"/>
  <c r="I19" i="14"/>
  <c r="J843" i="3"/>
  <c r="J847" i="3" s="1"/>
  <c r="G19" i="14"/>
  <c r="K19" i="13"/>
  <c r="G843" i="3"/>
  <c r="G847" i="3" s="1"/>
  <c r="G844" i="3"/>
  <c r="G848" i="3" s="1"/>
  <c r="L19" i="13"/>
  <c r="G842" i="3"/>
  <c r="G846" i="3" s="1"/>
  <c r="J19" i="13"/>
  <c r="G845" i="3"/>
  <c r="G849" i="3" s="1"/>
  <c r="M19" i="13"/>
  <c r="F842" i="3"/>
  <c r="F846" i="3" s="1"/>
  <c r="F19" i="13"/>
  <c r="F844" i="3"/>
  <c r="F848" i="3" s="1"/>
  <c r="H19" i="13"/>
  <c r="G19" i="13"/>
  <c r="F843" i="3"/>
  <c r="F847" i="3" s="1"/>
  <c r="F845" i="3"/>
  <c r="F849" i="3" s="1"/>
  <c r="I19" i="13"/>
  <c r="E843" i="3"/>
  <c r="E847" i="3" s="1"/>
  <c r="C19" i="13"/>
  <c r="E19" i="13"/>
  <c r="E845" i="3"/>
  <c r="E849" i="3" s="1"/>
  <c r="E842" i="3"/>
  <c r="E846" i="3" s="1"/>
  <c r="B19" i="13"/>
  <c r="E844" i="3"/>
  <c r="E848" i="3" s="1"/>
  <c r="D19" i="13"/>
  <c r="H195" i="3"/>
  <c r="H199" i="3" s="1"/>
  <c r="H196" i="3"/>
  <c r="H200" i="3" s="1"/>
  <c r="G194" i="3"/>
  <c r="G198" i="3" s="1"/>
  <c r="G193" i="3"/>
  <c r="G197" i="3" s="1"/>
  <c r="B20" i="13"/>
  <c r="H170" i="3"/>
  <c r="H174" i="3" s="1"/>
  <c r="H171" i="3"/>
  <c r="H175" i="3" s="1"/>
  <c r="G168" i="3"/>
  <c r="G172" i="3" s="1"/>
  <c r="G169" i="3"/>
  <c r="G173" i="3" s="1"/>
  <c r="H22" i="13"/>
  <c r="F20" i="13"/>
  <c r="D870" i="3"/>
  <c r="D874" i="3" s="1"/>
  <c r="F22" i="13"/>
  <c r="G22" i="13"/>
  <c r="I163" i="3"/>
  <c r="D867" i="3"/>
  <c r="D871" i="3" s="1"/>
  <c r="I188" i="3"/>
  <c r="B21" i="13"/>
  <c r="B19" i="12"/>
  <c r="D19" i="12"/>
  <c r="C19" i="12"/>
  <c r="U653" i="4"/>
  <c r="U658" i="4" s="1"/>
  <c r="I65" i="17"/>
  <c r="F65" i="17"/>
  <c r="U650" i="4"/>
  <c r="U655" i="4" s="1"/>
  <c r="U652" i="4"/>
  <c r="U657" i="4" s="1"/>
  <c r="H65" i="17"/>
  <c r="U651" i="4"/>
  <c r="U656" i="4" s="1"/>
  <c r="G65" i="17"/>
  <c r="K22" i="13"/>
  <c r="H22" i="15"/>
  <c r="L22" i="15"/>
  <c r="I22" i="14"/>
  <c r="H22" i="17"/>
  <c r="L22" i="13"/>
  <c r="C22" i="17"/>
  <c r="R22" i="14"/>
  <c r="H22" i="16"/>
  <c r="K22" i="15"/>
  <c r="H22" i="14"/>
  <c r="C22" i="16"/>
  <c r="F22" i="14"/>
  <c r="F22" i="17"/>
  <c r="D22" i="17"/>
  <c r="O22" i="14"/>
  <c r="F22" i="16"/>
  <c r="D22" i="14"/>
  <c r="C22" i="13"/>
  <c r="M22" i="15"/>
  <c r="K22" i="14"/>
  <c r="G22" i="14"/>
  <c r="P22" i="14"/>
  <c r="I22" i="16"/>
  <c r="B22" i="14"/>
  <c r="E22" i="13"/>
  <c r="J22" i="14"/>
  <c r="N22" i="13"/>
  <c r="P22" i="15"/>
  <c r="B22" i="17"/>
  <c r="N22" i="14"/>
  <c r="C22" i="14"/>
  <c r="D22" i="13"/>
  <c r="L22" i="14"/>
  <c r="P22" i="13"/>
  <c r="M22" i="13"/>
  <c r="N22" i="15"/>
  <c r="E22" i="17"/>
  <c r="S22" i="14"/>
  <c r="Q22" i="14"/>
  <c r="I22" i="15"/>
  <c r="E22" i="14"/>
  <c r="D22" i="16"/>
  <c r="B22" i="13"/>
  <c r="I22" i="17"/>
  <c r="G22" i="16"/>
  <c r="M22" i="14"/>
  <c r="Q22" i="13"/>
  <c r="Q22" i="15"/>
  <c r="U22" i="14"/>
  <c r="F22" i="15"/>
  <c r="B22" i="16"/>
  <c r="G22" i="17"/>
  <c r="O22" i="13"/>
  <c r="J22" i="13"/>
  <c r="O22" i="15"/>
  <c r="T22" i="14"/>
  <c r="G22" i="15"/>
  <c r="E22" i="16"/>
  <c r="J22" i="15"/>
  <c r="S599" i="4"/>
  <c r="S604" i="4" s="1"/>
  <c r="I80" i="16"/>
  <c r="I597" i="4"/>
  <c r="I602" i="4" s="1"/>
  <c r="C80" i="14"/>
  <c r="S596" i="4"/>
  <c r="S601" i="4" s="1"/>
  <c r="F80" i="16"/>
  <c r="C80" i="16"/>
  <c r="R597" i="4"/>
  <c r="R602" i="4" s="1"/>
  <c r="I599" i="4"/>
  <c r="I604" i="4" s="1"/>
  <c r="E80" i="14"/>
  <c r="P596" i="4"/>
  <c r="P601" i="4" s="1"/>
  <c r="J80" i="15"/>
  <c r="H597" i="4"/>
  <c r="H602" i="4" s="1"/>
  <c r="O80" i="13"/>
  <c r="L80" i="13"/>
  <c r="G598" i="4"/>
  <c r="G603" i="4" s="1"/>
  <c r="M597" i="4"/>
  <c r="M602" i="4" s="1"/>
  <c r="S80" i="14"/>
  <c r="N596" i="4"/>
  <c r="N601" i="4" s="1"/>
  <c r="R596" i="4"/>
  <c r="R601" i="4" s="1"/>
  <c r="B80" i="16"/>
  <c r="Q596" i="4"/>
  <c r="Q601" i="4" s="1"/>
  <c r="N80" i="15"/>
  <c r="I598" i="4"/>
  <c r="I603" i="4" s="1"/>
  <c r="D80" i="14"/>
  <c r="P599" i="4"/>
  <c r="P604" i="4" s="1"/>
  <c r="M80" i="15"/>
  <c r="G597" i="4"/>
  <c r="G602" i="4" s="1"/>
  <c r="K80" i="13"/>
  <c r="F599" i="4"/>
  <c r="F604" i="4" s="1"/>
  <c r="I80" i="13"/>
  <c r="M596" i="4"/>
  <c r="M601" i="4" s="1"/>
  <c r="R80" i="14"/>
  <c r="J599" i="4"/>
  <c r="J604" i="4" s="1"/>
  <c r="I80" i="14"/>
  <c r="K598" i="4"/>
  <c r="K603" i="4" s="1"/>
  <c r="L80" i="14"/>
  <c r="R599" i="4"/>
  <c r="R604" i="4" s="1"/>
  <c r="E80" i="16"/>
  <c r="Q597" i="4"/>
  <c r="Q602" i="4" s="1"/>
  <c r="O80" i="15"/>
  <c r="L80" i="15"/>
  <c r="P598" i="4"/>
  <c r="P603" i="4" s="1"/>
  <c r="O599" i="4"/>
  <c r="O604" i="4" s="1"/>
  <c r="I80" i="15"/>
  <c r="G596" i="4"/>
  <c r="G601" i="4" s="1"/>
  <c r="J80" i="13"/>
  <c r="F598" i="4"/>
  <c r="F603" i="4" s="1"/>
  <c r="H80" i="13"/>
  <c r="G599" i="4"/>
  <c r="G604" i="4" s="1"/>
  <c r="M80" i="13"/>
  <c r="K599" i="4"/>
  <c r="K604" i="4" s="1"/>
  <c r="M80" i="14"/>
  <c r="Q599" i="4"/>
  <c r="Q604" i="4" s="1"/>
  <c r="Q80" i="15"/>
  <c r="L599" i="4"/>
  <c r="L604" i="4" s="1"/>
  <c r="Q80" i="14"/>
  <c r="P597" i="4"/>
  <c r="P602" i="4" s="1"/>
  <c r="K80" i="15"/>
  <c r="H80" i="15"/>
  <c r="O598" i="4"/>
  <c r="O603" i="4" s="1"/>
  <c r="F597" i="4"/>
  <c r="F602" i="4" s="1"/>
  <c r="G80" i="13"/>
  <c r="E599" i="4"/>
  <c r="E604" i="4" s="1"/>
  <c r="E80" i="13"/>
  <c r="H598" i="4"/>
  <c r="H603" i="4" s="1"/>
  <c r="P80" i="13"/>
  <c r="K597" i="4"/>
  <c r="K602" i="4" s="1"/>
  <c r="K80" i="14"/>
  <c r="G80" i="14"/>
  <c r="J597" i="4"/>
  <c r="J602" i="4" s="1"/>
  <c r="Q598" i="4"/>
  <c r="Q603" i="4" s="1"/>
  <c r="P80" i="15"/>
  <c r="L598" i="4"/>
  <c r="L603" i="4" s="1"/>
  <c r="P80" i="14"/>
  <c r="O597" i="4"/>
  <c r="O602" i="4" s="1"/>
  <c r="G80" i="15"/>
  <c r="N599" i="4"/>
  <c r="N604" i="4" s="1"/>
  <c r="E80" i="15"/>
  <c r="F80" i="13"/>
  <c r="F596" i="4"/>
  <c r="F601" i="4" s="1"/>
  <c r="E598" i="4"/>
  <c r="E603" i="4" s="1"/>
  <c r="D80" i="13"/>
  <c r="M598" i="4"/>
  <c r="M603" i="4" s="1"/>
  <c r="T80" i="14"/>
  <c r="S598" i="4"/>
  <c r="S603" i="4" s="1"/>
  <c r="H80" i="16"/>
  <c r="K596" i="4"/>
  <c r="K601" i="4" s="1"/>
  <c r="J80" i="14"/>
  <c r="J596" i="4"/>
  <c r="J601" i="4" s="1"/>
  <c r="F80" i="14"/>
  <c r="L597" i="4"/>
  <c r="L602" i="4" s="1"/>
  <c r="O80" i="14"/>
  <c r="H596" i="4"/>
  <c r="H601" i="4" s="1"/>
  <c r="N80" i="13"/>
  <c r="O596" i="4"/>
  <c r="O601" i="4" s="1"/>
  <c r="F80" i="15"/>
  <c r="N598" i="4"/>
  <c r="N603" i="4" s="1"/>
  <c r="D80" i="15"/>
  <c r="E597" i="4"/>
  <c r="E602" i="4" s="1"/>
  <c r="C80" i="13"/>
  <c r="R598" i="4"/>
  <c r="R603" i="4" s="1"/>
  <c r="D80" i="16"/>
  <c r="S597" i="4"/>
  <c r="S602" i="4" s="1"/>
  <c r="G80" i="16"/>
  <c r="J598" i="4"/>
  <c r="J603" i="4" s="1"/>
  <c r="H80" i="14"/>
  <c r="I596" i="4"/>
  <c r="I601" i="4" s="1"/>
  <c r="B80" i="14"/>
  <c r="L596" i="4"/>
  <c r="L601" i="4" s="1"/>
  <c r="N80" i="14"/>
  <c r="H599" i="4"/>
  <c r="H604" i="4" s="1"/>
  <c r="Q80" i="13"/>
  <c r="N597" i="4"/>
  <c r="N602" i="4" s="1"/>
  <c r="C80" i="15"/>
  <c r="M599" i="4"/>
  <c r="M604" i="4" s="1"/>
  <c r="U80" i="14"/>
  <c r="B80" i="13"/>
  <c r="E596" i="4"/>
  <c r="E601" i="4" s="1"/>
  <c r="D599" i="4"/>
  <c r="D604" i="4" s="1"/>
  <c r="E80" i="12"/>
  <c r="D598" i="4"/>
  <c r="D603" i="4" s="1"/>
  <c r="D80" i="12"/>
  <c r="C80" i="12"/>
  <c r="D597" i="4"/>
  <c r="D602" i="4" s="1"/>
  <c r="D650" i="4"/>
  <c r="D655" i="4" s="1"/>
  <c r="T612" i="4"/>
  <c r="U616" i="4"/>
  <c r="R616" i="4"/>
  <c r="I616" i="4"/>
  <c r="G616" i="4"/>
  <c r="N616" i="4"/>
  <c r="J616" i="4"/>
  <c r="S616" i="4"/>
  <c r="E616" i="4"/>
  <c r="H616" i="4"/>
  <c r="F616" i="4"/>
  <c r="P616" i="4"/>
  <c r="L616" i="4"/>
  <c r="K616" i="4"/>
  <c r="Q616" i="4"/>
  <c r="O616" i="4"/>
  <c r="M616" i="4"/>
  <c r="V616" i="4"/>
  <c r="M21" i="13"/>
  <c r="K21" i="13"/>
  <c r="O21" i="13"/>
  <c r="L21" i="13"/>
  <c r="K20" i="13"/>
  <c r="M20" i="13"/>
  <c r="L20" i="13"/>
  <c r="M178" i="3"/>
  <c r="L180" i="3"/>
  <c r="K181" i="3"/>
  <c r="K182" i="3" s="1"/>
  <c r="J183" i="3"/>
  <c r="J184" i="3" s="1"/>
  <c r="J186" i="3" s="1"/>
  <c r="L155" i="3"/>
  <c r="M153" i="3"/>
  <c r="K156" i="3"/>
  <c r="K157" i="3" s="1"/>
  <c r="J158" i="3"/>
  <c r="J159" i="3" s="1"/>
  <c r="J161" i="3" s="1"/>
  <c r="B80" i="12"/>
  <c r="P21" i="13" l="1"/>
  <c r="C22" i="12"/>
  <c r="D868" i="3"/>
  <c r="D872" i="3" s="1"/>
  <c r="I196" i="3"/>
  <c r="I200" i="3" s="1"/>
  <c r="I195" i="3"/>
  <c r="I199" i="3" s="1"/>
  <c r="H194" i="3"/>
  <c r="H198" i="3" s="1"/>
  <c r="H193" i="3"/>
  <c r="H197" i="3" s="1"/>
  <c r="I170" i="3"/>
  <c r="I174" i="3" s="1"/>
  <c r="I171" i="3"/>
  <c r="I175" i="3" s="1"/>
  <c r="H169" i="3"/>
  <c r="H173" i="3" s="1"/>
  <c r="H168" i="3"/>
  <c r="H172" i="3" s="1"/>
  <c r="Q21" i="13"/>
  <c r="P20" i="13"/>
  <c r="E21" i="14"/>
  <c r="O20" i="13"/>
  <c r="Q20" i="13"/>
  <c r="E20" i="14"/>
  <c r="E22" i="12"/>
  <c r="D22" i="12"/>
  <c r="C20" i="14"/>
  <c r="D20" i="14"/>
  <c r="B22" i="12"/>
  <c r="J163" i="3"/>
  <c r="D21" i="14"/>
  <c r="J188" i="3"/>
  <c r="C21" i="14"/>
  <c r="E19" i="12"/>
  <c r="V652" i="4"/>
  <c r="V657" i="4" s="1"/>
  <c r="L65" i="17"/>
  <c r="V653" i="4"/>
  <c r="V658" i="4" s="1"/>
  <c r="M65" i="17"/>
  <c r="V650" i="4"/>
  <c r="V655" i="4" s="1"/>
  <c r="J65" i="17"/>
  <c r="V651" i="4"/>
  <c r="V656" i="4" s="1"/>
  <c r="K65" i="17"/>
  <c r="T652" i="4"/>
  <c r="T657" i="4" s="1"/>
  <c r="D65" i="17"/>
  <c r="T650" i="4"/>
  <c r="T655" i="4" s="1"/>
  <c r="B65" i="17"/>
  <c r="E65" i="17"/>
  <c r="T653" i="4"/>
  <c r="T658" i="4" s="1"/>
  <c r="T651" i="4"/>
  <c r="T656" i="4" s="1"/>
  <c r="C65" i="17"/>
  <c r="U596" i="4"/>
  <c r="U601" i="4" s="1"/>
  <c r="F80" i="17"/>
  <c r="U597" i="4"/>
  <c r="U602" i="4" s="1"/>
  <c r="G80" i="17"/>
  <c r="V598" i="4"/>
  <c r="V603" i="4" s="1"/>
  <c r="L80" i="17"/>
  <c r="V599" i="4"/>
  <c r="V604" i="4" s="1"/>
  <c r="M80" i="17"/>
  <c r="V597" i="4"/>
  <c r="V602" i="4" s="1"/>
  <c r="K80" i="17"/>
  <c r="U599" i="4"/>
  <c r="U604" i="4" s="1"/>
  <c r="I80" i="17"/>
  <c r="V596" i="4"/>
  <c r="V601" i="4" s="1"/>
  <c r="J80" i="17"/>
  <c r="U598" i="4"/>
  <c r="U603" i="4" s="1"/>
  <c r="H80" i="17"/>
  <c r="T598" i="4"/>
  <c r="T603" i="4" s="1"/>
  <c r="D80" i="17"/>
  <c r="T599" i="4"/>
  <c r="T604" i="4" s="1"/>
  <c r="E80" i="17"/>
  <c r="T596" i="4"/>
  <c r="T601" i="4" s="1"/>
  <c r="B80" i="17"/>
  <c r="T597" i="4"/>
  <c r="T602" i="4" s="1"/>
  <c r="C80" i="17"/>
  <c r="Q652" i="4"/>
  <c r="Q657" i="4" s="1"/>
  <c r="P65" i="15"/>
  <c r="Q653" i="4"/>
  <c r="Q658" i="4" s="1"/>
  <c r="Q65" i="15"/>
  <c r="J650" i="4"/>
  <c r="J655" i="4" s="1"/>
  <c r="F65" i="14"/>
  <c r="P652" i="4"/>
  <c r="P657" i="4" s="1"/>
  <c r="L65" i="15"/>
  <c r="R653" i="4"/>
  <c r="R658" i="4" s="1"/>
  <c r="E65" i="16"/>
  <c r="F650" i="4"/>
  <c r="F655" i="4" s="1"/>
  <c r="F65" i="13"/>
  <c r="K652" i="4"/>
  <c r="K657" i="4" s="1"/>
  <c r="L65" i="14"/>
  <c r="F653" i="4"/>
  <c r="F658" i="4" s="1"/>
  <c r="I65" i="13"/>
  <c r="Q651" i="4"/>
  <c r="Q656" i="4" s="1"/>
  <c r="O65" i="15"/>
  <c r="L650" i="4"/>
  <c r="L655" i="4" s="1"/>
  <c r="N65" i="14"/>
  <c r="J653" i="4"/>
  <c r="J658" i="4" s="1"/>
  <c r="I65" i="14"/>
  <c r="P651" i="4"/>
  <c r="P656" i="4" s="1"/>
  <c r="K65" i="15"/>
  <c r="F652" i="4"/>
  <c r="F657" i="4" s="1"/>
  <c r="H65" i="13"/>
  <c r="H651" i="4"/>
  <c r="H656" i="4" s="1"/>
  <c r="O65" i="13"/>
  <c r="K653" i="4"/>
  <c r="K658" i="4" s="1"/>
  <c r="M65" i="14"/>
  <c r="J652" i="4"/>
  <c r="J657" i="4" s="1"/>
  <c r="H65" i="14"/>
  <c r="I652" i="4"/>
  <c r="I657" i="4" s="1"/>
  <c r="D65" i="14"/>
  <c r="Q650" i="4"/>
  <c r="Q655" i="4" s="1"/>
  <c r="N65" i="15"/>
  <c r="L653" i="4"/>
  <c r="L658" i="4" s="1"/>
  <c r="Q65" i="14"/>
  <c r="P653" i="4"/>
  <c r="P658" i="4" s="1"/>
  <c r="M65" i="15"/>
  <c r="M653" i="4"/>
  <c r="M658" i="4" s="1"/>
  <c r="U65" i="14"/>
  <c r="F651" i="4"/>
  <c r="F656" i="4" s="1"/>
  <c r="G65" i="13"/>
  <c r="H652" i="4"/>
  <c r="H657" i="4" s="1"/>
  <c r="P65" i="13"/>
  <c r="R652" i="4"/>
  <c r="R657" i="4" s="1"/>
  <c r="D65" i="16"/>
  <c r="I651" i="4"/>
  <c r="I656" i="4" s="1"/>
  <c r="C65" i="14"/>
  <c r="L651" i="4"/>
  <c r="L656" i="4" s="1"/>
  <c r="O65" i="14"/>
  <c r="E653" i="4"/>
  <c r="E658" i="4" s="1"/>
  <c r="E65" i="13"/>
  <c r="P650" i="4"/>
  <c r="P655" i="4" s="1"/>
  <c r="J65" i="15"/>
  <c r="R65" i="14"/>
  <c r="M650" i="4"/>
  <c r="M655" i="4" s="1"/>
  <c r="H653" i="4"/>
  <c r="H658" i="4" s="1"/>
  <c r="Q65" i="13"/>
  <c r="N653" i="4"/>
  <c r="N658" i="4" s="1"/>
  <c r="E65" i="15"/>
  <c r="O651" i="4"/>
  <c r="O656" i="4" s="1"/>
  <c r="G65" i="15"/>
  <c r="I653" i="4"/>
  <c r="I658" i="4" s="1"/>
  <c r="E65" i="14"/>
  <c r="O653" i="4"/>
  <c r="O658" i="4" s="1"/>
  <c r="I65" i="15"/>
  <c r="L652" i="4"/>
  <c r="L657" i="4" s="1"/>
  <c r="P65" i="14"/>
  <c r="B65" i="13"/>
  <c r="E650" i="4"/>
  <c r="E655" i="4" s="1"/>
  <c r="M651" i="4"/>
  <c r="M656" i="4" s="1"/>
  <c r="S65" i="14"/>
  <c r="S650" i="4"/>
  <c r="S655" i="4" s="1"/>
  <c r="F65" i="16"/>
  <c r="H650" i="4"/>
  <c r="H655" i="4" s="1"/>
  <c r="N65" i="13"/>
  <c r="N650" i="4"/>
  <c r="N655" i="4" s="1"/>
  <c r="S653" i="4"/>
  <c r="S658" i="4" s="1"/>
  <c r="I65" i="16"/>
  <c r="I650" i="4"/>
  <c r="I655" i="4" s="1"/>
  <c r="B65" i="14"/>
  <c r="H65" i="15"/>
  <c r="O652" i="4"/>
  <c r="O657" i="4" s="1"/>
  <c r="E651" i="4"/>
  <c r="E656" i="4" s="1"/>
  <c r="C65" i="13"/>
  <c r="R650" i="4"/>
  <c r="R655" i="4" s="1"/>
  <c r="B65" i="16"/>
  <c r="M652" i="4"/>
  <c r="M657" i="4" s="1"/>
  <c r="T65" i="14"/>
  <c r="S651" i="4"/>
  <c r="S656" i="4" s="1"/>
  <c r="G65" i="16"/>
  <c r="N652" i="4"/>
  <c r="N657" i="4" s="1"/>
  <c r="D65" i="15"/>
  <c r="K650" i="4"/>
  <c r="K655" i="4" s="1"/>
  <c r="J65" i="14"/>
  <c r="O650" i="4"/>
  <c r="O655" i="4" s="1"/>
  <c r="F65" i="15"/>
  <c r="G65" i="14"/>
  <c r="J651" i="4"/>
  <c r="J656" i="4" s="1"/>
  <c r="E652" i="4"/>
  <c r="E657" i="4" s="1"/>
  <c r="D65" i="13"/>
  <c r="C65" i="16"/>
  <c r="R651" i="4"/>
  <c r="R656" i="4" s="1"/>
  <c r="S652" i="4"/>
  <c r="S657" i="4" s="1"/>
  <c r="H65" i="16"/>
  <c r="K651" i="4"/>
  <c r="K656" i="4" s="1"/>
  <c r="K65" i="14"/>
  <c r="N651" i="4"/>
  <c r="N656" i="4" s="1"/>
  <c r="C65" i="15"/>
  <c r="B65" i="12"/>
  <c r="D653" i="4"/>
  <c r="D658" i="4" s="1"/>
  <c r="E65" i="12"/>
  <c r="D651" i="4"/>
  <c r="D656" i="4" s="1"/>
  <c r="C65" i="12"/>
  <c r="D652" i="4"/>
  <c r="D657" i="4" s="1"/>
  <c r="D65" i="12"/>
  <c r="G651" i="4"/>
  <c r="G656" i="4" s="1"/>
  <c r="K65" i="13"/>
  <c r="G652" i="4"/>
  <c r="G657" i="4" s="1"/>
  <c r="L65" i="13"/>
  <c r="G650" i="4"/>
  <c r="G655" i="4" s="1"/>
  <c r="J65" i="13"/>
  <c r="G653" i="4"/>
  <c r="G658" i="4" s="1"/>
  <c r="M65" i="13"/>
  <c r="T614" i="4"/>
  <c r="T616" i="4" s="1"/>
  <c r="J21" i="13"/>
  <c r="J20" i="13"/>
  <c r="K183" i="3"/>
  <c r="K184" i="3" s="1"/>
  <c r="K186" i="3" s="1"/>
  <c r="K188" i="3" s="1"/>
  <c r="L181" i="3"/>
  <c r="L182" i="3" s="1"/>
  <c r="N178" i="3"/>
  <c r="M180" i="3"/>
  <c r="K158" i="3"/>
  <c r="K159" i="3" s="1"/>
  <c r="K161" i="3" s="1"/>
  <c r="N153" i="3"/>
  <c r="M155" i="3"/>
  <c r="L156" i="3"/>
  <c r="L157" i="3" s="1"/>
  <c r="S554" i="4"/>
  <c r="S556" i="4" s="1"/>
  <c r="R554" i="4"/>
  <c r="R556" i="4" s="1"/>
  <c r="R557" i="4" s="1"/>
  <c r="Q554" i="4"/>
  <c r="Q556" i="4" s="1"/>
  <c r="P554" i="4"/>
  <c r="O554" i="4"/>
  <c r="O556" i="4" s="1"/>
  <c r="N554" i="4"/>
  <c r="N556" i="4" s="1"/>
  <c r="M554" i="4"/>
  <c r="M556" i="4" s="1"/>
  <c r="L554" i="4"/>
  <c r="L556" i="4" s="1"/>
  <c r="K554" i="4"/>
  <c r="K556" i="4" s="1"/>
  <c r="J554" i="4"/>
  <c r="J556" i="4" s="1"/>
  <c r="I554" i="4"/>
  <c r="H554" i="4"/>
  <c r="G554" i="4"/>
  <c r="G556" i="4" s="1"/>
  <c r="G557" i="4" s="1"/>
  <c r="F554" i="4"/>
  <c r="F556" i="4" s="1"/>
  <c r="E554" i="4"/>
  <c r="E556" i="4" s="1"/>
  <c r="N529" i="4"/>
  <c r="R529" i="4"/>
  <c r="P529" i="4"/>
  <c r="L529" i="4"/>
  <c r="K529" i="4"/>
  <c r="G529" i="4"/>
  <c r="G530" i="4" s="1"/>
  <c r="G532" i="4" s="1"/>
  <c r="G534" i="4" s="1"/>
  <c r="H529" i="4"/>
  <c r="P556" i="4" l="1"/>
  <c r="P557" i="4" s="1"/>
  <c r="H556" i="4"/>
  <c r="H557" i="4" s="1"/>
  <c r="H558" i="4" s="1"/>
  <c r="H560" i="4" s="1"/>
  <c r="H562" i="4" s="1"/>
  <c r="I556" i="4"/>
  <c r="I557" i="4" s="1"/>
  <c r="I558" i="4" s="1"/>
  <c r="I560" i="4" s="1"/>
  <c r="I562" i="4" s="1"/>
  <c r="N21" i="13"/>
  <c r="K196" i="3"/>
  <c r="K200" i="3" s="1"/>
  <c r="K195" i="3"/>
  <c r="K199" i="3" s="1"/>
  <c r="J196" i="3"/>
  <c r="J200" i="3" s="1"/>
  <c r="J195" i="3"/>
  <c r="J199" i="3" s="1"/>
  <c r="I193" i="3"/>
  <c r="I197" i="3" s="1"/>
  <c r="I194" i="3"/>
  <c r="I198" i="3" s="1"/>
  <c r="J171" i="3"/>
  <c r="J175" i="3" s="1"/>
  <c r="J170" i="3"/>
  <c r="J174" i="3" s="1"/>
  <c r="I168" i="3"/>
  <c r="I172" i="3" s="1"/>
  <c r="I169" i="3"/>
  <c r="I173" i="3" s="1"/>
  <c r="N20" i="13"/>
  <c r="H21" i="14"/>
  <c r="I21" i="14"/>
  <c r="I20" i="14"/>
  <c r="K163" i="3"/>
  <c r="J557" i="4"/>
  <c r="J558" i="4" s="1"/>
  <c r="J560" i="4" s="1"/>
  <c r="J562" i="4" s="1"/>
  <c r="W554" i="4"/>
  <c r="W556" i="4" s="1"/>
  <c r="W557" i="4" s="1"/>
  <c r="W558" i="4" s="1"/>
  <c r="W560" i="4" s="1"/>
  <c r="W562" i="4" s="1"/>
  <c r="V624" i="4"/>
  <c r="V629" i="4" s="1"/>
  <c r="K72" i="17"/>
  <c r="V625" i="4"/>
  <c r="V630" i="4" s="1"/>
  <c r="L72" i="17"/>
  <c r="U626" i="4"/>
  <c r="U631" i="4" s="1"/>
  <c r="I72" i="17"/>
  <c r="U623" i="4"/>
  <c r="U628" i="4" s="1"/>
  <c r="F72" i="17"/>
  <c r="U624" i="4"/>
  <c r="U629" i="4" s="1"/>
  <c r="G72" i="17"/>
  <c r="V626" i="4"/>
  <c r="V631" i="4" s="1"/>
  <c r="M72" i="17"/>
  <c r="U625" i="4"/>
  <c r="U630" i="4" s="1"/>
  <c r="H72" i="17"/>
  <c r="V623" i="4"/>
  <c r="V628" i="4" s="1"/>
  <c r="J72" i="17"/>
  <c r="J625" i="4"/>
  <c r="J630" i="4" s="1"/>
  <c r="H72" i="14"/>
  <c r="J623" i="4"/>
  <c r="J628" i="4" s="1"/>
  <c r="F72" i="14"/>
  <c r="L625" i="4"/>
  <c r="L630" i="4" s="1"/>
  <c r="P72" i="14"/>
  <c r="S625" i="4"/>
  <c r="S630" i="4" s="1"/>
  <c r="H72" i="16"/>
  <c r="R626" i="4"/>
  <c r="R631" i="4" s="1"/>
  <c r="E72" i="16"/>
  <c r="M626" i="4"/>
  <c r="M631" i="4" s="1"/>
  <c r="U72" i="14"/>
  <c r="I626" i="4"/>
  <c r="I631" i="4" s="1"/>
  <c r="E72" i="14"/>
  <c r="N624" i="4"/>
  <c r="N629" i="4" s="1"/>
  <c r="C72" i="15"/>
  <c r="P625" i="4"/>
  <c r="P630" i="4" s="1"/>
  <c r="L72" i="15"/>
  <c r="E625" i="4"/>
  <c r="E630" i="4" s="1"/>
  <c r="D72" i="13"/>
  <c r="M624" i="4"/>
  <c r="M629" i="4" s="1"/>
  <c r="S72" i="14"/>
  <c r="I624" i="4"/>
  <c r="I629" i="4" s="1"/>
  <c r="C72" i="14"/>
  <c r="P623" i="4"/>
  <c r="P628" i="4" s="1"/>
  <c r="J72" i="15"/>
  <c r="R625" i="4"/>
  <c r="R630" i="4" s="1"/>
  <c r="D72" i="16"/>
  <c r="E623" i="4"/>
  <c r="E628" i="4" s="1"/>
  <c r="B72" i="13"/>
  <c r="I625" i="4"/>
  <c r="I630" i="4" s="1"/>
  <c r="D72" i="14"/>
  <c r="H624" i="4"/>
  <c r="H629" i="4" s="1"/>
  <c r="O72" i="13"/>
  <c r="P626" i="4"/>
  <c r="P631" i="4" s="1"/>
  <c r="M72" i="15"/>
  <c r="O625" i="4"/>
  <c r="O630" i="4" s="1"/>
  <c r="H72" i="15"/>
  <c r="Q624" i="4"/>
  <c r="Q629" i="4" s="1"/>
  <c r="O72" i="15"/>
  <c r="L624" i="4"/>
  <c r="L629" i="4" s="1"/>
  <c r="O72" i="14"/>
  <c r="O624" i="4"/>
  <c r="O629" i="4" s="1"/>
  <c r="G72" i="15"/>
  <c r="E626" i="4"/>
  <c r="E631" i="4" s="1"/>
  <c r="E72" i="13"/>
  <c r="F625" i="4"/>
  <c r="F630" i="4" s="1"/>
  <c r="H72" i="13"/>
  <c r="I623" i="4"/>
  <c r="I628" i="4" s="1"/>
  <c r="B72" i="14"/>
  <c r="H625" i="4"/>
  <c r="H630" i="4" s="1"/>
  <c r="P72" i="13"/>
  <c r="L623" i="4"/>
  <c r="L628" i="4" s="1"/>
  <c r="N72" i="14"/>
  <c r="Q626" i="4"/>
  <c r="Q631" i="4" s="1"/>
  <c r="Q72" i="15"/>
  <c r="O623" i="4"/>
  <c r="O628" i="4" s="1"/>
  <c r="F72" i="15"/>
  <c r="K623" i="4"/>
  <c r="K628" i="4" s="1"/>
  <c r="J72" i="14"/>
  <c r="E624" i="4"/>
  <c r="E629" i="4" s="1"/>
  <c r="C72" i="13"/>
  <c r="F623" i="4"/>
  <c r="F628" i="4" s="1"/>
  <c r="F72" i="13"/>
  <c r="H623" i="4"/>
  <c r="H628" i="4" s="1"/>
  <c r="N72" i="13"/>
  <c r="L72" i="13"/>
  <c r="G625" i="4"/>
  <c r="G630" i="4" s="1"/>
  <c r="L626" i="4"/>
  <c r="L631" i="4" s="1"/>
  <c r="Q72" i="14"/>
  <c r="Q625" i="4"/>
  <c r="Q630" i="4" s="1"/>
  <c r="P72" i="15"/>
  <c r="S623" i="4"/>
  <c r="S628" i="4" s="1"/>
  <c r="F72" i="16"/>
  <c r="O626" i="4"/>
  <c r="O631" i="4" s="1"/>
  <c r="I72" i="15"/>
  <c r="K626" i="4"/>
  <c r="K631" i="4" s="1"/>
  <c r="M72" i="14"/>
  <c r="F626" i="4"/>
  <c r="F631" i="4" s="1"/>
  <c r="I72" i="13"/>
  <c r="N625" i="4"/>
  <c r="N630" i="4" s="1"/>
  <c r="D72" i="15"/>
  <c r="H626" i="4"/>
  <c r="H631" i="4" s="1"/>
  <c r="Q72" i="13"/>
  <c r="G624" i="4"/>
  <c r="G629" i="4" s="1"/>
  <c r="K72" i="13"/>
  <c r="J626" i="4"/>
  <c r="J631" i="4" s="1"/>
  <c r="I72" i="14"/>
  <c r="Q623" i="4"/>
  <c r="Q628" i="4" s="1"/>
  <c r="N72" i="15"/>
  <c r="S626" i="4"/>
  <c r="S631" i="4" s="1"/>
  <c r="I72" i="16"/>
  <c r="K624" i="4"/>
  <c r="K629" i="4" s="1"/>
  <c r="K72" i="14"/>
  <c r="M625" i="4"/>
  <c r="M630" i="4" s="1"/>
  <c r="T72" i="14"/>
  <c r="F624" i="4"/>
  <c r="F629" i="4" s="1"/>
  <c r="G72" i="13"/>
  <c r="N623" i="4"/>
  <c r="N628" i="4" s="1"/>
  <c r="G623" i="4"/>
  <c r="G628" i="4" s="1"/>
  <c r="J72" i="13"/>
  <c r="C72" i="16"/>
  <c r="R624" i="4"/>
  <c r="R629" i="4" s="1"/>
  <c r="G72" i="14"/>
  <c r="J624" i="4"/>
  <c r="J629" i="4" s="1"/>
  <c r="S624" i="4"/>
  <c r="S629" i="4" s="1"/>
  <c r="G72" i="16"/>
  <c r="R623" i="4"/>
  <c r="R628" i="4" s="1"/>
  <c r="B72" i="16"/>
  <c r="K625" i="4"/>
  <c r="K630" i="4" s="1"/>
  <c r="L72" i="14"/>
  <c r="M623" i="4"/>
  <c r="M628" i="4" s="1"/>
  <c r="R72" i="14"/>
  <c r="N626" i="4"/>
  <c r="N631" i="4" s="1"/>
  <c r="E72" i="15"/>
  <c r="P624" i="4"/>
  <c r="P629" i="4" s="1"/>
  <c r="K72" i="15"/>
  <c r="G626" i="4"/>
  <c r="G631" i="4" s="1"/>
  <c r="M72" i="13"/>
  <c r="U557" i="4"/>
  <c r="U558" i="4" s="1"/>
  <c r="U560" i="4" s="1"/>
  <c r="U562" i="4" s="1"/>
  <c r="V557" i="4"/>
  <c r="V558" i="4" s="1"/>
  <c r="V560" i="4" s="1"/>
  <c r="V562" i="4" s="1"/>
  <c r="L183" i="3"/>
  <c r="L184" i="3" s="1"/>
  <c r="L186" i="3" s="1"/>
  <c r="L188" i="3" s="1"/>
  <c r="N180" i="3"/>
  <c r="O178" i="3"/>
  <c r="M181" i="3"/>
  <c r="M182" i="3" s="1"/>
  <c r="L158" i="3"/>
  <c r="L159" i="3" s="1"/>
  <c r="L161" i="3" s="1"/>
  <c r="L163" i="3" s="1"/>
  <c r="N155" i="3"/>
  <c r="O153" i="3"/>
  <c r="M156" i="3"/>
  <c r="M157" i="3" s="1"/>
  <c r="T557" i="4"/>
  <c r="T558" i="4" s="1"/>
  <c r="T560" i="4" s="1"/>
  <c r="T562" i="4" s="1"/>
  <c r="T532" i="4"/>
  <c r="T534" i="4" s="1"/>
  <c r="G558" i="4"/>
  <c r="G560" i="4" s="1"/>
  <c r="G562" i="4" s="1"/>
  <c r="Q557" i="4"/>
  <c r="Q558" i="4" s="1"/>
  <c r="Q560" i="4" s="1"/>
  <c r="Q562" i="4" s="1"/>
  <c r="L530" i="4"/>
  <c r="L532" i="4" s="1"/>
  <c r="L534" i="4" s="1"/>
  <c r="P530" i="4"/>
  <c r="P532" i="4" s="1"/>
  <c r="P534" i="4" s="1"/>
  <c r="D529" i="4"/>
  <c r="D530" i="4" s="1"/>
  <c r="D532" i="4" s="1"/>
  <c r="D534" i="4" s="1"/>
  <c r="D541" i="4" s="1"/>
  <c r="D546" i="4" s="1"/>
  <c r="F529" i="4"/>
  <c r="F530" i="4" s="1"/>
  <c r="F532" i="4" s="1"/>
  <c r="F534" i="4" s="1"/>
  <c r="I529" i="4"/>
  <c r="I530" i="4" s="1"/>
  <c r="I532" i="4" s="1"/>
  <c r="I534" i="4" s="1"/>
  <c r="M529" i="4"/>
  <c r="M530" i="4" s="1"/>
  <c r="M532" i="4" s="1"/>
  <c r="M534" i="4" s="1"/>
  <c r="Q530" i="4"/>
  <c r="Q532" i="4" s="1"/>
  <c r="Q534" i="4" s="1"/>
  <c r="M557" i="4"/>
  <c r="M558" i="4" s="1"/>
  <c r="M560" i="4" s="1"/>
  <c r="M562" i="4" s="1"/>
  <c r="O557" i="4"/>
  <c r="O558" i="4" s="1"/>
  <c r="O560" i="4" s="1"/>
  <c r="O562" i="4" s="1"/>
  <c r="N557" i="4"/>
  <c r="N558" i="4" s="1"/>
  <c r="N560" i="4" s="1"/>
  <c r="N562" i="4" s="1"/>
  <c r="F557" i="4"/>
  <c r="F558" i="4" s="1"/>
  <c r="F560" i="4" s="1"/>
  <c r="F562" i="4" s="1"/>
  <c r="K530" i="4"/>
  <c r="K532" i="4" s="1"/>
  <c r="K534" i="4" s="1"/>
  <c r="S529" i="4"/>
  <c r="S530" i="4" s="1"/>
  <c r="S532" i="4" s="1"/>
  <c r="S534" i="4" s="1"/>
  <c r="U532" i="4"/>
  <c r="U534" i="4" s="1"/>
  <c r="O529" i="4"/>
  <c r="O530" i="4" s="1"/>
  <c r="O532" i="4" s="1"/>
  <c r="O534" i="4" s="1"/>
  <c r="K557" i="4"/>
  <c r="K558" i="4" s="1"/>
  <c r="K560" i="4" s="1"/>
  <c r="K562" i="4" s="1"/>
  <c r="S557" i="4"/>
  <c r="S558" i="4" s="1"/>
  <c r="S560" i="4" s="1"/>
  <c r="S562" i="4" s="1"/>
  <c r="N530" i="4"/>
  <c r="N532" i="4" s="1"/>
  <c r="N534" i="4" s="1"/>
  <c r="E557" i="4"/>
  <c r="E558" i="4" s="1"/>
  <c r="E560" i="4" s="1"/>
  <c r="E562" i="4" s="1"/>
  <c r="R530" i="4"/>
  <c r="R532" i="4" s="1"/>
  <c r="R534" i="4" s="1"/>
  <c r="E529" i="4"/>
  <c r="E530" i="4" s="1"/>
  <c r="E532" i="4" s="1"/>
  <c r="E534" i="4" s="1"/>
  <c r="V532" i="4"/>
  <c r="V534" i="4" s="1"/>
  <c r="J529" i="4"/>
  <c r="J530" i="4" s="1"/>
  <c r="J532" i="4" s="1"/>
  <c r="J534" i="4" s="1"/>
  <c r="H530" i="4"/>
  <c r="H532" i="4" s="1"/>
  <c r="H534" i="4" s="1"/>
  <c r="L557" i="4"/>
  <c r="L558" i="4" s="1"/>
  <c r="L560" i="4" s="1"/>
  <c r="L562" i="4" s="1"/>
  <c r="D557" i="4"/>
  <c r="D558" i="4" s="1"/>
  <c r="D560" i="4" s="1"/>
  <c r="D562" i="4" s="1"/>
  <c r="R558" i="4"/>
  <c r="R560" i="4" s="1"/>
  <c r="R562" i="4" s="1"/>
  <c r="P558" i="4" l="1"/>
  <c r="P560" i="4" s="1"/>
  <c r="P562" i="4" s="1"/>
  <c r="W569" i="4"/>
  <c r="W574" i="4" s="1"/>
  <c r="W572" i="4"/>
  <c r="W577" i="4" s="1"/>
  <c r="W570" i="4"/>
  <c r="W575" i="4" s="1"/>
  <c r="W571" i="4"/>
  <c r="W576" i="4" s="1"/>
  <c r="B21" i="14"/>
  <c r="L196" i="3"/>
  <c r="L200" i="3" s="1"/>
  <c r="L195" i="3"/>
  <c r="L199" i="3" s="1"/>
  <c r="K193" i="3"/>
  <c r="K197" i="3" s="1"/>
  <c r="K194" i="3"/>
  <c r="K198" i="3" s="1"/>
  <c r="J193" i="3"/>
  <c r="J197" i="3" s="1"/>
  <c r="J194" i="3"/>
  <c r="J198" i="3" s="1"/>
  <c r="L171" i="3"/>
  <c r="L175" i="3" s="1"/>
  <c r="L170" i="3"/>
  <c r="L174" i="3" s="1"/>
  <c r="K171" i="3"/>
  <c r="K175" i="3" s="1"/>
  <c r="K170" i="3"/>
  <c r="K174" i="3" s="1"/>
  <c r="J169" i="3"/>
  <c r="J173" i="3" s="1"/>
  <c r="J168" i="3"/>
  <c r="J172" i="3" s="1"/>
  <c r="G21" i="14"/>
  <c r="B20" i="14"/>
  <c r="H20" i="14"/>
  <c r="G20" i="14"/>
  <c r="T623" i="4"/>
  <c r="T628" i="4" s="1"/>
  <c r="B72" i="17"/>
  <c r="T626" i="4"/>
  <c r="T631" i="4" s="1"/>
  <c r="E72" i="17"/>
  <c r="T624" i="4"/>
  <c r="T629" i="4" s="1"/>
  <c r="C72" i="17"/>
  <c r="T625" i="4"/>
  <c r="T630" i="4" s="1"/>
  <c r="D72" i="17"/>
  <c r="D569" i="4"/>
  <c r="D574" i="4" s="1"/>
  <c r="H569" i="4"/>
  <c r="H574" i="4" s="1"/>
  <c r="N88" i="13"/>
  <c r="H570" i="4"/>
  <c r="H575" i="4" s="1"/>
  <c r="O88" i="13"/>
  <c r="H571" i="4"/>
  <c r="H576" i="4" s="1"/>
  <c r="P88" i="13"/>
  <c r="H572" i="4"/>
  <c r="H577" i="4" s="1"/>
  <c r="Q88" i="13"/>
  <c r="L87" i="13"/>
  <c r="G543" i="4"/>
  <c r="G548" i="4" s="1"/>
  <c r="M87" i="13"/>
  <c r="G544" i="4"/>
  <c r="G549" i="4" s="1"/>
  <c r="G541" i="4"/>
  <c r="G546" i="4" s="1"/>
  <c r="J87" i="13"/>
  <c r="K87" i="13"/>
  <c r="G542" i="4"/>
  <c r="G547" i="4" s="1"/>
  <c r="M183" i="3"/>
  <c r="M184" i="3" s="1"/>
  <c r="M186" i="3" s="1"/>
  <c r="N181" i="3"/>
  <c r="N182" i="3" s="1"/>
  <c r="O180" i="3"/>
  <c r="P178" i="3"/>
  <c r="O155" i="3"/>
  <c r="P153" i="3"/>
  <c r="M158" i="3"/>
  <c r="M159" i="3" s="1"/>
  <c r="M161" i="3" s="1"/>
  <c r="N156" i="3"/>
  <c r="N157" i="3" s="1"/>
  <c r="F21" i="14" l="1"/>
  <c r="L193" i="3"/>
  <c r="L197" i="3" s="1"/>
  <c r="L194" i="3"/>
  <c r="L198" i="3" s="1"/>
  <c r="K168" i="3"/>
  <c r="K172" i="3" s="1"/>
  <c r="K169" i="3"/>
  <c r="K173" i="3" s="1"/>
  <c r="L20" i="14"/>
  <c r="M20" i="14"/>
  <c r="L168" i="3"/>
  <c r="L172" i="3" s="1"/>
  <c r="L169" i="3"/>
  <c r="L173" i="3" s="1"/>
  <c r="F20" i="14"/>
  <c r="K20" i="14"/>
  <c r="M188" i="3"/>
  <c r="M163" i="3"/>
  <c r="L21" i="14"/>
  <c r="M21" i="14"/>
  <c r="P21" i="14"/>
  <c r="Q21" i="14"/>
  <c r="O21" i="14"/>
  <c r="V570" i="4"/>
  <c r="V575" i="4" s="1"/>
  <c r="K88" i="17"/>
  <c r="V571" i="4"/>
  <c r="V576" i="4" s="1"/>
  <c r="L88" i="17"/>
  <c r="U570" i="4"/>
  <c r="U575" i="4" s="1"/>
  <c r="G88" i="17"/>
  <c r="U571" i="4"/>
  <c r="U576" i="4" s="1"/>
  <c r="H88" i="17"/>
  <c r="F88" i="17"/>
  <c r="U569" i="4"/>
  <c r="U574" i="4" s="1"/>
  <c r="V572" i="4"/>
  <c r="V577" i="4" s="1"/>
  <c r="M88" i="17"/>
  <c r="U572" i="4"/>
  <c r="U577" i="4" s="1"/>
  <c r="I88" i="17"/>
  <c r="V569" i="4"/>
  <c r="V574" i="4" s="1"/>
  <c r="J88" i="17"/>
  <c r="T572" i="4"/>
  <c r="T577" i="4" s="1"/>
  <c r="E88" i="17"/>
  <c r="T570" i="4"/>
  <c r="T575" i="4" s="1"/>
  <c r="C88" i="17"/>
  <c r="T569" i="4"/>
  <c r="T574" i="4" s="1"/>
  <c r="B88" i="17"/>
  <c r="T571" i="4"/>
  <c r="T576" i="4" s="1"/>
  <c r="D88" i="17"/>
  <c r="H87" i="17"/>
  <c r="U543" i="4"/>
  <c r="U548" i="4" s="1"/>
  <c r="E87" i="17"/>
  <c r="T544" i="4"/>
  <c r="T549" i="4" s="1"/>
  <c r="V541" i="4"/>
  <c r="V546" i="4" s="1"/>
  <c r="J87" i="17"/>
  <c r="U544" i="4"/>
  <c r="U549" i="4" s="1"/>
  <c r="I87" i="17"/>
  <c r="V542" i="4"/>
  <c r="V547" i="4" s="1"/>
  <c r="K87" i="17"/>
  <c r="F87" i="17"/>
  <c r="U541" i="4"/>
  <c r="U546" i="4" s="1"/>
  <c r="T542" i="4"/>
  <c r="T547" i="4" s="1"/>
  <c r="C87" i="17"/>
  <c r="V544" i="4"/>
  <c r="V549" i="4" s="1"/>
  <c r="M87" i="17"/>
  <c r="G87" i="17"/>
  <c r="U542" i="4"/>
  <c r="U547" i="4" s="1"/>
  <c r="T541" i="4"/>
  <c r="T546" i="4" s="1"/>
  <c r="B87" i="17"/>
  <c r="T543" i="4"/>
  <c r="T548" i="4" s="1"/>
  <c r="D87" i="17"/>
  <c r="V543" i="4"/>
  <c r="V548" i="4" s="1"/>
  <c r="L87" i="17"/>
  <c r="S572" i="4"/>
  <c r="S577" i="4" s="1"/>
  <c r="I88" i="16"/>
  <c r="S570" i="4"/>
  <c r="S575" i="4" s="1"/>
  <c r="G88" i="16"/>
  <c r="S571" i="4"/>
  <c r="S576" i="4" s="1"/>
  <c r="H88" i="16"/>
  <c r="R569" i="4"/>
  <c r="R574" i="4" s="1"/>
  <c r="B88" i="16"/>
  <c r="R572" i="4"/>
  <c r="R577" i="4" s="1"/>
  <c r="E88" i="16"/>
  <c r="C88" i="16"/>
  <c r="R570" i="4"/>
  <c r="R575" i="4" s="1"/>
  <c r="S569" i="4"/>
  <c r="S574" i="4" s="1"/>
  <c r="F88" i="16"/>
  <c r="R571" i="4"/>
  <c r="R576" i="4" s="1"/>
  <c r="D88" i="16"/>
  <c r="G88" i="14"/>
  <c r="J570" i="4"/>
  <c r="J575" i="4" s="1"/>
  <c r="G572" i="4"/>
  <c r="G577" i="4" s="1"/>
  <c r="M88" i="13"/>
  <c r="K569" i="4"/>
  <c r="K574" i="4" s="1"/>
  <c r="J88" i="14"/>
  <c r="O572" i="4"/>
  <c r="O577" i="4" s="1"/>
  <c r="I88" i="15"/>
  <c r="E570" i="4"/>
  <c r="E575" i="4" s="1"/>
  <c r="C88" i="13"/>
  <c r="J571" i="4"/>
  <c r="J576" i="4" s="1"/>
  <c r="H88" i="14"/>
  <c r="R88" i="14"/>
  <c r="M569" i="4"/>
  <c r="M574" i="4" s="1"/>
  <c r="K570" i="4"/>
  <c r="K575" i="4" s="1"/>
  <c r="K88" i="14"/>
  <c r="E571" i="4"/>
  <c r="E576" i="4" s="1"/>
  <c r="D88" i="13"/>
  <c r="L570" i="4"/>
  <c r="L575" i="4" s="1"/>
  <c r="O88" i="14"/>
  <c r="M570" i="4"/>
  <c r="M575" i="4" s="1"/>
  <c r="S88" i="14"/>
  <c r="N569" i="4"/>
  <c r="N574" i="4" s="1"/>
  <c r="F570" i="4"/>
  <c r="F575" i="4" s="1"/>
  <c r="G88" i="13"/>
  <c r="E572" i="4"/>
  <c r="E577" i="4" s="1"/>
  <c r="E88" i="13"/>
  <c r="L571" i="4"/>
  <c r="L576" i="4" s="1"/>
  <c r="P88" i="14"/>
  <c r="M572" i="4"/>
  <c r="M577" i="4" s="1"/>
  <c r="U88" i="14"/>
  <c r="N571" i="4"/>
  <c r="N576" i="4" s="1"/>
  <c r="D88" i="15"/>
  <c r="F571" i="4"/>
  <c r="F576" i="4" s="1"/>
  <c r="H88" i="13"/>
  <c r="D572" i="4"/>
  <c r="D577" i="4" s="1"/>
  <c r="E88" i="12"/>
  <c r="L572" i="4"/>
  <c r="L577" i="4" s="1"/>
  <c r="Q88" i="14"/>
  <c r="M571" i="4"/>
  <c r="M576" i="4" s="1"/>
  <c r="T88" i="14"/>
  <c r="N570" i="4"/>
  <c r="N575" i="4" s="1"/>
  <c r="C88" i="15"/>
  <c r="F572" i="4"/>
  <c r="F577" i="4" s="1"/>
  <c r="I88" i="13"/>
  <c r="P569" i="4"/>
  <c r="P574" i="4" s="1"/>
  <c r="J88" i="15"/>
  <c r="G569" i="4"/>
  <c r="G574" i="4" s="1"/>
  <c r="J88" i="13"/>
  <c r="L569" i="4"/>
  <c r="L574" i="4" s="1"/>
  <c r="N88" i="14"/>
  <c r="O570" i="4"/>
  <c r="O575" i="4" s="1"/>
  <c r="G88" i="15"/>
  <c r="N572" i="4"/>
  <c r="N577" i="4" s="1"/>
  <c r="E88" i="15"/>
  <c r="F569" i="4"/>
  <c r="F574" i="4" s="1"/>
  <c r="F88" i="13"/>
  <c r="P570" i="4"/>
  <c r="P575" i="4" s="1"/>
  <c r="K88" i="15"/>
  <c r="D88" i="12"/>
  <c r="D571" i="4"/>
  <c r="D576" i="4" s="1"/>
  <c r="J572" i="4"/>
  <c r="J577" i="4" s="1"/>
  <c r="I88" i="14"/>
  <c r="G570" i="4"/>
  <c r="G575" i="4" s="1"/>
  <c r="K88" i="13"/>
  <c r="K572" i="4"/>
  <c r="K577" i="4" s="1"/>
  <c r="M88" i="14"/>
  <c r="O571" i="4"/>
  <c r="O576" i="4" s="1"/>
  <c r="H88" i="15"/>
  <c r="D570" i="4"/>
  <c r="D575" i="4" s="1"/>
  <c r="C88" i="12"/>
  <c r="P571" i="4"/>
  <c r="P576" i="4" s="1"/>
  <c r="L88" i="15"/>
  <c r="J569" i="4"/>
  <c r="J574" i="4" s="1"/>
  <c r="F88" i="14"/>
  <c r="G571" i="4"/>
  <c r="G576" i="4" s="1"/>
  <c r="L88" i="13"/>
  <c r="K571" i="4"/>
  <c r="K576" i="4" s="1"/>
  <c r="L88" i="14"/>
  <c r="O569" i="4"/>
  <c r="O574" i="4" s="1"/>
  <c r="F88" i="15"/>
  <c r="E569" i="4"/>
  <c r="E574" i="4" s="1"/>
  <c r="B88" i="13"/>
  <c r="P572" i="4"/>
  <c r="P577" i="4" s="1"/>
  <c r="M88" i="15"/>
  <c r="S544" i="4"/>
  <c r="S549" i="4" s="1"/>
  <c r="I87" i="16"/>
  <c r="S542" i="4"/>
  <c r="S547" i="4" s="1"/>
  <c r="G87" i="16"/>
  <c r="S541" i="4"/>
  <c r="S546" i="4" s="1"/>
  <c r="F87" i="16"/>
  <c r="E87" i="16"/>
  <c r="R544" i="4"/>
  <c r="R549" i="4" s="1"/>
  <c r="R542" i="4"/>
  <c r="R547" i="4" s="1"/>
  <c r="C87" i="16"/>
  <c r="B87" i="16"/>
  <c r="R541" i="4"/>
  <c r="R546" i="4" s="1"/>
  <c r="S543" i="4"/>
  <c r="S548" i="4" s="1"/>
  <c r="H87" i="16"/>
  <c r="D87" i="16"/>
  <c r="R543" i="4"/>
  <c r="R548" i="4" s="1"/>
  <c r="N541" i="4"/>
  <c r="N546" i="4" s="1"/>
  <c r="F541" i="4"/>
  <c r="F546" i="4" s="1"/>
  <c r="F87" i="13"/>
  <c r="F87" i="14"/>
  <c r="J541" i="4"/>
  <c r="J546" i="4" s="1"/>
  <c r="P87" i="14"/>
  <c r="L543" i="4"/>
  <c r="L548" i="4" s="1"/>
  <c r="K87" i="15"/>
  <c r="P542" i="4"/>
  <c r="P547" i="4" s="1"/>
  <c r="N542" i="4"/>
  <c r="N547" i="4" s="1"/>
  <c r="C87" i="15"/>
  <c r="F542" i="4"/>
  <c r="F547" i="4" s="1"/>
  <c r="G87" i="13"/>
  <c r="J544" i="4"/>
  <c r="J549" i="4" s="1"/>
  <c r="I87" i="14"/>
  <c r="O544" i="4"/>
  <c r="O549" i="4" s="1"/>
  <c r="I87" i="15"/>
  <c r="L544" i="4"/>
  <c r="L549" i="4" s="1"/>
  <c r="Q87" i="14"/>
  <c r="J543" i="4"/>
  <c r="J548" i="4" s="1"/>
  <c r="H87" i="14"/>
  <c r="N543" i="4"/>
  <c r="N548" i="4" s="1"/>
  <c r="D87" i="15"/>
  <c r="F543" i="4"/>
  <c r="F548" i="4" s="1"/>
  <c r="H87" i="13"/>
  <c r="M541" i="4"/>
  <c r="M546" i="4" s="1"/>
  <c r="R87" i="14"/>
  <c r="G87" i="14"/>
  <c r="J542" i="4"/>
  <c r="J547" i="4" s="1"/>
  <c r="O541" i="4"/>
  <c r="O546" i="4" s="1"/>
  <c r="F87" i="15"/>
  <c r="F544" i="4"/>
  <c r="F549" i="4" s="1"/>
  <c r="I87" i="13"/>
  <c r="N544" i="4"/>
  <c r="N549" i="4" s="1"/>
  <c r="E87" i="15"/>
  <c r="E541" i="4"/>
  <c r="E546" i="4" s="1"/>
  <c r="B87" i="13"/>
  <c r="M542" i="4"/>
  <c r="M547" i="4" s="1"/>
  <c r="S87" i="14"/>
  <c r="O542" i="4"/>
  <c r="O547" i="4" s="1"/>
  <c r="G87" i="15"/>
  <c r="O87" i="13"/>
  <c r="H542" i="4"/>
  <c r="H547" i="4" s="1"/>
  <c r="D544" i="4"/>
  <c r="D549" i="4" s="1"/>
  <c r="E87" i="12"/>
  <c r="B87" i="12"/>
  <c r="K542" i="4"/>
  <c r="K547" i="4" s="1"/>
  <c r="K87" i="14"/>
  <c r="E542" i="4"/>
  <c r="E547" i="4" s="1"/>
  <c r="C87" i="13"/>
  <c r="M543" i="4"/>
  <c r="M548" i="4" s="1"/>
  <c r="T87" i="14"/>
  <c r="P544" i="4"/>
  <c r="P549" i="4" s="1"/>
  <c r="M87" i="15"/>
  <c r="O543" i="4"/>
  <c r="O548" i="4" s="1"/>
  <c r="H87" i="15"/>
  <c r="H543" i="4"/>
  <c r="H548" i="4" s="1"/>
  <c r="P87" i="13"/>
  <c r="L542" i="4"/>
  <c r="L547" i="4" s="1"/>
  <c r="O87" i="14"/>
  <c r="D87" i="12"/>
  <c r="D543" i="4"/>
  <c r="D548" i="4" s="1"/>
  <c r="C87" i="12"/>
  <c r="D542" i="4"/>
  <c r="D547" i="4" s="1"/>
  <c r="K541" i="4"/>
  <c r="K546" i="4" s="1"/>
  <c r="J87" i="14"/>
  <c r="D87" i="13"/>
  <c r="E543" i="4"/>
  <c r="E548" i="4" s="1"/>
  <c r="M544" i="4"/>
  <c r="M549" i="4" s="1"/>
  <c r="U87" i="14"/>
  <c r="J87" i="15"/>
  <c r="P541" i="4"/>
  <c r="P546" i="4" s="1"/>
  <c r="H544" i="4"/>
  <c r="H549" i="4" s="1"/>
  <c r="Q87" i="13"/>
  <c r="K544" i="4"/>
  <c r="K549" i="4" s="1"/>
  <c r="M87" i="14"/>
  <c r="K543" i="4"/>
  <c r="K548" i="4" s="1"/>
  <c r="L87" i="14"/>
  <c r="E544" i="4"/>
  <c r="E549" i="4" s="1"/>
  <c r="E87" i="13"/>
  <c r="P543" i="4"/>
  <c r="P548" i="4" s="1"/>
  <c r="L87" i="15"/>
  <c r="L541" i="4"/>
  <c r="L546" i="4" s="1"/>
  <c r="N87" i="14"/>
  <c r="N87" i="13"/>
  <c r="H541" i="4"/>
  <c r="H546" i="4" s="1"/>
  <c r="I542" i="4"/>
  <c r="I547" i="4" s="1"/>
  <c r="C87" i="14"/>
  <c r="E87" i="14"/>
  <c r="I544" i="4"/>
  <c r="I549" i="4" s="1"/>
  <c r="I541" i="4"/>
  <c r="I546" i="4" s="1"/>
  <c r="B87" i="14"/>
  <c r="I543" i="4"/>
  <c r="I548" i="4" s="1"/>
  <c r="D87" i="14"/>
  <c r="I572" i="4"/>
  <c r="I577" i="4" s="1"/>
  <c r="E88" i="14"/>
  <c r="I571" i="4"/>
  <c r="I576" i="4" s="1"/>
  <c r="D88" i="14"/>
  <c r="I569" i="4"/>
  <c r="I574" i="4" s="1"/>
  <c r="B88" i="14"/>
  <c r="I570" i="4"/>
  <c r="I575" i="4" s="1"/>
  <c r="C88" i="14"/>
  <c r="Q572" i="4"/>
  <c r="Q577" i="4" s="1"/>
  <c r="Q88" i="15"/>
  <c r="Q569" i="4"/>
  <c r="Q574" i="4" s="1"/>
  <c r="N88" i="15"/>
  <c r="Q570" i="4"/>
  <c r="Q575" i="4" s="1"/>
  <c r="O88" i="15"/>
  <c r="Q571" i="4"/>
  <c r="Q576" i="4" s="1"/>
  <c r="P88" i="15"/>
  <c r="Q541" i="4"/>
  <c r="Q546" i="4" s="1"/>
  <c r="N87" i="15"/>
  <c r="Q542" i="4"/>
  <c r="Q547" i="4" s="1"/>
  <c r="O87" i="15"/>
  <c r="Q544" i="4"/>
  <c r="Q549" i="4" s="1"/>
  <c r="Q87" i="15"/>
  <c r="Q543" i="4"/>
  <c r="Q548" i="4" s="1"/>
  <c r="P87" i="15"/>
  <c r="K21" i="14"/>
  <c r="P20" i="14"/>
  <c r="Q20" i="14"/>
  <c r="O20" i="14"/>
  <c r="N183" i="3"/>
  <c r="N184" i="3" s="1"/>
  <c r="N186" i="3" s="1"/>
  <c r="O181" i="3"/>
  <c r="O182" i="3" s="1"/>
  <c r="P180" i="3"/>
  <c r="Q178" i="3"/>
  <c r="N158" i="3"/>
  <c r="N159" i="3" s="1"/>
  <c r="N161" i="3" s="1"/>
  <c r="O156" i="3"/>
  <c r="O157" i="3" s="1"/>
  <c r="P155" i="3"/>
  <c r="Q153" i="3"/>
  <c r="B88" i="12"/>
  <c r="M195" i="3" l="1"/>
  <c r="M199" i="3" s="1"/>
  <c r="M196" i="3"/>
  <c r="M200" i="3" s="1"/>
  <c r="M171" i="3"/>
  <c r="M175" i="3" s="1"/>
  <c r="M170" i="3"/>
  <c r="M174" i="3" s="1"/>
  <c r="S21" i="14"/>
  <c r="J20" i="14"/>
  <c r="T20" i="14"/>
  <c r="N188" i="3"/>
  <c r="N163" i="3"/>
  <c r="J21" i="14"/>
  <c r="N21" i="14"/>
  <c r="N20" i="14"/>
  <c r="O183" i="3"/>
  <c r="O184" i="3" s="1"/>
  <c r="O186" i="3" s="1"/>
  <c r="Q180" i="3"/>
  <c r="R178" i="3"/>
  <c r="P181" i="3"/>
  <c r="P182" i="3" s="1"/>
  <c r="O158" i="3"/>
  <c r="P156" i="3"/>
  <c r="P157" i="3" s="1"/>
  <c r="R153" i="3"/>
  <c r="Q155" i="3"/>
  <c r="V804" i="3"/>
  <c r="V805" i="3" s="1"/>
  <c r="V806" i="3" s="1"/>
  <c r="U804" i="3"/>
  <c r="T804" i="3"/>
  <c r="S804" i="3"/>
  <c r="R804" i="3"/>
  <c r="R805" i="3" s="1"/>
  <c r="Q804" i="3"/>
  <c r="Q805" i="3" s="1"/>
  <c r="Q806" i="3" s="1"/>
  <c r="P804" i="3"/>
  <c r="P805" i="3" s="1"/>
  <c r="P806" i="3" s="1"/>
  <c r="O804" i="3"/>
  <c r="O805" i="3" s="1"/>
  <c r="O806" i="3" s="1"/>
  <c r="N804" i="3"/>
  <c r="N805" i="3" s="1"/>
  <c r="N806" i="3" s="1"/>
  <c r="M804" i="3"/>
  <c r="L804" i="3"/>
  <c r="K804" i="3"/>
  <c r="J804" i="3"/>
  <c r="J805" i="3" s="1"/>
  <c r="I804" i="3"/>
  <c r="I805" i="3" s="1"/>
  <c r="I806" i="3" s="1"/>
  <c r="H804" i="3"/>
  <c r="H805" i="3" s="1"/>
  <c r="H806" i="3" s="1"/>
  <c r="G804" i="3"/>
  <c r="G805" i="3" s="1"/>
  <c r="G806" i="3" s="1"/>
  <c r="F804" i="3"/>
  <c r="F805" i="3" s="1"/>
  <c r="F806" i="3" s="1"/>
  <c r="E804" i="3"/>
  <c r="D804" i="3"/>
  <c r="V779" i="3"/>
  <c r="V780" i="3" s="1"/>
  <c r="U779" i="3"/>
  <c r="T779" i="3"/>
  <c r="S779" i="3"/>
  <c r="S780" i="3" s="1"/>
  <c r="R779" i="3"/>
  <c r="Q779" i="3"/>
  <c r="P779" i="3"/>
  <c r="P780" i="3" s="1"/>
  <c r="P781" i="3" s="1"/>
  <c r="O779" i="3"/>
  <c r="O780" i="3" s="1"/>
  <c r="N779" i="3"/>
  <c r="N780" i="3" s="1"/>
  <c r="M779" i="3"/>
  <c r="L779" i="3"/>
  <c r="K779" i="3"/>
  <c r="J779" i="3"/>
  <c r="I779" i="3"/>
  <c r="I780" i="3" s="1"/>
  <c r="H779" i="3"/>
  <c r="H780" i="3" s="1"/>
  <c r="H781" i="3" s="1"/>
  <c r="G779" i="3"/>
  <c r="G780" i="3" s="1"/>
  <c r="F779" i="3"/>
  <c r="F780" i="3" s="1"/>
  <c r="E779" i="3"/>
  <c r="D779" i="3"/>
  <c r="V754" i="3"/>
  <c r="V755" i="3" s="1"/>
  <c r="U754" i="3"/>
  <c r="T754" i="3"/>
  <c r="S754" i="3"/>
  <c r="S755" i="3" s="1"/>
  <c r="R754" i="3"/>
  <c r="Q754" i="3"/>
  <c r="Q755" i="3" s="1"/>
  <c r="Q756" i="3" s="1"/>
  <c r="P754" i="3"/>
  <c r="P755" i="3" s="1"/>
  <c r="O754" i="3"/>
  <c r="O755" i="3" s="1"/>
  <c r="N754" i="3"/>
  <c r="N755" i="3" s="1"/>
  <c r="M754" i="3"/>
  <c r="M755" i="3" s="1"/>
  <c r="L754" i="3"/>
  <c r="K754" i="3"/>
  <c r="K755" i="3" s="1"/>
  <c r="J754" i="3"/>
  <c r="I754" i="3"/>
  <c r="I755" i="3" s="1"/>
  <c r="I756" i="3" s="1"/>
  <c r="H754" i="3"/>
  <c r="H755" i="3" s="1"/>
  <c r="H756" i="3" s="1"/>
  <c r="G754" i="3"/>
  <c r="G755" i="3" s="1"/>
  <c r="F754" i="3"/>
  <c r="F755" i="3" s="1"/>
  <c r="E754" i="3"/>
  <c r="D754" i="3"/>
  <c r="D604" i="3"/>
  <c r="U311" i="4"/>
  <c r="U312" i="4" s="1"/>
  <c r="S311" i="4"/>
  <c r="N311" i="4"/>
  <c r="D205" i="3"/>
  <c r="D206" i="3" s="1"/>
  <c r="E203" i="3"/>
  <c r="E205" i="3" s="1"/>
  <c r="E206" i="3" s="1"/>
  <c r="V729" i="3"/>
  <c r="V730" i="3" s="1"/>
  <c r="V731" i="3" s="1"/>
  <c r="U729" i="3"/>
  <c r="T729" i="3"/>
  <c r="S729" i="3"/>
  <c r="R729" i="3"/>
  <c r="Q729" i="3"/>
  <c r="Q730" i="3" s="1"/>
  <c r="P729" i="3"/>
  <c r="P730" i="3" s="1"/>
  <c r="O729" i="3"/>
  <c r="O730" i="3" s="1"/>
  <c r="N729" i="3"/>
  <c r="N730" i="3" s="1"/>
  <c r="N731" i="3" s="1"/>
  <c r="M729" i="3"/>
  <c r="L729" i="3"/>
  <c r="K729" i="3"/>
  <c r="J729" i="3"/>
  <c r="I729" i="3"/>
  <c r="H729" i="3"/>
  <c r="H730" i="3" s="1"/>
  <c r="G729" i="3"/>
  <c r="G730" i="3" s="1"/>
  <c r="F729" i="3"/>
  <c r="F730" i="3" s="1"/>
  <c r="F731" i="3" s="1"/>
  <c r="E729" i="3"/>
  <c r="V679" i="3"/>
  <c r="V680" i="3" s="1"/>
  <c r="U679" i="3"/>
  <c r="T679" i="3"/>
  <c r="T680" i="3" s="1"/>
  <c r="S679" i="3"/>
  <c r="S680" i="3" s="1"/>
  <c r="R679" i="3"/>
  <c r="R680" i="3" s="1"/>
  <c r="Q679" i="3"/>
  <c r="P679" i="3"/>
  <c r="P680" i="3" s="1"/>
  <c r="P681" i="3" s="1"/>
  <c r="O679" i="3"/>
  <c r="O680" i="3" s="1"/>
  <c r="N679" i="3"/>
  <c r="N680" i="3" s="1"/>
  <c r="M679" i="3"/>
  <c r="L679" i="3"/>
  <c r="L680" i="3" s="1"/>
  <c r="K679" i="3"/>
  <c r="K680" i="3" s="1"/>
  <c r="J679" i="3"/>
  <c r="J680" i="3" s="1"/>
  <c r="I679" i="3"/>
  <c r="H679" i="3"/>
  <c r="H680" i="3" s="1"/>
  <c r="H681" i="3" s="1"/>
  <c r="G679" i="3"/>
  <c r="G680" i="3" s="1"/>
  <c r="F679" i="3"/>
  <c r="F680" i="3" s="1"/>
  <c r="E679" i="3"/>
  <c r="D679" i="3"/>
  <c r="D680" i="3" s="1"/>
  <c r="V654" i="3"/>
  <c r="V655" i="3" s="1"/>
  <c r="V656" i="3" s="1"/>
  <c r="U654" i="3"/>
  <c r="T654" i="3"/>
  <c r="S654" i="3"/>
  <c r="R654" i="3"/>
  <c r="Q654" i="3"/>
  <c r="P654" i="3"/>
  <c r="O654" i="3"/>
  <c r="O655" i="3" s="1"/>
  <c r="O656" i="3" s="1"/>
  <c r="N654" i="3"/>
  <c r="N655" i="3" s="1"/>
  <c r="N656" i="3" s="1"/>
  <c r="M654" i="3"/>
  <c r="L654" i="3"/>
  <c r="K654" i="3"/>
  <c r="J654" i="3"/>
  <c r="J655" i="3" s="1"/>
  <c r="I654" i="3"/>
  <c r="I655" i="3" s="1"/>
  <c r="H654" i="3"/>
  <c r="G654" i="3"/>
  <c r="G655" i="3" s="1"/>
  <c r="G656" i="3" s="1"/>
  <c r="F654" i="3"/>
  <c r="F655" i="3" s="1"/>
  <c r="F656" i="3" s="1"/>
  <c r="E654" i="3"/>
  <c r="E655" i="3" s="1"/>
  <c r="E656" i="3" s="1"/>
  <c r="D654" i="3"/>
  <c r="V629" i="3"/>
  <c r="V630" i="3" s="1"/>
  <c r="V631" i="3" s="1"/>
  <c r="U629" i="3"/>
  <c r="T629" i="3"/>
  <c r="T630" i="3" s="1"/>
  <c r="T631" i="3" s="1"/>
  <c r="S629" i="3"/>
  <c r="R629" i="3"/>
  <c r="Q629" i="3"/>
  <c r="P629" i="3"/>
  <c r="P630" i="3" s="1"/>
  <c r="O629" i="3"/>
  <c r="N629" i="3"/>
  <c r="N630" i="3" s="1"/>
  <c r="N631" i="3" s="1"/>
  <c r="M629" i="3"/>
  <c r="L629" i="3"/>
  <c r="L630" i="3" s="1"/>
  <c r="L631" i="3" s="1"/>
  <c r="K629" i="3"/>
  <c r="J629" i="3"/>
  <c r="I629" i="3"/>
  <c r="I630" i="3" s="1"/>
  <c r="H629" i="3"/>
  <c r="H630" i="3" s="1"/>
  <c r="G629" i="3"/>
  <c r="F629" i="3"/>
  <c r="F630" i="3" s="1"/>
  <c r="F631" i="3" s="1"/>
  <c r="E629" i="3"/>
  <c r="D629" i="3"/>
  <c r="D630" i="3" s="1"/>
  <c r="D631" i="3" s="1"/>
  <c r="V604" i="3"/>
  <c r="V605" i="3" s="1"/>
  <c r="U604" i="3"/>
  <c r="U605" i="3" s="1"/>
  <c r="U606" i="3" s="1"/>
  <c r="T604" i="3"/>
  <c r="S604" i="3"/>
  <c r="S605" i="3" s="1"/>
  <c r="R604" i="3"/>
  <c r="Q604" i="3"/>
  <c r="Q605" i="3" s="1"/>
  <c r="Q606" i="3" s="1"/>
  <c r="P604" i="3"/>
  <c r="O604" i="3"/>
  <c r="O605" i="3" s="1"/>
  <c r="N604" i="3"/>
  <c r="N605" i="3" s="1"/>
  <c r="M604" i="3"/>
  <c r="M605" i="3" s="1"/>
  <c r="M606" i="3" s="1"/>
  <c r="L604" i="3"/>
  <c r="K604" i="3"/>
  <c r="K605" i="3" s="1"/>
  <c r="J604" i="3"/>
  <c r="I604" i="3"/>
  <c r="I605" i="3" s="1"/>
  <c r="I606" i="3" s="1"/>
  <c r="H604" i="3"/>
  <c r="H605" i="3" s="1"/>
  <c r="G604" i="3"/>
  <c r="G605" i="3" s="1"/>
  <c r="F604" i="3"/>
  <c r="F605" i="3" s="1"/>
  <c r="E604" i="3"/>
  <c r="E605" i="3" s="1"/>
  <c r="E606" i="3" s="1"/>
  <c r="V579" i="3"/>
  <c r="U579" i="3"/>
  <c r="U580" i="3" s="1"/>
  <c r="T579" i="3"/>
  <c r="T580" i="3" s="1"/>
  <c r="S579" i="3"/>
  <c r="S580" i="3" s="1"/>
  <c r="R579" i="3"/>
  <c r="R580" i="3" s="1"/>
  <c r="Q579" i="3"/>
  <c r="Q580" i="3" s="1"/>
  <c r="P579" i="3"/>
  <c r="O579" i="3"/>
  <c r="O580" i="3" s="1"/>
  <c r="N579" i="3"/>
  <c r="M579" i="3"/>
  <c r="M580" i="3" s="1"/>
  <c r="L579" i="3"/>
  <c r="L580" i="3" s="1"/>
  <c r="K579" i="3"/>
  <c r="K580" i="3" s="1"/>
  <c r="J579" i="3"/>
  <c r="J580" i="3" s="1"/>
  <c r="I579" i="3"/>
  <c r="I580" i="3" s="1"/>
  <c r="H579" i="3"/>
  <c r="G579" i="3"/>
  <c r="G580" i="3" s="1"/>
  <c r="F579" i="3"/>
  <c r="E579" i="3"/>
  <c r="E580" i="3" s="1"/>
  <c r="D579" i="3"/>
  <c r="D580" i="3" s="1"/>
  <c r="V554" i="3"/>
  <c r="V555" i="3" s="1"/>
  <c r="V556" i="3" s="1"/>
  <c r="U554" i="3"/>
  <c r="T554" i="3"/>
  <c r="S554" i="3"/>
  <c r="R554" i="3"/>
  <c r="Q554" i="3"/>
  <c r="Q555" i="3" s="1"/>
  <c r="P554" i="3"/>
  <c r="P555" i="3" s="1"/>
  <c r="O554" i="3"/>
  <c r="O555" i="3" s="1"/>
  <c r="N554" i="3"/>
  <c r="N555" i="3" s="1"/>
  <c r="N556" i="3" s="1"/>
  <c r="M554" i="3"/>
  <c r="L554" i="3"/>
  <c r="K554" i="3"/>
  <c r="J554" i="3"/>
  <c r="I554" i="3"/>
  <c r="H554" i="3"/>
  <c r="H555" i="3" s="1"/>
  <c r="G554" i="3"/>
  <c r="G555" i="3" s="1"/>
  <c r="F554" i="3"/>
  <c r="F555" i="3" s="1"/>
  <c r="F556" i="3" s="1"/>
  <c r="E554" i="3"/>
  <c r="D554" i="3"/>
  <c r="V529" i="3"/>
  <c r="V530" i="3" s="1"/>
  <c r="V531" i="3" s="1"/>
  <c r="U529" i="3"/>
  <c r="T529" i="3"/>
  <c r="S529" i="3"/>
  <c r="R529" i="3"/>
  <c r="Q529" i="3"/>
  <c r="P529" i="3"/>
  <c r="P530" i="3" s="1"/>
  <c r="P531" i="3" s="1"/>
  <c r="O529" i="3"/>
  <c r="O530" i="3" s="1"/>
  <c r="N529" i="3"/>
  <c r="N530" i="3" s="1"/>
  <c r="N531" i="3" s="1"/>
  <c r="M529" i="3"/>
  <c r="L529" i="3"/>
  <c r="K529" i="3"/>
  <c r="K530" i="3" s="1"/>
  <c r="J529" i="3"/>
  <c r="I529" i="3"/>
  <c r="I530" i="3" s="1"/>
  <c r="H529" i="3"/>
  <c r="H530" i="3" s="1"/>
  <c r="H531" i="3" s="1"/>
  <c r="G529" i="3"/>
  <c r="F529" i="3"/>
  <c r="F530" i="3" s="1"/>
  <c r="F531" i="3" s="1"/>
  <c r="E529" i="3"/>
  <c r="D529" i="3"/>
  <c r="V504" i="3"/>
  <c r="V505" i="3" s="1"/>
  <c r="V506" i="3" s="1"/>
  <c r="U504" i="3"/>
  <c r="T504" i="3"/>
  <c r="S504" i="3"/>
  <c r="R504" i="3"/>
  <c r="Q504" i="3"/>
  <c r="P504" i="3"/>
  <c r="P505" i="3" s="1"/>
  <c r="O504" i="3"/>
  <c r="O505" i="3" s="1"/>
  <c r="O506" i="3" s="1"/>
  <c r="N504" i="3"/>
  <c r="N505" i="3" s="1"/>
  <c r="N506" i="3" s="1"/>
  <c r="M504" i="3"/>
  <c r="L504" i="3"/>
  <c r="K504" i="3"/>
  <c r="J504" i="3"/>
  <c r="J505" i="3" s="1"/>
  <c r="I504" i="3"/>
  <c r="I505" i="3" s="1"/>
  <c r="H504" i="3"/>
  <c r="H505" i="3" s="1"/>
  <c r="G504" i="3"/>
  <c r="G505" i="3" s="1"/>
  <c r="G506" i="3" s="1"/>
  <c r="F504" i="3"/>
  <c r="F505" i="3" s="1"/>
  <c r="F506" i="3" s="1"/>
  <c r="E504" i="3"/>
  <c r="D504" i="3"/>
  <c r="V479" i="3"/>
  <c r="V480" i="3" s="1"/>
  <c r="V481" i="3" s="1"/>
  <c r="U479" i="3"/>
  <c r="T479" i="3"/>
  <c r="S479" i="3"/>
  <c r="R479" i="3"/>
  <c r="Q479" i="3"/>
  <c r="P479" i="3"/>
  <c r="P480" i="3" s="1"/>
  <c r="O479" i="3"/>
  <c r="O480" i="3" s="1"/>
  <c r="O481" i="3" s="1"/>
  <c r="N479" i="3"/>
  <c r="N480" i="3" s="1"/>
  <c r="N481" i="3" s="1"/>
  <c r="M479" i="3"/>
  <c r="L479" i="3"/>
  <c r="K479" i="3"/>
  <c r="J479" i="3"/>
  <c r="J480" i="3" s="1"/>
  <c r="I479" i="3"/>
  <c r="I480" i="3" s="1"/>
  <c r="H479" i="3"/>
  <c r="H480" i="3" s="1"/>
  <c r="G479" i="3"/>
  <c r="G480" i="3" s="1"/>
  <c r="G481" i="3" s="1"/>
  <c r="F479" i="3"/>
  <c r="F480" i="3" s="1"/>
  <c r="F481" i="3" s="1"/>
  <c r="E479" i="3"/>
  <c r="D479" i="3"/>
  <c r="V454" i="3"/>
  <c r="V455" i="3" s="1"/>
  <c r="U454" i="3"/>
  <c r="U455" i="3" s="1"/>
  <c r="T454" i="3"/>
  <c r="T455" i="3" s="1"/>
  <c r="T456" i="3" s="1"/>
  <c r="S454" i="3"/>
  <c r="R454" i="3"/>
  <c r="R455" i="3" s="1"/>
  <c r="R456" i="3" s="1"/>
  <c r="Q454" i="3"/>
  <c r="Q455" i="3" s="1"/>
  <c r="Q456" i="3" s="1"/>
  <c r="P454" i="3"/>
  <c r="P455" i="3" s="1"/>
  <c r="P456" i="3" s="1"/>
  <c r="O454" i="3"/>
  <c r="O455" i="3" s="1"/>
  <c r="N454" i="3"/>
  <c r="N455" i="3" s="1"/>
  <c r="M454" i="3"/>
  <c r="M455" i="3" s="1"/>
  <c r="L454" i="3"/>
  <c r="L455" i="3" s="1"/>
  <c r="L456" i="3" s="1"/>
  <c r="K454" i="3"/>
  <c r="J454" i="3"/>
  <c r="J455" i="3" s="1"/>
  <c r="J456" i="3" s="1"/>
  <c r="I454" i="3"/>
  <c r="I455" i="3" s="1"/>
  <c r="I456" i="3" s="1"/>
  <c r="H454" i="3"/>
  <c r="G454" i="3"/>
  <c r="G455" i="3" s="1"/>
  <c r="F454" i="3"/>
  <c r="F455" i="3" s="1"/>
  <c r="E454" i="3"/>
  <c r="D454" i="3"/>
  <c r="D455" i="3" s="1"/>
  <c r="D456" i="3" s="1"/>
  <c r="E429" i="3"/>
  <c r="D429" i="3"/>
  <c r="D430" i="3" s="1"/>
  <c r="D230" i="3"/>
  <c r="D231" i="3" s="1"/>
  <c r="N195" i="3" l="1"/>
  <c r="N199" i="3" s="1"/>
  <c r="N196" i="3"/>
  <c r="N200" i="3" s="1"/>
  <c r="M193" i="3"/>
  <c r="M197" i="3" s="1"/>
  <c r="M194" i="3"/>
  <c r="M198" i="3" s="1"/>
  <c r="N171" i="3"/>
  <c r="N175" i="3" s="1"/>
  <c r="N170" i="3"/>
  <c r="N174" i="3" s="1"/>
  <c r="M168" i="3"/>
  <c r="M172" i="3" s="1"/>
  <c r="M169" i="3"/>
  <c r="M173" i="3" s="1"/>
  <c r="U21" i="14"/>
  <c r="U20" i="14"/>
  <c r="T21" i="14"/>
  <c r="S20" i="14"/>
  <c r="N580" i="3"/>
  <c r="N581" i="3" s="1"/>
  <c r="V580" i="3"/>
  <c r="V581" i="3" s="1"/>
  <c r="P580" i="3"/>
  <c r="P581" i="3" s="1"/>
  <c r="F580" i="3"/>
  <c r="F581" i="3" s="1"/>
  <c r="H580" i="3"/>
  <c r="H581" i="3" s="1"/>
  <c r="O188" i="3"/>
  <c r="R21" i="14"/>
  <c r="K311" i="4"/>
  <c r="K312" i="4" s="1"/>
  <c r="K314" i="4" s="1"/>
  <c r="K316" i="4" s="1"/>
  <c r="P183" i="3"/>
  <c r="P184" i="3" s="1"/>
  <c r="P186" i="3" s="1"/>
  <c r="Q181" i="3"/>
  <c r="Q182" i="3" s="1"/>
  <c r="R180" i="3"/>
  <c r="S178" i="3"/>
  <c r="O159" i="3"/>
  <c r="O161" i="3" s="1"/>
  <c r="O163" i="3" s="1"/>
  <c r="P457" i="3"/>
  <c r="P458" i="3" s="1"/>
  <c r="P460" i="3" s="1"/>
  <c r="P158" i="3"/>
  <c r="Q156" i="3"/>
  <c r="Q157" i="3" s="1"/>
  <c r="S153" i="3"/>
  <c r="R155" i="3"/>
  <c r="H757" i="3"/>
  <c r="H758" i="3" s="1"/>
  <c r="H760" i="3" s="1"/>
  <c r="U755" i="3"/>
  <c r="U756" i="3" s="1"/>
  <c r="D311" i="4"/>
  <c r="D312" i="4" s="1"/>
  <c r="D314" i="4" s="1"/>
  <c r="D316" i="4" s="1"/>
  <c r="F311" i="4"/>
  <c r="F312" i="4" s="1"/>
  <c r="F314" i="4" s="1"/>
  <c r="F316" i="4" s="1"/>
  <c r="T311" i="4"/>
  <c r="K805" i="3"/>
  <c r="K806" i="3" s="1"/>
  <c r="S805" i="3"/>
  <c r="S806" i="3" s="1"/>
  <c r="E755" i="3"/>
  <c r="E756" i="3" s="1"/>
  <c r="S781" i="3"/>
  <c r="M756" i="3"/>
  <c r="K756" i="3"/>
  <c r="S756" i="3"/>
  <c r="P756" i="3"/>
  <c r="K780" i="3"/>
  <c r="K781" i="3" s="1"/>
  <c r="I781" i="3"/>
  <c r="Q780" i="3"/>
  <c r="Q781" i="3" s="1"/>
  <c r="J806" i="3"/>
  <c r="R806" i="3"/>
  <c r="F807" i="3"/>
  <c r="F808" i="3" s="1"/>
  <c r="N807" i="3"/>
  <c r="N808" i="3" s="1"/>
  <c r="V807" i="3"/>
  <c r="V808" i="3" s="1"/>
  <c r="G807" i="3"/>
  <c r="G808" i="3" s="1"/>
  <c r="H807" i="3"/>
  <c r="H808" i="3" s="1"/>
  <c r="P807" i="3"/>
  <c r="P808" i="3" s="1"/>
  <c r="I807" i="3"/>
  <c r="I808" i="3" s="1"/>
  <c r="O807" i="3"/>
  <c r="O808" i="3" s="1"/>
  <c r="Q807" i="3"/>
  <c r="Q808" i="3" s="1"/>
  <c r="D805" i="3"/>
  <c r="D806" i="3" s="1"/>
  <c r="L805" i="3"/>
  <c r="L806" i="3" s="1"/>
  <c r="T805" i="3"/>
  <c r="T806" i="3" s="1"/>
  <c r="E805" i="3"/>
  <c r="E806" i="3" s="1"/>
  <c r="M805" i="3"/>
  <c r="M806" i="3" s="1"/>
  <c r="U805" i="3"/>
  <c r="U806" i="3" s="1"/>
  <c r="H782" i="3"/>
  <c r="H783" i="3" s="1"/>
  <c r="P782" i="3"/>
  <c r="P783" i="3" s="1"/>
  <c r="F781" i="3"/>
  <c r="N781" i="3"/>
  <c r="V781" i="3"/>
  <c r="J780" i="3"/>
  <c r="J781" i="3" s="1"/>
  <c r="R780" i="3"/>
  <c r="R781" i="3" s="1"/>
  <c r="G781" i="3"/>
  <c r="O781" i="3"/>
  <c r="D780" i="3"/>
  <c r="D781" i="3" s="1"/>
  <c r="L780" i="3"/>
  <c r="L781" i="3" s="1"/>
  <c r="T780" i="3"/>
  <c r="T781" i="3" s="1"/>
  <c r="E780" i="3"/>
  <c r="E781" i="3" s="1"/>
  <c r="M780" i="3"/>
  <c r="M781" i="3" s="1"/>
  <c r="U780" i="3"/>
  <c r="U781" i="3" s="1"/>
  <c r="I757" i="3"/>
  <c r="I758" i="3" s="1"/>
  <c r="I760" i="3" s="1"/>
  <c r="I762" i="3" s="1"/>
  <c r="Q757" i="3"/>
  <c r="Q758" i="3" s="1"/>
  <c r="Q760" i="3" s="1"/>
  <c r="F756" i="3"/>
  <c r="N756" i="3"/>
  <c r="V756" i="3"/>
  <c r="J755" i="3"/>
  <c r="J756" i="3" s="1"/>
  <c r="R755" i="3"/>
  <c r="R756" i="3" s="1"/>
  <c r="G756" i="3"/>
  <c r="O756" i="3"/>
  <c r="D755" i="3"/>
  <c r="D756" i="3" s="1"/>
  <c r="L755" i="3"/>
  <c r="L756" i="3" s="1"/>
  <c r="T755" i="3"/>
  <c r="T756" i="3" s="1"/>
  <c r="F203" i="3"/>
  <c r="F205" i="3" s="1"/>
  <c r="F206" i="3" s="1"/>
  <c r="F207" i="3" s="1"/>
  <c r="E207" i="3"/>
  <c r="P605" i="3"/>
  <c r="P606" i="3" s="1"/>
  <c r="H455" i="3"/>
  <c r="H456" i="3" s="1"/>
  <c r="V311" i="4"/>
  <c r="U314" i="4"/>
  <c r="U316" i="4" s="1"/>
  <c r="S312" i="4"/>
  <c r="S314" i="4" s="1"/>
  <c r="S316" i="4" s="1"/>
  <c r="I311" i="4"/>
  <c r="I312" i="4" s="1"/>
  <c r="I314" i="4" s="1"/>
  <c r="I316" i="4" s="1"/>
  <c r="J311" i="4"/>
  <c r="J312" i="4" s="1"/>
  <c r="J314" i="4" s="1"/>
  <c r="J316" i="4" s="1"/>
  <c r="R311" i="4"/>
  <c r="R312" i="4" s="1"/>
  <c r="R314" i="4" s="1"/>
  <c r="R316" i="4" s="1"/>
  <c r="L311" i="4"/>
  <c r="L312" i="4" s="1"/>
  <c r="L314" i="4" s="1"/>
  <c r="L316" i="4" s="1"/>
  <c r="E311" i="4"/>
  <c r="E312" i="4" s="1"/>
  <c r="E314" i="4" s="1"/>
  <c r="E316" i="4" s="1"/>
  <c r="M311" i="4"/>
  <c r="M312" i="4" s="1"/>
  <c r="M314" i="4" s="1"/>
  <c r="M316" i="4" s="1"/>
  <c r="N312" i="4"/>
  <c r="N314" i="4" s="1"/>
  <c r="N316" i="4" s="1"/>
  <c r="Q311" i="4"/>
  <c r="Q312" i="4" s="1"/>
  <c r="Q314" i="4" s="1"/>
  <c r="Q316" i="4" s="1"/>
  <c r="G311" i="4"/>
  <c r="G312" i="4" s="1"/>
  <c r="G314" i="4" s="1"/>
  <c r="G316" i="4" s="1"/>
  <c r="O311" i="4"/>
  <c r="O312" i="4" s="1"/>
  <c r="O314" i="4" s="1"/>
  <c r="O316" i="4" s="1"/>
  <c r="H311" i="4"/>
  <c r="H312" i="4" s="1"/>
  <c r="H314" i="4" s="1"/>
  <c r="H316" i="4" s="1"/>
  <c r="P311" i="4"/>
  <c r="P312" i="4" s="1"/>
  <c r="P314" i="4" s="1"/>
  <c r="P316" i="4" s="1"/>
  <c r="K581" i="3"/>
  <c r="S581" i="3"/>
  <c r="I680" i="3"/>
  <c r="I681" i="3" s="1"/>
  <c r="I682" i="3" s="1"/>
  <c r="Q680" i="3"/>
  <c r="Q681" i="3" s="1"/>
  <c r="I555" i="3"/>
  <c r="I556" i="3" s="1"/>
  <c r="Q556" i="3"/>
  <c r="H655" i="3"/>
  <c r="H656" i="3" s="1"/>
  <c r="P655" i="3"/>
  <c r="P656" i="3" s="1"/>
  <c r="I656" i="3"/>
  <c r="Q655" i="3"/>
  <c r="Q656" i="3" s="1"/>
  <c r="K455" i="3"/>
  <c r="K456" i="3" s="1"/>
  <c r="S455" i="3"/>
  <c r="S456" i="3" s="1"/>
  <c r="O630" i="3"/>
  <c r="O631" i="3" s="1"/>
  <c r="G630" i="3"/>
  <c r="G631" i="3" s="1"/>
  <c r="M456" i="3"/>
  <c r="I531" i="3"/>
  <c r="J656" i="3"/>
  <c r="R655" i="3"/>
  <c r="R656" i="3" s="1"/>
  <c r="E455" i="3"/>
  <c r="E456" i="3" s="1"/>
  <c r="I506" i="3"/>
  <c r="Q505" i="3"/>
  <c r="Q506" i="3" s="1"/>
  <c r="Q530" i="3"/>
  <c r="Q531" i="3" s="1"/>
  <c r="I631" i="3"/>
  <c r="Q630" i="3"/>
  <c r="Q631" i="3" s="1"/>
  <c r="I730" i="3"/>
  <c r="I731" i="3" s="1"/>
  <c r="Q731" i="3"/>
  <c r="J506" i="3"/>
  <c r="R505" i="3"/>
  <c r="R506" i="3" s="1"/>
  <c r="K531" i="3"/>
  <c r="S530" i="3"/>
  <c r="S531" i="3" s="1"/>
  <c r="I481" i="3"/>
  <c r="Q480" i="3"/>
  <c r="Q481" i="3" s="1"/>
  <c r="U456" i="3"/>
  <c r="K606" i="3"/>
  <c r="S606" i="3"/>
  <c r="D207" i="3"/>
  <c r="J581" i="3"/>
  <c r="R581" i="3"/>
  <c r="O531" i="3"/>
  <c r="G530" i="3"/>
  <c r="G531" i="3" s="1"/>
  <c r="Q581" i="3"/>
  <c r="J481" i="3"/>
  <c r="R480" i="3"/>
  <c r="R481" i="3" s="1"/>
  <c r="H606" i="3"/>
  <c r="J681" i="3"/>
  <c r="R681" i="3"/>
  <c r="I581" i="3"/>
  <c r="K681" i="3"/>
  <c r="K682" i="3" s="1"/>
  <c r="K683" i="3" s="1"/>
  <c r="K685" i="3" s="1"/>
  <c r="K687" i="3" s="1"/>
  <c r="S681" i="3"/>
  <c r="D681" i="3"/>
  <c r="L681" i="3"/>
  <c r="L682" i="3" s="1"/>
  <c r="L683" i="3" s="1"/>
  <c r="L685" i="3" s="1"/>
  <c r="L687" i="3" s="1"/>
  <c r="T681" i="3"/>
  <c r="F732" i="3"/>
  <c r="F733" i="3" s="1"/>
  <c r="F735" i="3" s="1"/>
  <c r="F737" i="3" s="1"/>
  <c r="N732" i="3"/>
  <c r="N733" i="3" s="1"/>
  <c r="N735" i="3" s="1"/>
  <c r="N737" i="3" s="1"/>
  <c r="V732" i="3"/>
  <c r="V733" i="3" s="1"/>
  <c r="V735" i="3" s="1"/>
  <c r="V737" i="3" s="1"/>
  <c r="J730" i="3"/>
  <c r="J731" i="3" s="1"/>
  <c r="R730" i="3"/>
  <c r="R731" i="3" s="1"/>
  <c r="G731" i="3"/>
  <c r="O731" i="3"/>
  <c r="K730" i="3"/>
  <c r="K731" i="3" s="1"/>
  <c r="S730" i="3"/>
  <c r="S731" i="3" s="1"/>
  <c r="H731" i="3"/>
  <c r="P731" i="3"/>
  <c r="D730" i="3"/>
  <c r="D731" i="3" s="1"/>
  <c r="L730" i="3"/>
  <c r="L731" i="3" s="1"/>
  <c r="T730" i="3"/>
  <c r="T731" i="3" s="1"/>
  <c r="E730" i="3"/>
  <c r="E731" i="3" s="1"/>
  <c r="M730" i="3"/>
  <c r="M731" i="3" s="1"/>
  <c r="U730" i="3"/>
  <c r="U731" i="3" s="1"/>
  <c r="H682" i="3"/>
  <c r="H683" i="3" s="1"/>
  <c r="H685" i="3" s="1"/>
  <c r="H687" i="3" s="1"/>
  <c r="P682" i="3"/>
  <c r="P683" i="3" s="1"/>
  <c r="P685" i="3" s="1"/>
  <c r="P687" i="3" s="1"/>
  <c r="F681" i="3"/>
  <c r="N681" i="3"/>
  <c r="V681" i="3"/>
  <c r="G681" i="3"/>
  <c r="O681" i="3"/>
  <c r="E680" i="3"/>
  <c r="E681" i="3" s="1"/>
  <c r="M680" i="3"/>
  <c r="M681" i="3" s="1"/>
  <c r="U680" i="3"/>
  <c r="U681" i="3" s="1"/>
  <c r="E657" i="3"/>
  <c r="E658" i="3" s="1"/>
  <c r="E660" i="3" s="1"/>
  <c r="G657" i="3"/>
  <c r="G658" i="3" s="1"/>
  <c r="G660" i="3" s="1"/>
  <c r="O657" i="3"/>
  <c r="O658" i="3" s="1"/>
  <c r="O660" i="3" s="1"/>
  <c r="V657" i="3"/>
  <c r="V658" i="3" s="1"/>
  <c r="V660" i="3" s="1"/>
  <c r="N657" i="3"/>
  <c r="N658" i="3" s="1"/>
  <c r="N660" i="3" s="1"/>
  <c r="F657" i="3"/>
  <c r="F658" i="3" s="1"/>
  <c r="F660" i="3" s="1"/>
  <c r="K655" i="3"/>
  <c r="K656" i="3" s="1"/>
  <c r="S655" i="3"/>
  <c r="S656" i="3" s="1"/>
  <c r="D655" i="3"/>
  <c r="D656" i="3" s="1"/>
  <c r="L655" i="3"/>
  <c r="L656" i="3" s="1"/>
  <c r="T655" i="3"/>
  <c r="T656" i="3" s="1"/>
  <c r="M655" i="3"/>
  <c r="M656" i="3" s="1"/>
  <c r="U655" i="3"/>
  <c r="U656" i="3" s="1"/>
  <c r="D632" i="3"/>
  <c r="D633" i="3" s="1"/>
  <c r="D635" i="3" s="1"/>
  <c r="L632" i="3"/>
  <c r="L633" i="3" s="1"/>
  <c r="L635" i="3" s="1"/>
  <c r="T632" i="3"/>
  <c r="T633" i="3" s="1"/>
  <c r="T635" i="3" s="1"/>
  <c r="F632" i="3"/>
  <c r="F633" i="3" s="1"/>
  <c r="F635" i="3" s="1"/>
  <c r="N632" i="3"/>
  <c r="N633" i="3" s="1"/>
  <c r="N635" i="3" s="1"/>
  <c r="V632" i="3"/>
  <c r="V633" i="3" s="1"/>
  <c r="V635" i="3" s="1"/>
  <c r="J630" i="3"/>
  <c r="J631" i="3" s="1"/>
  <c r="R630" i="3"/>
  <c r="R631" i="3" s="1"/>
  <c r="K630" i="3"/>
  <c r="K631" i="3" s="1"/>
  <c r="S630" i="3"/>
  <c r="S631" i="3" s="1"/>
  <c r="H631" i="3"/>
  <c r="P631" i="3"/>
  <c r="E630" i="3"/>
  <c r="E631" i="3" s="1"/>
  <c r="M630" i="3"/>
  <c r="M631" i="3" s="1"/>
  <c r="U630" i="3"/>
  <c r="U631" i="3" s="1"/>
  <c r="Q607" i="3"/>
  <c r="Q608" i="3" s="1"/>
  <c r="Q610" i="3" s="1"/>
  <c r="I607" i="3"/>
  <c r="I608" i="3" s="1"/>
  <c r="I610" i="3" s="1"/>
  <c r="E607" i="3"/>
  <c r="E608" i="3" s="1"/>
  <c r="E610" i="3" s="1"/>
  <c r="M607" i="3"/>
  <c r="M608" i="3" s="1"/>
  <c r="M610" i="3" s="1"/>
  <c r="U607" i="3"/>
  <c r="U608" i="3" s="1"/>
  <c r="U610" i="3" s="1"/>
  <c r="F606" i="3"/>
  <c r="N606" i="3"/>
  <c r="V606" i="3"/>
  <c r="J605" i="3"/>
  <c r="J606" i="3" s="1"/>
  <c r="R605" i="3"/>
  <c r="R606" i="3" s="1"/>
  <c r="G606" i="3"/>
  <c r="O606" i="3"/>
  <c r="D605" i="3"/>
  <c r="D606" i="3" s="1"/>
  <c r="L605" i="3"/>
  <c r="L606" i="3" s="1"/>
  <c r="T605" i="3"/>
  <c r="T606" i="3" s="1"/>
  <c r="G581" i="3"/>
  <c r="O581" i="3"/>
  <c r="D581" i="3"/>
  <c r="L581" i="3"/>
  <c r="T581" i="3"/>
  <c r="E581" i="3"/>
  <c r="M581" i="3"/>
  <c r="U581" i="3"/>
  <c r="V557" i="3"/>
  <c r="V558" i="3" s="1"/>
  <c r="V560" i="3" s="1"/>
  <c r="F557" i="3"/>
  <c r="F558" i="3" s="1"/>
  <c r="F560" i="3" s="1"/>
  <c r="N557" i="3"/>
  <c r="N558" i="3" s="1"/>
  <c r="N560" i="3" s="1"/>
  <c r="J555" i="3"/>
  <c r="J556" i="3" s="1"/>
  <c r="R555" i="3"/>
  <c r="R556" i="3" s="1"/>
  <c r="G556" i="3"/>
  <c r="O556" i="3"/>
  <c r="K555" i="3"/>
  <c r="K556" i="3" s="1"/>
  <c r="S555" i="3"/>
  <c r="S556" i="3" s="1"/>
  <c r="H556" i="3"/>
  <c r="P556" i="3"/>
  <c r="D555" i="3"/>
  <c r="D556" i="3" s="1"/>
  <c r="L555" i="3"/>
  <c r="L556" i="3" s="1"/>
  <c r="T555" i="3"/>
  <c r="T556" i="3" s="1"/>
  <c r="E555" i="3"/>
  <c r="E556" i="3" s="1"/>
  <c r="M555" i="3"/>
  <c r="M556" i="3" s="1"/>
  <c r="U555" i="3"/>
  <c r="U556" i="3" s="1"/>
  <c r="V532" i="3"/>
  <c r="V533" i="3" s="1"/>
  <c r="V535" i="3" s="1"/>
  <c r="H532" i="3"/>
  <c r="H533" i="3" s="1"/>
  <c r="H535" i="3" s="1"/>
  <c r="P532" i="3"/>
  <c r="P533" i="3" s="1"/>
  <c r="P535" i="3" s="1"/>
  <c r="F532" i="3"/>
  <c r="F533" i="3" s="1"/>
  <c r="F535" i="3" s="1"/>
  <c r="N532" i="3"/>
  <c r="N533" i="3" s="1"/>
  <c r="N535" i="3" s="1"/>
  <c r="J530" i="3"/>
  <c r="J531" i="3" s="1"/>
  <c r="R530" i="3"/>
  <c r="R531" i="3" s="1"/>
  <c r="D530" i="3"/>
  <c r="D531" i="3" s="1"/>
  <c r="L530" i="3"/>
  <c r="L531" i="3" s="1"/>
  <c r="T530" i="3"/>
  <c r="T531" i="3" s="1"/>
  <c r="E530" i="3"/>
  <c r="E531" i="3" s="1"/>
  <c r="M530" i="3"/>
  <c r="M531" i="3" s="1"/>
  <c r="U530" i="3"/>
  <c r="U531" i="3" s="1"/>
  <c r="F507" i="3"/>
  <c r="F508" i="3" s="1"/>
  <c r="F510" i="3" s="1"/>
  <c r="N507" i="3"/>
  <c r="N508" i="3" s="1"/>
  <c r="N510" i="3" s="1"/>
  <c r="V507" i="3"/>
  <c r="V508" i="3" s="1"/>
  <c r="V510" i="3" s="1"/>
  <c r="G507" i="3"/>
  <c r="G508" i="3" s="1"/>
  <c r="G510" i="3" s="1"/>
  <c r="O507" i="3"/>
  <c r="O508" i="3" s="1"/>
  <c r="O510" i="3" s="1"/>
  <c r="K505" i="3"/>
  <c r="K506" i="3" s="1"/>
  <c r="S505" i="3"/>
  <c r="S506" i="3" s="1"/>
  <c r="H506" i="3"/>
  <c r="P506" i="3"/>
  <c r="D505" i="3"/>
  <c r="D506" i="3" s="1"/>
  <c r="L505" i="3"/>
  <c r="L506" i="3" s="1"/>
  <c r="T505" i="3"/>
  <c r="T506" i="3" s="1"/>
  <c r="E505" i="3"/>
  <c r="E506" i="3" s="1"/>
  <c r="M505" i="3"/>
  <c r="M506" i="3" s="1"/>
  <c r="U505" i="3"/>
  <c r="U506" i="3" s="1"/>
  <c r="F482" i="3"/>
  <c r="F483" i="3" s="1"/>
  <c r="F485" i="3" s="1"/>
  <c r="N482" i="3"/>
  <c r="N483" i="3" s="1"/>
  <c r="N485" i="3" s="1"/>
  <c r="V482" i="3"/>
  <c r="V483" i="3" s="1"/>
  <c r="V485" i="3" s="1"/>
  <c r="G482" i="3"/>
  <c r="G483" i="3" s="1"/>
  <c r="G485" i="3" s="1"/>
  <c r="O482" i="3"/>
  <c r="O483" i="3" s="1"/>
  <c r="O485" i="3" s="1"/>
  <c r="K480" i="3"/>
  <c r="K481" i="3" s="1"/>
  <c r="S480" i="3"/>
  <c r="S481" i="3" s="1"/>
  <c r="H481" i="3"/>
  <c r="P481" i="3"/>
  <c r="D480" i="3"/>
  <c r="D481" i="3" s="1"/>
  <c r="L480" i="3"/>
  <c r="L481" i="3" s="1"/>
  <c r="T480" i="3"/>
  <c r="T481" i="3" s="1"/>
  <c r="E480" i="3"/>
  <c r="E481" i="3" s="1"/>
  <c r="M480" i="3"/>
  <c r="M481" i="3" s="1"/>
  <c r="U480" i="3"/>
  <c r="U481" i="3" s="1"/>
  <c r="I457" i="3"/>
  <c r="I458" i="3" s="1"/>
  <c r="I460" i="3" s="1"/>
  <c r="Q457" i="3"/>
  <c r="Q458" i="3" s="1"/>
  <c r="Q460" i="3" s="1"/>
  <c r="J457" i="3"/>
  <c r="J458" i="3" s="1"/>
  <c r="J460" i="3" s="1"/>
  <c r="R457" i="3"/>
  <c r="R458" i="3" s="1"/>
  <c r="R460" i="3" s="1"/>
  <c r="L457" i="3"/>
  <c r="L458" i="3" s="1"/>
  <c r="L460" i="3" s="1"/>
  <c r="L462" i="3" s="1"/>
  <c r="D457" i="3"/>
  <c r="D458" i="3" s="1"/>
  <c r="D460" i="3" s="1"/>
  <c r="D462" i="3" s="1"/>
  <c r="T457" i="3"/>
  <c r="T458" i="3" s="1"/>
  <c r="T460" i="3" s="1"/>
  <c r="F456" i="3"/>
  <c r="N456" i="3"/>
  <c r="V456" i="3"/>
  <c r="G456" i="3"/>
  <c r="O456" i="3"/>
  <c r="D431" i="3"/>
  <c r="F429" i="3"/>
  <c r="E430" i="3"/>
  <c r="E431" i="3" s="1"/>
  <c r="P474" i="4"/>
  <c r="P475" i="4" s="1"/>
  <c r="P447" i="4"/>
  <c r="P448" i="4" s="1"/>
  <c r="P450" i="4" s="1"/>
  <c r="U391" i="4"/>
  <c r="U392" i="4" s="1"/>
  <c r="V363" i="4"/>
  <c r="V364" i="4" s="1"/>
  <c r="U363" i="4"/>
  <c r="U364" i="4" s="1"/>
  <c r="V283" i="4"/>
  <c r="V284" i="4" s="1"/>
  <c r="V255" i="4"/>
  <c r="V256" i="4" s="1"/>
  <c r="U255" i="4"/>
  <c r="U256" i="4" s="1"/>
  <c r="U227" i="4"/>
  <c r="U228" i="4" s="1"/>
  <c r="V89" i="4"/>
  <c r="V90" i="4" s="1"/>
  <c r="V745" i="3" l="1"/>
  <c r="V749" i="3" s="1"/>
  <c r="V744" i="3"/>
  <c r="V748" i="3" s="1"/>
  <c r="V742" i="3"/>
  <c r="V746" i="3" s="1"/>
  <c r="V743" i="3"/>
  <c r="V747" i="3" s="1"/>
  <c r="I767" i="3"/>
  <c r="I771" i="3" s="1"/>
  <c r="I768" i="3"/>
  <c r="I772" i="3" s="1"/>
  <c r="I769" i="3"/>
  <c r="I773" i="3" s="1"/>
  <c r="I770" i="3"/>
  <c r="I774" i="3" s="1"/>
  <c r="N744" i="3"/>
  <c r="N748" i="3" s="1"/>
  <c r="N745" i="3"/>
  <c r="N749" i="3" s="1"/>
  <c r="F745" i="3"/>
  <c r="F749" i="3" s="1"/>
  <c r="F744" i="3"/>
  <c r="F748" i="3" s="1"/>
  <c r="D470" i="3"/>
  <c r="D474" i="3" s="1"/>
  <c r="D469" i="3"/>
  <c r="D473" i="3" s="1"/>
  <c r="L470" i="3"/>
  <c r="L474" i="3" s="1"/>
  <c r="L469" i="3"/>
  <c r="L473" i="3" s="1"/>
  <c r="O195" i="3"/>
  <c r="O199" i="3" s="1"/>
  <c r="O196" i="3"/>
  <c r="O200" i="3" s="1"/>
  <c r="N193" i="3"/>
  <c r="N197" i="3" s="1"/>
  <c r="N194" i="3"/>
  <c r="N198" i="3" s="1"/>
  <c r="R20" i="14"/>
  <c r="N168" i="3"/>
  <c r="N172" i="3" s="1"/>
  <c r="N169" i="3"/>
  <c r="N173" i="3" s="1"/>
  <c r="O171" i="3"/>
  <c r="O175" i="3" s="1"/>
  <c r="O170" i="3"/>
  <c r="O174" i="3" s="1"/>
  <c r="D20" i="15"/>
  <c r="P39" i="14"/>
  <c r="Q39" i="14"/>
  <c r="E21" i="15"/>
  <c r="E20" i="15"/>
  <c r="I21" i="15"/>
  <c r="C20" i="15"/>
  <c r="D21" i="15"/>
  <c r="C21" i="15"/>
  <c r="N562" i="3"/>
  <c r="F637" i="3"/>
  <c r="I462" i="3"/>
  <c r="V487" i="3"/>
  <c r="N487" i="3"/>
  <c r="O512" i="3"/>
  <c r="D637" i="3"/>
  <c r="G662" i="3"/>
  <c r="G487" i="3"/>
  <c r="V662" i="3"/>
  <c r="O662" i="3"/>
  <c r="F537" i="3"/>
  <c r="N512" i="3"/>
  <c r="P462" i="3"/>
  <c r="F487" i="3"/>
  <c r="H762" i="3"/>
  <c r="T462" i="3"/>
  <c r="F512" i="3"/>
  <c r="H537" i="3"/>
  <c r="I612" i="3"/>
  <c r="O487" i="3"/>
  <c r="E662" i="3"/>
  <c r="J23" i="17"/>
  <c r="Q762" i="3"/>
  <c r="V537" i="3"/>
  <c r="U612" i="3"/>
  <c r="J462" i="3"/>
  <c r="N637" i="3"/>
  <c r="Q612" i="3"/>
  <c r="V562" i="3"/>
  <c r="T637" i="3"/>
  <c r="N537" i="3"/>
  <c r="V512" i="3"/>
  <c r="P537" i="3"/>
  <c r="M612" i="3"/>
  <c r="F662" i="3"/>
  <c r="Q462" i="3"/>
  <c r="F562" i="3"/>
  <c r="N662" i="3"/>
  <c r="L637" i="3"/>
  <c r="G512" i="3"/>
  <c r="R462" i="3"/>
  <c r="E612" i="3"/>
  <c r="V637" i="3"/>
  <c r="F582" i="3"/>
  <c r="F583" i="3" s="1"/>
  <c r="F585" i="3" s="1"/>
  <c r="H582" i="3"/>
  <c r="H583" i="3" s="1"/>
  <c r="H585" i="3" s="1"/>
  <c r="P582" i="3"/>
  <c r="P583" i="3" s="1"/>
  <c r="P585" i="3" s="1"/>
  <c r="V582" i="3"/>
  <c r="V583" i="3" s="1"/>
  <c r="V585" i="3" s="1"/>
  <c r="N582" i="3"/>
  <c r="N583" i="3" s="1"/>
  <c r="N585" i="3" s="1"/>
  <c r="P188" i="3"/>
  <c r="V312" i="4"/>
  <c r="V314" i="4" s="1"/>
  <c r="V316" i="4" s="1"/>
  <c r="T419" i="4"/>
  <c r="T420" i="4" s="1"/>
  <c r="T474" i="4"/>
  <c r="T475" i="4" s="1"/>
  <c r="T447" i="4"/>
  <c r="T448" i="4" s="1"/>
  <c r="T450" i="4" s="1"/>
  <c r="T312" i="4"/>
  <c r="T314" i="4" s="1"/>
  <c r="T316" i="4" s="1"/>
  <c r="V502" i="4"/>
  <c r="V503" i="4" s="1"/>
  <c r="V810" i="3"/>
  <c r="V812" i="3" s="1"/>
  <c r="S807" i="3"/>
  <c r="S808" i="3" s="1"/>
  <c r="R807" i="3"/>
  <c r="R808" i="3" s="1"/>
  <c r="S782" i="3"/>
  <c r="S783" i="3" s="1"/>
  <c r="Q810" i="3"/>
  <c r="Q812" i="3" s="1"/>
  <c r="P810" i="3"/>
  <c r="P812" i="3" s="1"/>
  <c r="O810" i="3"/>
  <c r="O812" i="3" s="1"/>
  <c r="N810" i="3"/>
  <c r="N812" i="3" s="1"/>
  <c r="Q782" i="3"/>
  <c r="Q783" i="3" s="1"/>
  <c r="P785" i="3"/>
  <c r="J807" i="3"/>
  <c r="J808" i="3" s="1"/>
  <c r="I810" i="3"/>
  <c r="I812" i="3" s="1"/>
  <c r="K782" i="3"/>
  <c r="K783" i="3" s="1"/>
  <c r="I782" i="3"/>
  <c r="I783" i="3" s="1"/>
  <c r="F810" i="3"/>
  <c r="F812" i="3" s="1"/>
  <c r="H810" i="3"/>
  <c r="H812" i="3" s="1"/>
  <c r="G810" i="3"/>
  <c r="G812" i="3" s="1"/>
  <c r="H785" i="3"/>
  <c r="Q183" i="3"/>
  <c r="Q184" i="3" s="1"/>
  <c r="Q186" i="3" s="1"/>
  <c r="S180" i="3"/>
  <c r="T178" i="3"/>
  <c r="R181" i="3"/>
  <c r="R182" i="3" s="1"/>
  <c r="S457" i="3"/>
  <c r="S458" i="3" s="1"/>
  <c r="S460" i="3" s="1"/>
  <c r="S682" i="3"/>
  <c r="S683" i="3" s="1"/>
  <c r="S685" i="3" s="1"/>
  <c r="S687" i="3" s="1"/>
  <c r="O632" i="3"/>
  <c r="O633" i="3" s="1"/>
  <c r="O635" i="3" s="1"/>
  <c r="P657" i="3"/>
  <c r="P658" i="3" s="1"/>
  <c r="P660" i="3" s="1"/>
  <c r="O532" i="3"/>
  <c r="O533" i="3" s="1"/>
  <c r="O535" i="3" s="1"/>
  <c r="S532" i="3"/>
  <c r="S533" i="3" s="1"/>
  <c r="S535" i="3" s="1"/>
  <c r="Q158" i="3"/>
  <c r="R156" i="3"/>
  <c r="R157" i="3" s="1"/>
  <c r="S155" i="3"/>
  <c r="T153" i="3"/>
  <c r="P159" i="3"/>
  <c r="P161" i="3" s="1"/>
  <c r="K757" i="3"/>
  <c r="K758" i="3" s="1"/>
  <c r="K760" i="3" s="1"/>
  <c r="K762" i="3" s="1"/>
  <c r="U757" i="3"/>
  <c r="U758" i="3" s="1"/>
  <c r="U760" i="3" s="1"/>
  <c r="U762" i="3" s="1"/>
  <c r="P757" i="3"/>
  <c r="P758" i="3" s="1"/>
  <c r="P760" i="3" s="1"/>
  <c r="S757" i="3"/>
  <c r="S758" i="3" s="1"/>
  <c r="S760" i="3" s="1"/>
  <c r="K807" i="3"/>
  <c r="K808" i="3" s="1"/>
  <c r="I582" i="3"/>
  <c r="I583" i="3" s="1"/>
  <c r="I585" i="3" s="1"/>
  <c r="I482" i="3"/>
  <c r="I483" i="3" s="1"/>
  <c r="I485" i="3" s="1"/>
  <c r="I632" i="3"/>
  <c r="I633" i="3" s="1"/>
  <c r="I635" i="3" s="1"/>
  <c r="I637" i="3" s="1"/>
  <c r="H657" i="3"/>
  <c r="H658" i="3" s="1"/>
  <c r="H660" i="3" s="1"/>
  <c r="M757" i="3"/>
  <c r="M758" i="3" s="1"/>
  <c r="M760" i="3" s="1"/>
  <c r="M762" i="3" s="1"/>
  <c r="Q582" i="3"/>
  <c r="Q583" i="3" s="1"/>
  <c r="Q585" i="3" s="1"/>
  <c r="I657" i="3"/>
  <c r="I658" i="3" s="1"/>
  <c r="I660" i="3" s="1"/>
  <c r="R682" i="3"/>
  <c r="R683" i="3" s="1"/>
  <c r="R685" i="3" s="1"/>
  <c r="R687" i="3" s="1"/>
  <c r="R582" i="3"/>
  <c r="R583" i="3" s="1"/>
  <c r="R585" i="3" s="1"/>
  <c r="G632" i="3"/>
  <c r="G633" i="3" s="1"/>
  <c r="G635" i="3" s="1"/>
  <c r="Q557" i="3"/>
  <c r="Q558" i="3" s="1"/>
  <c r="Q560" i="3" s="1"/>
  <c r="D255" i="4"/>
  <c r="D256" i="4" s="1"/>
  <c r="F208" i="3"/>
  <c r="F209" i="3" s="1"/>
  <c r="F211" i="3" s="1"/>
  <c r="T117" i="4"/>
  <c r="T118" i="4" s="1"/>
  <c r="Q632" i="3"/>
  <c r="Q633" i="3" s="1"/>
  <c r="Q635" i="3" s="1"/>
  <c r="J582" i="3"/>
  <c r="J583" i="3" s="1"/>
  <c r="J585" i="3" s="1"/>
  <c r="K532" i="3"/>
  <c r="K533" i="3" s="1"/>
  <c r="K535" i="3" s="1"/>
  <c r="E757" i="3"/>
  <c r="E758" i="3" s="1"/>
  <c r="E760" i="3" s="1"/>
  <c r="D117" i="4"/>
  <c r="D118" i="4" s="1"/>
  <c r="D120" i="4" s="1"/>
  <c r="T255" i="4"/>
  <c r="T256" i="4" s="1"/>
  <c r="T227" i="4"/>
  <c r="T228" i="4" s="1"/>
  <c r="T682" i="3"/>
  <c r="T683" i="3" s="1"/>
  <c r="T685" i="3" s="1"/>
  <c r="T687" i="3" s="1"/>
  <c r="H607" i="3"/>
  <c r="H608" i="3" s="1"/>
  <c r="H610" i="3" s="1"/>
  <c r="R507" i="3"/>
  <c r="R508" i="3" s="1"/>
  <c r="R510" i="3" s="1"/>
  <c r="I507" i="3"/>
  <c r="I508" i="3" s="1"/>
  <c r="I510" i="3" s="1"/>
  <c r="Q682" i="3"/>
  <c r="Q683" i="3" s="1"/>
  <c r="Q685" i="3" s="1"/>
  <c r="Q687" i="3" s="1"/>
  <c r="J657" i="3"/>
  <c r="J658" i="3" s="1"/>
  <c r="J660" i="3" s="1"/>
  <c r="I532" i="3"/>
  <c r="I533" i="3" s="1"/>
  <c r="I535" i="3" s="1"/>
  <c r="J507" i="3"/>
  <c r="J508" i="3" s="1"/>
  <c r="J510" i="3" s="1"/>
  <c r="K457" i="3"/>
  <c r="K458" i="3" s="1"/>
  <c r="K460" i="3" s="1"/>
  <c r="K582" i="3"/>
  <c r="K583" i="3" s="1"/>
  <c r="K585" i="3" s="1"/>
  <c r="D682" i="3"/>
  <c r="D683" i="3" s="1"/>
  <c r="D685" i="3" s="1"/>
  <c r="D687" i="3" s="1"/>
  <c r="J482" i="3"/>
  <c r="J483" i="3" s="1"/>
  <c r="J485" i="3" s="1"/>
  <c r="Q732" i="3"/>
  <c r="Q733" i="3" s="1"/>
  <c r="Q735" i="3" s="1"/>
  <c r="Q737" i="3" s="1"/>
  <c r="R657" i="3"/>
  <c r="R658" i="3" s="1"/>
  <c r="R660" i="3" s="1"/>
  <c r="D502" i="4"/>
  <c r="D503" i="4" s="1"/>
  <c r="D447" i="4"/>
  <c r="D448" i="4" s="1"/>
  <c r="D450" i="4" s="1"/>
  <c r="T391" i="4"/>
  <c r="T392" i="4" s="1"/>
  <c r="D391" i="4"/>
  <c r="D392" i="4" s="1"/>
  <c r="D394" i="4" s="1"/>
  <c r="D145" i="4"/>
  <c r="D146" i="4" s="1"/>
  <c r="D148" i="4" s="1"/>
  <c r="E807" i="3"/>
  <c r="E808" i="3" s="1"/>
  <c r="U807" i="3"/>
  <c r="U808" i="3" s="1"/>
  <c r="M807" i="3"/>
  <c r="M808" i="3" s="1"/>
  <c r="D807" i="3"/>
  <c r="D808" i="3" s="1"/>
  <c r="T807" i="3"/>
  <c r="T808" i="3" s="1"/>
  <c r="L807" i="3"/>
  <c r="L808" i="3" s="1"/>
  <c r="M782" i="3"/>
  <c r="M783" i="3" s="1"/>
  <c r="J782" i="3"/>
  <c r="J783" i="3" s="1"/>
  <c r="T782" i="3"/>
  <c r="T783" i="3" s="1"/>
  <c r="U782" i="3"/>
  <c r="U783" i="3" s="1"/>
  <c r="R782" i="3"/>
  <c r="R783" i="3" s="1"/>
  <c r="F782" i="3"/>
  <c r="F783" i="3" s="1"/>
  <c r="L782" i="3"/>
  <c r="L783" i="3" s="1"/>
  <c r="V782" i="3"/>
  <c r="V783" i="3" s="1"/>
  <c r="E782" i="3"/>
  <c r="E783" i="3" s="1"/>
  <c r="D782" i="3"/>
  <c r="D783" i="3" s="1"/>
  <c r="N782" i="3"/>
  <c r="N783" i="3" s="1"/>
  <c r="O782" i="3"/>
  <c r="O783" i="3" s="1"/>
  <c r="G782" i="3"/>
  <c r="G783" i="3" s="1"/>
  <c r="J757" i="3"/>
  <c r="J758" i="3" s="1"/>
  <c r="J760" i="3" s="1"/>
  <c r="J762" i="3" s="1"/>
  <c r="T757" i="3"/>
  <c r="T758" i="3" s="1"/>
  <c r="T760" i="3" s="1"/>
  <c r="T762" i="3" s="1"/>
  <c r="R757" i="3"/>
  <c r="R758" i="3" s="1"/>
  <c r="R760" i="3" s="1"/>
  <c r="L757" i="3"/>
  <c r="L758" i="3" s="1"/>
  <c r="L760" i="3" s="1"/>
  <c r="D757" i="3"/>
  <c r="D758" i="3" s="1"/>
  <c r="D760" i="3" s="1"/>
  <c r="O757" i="3"/>
  <c r="O758" i="3" s="1"/>
  <c r="O760" i="3" s="1"/>
  <c r="F757" i="3"/>
  <c r="F758" i="3" s="1"/>
  <c r="F760" i="3" s="1"/>
  <c r="F762" i="3" s="1"/>
  <c r="G757" i="3"/>
  <c r="G758" i="3" s="1"/>
  <c r="G760" i="3" s="1"/>
  <c r="V757" i="3"/>
  <c r="V758" i="3" s="1"/>
  <c r="V760" i="3" s="1"/>
  <c r="V762" i="3" s="1"/>
  <c r="N757" i="3"/>
  <c r="N758" i="3" s="1"/>
  <c r="N760" i="3" s="1"/>
  <c r="G203" i="3"/>
  <c r="I203" i="3" s="1"/>
  <c r="E208" i="3"/>
  <c r="E209" i="3" s="1"/>
  <c r="E211" i="3" s="1"/>
  <c r="J682" i="3"/>
  <c r="J683" i="3" s="1"/>
  <c r="J685" i="3" s="1"/>
  <c r="J687" i="3" s="1"/>
  <c r="P607" i="3"/>
  <c r="P608" i="3" s="1"/>
  <c r="P610" i="3" s="1"/>
  <c r="H457" i="3"/>
  <c r="H458" i="3" s="1"/>
  <c r="H460" i="3" s="1"/>
  <c r="Q657" i="3"/>
  <c r="Q658" i="3" s="1"/>
  <c r="Q660" i="3" s="1"/>
  <c r="G532" i="3"/>
  <c r="G533" i="3" s="1"/>
  <c r="G535" i="3" s="1"/>
  <c r="Q482" i="3"/>
  <c r="Q483" i="3" s="1"/>
  <c r="Q485" i="3" s="1"/>
  <c r="I732" i="3"/>
  <c r="I733" i="3" s="1"/>
  <c r="I735" i="3" s="1"/>
  <c r="I737" i="3" s="1"/>
  <c r="R482" i="3"/>
  <c r="R483" i="3" s="1"/>
  <c r="R485" i="3" s="1"/>
  <c r="Q532" i="3"/>
  <c r="Q533" i="3" s="1"/>
  <c r="Q535" i="3" s="1"/>
  <c r="S582" i="3"/>
  <c r="S583" i="3" s="1"/>
  <c r="S585" i="3" s="1"/>
  <c r="Q507" i="3"/>
  <c r="Q508" i="3" s="1"/>
  <c r="Q510" i="3" s="1"/>
  <c r="I557" i="3"/>
  <c r="I558" i="3" s="1"/>
  <c r="I560" i="3" s="1"/>
  <c r="E457" i="3"/>
  <c r="E458" i="3" s="1"/>
  <c r="E460" i="3" s="1"/>
  <c r="U457" i="3"/>
  <c r="U458" i="3" s="1"/>
  <c r="U460" i="3" s="1"/>
  <c r="S607" i="3"/>
  <c r="S608" i="3" s="1"/>
  <c r="S610" i="3" s="1"/>
  <c r="M457" i="3"/>
  <c r="M458" i="3" s="1"/>
  <c r="M460" i="3" s="1"/>
  <c r="K607" i="3"/>
  <c r="K608" i="3" s="1"/>
  <c r="K610" i="3" s="1"/>
  <c r="I683" i="3"/>
  <c r="I685" i="3" s="1"/>
  <c r="I687" i="3" s="1"/>
  <c r="D208" i="3"/>
  <c r="D209" i="3" s="1"/>
  <c r="D211" i="3" s="1"/>
  <c r="D213" i="3" s="1"/>
  <c r="R732" i="3"/>
  <c r="R733" i="3" s="1"/>
  <c r="R735" i="3" s="1"/>
  <c r="R737" i="3" s="1"/>
  <c r="J732" i="3"/>
  <c r="J733" i="3" s="1"/>
  <c r="J735" i="3" s="1"/>
  <c r="J737" i="3" s="1"/>
  <c r="L732" i="3"/>
  <c r="L733" i="3" s="1"/>
  <c r="L735" i="3" s="1"/>
  <c r="U732" i="3"/>
  <c r="U733" i="3" s="1"/>
  <c r="U735" i="3" s="1"/>
  <c r="U737" i="3" s="1"/>
  <c r="S732" i="3"/>
  <c r="S733" i="3" s="1"/>
  <c r="S735" i="3" s="1"/>
  <c r="S737" i="3" s="1"/>
  <c r="M732" i="3"/>
  <c r="M733" i="3" s="1"/>
  <c r="M735" i="3" s="1"/>
  <c r="M737" i="3" s="1"/>
  <c r="E732" i="3"/>
  <c r="E733" i="3" s="1"/>
  <c r="E735" i="3" s="1"/>
  <c r="E737" i="3" s="1"/>
  <c r="O732" i="3"/>
  <c r="O733" i="3" s="1"/>
  <c r="O735" i="3" s="1"/>
  <c r="O737" i="3" s="1"/>
  <c r="G732" i="3"/>
  <c r="G733" i="3" s="1"/>
  <c r="G735" i="3" s="1"/>
  <c r="G737" i="3" s="1"/>
  <c r="D732" i="3"/>
  <c r="D733" i="3" s="1"/>
  <c r="D735" i="3" s="1"/>
  <c r="D737" i="3" s="1"/>
  <c r="P732" i="3"/>
  <c r="P733" i="3" s="1"/>
  <c r="P735" i="3" s="1"/>
  <c r="P737" i="3" s="1"/>
  <c r="K732" i="3"/>
  <c r="K733" i="3" s="1"/>
  <c r="K735" i="3" s="1"/>
  <c r="K737" i="3" s="1"/>
  <c r="H732" i="3"/>
  <c r="H733" i="3" s="1"/>
  <c r="H735" i="3" s="1"/>
  <c r="H737" i="3" s="1"/>
  <c r="T732" i="3"/>
  <c r="T733" i="3" s="1"/>
  <c r="T735" i="3" s="1"/>
  <c r="T737" i="3" s="1"/>
  <c r="U682" i="3"/>
  <c r="U683" i="3" s="1"/>
  <c r="U685" i="3" s="1"/>
  <c r="U687" i="3" s="1"/>
  <c r="E682" i="3"/>
  <c r="E683" i="3" s="1"/>
  <c r="E685" i="3" s="1"/>
  <c r="E687" i="3" s="1"/>
  <c r="N682" i="3"/>
  <c r="N683" i="3" s="1"/>
  <c r="N685" i="3" s="1"/>
  <c r="N687" i="3" s="1"/>
  <c r="M682" i="3"/>
  <c r="M683" i="3" s="1"/>
  <c r="M685" i="3" s="1"/>
  <c r="M687" i="3" s="1"/>
  <c r="F682" i="3"/>
  <c r="F683" i="3" s="1"/>
  <c r="F685" i="3" s="1"/>
  <c r="F687" i="3" s="1"/>
  <c r="V682" i="3"/>
  <c r="V683" i="3" s="1"/>
  <c r="V685" i="3" s="1"/>
  <c r="V687" i="3" s="1"/>
  <c r="O682" i="3"/>
  <c r="O683" i="3" s="1"/>
  <c r="O685" i="3" s="1"/>
  <c r="O687" i="3" s="1"/>
  <c r="G682" i="3"/>
  <c r="G683" i="3" s="1"/>
  <c r="G685" i="3" s="1"/>
  <c r="G687" i="3" s="1"/>
  <c r="K657" i="3"/>
  <c r="K658" i="3" s="1"/>
  <c r="K660" i="3" s="1"/>
  <c r="U657" i="3"/>
  <c r="U658" i="3" s="1"/>
  <c r="U660" i="3" s="1"/>
  <c r="L657" i="3"/>
  <c r="L658" i="3" s="1"/>
  <c r="L660" i="3" s="1"/>
  <c r="D657" i="3"/>
  <c r="D658" i="3" s="1"/>
  <c r="D660" i="3" s="1"/>
  <c r="M657" i="3"/>
  <c r="M658" i="3" s="1"/>
  <c r="M660" i="3" s="1"/>
  <c r="T657" i="3"/>
  <c r="T658" i="3" s="1"/>
  <c r="T660" i="3" s="1"/>
  <c r="S657" i="3"/>
  <c r="S658" i="3" s="1"/>
  <c r="S660" i="3" s="1"/>
  <c r="K632" i="3"/>
  <c r="K633" i="3" s="1"/>
  <c r="K635" i="3" s="1"/>
  <c r="J632" i="3"/>
  <c r="J633" i="3" s="1"/>
  <c r="J635" i="3" s="1"/>
  <c r="R632" i="3"/>
  <c r="R633" i="3" s="1"/>
  <c r="R635" i="3" s="1"/>
  <c r="M632" i="3"/>
  <c r="M633" i="3" s="1"/>
  <c r="M635" i="3" s="1"/>
  <c r="S632" i="3"/>
  <c r="S633" i="3" s="1"/>
  <c r="S635" i="3" s="1"/>
  <c r="H632" i="3"/>
  <c r="H633" i="3" s="1"/>
  <c r="H635" i="3" s="1"/>
  <c r="E632" i="3"/>
  <c r="E633" i="3" s="1"/>
  <c r="E635" i="3" s="1"/>
  <c r="U632" i="3"/>
  <c r="U633" i="3" s="1"/>
  <c r="U635" i="3" s="1"/>
  <c r="P632" i="3"/>
  <c r="P633" i="3" s="1"/>
  <c r="P635" i="3" s="1"/>
  <c r="D607" i="3"/>
  <c r="D608" i="3" s="1"/>
  <c r="D610" i="3" s="1"/>
  <c r="D612" i="3" s="1"/>
  <c r="T607" i="3"/>
  <c r="T608" i="3" s="1"/>
  <c r="T610" i="3" s="1"/>
  <c r="R607" i="3"/>
  <c r="R608" i="3" s="1"/>
  <c r="R610" i="3" s="1"/>
  <c r="J607" i="3"/>
  <c r="J608" i="3" s="1"/>
  <c r="J610" i="3" s="1"/>
  <c r="L607" i="3"/>
  <c r="L608" i="3" s="1"/>
  <c r="L610" i="3" s="1"/>
  <c r="V607" i="3"/>
  <c r="V608" i="3" s="1"/>
  <c r="V610" i="3" s="1"/>
  <c r="O607" i="3"/>
  <c r="O608" i="3" s="1"/>
  <c r="O610" i="3" s="1"/>
  <c r="G607" i="3"/>
  <c r="G608" i="3" s="1"/>
  <c r="G610" i="3" s="1"/>
  <c r="F607" i="3"/>
  <c r="F608" i="3" s="1"/>
  <c r="F610" i="3" s="1"/>
  <c r="N607" i="3"/>
  <c r="N608" i="3" s="1"/>
  <c r="N610" i="3" s="1"/>
  <c r="D582" i="3"/>
  <c r="D583" i="3" s="1"/>
  <c r="D585" i="3" s="1"/>
  <c r="L582" i="3"/>
  <c r="L583" i="3" s="1"/>
  <c r="L585" i="3" s="1"/>
  <c r="L587" i="3" s="1"/>
  <c r="U582" i="3"/>
  <c r="U583" i="3" s="1"/>
  <c r="U585" i="3" s="1"/>
  <c r="O582" i="3"/>
  <c r="O583" i="3" s="1"/>
  <c r="O585" i="3" s="1"/>
  <c r="G582" i="3"/>
  <c r="G583" i="3" s="1"/>
  <c r="G585" i="3" s="1"/>
  <c r="M582" i="3"/>
  <c r="M583" i="3" s="1"/>
  <c r="M585" i="3" s="1"/>
  <c r="T582" i="3"/>
  <c r="T583" i="3" s="1"/>
  <c r="T585" i="3" s="1"/>
  <c r="E582" i="3"/>
  <c r="E583" i="3" s="1"/>
  <c r="E585" i="3" s="1"/>
  <c r="K557" i="3"/>
  <c r="K558" i="3" s="1"/>
  <c r="K560" i="3" s="1"/>
  <c r="J557" i="3"/>
  <c r="J558" i="3" s="1"/>
  <c r="J560" i="3" s="1"/>
  <c r="T557" i="3"/>
  <c r="T558" i="3" s="1"/>
  <c r="T560" i="3" s="1"/>
  <c r="L557" i="3"/>
  <c r="L558" i="3" s="1"/>
  <c r="L560" i="3" s="1"/>
  <c r="L562" i="3" s="1"/>
  <c r="E557" i="3"/>
  <c r="E558" i="3" s="1"/>
  <c r="E560" i="3" s="1"/>
  <c r="R557" i="3"/>
  <c r="R558" i="3" s="1"/>
  <c r="R560" i="3" s="1"/>
  <c r="S557" i="3"/>
  <c r="S558" i="3" s="1"/>
  <c r="S560" i="3" s="1"/>
  <c r="O557" i="3"/>
  <c r="O558" i="3" s="1"/>
  <c r="O560" i="3" s="1"/>
  <c r="D557" i="3"/>
  <c r="D558" i="3" s="1"/>
  <c r="D560" i="3" s="1"/>
  <c r="G557" i="3"/>
  <c r="G558" i="3" s="1"/>
  <c r="G560" i="3" s="1"/>
  <c r="M557" i="3"/>
  <c r="M558" i="3" s="1"/>
  <c r="M560" i="3" s="1"/>
  <c r="P557" i="3"/>
  <c r="P558" i="3" s="1"/>
  <c r="P560" i="3" s="1"/>
  <c r="H557" i="3"/>
  <c r="H558" i="3" s="1"/>
  <c r="H560" i="3" s="1"/>
  <c r="U557" i="3"/>
  <c r="U558" i="3" s="1"/>
  <c r="U560" i="3" s="1"/>
  <c r="R532" i="3"/>
  <c r="R533" i="3" s="1"/>
  <c r="R535" i="3" s="1"/>
  <c r="J532" i="3"/>
  <c r="J533" i="3" s="1"/>
  <c r="J535" i="3" s="1"/>
  <c r="U532" i="3"/>
  <c r="U533" i="3" s="1"/>
  <c r="U535" i="3" s="1"/>
  <c r="M532" i="3"/>
  <c r="M533" i="3" s="1"/>
  <c r="M535" i="3" s="1"/>
  <c r="E532" i="3"/>
  <c r="E533" i="3" s="1"/>
  <c r="E535" i="3" s="1"/>
  <c r="T532" i="3"/>
  <c r="T533" i="3" s="1"/>
  <c r="T535" i="3" s="1"/>
  <c r="L532" i="3"/>
  <c r="L533" i="3" s="1"/>
  <c r="L535" i="3" s="1"/>
  <c r="L537" i="3" s="1"/>
  <c r="D532" i="3"/>
  <c r="D533" i="3" s="1"/>
  <c r="D535" i="3" s="1"/>
  <c r="T507" i="3"/>
  <c r="T508" i="3" s="1"/>
  <c r="T510" i="3" s="1"/>
  <c r="L507" i="3"/>
  <c r="L508" i="3" s="1"/>
  <c r="L510" i="3" s="1"/>
  <c r="L512" i="3" s="1"/>
  <c r="U507" i="3"/>
  <c r="U508" i="3" s="1"/>
  <c r="U510" i="3" s="1"/>
  <c r="S507" i="3"/>
  <c r="S508" i="3" s="1"/>
  <c r="S510" i="3" s="1"/>
  <c r="K507" i="3"/>
  <c r="K508" i="3" s="1"/>
  <c r="K510" i="3" s="1"/>
  <c r="E507" i="3"/>
  <c r="E508" i="3" s="1"/>
  <c r="E510" i="3" s="1"/>
  <c r="M507" i="3"/>
  <c r="M508" i="3" s="1"/>
  <c r="M510" i="3" s="1"/>
  <c r="H507" i="3"/>
  <c r="H508" i="3" s="1"/>
  <c r="H510" i="3" s="1"/>
  <c r="P507" i="3"/>
  <c r="P508" i="3" s="1"/>
  <c r="P510" i="3" s="1"/>
  <c r="D507" i="3"/>
  <c r="D508" i="3" s="1"/>
  <c r="D510" i="3" s="1"/>
  <c r="L482" i="3"/>
  <c r="L483" i="3" s="1"/>
  <c r="L485" i="3" s="1"/>
  <c r="L487" i="3" s="1"/>
  <c r="M482" i="3"/>
  <c r="M483" i="3" s="1"/>
  <c r="M485" i="3" s="1"/>
  <c r="D482" i="3"/>
  <c r="D483" i="3" s="1"/>
  <c r="D485" i="3" s="1"/>
  <c r="K482" i="3"/>
  <c r="K483" i="3" s="1"/>
  <c r="K485" i="3" s="1"/>
  <c r="U482" i="3"/>
  <c r="U483" i="3" s="1"/>
  <c r="U485" i="3" s="1"/>
  <c r="S482" i="3"/>
  <c r="S483" i="3" s="1"/>
  <c r="S485" i="3" s="1"/>
  <c r="H482" i="3"/>
  <c r="H483" i="3" s="1"/>
  <c r="H485" i="3" s="1"/>
  <c r="T482" i="3"/>
  <c r="T483" i="3" s="1"/>
  <c r="T485" i="3" s="1"/>
  <c r="P482" i="3"/>
  <c r="P483" i="3" s="1"/>
  <c r="P485" i="3" s="1"/>
  <c r="E482" i="3"/>
  <c r="E483" i="3" s="1"/>
  <c r="E485" i="3" s="1"/>
  <c r="O457" i="3"/>
  <c r="O458" i="3" s="1"/>
  <c r="O460" i="3" s="1"/>
  <c r="G457" i="3"/>
  <c r="G458" i="3" s="1"/>
  <c r="G460" i="3" s="1"/>
  <c r="V457" i="3"/>
  <c r="V458" i="3" s="1"/>
  <c r="V460" i="3" s="1"/>
  <c r="N457" i="3"/>
  <c r="N458" i="3" s="1"/>
  <c r="N460" i="3" s="1"/>
  <c r="F457" i="3"/>
  <c r="F458" i="3" s="1"/>
  <c r="F460" i="3" s="1"/>
  <c r="F462" i="3" s="1"/>
  <c r="D432" i="3"/>
  <c r="D433" i="3" s="1"/>
  <c r="D435" i="3" s="1"/>
  <c r="D437" i="3" s="1"/>
  <c r="E432" i="3"/>
  <c r="E433" i="3" s="1"/>
  <c r="E435" i="3" s="1"/>
  <c r="E437" i="3" s="1"/>
  <c r="F430" i="3"/>
  <c r="F431" i="3" s="1"/>
  <c r="H429" i="3"/>
  <c r="G429" i="3"/>
  <c r="U447" i="4"/>
  <c r="U448" i="4" s="1"/>
  <c r="U450" i="4" s="1"/>
  <c r="U502" i="4"/>
  <c r="U503" i="4" s="1"/>
  <c r="V447" i="4"/>
  <c r="V448" i="4" s="1"/>
  <c r="V450" i="4" s="1"/>
  <c r="Q447" i="4"/>
  <c r="Q448" i="4" s="1"/>
  <c r="Q450" i="4" s="1"/>
  <c r="V474" i="4"/>
  <c r="V475" i="4" s="1"/>
  <c r="D419" i="4"/>
  <c r="D420" i="4" s="1"/>
  <c r="D422" i="4" s="1"/>
  <c r="U419" i="4"/>
  <c r="U420" i="4" s="1"/>
  <c r="Q474" i="4"/>
  <c r="Q475" i="4" s="1"/>
  <c r="D474" i="4"/>
  <c r="D475" i="4" s="1"/>
  <c r="V227" i="4"/>
  <c r="V228" i="4" s="1"/>
  <c r="U474" i="4"/>
  <c r="U475" i="4" s="1"/>
  <c r="T502" i="4"/>
  <c r="T503" i="4" s="1"/>
  <c r="D363" i="4"/>
  <c r="D364" i="4" s="1"/>
  <c r="U283" i="4"/>
  <c r="U284" i="4" s="1"/>
  <c r="V419" i="4"/>
  <c r="V420" i="4" s="1"/>
  <c r="D172" i="4"/>
  <c r="D173" i="4" s="1"/>
  <c r="D227" i="4"/>
  <c r="D228" i="4" s="1"/>
  <c r="V391" i="4"/>
  <c r="V392" i="4" s="1"/>
  <c r="D283" i="4"/>
  <c r="D284" i="4" s="1"/>
  <c r="T89" i="4"/>
  <c r="T90" i="4" s="1"/>
  <c r="U89" i="4"/>
  <c r="U90" i="4" s="1"/>
  <c r="T283" i="4"/>
  <c r="T284" i="4" s="1"/>
  <c r="T363" i="4"/>
  <c r="T364" i="4" s="1"/>
  <c r="V645" i="3" l="1"/>
  <c r="V649" i="3" s="1"/>
  <c r="V644" i="3"/>
  <c r="V648" i="3" s="1"/>
  <c r="V642" i="3"/>
  <c r="V646" i="3" s="1"/>
  <c r="V643" i="3"/>
  <c r="V647" i="3" s="1"/>
  <c r="E23" i="17"/>
  <c r="C23" i="17"/>
  <c r="D23" i="17"/>
  <c r="V669" i="3"/>
  <c r="V673" i="3" s="1"/>
  <c r="V670" i="3"/>
  <c r="V674" i="3" s="1"/>
  <c r="V495" i="3"/>
  <c r="V499" i="3" s="1"/>
  <c r="V494" i="3"/>
  <c r="V498" i="3" s="1"/>
  <c r="U618" i="3"/>
  <c r="U622" i="3" s="1"/>
  <c r="U619" i="3"/>
  <c r="U623" i="3" s="1"/>
  <c r="U620" i="3"/>
  <c r="U624" i="3" s="1"/>
  <c r="E39" i="12"/>
  <c r="D39" i="12"/>
  <c r="I817" i="3"/>
  <c r="I821" i="3" s="1"/>
  <c r="I818" i="3"/>
  <c r="I822" i="3" s="1"/>
  <c r="I820" i="3"/>
  <c r="I824" i="3" s="1"/>
  <c r="I819" i="3"/>
  <c r="I823" i="3" s="1"/>
  <c r="V819" i="3"/>
  <c r="V823" i="3" s="1"/>
  <c r="V818" i="3"/>
  <c r="V822" i="3" s="1"/>
  <c r="V817" i="3"/>
  <c r="V821" i="3" s="1"/>
  <c r="V820" i="3"/>
  <c r="V824" i="3" s="1"/>
  <c r="G819" i="3"/>
  <c r="G823" i="3" s="1"/>
  <c r="G818" i="3"/>
  <c r="G822" i="3" s="1"/>
  <c r="G817" i="3"/>
  <c r="G821" i="3" s="1"/>
  <c r="G820" i="3"/>
  <c r="G824" i="3" s="1"/>
  <c r="H818" i="3"/>
  <c r="H822" i="3" s="1"/>
  <c r="H819" i="3"/>
  <c r="H823" i="3" s="1"/>
  <c r="H820" i="3"/>
  <c r="H824" i="3" s="1"/>
  <c r="H817" i="3"/>
  <c r="H821" i="3" s="1"/>
  <c r="F818" i="3"/>
  <c r="F822" i="3" s="1"/>
  <c r="F819" i="3"/>
  <c r="F823" i="3" s="1"/>
  <c r="F817" i="3"/>
  <c r="F821" i="3" s="1"/>
  <c r="F820" i="3"/>
  <c r="F824" i="3" s="1"/>
  <c r="J767" i="3"/>
  <c r="J771" i="3" s="1"/>
  <c r="J768" i="3"/>
  <c r="J772" i="3" s="1"/>
  <c r="J769" i="3"/>
  <c r="J773" i="3" s="1"/>
  <c r="J770" i="3"/>
  <c r="J774" i="3" s="1"/>
  <c r="U767" i="3"/>
  <c r="U771" i="3" s="1"/>
  <c r="U769" i="3"/>
  <c r="U773" i="3" s="1"/>
  <c r="U770" i="3"/>
  <c r="U774" i="3" s="1"/>
  <c r="U768" i="3"/>
  <c r="U772" i="3" s="1"/>
  <c r="M770" i="3"/>
  <c r="M774" i="3" s="1"/>
  <c r="M769" i="3"/>
  <c r="M773" i="3" s="1"/>
  <c r="M768" i="3"/>
  <c r="M772" i="3" s="1"/>
  <c r="V769" i="3"/>
  <c r="V773" i="3" s="1"/>
  <c r="V767" i="3"/>
  <c r="V771" i="3" s="1"/>
  <c r="V768" i="3"/>
  <c r="V772" i="3" s="1"/>
  <c r="V770" i="3"/>
  <c r="V774" i="3" s="1"/>
  <c r="Q768" i="3"/>
  <c r="Q772" i="3" s="1"/>
  <c r="Q770" i="3"/>
  <c r="Q774" i="3" s="1"/>
  <c r="Q769" i="3"/>
  <c r="Q773" i="3" s="1"/>
  <c r="Q767" i="3"/>
  <c r="Q771" i="3" s="1"/>
  <c r="H769" i="3"/>
  <c r="H773" i="3" s="1"/>
  <c r="H770" i="3"/>
  <c r="H774" i="3" s="1"/>
  <c r="H768" i="3"/>
  <c r="H772" i="3" s="1"/>
  <c r="H767" i="3"/>
  <c r="H771" i="3" s="1"/>
  <c r="F768" i="3"/>
  <c r="F772" i="3" s="1"/>
  <c r="F767" i="3"/>
  <c r="F771" i="3" s="1"/>
  <c r="F769" i="3"/>
  <c r="F773" i="3" s="1"/>
  <c r="F770" i="3"/>
  <c r="F774" i="3" s="1"/>
  <c r="K769" i="3"/>
  <c r="K773" i="3" s="1"/>
  <c r="K767" i="3"/>
  <c r="K771" i="3" s="1"/>
  <c r="K770" i="3"/>
  <c r="K774" i="3" s="1"/>
  <c r="K768" i="3"/>
  <c r="K772" i="3" s="1"/>
  <c r="U744" i="3"/>
  <c r="U748" i="3" s="1"/>
  <c r="U745" i="3"/>
  <c r="U749" i="3" s="1"/>
  <c r="T745" i="3"/>
  <c r="T749" i="3" s="1"/>
  <c r="T744" i="3"/>
  <c r="T748" i="3" s="1"/>
  <c r="S744" i="3"/>
  <c r="S748" i="3" s="1"/>
  <c r="S745" i="3"/>
  <c r="S749" i="3" s="1"/>
  <c r="R745" i="3"/>
  <c r="R749" i="3" s="1"/>
  <c r="R744" i="3"/>
  <c r="R748" i="3" s="1"/>
  <c r="Q744" i="3"/>
  <c r="Q748" i="3" s="1"/>
  <c r="Q745" i="3"/>
  <c r="Q749" i="3" s="1"/>
  <c r="P744" i="3"/>
  <c r="P748" i="3" s="1"/>
  <c r="P745" i="3"/>
  <c r="P749" i="3" s="1"/>
  <c r="O744" i="3"/>
  <c r="O748" i="3" s="1"/>
  <c r="O745" i="3"/>
  <c r="O749" i="3" s="1"/>
  <c r="N742" i="3"/>
  <c r="N746" i="3" s="1"/>
  <c r="N743" i="3"/>
  <c r="N747" i="3" s="1"/>
  <c r="M744" i="3"/>
  <c r="M748" i="3" s="1"/>
  <c r="M745" i="3"/>
  <c r="M749" i="3" s="1"/>
  <c r="K745" i="3"/>
  <c r="K749" i="3" s="1"/>
  <c r="K744" i="3"/>
  <c r="K748" i="3" s="1"/>
  <c r="J745" i="3"/>
  <c r="J749" i="3" s="1"/>
  <c r="J744" i="3"/>
  <c r="J748" i="3" s="1"/>
  <c r="I744" i="3"/>
  <c r="I748" i="3" s="1"/>
  <c r="I745" i="3"/>
  <c r="I749" i="3" s="1"/>
  <c r="H745" i="3"/>
  <c r="H749" i="3" s="1"/>
  <c r="H744" i="3"/>
  <c r="H748" i="3" s="1"/>
  <c r="G745" i="3"/>
  <c r="G749" i="3" s="1"/>
  <c r="G744" i="3"/>
  <c r="G748" i="3" s="1"/>
  <c r="F742" i="3"/>
  <c r="F746" i="3" s="1"/>
  <c r="F743" i="3"/>
  <c r="F747" i="3" s="1"/>
  <c r="E745" i="3"/>
  <c r="E749" i="3" s="1"/>
  <c r="E744" i="3"/>
  <c r="E748" i="3" s="1"/>
  <c r="L693" i="3"/>
  <c r="L697" i="3" s="1"/>
  <c r="O48" i="14"/>
  <c r="H693" i="3"/>
  <c r="H697" i="3" s="1"/>
  <c r="O48" i="13"/>
  <c r="H695" i="3"/>
  <c r="H699" i="3" s="1"/>
  <c r="Q48" i="13"/>
  <c r="P48" i="14"/>
  <c r="L694" i="3"/>
  <c r="L698" i="3" s="1"/>
  <c r="M694" i="3"/>
  <c r="M698" i="3" s="1"/>
  <c r="R48" i="14"/>
  <c r="M695" i="3"/>
  <c r="M699" i="3" s="1"/>
  <c r="M692" i="3"/>
  <c r="M696" i="3" s="1"/>
  <c r="M693" i="3"/>
  <c r="M697" i="3" s="1"/>
  <c r="L692" i="3"/>
  <c r="L696" i="3" s="1"/>
  <c r="N48" i="14"/>
  <c r="H694" i="3"/>
  <c r="H698" i="3" s="1"/>
  <c r="P48" i="13"/>
  <c r="P694" i="3"/>
  <c r="P698" i="3" s="1"/>
  <c r="L48" i="15"/>
  <c r="K693" i="3"/>
  <c r="K697" i="3" s="1"/>
  <c r="K48" i="14"/>
  <c r="P692" i="3"/>
  <c r="P696" i="3" s="1"/>
  <c r="J48" i="15"/>
  <c r="L48" i="14"/>
  <c r="K694" i="3"/>
  <c r="K698" i="3" s="1"/>
  <c r="H692" i="3"/>
  <c r="H696" i="3" s="1"/>
  <c r="N48" i="13"/>
  <c r="P695" i="3"/>
  <c r="P699" i="3" s="1"/>
  <c r="M48" i="15"/>
  <c r="K695" i="3"/>
  <c r="K699" i="3" s="1"/>
  <c r="M48" i="14"/>
  <c r="L695" i="3"/>
  <c r="L699" i="3" s="1"/>
  <c r="Q48" i="14"/>
  <c r="P693" i="3"/>
  <c r="P697" i="3" s="1"/>
  <c r="K48" i="15"/>
  <c r="K692" i="3"/>
  <c r="K696" i="3" s="1"/>
  <c r="J48" i="14"/>
  <c r="G670" i="3"/>
  <c r="G674" i="3" s="1"/>
  <c r="G669" i="3"/>
  <c r="G673" i="3" s="1"/>
  <c r="F669" i="3"/>
  <c r="F673" i="3" s="1"/>
  <c r="F670" i="3"/>
  <c r="F674" i="3" s="1"/>
  <c r="E670" i="3"/>
  <c r="E674" i="3" s="1"/>
  <c r="E669" i="3"/>
  <c r="E673" i="3" s="1"/>
  <c r="T645" i="3"/>
  <c r="T649" i="3" s="1"/>
  <c r="T644" i="3"/>
  <c r="T648" i="3" s="1"/>
  <c r="L644" i="3"/>
  <c r="L648" i="3" s="1"/>
  <c r="L645" i="3"/>
  <c r="L649" i="3" s="1"/>
  <c r="I645" i="3"/>
  <c r="I649" i="3" s="1"/>
  <c r="I644" i="3"/>
  <c r="I648" i="3" s="1"/>
  <c r="F644" i="3"/>
  <c r="F648" i="3" s="1"/>
  <c r="F645" i="3"/>
  <c r="F649" i="3" s="1"/>
  <c r="M620" i="3"/>
  <c r="M624" i="3" s="1"/>
  <c r="M619" i="3"/>
  <c r="M623" i="3" s="1"/>
  <c r="I619" i="3"/>
  <c r="I623" i="3" s="1"/>
  <c r="I620" i="3"/>
  <c r="I624" i="3" s="1"/>
  <c r="I618" i="3"/>
  <c r="I622" i="3" s="1"/>
  <c r="E618" i="3"/>
  <c r="E622" i="3" s="1"/>
  <c r="E619" i="3"/>
  <c r="E623" i="3" s="1"/>
  <c r="L594" i="3"/>
  <c r="L598" i="3" s="1"/>
  <c r="L595" i="3"/>
  <c r="L599" i="3" s="1"/>
  <c r="V570" i="3"/>
  <c r="V574" i="3" s="1"/>
  <c r="V569" i="3"/>
  <c r="V573" i="3" s="1"/>
  <c r="F570" i="3"/>
  <c r="F574" i="3" s="1"/>
  <c r="F569" i="3"/>
  <c r="F573" i="3" s="1"/>
  <c r="N569" i="3"/>
  <c r="N573" i="3" s="1"/>
  <c r="N570" i="3"/>
  <c r="N574" i="3" s="1"/>
  <c r="L570" i="3"/>
  <c r="L574" i="3" s="1"/>
  <c r="L569" i="3"/>
  <c r="L573" i="3" s="1"/>
  <c r="H545" i="3"/>
  <c r="H549" i="3" s="1"/>
  <c r="H544" i="3"/>
  <c r="H548" i="3" s="1"/>
  <c r="L544" i="3"/>
  <c r="L548" i="3" s="1"/>
  <c r="L545" i="3"/>
  <c r="L549" i="3" s="1"/>
  <c r="V544" i="3"/>
  <c r="V548" i="3" s="1"/>
  <c r="V545" i="3"/>
  <c r="V549" i="3" s="1"/>
  <c r="F545" i="3"/>
  <c r="F549" i="3" s="1"/>
  <c r="F544" i="3"/>
  <c r="F548" i="3" s="1"/>
  <c r="P545" i="3"/>
  <c r="P549" i="3" s="1"/>
  <c r="P544" i="3"/>
  <c r="P548" i="3" s="1"/>
  <c r="N545" i="3"/>
  <c r="N549" i="3" s="1"/>
  <c r="N544" i="3"/>
  <c r="N548" i="3" s="1"/>
  <c r="L520" i="3"/>
  <c r="L524" i="3" s="1"/>
  <c r="L519" i="3"/>
  <c r="L523" i="3" s="1"/>
  <c r="G519" i="3"/>
  <c r="G523" i="3" s="1"/>
  <c r="G520" i="3"/>
  <c r="G524" i="3" s="1"/>
  <c r="O520" i="3"/>
  <c r="O524" i="3" s="1"/>
  <c r="O519" i="3"/>
  <c r="O523" i="3" s="1"/>
  <c r="N520" i="3"/>
  <c r="N524" i="3" s="1"/>
  <c r="N519" i="3"/>
  <c r="N523" i="3" s="1"/>
  <c r="F519" i="3"/>
  <c r="F523" i="3" s="1"/>
  <c r="F520" i="3"/>
  <c r="F524" i="3" s="1"/>
  <c r="V520" i="3"/>
  <c r="V524" i="3" s="1"/>
  <c r="V519" i="3"/>
  <c r="V523" i="3" s="1"/>
  <c r="O494" i="3"/>
  <c r="O498" i="3" s="1"/>
  <c r="O495" i="3"/>
  <c r="O499" i="3" s="1"/>
  <c r="N494" i="3"/>
  <c r="N498" i="3" s="1"/>
  <c r="N495" i="3"/>
  <c r="N499" i="3" s="1"/>
  <c r="L495" i="3"/>
  <c r="L499" i="3" s="1"/>
  <c r="L494" i="3"/>
  <c r="L498" i="3" s="1"/>
  <c r="G494" i="3"/>
  <c r="G498" i="3" s="1"/>
  <c r="G495" i="3"/>
  <c r="G499" i="3" s="1"/>
  <c r="F495" i="3"/>
  <c r="F499" i="3" s="1"/>
  <c r="F494" i="3"/>
  <c r="F498" i="3" s="1"/>
  <c r="F469" i="3"/>
  <c r="F473" i="3" s="1"/>
  <c r="F470" i="3"/>
  <c r="F474" i="3" s="1"/>
  <c r="R469" i="3"/>
  <c r="R473" i="3" s="1"/>
  <c r="R470" i="3"/>
  <c r="R474" i="3" s="1"/>
  <c r="T469" i="3"/>
  <c r="T473" i="3" s="1"/>
  <c r="T470" i="3"/>
  <c r="T474" i="3" s="1"/>
  <c r="J470" i="3"/>
  <c r="J474" i="3" s="1"/>
  <c r="J469" i="3"/>
  <c r="J473" i="3" s="1"/>
  <c r="I470" i="3"/>
  <c r="I474" i="3" s="1"/>
  <c r="I469" i="3"/>
  <c r="I473" i="3" s="1"/>
  <c r="P469" i="3"/>
  <c r="P473" i="3" s="1"/>
  <c r="P470" i="3"/>
  <c r="P474" i="3" s="1"/>
  <c r="Q469" i="3"/>
  <c r="Q473" i="3" s="1"/>
  <c r="Q470" i="3"/>
  <c r="Q474" i="3" s="1"/>
  <c r="L467" i="3"/>
  <c r="L471" i="3" s="1"/>
  <c r="L468" i="3"/>
  <c r="L472" i="3" s="1"/>
  <c r="D468" i="3"/>
  <c r="D472" i="3" s="1"/>
  <c r="D467" i="3"/>
  <c r="D471" i="3" s="1"/>
  <c r="D444" i="3"/>
  <c r="D448" i="3" s="1"/>
  <c r="D445" i="3"/>
  <c r="D449" i="3" s="1"/>
  <c r="D220" i="3"/>
  <c r="D224" i="3" s="1"/>
  <c r="D221" i="3"/>
  <c r="D225" i="3" s="1"/>
  <c r="P196" i="3"/>
  <c r="P200" i="3" s="1"/>
  <c r="P195" i="3"/>
  <c r="P199" i="3" s="1"/>
  <c r="O193" i="3"/>
  <c r="O197" i="3" s="1"/>
  <c r="O194" i="3"/>
  <c r="O198" i="3" s="1"/>
  <c r="D744" i="3"/>
  <c r="D748" i="3" s="1"/>
  <c r="D745" i="3"/>
  <c r="D749" i="3" s="1"/>
  <c r="Q818" i="3"/>
  <c r="Q822" i="3" s="1"/>
  <c r="Q820" i="3"/>
  <c r="Q824" i="3" s="1"/>
  <c r="Q817" i="3"/>
  <c r="Q821" i="3" s="1"/>
  <c r="Q819" i="3"/>
  <c r="Q823" i="3" s="1"/>
  <c r="P817" i="3"/>
  <c r="P821" i="3" s="1"/>
  <c r="P819" i="3"/>
  <c r="P823" i="3" s="1"/>
  <c r="P818" i="3"/>
  <c r="P822" i="3" s="1"/>
  <c r="P820" i="3"/>
  <c r="P824" i="3" s="1"/>
  <c r="O819" i="3"/>
  <c r="O823" i="3" s="1"/>
  <c r="O817" i="3"/>
  <c r="O821" i="3" s="1"/>
  <c r="O820" i="3"/>
  <c r="O824" i="3" s="1"/>
  <c r="O818" i="3"/>
  <c r="O822" i="3" s="1"/>
  <c r="N820" i="3"/>
  <c r="N824" i="3" s="1"/>
  <c r="N818" i="3"/>
  <c r="N822" i="3" s="1"/>
  <c r="N819" i="3"/>
  <c r="N823" i="3" s="1"/>
  <c r="N817" i="3"/>
  <c r="N821" i="3" s="1"/>
  <c r="O669" i="3"/>
  <c r="O673" i="3" s="1"/>
  <c r="O670" i="3"/>
  <c r="O674" i="3" s="1"/>
  <c r="G47" i="15"/>
  <c r="N669" i="3"/>
  <c r="N673" i="3" s="1"/>
  <c r="N670" i="3"/>
  <c r="N674" i="3" s="1"/>
  <c r="N644" i="3"/>
  <c r="N648" i="3" s="1"/>
  <c r="N645" i="3"/>
  <c r="N649" i="3" s="1"/>
  <c r="C46" i="15"/>
  <c r="D645" i="3"/>
  <c r="D649" i="3" s="1"/>
  <c r="D644" i="3"/>
  <c r="D648" i="3" s="1"/>
  <c r="Q620" i="3"/>
  <c r="Q624" i="3" s="1"/>
  <c r="Q619" i="3"/>
  <c r="Q623" i="3" s="1"/>
  <c r="D618" i="3"/>
  <c r="D622" i="3" s="1"/>
  <c r="D620" i="3"/>
  <c r="D624" i="3" s="1"/>
  <c r="D619" i="3"/>
  <c r="D623" i="3" s="1"/>
  <c r="O168" i="3"/>
  <c r="O172" i="3" s="1"/>
  <c r="O169" i="3"/>
  <c r="O173" i="3" s="1"/>
  <c r="Q44" i="14"/>
  <c r="D90" i="4"/>
  <c r="D92" i="4" s="1"/>
  <c r="H43" i="13"/>
  <c r="Q43" i="14"/>
  <c r="P43" i="14"/>
  <c r="M43" i="17"/>
  <c r="L42" i="17"/>
  <c r="P42" i="14"/>
  <c r="Q42" i="14"/>
  <c r="M42" i="15"/>
  <c r="L42" i="15"/>
  <c r="D42" i="15"/>
  <c r="E42" i="15"/>
  <c r="Q42" i="13"/>
  <c r="P42" i="13"/>
  <c r="Q41" i="14"/>
  <c r="H41" i="13"/>
  <c r="I41" i="13"/>
  <c r="D41" i="15"/>
  <c r="L41" i="17"/>
  <c r="H41" i="15"/>
  <c r="I41" i="15"/>
  <c r="M41" i="13"/>
  <c r="G21" i="15"/>
  <c r="M40" i="17"/>
  <c r="L40" i="17"/>
  <c r="Q40" i="14"/>
  <c r="P40" i="14"/>
  <c r="H40" i="15"/>
  <c r="I40" i="15"/>
  <c r="Q39" i="15"/>
  <c r="E39" i="14"/>
  <c r="I39" i="14"/>
  <c r="H39" i="14"/>
  <c r="M39" i="15"/>
  <c r="H39" i="13"/>
  <c r="I39" i="13"/>
  <c r="E445" i="3"/>
  <c r="E449" i="3" s="1"/>
  <c r="E443" i="3"/>
  <c r="E447" i="3" s="1"/>
  <c r="E444" i="3"/>
  <c r="E448" i="3" s="1"/>
  <c r="E46" i="17"/>
  <c r="I46" i="13"/>
  <c r="M21" i="15"/>
  <c r="H21" i="15"/>
  <c r="T587" i="3"/>
  <c r="I487" i="3"/>
  <c r="M587" i="3"/>
  <c r="I662" i="3"/>
  <c r="R612" i="3"/>
  <c r="S537" i="3"/>
  <c r="P787" i="3"/>
  <c r="T537" i="3"/>
  <c r="Q512" i="3"/>
  <c r="K587" i="3"/>
  <c r="O462" i="3"/>
  <c r="P512" i="3"/>
  <c r="E537" i="3"/>
  <c r="S562" i="3"/>
  <c r="U587" i="3"/>
  <c r="M662" i="3"/>
  <c r="L737" i="3"/>
  <c r="S587" i="3"/>
  <c r="R762" i="3"/>
  <c r="I537" i="3"/>
  <c r="R512" i="3"/>
  <c r="E762" i="3"/>
  <c r="O537" i="3"/>
  <c r="E47" i="15"/>
  <c r="L612" i="3"/>
  <c r="P612" i="3"/>
  <c r="F213" i="3"/>
  <c r="N462" i="3"/>
  <c r="D562" i="3"/>
  <c r="I587" i="3"/>
  <c r="T612" i="3"/>
  <c r="R562" i="3"/>
  <c r="N587" i="3"/>
  <c r="U537" i="3"/>
  <c r="T487" i="3"/>
  <c r="E512" i="3"/>
  <c r="J537" i="3"/>
  <c r="N612" i="3"/>
  <c r="E637" i="3"/>
  <c r="U662" i="3"/>
  <c r="H612" i="3"/>
  <c r="Q562" i="3"/>
  <c r="S462" i="3"/>
  <c r="V587" i="3"/>
  <c r="O24" i="13"/>
  <c r="J637" i="3"/>
  <c r="O637" i="3"/>
  <c r="G562" i="3"/>
  <c r="Q637" i="3"/>
  <c r="V462" i="3"/>
  <c r="E213" i="3"/>
  <c r="I512" i="3"/>
  <c r="D512" i="3"/>
  <c r="E487" i="3"/>
  <c r="E493" i="3" s="1"/>
  <c r="E497" i="3" s="1"/>
  <c r="P637" i="3"/>
  <c r="Q537" i="3"/>
  <c r="E562" i="3"/>
  <c r="K537" i="3"/>
  <c r="H487" i="3"/>
  <c r="K512" i="3"/>
  <c r="R537" i="3"/>
  <c r="T562" i="3"/>
  <c r="F612" i="3"/>
  <c r="H637" i="3"/>
  <c r="K662" i="3"/>
  <c r="Q487" i="3"/>
  <c r="M46" i="17"/>
  <c r="J587" i="3"/>
  <c r="H662" i="3"/>
  <c r="M26" i="17"/>
  <c r="L26" i="17"/>
  <c r="L47" i="13"/>
  <c r="M47" i="13"/>
  <c r="M562" i="3"/>
  <c r="D23" i="13"/>
  <c r="E23" i="13"/>
  <c r="D537" i="3"/>
  <c r="K637" i="3"/>
  <c r="E462" i="3"/>
  <c r="E468" i="3" s="1"/>
  <c r="E472" i="3" s="1"/>
  <c r="G587" i="3"/>
  <c r="I562" i="3"/>
  <c r="D762" i="3"/>
  <c r="F587" i="3"/>
  <c r="O587" i="3"/>
  <c r="L762" i="3"/>
  <c r="M537" i="3"/>
  <c r="E47" i="13"/>
  <c r="L662" i="3"/>
  <c r="S487" i="3"/>
  <c r="S512" i="3"/>
  <c r="U562" i="3"/>
  <c r="J562" i="3"/>
  <c r="G612" i="3"/>
  <c r="S637" i="3"/>
  <c r="K612" i="3"/>
  <c r="G537" i="3"/>
  <c r="N762" i="3"/>
  <c r="G637" i="3"/>
  <c r="P762" i="3"/>
  <c r="P662" i="3"/>
  <c r="P587" i="3"/>
  <c r="T512" i="3"/>
  <c r="U462" i="3"/>
  <c r="J512" i="3"/>
  <c r="M47" i="17"/>
  <c r="L47" i="17"/>
  <c r="M487" i="3"/>
  <c r="J612" i="3"/>
  <c r="O762" i="3"/>
  <c r="O562" i="3"/>
  <c r="I23" i="17"/>
  <c r="H23" i="17"/>
  <c r="M512" i="3"/>
  <c r="U637" i="3"/>
  <c r="U487" i="3"/>
  <c r="U512" i="3"/>
  <c r="H562" i="3"/>
  <c r="K562" i="3"/>
  <c r="O612" i="3"/>
  <c r="M637" i="3"/>
  <c r="M462" i="3"/>
  <c r="Q662" i="3"/>
  <c r="J487" i="3"/>
  <c r="K462" i="3"/>
  <c r="P26" i="13"/>
  <c r="I47" i="13"/>
  <c r="H47" i="13"/>
  <c r="D487" i="3"/>
  <c r="S662" i="3"/>
  <c r="Q587" i="3"/>
  <c r="G462" i="3"/>
  <c r="T662" i="3"/>
  <c r="H512" i="3"/>
  <c r="D662" i="3"/>
  <c r="P487" i="3"/>
  <c r="D587" i="3"/>
  <c r="R487" i="3"/>
  <c r="P46" i="14"/>
  <c r="R662" i="3"/>
  <c r="S762" i="3"/>
  <c r="H787" i="3"/>
  <c r="K487" i="3"/>
  <c r="P562" i="3"/>
  <c r="E587" i="3"/>
  <c r="V612" i="3"/>
  <c r="R637" i="3"/>
  <c r="S612" i="3"/>
  <c r="H462" i="3"/>
  <c r="J46" i="17"/>
  <c r="G762" i="3"/>
  <c r="J662" i="3"/>
  <c r="R587" i="3"/>
  <c r="H587" i="3"/>
  <c r="F23" i="13"/>
  <c r="Q188" i="3"/>
  <c r="P163" i="3"/>
  <c r="F21" i="15"/>
  <c r="U324" i="4"/>
  <c r="U329" i="4" s="1"/>
  <c r="G74" i="17"/>
  <c r="U325" i="4"/>
  <c r="U330" i="4" s="1"/>
  <c r="H74" i="17"/>
  <c r="U326" i="4"/>
  <c r="U331" i="4" s="1"/>
  <c r="I74" i="17"/>
  <c r="U323" i="4"/>
  <c r="U328" i="4" s="1"/>
  <c r="F74" i="17"/>
  <c r="C74" i="16"/>
  <c r="R324" i="4"/>
  <c r="R329" i="4" s="1"/>
  <c r="H324" i="4"/>
  <c r="H329" i="4" s="1"/>
  <c r="O74" i="13"/>
  <c r="K325" i="4"/>
  <c r="K330" i="4" s="1"/>
  <c r="L74" i="14"/>
  <c r="E324" i="4"/>
  <c r="E329" i="4" s="1"/>
  <c r="C74" i="13"/>
  <c r="N323" i="4"/>
  <c r="N328" i="4" s="1"/>
  <c r="F325" i="4"/>
  <c r="F330" i="4" s="1"/>
  <c r="H74" i="13"/>
  <c r="Q323" i="4"/>
  <c r="Q328" i="4" s="1"/>
  <c r="N74" i="15"/>
  <c r="J326" i="4"/>
  <c r="J331" i="4" s="1"/>
  <c r="I74" i="14"/>
  <c r="R325" i="4"/>
  <c r="R330" i="4" s="1"/>
  <c r="D74" i="16"/>
  <c r="K323" i="4"/>
  <c r="K328" i="4" s="1"/>
  <c r="J74" i="14"/>
  <c r="P325" i="4"/>
  <c r="P330" i="4" s="1"/>
  <c r="L74" i="15"/>
  <c r="E325" i="4"/>
  <c r="E330" i="4" s="1"/>
  <c r="D74" i="13"/>
  <c r="N326" i="4"/>
  <c r="N331" i="4" s="1"/>
  <c r="E74" i="15"/>
  <c r="Q326" i="4"/>
  <c r="Q331" i="4" s="1"/>
  <c r="Q74" i="15"/>
  <c r="R326" i="4"/>
  <c r="R331" i="4" s="1"/>
  <c r="E74" i="16"/>
  <c r="Q324" i="4"/>
  <c r="Q329" i="4" s="1"/>
  <c r="O74" i="15"/>
  <c r="H74" i="15"/>
  <c r="O325" i="4"/>
  <c r="O330" i="4" s="1"/>
  <c r="R323" i="4"/>
  <c r="R328" i="4" s="1"/>
  <c r="B74" i="16"/>
  <c r="G326" i="4"/>
  <c r="G331" i="4" s="1"/>
  <c r="M74" i="13"/>
  <c r="P326" i="4"/>
  <c r="P331" i="4" s="1"/>
  <c r="M74" i="15"/>
  <c r="M326" i="4"/>
  <c r="M331" i="4" s="1"/>
  <c r="U74" i="14"/>
  <c r="N325" i="4"/>
  <c r="N330" i="4" s="1"/>
  <c r="D74" i="15"/>
  <c r="S325" i="4"/>
  <c r="S330" i="4" s="1"/>
  <c r="H74" i="16"/>
  <c r="S324" i="4"/>
  <c r="S329" i="4" s="1"/>
  <c r="G74" i="16"/>
  <c r="O323" i="4"/>
  <c r="O328" i="4" s="1"/>
  <c r="F74" i="15"/>
  <c r="G325" i="4"/>
  <c r="G330" i="4" s="1"/>
  <c r="L74" i="13"/>
  <c r="L326" i="4"/>
  <c r="L331" i="4" s="1"/>
  <c r="Q74" i="14"/>
  <c r="P324" i="4"/>
  <c r="P329" i="4" s="1"/>
  <c r="K74" i="15"/>
  <c r="M324" i="4"/>
  <c r="M329" i="4" s="1"/>
  <c r="S74" i="14"/>
  <c r="S323" i="4"/>
  <c r="S328" i="4" s="1"/>
  <c r="F74" i="16"/>
  <c r="I325" i="4"/>
  <c r="I330" i="4" s="1"/>
  <c r="D74" i="14"/>
  <c r="N324" i="4"/>
  <c r="N329" i="4" s="1"/>
  <c r="C74" i="15"/>
  <c r="O326" i="4"/>
  <c r="O331" i="4" s="1"/>
  <c r="I74" i="15"/>
  <c r="H325" i="4"/>
  <c r="H330" i="4" s="1"/>
  <c r="P74" i="13"/>
  <c r="G324" i="4"/>
  <c r="G329" i="4" s="1"/>
  <c r="K74" i="13"/>
  <c r="O74" i="14"/>
  <c r="L324" i="4"/>
  <c r="L329" i="4" s="1"/>
  <c r="R74" i="14"/>
  <c r="M323" i="4"/>
  <c r="M328" i="4" s="1"/>
  <c r="F323" i="4"/>
  <c r="F328" i="4" s="1"/>
  <c r="F74" i="13"/>
  <c r="S326" i="4"/>
  <c r="S331" i="4" s="1"/>
  <c r="I74" i="16"/>
  <c r="I323" i="4"/>
  <c r="I328" i="4" s="1"/>
  <c r="B74" i="14"/>
  <c r="J323" i="4"/>
  <c r="J328" i="4" s="1"/>
  <c r="F74" i="14"/>
  <c r="K326" i="4"/>
  <c r="K331" i="4" s="1"/>
  <c r="M74" i="14"/>
  <c r="G74" i="14"/>
  <c r="J324" i="4"/>
  <c r="J329" i="4" s="1"/>
  <c r="O324" i="4"/>
  <c r="O329" i="4" s="1"/>
  <c r="G74" i="15"/>
  <c r="H323" i="4"/>
  <c r="H328" i="4" s="1"/>
  <c r="N74" i="13"/>
  <c r="L325" i="4"/>
  <c r="L330" i="4" s="1"/>
  <c r="P74" i="14"/>
  <c r="B74" i="13"/>
  <c r="E323" i="4"/>
  <c r="E328" i="4" s="1"/>
  <c r="M325" i="4"/>
  <c r="M330" i="4" s="1"/>
  <c r="T74" i="14"/>
  <c r="F326" i="4"/>
  <c r="F331" i="4" s="1"/>
  <c r="I74" i="13"/>
  <c r="I326" i="4"/>
  <c r="I331" i="4" s="1"/>
  <c r="E74" i="14"/>
  <c r="J74" i="13"/>
  <c r="G323" i="4"/>
  <c r="G328" i="4" s="1"/>
  <c r="P323" i="4"/>
  <c r="P328" i="4" s="1"/>
  <c r="J74" i="15"/>
  <c r="J325" i="4"/>
  <c r="J330" i="4" s="1"/>
  <c r="H74" i="14"/>
  <c r="H326" i="4"/>
  <c r="H331" i="4" s="1"/>
  <c r="Q74" i="13"/>
  <c r="K324" i="4"/>
  <c r="K329" i="4" s="1"/>
  <c r="K74" i="14"/>
  <c r="L323" i="4"/>
  <c r="L328" i="4" s="1"/>
  <c r="N74" i="14"/>
  <c r="E326" i="4"/>
  <c r="E331" i="4" s="1"/>
  <c r="E74" i="13"/>
  <c r="F324" i="4"/>
  <c r="F329" i="4" s="1"/>
  <c r="G74" i="13"/>
  <c r="P74" i="15"/>
  <c r="Q325" i="4"/>
  <c r="Q330" i="4" s="1"/>
  <c r="I324" i="4"/>
  <c r="I329" i="4" s="1"/>
  <c r="C74" i="14"/>
  <c r="D74" i="12"/>
  <c r="D325" i="4"/>
  <c r="D330" i="4" s="1"/>
  <c r="E74" i="12"/>
  <c r="D326" i="4"/>
  <c r="D331" i="4" s="1"/>
  <c r="C74" i="12"/>
  <c r="D324" i="4"/>
  <c r="D329" i="4" s="1"/>
  <c r="B74" i="12"/>
  <c r="D323" i="4"/>
  <c r="D328" i="4" s="1"/>
  <c r="D122" i="4"/>
  <c r="G205" i="3"/>
  <c r="G206" i="3" s="1"/>
  <c r="G207" i="3" s="1"/>
  <c r="O39" i="14"/>
  <c r="O46" i="14"/>
  <c r="G20" i="15"/>
  <c r="I20" i="15"/>
  <c r="H20" i="15"/>
  <c r="E785" i="3"/>
  <c r="M785" i="3"/>
  <c r="E810" i="3"/>
  <c r="E812" i="3" s="1"/>
  <c r="T810" i="3"/>
  <c r="T812" i="3" s="1"/>
  <c r="D785" i="3"/>
  <c r="D787" i="3" s="1"/>
  <c r="D810" i="3"/>
  <c r="D812" i="3" s="1"/>
  <c r="M810" i="3"/>
  <c r="M812" i="3" s="1"/>
  <c r="T785" i="3"/>
  <c r="U810" i="3"/>
  <c r="U812" i="3" s="1"/>
  <c r="V785" i="3"/>
  <c r="U785" i="3"/>
  <c r="S810" i="3"/>
  <c r="S812" i="3" s="1"/>
  <c r="R810" i="3"/>
  <c r="R812" i="3" s="1"/>
  <c r="S785" i="3"/>
  <c r="S787" i="3" s="1"/>
  <c r="R785" i="3"/>
  <c r="O785" i="3"/>
  <c r="Q785" i="3"/>
  <c r="Q787" i="3" s="1"/>
  <c r="N785" i="3"/>
  <c r="L810" i="3"/>
  <c r="K810" i="3"/>
  <c r="K812" i="3" s="1"/>
  <c r="J810" i="3"/>
  <c r="J812" i="3" s="1"/>
  <c r="J785" i="3"/>
  <c r="L785" i="3"/>
  <c r="K785" i="3"/>
  <c r="K787" i="3" s="1"/>
  <c r="I785" i="3"/>
  <c r="F785" i="3"/>
  <c r="G785" i="3"/>
  <c r="G787" i="3" s="1"/>
  <c r="H203" i="3"/>
  <c r="H205" i="3" s="1"/>
  <c r="H206" i="3" s="1"/>
  <c r="H207" i="3" s="1"/>
  <c r="R183" i="3"/>
  <c r="R184" i="3" s="1"/>
  <c r="R186" i="3" s="1"/>
  <c r="U178" i="3"/>
  <c r="T180" i="3"/>
  <c r="S181" i="3"/>
  <c r="S182" i="3" s="1"/>
  <c r="R158" i="3"/>
  <c r="R159" i="3" s="1"/>
  <c r="R161" i="3" s="1"/>
  <c r="S156" i="3"/>
  <c r="S157" i="3" s="1"/>
  <c r="T155" i="3"/>
  <c r="U153" i="3"/>
  <c r="Q159" i="3"/>
  <c r="Q161" i="3" s="1"/>
  <c r="D24" i="14"/>
  <c r="C24" i="14"/>
  <c r="E24" i="14"/>
  <c r="C39" i="12"/>
  <c r="D175" i="4"/>
  <c r="D177" i="4" s="1"/>
  <c r="I23" i="13"/>
  <c r="K46" i="17"/>
  <c r="G23" i="13"/>
  <c r="E23" i="15"/>
  <c r="G46" i="13"/>
  <c r="D23" i="15"/>
  <c r="C46" i="17"/>
  <c r="H23" i="13"/>
  <c r="C23" i="15"/>
  <c r="J203" i="3"/>
  <c r="I205" i="3"/>
  <c r="F432" i="3"/>
  <c r="F433" i="3" s="1"/>
  <c r="F435" i="3" s="1"/>
  <c r="F437" i="3" s="1"/>
  <c r="I429" i="3"/>
  <c r="H430" i="3"/>
  <c r="H431" i="3" s="1"/>
  <c r="G430" i="3"/>
  <c r="G431" i="3" s="1"/>
  <c r="V61" i="4"/>
  <c r="V62" i="4" s="1"/>
  <c r="U34" i="4"/>
  <c r="U35" i="4" s="1"/>
  <c r="V620" i="3" l="1"/>
  <c r="V624" i="3" s="1"/>
  <c r="V619" i="3"/>
  <c r="V623" i="3" s="1"/>
  <c r="V617" i="3"/>
  <c r="V621" i="3" s="1"/>
  <c r="V618" i="3"/>
  <c r="V622" i="3" s="1"/>
  <c r="T770" i="3"/>
  <c r="T774" i="3" s="1"/>
  <c r="E24" i="17"/>
  <c r="T767" i="3"/>
  <c r="T771" i="3" s="1"/>
  <c r="B24" i="17"/>
  <c r="T769" i="3"/>
  <c r="T773" i="3" s="1"/>
  <c r="D24" i="17"/>
  <c r="T768" i="3"/>
  <c r="T772" i="3" s="1"/>
  <c r="C24" i="17"/>
  <c r="D132" i="4"/>
  <c r="V667" i="3"/>
  <c r="V671" i="3" s="1"/>
  <c r="V668" i="3"/>
  <c r="V672" i="3" s="1"/>
  <c r="I43" i="13"/>
  <c r="V492" i="3"/>
  <c r="V496" i="3" s="1"/>
  <c r="V493" i="3"/>
  <c r="V497" i="3" s="1"/>
  <c r="L39" i="15"/>
  <c r="D39" i="16"/>
  <c r="D47" i="15"/>
  <c r="Q46" i="14"/>
  <c r="D45" i="13"/>
  <c r="P44" i="14"/>
  <c r="P41" i="14"/>
  <c r="M41" i="17"/>
  <c r="E39" i="16"/>
  <c r="K817" i="3"/>
  <c r="K821" i="3" s="1"/>
  <c r="K820" i="3"/>
  <c r="K824" i="3" s="1"/>
  <c r="K819" i="3"/>
  <c r="K823" i="3" s="1"/>
  <c r="K818" i="3"/>
  <c r="K822" i="3" s="1"/>
  <c r="R820" i="3"/>
  <c r="R824" i="3" s="1"/>
  <c r="R819" i="3"/>
  <c r="R823" i="3" s="1"/>
  <c r="R817" i="3"/>
  <c r="R821" i="3" s="1"/>
  <c r="R818" i="3"/>
  <c r="R822" i="3" s="1"/>
  <c r="M820" i="3"/>
  <c r="M824" i="3" s="1"/>
  <c r="M817" i="3"/>
  <c r="M821" i="3" s="1"/>
  <c r="M819" i="3"/>
  <c r="M823" i="3" s="1"/>
  <c r="M818" i="3"/>
  <c r="M822" i="3" s="1"/>
  <c r="E819" i="3"/>
  <c r="E823" i="3" s="1"/>
  <c r="E818" i="3"/>
  <c r="E822" i="3" s="1"/>
  <c r="E817" i="3"/>
  <c r="E821" i="3" s="1"/>
  <c r="E820" i="3"/>
  <c r="E824" i="3" s="1"/>
  <c r="J817" i="3"/>
  <c r="J821" i="3" s="1"/>
  <c r="J820" i="3"/>
  <c r="J824" i="3" s="1"/>
  <c r="J818" i="3"/>
  <c r="J822" i="3" s="1"/>
  <c r="J819" i="3"/>
  <c r="J823" i="3" s="1"/>
  <c r="T819" i="3"/>
  <c r="T823" i="3" s="1"/>
  <c r="T820" i="3"/>
  <c r="T824" i="3" s="1"/>
  <c r="T818" i="3"/>
  <c r="T822" i="3" s="1"/>
  <c r="T817" i="3"/>
  <c r="T821" i="3" s="1"/>
  <c r="S819" i="3"/>
  <c r="S823" i="3" s="1"/>
  <c r="S818" i="3"/>
  <c r="S822" i="3" s="1"/>
  <c r="S817" i="3"/>
  <c r="S821" i="3" s="1"/>
  <c r="S820" i="3"/>
  <c r="S824" i="3" s="1"/>
  <c r="U819" i="3"/>
  <c r="U823" i="3" s="1"/>
  <c r="U818" i="3"/>
  <c r="U822" i="3" s="1"/>
  <c r="U817" i="3"/>
  <c r="U821" i="3" s="1"/>
  <c r="U820" i="3"/>
  <c r="U824" i="3" s="1"/>
  <c r="S794" i="3"/>
  <c r="S798" i="3" s="1"/>
  <c r="S793" i="3"/>
  <c r="S797" i="3" s="1"/>
  <c r="S792" i="3"/>
  <c r="S796" i="3" s="1"/>
  <c r="S795" i="3"/>
  <c r="S799" i="3" s="1"/>
  <c r="K792" i="3"/>
  <c r="K796" i="3" s="1"/>
  <c r="K795" i="3"/>
  <c r="K799" i="3" s="1"/>
  <c r="K794" i="3"/>
  <c r="K798" i="3" s="1"/>
  <c r="K793" i="3"/>
  <c r="K797" i="3" s="1"/>
  <c r="H793" i="3"/>
  <c r="H797" i="3" s="1"/>
  <c r="H792" i="3"/>
  <c r="H796" i="3" s="1"/>
  <c r="H795" i="3"/>
  <c r="H799" i="3" s="1"/>
  <c r="H794" i="3"/>
  <c r="H798" i="3" s="1"/>
  <c r="G793" i="3"/>
  <c r="G797" i="3" s="1"/>
  <c r="G792" i="3"/>
  <c r="G796" i="3" s="1"/>
  <c r="G795" i="3"/>
  <c r="G799" i="3" s="1"/>
  <c r="G794" i="3"/>
  <c r="G798" i="3" s="1"/>
  <c r="O770" i="3"/>
  <c r="O774" i="3" s="1"/>
  <c r="O767" i="3"/>
  <c r="O771" i="3" s="1"/>
  <c r="O768" i="3"/>
  <c r="O772" i="3" s="1"/>
  <c r="O769" i="3"/>
  <c r="O773" i="3" s="1"/>
  <c r="Q24" i="15"/>
  <c r="S769" i="3"/>
  <c r="S773" i="3" s="1"/>
  <c r="S770" i="3"/>
  <c r="S774" i="3" s="1"/>
  <c r="S768" i="3"/>
  <c r="S772" i="3" s="1"/>
  <c r="S767" i="3"/>
  <c r="S771" i="3" s="1"/>
  <c r="P770" i="3"/>
  <c r="P774" i="3" s="1"/>
  <c r="P768" i="3"/>
  <c r="P772" i="3" s="1"/>
  <c r="P769" i="3"/>
  <c r="P773" i="3" s="1"/>
  <c r="P767" i="3"/>
  <c r="P771" i="3" s="1"/>
  <c r="R768" i="3"/>
  <c r="R772" i="3" s="1"/>
  <c r="R770" i="3"/>
  <c r="R774" i="3" s="1"/>
  <c r="R769" i="3"/>
  <c r="R773" i="3" s="1"/>
  <c r="R767" i="3"/>
  <c r="R771" i="3" s="1"/>
  <c r="E768" i="3"/>
  <c r="E772" i="3" s="1"/>
  <c r="E767" i="3"/>
  <c r="E771" i="3" s="1"/>
  <c r="E769" i="3"/>
  <c r="E773" i="3" s="1"/>
  <c r="E770" i="3"/>
  <c r="E774" i="3" s="1"/>
  <c r="G768" i="3"/>
  <c r="G772" i="3" s="1"/>
  <c r="G769" i="3"/>
  <c r="G773" i="3" s="1"/>
  <c r="G770" i="3"/>
  <c r="G774" i="3" s="1"/>
  <c r="G767" i="3"/>
  <c r="G771" i="3" s="1"/>
  <c r="N769" i="3"/>
  <c r="N773" i="3" s="1"/>
  <c r="N770" i="3"/>
  <c r="N774" i="3" s="1"/>
  <c r="N768" i="3"/>
  <c r="N772" i="3" s="1"/>
  <c r="N767" i="3"/>
  <c r="N771" i="3" s="1"/>
  <c r="L767" i="3"/>
  <c r="L771" i="3" s="1"/>
  <c r="L770" i="3"/>
  <c r="L774" i="3" s="1"/>
  <c r="L769" i="3"/>
  <c r="L773" i="3" s="1"/>
  <c r="L768" i="3"/>
  <c r="L772" i="3" s="1"/>
  <c r="M767" i="3"/>
  <c r="M771" i="3" s="1"/>
  <c r="R24" i="14"/>
  <c r="U743" i="3"/>
  <c r="U747" i="3" s="1"/>
  <c r="U742" i="3"/>
  <c r="U746" i="3" s="1"/>
  <c r="T743" i="3"/>
  <c r="T747" i="3" s="1"/>
  <c r="S743" i="3"/>
  <c r="S747" i="3" s="1"/>
  <c r="S742" i="3"/>
  <c r="S746" i="3" s="1"/>
  <c r="R743" i="3"/>
  <c r="R747" i="3" s="1"/>
  <c r="R742" i="3"/>
  <c r="R746" i="3" s="1"/>
  <c r="Q743" i="3"/>
  <c r="Q747" i="3" s="1"/>
  <c r="Q742" i="3"/>
  <c r="Q746" i="3" s="1"/>
  <c r="P742" i="3"/>
  <c r="P746" i="3" s="1"/>
  <c r="P743" i="3"/>
  <c r="P747" i="3" s="1"/>
  <c r="O742" i="3"/>
  <c r="O746" i="3" s="1"/>
  <c r="O743" i="3"/>
  <c r="O747" i="3" s="1"/>
  <c r="M743" i="3"/>
  <c r="M747" i="3" s="1"/>
  <c r="L745" i="3"/>
  <c r="L749" i="3" s="1"/>
  <c r="L744" i="3"/>
  <c r="L748" i="3" s="1"/>
  <c r="K742" i="3"/>
  <c r="K746" i="3" s="1"/>
  <c r="K743" i="3"/>
  <c r="K747" i="3" s="1"/>
  <c r="J742" i="3"/>
  <c r="J746" i="3" s="1"/>
  <c r="J743" i="3"/>
  <c r="J747" i="3" s="1"/>
  <c r="I742" i="3"/>
  <c r="I746" i="3" s="1"/>
  <c r="I743" i="3"/>
  <c r="I747" i="3" s="1"/>
  <c r="H742" i="3"/>
  <c r="H746" i="3" s="1"/>
  <c r="H743" i="3"/>
  <c r="H747" i="3" s="1"/>
  <c r="G742" i="3"/>
  <c r="G746" i="3" s="1"/>
  <c r="G743" i="3"/>
  <c r="G747" i="3" s="1"/>
  <c r="E743" i="3"/>
  <c r="E747" i="3" s="1"/>
  <c r="E742" i="3"/>
  <c r="E746" i="3" s="1"/>
  <c r="R694" i="3"/>
  <c r="R698" i="3" s="1"/>
  <c r="D48" i="16"/>
  <c r="O692" i="3"/>
  <c r="O696" i="3" s="1"/>
  <c r="F48" i="15"/>
  <c r="O693" i="3"/>
  <c r="O697" i="3" s="1"/>
  <c r="G48" i="15"/>
  <c r="F693" i="3"/>
  <c r="F697" i="3" s="1"/>
  <c r="G48" i="13"/>
  <c r="S692" i="3"/>
  <c r="S696" i="3" s="1"/>
  <c r="F48" i="16"/>
  <c r="Q692" i="3"/>
  <c r="Q696" i="3" s="1"/>
  <c r="N48" i="15"/>
  <c r="G694" i="3"/>
  <c r="G698" i="3" s="1"/>
  <c r="L48" i="13"/>
  <c r="E692" i="3"/>
  <c r="E696" i="3" s="1"/>
  <c r="B48" i="13"/>
  <c r="U693" i="3"/>
  <c r="U697" i="3" s="1"/>
  <c r="G48" i="17"/>
  <c r="I48" i="13"/>
  <c r="F695" i="3"/>
  <c r="F699" i="3" s="1"/>
  <c r="I692" i="3"/>
  <c r="I696" i="3" s="1"/>
  <c r="B48" i="14"/>
  <c r="O694" i="3"/>
  <c r="O698" i="3" s="1"/>
  <c r="H48" i="15"/>
  <c r="G693" i="3"/>
  <c r="G697" i="3" s="1"/>
  <c r="K48" i="13"/>
  <c r="Q695" i="3"/>
  <c r="Q699" i="3" s="1"/>
  <c r="Q48" i="15"/>
  <c r="M48" i="13"/>
  <c r="G695" i="3"/>
  <c r="G699" i="3" s="1"/>
  <c r="E693" i="3"/>
  <c r="E697" i="3" s="1"/>
  <c r="C48" i="13"/>
  <c r="U694" i="3"/>
  <c r="U698" i="3" s="1"/>
  <c r="H48" i="17"/>
  <c r="V694" i="3"/>
  <c r="V698" i="3" s="1"/>
  <c r="L48" i="17"/>
  <c r="R692" i="3"/>
  <c r="R696" i="3" s="1"/>
  <c r="B48" i="16"/>
  <c r="J694" i="3"/>
  <c r="J698" i="3" s="1"/>
  <c r="H48" i="14"/>
  <c r="T692" i="3"/>
  <c r="T696" i="3" s="1"/>
  <c r="B48" i="17"/>
  <c r="N694" i="3"/>
  <c r="N698" i="3" s="1"/>
  <c r="D48" i="15"/>
  <c r="S695" i="3"/>
  <c r="S699" i="3" s="1"/>
  <c r="I48" i="16"/>
  <c r="U695" i="3"/>
  <c r="U699" i="3" s="1"/>
  <c r="I48" i="17"/>
  <c r="U692" i="3"/>
  <c r="U696" i="3" s="1"/>
  <c r="F48" i="17"/>
  <c r="Q693" i="3"/>
  <c r="Q697" i="3" s="1"/>
  <c r="O48" i="15"/>
  <c r="J693" i="3"/>
  <c r="J697" i="3" s="1"/>
  <c r="G48" i="14"/>
  <c r="C48" i="14"/>
  <c r="I693" i="3"/>
  <c r="I697" i="3" s="1"/>
  <c r="E694" i="3"/>
  <c r="E698" i="3" s="1"/>
  <c r="D48" i="13"/>
  <c r="V692" i="3"/>
  <c r="V696" i="3" s="1"/>
  <c r="J48" i="17"/>
  <c r="N695" i="3"/>
  <c r="N699" i="3" s="1"/>
  <c r="E48" i="15"/>
  <c r="R693" i="3"/>
  <c r="R697" i="3" s="1"/>
  <c r="C48" i="16"/>
  <c r="S693" i="3"/>
  <c r="S697" i="3" s="1"/>
  <c r="G48" i="16"/>
  <c r="S694" i="3"/>
  <c r="S698" i="3" s="1"/>
  <c r="H48" i="16"/>
  <c r="F692" i="3"/>
  <c r="F696" i="3" s="1"/>
  <c r="F48" i="13"/>
  <c r="G692" i="3"/>
  <c r="G696" i="3" s="1"/>
  <c r="J48" i="13"/>
  <c r="O695" i="3"/>
  <c r="O699" i="3" s="1"/>
  <c r="I48" i="15"/>
  <c r="F694" i="3"/>
  <c r="F698" i="3" s="1"/>
  <c r="H48" i="13"/>
  <c r="Q694" i="3"/>
  <c r="Q698" i="3" s="1"/>
  <c r="P48" i="15"/>
  <c r="J695" i="3"/>
  <c r="J699" i="3" s="1"/>
  <c r="I48" i="14"/>
  <c r="I695" i="3"/>
  <c r="I699" i="3" s="1"/>
  <c r="E48" i="14"/>
  <c r="E695" i="3"/>
  <c r="E699" i="3" s="1"/>
  <c r="E48" i="13"/>
  <c r="T694" i="3"/>
  <c r="T698" i="3" s="1"/>
  <c r="D48" i="17"/>
  <c r="V695" i="3"/>
  <c r="V699" i="3" s="1"/>
  <c r="M48" i="17"/>
  <c r="N692" i="3"/>
  <c r="N696" i="3" s="1"/>
  <c r="T695" i="3"/>
  <c r="T699" i="3" s="1"/>
  <c r="E48" i="17"/>
  <c r="N693" i="3"/>
  <c r="N697" i="3" s="1"/>
  <c r="C48" i="15"/>
  <c r="R695" i="3"/>
  <c r="R699" i="3" s="1"/>
  <c r="E48" i="16"/>
  <c r="J692" i="3"/>
  <c r="J696" i="3" s="1"/>
  <c r="F48" i="14"/>
  <c r="I694" i="3"/>
  <c r="I698" i="3" s="1"/>
  <c r="D48" i="14"/>
  <c r="C48" i="17"/>
  <c r="T693" i="3"/>
  <c r="T697" i="3" s="1"/>
  <c r="V693" i="3"/>
  <c r="V697" i="3" s="1"/>
  <c r="K48" i="17"/>
  <c r="U670" i="3"/>
  <c r="U674" i="3" s="1"/>
  <c r="U669" i="3"/>
  <c r="U673" i="3" s="1"/>
  <c r="T669" i="3"/>
  <c r="T673" i="3" s="1"/>
  <c r="T670" i="3"/>
  <c r="T674" i="3" s="1"/>
  <c r="I47" i="15"/>
  <c r="H47" i="15"/>
  <c r="M669" i="3"/>
  <c r="M673" i="3" s="1"/>
  <c r="M670" i="3"/>
  <c r="M674" i="3" s="1"/>
  <c r="L670" i="3"/>
  <c r="L674" i="3" s="1"/>
  <c r="L669" i="3"/>
  <c r="L673" i="3" s="1"/>
  <c r="K670" i="3"/>
  <c r="K674" i="3" s="1"/>
  <c r="K669" i="3"/>
  <c r="K673" i="3" s="1"/>
  <c r="J670" i="3"/>
  <c r="J674" i="3" s="1"/>
  <c r="J669" i="3"/>
  <c r="J673" i="3" s="1"/>
  <c r="I669" i="3"/>
  <c r="I673" i="3" s="1"/>
  <c r="I670" i="3"/>
  <c r="I674" i="3" s="1"/>
  <c r="H669" i="3"/>
  <c r="H673" i="3" s="1"/>
  <c r="H670" i="3"/>
  <c r="H674" i="3" s="1"/>
  <c r="G667" i="3"/>
  <c r="G671" i="3" s="1"/>
  <c r="G668" i="3"/>
  <c r="G672" i="3" s="1"/>
  <c r="F668" i="3"/>
  <c r="F672" i="3" s="1"/>
  <c r="F667" i="3"/>
  <c r="F671" i="3" s="1"/>
  <c r="D47" i="13"/>
  <c r="E668" i="3"/>
  <c r="E672" i="3" s="1"/>
  <c r="E667" i="3"/>
  <c r="E671" i="3" s="1"/>
  <c r="U645" i="3"/>
  <c r="U649" i="3" s="1"/>
  <c r="U644" i="3"/>
  <c r="U648" i="3" s="1"/>
  <c r="T643" i="3"/>
  <c r="T647" i="3" s="1"/>
  <c r="M645" i="3"/>
  <c r="M649" i="3" s="1"/>
  <c r="M644" i="3"/>
  <c r="M648" i="3" s="1"/>
  <c r="L643" i="3"/>
  <c r="L647" i="3" s="1"/>
  <c r="K645" i="3"/>
  <c r="K649" i="3" s="1"/>
  <c r="K644" i="3"/>
  <c r="K648" i="3" s="1"/>
  <c r="J645" i="3"/>
  <c r="J649" i="3" s="1"/>
  <c r="J644" i="3"/>
  <c r="J648" i="3" s="1"/>
  <c r="I643" i="3"/>
  <c r="I647" i="3" s="1"/>
  <c r="H645" i="3"/>
  <c r="H649" i="3" s="1"/>
  <c r="H644" i="3"/>
  <c r="H648" i="3" s="1"/>
  <c r="G645" i="3"/>
  <c r="G649" i="3" s="1"/>
  <c r="G644" i="3"/>
  <c r="G648" i="3" s="1"/>
  <c r="F643" i="3"/>
  <c r="F647" i="3" s="1"/>
  <c r="F642" i="3"/>
  <c r="F646" i="3" s="1"/>
  <c r="E644" i="3"/>
  <c r="E648" i="3" s="1"/>
  <c r="E645" i="3"/>
  <c r="E649" i="3" s="1"/>
  <c r="D46" i="12"/>
  <c r="E46" i="12"/>
  <c r="T618" i="3"/>
  <c r="T622" i="3" s="1"/>
  <c r="T620" i="3"/>
  <c r="T624" i="3" s="1"/>
  <c r="T619" i="3"/>
  <c r="T623" i="3" s="1"/>
  <c r="M617" i="3"/>
  <c r="M621" i="3" s="1"/>
  <c r="M618" i="3"/>
  <c r="M622" i="3" s="1"/>
  <c r="L619" i="3"/>
  <c r="L623" i="3" s="1"/>
  <c r="L620" i="3"/>
  <c r="L624" i="3" s="1"/>
  <c r="K619" i="3"/>
  <c r="K623" i="3" s="1"/>
  <c r="K620" i="3"/>
  <c r="K624" i="3" s="1"/>
  <c r="K618" i="3"/>
  <c r="K622" i="3" s="1"/>
  <c r="J619" i="3"/>
  <c r="J623" i="3" s="1"/>
  <c r="J620" i="3"/>
  <c r="J624" i="3" s="1"/>
  <c r="J618" i="3"/>
  <c r="J622" i="3" s="1"/>
  <c r="H620" i="3"/>
  <c r="H624" i="3" s="1"/>
  <c r="H618" i="3"/>
  <c r="H622" i="3" s="1"/>
  <c r="H619" i="3"/>
  <c r="H623" i="3" s="1"/>
  <c r="G620" i="3"/>
  <c r="G624" i="3" s="1"/>
  <c r="G619" i="3"/>
  <c r="G623" i="3" s="1"/>
  <c r="G618" i="3"/>
  <c r="G622" i="3" s="1"/>
  <c r="F618" i="3"/>
  <c r="F622" i="3" s="1"/>
  <c r="F619" i="3"/>
  <c r="F623" i="3" s="1"/>
  <c r="F620" i="3"/>
  <c r="F624" i="3" s="1"/>
  <c r="B45" i="13"/>
  <c r="E617" i="3"/>
  <c r="E621" i="3" s="1"/>
  <c r="E45" i="13"/>
  <c r="E620" i="3"/>
  <c r="E624" i="3" s="1"/>
  <c r="Q595" i="3"/>
  <c r="Q599" i="3" s="1"/>
  <c r="Q594" i="3"/>
  <c r="Q598" i="3" s="1"/>
  <c r="F595" i="3"/>
  <c r="F599" i="3" s="1"/>
  <c r="F594" i="3"/>
  <c r="F598" i="3" s="1"/>
  <c r="V594" i="3"/>
  <c r="V598" i="3" s="1"/>
  <c r="V595" i="3"/>
  <c r="V599" i="3" s="1"/>
  <c r="N595" i="3"/>
  <c r="N599" i="3" s="1"/>
  <c r="N594" i="3"/>
  <c r="N598" i="3" s="1"/>
  <c r="U594" i="3"/>
  <c r="U598" i="3" s="1"/>
  <c r="U595" i="3"/>
  <c r="U599" i="3" s="1"/>
  <c r="R595" i="3"/>
  <c r="R599" i="3" s="1"/>
  <c r="R594" i="3"/>
  <c r="R598" i="3" s="1"/>
  <c r="P595" i="3"/>
  <c r="P599" i="3" s="1"/>
  <c r="P594" i="3"/>
  <c r="P598" i="3" s="1"/>
  <c r="G594" i="3"/>
  <c r="G598" i="3" s="1"/>
  <c r="G595" i="3"/>
  <c r="G599" i="3" s="1"/>
  <c r="I594" i="3"/>
  <c r="I598" i="3" s="1"/>
  <c r="I595" i="3"/>
  <c r="I599" i="3" s="1"/>
  <c r="M595" i="3"/>
  <c r="M599" i="3" s="1"/>
  <c r="M594" i="3"/>
  <c r="M598" i="3" s="1"/>
  <c r="D594" i="3"/>
  <c r="D598" i="3" s="1"/>
  <c r="D595" i="3"/>
  <c r="D599" i="3" s="1"/>
  <c r="T594" i="3"/>
  <c r="T598" i="3" s="1"/>
  <c r="T595" i="3"/>
  <c r="T599" i="3" s="1"/>
  <c r="J594" i="3"/>
  <c r="J598" i="3" s="1"/>
  <c r="J595" i="3"/>
  <c r="J599" i="3" s="1"/>
  <c r="K594" i="3"/>
  <c r="K598" i="3" s="1"/>
  <c r="K595" i="3"/>
  <c r="K599" i="3" s="1"/>
  <c r="S594" i="3"/>
  <c r="S598" i="3" s="1"/>
  <c r="S595" i="3"/>
  <c r="S599" i="3" s="1"/>
  <c r="L592" i="3"/>
  <c r="L596" i="3" s="1"/>
  <c r="L593" i="3"/>
  <c r="L597" i="3" s="1"/>
  <c r="O595" i="3"/>
  <c r="O599" i="3" s="1"/>
  <c r="O594" i="3"/>
  <c r="O598" i="3" s="1"/>
  <c r="H594" i="3"/>
  <c r="H598" i="3" s="1"/>
  <c r="H595" i="3"/>
  <c r="H599" i="3" s="1"/>
  <c r="M570" i="3"/>
  <c r="M574" i="3" s="1"/>
  <c r="M569" i="3"/>
  <c r="M573" i="3" s="1"/>
  <c r="L567" i="3"/>
  <c r="L571" i="3" s="1"/>
  <c r="L568" i="3"/>
  <c r="L572" i="3" s="1"/>
  <c r="P569" i="3"/>
  <c r="P573" i="3" s="1"/>
  <c r="P570" i="3"/>
  <c r="P574" i="3" s="1"/>
  <c r="J570" i="3"/>
  <c r="J574" i="3" s="1"/>
  <c r="J569" i="3"/>
  <c r="J573" i="3" s="1"/>
  <c r="N567" i="3"/>
  <c r="N571" i="3" s="1"/>
  <c r="N568" i="3"/>
  <c r="N572" i="3" s="1"/>
  <c r="O569" i="3"/>
  <c r="O573" i="3" s="1"/>
  <c r="O570" i="3"/>
  <c r="O574" i="3" s="1"/>
  <c r="U570" i="3"/>
  <c r="U574" i="3" s="1"/>
  <c r="U569" i="3"/>
  <c r="U573" i="3" s="1"/>
  <c r="R570" i="3"/>
  <c r="R574" i="3" s="1"/>
  <c r="R569" i="3"/>
  <c r="R573" i="3" s="1"/>
  <c r="S570" i="3"/>
  <c r="S574" i="3" s="1"/>
  <c r="S569" i="3"/>
  <c r="S573" i="3" s="1"/>
  <c r="I570" i="3"/>
  <c r="I574" i="3" s="1"/>
  <c r="I569" i="3"/>
  <c r="I573" i="3" s="1"/>
  <c r="T570" i="3"/>
  <c r="T574" i="3" s="1"/>
  <c r="T569" i="3"/>
  <c r="T573" i="3" s="1"/>
  <c r="Q569" i="3"/>
  <c r="Q573" i="3" s="1"/>
  <c r="Q570" i="3"/>
  <c r="Q574" i="3" s="1"/>
  <c r="G570" i="3"/>
  <c r="G574" i="3" s="1"/>
  <c r="K43" i="13"/>
  <c r="G569" i="3"/>
  <c r="G573" i="3" s="1"/>
  <c r="D570" i="3"/>
  <c r="D574" i="3" s="1"/>
  <c r="D569" i="3"/>
  <c r="D573" i="3" s="1"/>
  <c r="F568" i="3"/>
  <c r="F572" i="3" s="1"/>
  <c r="F567" i="3"/>
  <c r="F571" i="3" s="1"/>
  <c r="K570" i="3"/>
  <c r="K574" i="3" s="1"/>
  <c r="K569" i="3"/>
  <c r="K573" i="3" s="1"/>
  <c r="H570" i="3"/>
  <c r="H574" i="3" s="1"/>
  <c r="H569" i="3"/>
  <c r="H573" i="3" s="1"/>
  <c r="V567" i="3"/>
  <c r="V571" i="3" s="1"/>
  <c r="V568" i="3"/>
  <c r="V572" i="3" s="1"/>
  <c r="U545" i="3"/>
  <c r="U549" i="3" s="1"/>
  <c r="U544" i="3"/>
  <c r="U548" i="3" s="1"/>
  <c r="F542" i="3"/>
  <c r="F546" i="3" s="1"/>
  <c r="F543" i="3"/>
  <c r="F547" i="3" s="1"/>
  <c r="S545" i="3"/>
  <c r="S549" i="3" s="1"/>
  <c r="S544" i="3"/>
  <c r="S548" i="3" s="1"/>
  <c r="V542" i="3"/>
  <c r="V546" i="3" s="1"/>
  <c r="V543" i="3"/>
  <c r="V547" i="3" s="1"/>
  <c r="R545" i="3"/>
  <c r="R549" i="3" s="1"/>
  <c r="R544" i="3"/>
  <c r="R548" i="3" s="1"/>
  <c r="O544" i="3"/>
  <c r="O548" i="3" s="1"/>
  <c r="O545" i="3"/>
  <c r="O549" i="3" s="1"/>
  <c r="L542" i="3"/>
  <c r="L546" i="3" s="1"/>
  <c r="L543" i="3"/>
  <c r="L547" i="3" s="1"/>
  <c r="K544" i="3"/>
  <c r="K548" i="3" s="1"/>
  <c r="K545" i="3"/>
  <c r="K549" i="3" s="1"/>
  <c r="I544" i="3"/>
  <c r="I548" i="3" s="1"/>
  <c r="I545" i="3"/>
  <c r="I549" i="3" s="1"/>
  <c r="N542" i="3"/>
  <c r="N546" i="3" s="1"/>
  <c r="N543" i="3"/>
  <c r="N547" i="3" s="1"/>
  <c r="D545" i="3"/>
  <c r="D549" i="3" s="1"/>
  <c r="D544" i="3"/>
  <c r="D548" i="3" s="1"/>
  <c r="J544" i="3"/>
  <c r="J548" i="3" s="1"/>
  <c r="J545" i="3"/>
  <c r="J549" i="3" s="1"/>
  <c r="G545" i="3"/>
  <c r="G549" i="3" s="1"/>
  <c r="G544" i="3"/>
  <c r="G548" i="3" s="1"/>
  <c r="M544" i="3"/>
  <c r="M548" i="3" s="1"/>
  <c r="M545" i="3"/>
  <c r="M549" i="3" s="1"/>
  <c r="Q545" i="3"/>
  <c r="Q549" i="3" s="1"/>
  <c r="Q544" i="3"/>
  <c r="Q548" i="3" s="1"/>
  <c r="M42" i="17"/>
  <c r="H542" i="3"/>
  <c r="H546" i="3" s="1"/>
  <c r="H543" i="3"/>
  <c r="H547" i="3" s="1"/>
  <c r="P543" i="3"/>
  <c r="P547" i="3" s="1"/>
  <c r="T545" i="3"/>
  <c r="T549" i="3" s="1"/>
  <c r="T544" i="3"/>
  <c r="T548" i="3" s="1"/>
  <c r="M520" i="3"/>
  <c r="M524" i="3" s="1"/>
  <c r="M519" i="3"/>
  <c r="M523" i="3" s="1"/>
  <c r="H519" i="3"/>
  <c r="H523" i="3" s="1"/>
  <c r="H520" i="3"/>
  <c r="H524" i="3" s="1"/>
  <c r="J520" i="3"/>
  <c r="J524" i="3" s="1"/>
  <c r="J519" i="3"/>
  <c r="J523" i="3" s="1"/>
  <c r="Q519" i="3"/>
  <c r="Q523" i="3" s="1"/>
  <c r="Q520" i="3"/>
  <c r="Q524" i="3" s="1"/>
  <c r="D520" i="3"/>
  <c r="D524" i="3" s="1"/>
  <c r="D519" i="3"/>
  <c r="D523" i="3" s="1"/>
  <c r="I520" i="3"/>
  <c r="I524" i="3" s="1"/>
  <c r="I519" i="3"/>
  <c r="I523" i="3" s="1"/>
  <c r="O517" i="3"/>
  <c r="O521" i="3" s="1"/>
  <c r="O518" i="3"/>
  <c r="O522" i="3" s="1"/>
  <c r="T519" i="3"/>
  <c r="T523" i="3" s="1"/>
  <c r="T520" i="3"/>
  <c r="T524" i="3" s="1"/>
  <c r="N518" i="3"/>
  <c r="N522" i="3" s="1"/>
  <c r="P519" i="3"/>
  <c r="P523" i="3" s="1"/>
  <c r="P520" i="3"/>
  <c r="P524" i="3" s="1"/>
  <c r="E41" i="15"/>
  <c r="G518" i="3"/>
  <c r="G522" i="3" s="1"/>
  <c r="G517" i="3"/>
  <c r="G521" i="3" s="1"/>
  <c r="K520" i="3"/>
  <c r="K524" i="3" s="1"/>
  <c r="K519" i="3"/>
  <c r="K523" i="3" s="1"/>
  <c r="V518" i="3"/>
  <c r="V522" i="3" s="1"/>
  <c r="R519" i="3"/>
  <c r="R523" i="3" s="1"/>
  <c r="R520" i="3"/>
  <c r="R524" i="3" s="1"/>
  <c r="F518" i="3"/>
  <c r="F522" i="3" s="1"/>
  <c r="U519" i="3"/>
  <c r="U523" i="3" s="1"/>
  <c r="U520" i="3"/>
  <c r="U524" i="3" s="1"/>
  <c r="L517" i="3"/>
  <c r="L521" i="3" s="1"/>
  <c r="L518" i="3"/>
  <c r="L522" i="3" s="1"/>
  <c r="S519" i="3"/>
  <c r="S523" i="3" s="1"/>
  <c r="S520" i="3"/>
  <c r="S524" i="3" s="1"/>
  <c r="U495" i="3"/>
  <c r="U499" i="3" s="1"/>
  <c r="U494" i="3"/>
  <c r="U498" i="3" s="1"/>
  <c r="T495" i="3"/>
  <c r="T499" i="3" s="1"/>
  <c r="T494" i="3"/>
  <c r="T498" i="3" s="1"/>
  <c r="S495" i="3"/>
  <c r="S499" i="3" s="1"/>
  <c r="S494" i="3"/>
  <c r="S498" i="3" s="1"/>
  <c r="R495" i="3"/>
  <c r="R499" i="3" s="1"/>
  <c r="R494" i="3"/>
  <c r="R498" i="3" s="1"/>
  <c r="Q495" i="3"/>
  <c r="Q499" i="3" s="1"/>
  <c r="Q494" i="3"/>
  <c r="Q498" i="3" s="1"/>
  <c r="P494" i="3"/>
  <c r="P498" i="3" s="1"/>
  <c r="P495" i="3"/>
  <c r="P499" i="3" s="1"/>
  <c r="O493" i="3"/>
  <c r="O497" i="3" s="1"/>
  <c r="N492" i="3"/>
  <c r="N496" i="3" s="1"/>
  <c r="N493" i="3"/>
  <c r="N497" i="3" s="1"/>
  <c r="M494" i="3"/>
  <c r="M498" i="3" s="1"/>
  <c r="M495" i="3"/>
  <c r="M499" i="3" s="1"/>
  <c r="L492" i="3"/>
  <c r="L496" i="3" s="1"/>
  <c r="L493" i="3"/>
  <c r="L497" i="3" s="1"/>
  <c r="K495" i="3"/>
  <c r="K499" i="3" s="1"/>
  <c r="K494" i="3"/>
  <c r="K498" i="3" s="1"/>
  <c r="J495" i="3"/>
  <c r="J499" i="3" s="1"/>
  <c r="J494" i="3"/>
  <c r="J498" i="3" s="1"/>
  <c r="I495" i="3"/>
  <c r="I499" i="3" s="1"/>
  <c r="I494" i="3"/>
  <c r="I498" i="3" s="1"/>
  <c r="H494" i="3"/>
  <c r="H498" i="3" s="1"/>
  <c r="H495" i="3"/>
  <c r="H499" i="3" s="1"/>
  <c r="G493" i="3"/>
  <c r="G497" i="3" s="1"/>
  <c r="F493" i="3"/>
  <c r="F497" i="3" s="1"/>
  <c r="J468" i="3"/>
  <c r="J472" i="3" s="1"/>
  <c r="J467" i="3"/>
  <c r="J471" i="3" s="1"/>
  <c r="U470" i="3"/>
  <c r="U474" i="3" s="1"/>
  <c r="U469" i="3"/>
  <c r="U473" i="3" s="1"/>
  <c r="Q467" i="3"/>
  <c r="Q471" i="3" s="1"/>
  <c r="Q468" i="3"/>
  <c r="Q472" i="3" s="1"/>
  <c r="T467" i="3"/>
  <c r="T471" i="3" s="1"/>
  <c r="T468" i="3"/>
  <c r="T472" i="3" s="1"/>
  <c r="G469" i="3"/>
  <c r="G473" i="3" s="1"/>
  <c r="G470" i="3"/>
  <c r="G474" i="3" s="1"/>
  <c r="K470" i="3"/>
  <c r="K474" i="3" s="1"/>
  <c r="K469" i="3"/>
  <c r="K473" i="3" s="1"/>
  <c r="S469" i="3"/>
  <c r="S473" i="3" s="1"/>
  <c r="S470" i="3"/>
  <c r="S474" i="3" s="1"/>
  <c r="P39" i="15"/>
  <c r="P468" i="3"/>
  <c r="P472" i="3" s="1"/>
  <c r="R467" i="3"/>
  <c r="R471" i="3" s="1"/>
  <c r="R468" i="3"/>
  <c r="R472" i="3" s="1"/>
  <c r="M470" i="3"/>
  <c r="M474" i="3" s="1"/>
  <c r="M469" i="3"/>
  <c r="M473" i="3" s="1"/>
  <c r="V470" i="3"/>
  <c r="V474" i="3" s="1"/>
  <c r="V469" i="3"/>
  <c r="V473" i="3" s="1"/>
  <c r="O469" i="3"/>
  <c r="O473" i="3" s="1"/>
  <c r="O470" i="3"/>
  <c r="O474" i="3" s="1"/>
  <c r="F468" i="3"/>
  <c r="F472" i="3" s="1"/>
  <c r="F467" i="3"/>
  <c r="F471" i="3" s="1"/>
  <c r="E39" i="17"/>
  <c r="I468" i="3"/>
  <c r="I472" i="3" s="1"/>
  <c r="I467" i="3"/>
  <c r="I471" i="3" s="1"/>
  <c r="H469" i="3"/>
  <c r="H473" i="3" s="1"/>
  <c r="H470" i="3"/>
  <c r="H474" i="3" s="1"/>
  <c r="N470" i="3"/>
  <c r="N474" i="3" s="1"/>
  <c r="N469" i="3"/>
  <c r="N473" i="3" s="1"/>
  <c r="D39" i="17"/>
  <c r="F445" i="3"/>
  <c r="F449" i="3" s="1"/>
  <c r="F444" i="3"/>
  <c r="F448" i="3" s="1"/>
  <c r="D443" i="3"/>
  <c r="D447" i="3" s="1"/>
  <c r="D442" i="3"/>
  <c r="D446" i="3" s="1"/>
  <c r="F221" i="3"/>
  <c r="F225" i="3" s="1"/>
  <c r="F220" i="3"/>
  <c r="F224" i="3" s="1"/>
  <c r="D219" i="3"/>
  <c r="D223" i="3" s="1"/>
  <c r="D218" i="3"/>
  <c r="D222" i="3" s="1"/>
  <c r="Q196" i="3"/>
  <c r="Q200" i="3" s="1"/>
  <c r="Q195" i="3"/>
  <c r="Q199" i="3" s="1"/>
  <c r="P193" i="3"/>
  <c r="P197" i="3" s="1"/>
  <c r="P194" i="3"/>
  <c r="P198" i="3" s="1"/>
  <c r="D767" i="3"/>
  <c r="D771" i="3" s="1"/>
  <c r="D742" i="3"/>
  <c r="D746" i="3" s="1"/>
  <c r="D743" i="3"/>
  <c r="D747" i="3" s="1"/>
  <c r="Q793" i="3"/>
  <c r="Q797" i="3" s="1"/>
  <c r="Q795" i="3"/>
  <c r="Q799" i="3" s="1"/>
  <c r="Q792" i="3"/>
  <c r="Q796" i="3" s="1"/>
  <c r="Q794" i="3"/>
  <c r="Q798" i="3" s="1"/>
  <c r="P794" i="3"/>
  <c r="P798" i="3" s="1"/>
  <c r="P793" i="3"/>
  <c r="P797" i="3" s="1"/>
  <c r="P795" i="3"/>
  <c r="P799" i="3" s="1"/>
  <c r="P792" i="3"/>
  <c r="P796" i="3" s="1"/>
  <c r="B48" i="12"/>
  <c r="D692" i="3"/>
  <c r="D696" i="3" s="1"/>
  <c r="C48" i="12"/>
  <c r="D693" i="3"/>
  <c r="D697" i="3" s="1"/>
  <c r="D694" i="3"/>
  <c r="D698" i="3" s="1"/>
  <c r="D48" i="12"/>
  <c r="E48" i="12"/>
  <c r="D695" i="3"/>
  <c r="D699" i="3" s="1"/>
  <c r="S669" i="3"/>
  <c r="S673" i="3" s="1"/>
  <c r="S670" i="3"/>
  <c r="S674" i="3" s="1"/>
  <c r="R670" i="3"/>
  <c r="R674" i="3" s="1"/>
  <c r="R669" i="3"/>
  <c r="R673" i="3" s="1"/>
  <c r="Q670" i="3"/>
  <c r="Q674" i="3" s="1"/>
  <c r="Q669" i="3"/>
  <c r="Q673" i="3" s="1"/>
  <c r="P670" i="3"/>
  <c r="P674" i="3" s="1"/>
  <c r="P669" i="3"/>
  <c r="P673" i="3" s="1"/>
  <c r="O667" i="3"/>
  <c r="O671" i="3" s="1"/>
  <c r="O668" i="3"/>
  <c r="O672" i="3" s="1"/>
  <c r="N667" i="3"/>
  <c r="N671" i="3" s="1"/>
  <c r="N668" i="3"/>
  <c r="N672" i="3" s="1"/>
  <c r="D669" i="3"/>
  <c r="D673" i="3" s="1"/>
  <c r="D670" i="3"/>
  <c r="D674" i="3" s="1"/>
  <c r="S645" i="3"/>
  <c r="S649" i="3" s="1"/>
  <c r="S644" i="3"/>
  <c r="S648" i="3" s="1"/>
  <c r="C46" i="16"/>
  <c r="R645" i="3"/>
  <c r="R649" i="3" s="1"/>
  <c r="R644" i="3"/>
  <c r="R648" i="3" s="1"/>
  <c r="Q644" i="3"/>
  <c r="Q648" i="3" s="1"/>
  <c r="O46" i="15"/>
  <c r="Q645" i="3"/>
  <c r="Q649" i="3" s="1"/>
  <c r="P645" i="3"/>
  <c r="P649" i="3" s="1"/>
  <c r="P644" i="3"/>
  <c r="P648" i="3" s="1"/>
  <c r="K46" i="15"/>
  <c r="O645" i="3"/>
  <c r="O649" i="3" s="1"/>
  <c r="G46" i="15"/>
  <c r="O644" i="3"/>
  <c r="O648" i="3" s="1"/>
  <c r="N643" i="3"/>
  <c r="N647" i="3" s="1"/>
  <c r="D642" i="3"/>
  <c r="D646" i="3" s="1"/>
  <c r="D643" i="3"/>
  <c r="D647" i="3" s="1"/>
  <c r="S620" i="3"/>
  <c r="S624" i="3" s="1"/>
  <c r="S619" i="3"/>
  <c r="S623" i="3" s="1"/>
  <c r="S618" i="3"/>
  <c r="S622" i="3" s="1"/>
  <c r="R619" i="3"/>
  <c r="R623" i="3" s="1"/>
  <c r="R618" i="3"/>
  <c r="R622" i="3" s="1"/>
  <c r="R620" i="3"/>
  <c r="R624" i="3" s="1"/>
  <c r="Q618" i="3"/>
  <c r="Q622" i="3" s="1"/>
  <c r="P620" i="3"/>
  <c r="P624" i="3" s="1"/>
  <c r="P619" i="3"/>
  <c r="P623" i="3" s="1"/>
  <c r="O620" i="3"/>
  <c r="O624" i="3" s="1"/>
  <c r="O619" i="3"/>
  <c r="O623" i="3" s="1"/>
  <c r="N619" i="3"/>
  <c r="N623" i="3" s="1"/>
  <c r="N620" i="3"/>
  <c r="N624" i="3" s="1"/>
  <c r="P170" i="3"/>
  <c r="P174" i="3" s="1"/>
  <c r="P171" i="3"/>
  <c r="P175" i="3" s="1"/>
  <c r="U48" i="14"/>
  <c r="T48" i="14"/>
  <c r="G41" i="13"/>
  <c r="C42" i="15"/>
  <c r="K42" i="17"/>
  <c r="L44" i="14"/>
  <c r="C44" i="12"/>
  <c r="I44" i="15"/>
  <c r="H44" i="15"/>
  <c r="E44" i="16"/>
  <c r="D44" i="16"/>
  <c r="H44" i="16"/>
  <c r="G44" i="16"/>
  <c r="T44" i="14"/>
  <c r="U44" i="14"/>
  <c r="E61" i="12"/>
  <c r="D94" i="4"/>
  <c r="D102" i="4" s="1"/>
  <c r="D129" i="4"/>
  <c r="D134" i="4" s="1"/>
  <c r="I43" i="17"/>
  <c r="H43" i="17"/>
  <c r="U43" i="14"/>
  <c r="T43" i="14"/>
  <c r="I43" i="16"/>
  <c r="E43" i="14"/>
  <c r="D43" i="14"/>
  <c r="E43" i="17"/>
  <c r="I43" i="15"/>
  <c r="H43" i="15"/>
  <c r="P43" i="15"/>
  <c r="D43" i="12"/>
  <c r="E43" i="12"/>
  <c r="I43" i="14"/>
  <c r="H43" i="14"/>
  <c r="O42" i="14"/>
  <c r="M42" i="14"/>
  <c r="L42" i="14"/>
  <c r="I42" i="15"/>
  <c r="E42" i="12"/>
  <c r="E42" i="16"/>
  <c r="T42" i="14"/>
  <c r="U42" i="14"/>
  <c r="D42" i="14"/>
  <c r="E42" i="14"/>
  <c r="E42" i="17"/>
  <c r="D42" i="17"/>
  <c r="O42" i="13"/>
  <c r="I42" i="17"/>
  <c r="Q42" i="15"/>
  <c r="P42" i="15"/>
  <c r="I42" i="16"/>
  <c r="H42" i="16"/>
  <c r="K40" i="13"/>
  <c r="L41" i="13"/>
  <c r="I41" i="17"/>
  <c r="I41" i="16"/>
  <c r="I41" i="14"/>
  <c r="E520" i="3"/>
  <c r="E524" i="3" s="1"/>
  <c r="D41" i="16"/>
  <c r="T41" i="14"/>
  <c r="U41" i="14"/>
  <c r="C41" i="15"/>
  <c r="P41" i="13"/>
  <c r="Q41" i="13"/>
  <c r="M41" i="15"/>
  <c r="L41" i="15"/>
  <c r="D41" i="17"/>
  <c r="E492" i="3"/>
  <c r="E496" i="3" s="1"/>
  <c r="E40" i="16"/>
  <c r="H40" i="17"/>
  <c r="D40" i="17"/>
  <c r="D40" i="12"/>
  <c r="P40" i="15"/>
  <c r="Q40" i="15"/>
  <c r="H39" i="17"/>
  <c r="I39" i="17"/>
  <c r="L39" i="13"/>
  <c r="E39" i="15"/>
  <c r="D39" i="15"/>
  <c r="I39" i="15"/>
  <c r="H39" i="15"/>
  <c r="M39" i="17"/>
  <c r="L39" i="17"/>
  <c r="H39" i="16"/>
  <c r="I39" i="16"/>
  <c r="Q39" i="13"/>
  <c r="D46" i="17"/>
  <c r="K42" i="15"/>
  <c r="H46" i="13"/>
  <c r="K39" i="15"/>
  <c r="G40" i="13"/>
  <c r="C39" i="16"/>
  <c r="K41" i="17"/>
  <c r="K40" i="17"/>
  <c r="C23" i="13"/>
  <c r="D46" i="13"/>
  <c r="G47" i="13"/>
  <c r="O39" i="15"/>
  <c r="E43" i="15"/>
  <c r="N39" i="15"/>
  <c r="Q45" i="15"/>
  <c r="G39" i="14"/>
  <c r="H42" i="13"/>
  <c r="C45" i="14"/>
  <c r="E46" i="13"/>
  <c r="I45" i="17"/>
  <c r="K41" i="13"/>
  <c r="D43" i="15"/>
  <c r="L43" i="17"/>
  <c r="I40" i="13"/>
  <c r="H40" i="13"/>
  <c r="P24" i="15"/>
  <c r="C40" i="15"/>
  <c r="T46" i="14"/>
  <c r="C39" i="17"/>
  <c r="C39" i="14"/>
  <c r="G40" i="15"/>
  <c r="Q24" i="13"/>
  <c r="L21" i="15"/>
  <c r="P24" i="13"/>
  <c r="F41" i="15"/>
  <c r="F43" i="13"/>
  <c r="G43" i="13"/>
  <c r="C43" i="15"/>
  <c r="E46" i="15"/>
  <c r="O24" i="15"/>
  <c r="C47" i="15"/>
  <c r="E45" i="14"/>
  <c r="K43" i="17"/>
  <c r="I42" i="13"/>
  <c r="L40" i="13"/>
  <c r="L46" i="17"/>
  <c r="F42" i="13"/>
  <c r="G27" i="13"/>
  <c r="S45" i="14"/>
  <c r="G42" i="13"/>
  <c r="J21" i="15"/>
  <c r="G45" i="17"/>
  <c r="U45" i="14"/>
  <c r="C26" i="15"/>
  <c r="P21" i="15"/>
  <c r="D46" i="15"/>
  <c r="E40" i="15"/>
  <c r="K21" i="15"/>
  <c r="K47" i="17"/>
  <c r="B39" i="17"/>
  <c r="J41" i="13"/>
  <c r="N787" i="3"/>
  <c r="I24" i="15"/>
  <c r="H24" i="15"/>
  <c r="I47" i="14"/>
  <c r="H47" i="14"/>
  <c r="D792" i="3"/>
  <c r="D796" i="3" s="1"/>
  <c r="D795" i="3"/>
  <c r="D799" i="3" s="1"/>
  <c r="D794" i="3"/>
  <c r="D798" i="3" s="1"/>
  <c r="D793" i="3"/>
  <c r="D797" i="3" s="1"/>
  <c r="K26" i="15"/>
  <c r="J43" i="17"/>
  <c r="U47" i="14"/>
  <c r="T47" i="14"/>
  <c r="P45" i="15"/>
  <c r="G41" i="15"/>
  <c r="O787" i="3"/>
  <c r="D39" i="14"/>
  <c r="M47" i="14"/>
  <c r="L47" i="14"/>
  <c r="E24" i="16"/>
  <c r="D24" i="16"/>
  <c r="D47" i="14"/>
  <c r="E47" i="14"/>
  <c r="T787" i="3"/>
  <c r="D45" i="14"/>
  <c r="I47" i="17"/>
  <c r="H47" i="17"/>
  <c r="O45" i="15"/>
  <c r="T45" i="14"/>
  <c r="C45" i="13"/>
  <c r="O26" i="13"/>
  <c r="M787" i="3"/>
  <c r="M45" i="17"/>
  <c r="Q47" i="14"/>
  <c r="P47" i="14"/>
  <c r="D47" i="16"/>
  <c r="R787" i="3"/>
  <c r="E47" i="17"/>
  <c r="D47" i="17"/>
  <c r="I787" i="3"/>
  <c r="M40" i="13"/>
  <c r="D40" i="15"/>
  <c r="G45" i="13"/>
  <c r="P45" i="14"/>
  <c r="L812" i="3"/>
  <c r="G45" i="14"/>
  <c r="P46" i="13"/>
  <c r="K47" i="13"/>
  <c r="F787" i="3"/>
  <c r="L787" i="3"/>
  <c r="U787" i="3"/>
  <c r="E787" i="3"/>
  <c r="C47" i="12"/>
  <c r="C47" i="13"/>
  <c r="D768" i="3"/>
  <c r="D772" i="3" s="1"/>
  <c r="Q46" i="13"/>
  <c r="H45" i="17"/>
  <c r="R188" i="3"/>
  <c r="F47" i="13"/>
  <c r="Q47" i="15"/>
  <c r="F46" i="13"/>
  <c r="P23" i="14"/>
  <c r="Q23" i="14"/>
  <c r="K25" i="15"/>
  <c r="R163" i="3"/>
  <c r="C46" i="12"/>
  <c r="J787" i="3"/>
  <c r="V787" i="3"/>
  <c r="D817" i="3"/>
  <c r="D821" i="3" s="1"/>
  <c r="D820" i="3"/>
  <c r="D824" i="3" s="1"/>
  <c r="D818" i="3"/>
  <c r="D822" i="3" s="1"/>
  <c r="F23" i="16"/>
  <c r="H45" i="15"/>
  <c r="J47" i="17"/>
  <c r="N24" i="15"/>
  <c r="F23" i="15"/>
  <c r="B23" i="16"/>
  <c r="B23" i="14"/>
  <c r="J23" i="15"/>
  <c r="F23" i="14"/>
  <c r="N23" i="15"/>
  <c r="J23" i="14"/>
  <c r="Q163" i="3"/>
  <c r="J42" i="17"/>
  <c r="R45" i="14"/>
  <c r="N39" i="14"/>
  <c r="B39" i="12"/>
  <c r="F39" i="13"/>
  <c r="L26" i="13"/>
  <c r="V324" i="4"/>
  <c r="V329" i="4" s="1"/>
  <c r="K74" i="17"/>
  <c r="V325" i="4"/>
  <c r="V330" i="4" s="1"/>
  <c r="L74" i="17"/>
  <c r="V323" i="4"/>
  <c r="V328" i="4" s="1"/>
  <c r="J74" i="17"/>
  <c r="M74" i="17"/>
  <c r="V326" i="4"/>
  <c r="V331" i="4" s="1"/>
  <c r="T325" i="4"/>
  <c r="T330" i="4" s="1"/>
  <c r="D74" i="17"/>
  <c r="C74" i="17"/>
  <c r="T324" i="4"/>
  <c r="T329" i="4" s="1"/>
  <c r="T323" i="4"/>
  <c r="T328" i="4" s="1"/>
  <c r="B74" i="17"/>
  <c r="T326" i="4"/>
  <c r="T331" i="4" s="1"/>
  <c r="E74" i="17"/>
  <c r="D184" i="4"/>
  <c r="D189" i="4" s="1"/>
  <c r="D61" i="12"/>
  <c r="C61" i="12"/>
  <c r="C26" i="14"/>
  <c r="M26" i="15"/>
  <c r="D26" i="15"/>
  <c r="G26" i="15"/>
  <c r="Q26" i="15"/>
  <c r="E26" i="14"/>
  <c r="C38" i="13"/>
  <c r="E38" i="13"/>
  <c r="O40" i="14"/>
  <c r="O44" i="14"/>
  <c r="O41" i="14"/>
  <c r="I26" i="13"/>
  <c r="D38" i="13"/>
  <c r="O43" i="14"/>
  <c r="H26" i="15"/>
  <c r="K20" i="15"/>
  <c r="F23" i="17"/>
  <c r="G23" i="17"/>
  <c r="Q26" i="13"/>
  <c r="F20" i="15"/>
  <c r="H26" i="13"/>
  <c r="P26" i="15"/>
  <c r="L26" i="15"/>
  <c r="D46" i="14"/>
  <c r="G26" i="13"/>
  <c r="D26" i="14"/>
  <c r="E26" i="15"/>
  <c r="K26" i="17"/>
  <c r="O26" i="15"/>
  <c r="C46" i="13"/>
  <c r="J26" i="17"/>
  <c r="N26" i="15"/>
  <c r="I26" i="15"/>
  <c r="F26" i="15"/>
  <c r="J26" i="15"/>
  <c r="B26" i="14"/>
  <c r="C46" i="14"/>
  <c r="F26" i="13"/>
  <c r="K26" i="13"/>
  <c r="M26" i="13"/>
  <c r="N26" i="13"/>
  <c r="J26" i="13"/>
  <c r="S183" i="3"/>
  <c r="S184" i="3" s="1"/>
  <c r="S186" i="3" s="1"/>
  <c r="T181" i="3"/>
  <c r="T182" i="3" s="1"/>
  <c r="V178" i="3"/>
  <c r="U180" i="3"/>
  <c r="K46" i="13"/>
  <c r="S158" i="3"/>
  <c r="U155" i="3"/>
  <c r="V153" i="3"/>
  <c r="T156" i="3"/>
  <c r="T157" i="3" s="1"/>
  <c r="E46" i="14"/>
  <c r="I24" i="17"/>
  <c r="L24" i="14"/>
  <c r="T24" i="14"/>
  <c r="K24" i="14"/>
  <c r="M24" i="14"/>
  <c r="S24" i="14"/>
  <c r="G24" i="14"/>
  <c r="U24" i="14"/>
  <c r="H24" i="17"/>
  <c r="I24" i="14"/>
  <c r="G24" i="17"/>
  <c r="H24" i="14"/>
  <c r="E442" i="3"/>
  <c r="E446" i="3" s="1"/>
  <c r="I24" i="13"/>
  <c r="H24" i="13"/>
  <c r="G24" i="13"/>
  <c r="S48" i="14"/>
  <c r="O23" i="13"/>
  <c r="K23" i="13"/>
  <c r="I23" i="14"/>
  <c r="E45" i="12"/>
  <c r="G39" i="13"/>
  <c r="I23" i="15"/>
  <c r="G46" i="17"/>
  <c r="K46" i="14"/>
  <c r="G46" i="14"/>
  <c r="S46" i="14"/>
  <c r="G23" i="14"/>
  <c r="G23" i="15"/>
  <c r="H23" i="14"/>
  <c r="U23" i="14"/>
  <c r="P23" i="15"/>
  <c r="L23" i="13"/>
  <c r="K23" i="14"/>
  <c r="D23" i="14"/>
  <c r="S23" i="14"/>
  <c r="Q23" i="15"/>
  <c r="H23" i="15"/>
  <c r="C38" i="12"/>
  <c r="G46" i="16"/>
  <c r="M23" i="13"/>
  <c r="L23" i="15"/>
  <c r="E23" i="14"/>
  <c r="O23" i="15"/>
  <c r="D34" i="4"/>
  <c r="D35" i="4" s="1"/>
  <c r="D37" i="4" s="1"/>
  <c r="D39" i="4" s="1"/>
  <c r="D38" i="12"/>
  <c r="M23" i="15"/>
  <c r="L23" i="14"/>
  <c r="C23" i="14"/>
  <c r="T23" i="14"/>
  <c r="C45" i="12"/>
  <c r="T34" i="4"/>
  <c r="T35" i="4" s="1"/>
  <c r="E38" i="12"/>
  <c r="O46" i="13"/>
  <c r="K23" i="15"/>
  <c r="M23" i="14"/>
  <c r="D45" i="12"/>
  <c r="H23" i="16"/>
  <c r="G23" i="16"/>
  <c r="I23" i="16"/>
  <c r="D23" i="16"/>
  <c r="C23" i="16"/>
  <c r="E23" i="16"/>
  <c r="P23" i="13"/>
  <c r="Q23" i="13"/>
  <c r="D23" i="12"/>
  <c r="E23" i="12"/>
  <c r="C23" i="12"/>
  <c r="D27" i="12"/>
  <c r="E27" i="12"/>
  <c r="C27" i="12"/>
  <c r="H208" i="3"/>
  <c r="H209" i="3" s="1"/>
  <c r="H211" i="3" s="1"/>
  <c r="G208" i="3"/>
  <c r="G209" i="3" s="1"/>
  <c r="G211" i="3" s="1"/>
  <c r="I206" i="3"/>
  <c r="I207" i="3" s="1"/>
  <c r="K203" i="3"/>
  <c r="J205" i="3"/>
  <c r="H432" i="3"/>
  <c r="H433" i="3" s="1"/>
  <c r="H435" i="3" s="1"/>
  <c r="H437" i="3" s="1"/>
  <c r="I430" i="3"/>
  <c r="I431" i="3" s="1"/>
  <c r="G432" i="3"/>
  <c r="G433" i="3" s="1"/>
  <c r="G435" i="3" s="1"/>
  <c r="G437" i="3" s="1"/>
  <c r="J429" i="3"/>
  <c r="U61" i="4"/>
  <c r="U62" i="4" s="1"/>
  <c r="D61" i="4"/>
  <c r="D62" i="4" s="1"/>
  <c r="D64" i="4" s="1"/>
  <c r="T61" i="4"/>
  <c r="T62" i="4" s="1"/>
  <c r="U6" i="4"/>
  <c r="U7" i="4" s="1"/>
  <c r="S2" i="4"/>
  <c r="S5" i="4" s="1"/>
  <c r="R2" i="4"/>
  <c r="R5" i="4" s="1"/>
  <c r="Q2" i="4"/>
  <c r="Q5" i="4" s="1"/>
  <c r="P2" i="4"/>
  <c r="P5" i="4" s="1"/>
  <c r="O2" i="4"/>
  <c r="O5" i="4" s="1"/>
  <c r="N2" i="4"/>
  <c r="N5" i="4" s="1"/>
  <c r="M2" i="4"/>
  <c r="M5" i="4" s="1"/>
  <c r="L2" i="4"/>
  <c r="L5" i="4" s="1"/>
  <c r="K2" i="4"/>
  <c r="K5" i="4" s="1"/>
  <c r="J2" i="4"/>
  <c r="I2" i="4"/>
  <c r="I5" i="4" s="1"/>
  <c r="G2" i="4"/>
  <c r="G5" i="4" s="1"/>
  <c r="F2" i="4"/>
  <c r="F5" i="4" s="1"/>
  <c r="E2" i="4"/>
  <c r="D404" i="3"/>
  <c r="D405" i="3" s="1"/>
  <c r="D379" i="3"/>
  <c r="D354" i="3"/>
  <c r="D355" i="3" s="1"/>
  <c r="D329" i="3"/>
  <c r="D330" i="3" s="1"/>
  <c r="D304" i="3"/>
  <c r="D255" i="3"/>
  <c r="D256" i="3" s="1"/>
  <c r="H2" i="4" l="1"/>
  <c r="H5" i="4" s="1"/>
  <c r="E5" i="4"/>
  <c r="W2" i="4"/>
  <c r="W5" i="4" s="1"/>
  <c r="W6" i="4" s="1"/>
  <c r="W7" i="4" s="1"/>
  <c r="W9" i="4" s="1"/>
  <c r="W11" i="4" s="1"/>
  <c r="J5" i="4"/>
  <c r="D104" i="4"/>
  <c r="P47" i="13"/>
  <c r="E44" i="14"/>
  <c r="P44" i="15"/>
  <c r="I44" i="17"/>
  <c r="M41" i="14"/>
  <c r="T40" i="14"/>
  <c r="B39" i="14"/>
  <c r="M39" i="14"/>
  <c r="P39" i="13"/>
  <c r="F39" i="14"/>
  <c r="U617" i="3"/>
  <c r="U621" i="3" s="1"/>
  <c r="F45" i="17"/>
  <c r="I44" i="16"/>
  <c r="H42" i="14"/>
  <c r="I42" i="14"/>
  <c r="H41" i="17"/>
  <c r="D41" i="14"/>
  <c r="E41" i="14"/>
  <c r="M40" i="15"/>
  <c r="L820" i="3"/>
  <c r="L824" i="3" s="1"/>
  <c r="L819" i="3"/>
  <c r="L823" i="3" s="1"/>
  <c r="L817" i="3"/>
  <c r="L821" i="3" s="1"/>
  <c r="L818" i="3"/>
  <c r="L822" i="3" s="1"/>
  <c r="D819" i="3"/>
  <c r="D823" i="3" s="1"/>
  <c r="U794" i="3"/>
  <c r="U798" i="3" s="1"/>
  <c r="U793" i="3"/>
  <c r="U797" i="3" s="1"/>
  <c r="U792" i="3"/>
  <c r="U796" i="3" s="1"/>
  <c r="U795" i="3"/>
  <c r="U799" i="3" s="1"/>
  <c r="V793" i="3"/>
  <c r="V797" i="3" s="1"/>
  <c r="V792" i="3"/>
  <c r="V796" i="3" s="1"/>
  <c r="V795" i="3"/>
  <c r="V799" i="3" s="1"/>
  <c r="V794" i="3"/>
  <c r="V798" i="3" s="1"/>
  <c r="L795" i="3"/>
  <c r="L799" i="3" s="1"/>
  <c r="L792" i="3"/>
  <c r="L796" i="3" s="1"/>
  <c r="L794" i="3"/>
  <c r="L798" i="3" s="1"/>
  <c r="L793" i="3"/>
  <c r="L797" i="3" s="1"/>
  <c r="T794" i="3"/>
  <c r="T798" i="3" s="1"/>
  <c r="T793" i="3"/>
  <c r="T797" i="3" s="1"/>
  <c r="T792" i="3"/>
  <c r="T796" i="3" s="1"/>
  <c r="T795" i="3"/>
  <c r="T799" i="3" s="1"/>
  <c r="E794" i="3"/>
  <c r="E798" i="3" s="1"/>
  <c r="E793" i="3"/>
  <c r="E797" i="3" s="1"/>
  <c r="E792" i="3"/>
  <c r="E796" i="3" s="1"/>
  <c r="E795" i="3"/>
  <c r="E799" i="3" s="1"/>
  <c r="M795" i="3"/>
  <c r="M799" i="3" s="1"/>
  <c r="M794" i="3"/>
  <c r="M798" i="3" s="1"/>
  <c r="M792" i="3"/>
  <c r="M796" i="3" s="1"/>
  <c r="M793" i="3"/>
  <c r="M797" i="3" s="1"/>
  <c r="R795" i="3"/>
  <c r="R799" i="3" s="1"/>
  <c r="R794" i="3"/>
  <c r="R798" i="3" s="1"/>
  <c r="R793" i="3"/>
  <c r="R797" i="3" s="1"/>
  <c r="R792" i="3"/>
  <c r="R796" i="3" s="1"/>
  <c r="J792" i="3"/>
  <c r="J796" i="3" s="1"/>
  <c r="J795" i="3"/>
  <c r="J799" i="3" s="1"/>
  <c r="J794" i="3"/>
  <c r="J798" i="3" s="1"/>
  <c r="J793" i="3"/>
  <c r="J797" i="3" s="1"/>
  <c r="F793" i="3"/>
  <c r="F797" i="3" s="1"/>
  <c r="F792" i="3"/>
  <c r="F796" i="3" s="1"/>
  <c r="F794" i="3"/>
  <c r="F798" i="3" s="1"/>
  <c r="F795" i="3"/>
  <c r="F799" i="3" s="1"/>
  <c r="I792" i="3"/>
  <c r="I796" i="3" s="1"/>
  <c r="I795" i="3"/>
  <c r="I799" i="3" s="1"/>
  <c r="I794" i="3"/>
  <c r="I798" i="3" s="1"/>
  <c r="I793" i="3"/>
  <c r="I797" i="3" s="1"/>
  <c r="E24" i="13"/>
  <c r="G24" i="16"/>
  <c r="E24" i="15"/>
  <c r="P24" i="14"/>
  <c r="Q24" i="14"/>
  <c r="T742" i="3"/>
  <c r="T746" i="3" s="1"/>
  <c r="B23" i="17"/>
  <c r="M742" i="3"/>
  <c r="M746" i="3" s="1"/>
  <c r="R23" i="14"/>
  <c r="L742" i="3"/>
  <c r="L746" i="3" s="1"/>
  <c r="L743" i="3"/>
  <c r="L747" i="3" s="1"/>
  <c r="U667" i="3"/>
  <c r="U671" i="3" s="1"/>
  <c r="U668" i="3"/>
  <c r="U672" i="3" s="1"/>
  <c r="T667" i="3"/>
  <c r="T671" i="3" s="1"/>
  <c r="T668" i="3"/>
  <c r="T672" i="3" s="1"/>
  <c r="I47" i="16"/>
  <c r="H47" i="16"/>
  <c r="P47" i="15"/>
  <c r="L47" i="15"/>
  <c r="M47" i="15"/>
  <c r="M668" i="3"/>
  <c r="M672" i="3" s="1"/>
  <c r="L667" i="3"/>
  <c r="L671" i="3" s="1"/>
  <c r="L668" i="3"/>
  <c r="L672" i="3" s="1"/>
  <c r="K667" i="3"/>
  <c r="K671" i="3" s="1"/>
  <c r="K668" i="3"/>
  <c r="K672" i="3" s="1"/>
  <c r="J668" i="3"/>
  <c r="J672" i="3" s="1"/>
  <c r="J667" i="3"/>
  <c r="J671" i="3" s="1"/>
  <c r="I667" i="3"/>
  <c r="I671" i="3" s="1"/>
  <c r="I668" i="3"/>
  <c r="I672" i="3" s="1"/>
  <c r="H668" i="3"/>
  <c r="H672" i="3" s="1"/>
  <c r="H667" i="3"/>
  <c r="H671" i="3" s="1"/>
  <c r="D46" i="16"/>
  <c r="D47" i="12"/>
  <c r="E47" i="12"/>
  <c r="U643" i="3"/>
  <c r="U647" i="3" s="1"/>
  <c r="T642" i="3"/>
  <c r="T646" i="3" s="1"/>
  <c r="B46" i="17"/>
  <c r="E46" i="16"/>
  <c r="M643" i="3"/>
  <c r="M647" i="3" s="1"/>
  <c r="L642" i="3"/>
  <c r="L646" i="3" s="1"/>
  <c r="N46" i="14"/>
  <c r="K643" i="3"/>
  <c r="K647" i="3" s="1"/>
  <c r="J643" i="3"/>
  <c r="J647" i="3" s="1"/>
  <c r="I642" i="3"/>
  <c r="I646" i="3" s="1"/>
  <c r="B46" i="14"/>
  <c r="H643" i="3"/>
  <c r="H647" i="3" s="1"/>
  <c r="G643" i="3"/>
  <c r="G647" i="3" s="1"/>
  <c r="E643" i="3"/>
  <c r="E647" i="3" s="1"/>
  <c r="Q617" i="3"/>
  <c r="Q621" i="3" s="1"/>
  <c r="N45" i="15"/>
  <c r="L618" i="3"/>
  <c r="L622" i="3" s="1"/>
  <c r="B45" i="14"/>
  <c r="I617" i="3"/>
  <c r="I621" i="3" s="1"/>
  <c r="E592" i="3"/>
  <c r="E596" i="3" s="1"/>
  <c r="E593" i="3"/>
  <c r="E597" i="3" s="1"/>
  <c r="T593" i="3"/>
  <c r="T597" i="3" s="1"/>
  <c r="G593" i="3"/>
  <c r="G597" i="3" s="1"/>
  <c r="G592" i="3"/>
  <c r="G596" i="3" s="1"/>
  <c r="S592" i="3"/>
  <c r="S596" i="3" s="1"/>
  <c r="S593" i="3"/>
  <c r="S597" i="3" s="1"/>
  <c r="V592" i="3"/>
  <c r="V596" i="3" s="1"/>
  <c r="V593" i="3"/>
  <c r="V597" i="3" s="1"/>
  <c r="P592" i="3"/>
  <c r="P596" i="3" s="1"/>
  <c r="P593" i="3"/>
  <c r="P597" i="3" s="1"/>
  <c r="D593" i="3"/>
  <c r="D597" i="3" s="1"/>
  <c r="D592" i="3"/>
  <c r="D596" i="3" s="1"/>
  <c r="N592" i="3"/>
  <c r="N596" i="3" s="1"/>
  <c r="N593" i="3"/>
  <c r="N597" i="3" s="1"/>
  <c r="K593" i="3"/>
  <c r="K597" i="3" s="1"/>
  <c r="R593" i="3"/>
  <c r="R597" i="3" s="1"/>
  <c r="D44" i="17"/>
  <c r="H593" i="3"/>
  <c r="H597" i="3" s="1"/>
  <c r="H592" i="3"/>
  <c r="H596" i="3" s="1"/>
  <c r="M593" i="3"/>
  <c r="M597" i="3" s="1"/>
  <c r="F593" i="3"/>
  <c r="F597" i="3" s="1"/>
  <c r="F592" i="3"/>
  <c r="F596" i="3" s="1"/>
  <c r="M44" i="13"/>
  <c r="J593" i="3"/>
  <c r="J597" i="3" s="1"/>
  <c r="I593" i="3"/>
  <c r="I597" i="3" s="1"/>
  <c r="U593" i="3"/>
  <c r="U597" i="3" s="1"/>
  <c r="Q592" i="3"/>
  <c r="Q596" i="3" s="1"/>
  <c r="Q593" i="3"/>
  <c r="Q597" i="3" s="1"/>
  <c r="E44" i="13"/>
  <c r="E595" i="3"/>
  <c r="E599" i="3" s="1"/>
  <c r="D44" i="13"/>
  <c r="E594" i="3"/>
  <c r="E598" i="3" s="1"/>
  <c r="O593" i="3"/>
  <c r="O597" i="3" s="1"/>
  <c r="E567" i="3"/>
  <c r="E571" i="3" s="1"/>
  <c r="E568" i="3"/>
  <c r="E572" i="3" s="1"/>
  <c r="H567" i="3"/>
  <c r="H571" i="3" s="1"/>
  <c r="H568" i="3"/>
  <c r="H572" i="3" s="1"/>
  <c r="G567" i="3"/>
  <c r="G571" i="3" s="1"/>
  <c r="G568" i="3"/>
  <c r="G572" i="3" s="1"/>
  <c r="E43" i="13"/>
  <c r="E570" i="3"/>
  <c r="E574" i="3" s="1"/>
  <c r="Q568" i="3"/>
  <c r="Q572" i="3" s="1"/>
  <c r="J568" i="3"/>
  <c r="J572" i="3" s="1"/>
  <c r="D43" i="13"/>
  <c r="E569" i="3"/>
  <c r="E573" i="3" s="1"/>
  <c r="R568" i="3"/>
  <c r="R572" i="3" s="1"/>
  <c r="R567" i="3"/>
  <c r="R571" i="3" s="1"/>
  <c r="S568" i="3"/>
  <c r="S572" i="3" s="1"/>
  <c r="K567" i="3"/>
  <c r="K571" i="3" s="1"/>
  <c r="K568" i="3"/>
  <c r="K572" i="3" s="1"/>
  <c r="P567" i="3"/>
  <c r="P571" i="3" s="1"/>
  <c r="P568" i="3"/>
  <c r="P572" i="3" s="1"/>
  <c r="T568" i="3"/>
  <c r="T572" i="3" s="1"/>
  <c r="U567" i="3"/>
  <c r="U571" i="3" s="1"/>
  <c r="U568" i="3"/>
  <c r="U572" i="3" s="1"/>
  <c r="D43" i="16"/>
  <c r="D568" i="3"/>
  <c r="D572" i="3" s="1"/>
  <c r="D567" i="3"/>
  <c r="D571" i="3" s="1"/>
  <c r="O568" i="3"/>
  <c r="O572" i="3" s="1"/>
  <c r="P43" i="13"/>
  <c r="I568" i="3"/>
  <c r="I572" i="3" s="1"/>
  <c r="M568" i="3"/>
  <c r="M572" i="3" s="1"/>
  <c r="L43" i="14"/>
  <c r="Q43" i="15"/>
  <c r="M43" i="14"/>
  <c r="I543" i="3"/>
  <c r="I547" i="3" s="1"/>
  <c r="R542" i="3"/>
  <c r="R546" i="3" s="1"/>
  <c r="R543" i="3"/>
  <c r="R547" i="3" s="1"/>
  <c r="E42" i="13"/>
  <c r="E545" i="3"/>
  <c r="E549" i="3" s="1"/>
  <c r="E542" i="3"/>
  <c r="E546" i="3" s="1"/>
  <c r="E543" i="3"/>
  <c r="E547" i="3" s="1"/>
  <c r="G543" i="3"/>
  <c r="G547" i="3" s="1"/>
  <c r="D42" i="13"/>
  <c r="E544" i="3"/>
  <c r="E548" i="3" s="1"/>
  <c r="P542" i="3"/>
  <c r="P546" i="3" s="1"/>
  <c r="J42" i="15"/>
  <c r="K543" i="3"/>
  <c r="K547" i="3" s="1"/>
  <c r="J543" i="3"/>
  <c r="J547" i="3" s="1"/>
  <c r="S543" i="3"/>
  <c r="S547" i="3" s="1"/>
  <c r="D543" i="3"/>
  <c r="D547" i="3" s="1"/>
  <c r="D542" i="3"/>
  <c r="D546" i="3" s="1"/>
  <c r="Q542" i="3"/>
  <c r="Q546" i="3" s="1"/>
  <c r="Q543" i="3"/>
  <c r="Q547" i="3" s="1"/>
  <c r="O542" i="3"/>
  <c r="O546" i="3" s="1"/>
  <c r="O543" i="3"/>
  <c r="O547" i="3" s="1"/>
  <c r="U542" i="3"/>
  <c r="U546" i="3" s="1"/>
  <c r="U543" i="3"/>
  <c r="U547" i="3" s="1"/>
  <c r="M543" i="3"/>
  <c r="M547" i="3" s="1"/>
  <c r="T542" i="3"/>
  <c r="T546" i="3" s="1"/>
  <c r="T543" i="3"/>
  <c r="T547" i="3" s="1"/>
  <c r="V517" i="3"/>
  <c r="V521" i="3" s="1"/>
  <c r="J41" i="17"/>
  <c r="N517" i="3"/>
  <c r="N521" i="3" s="1"/>
  <c r="Q517" i="3"/>
  <c r="Q521" i="3" s="1"/>
  <c r="Q518" i="3"/>
  <c r="Q522" i="3" s="1"/>
  <c r="H41" i="16"/>
  <c r="K517" i="3"/>
  <c r="K521" i="3" s="1"/>
  <c r="K518" i="3"/>
  <c r="K522" i="3" s="1"/>
  <c r="T517" i="3"/>
  <c r="T521" i="3" s="1"/>
  <c r="T518" i="3"/>
  <c r="T522" i="3" s="1"/>
  <c r="U518" i="3"/>
  <c r="U522" i="3" s="1"/>
  <c r="J518" i="3"/>
  <c r="J522" i="3" s="1"/>
  <c r="E41" i="17"/>
  <c r="E518" i="3"/>
  <c r="E522" i="3" s="1"/>
  <c r="E517" i="3"/>
  <c r="E521" i="3" s="1"/>
  <c r="H518" i="3"/>
  <c r="H522" i="3" s="1"/>
  <c r="H517" i="3"/>
  <c r="H521" i="3" s="1"/>
  <c r="L41" i="14"/>
  <c r="D41" i="13"/>
  <c r="E519" i="3"/>
  <c r="E523" i="3" s="1"/>
  <c r="F517" i="3"/>
  <c r="F521" i="3" s="1"/>
  <c r="F41" i="13"/>
  <c r="I518" i="3"/>
  <c r="I522" i="3" s="1"/>
  <c r="I517" i="3"/>
  <c r="I521" i="3" s="1"/>
  <c r="P517" i="3"/>
  <c r="P521" i="3" s="1"/>
  <c r="P518" i="3"/>
  <c r="P522" i="3" s="1"/>
  <c r="Q41" i="15"/>
  <c r="R517" i="3"/>
  <c r="R521" i="3" s="1"/>
  <c r="R518" i="3"/>
  <c r="R522" i="3" s="1"/>
  <c r="D518" i="3"/>
  <c r="D522" i="3" s="1"/>
  <c r="D517" i="3"/>
  <c r="D521" i="3" s="1"/>
  <c r="M518" i="3"/>
  <c r="M522" i="3" s="1"/>
  <c r="H41" i="14"/>
  <c r="S517" i="3"/>
  <c r="S521" i="3" s="1"/>
  <c r="S518" i="3"/>
  <c r="S522" i="3" s="1"/>
  <c r="U493" i="3"/>
  <c r="U497" i="3" s="1"/>
  <c r="T493" i="3"/>
  <c r="T497" i="3" s="1"/>
  <c r="T492" i="3"/>
  <c r="T496" i="3" s="1"/>
  <c r="S493" i="3"/>
  <c r="S497" i="3" s="1"/>
  <c r="S492" i="3"/>
  <c r="S496" i="3" s="1"/>
  <c r="R493" i="3"/>
  <c r="R497" i="3" s="1"/>
  <c r="R492" i="3"/>
  <c r="R496" i="3" s="1"/>
  <c r="Q492" i="3"/>
  <c r="Q496" i="3" s="1"/>
  <c r="Q493" i="3"/>
  <c r="Q497" i="3" s="1"/>
  <c r="P492" i="3"/>
  <c r="P496" i="3" s="1"/>
  <c r="P493" i="3"/>
  <c r="P497" i="3" s="1"/>
  <c r="O492" i="3"/>
  <c r="O496" i="3" s="1"/>
  <c r="F40" i="15"/>
  <c r="M493" i="3"/>
  <c r="M497" i="3" s="1"/>
  <c r="K493" i="3"/>
  <c r="K497" i="3" s="1"/>
  <c r="J493" i="3"/>
  <c r="J497" i="3" s="1"/>
  <c r="J492" i="3"/>
  <c r="J496" i="3" s="1"/>
  <c r="I493" i="3"/>
  <c r="I497" i="3" s="1"/>
  <c r="H493" i="3"/>
  <c r="H497" i="3" s="1"/>
  <c r="H492" i="3"/>
  <c r="H496" i="3" s="1"/>
  <c r="G492" i="3"/>
  <c r="G496" i="3" s="1"/>
  <c r="J40" i="13"/>
  <c r="F492" i="3"/>
  <c r="F496" i="3" s="1"/>
  <c r="F40" i="13"/>
  <c r="E40" i="13"/>
  <c r="E495" i="3"/>
  <c r="E499" i="3" s="1"/>
  <c r="D40" i="13"/>
  <c r="E494" i="3"/>
  <c r="E498" i="3" s="1"/>
  <c r="G468" i="3"/>
  <c r="G472" i="3" s="1"/>
  <c r="G467" i="3"/>
  <c r="G471" i="3" s="1"/>
  <c r="P467" i="3"/>
  <c r="P471" i="3" s="1"/>
  <c r="J39" i="15"/>
  <c r="O467" i="3"/>
  <c r="O471" i="3" s="1"/>
  <c r="O468" i="3"/>
  <c r="O472" i="3" s="1"/>
  <c r="N468" i="3"/>
  <c r="N472" i="3" s="1"/>
  <c r="S467" i="3"/>
  <c r="S471" i="3" s="1"/>
  <c r="S468" i="3"/>
  <c r="S472" i="3" s="1"/>
  <c r="H468" i="3"/>
  <c r="H472" i="3" s="1"/>
  <c r="H467" i="3"/>
  <c r="H471" i="3" s="1"/>
  <c r="V468" i="3"/>
  <c r="V472" i="3" s="1"/>
  <c r="V467" i="3"/>
  <c r="V471" i="3" s="1"/>
  <c r="U468" i="3"/>
  <c r="U472" i="3" s="1"/>
  <c r="U467" i="3"/>
  <c r="U471" i="3" s="1"/>
  <c r="B39" i="16"/>
  <c r="E39" i="13"/>
  <c r="E470" i="3"/>
  <c r="E474" i="3" s="1"/>
  <c r="U39" i="14"/>
  <c r="K468" i="3"/>
  <c r="K472" i="3" s="1"/>
  <c r="D39" i="13"/>
  <c r="E469" i="3"/>
  <c r="E473" i="3" s="1"/>
  <c r="M39" i="13"/>
  <c r="M468" i="3"/>
  <c r="M472" i="3" s="1"/>
  <c r="G445" i="3"/>
  <c r="G449" i="3" s="1"/>
  <c r="G444" i="3"/>
  <c r="G448" i="3" s="1"/>
  <c r="H444" i="3"/>
  <c r="H448" i="3" s="1"/>
  <c r="H445" i="3"/>
  <c r="H449" i="3" s="1"/>
  <c r="F442" i="3"/>
  <c r="F446" i="3" s="1"/>
  <c r="F443" i="3"/>
  <c r="F447" i="3" s="1"/>
  <c r="D27" i="13"/>
  <c r="E220" i="3"/>
  <c r="E224" i="3" s="1"/>
  <c r="C27" i="13"/>
  <c r="E219" i="3"/>
  <c r="E223" i="3" s="1"/>
  <c r="F218" i="3"/>
  <c r="F222" i="3" s="1"/>
  <c r="F219" i="3"/>
  <c r="F223" i="3" s="1"/>
  <c r="E27" i="13"/>
  <c r="E221" i="3"/>
  <c r="E225" i="3" s="1"/>
  <c r="R196" i="3"/>
  <c r="R200" i="3" s="1"/>
  <c r="R195" i="3"/>
  <c r="R199" i="3" s="1"/>
  <c r="Q193" i="3"/>
  <c r="Q197" i="3" s="1"/>
  <c r="Q194" i="3"/>
  <c r="Q198" i="3" s="1"/>
  <c r="L20" i="15"/>
  <c r="D24" i="12"/>
  <c r="D769" i="3"/>
  <c r="D773" i="3" s="1"/>
  <c r="E24" i="12"/>
  <c r="D770" i="3"/>
  <c r="D774" i="3" s="1"/>
  <c r="O794" i="3"/>
  <c r="O798" i="3" s="1"/>
  <c r="O792" i="3"/>
  <c r="O796" i="3" s="1"/>
  <c r="O795" i="3"/>
  <c r="O799" i="3" s="1"/>
  <c r="O793" i="3"/>
  <c r="O797" i="3" s="1"/>
  <c r="N795" i="3"/>
  <c r="N799" i="3" s="1"/>
  <c r="N793" i="3"/>
  <c r="N797" i="3" s="1"/>
  <c r="N794" i="3"/>
  <c r="N798" i="3" s="1"/>
  <c r="N792" i="3"/>
  <c r="N796" i="3" s="1"/>
  <c r="S668" i="3"/>
  <c r="S672" i="3" s="1"/>
  <c r="S667" i="3"/>
  <c r="S671" i="3" s="1"/>
  <c r="R668" i="3"/>
  <c r="R672" i="3" s="1"/>
  <c r="R667" i="3"/>
  <c r="R671" i="3" s="1"/>
  <c r="Q668" i="3"/>
  <c r="Q672" i="3" s="1"/>
  <c r="Q667" i="3"/>
  <c r="Q671" i="3" s="1"/>
  <c r="P667" i="3"/>
  <c r="P671" i="3" s="1"/>
  <c r="P668" i="3"/>
  <c r="P672" i="3" s="1"/>
  <c r="D667" i="3"/>
  <c r="D671" i="3" s="1"/>
  <c r="D668" i="3"/>
  <c r="D672" i="3" s="1"/>
  <c r="S643" i="3"/>
  <c r="S647" i="3" s="1"/>
  <c r="R643" i="3"/>
  <c r="R647" i="3" s="1"/>
  <c r="Q643" i="3"/>
  <c r="Q647" i="3" s="1"/>
  <c r="P643" i="3"/>
  <c r="P647" i="3" s="1"/>
  <c r="O643" i="3"/>
  <c r="O647" i="3" s="1"/>
  <c r="N642" i="3"/>
  <c r="N646" i="3" s="1"/>
  <c r="P618" i="3"/>
  <c r="P622" i="3" s="1"/>
  <c r="O618" i="3"/>
  <c r="O622" i="3" s="1"/>
  <c r="N618" i="3"/>
  <c r="N622" i="3" s="1"/>
  <c r="D617" i="3"/>
  <c r="D621" i="3" s="1"/>
  <c r="B45" i="12"/>
  <c r="P168" i="3"/>
  <c r="P172" i="3" s="1"/>
  <c r="P169" i="3"/>
  <c r="P173" i="3" s="1"/>
  <c r="Q170" i="3"/>
  <c r="Q174" i="3" s="1"/>
  <c r="Q171" i="3"/>
  <c r="Q175" i="3" s="1"/>
  <c r="R170" i="3"/>
  <c r="R174" i="3" s="1"/>
  <c r="R171" i="3"/>
  <c r="R175" i="3" s="1"/>
  <c r="S41" i="14"/>
  <c r="E40" i="17"/>
  <c r="C41" i="17"/>
  <c r="G42" i="15"/>
  <c r="I40" i="16"/>
  <c r="H44" i="14"/>
  <c r="O40" i="15"/>
  <c r="K44" i="13"/>
  <c r="B41" i="14"/>
  <c r="C40" i="13"/>
  <c r="C42" i="13"/>
  <c r="G43" i="17"/>
  <c r="F43" i="17"/>
  <c r="H42" i="15"/>
  <c r="C41" i="14"/>
  <c r="C41" i="16"/>
  <c r="P41" i="15"/>
  <c r="O41" i="13"/>
  <c r="H40" i="14"/>
  <c r="L40" i="14"/>
  <c r="G41" i="17"/>
  <c r="S42" i="14"/>
  <c r="G39" i="17"/>
  <c r="Q40" i="13"/>
  <c r="T39" i="14"/>
  <c r="E43" i="16"/>
  <c r="L46" i="14"/>
  <c r="N42" i="13"/>
  <c r="K43" i="15"/>
  <c r="O24" i="14"/>
  <c r="C41" i="12"/>
  <c r="C40" i="16"/>
  <c r="C44" i="16"/>
  <c r="C44" i="13"/>
  <c r="G42" i="14"/>
  <c r="L45" i="15"/>
  <c r="N43" i="13"/>
  <c r="N40" i="15"/>
  <c r="O43" i="15"/>
  <c r="Q21" i="15"/>
  <c r="E218" i="3"/>
  <c r="E222" i="3" s="1"/>
  <c r="G40" i="17"/>
  <c r="J40" i="17"/>
  <c r="C43" i="14"/>
  <c r="L40" i="15"/>
  <c r="C40" i="17"/>
  <c r="U40" i="14"/>
  <c r="G43" i="14"/>
  <c r="M43" i="13"/>
  <c r="E41" i="12"/>
  <c r="M43" i="15"/>
  <c r="C40" i="14"/>
  <c r="O42" i="15"/>
  <c r="D40" i="16"/>
  <c r="M46" i="14"/>
  <c r="C42" i="12"/>
  <c r="C42" i="17"/>
  <c r="D25" i="12"/>
  <c r="H44" i="17"/>
  <c r="C39" i="15"/>
  <c r="K47" i="14"/>
  <c r="E41" i="13"/>
  <c r="M42" i="13"/>
  <c r="K42" i="14"/>
  <c r="Q43" i="13"/>
  <c r="D41" i="12"/>
  <c r="L24" i="13"/>
  <c r="I24" i="16"/>
  <c r="D42" i="12"/>
  <c r="O40" i="13"/>
  <c r="M46" i="13"/>
  <c r="E40" i="14"/>
  <c r="M20" i="15"/>
  <c r="K45" i="17"/>
  <c r="O44" i="15"/>
  <c r="C43" i="17"/>
  <c r="G43" i="16"/>
  <c r="B26" i="17"/>
  <c r="L42" i="13"/>
  <c r="G24" i="15"/>
  <c r="I27" i="13"/>
  <c r="G44" i="17"/>
  <c r="S39" i="14"/>
  <c r="S43" i="14"/>
  <c r="G42" i="16"/>
  <c r="H25" i="16"/>
  <c r="H43" i="16"/>
  <c r="H46" i="16"/>
  <c r="B42" i="17"/>
  <c r="E26" i="12"/>
  <c r="L25" i="13"/>
  <c r="D45" i="16"/>
  <c r="K44" i="14"/>
  <c r="M45" i="14"/>
  <c r="I40" i="17"/>
  <c r="I46" i="16"/>
  <c r="L44" i="13"/>
  <c r="E44" i="17"/>
  <c r="K24" i="13"/>
  <c r="Q46" i="15"/>
  <c r="G40" i="16"/>
  <c r="K41" i="15"/>
  <c r="U46" i="14"/>
  <c r="K39" i="13"/>
  <c r="E25" i="12"/>
  <c r="C43" i="16"/>
  <c r="H45" i="16"/>
  <c r="E41" i="16"/>
  <c r="C39" i="13"/>
  <c r="L45" i="14"/>
  <c r="E44" i="12"/>
  <c r="K39" i="17"/>
  <c r="K47" i="15"/>
  <c r="K41" i="14"/>
  <c r="K39" i="14"/>
  <c r="M24" i="13"/>
  <c r="L43" i="15"/>
  <c r="C40" i="12"/>
  <c r="K40" i="15"/>
  <c r="B43" i="16"/>
  <c r="O45" i="13"/>
  <c r="Q20" i="15"/>
  <c r="O43" i="13"/>
  <c r="K45" i="14"/>
  <c r="C24" i="13"/>
  <c r="L46" i="13"/>
  <c r="D44" i="12"/>
  <c r="I44" i="14"/>
  <c r="B26" i="13"/>
  <c r="C41" i="13"/>
  <c r="B43" i="12"/>
  <c r="D44" i="14"/>
  <c r="C43" i="13"/>
  <c r="M46" i="15"/>
  <c r="P40" i="13"/>
  <c r="B47" i="17"/>
  <c r="M25" i="14"/>
  <c r="B43" i="13"/>
  <c r="O21" i="15"/>
  <c r="C44" i="17"/>
  <c r="E40" i="12"/>
  <c r="C47" i="17"/>
  <c r="J25" i="14"/>
  <c r="M45" i="15"/>
  <c r="L43" i="13"/>
  <c r="K42" i="13"/>
  <c r="G41" i="16"/>
  <c r="L25" i="14"/>
  <c r="I46" i="17"/>
  <c r="G44" i="15"/>
  <c r="C47" i="14"/>
  <c r="E45" i="15"/>
  <c r="O47" i="13"/>
  <c r="C44" i="14"/>
  <c r="S44" i="14"/>
  <c r="I45" i="13"/>
  <c r="J41" i="15"/>
  <c r="Q45" i="14"/>
  <c r="Q47" i="13"/>
  <c r="O45" i="14"/>
  <c r="K45" i="13"/>
  <c r="G43" i="15"/>
  <c r="L39" i="14"/>
  <c r="D42" i="16"/>
  <c r="D43" i="17"/>
  <c r="H24" i="16"/>
  <c r="F39" i="16"/>
  <c r="J43" i="14"/>
  <c r="J24" i="15"/>
  <c r="R26" i="14"/>
  <c r="K24" i="15"/>
  <c r="C24" i="16"/>
  <c r="K40" i="14"/>
  <c r="H27" i="13"/>
  <c r="P45" i="13"/>
  <c r="M24" i="15"/>
  <c r="C24" i="12"/>
  <c r="I46" i="15"/>
  <c r="G39" i="16"/>
  <c r="H46" i="17"/>
  <c r="S40" i="14"/>
  <c r="Q44" i="15"/>
  <c r="C43" i="12"/>
  <c r="L24" i="15"/>
  <c r="K43" i="14"/>
  <c r="I45" i="15"/>
  <c r="G47" i="14"/>
  <c r="M40" i="14"/>
  <c r="H40" i="16"/>
  <c r="H46" i="14"/>
  <c r="L46" i="15"/>
  <c r="D24" i="15"/>
  <c r="O41" i="15"/>
  <c r="P25" i="15"/>
  <c r="I25" i="16"/>
  <c r="H46" i="15"/>
  <c r="S47" i="14"/>
  <c r="O23" i="14"/>
  <c r="G47" i="17"/>
  <c r="C47" i="16"/>
  <c r="F39" i="15"/>
  <c r="F25" i="16"/>
  <c r="B25" i="12"/>
  <c r="D40" i="14"/>
  <c r="M45" i="13"/>
  <c r="S188" i="3"/>
  <c r="O47" i="14"/>
  <c r="C42" i="14"/>
  <c r="L44" i="15"/>
  <c r="J25" i="15"/>
  <c r="S25" i="14"/>
  <c r="P25" i="13"/>
  <c r="I45" i="16"/>
  <c r="J41" i="14"/>
  <c r="F24" i="16"/>
  <c r="M44" i="15"/>
  <c r="L44" i="17"/>
  <c r="F47" i="15"/>
  <c r="H44" i="13"/>
  <c r="B47" i="14"/>
  <c r="K44" i="17"/>
  <c r="C42" i="16"/>
  <c r="H42" i="17"/>
  <c r="E45" i="17"/>
  <c r="G42" i="17"/>
  <c r="O39" i="13"/>
  <c r="M44" i="14"/>
  <c r="C45" i="15"/>
  <c r="H45" i="13"/>
  <c r="H45" i="14"/>
  <c r="P46" i="15"/>
  <c r="D44" i="15"/>
  <c r="K44" i="15"/>
  <c r="O25" i="13"/>
  <c r="G45" i="15"/>
  <c r="E45" i="16"/>
  <c r="C21" i="16"/>
  <c r="D45" i="15"/>
  <c r="I45" i="14"/>
  <c r="G40" i="14"/>
  <c r="F42" i="17"/>
  <c r="O47" i="15"/>
  <c r="D21" i="16"/>
  <c r="N25" i="15"/>
  <c r="E44" i="15"/>
  <c r="Q44" i="13"/>
  <c r="I44" i="13"/>
  <c r="C45" i="17"/>
  <c r="E47" i="16"/>
  <c r="Q45" i="13"/>
  <c r="Q25" i="15"/>
  <c r="J47" i="13"/>
  <c r="K45" i="15"/>
  <c r="M25" i="15"/>
  <c r="N25" i="13"/>
  <c r="M44" i="17"/>
  <c r="G47" i="16"/>
  <c r="G213" i="3"/>
  <c r="D45" i="17"/>
  <c r="H213" i="3"/>
  <c r="L45" i="17"/>
  <c r="L45" i="13"/>
  <c r="I46" i="14"/>
  <c r="G41" i="14"/>
  <c r="I40" i="14"/>
  <c r="G45" i="16"/>
  <c r="C24" i="15"/>
  <c r="B42" i="16"/>
  <c r="B46" i="12"/>
  <c r="B47" i="13"/>
  <c r="O44" i="13"/>
  <c r="C44" i="15"/>
  <c r="G44" i="14"/>
  <c r="G39" i="15"/>
  <c r="D24" i="13"/>
  <c r="C45" i="16"/>
  <c r="F42" i="15"/>
  <c r="L25" i="15"/>
  <c r="G44" i="13"/>
  <c r="P44" i="13"/>
  <c r="Q25" i="13"/>
  <c r="F47" i="14"/>
  <c r="J24" i="14"/>
  <c r="F24" i="13"/>
  <c r="N24" i="13"/>
  <c r="J24" i="13"/>
  <c r="F24" i="15"/>
  <c r="B24" i="14"/>
  <c r="F24" i="17"/>
  <c r="F24" i="14"/>
  <c r="J23" i="13"/>
  <c r="N23" i="13"/>
  <c r="B23" i="13"/>
  <c r="B42" i="13"/>
  <c r="N43" i="14"/>
  <c r="N42" i="14"/>
  <c r="N44" i="14"/>
  <c r="B44" i="13"/>
  <c r="B42" i="12"/>
  <c r="B40" i="16"/>
  <c r="B40" i="17"/>
  <c r="B40" i="13"/>
  <c r="N40" i="14"/>
  <c r="E21" i="16"/>
  <c r="N41" i="14"/>
  <c r="N21" i="15"/>
  <c r="J26" i="14"/>
  <c r="C26" i="12"/>
  <c r="D26" i="12"/>
  <c r="C64" i="12"/>
  <c r="D185" i="4"/>
  <c r="D190" i="4" s="1"/>
  <c r="D64" i="12"/>
  <c r="D186" i="4"/>
  <c r="D191" i="4" s="1"/>
  <c r="D187" i="4"/>
  <c r="D192" i="4" s="1"/>
  <c r="E64" i="12"/>
  <c r="B23" i="12"/>
  <c r="D131" i="4"/>
  <c r="D136" i="4" s="1"/>
  <c r="D62" i="12"/>
  <c r="D137" i="4"/>
  <c r="E62" i="12"/>
  <c r="C62" i="12"/>
  <c r="D130" i="4"/>
  <c r="D135" i="4" s="1"/>
  <c r="H26" i="17"/>
  <c r="C25" i="12"/>
  <c r="G26" i="17"/>
  <c r="B38" i="12"/>
  <c r="V155" i="3"/>
  <c r="V156" i="3" s="1"/>
  <c r="V157" i="3" s="1"/>
  <c r="W153" i="3"/>
  <c r="W155" i="3" s="1"/>
  <c r="V180" i="3"/>
  <c r="V181" i="3" s="1"/>
  <c r="V182" i="3" s="1"/>
  <c r="W178" i="3"/>
  <c r="W180" i="3" s="1"/>
  <c r="B26" i="12"/>
  <c r="B38" i="13"/>
  <c r="B27" i="12"/>
  <c r="I26" i="17"/>
  <c r="S26" i="14"/>
  <c r="T26" i="14"/>
  <c r="U26" i="14"/>
  <c r="C26" i="13"/>
  <c r="D26" i="13"/>
  <c r="D26" i="17"/>
  <c r="L26" i="14"/>
  <c r="E26" i="13"/>
  <c r="E26" i="17"/>
  <c r="C26" i="17"/>
  <c r="K26" i="14"/>
  <c r="F26" i="17"/>
  <c r="I26" i="16"/>
  <c r="G26" i="16"/>
  <c r="H26" i="16"/>
  <c r="F26" i="16"/>
  <c r="D26" i="16"/>
  <c r="E26" i="16"/>
  <c r="C26" i="16"/>
  <c r="B26" i="16"/>
  <c r="G25" i="16"/>
  <c r="O25" i="15"/>
  <c r="M26" i="14"/>
  <c r="G26" i="14"/>
  <c r="F26" i="14"/>
  <c r="I26" i="14"/>
  <c r="H26" i="14"/>
  <c r="K25" i="14"/>
  <c r="K25" i="13"/>
  <c r="M25" i="13"/>
  <c r="J25" i="13"/>
  <c r="T183" i="3"/>
  <c r="T184" i="3" s="1"/>
  <c r="T186" i="3" s="1"/>
  <c r="U181" i="3"/>
  <c r="U182" i="3" s="1"/>
  <c r="T158" i="3"/>
  <c r="T159" i="3" s="1"/>
  <c r="T161" i="3" s="1"/>
  <c r="U156" i="3"/>
  <c r="U157" i="3" s="1"/>
  <c r="S159" i="3"/>
  <c r="S161" i="3" s="1"/>
  <c r="I38" i="13"/>
  <c r="H38" i="13"/>
  <c r="D7" i="4"/>
  <c r="D9" i="4" s="1"/>
  <c r="G38" i="13"/>
  <c r="I208" i="3"/>
  <c r="I209" i="3" s="1"/>
  <c r="I211" i="3" s="1"/>
  <c r="I213" i="3" s="1"/>
  <c r="J206" i="3"/>
  <c r="J207" i="3" s="1"/>
  <c r="K205" i="3"/>
  <c r="L203" i="3"/>
  <c r="I432" i="3"/>
  <c r="I433" i="3" s="1"/>
  <c r="I435" i="3" s="1"/>
  <c r="I437" i="3" s="1"/>
  <c r="K429" i="3"/>
  <c r="J430" i="3"/>
  <c r="J431" i="3" s="1"/>
  <c r="D305" i="3"/>
  <c r="D306" i="3" s="1"/>
  <c r="D356" i="3"/>
  <c r="D406" i="3"/>
  <c r="D380" i="3"/>
  <c r="D381" i="3" s="1"/>
  <c r="D331" i="3"/>
  <c r="V6" i="4"/>
  <c r="V7" i="4" s="1"/>
  <c r="T6" i="4"/>
  <c r="T7" i="4" s="1"/>
  <c r="D257" i="3"/>
  <c r="D232" i="3"/>
  <c r="V130" i="3"/>
  <c r="V131" i="3" s="1"/>
  <c r="V132" i="3" s="1"/>
  <c r="U130" i="3"/>
  <c r="U131" i="3" s="1"/>
  <c r="U132" i="3" s="1"/>
  <c r="T130" i="3"/>
  <c r="S130" i="3"/>
  <c r="R130" i="3"/>
  <c r="R131" i="3" s="1"/>
  <c r="Q130" i="3"/>
  <c r="P130" i="3"/>
  <c r="O130" i="3"/>
  <c r="N130" i="3"/>
  <c r="N131" i="3" s="1"/>
  <c r="N132" i="3" s="1"/>
  <c r="M130" i="3"/>
  <c r="M131" i="3" s="1"/>
  <c r="L130" i="3"/>
  <c r="K130" i="3"/>
  <c r="J130" i="3"/>
  <c r="H130" i="3"/>
  <c r="G130" i="3"/>
  <c r="G131" i="3" s="1"/>
  <c r="F130" i="3"/>
  <c r="E130" i="3"/>
  <c r="E131" i="3" s="1"/>
  <c r="E132" i="3" s="1"/>
  <c r="D130" i="3"/>
  <c r="V105" i="3"/>
  <c r="U105" i="3"/>
  <c r="T105" i="3"/>
  <c r="S105" i="3"/>
  <c r="S106" i="3" s="1"/>
  <c r="R105" i="3"/>
  <c r="Q105" i="3"/>
  <c r="Q106" i="3" s="1"/>
  <c r="Q107" i="3" s="1"/>
  <c r="P105" i="3"/>
  <c r="O105" i="3"/>
  <c r="O106" i="3" s="1"/>
  <c r="N105" i="3"/>
  <c r="M105" i="3"/>
  <c r="M106" i="3" s="1"/>
  <c r="L105" i="3"/>
  <c r="L106" i="3" s="1"/>
  <c r="K105" i="3"/>
  <c r="K106" i="3" s="1"/>
  <c r="J105" i="3"/>
  <c r="I105" i="3"/>
  <c r="H105" i="3"/>
  <c r="G105" i="3"/>
  <c r="G106" i="3" s="1"/>
  <c r="F105" i="3"/>
  <c r="E105" i="3"/>
  <c r="D105" i="3"/>
  <c r="D80" i="3"/>
  <c r="D81" i="3" s="1"/>
  <c r="U55" i="3"/>
  <c r="U56" i="3" s="1"/>
  <c r="R55" i="3"/>
  <c r="P55" i="3"/>
  <c r="P56" i="3" s="1"/>
  <c r="N55" i="3"/>
  <c r="I55" i="3"/>
  <c r="E55" i="3"/>
  <c r="E56" i="3" s="1"/>
  <c r="D55" i="3"/>
  <c r="D56" i="3" s="1"/>
  <c r="W18" i="4" l="1"/>
  <c r="W23" i="4" s="1"/>
  <c r="W20" i="4"/>
  <c r="W25" i="4" s="1"/>
  <c r="W19" i="4"/>
  <c r="W24" i="4" s="1"/>
  <c r="W21" i="4"/>
  <c r="W26" i="4" s="1"/>
  <c r="D11" i="4"/>
  <c r="D18" i="4" s="1"/>
  <c r="D23" i="4" s="1"/>
  <c r="N23" i="14"/>
  <c r="B47" i="16"/>
  <c r="F47" i="17"/>
  <c r="N47" i="14"/>
  <c r="F40" i="14"/>
  <c r="F47" i="16"/>
  <c r="N47" i="13"/>
  <c r="B44" i="12"/>
  <c r="B41" i="13"/>
  <c r="J40" i="15"/>
  <c r="N40" i="13"/>
  <c r="J39" i="17"/>
  <c r="G25" i="15"/>
  <c r="M667" i="3"/>
  <c r="M671" i="3" s="1"/>
  <c r="R47" i="14"/>
  <c r="U642" i="3"/>
  <c r="U646" i="3" s="1"/>
  <c r="F46" i="17"/>
  <c r="M642" i="3"/>
  <c r="M646" i="3" s="1"/>
  <c r="R46" i="14"/>
  <c r="K642" i="3"/>
  <c r="K646" i="3" s="1"/>
  <c r="J46" i="14"/>
  <c r="J642" i="3"/>
  <c r="J646" i="3" s="1"/>
  <c r="F46" i="14"/>
  <c r="H642" i="3"/>
  <c r="H646" i="3" s="1"/>
  <c r="N46" i="13"/>
  <c r="G642" i="3"/>
  <c r="G646" i="3" s="1"/>
  <c r="J46" i="13"/>
  <c r="E642" i="3"/>
  <c r="E646" i="3" s="1"/>
  <c r="B46" i="13"/>
  <c r="T617" i="3"/>
  <c r="T621" i="3" s="1"/>
  <c r="B45" i="17"/>
  <c r="S617" i="3"/>
  <c r="S621" i="3" s="1"/>
  <c r="F45" i="16"/>
  <c r="R617" i="3"/>
  <c r="R621" i="3" s="1"/>
  <c r="B45" i="16"/>
  <c r="P617" i="3"/>
  <c r="P621" i="3" s="1"/>
  <c r="J45" i="15"/>
  <c r="O617" i="3"/>
  <c r="O621" i="3" s="1"/>
  <c r="F45" i="15"/>
  <c r="N617" i="3"/>
  <c r="N621" i="3" s="1"/>
  <c r="N45" i="14"/>
  <c r="L617" i="3"/>
  <c r="L621" i="3" s="1"/>
  <c r="J45" i="14"/>
  <c r="K617" i="3"/>
  <c r="K621" i="3" s="1"/>
  <c r="F45" i="14"/>
  <c r="J617" i="3"/>
  <c r="J621" i="3" s="1"/>
  <c r="H617" i="3"/>
  <c r="H621" i="3" s="1"/>
  <c r="N45" i="13"/>
  <c r="J45" i="13"/>
  <c r="G617" i="3"/>
  <c r="G621" i="3" s="1"/>
  <c r="F45" i="13"/>
  <c r="F617" i="3"/>
  <c r="F621" i="3" s="1"/>
  <c r="R44" i="14"/>
  <c r="M592" i="3"/>
  <c r="M596" i="3" s="1"/>
  <c r="U592" i="3"/>
  <c r="U596" i="3" s="1"/>
  <c r="F44" i="17"/>
  <c r="I592" i="3"/>
  <c r="I596" i="3" s="1"/>
  <c r="B44" i="14"/>
  <c r="R592" i="3"/>
  <c r="R596" i="3" s="1"/>
  <c r="B44" i="16"/>
  <c r="O592" i="3"/>
  <c r="O596" i="3" s="1"/>
  <c r="F44" i="15"/>
  <c r="J592" i="3"/>
  <c r="J596" i="3" s="1"/>
  <c r="F44" i="14"/>
  <c r="K592" i="3"/>
  <c r="K596" i="3" s="1"/>
  <c r="J44" i="14"/>
  <c r="T592" i="3"/>
  <c r="T596" i="3" s="1"/>
  <c r="B44" i="17"/>
  <c r="F44" i="16"/>
  <c r="J44" i="13"/>
  <c r="J567" i="3"/>
  <c r="J571" i="3" s="1"/>
  <c r="F43" i="14"/>
  <c r="I567" i="3"/>
  <c r="I571" i="3" s="1"/>
  <c r="B43" i="14"/>
  <c r="Q567" i="3"/>
  <c r="Q571" i="3" s="1"/>
  <c r="N43" i="15"/>
  <c r="J43" i="15"/>
  <c r="R43" i="14"/>
  <c r="M567" i="3"/>
  <c r="M571" i="3" s="1"/>
  <c r="O567" i="3"/>
  <c r="O571" i="3" s="1"/>
  <c r="F43" i="15"/>
  <c r="S567" i="3"/>
  <c r="S571" i="3" s="1"/>
  <c r="F43" i="16"/>
  <c r="T567" i="3"/>
  <c r="T571" i="3" s="1"/>
  <c r="B43" i="17"/>
  <c r="G542" i="3"/>
  <c r="G546" i="3" s="1"/>
  <c r="J42" i="13"/>
  <c r="S542" i="3"/>
  <c r="S546" i="3" s="1"/>
  <c r="F42" i="16"/>
  <c r="J542" i="3"/>
  <c r="J546" i="3" s="1"/>
  <c r="F42" i="14"/>
  <c r="R42" i="14"/>
  <c r="M542" i="3"/>
  <c r="M546" i="3" s="1"/>
  <c r="K542" i="3"/>
  <c r="K546" i="3" s="1"/>
  <c r="J42" i="14"/>
  <c r="N42" i="15"/>
  <c r="I542" i="3"/>
  <c r="I546" i="3" s="1"/>
  <c r="B42" i="14"/>
  <c r="M517" i="3"/>
  <c r="M521" i="3" s="1"/>
  <c r="R41" i="14"/>
  <c r="B41" i="17"/>
  <c r="N41" i="13"/>
  <c r="J517" i="3"/>
  <c r="J521" i="3" s="1"/>
  <c r="F41" i="14"/>
  <c r="B41" i="12"/>
  <c r="B41" i="16"/>
  <c r="U517" i="3"/>
  <c r="U521" i="3" s="1"/>
  <c r="F41" i="17"/>
  <c r="U492" i="3"/>
  <c r="U496" i="3" s="1"/>
  <c r="F40" i="17"/>
  <c r="M492" i="3"/>
  <c r="M496" i="3" s="1"/>
  <c r="R40" i="14"/>
  <c r="K492" i="3"/>
  <c r="K496" i="3" s="1"/>
  <c r="J40" i="14"/>
  <c r="I492" i="3"/>
  <c r="I496" i="3" s="1"/>
  <c r="B40" i="14"/>
  <c r="K467" i="3"/>
  <c r="K471" i="3" s="1"/>
  <c r="J39" i="14"/>
  <c r="N467" i="3"/>
  <c r="N471" i="3" s="1"/>
  <c r="B39" i="13"/>
  <c r="E467" i="3"/>
  <c r="E471" i="3" s="1"/>
  <c r="N39" i="13"/>
  <c r="M467" i="3"/>
  <c r="M471" i="3" s="1"/>
  <c r="R39" i="14"/>
  <c r="F39" i="17"/>
  <c r="H443" i="3"/>
  <c r="H447" i="3" s="1"/>
  <c r="H442" i="3"/>
  <c r="H446" i="3" s="1"/>
  <c r="I444" i="3"/>
  <c r="I448" i="3" s="1"/>
  <c r="I445" i="3"/>
  <c r="I449" i="3" s="1"/>
  <c r="G442" i="3"/>
  <c r="G446" i="3" s="1"/>
  <c r="G443" i="3"/>
  <c r="G447" i="3" s="1"/>
  <c r="H220" i="3"/>
  <c r="H224" i="3" s="1"/>
  <c r="H221" i="3"/>
  <c r="H225" i="3" s="1"/>
  <c r="G221" i="3"/>
  <c r="G225" i="3" s="1"/>
  <c r="G220" i="3"/>
  <c r="G224" i="3" s="1"/>
  <c r="I220" i="3"/>
  <c r="I224" i="3" s="1"/>
  <c r="I221" i="3"/>
  <c r="I225" i="3" s="1"/>
  <c r="S195" i="3"/>
  <c r="S199" i="3" s="1"/>
  <c r="S196" i="3"/>
  <c r="S200" i="3" s="1"/>
  <c r="R194" i="3"/>
  <c r="R198" i="3" s="1"/>
  <c r="R193" i="3"/>
  <c r="R197" i="3" s="1"/>
  <c r="J20" i="15"/>
  <c r="D20" i="16"/>
  <c r="S642" i="3"/>
  <c r="S646" i="3" s="1"/>
  <c r="F46" i="16"/>
  <c r="R642" i="3"/>
  <c r="R646" i="3" s="1"/>
  <c r="B46" i="16"/>
  <c r="Q642" i="3"/>
  <c r="Q646" i="3" s="1"/>
  <c r="N46" i="15"/>
  <c r="P642" i="3"/>
  <c r="P646" i="3" s="1"/>
  <c r="J46" i="15"/>
  <c r="O642" i="3"/>
  <c r="O646" i="3" s="1"/>
  <c r="F46" i="15"/>
  <c r="R168" i="3"/>
  <c r="R172" i="3" s="1"/>
  <c r="R169" i="3"/>
  <c r="R173" i="3" s="1"/>
  <c r="Q168" i="3"/>
  <c r="Q172" i="3" s="1"/>
  <c r="Q169" i="3"/>
  <c r="Q173" i="3" s="1"/>
  <c r="E20" i="16"/>
  <c r="J43" i="13"/>
  <c r="B27" i="13"/>
  <c r="N44" i="15"/>
  <c r="F27" i="13"/>
  <c r="F40" i="16"/>
  <c r="J39" i="13"/>
  <c r="C20" i="16"/>
  <c r="C25" i="13"/>
  <c r="G25" i="14"/>
  <c r="B40" i="12"/>
  <c r="O20" i="15"/>
  <c r="F41" i="16"/>
  <c r="K27" i="13"/>
  <c r="N41" i="15"/>
  <c r="P20" i="15"/>
  <c r="O26" i="14"/>
  <c r="I25" i="13"/>
  <c r="H25" i="13"/>
  <c r="O27" i="13"/>
  <c r="T163" i="3"/>
  <c r="P26" i="14"/>
  <c r="B25" i="14"/>
  <c r="T188" i="3"/>
  <c r="I25" i="17"/>
  <c r="F44" i="13"/>
  <c r="D25" i="14"/>
  <c r="M25" i="17"/>
  <c r="U25" i="14"/>
  <c r="K25" i="17"/>
  <c r="J44" i="15"/>
  <c r="H25" i="15"/>
  <c r="C25" i="17"/>
  <c r="F25" i="13"/>
  <c r="M27" i="13"/>
  <c r="G25" i="17"/>
  <c r="H25" i="17"/>
  <c r="B25" i="17"/>
  <c r="N44" i="13"/>
  <c r="B25" i="16"/>
  <c r="E25" i="13"/>
  <c r="O25" i="14"/>
  <c r="N25" i="14"/>
  <c r="E25" i="15"/>
  <c r="E25" i="16"/>
  <c r="I25" i="15"/>
  <c r="G25" i="13"/>
  <c r="B25" i="13"/>
  <c r="E25" i="14"/>
  <c r="J25" i="17"/>
  <c r="D25" i="16"/>
  <c r="C25" i="14"/>
  <c r="D25" i="17"/>
  <c r="H25" i="14"/>
  <c r="Q25" i="14"/>
  <c r="D25" i="15"/>
  <c r="F25" i="15"/>
  <c r="B47" i="12"/>
  <c r="Q26" i="14"/>
  <c r="E25" i="17"/>
  <c r="D25" i="13"/>
  <c r="S163" i="3"/>
  <c r="C25" i="15"/>
  <c r="P25" i="14"/>
  <c r="C25" i="16"/>
  <c r="J44" i="17"/>
  <c r="J47" i="14"/>
  <c r="F25" i="14"/>
  <c r="T25" i="14"/>
  <c r="J47" i="15"/>
  <c r="L25" i="17"/>
  <c r="F25" i="17"/>
  <c r="N47" i="15"/>
  <c r="I25" i="14"/>
  <c r="N26" i="14"/>
  <c r="R25" i="14"/>
  <c r="N24" i="14"/>
  <c r="B24" i="13"/>
  <c r="B24" i="16"/>
  <c r="J24" i="17"/>
  <c r="B24" i="12"/>
  <c r="F38" i="13"/>
  <c r="W181" i="3"/>
  <c r="W182" i="3" s="1"/>
  <c r="W156" i="3"/>
  <c r="W157" i="3" s="1"/>
  <c r="U183" i="3"/>
  <c r="U184" i="3" s="1"/>
  <c r="U186" i="3" s="1"/>
  <c r="V183" i="3"/>
  <c r="V184" i="3" s="1"/>
  <c r="V186" i="3" s="1"/>
  <c r="V158" i="3"/>
  <c r="V159" i="3" s="1"/>
  <c r="V161" i="3" s="1"/>
  <c r="V163" i="3" s="1"/>
  <c r="U158" i="3"/>
  <c r="U159" i="3" s="1"/>
  <c r="U161" i="3" s="1"/>
  <c r="Q38" i="13"/>
  <c r="P38" i="13"/>
  <c r="U133" i="3"/>
  <c r="U134" i="3" s="1"/>
  <c r="K38" i="13"/>
  <c r="V133" i="3"/>
  <c r="V134" i="3" s="1"/>
  <c r="M38" i="13"/>
  <c r="L38" i="13"/>
  <c r="O38" i="13"/>
  <c r="N133" i="3"/>
  <c r="N134" i="3" s="1"/>
  <c r="Q108" i="3"/>
  <c r="Q109" i="3" s="1"/>
  <c r="E133" i="3"/>
  <c r="E134" i="3" s="1"/>
  <c r="K107" i="3"/>
  <c r="J208" i="3"/>
  <c r="J209" i="3" s="1"/>
  <c r="J211" i="3" s="1"/>
  <c r="J213" i="3" s="1"/>
  <c r="M203" i="3"/>
  <c r="L205" i="3"/>
  <c r="K206" i="3"/>
  <c r="K207" i="3" s="1"/>
  <c r="F131" i="3"/>
  <c r="F132" i="3" s="1"/>
  <c r="D82" i="3"/>
  <c r="Q131" i="3"/>
  <c r="Q132" i="3" s="1"/>
  <c r="J432" i="3"/>
  <c r="J433" i="3" s="1"/>
  <c r="J435" i="3" s="1"/>
  <c r="J437" i="3" s="1"/>
  <c r="K430" i="3"/>
  <c r="K431" i="3" s="1"/>
  <c r="L429" i="3"/>
  <c r="D382" i="3"/>
  <c r="D383" i="3" s="1"/>
  <c r="D307" i="3"/>
  <c r="D308" i="3" s="1"/>
  <c r="O107" i="3"/>
  <c r="R132" i="3"/>
  <c r="D332" i="3"/>
  <c r="D333" i="3" s="1"/>
  <c r="D233" i="3"/>
  <c r="D234" i="3" s="1"/>
  <c r="D407" i="3"/>
  <c r="D408" i="3" s="1"/>
  <c r="S107" i="3"/>
  <c r="D357" i="3"/>
  <c r="D358" i="3" s="1"/>
  <c r="G107" i="3"/>
  <c r="M132" i="3"/>
  <c r="D258" i="3"/>
  <c r="D259" i="3" s="1"/>
  <c r="D106" i="3"/>
  <c r="D107" i="3" s="1"/>
  <c r="P106" i="3"/>
  <c r="P107" i="3" s="1"/>
  <c r="T106" i="3"/>
  <c r="T107" i="3" s="1"/>
  <c r="R56" i="3"/>
  <c r="R57" i="3" s="1"/>
  <c r="H106" i="3"/>
  <c r="H107" i="3" s="1"/>
  <c r="L107" i="3"/>
  <c r="K131" i="3"/>
  <c r="K132" i="3" s="1"/>
  <c r="S131" i="3"/>
  <c r="S132" i="3" s="1"/>
  <c r="N56" i="3"/>
  <c r="N57" i="3" s="1"/>
  <c r="I106" i="3"/>
  <c r="I107" i="3" s="1"/>
  <c r="U106" i="3"/>
  <c r="U107" i="3" s="1"/>
  <c r="M107" i="3"/>
  <c r="D131" i="3"/>
  <c r="D132" i="3" s="1"/>
  <c r="H131" i="3"/>
  <c r="H132" i="3" s="1"/>
  <c r="L131" i="3"/>
  <c r="L132" i="3" s="1"/>
  <c r="P131" i="3"/>
  <c r="P132" i="3" s="1"/>
  <c r="T131" i="3"/>
  <c r="T132" i="3" s="1"/>
  <c r="G132" i="3"/>
  <c r="I56" i="3"/>
  <c r="I57" i="3" s="1"/>
  <c r="D57" i="3"/>
  <c r="F106" i="3"/>
  <c r="F107" i="3" s="1"/>
  <c r="J106" i="3"/>
  <c r="J107" i="3" s="1"/>
  <c r="N106" i="3"/>
  <c r="N107" i="3" s="1"/>
  <c r="R106" i="3"/>
  <c r="R107" i="3" s="1"/>
  <c r="V106" i="3"/>
  <c r="V107" i="3" s="1"/>
  <c r="O131" i="3"/>
  <c r="O132" i="3" s="1"/>
  <c r="E57" i="3"/>
  <c r="P57" i="3"/>
  <c r="U57" i="3"/>
  <c r="E106" i="3"/>
  <c r="E107" i="3" s="1"/>
  <c r="J131" i="3"/>
  <c r="J132" i="3" s="1"/>
  <c r="D21" i="4" l="1"/>
  <c r="B21" i="16"/>
  <c r="H21" i="16"/>
  <c r="I443" i="3"/>
  <c r="I447" i="3" s="1"/>
  <c r="I442" i="3"/>
  <c r="I446" i="3" s="1"/>
  <c r="J444" i="3"/>
  <c r="J448" i="3" s="1"/>
  <c r="J445" i="3"/>
  <c r="J449" i="3" s="1"/>
  <c r="G218" i="3"/>
  <c r="G222" i="3" s="1"/>
  <c r="G219" i="3"/>
  <c r="G223" i="3" s="1"/>
  <c r="L27" i="13"/>
  <c r="J220" i="3"/>
  <c r="J224" i="3" s="1"/>
  <c r="J221" i="3"/>
  <c r="J225" i="3" s="1"/>
  <c r="H219" i="3"/>
  <c r="H223" i="3" s="1"/>
  <c r="H218" i="3"/>
  <c r="H222" i="3" s="1"/>
  <c r="I219" i="3"/>
  <c r="I223" i="3" s="1"/>
  <c r="I218" i="3"/>
  <c r="I222" i="3" s="1"/>
  <c r="T196" i="3"/>
  <c r="T200" i="3" s="1"/>
  <c r="T195" i="3"/>
  <c r="T199" i="3" s="1"/>
  <c r="C21" i="17"/>
  <c r="S194" i="3"/>
  <c r="S198" i="3" s="1"/>
  <c r="S193" i="3"/>
  <c r="S197" i="3" s="1"/>
  <c r="T170" i="3"/>
  <c r="T174" i="3" s="1"/>
  <c r="T171" i="3"/>
  <c r="T175" i="3" s="1"/>
  <c r="S170" i="3"/>
  <c r="S174" i="3" s="1"/>
  <c r="S171" i="3"/>
  <c r="S175" i="3" s="1"/>
  <c r="V171" i="3"/>
  <c r="V175" i="3" s="1"/>
  <c r="V170" i="3"/>
  <c r="V174" i="3" s="1"/>
  <c r="I21" i="16"/>
  <c r="D19" i="4"/>
  <c r="D20" i="4"/>
  <c r="B57" i="12"/>
  <c r="B20" i="16"/>
  <c r="Q27" i="13"/>
  <c r="G21" i="16"/>
  <c r="N20" i="15"/>
  <c r="H20" i="16"/>
  <c r="I20" i="16"/>
  <c r="E21" i="17"/>
  <c r="U188" i="3"/>
  <c r="V188" i="3"/>
  <c r="P27" i="13"/>
  <c r="U163" i="3"/>
  <c r="W183" i="3"/>
  <c r="W184" i="3" s="1"/>
  <c r="W186" i="3" s="1"/>
  <c r="W188" i="3" s="1"/>
  <c r="W158" i="3"/>
  <c r="W159" i="3" s="1"/>
  <c r="W161" i="3" s="1"/>
  <c r="W163" i="3" s="1"/>
  <c r="N38" i="13"/>
  <c r="J38" i="13"/>
  <c r="M133" i="3"/>
  <c r="M134" i="3" s="1"/>
  <c r="P133" i="3"/>
  <c r="P134" i="3" s="1"/>
  <c r="S108" i="3"/>
  <c r="S109" i="3" s="1"/>
  <c r="O133" i="3"/>
  <c r="O134" i="3" s="1"/>
  <c r="S133" i="3"/>
  <c r="S134" i="3" s="1"/>
  <c r="C38" i="14"/>
  <c r="T133" i="3"/>
  <c r="T134" i="3" s="1"/>
  <c r="E38" i="14"/>
  <c r="D38" i="14"/>
  <c r="R133" i="3"/>
  <c r="R134" i="3" s="1"/>
  <c r="Q133" i="3"/>
  <c r="Q134" i="3" s="1"/>
  <c r="O108" i="3"/>
  <c r="O109" i="3" s="1"/>
  <c r="P108" i="3"/>
  <c r="P109" i="3" s="1"/>
  <c r="K133" i="3"/>
  <c r="K134" i="3" s="1"/>
  <c r="J133" i="3"/>
  <c r="J134" i="3" s="1"/>
  <c r="L133" i="3"/>
  <c r="L134" i="3" s="1"/>
  <c r="M108" i="3"/>
  <c r="M109" i="3" s="1"/>
  <c r="H133" i="3"/>
  <c r="H134" i="3" s="1"/>
  <c r="G133" i="3"/>
  <c r="G134" i="3" s="1"/>
  <c r="F133" i="3"/>
  <c r="F134" i="3" s="1"/>
  <c r="D133" i="3"/>
  <c r="D134" i="3" s="1"/>
  <c r="D83" i="3"/>
  <c r="E27" i="14"/>
  <c r="C27" i="14"/>
  <c r="D27" i="14"/>
  <c r="F108" i="3"/>
  <c r="F109" i="3" s="1"/>
  <c r="L108" i="3"/>
  <c r="L109" i="3" s="1"/>
  <c r="G108" i="3"/>
  <c r="G109" i="3" s="1"/>
  <c r="K108" i="3"/>
  <c r="K109" i="3" s="1"/>
  <c r="V108" i="3"/>
  <c r="V109" i="3" s="1"/>
  <c r="H108" i="3"/>
  <c r="H109" i="3" s="1"/>
  <c r="R108" i="3"/>
  <c r="R109" i="3" s="1"/>
  <c r="T108" i="3"/>
  <c r="T109" i="3" s="1"/>
  <c r="N108" i="3"/>
  <c r="N109" i="3" s="1"/>
  <c r="E108" i="3"/>
  <c r="E109" i="3" s="1"/>
  <c r="J108" i="3"/>
  <c r="J109" i="3" s="1"/>
  <c r="I108" i="3"/>
  <c r="I109" i="3" s="1"/>
  <c r="U108" i="3"/>
  <c r="U109" i="3" s="1"/>
  <c r="D108" i="3"/>
  <c r="D109" i="3" s="1"/>
  <c r="K208" i="3"/>
  <c r="K209" i="3" s="1"/>
  <c r="K211" i="3" s="1"/>
  <c r="K213" i="3" s="1"/>
  <c r="L206" i="3"/>
  <c r="L207" i="3" s="1"/>
  <c r="M205" i="3"/>
  <c r="N203" i="3"/>
  <c r="K432" i="3"/>
  <c r="K433" i="3" s="1"/>
  <c r="K435" i="3" s="1"/>
  <c r="K437" i="3" s="1"/>
  <c r="L430" i="3"/>
  <c r="L431" i="3" s="1"/>
  <c r="M429" i="3"/>
  <c r="R58" i="3"/>
  <c r="R59" i="3" s="1"/>
  <c r="R61" i="3" s="1"/>
  <c r="R63" i="3" s="1"/>
  <c r="E58" i="3"/>
  <c r="E59" i="3" s="1"/>
  <c r="E61" i="3" s="1"/>
  <c r="E63" i="3" s="1"/>
  <c r="N58" i="3"/>
  <c r="N59" i="3" s="1"/>
  <c r="N61" i="3" s="1"/>
  <c r="N63" i="3" s="1"/>
  <c r="I58" i="3"/>
  <c r="I59" i="3" s="1"/>
  <c r="I61" i="3" s="1"/>
  <c r="I63" i="3" s="1"/>
  <c r="D58" i="3"/>
  <c r="D59" i="3" s="1"/>
  <c r="U58" i="3"/>
  <c r="U59" i="3" s="1"/>
  <c r="U61" i="3" s="1"/>
  <c r="U63" i="3" s="1"/>
  <c r="P58" i="3"/>
  <c r="P59" i="3" s="1"/>
  <c r="P61" i="3" s="1"/>
  <c r="P63" i="3" s="1"/>
  <c r="V196" i="3" l="1"/>
  <c r="V200" i="3" s="1"/>
  <c r="V195" i="3"/>
  <c r="V199" i="3" s="1"/>
  <c r="F21" i="16"/>
  <c r="J443" i="3"/>
  <c r="J447" i="3" s="1"/>
  <c r="J442" i="3"/>
  <c r="J446" i="3" s="1"/>
  <c r="K444" i="3"/>
  <c r="K448" i="3" s="1"/>
  <c r="K445" i="3"/>
  <c r="K449" i="3" s="1"/>
  <c r="K220" i="3"/>
  <c r="K224" i="3" s="1"/>
  <c r="K221" i="3"/>
  <c r="K225" i="3" s="1"/>
  <c r="J219" i="3"/>
  <c r="J223" i="3" s="1"/>
  <c r="J218" i="3"/>
  <c r="J222" i="3" s="1"/>
  <c r="W196" i="3"/>
  <c r="W200" i="3" s="1"/>
  <c r="W195" i="3"/>
  <c r="W199" i="3" s="1"/>
  <c r="U196" i="3"/>
  <c r="U200" i="3" s="1"/>
  <c r="U195" i="3"/>
  <c r="U199" i="3" s="1"/>
  <c r="T194" i="3"/>
  <c r="T198" i="3" s="1"/>
  <c r="T193" i="3"/>
  <c r="T197" i="3" s="1"/>
  <c r="D20" i="17"/>
  <c r="N70" i="3"/>
  <c r="N74" i="3" s="1"/>
  <c r="N71" i="3"/>
  <c r="N75" i="3" s="1"/>
  <c r="E70" i="3"/>
  <c r="E74" i="3" s="1"/>
  <c r="E71" i="3"/>
  <c r="E75" i="3" s="1"/>
  <c r="R71" i="3"/>
  <c r="R75" i="3" s="1"/>
  <c r="R70" i="3"/>
  <c r="R74" i="3" s="1"/>
  <c r="V169" i="3"/>
  <c r="V173" i="3" s="1"/>
  <c r="V168" i="3"/>
  <c r="V172" i="3" s="1"/>
  <c r="T168" i="3"/>
  <c r="T172" i="3" s="1"/>
  <c r="T169" i="3"/>
  <c r="T173" i="3" s="1"/>
  <c r="I71" i="3"/>
  <c r="I75" i="3" s="1"/>
  <c r="I70" i="3"/>
  <c r="I74" i="3" s="1"/>
  <c r="U170" i="3"/>
  <c r="U174" i="3" s="1"/>
  <c r="U171" i="3"/>
  <c r="U175" i="3" s="1"/>
  <c r="S168" i="3"/>
  <c r="S172" i="3" s="1"/>
  <c r="S169" i="3"/>
  <c r="S173" i="3" s="1"/>
  <c r="P70" i="3"/>
  <c r="P74" i="3" s="1"/>
  <c r="P71" i="3"/>
  <c r="P75" i="3" s="1"/>
  <c r="W171" i="3"/>
  <c r="W175" i="3" s="1"/>
  <c r="W170" i="3"/>
  <c r="W174" i="3" s="1"/>
  <c r="U71" i="3"/>
  <c r="U75" i="3" s="1"/>
  <c r="U70" i="3"/>
  <c r="U74" i="3" s="1"/>
  <c r="J27" i="13"/>
  <c r="E20" i="17"/>
  <c r="G20" i="16"/>
  <c r="C20" i="17"/>
  <c r="N27" i="13"/>
  <c r="D21" i="17"/>
  <c r="D24" i="4"/>
  <c r="C57" i="12"/>
  <c r="D25" i="4"/>
  <c r="D57" i="12"/>
  <c r="E57" i="12"/>
  <c r="D26" i="4"/>
  <c r="B38" i="14"/>
  <c r="M20" i="17"/>
  <c r="B27" i="14"/>
  <c r="L21" i="17"/>
  <c r="K20" i="17"/>
  <c r="L20" i="17"/>
  <c r="G38" i="14"/>
  <c r="I38" i="14"/>
  <c r="H38" i="14"/>
  <c r="G27" i="14"/>
  <c r="I27" i="14"/>
  <c r="H27" i="14"/>
  <c r="L208" i="3"/>
  <c r="L209" i="3" s="1"/>
  <c r="L211" i="3" s="1"/>
  <c r="N205" i="3"/>
  <c r="O203" i="3"/>
  <c r="M206" i="3"/>
  <c r="M207" i="3" s="1"/>
  <c r="L432" i="3"/>
  <c r="L433" i="3" s="1"/>
  <c r="L435" i="3" s="1"/>
  <c r="L437" i="3" s="1"/>
  <c r="M430" i="3"/>
  <c r="M431" i="3" s="1"/>
  <c r="N429" i="3"/>
  <c r="D30" i="3"/>
  <c r="D31" i="3" s="1"/>
  <c r="V194" i="3" l="1"/>
  <c r="V198" i="3" s="1"/>
  <c r="V193" i="3"/>
  <c r="V197" i="3" s="1"/>
  <c r="H21" i="17"/>
  <c r="I21" i="17"/>
  <c r="K443" i="3"/>
  <c r="K447" i="3" s="1"/>
  <c r="K442" i="3"/>
  <c r="K446" i="3" s="1"/>
  <c r="L444" i="3"/>
  <c r="L448" i="3" s="1"/>
  <c r="L445" i="3"/>
  <c r="L449" i="3" s="1"/>
  <c r="K219" i="3"/>
  <c r="K223" i="3" s="1"/>
  <c r="K218" i="3"/>
  <c r="K222" i="3" s="1"/>
  <c r="W194" i="3"/>
  <c r="W198" i="3" s="1"/>
  <c r="W193" i="3"/>
  <c r="W197" i="3" s="1"/>
  <c r="U193" i="3"/>
  <c r="U197" i="3" s="1"/>
  <c r="U194" i="3"/>
  <c r="U198" i="3" s="1"/>
  <c r="H20" i="17"/>
  <c r="U68" i="3"/>
  <c r="U72" i="3" s="1"/>
  <c r="U69" i="3"/>
  <c r="U73" i="3" s="1"/>
  <c r="E68" i="3"/>
  <c r="E72" i="3" s="1"/>
  <c r="E69" i="3"/>
  <c r="E73" i="3" s="1"/>
  <c r="I69" i="3"/>
  <c r="I73" i="3" s="1"/>
  <c r="I68" i="3"/>
  <c r="I72" i="3" s="1"/>
  <c r="R68" i="3"/>
  <c r="R72" i="3" s="1"/>
  <c r="R69" i="3"/>
  <c r="R73" i="3" s="1"/>
  <c r="U168" i="3"/>
  <c r="U172" i="3" s="1"/>
  <c r="U169" i="3"/>
  <c r="U173" i="3" s="1"/>
  <c r="W169" i="3"/>
  <c r="W173" i="3" s="1"/>
  <c r="W168" i="3"/>
  <c r="W172" i="3" s="1"/>
  <c r="P68" i="3"/>
  <c r="P72" i="3" s="1"/>
  <c r="P69" i="3"/>
  <c r="P73" i="3" s="1"/>
  <c r="N68" i="3"/>
  <c r="N72" i="3" s="1"/>
  <c r="N69" i="3"/>
  <c r="N73" i="3" s="1"/>
  <c r="F20" i="16"/>
  <c r="G20" i="17"/>
  <c r="B21" i="17"/>
  <c r="B20" i="17"/>
  <c r="I20" i="17"/>
  <c r="G21" i="17"/>
  <c r="K21" i="17"/>
  <c r="M21" i="17"/>
  <c r="L213" i="3"/>
  <c r="F21" i="17"/>
  <c r="F38" i="14"/>
  <c r="U20" i="15"/>
  <c r="S21" i="15"/>
  <c r="T21" i="15"/>
  <c r="T20" i="15"/>
  <c r="U21" i="15"/>
  <c r="S20" i="15"/>
  <c r="F27" i="14"/>
  <c r="J20" i="17"/>
  <c r="M38" i="14"/>
  <c r="L38" i="14"/>
  <c r="K38" i="14"/>
  <c r="L27" i="14"/>
  <c r="M27" i="14"/>
  <c r="K27" i="14"/>
  <c r="N206" i="3"/>
  <c r="N207" i="3" s="1"/>
  <c r="M208" i="3"/>
  <c r="M209" i="3" s="1"/>
  <c r="M211" i="3" s="1"/>
  <c r="M213" i="3" s="1"/>
  <c r="O205" i="3"/>
  <c r="P203" i="3"/>
  <c r="M432" i="3"/>
  <c r="M433" i="3" s="1"/>
  <c r="M435" i="3" s="1"/>
  <c r="M437" i="3" s="1"/>
  <c r="N430" i="3"/>
  <c r="N431" i="3" s="1"/>
  <c r="O429" i="3"/>
  <c r="D32" i="3"/>
  <c r="V5" i="3"/>
  <c r="U5" i="3"/>
  <c r="T5" i="3"/>
  <c r="T6" i="3" s="1"/>
  <c r="R5" i="3"/>
  <c r="P5" i="3"/>
  <c r="N5" i="3"/>
  <c r="I5" i="3"/>
  <c r="E5" i="3"/>
  <c r="M445" i="3" l="1"/>
  <c r="M449" i="3" s="1"/>
  <c r="M444" i="3"/>
  <c r="M448" i="3" s="1"/>
  <c r="L442" i="3"/>
  <c r="L446" i="3" s="1"/>
  <c r="L443" i="3"/>
  <c r="L447" i="3" s="1"/>
  <c r="L220" i="3"/>
  <c r="L224" i="3" s="1"/>
  <c r="L221" i="3"/>
  <c r="L225" i="3" s="1"/>
  <c r="M220" i="3"/>
  <c r="M224" i="3" s="1"/>
  <c r="M221" i="3"/>
  <c r="M225" i="3" s="1"/>
  <c r="F20" i="17"/>
  <c r="Q27" i="14"/>
  <c r="J21" i="17"/>
  <c r="P27" i="14"/>
  <c r="R21" i="15"/>
  <c r="Q38" i="14"/>
  <c r="P38" i="14"/>
  <c r="O38" i="14"/>
  <c r="R20" i="15"/>
  <c r="J38" i="14"/>
  <c r="J27" i="14"/>
  <c r="N208" i="3"/>
  <c r="N209" i="3" s="1"/>
  <c r="N211" i="3" s="1"/>
  <c r="N213" i="3" s="1"/>
  <c r="Q203" i="3"/>
  <c r="P205" i="3"/>
  <c r="O206" i="3"/>
  <c r="O207" i="3" s="1"/>
  <c r="N432" i="3"/>
  <c r="N433" i="3" s="1"/>
  <c r="N435" i="3" s="1"/>
  <c r="N437" i="3" s="1"/>
  <c r="O430" i="3"/>
  <c r="O431" i="3" s="1"/>
  <c r="P429" i="3"/>
  <c r="E6" i="3"/>
  <c r="E7" i="3" s="1"/>
  <c r="R6" i="3"/>
  <c r="R7" i="3" s="1"/>
  <c r="I6" i="3"/>
  <c r="I7" i="3" s="1"/>
  <c r="T7" i="3"/>
  <c r="D33" i="3"/>
  <c r="D34" i="3" s="1"/>
  <c r="D36" i="3" s="1"/>
  <c r="D38" i="3" s="1"/>
  <c r="N6" i="3"/>
  <c r="N7" i="3" s="1"/>
  <c r="U6" i="3"/>
  <c r="U7" i="3" s="1"/>
  <c r="P6" i="3"/>
  <c r="P7" i="3" s="1"/>
  <c r="V6" i="3"/>
  <c r="V7" i="3" s="1"/>
  <c r="N445" i="3" l="1"/>
  <c r="N449" i="3" s="1"/>
  <c r="N444" i="3"/>
  <c r="N448" i="3" s="1"/>
  <c r="M443" i="3"/>
  <c r="M447" i="3" s="1"/>
  <c r="N221" i="3"/>
  <c r="N225" i="3" s="1"/>
  <c r="N220" i="3"/>
  <c r="N224" i="3" s="1"/>
  <c r="M218" i="3"/>
  <c r="M222" i="3" s="1"/>
  <c r="M219" i="3"/>
  <c r="M223" i="3" s="1"/>
  <c r="L218" i="3"/>
  <c r="L222" i="3" s="1"/>
  <c r="L219" i="3"/>
  <c r="L223" i="3" s="1"/>
  <c r="D46" i="3"/>
  <c r="D50" i="3" s="1"/>
  <c r="D45" i="3"/>
  <c r="D49" i="3" s="1"/>
  <c r="O27" i="14"/>
  <c r="N38" i="14"/>
  <c r="T38" i="14"/>
  <c r="U38" i="14"/>
  <c r="S38" i="14"/>
  <c r="T27" i="14"/>
  <c r="S27" i="14"/>
  <c r="U27" i="14"/>
  <c r="T8" i="3"/>
  <c r="T9" i="3" s="1"/>
  <c r="T11" i="3" s="1"/>
  <c r="T13" i="3" s="1"/>
  <c r="R8" i="3"/>
  <c r="R9" i="3" s="1"/>
  <c r="R11" i="3" s="1"/>
  <c r="R13" i="3" s="1"/>
  <c r="I8" i="3"/>
  <c r="I9" i="3" s="1"/>
  <c r="I11" i="3" s="1"/>
  <c r="I13" i="3" s="1"/>
  <c r="O208" i="3"/>
  <c r="O209" i="3" s="1"/>
  <c r="O211" i="3" s="1"/>
  <c r="O213" i="3" s="1"/>
  <c r="P206" i="3"/>
  <c r="P207" i="3" s="1"/>
  <c r="R203" i="3"/>
  <c r="Q205" i="3"/>
  <c r="O432" i="3"/>
  <c r="O433" i="3" s="1"/>
  <c r="O435" i="3" s="1"/>
  <c r="O437" i="3" s="1"/>
  <c r="Q429" i="3"/>
  <c r="P430" i="3"/>
  <c r="P431" i="3" s="1"/>
  <c r="N8" i="3"/>
  <c r="N9" i="3" s="1"/>
  <c r="N11" i="3" s="1"/>
  <c r="D9" i="3"/>
  <c r="D11" i="3" s="1"/>
  <c r="D13" i="3" s="1"/>
  <c r="V8" i="3"/>
  <c r="V9" i="3" s="1"/>
  <c r="V11" i="3" s="1"/>
  <c r="V13" i="3" s="1"/>
  <c r="E8" i="3"/>
  <c r="E9" i="3" s="1"/>
  <c r="E11" i="3" s="1"/>
  <c r="E13" i="3" s="1"/>
  <c r="P8" i="3"/>
  <c r="P9" i="3" s="1"/>
  <c r="P11" i="3" s="1"/>
  <c r="P13" i="3" s="1"/>
  <c r="U8" i="3"/>
  <c r="U9" i="3" s="1"/>
  <c r="U11" i="3" s="1"/>
  <c r="U13" i="3" s="1"/>
  <c r="V505" i="4"/>
  <c r="V507" i="4" s="1"/>
  <c r="T505" i="4"/>
  <c r="T507" i="4" s="1"/>
  <c r="D505" i="4"/>
  <c r="D507" i="4" s="1"/>
  <c r="U505" i="4"/>
  <c r="U507" i="4" s="1"/>
  <c r="S499" i="4"/>
  <c r="S501" i="4" s="1"/>
  <c r="R499" i="4"/>
  <c r="R501" i="4" s="1"/>
  <c r="Q499" i="4"/>
  <c r="Q501" i="4" s="1"/>
  <c r="P499" i="4"/>
  <c r="P501" i="4" s="1"/>
  <c r="O499" i="4"/>
  <c r="O501" i="4" s="1"/>
  <c r="N499" i="4"/>
  <c r="N501" i="4" s="1"/>
  <c r="M499" i="4"/>
  <c r="M501" i="4" s="1"/>
  <c r="L499" i="4"/>
  <c r="L501" i="4" s="1"/>
  <c r="K499" i="4"/>
  <c r="K501" i="4" s="1"/>
  <c r="J499" i="4"/>
  <c r="I499" i="4"/>
  <c r="I501" i="4" s="1"/>
  <c r="H499" i="4"/>
  <c r="H501" i="4" s="1"/>
  <c r="G499" i="4"/>
  <c r="G501" i="4" s="1"/>
  <c r="F499" i="4"/>
  <c r="F501" i="4" s="1"/>
  <c r="E499" i="4"/>
  <c r="E501" i="4" s="1"/>
  <c r="V477" i="4"/>
  <c r="V479" i="4" s="1"/>
  <c r="T477" i="4"/>
  <c r="T479" i="4" s="1"/>
  <c r="U477" i="4"/>
  <c r="U479" i="4" s="1"/>
  <c r="Q477" i="4"/>
  <c r="Q479" i="4" s="1"/>
  <c r="P477" i="4"/>
  <c r="P479" i="4" s="1"/>
  <c r="D477" i="4"/>
  <c r="D479" i="4" s="1"/>
  <c r="S471" i="4"/>
  <c r="S473" i="4" s="1"/>
  <c r="R471" i="4"/>
  <c r="R473" i="4" s="1"/>
  <c r="O471" i="4"/>
  <c r="O473" i="4" s="1"/>
  <c r="N471" i="4"/>
  <c r="N473" i="4" s="1"/>
  <c r="M471" i="4"/>
  <c r="M473" i="4" s="1"/>
  <c r="L471" i="4"/>
  <c r="L473" i="4" s="1"/>
  <c r="K471" i="4"/>
  <c r="K473" i="4" s="1"/>
  <c r="J471" i="4"/>
  <c r="J473" i="4" s="1"/>
  <c r="I471" i="4"/>
  <c r="I473" i="4" s="1"/>
  <c r="H471" i="4"/>
  <c r="H473" i="4" s="1"/>
  <c r="G471" i="4"/>
  <c r="G473" i="4" s="1"/>
  <c r="F471" i="4"/>
  <c r="F473" i="4" s="1"/>
  <c r="E471" i="4"/>
  <c r="E473" i="4" s="1"/>
  <c r="V452" i="4"/>
  <c r="U452" i="4"/>
  <c r="T452" i="4"/>
  <c r="Q452" i="4"/>
  <c r="P452" i="4"/>
  <c r="D452" i="4"/>
  <c r="S444" i="4"/>
  <c r="S446" i="4" s="1"/>
  <c r="R444" i="4"/>
  <c r="R446" i="4" s="1"/>
  <c r="O444" i="4"/>
  <c r="O446" i="4" s="1"/>
  <c r="N444" i="4"/>
  <c r="N446" i="4" s="1"/>
  <c r="M444" i="4"/>
  <c r="M446" i="4" s="1"/>
  <c r="L444" i="4"/>
  <c r="L446" i="4" s="1"/>
  <c r="K444" i="4"/>
  <c r="K446" i="4" s="1"/>
  <c r="J444" i="4"/>
  <c r="J446" i="4" s="1"/>
  <c r="I444" i="4"/>
  <c r="I446" i="4" s="1"/>
  <c r="H444" i="4"/>
  <c r="H446" i="4" s="1"/>
  <c r="G444" i="4"/>
  <c r="G446" i="4" s="1"/>
  <c r="F444" i="4"/>
  <c r="F446" i="4" s="1"/>
  <c r="E444" i="4"/>
  <c r="E446" i="4" s="1"/>
  <c r="T422" i="4"/>
  <c r="V422" i="4"/>
  <c r="U422" i="4"/>
  <c r="D424" i="4"/>
  <c r="S416" i="4"/>
  <c r="S418" i="4" s="1"/>
  <c r="R416" i="4"/>
  <c r="R418" i="4" s="1"/>
  <c r="O416" i="4"/>
  <c r="O418" i="4" s="1"/>
  <c r="N416" i="4"/>
  <c r="N418" i="4" s="1"/>
  <c r="M416" i="4"/>
  <c r="M418" i="4" s="1"/>
  <c r="L416" i="4"/>
  <c r="L418" i="4" s="1"/>
  <c r="K416" i="4"/>
  <c r="K418" i="4" s="1"/>
  <c r="J416" i="4"/>
  <c r="J418" i="4" s="1"/>
  <c r="I416" i="4"/>
  <c r="I418" i="4" s="1"/>
  <c r="H416" i="4"/>
  <c r="H418" i="4" s="1"/>
  <c r="G416" i="4"/>
  <c r="G418" i="4" s="1"/>
  <c r="F416" i="4"/>
  <c r="E416" i="4"/>
  <c r="U394" i="4"/>
  <c r="U396" i="4" s="1"/>
  <c r="T394" i="4"/>
  <c r="T396" i="4" s="1"/>
  <c r="V394" i="4"/>
  <c r="D396" i="4"/>
  <c r="S388" i="4"/>
  <c r="S390" i="4" s="1"/>
  <c r="R388" i="4"/>
  <c r="R390" i="4" s="1"/>
  <c r="Q388" i="4"/>
  <c r="Q390" i="4" s="1"/>
  <c r="P388" i="4"/>
  <c r="P390" i="4" s="1"/>
  <c r="O388" i="4"/>
  <c r="O390" i="4" s="1"/>
  <c r="N388" i="4"/>
  <c r="N390" i="4" s="1"/>
  <c r="M388" i="4"/>
  <c r="M390" i="4" s="1"/>
  <c r="L388" i="4"/>
  <c r="L390" i="4" s="1"/>
  <c r="K388" i="4"/>
  <c r="K390" i="4" s="1"/>
  <c r="J388" i="4"/>
  <c r="I388" i="4"/>
  <c r="I390" i="4" s="1"/>
  <c r="H388" i="4"/>
  <c r="H390" i="4" s="1"/>
  <c r="G388" i="4"/>
  <c r="G390" i="4" s="1"/>
  <c r="F388" i="4"/>
  <c r="F390" i="4" s="1"/>
  <c r="E388" i="4"/>
  <c r="E390" i="4" s="1"/>
  <c r="V366" i="4"/>
  <c r="V368" i="4" s="1"/>
  <c r="T366" i="4"/>
  <c r="D366" i="4"/>
  <c r="D368" i="4" s="1"/>
  <c r="U366" i="4"/>
  <c r="U368" i="4" s="1"/>
  <c r="S360" i="4"/>
  <c r="S362" i="4" s="1"/>
  <c r="R360" i="4"/>
  <c r="R362" i="4" s="1"/>
  <c r="Q360" i="4"/>
  <c r="Q362" i="4" s="1"/>
  <c r="P360" i="4"/>
  <c r="P362" i="4" s="1"/>
  <c r="O360" i="4"/>
  <c r="O362" i="4" s="1"/>
  <c r="N360" i="4"/>
  <c r="N362" i="4" s="1"/>
  <c r="M360" i="4"/>
  <c r="M362" i="4" s="1"/>
  <c r="L360" i="4"/>
  <c r="L362" i="4" s="1"/>
  <c r="K360" i="4"/>
  <c r="K362" i="4" s="1"/>
  <c r="J360" i="4"/>
  <c r="I360" i="4"/>
  <c r="I362" i="4" s="1"/>
  <c r="G360" i="4"/>
  <c r="G362" i="4" s="1"/>
  <c r="F360" i="4"/>
  <c r="F362" i="4" s="1"/>
  <c r="E360" i="4"/>
  <c r="E362" i="4" s="1"/>
  <c r="V286" i="4"/>
  <c r="V288" i="4" s="1"/>
  <c r="U286" i="4"/>
  <c r="T286" i="4"/>
  <c r="D286" i="4"/>
  <c r="S280" i="4"/>
  <c r="S282" i="4" s="1"/>
  <c r="R280" i="4"/>
  <c r="R282" i="4" s="1"/>
  <c r="Q280" i="4"/>
  <c r="Q282" i="4" s="1"/>
  <c r="P280" i="4"/>
  <c r="P282" i="4" s="1"/>
  <c r="O280" i="4"/>
  <c r="O282" i="4" s="1"/>
  <c r="N280" i="4"/>
  <c r="N282" i="4" s="1"/>
  <c r="M280" i="4"/>
  <c r="M282" i="4" s="1"/>
  <c r="L280" i="4"/>
  <c r="L282" i="4" s="1"/>
  <c r="K280" i="4"/>
  <c r="K282" i="4" s="1"/>
  <c r="J280" i="4"/>
  <c r="I280" i="4"/>
  <c r="I282" i="4" s="1"/>
  <c r="G280" i="4"/>
  <c r="G282" i="4" s="1"/>
  <c r="F280" i="4"/>
  <c r="F282" i="4" s="1"/>
  <c r="E280" i="4"/>
  <c r="E282" i="4" s="1"/>
  <c r="U258" i="4"/>
  <c r="T258" i="4"/>
  <c r="T260" i="4" s="1"/>
  <c r="D258" i="4"/>
  <c r="V258" i="4"/>
  <c r="V260" i="4" s="1"/>
  <c r="S252" i="4"/>
  <c r="S254" i="4" s="1"/>
  <c r="R252" i="4"/>
  <c r="R254" i="4" s="1"/>
  <c r="Q252" i="4"/>
  <c r="Q254" i="4" s="1"/>
  <c r="P252" i="4"/>
  <c r="P254" i="4" s="1"/>
  <c r="O252" i="4"/>
  <c r="O254" i="4" s="1"/>
  <c r="N252" i="4"/>
  <c r="N254" i="4" s="1"/>
  <c r="M252" i="4"/>
  <c r="M254" i="4" s="1"/>
  <c r="L252" i="4"/>
  <c r="L254" i="4" s="1"/>
  <c r="K252" i="4"/>
  <c r="K254" i="4" s="1"/>
  <c r="J252" i="4"/>
  <c r="I252" i="4"/>
  <c r="I254" i="4" s="1"/>
  <c r="G252" i="4"/>
  <c r="G254" i="4" s="1"/>
  <c r="F252" i="4"/>
  <c r="F254" i="4" s="1"/>
  <c r="E252" i="4"/>
  <c r="E254" i="4" s="1"/>
  <c r="T230" i="4"/>
  <c r="T232" i="4" s="1"/>
  <c r="D230" i="4"/>
  <c r="V230" i="4"/>
  <c r="U230" i="4"/>
  <c r="S224" i="4"/>
  <c r="S226" i="4" s="1"/>
  <c r="R224" i="4"/>
  <c r="R226" i="4" s="1"/>
  <c r="Q224" i="4"/>
  <c r="Q226" i="4" s="1"/>
  <c r="P224" i="4"/>
  <c r="P226" i="4" s="1"/>
  <c r="O224" i="4"/>
  <c r="O226" i="4" s="1"/>
  <c r="N224" i="4"/>
  <c r="N226" i="4" s="1"/>
  <c r="M224" i="4"/>
  <c r="M226" i="4" s="1"/>
  <c r="L224" i="4"/>
  <c r="L226" i="4" s="1"/>
  <c r="K224" i="4"/>
  <c r="K226" i="4" s="1"/>
  <c r="J224" i="4"/>
  <c r="I224" i="4"/>
  <c r="I226" i="4" s="1"/>
  <c r="G224" i="4"/>
  <c r="G226" i="4" s="1"/>
  <c r="F224" i="4"/>
  <c r="F226" i="4" s="1"/>
  <c r="E224" i="4"/>
  <c r="E226" i="4" s="1"/>
  <c r="S169" i="4"/>
  <c r="R169" i="4"/>
  <c r="Q169" i="4"/>
  <c r="P169" i="4"/>
  <c r="O169" i="4"/>
  <c r="N169" i="4"/>
  <c r="M169" i="4"/>
  <c r="L169" i="4"/>
  <c r="K169" i="4"/>
  <c r="J169" i="4"/>
  <c r="W169" i="4" s="1"/>
  <c r="I169" i="4"/>
  <c r="G169" i="4"/>
  <c r="F169" i="4"/>
  <c r="E169" i="4"/>
  <c r="H169" i="4" s="1"/>
  <c r="S168" i="4"/>
  <c r="R168" i="4"/>
  <c r="Q168" i="4"/>
  <c r="P168" i="4"/>
  <c r="O168" i="4"/>
  <c r="N168" i="4"/>
  <c r="M168" i="4"/>
  <c r="L168" i="4"/>
  <c r="K168" i="4"/>
  <c r="J168" i="4"/>
  <c r="I168" i="4"/>
  <c r="G168" i="4"/>
  <c r="F168" i="4"/>
  <c r="E168" i="4"/>
  <c r="D150" i="4"/>
  <c r="S142" i="4"/>
  <c r="R142" i="4"/>
  <c r="Q142" i="4"/>
  <c r="P142" i="4"/>
  <c r="O142" i="4"/>
  <c r="N142" i="4"/>
  <c r="M142" i="4"/>
  <c r="L142" i="4"/>
  <c r="K142" i="4"/>
  <c r="J142" i="4"/>
  <c r="W142" i="4" s="1"/>
  <c r="I142" i="4"/>
  <c r="G142" i="4"/>
  <c r="F142" i="4"/>
  <c r="E142" i="4"/>
  <c r="H142" i="4" s="1"/>
  <c r="S141" i="4"/>
  <c r="R141" i="4"/>
  <c r="Q141" i="4"/>
  <c r="P141" i="4"/>
  <c r="O141" i="4"/>
  <c r="N141" i="4"/>
  <c r="M141" i="4"/>
  <c r="L141" i="4"/>
  <c r="K141" i="4"/>
  <c r="J141" i="4"/>
  <c r="I141" i="4"/>
  <c r="G141" i="4"/>
  <c r="F141" i="4"/>
  <c r="E141" i="4"/>
  <c r="T120" i="4"/>
  <c r="S114" i="4"/>
  <c r="S116" i="4" s="1"/>
  <c r="R114" i="4"/>
  <c r="R116" i="4" s="1"/>
  <c r="R117" i="4" s="1"/>
  <c r="Q114" i="4"/>
  <c r="Q116" i="4" s="1"/>
  <c r="P114" i="4"/>
  <c r="P116" i="4" s="1"/>
  <c r="O114" i="4"/>
  <c r="O116" i="4" s="1"/>
  <c r="N114" i="4"/>
  <c r="N116" i="4" s="1"/>
  <c r="M114" i="4"/>
  <c r="M116" i="4" s="1"/>
  <c r="L114" i="4"/>
  <c r="L116" i="4" s="1"/>
  <c r="K114" i="4"/>
  <c r="K116" i="4" s="1"/>
  <c r="J114" i="4"/>
  <c r="I114" i="4"/>
  <c r="I116" i="4" s="1"/>
  <c r="G114" i="4"/>
  <c r="G116" i="4" s="1"/>
  <c r="F114" i="4"/>
  <c r="F116" i="4" s="1"/>
  <c r="E114" i="4"/>
  <c r="E116" i="4" s="1"/>
  <c r="U92" i="4"/>
  <c r="T92" i="4"/>
  <c r="V92" i="4"/>
  <c r="S86" i="4"/>
  <c r="S88" i="4" s="1"/>
  <c r="R86" i="4"/>
  <c r="R88" i="4" s="1"/>
  <c r="Q86" i="4"/>
  <c r="Q88" i="4" s="1"/>
  <c r="P86" i="4"/>
  <c r="P88" i="4" s="1"/>
  <c r="O86" i="4"/>
  <c r="O88" i="4" s="1"/>
  <c r="N86" i="4"/>
  <c r="N88" i="4" s="1"/>
  <c r="M86" i="4"/>
  <c r="M88" i="4" s="1"/>
  <c r="L86" i="4"/>
  <c r="L88" i="4" s="1"/>
  <c r="K86" i="4"/>
  <c r="K88" i="4" s="1"/>
  <c r="J86" i="4"/>
  <c r="I86" i="4"/>
  <c r="I88" i="4" s="1"/>
  <c r="H86" i="4"/>
  <c r="H88" i="4" s="1"/>
  <c r="G86" i="4"/>
  <c r="G88" i="4" s="1"/>
  <c r="F86" i="4"/>
  <c r="F88" i="4" s="1"/>
  <c r="E86" i="4"/>
  <c r="E88" i="4" s="1"/>
  <c r="V64" i="4"/>
  <c r="U64" i="4"/>
  <c r="T64" i="4"/>
  <c r="D66" i="4"/>
  <c r="S58" i="4"/>
  <c r="S60" i="4" s="1"/>
  <c r="R58" i="4"/>
  <c r="R60" i="4" s="1"/>
  <c r="Q58" i="4"/>
  <c r="Q60" i="4" s="1"/>
  <c r="P58" i="4"/>
  <c r="P60" i="4" s="1"/>
  <c r="O58" i="4"/>
  <c r="O60" i="4" s="1"/>
  <c r="N58" i="4"/>
  <c r="N60" i="4" s="1"/>
  <c r="M58" i="4"/>
  <c r="M60" i="4" s="1"/>
  <c r="L58" i="4"/>
  <c r="L60" i="4" s="1"/>
  <c r="K58" i="4"/>
  <c r="K60" i="4" s="1"/>
  <c r="J58" i="4"/>
  <c r="I58" i="4"/>
  <c r="I60" i="4" s="1"/>
  <c r="H58" i="4"/>
  <c r="H60" i="4" s="1"/>
  <c r="G58" i="4"/>
  <c r="G60" i="4" s="1"/>
  <c r="F58" i="4"/>
  <c r="F60" i="4" s="1"/>
  <c r="E58" i="4"/>
  <c r="E60" i="4" s="1"/>
  <c r="T37" i="4"/>
  <c r="T39" i="4" s="1"/>
  <c r="V37" i="4"/>
  <c r="U37" i="4"/>
  <c r="S31" i="4"/>
  <c r="S33" i="4" s="1"/>
  <c r="R31" i="4"/>
  <c r="R33" i="4" s="1"/>
  <c r="Q31" i="4"/>
  <c r="Q33" i="4" s="1"/>
  <c r="P31" i="4"/>
  <c r="P33" i="4" s="1"/>
  <c r="O31" i="4"/>
  <c r="O33" i="4" s="1"/>
  <c r="N31" i="4"/>
  <c r="N33" i="4" s="1"/>
  <c r="M31" i="4"/>
  <c r="M33" i="4" s="1"/>
  <c r="L31" i="4"/>
  <c r="L33" i="4" s="1"/>
  <c r="K31" i="4"/>
  <c r="K33" i="4" s="1"/>
  <c r="J31" i="4"/>
  <c r="I31" i="4"/>
  <c r="I33" i="4" s="1"/>
  <c r="H31" i="4"/>
  <c r="H33" i="4" s="1"/>
  <c r="G31" i="4"/>
  <c r="G33" i="4" s="1"/>
  <c r="F31" i="4"/>
  <c r="F33" i="4" s="1"/>
  <c r="E31" i="4"/>
  <c r="E33" i="4" s="1"/>
  <c r="V9" i="4"/>
  <c r="U9" i="4"/>
  <c r="T9" i="4"/>
  <c r="D410" i="3"/>
  <c r="D412" i="3" s="1"/>
  <c r="D417" i="3" s="1"/>
  <c r="E404" i="3"/>
  <c r="D385" i="3"/>
  <c r="D360" i="3"/>
  <c r="E354" i="3"/>
  <c r="D335" i="3"/>
  <c r="D337" i="3" s="1"/>
  <c r="E327" i="3"/>
  <c r="E329" i="3" s="1"/>
  <c r="D310" i="3"/>
  <c r="E302" i="3"/>
  <c r="E304" i="3" s="1"/>
  <c r="D261" i="3"/>
  <c r="D263" i="3" s="1"/>
  <c r="E253" i="3"/>
  <c r="D236" i="3"/>
  <c r="E228" i="3"/>
  <c r="E230" i="3" s="1"/>
  <c r="V136" i="3"/>
  <c r="U136" i="3"/>
  <c r="T136" i="3"/>
  <c r="S136" i="3"/>
  <c r="R136" i="3"/>
  <c r="Q136" i="3"/>
  <c r="P136" i="3"/>
  <c r="O136" i="3"/>
  <c r="N136" i="3"/>
  <c r="N138" i="3" s="1"/>
  <c r="M136" i="3"/>
  <c r="L136" i="3"/>
  <c r="L138" i="3" s="1"/>
  <c r="K136" i="3"/>
  <c r="J136" i="3"/>
  <c r="H136" i="3"/>
  <c r="G136" i="3"/>
  <c r="G138" i="3" s="1"/>
  <c r="F136" i="3"/>
  <c r="E136" i="3"/>
  <c r="D136" i="3"/>
  <c r="U111" i="3"/>
  <c r="V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G113" i="3" s="1"/>
  <c r="F111" i="3"/>
  <c r="E111" i="3"/>
  <c r="D111" i="3"/>
  <c r="D113" i="3" s="1"/>
  <c r="D84" i="3"/>
  <c r="D86" i="3" s="1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I80" i="3" s="1"/>
  <c r="G78" i="3"/>
  <c r="F78" i="3"/>
  <c r="E78" i="3"/>
  <c r="D61" i="3"/>
  <c r="S55" i="3"/>
  <c r="Q55" i="3"/>
  <c r="O55" i="3"/>
  <c r="J55" i="3"/>
  <c r="F55" i="3"/>
  <c r="V28" i="3"/>
  <c r="U28" i="3"/>
  <c r="T28" i="3"/>
  <c r="S28" i="3"/>
  <c r="R28" i="3"/>
  <c r="R30" i="3" s="1"/>
  <c r="Q28" i="3"/>
  <c r="P28" i="3"/>
  <c r="P30" i="3" s="1"/>
  <c r="O28" i="3"/>
  <c r="N28" i="3"/>
  <c r="N30" i="3" s="1"/>
  <c r="M28" i="3"/>
  <c r="L28" i="3"/>
  <c r="K28" i="3"/>
  <c r="J28" i="3"/>
  <c r="I28" i="3"/>
  <c r="G28" i="3"/>
  <c r="F28" i="3"/>
  <c r="E28" i="3"/>
  <c r="E30" i="3" s="1"/>
  <c r="Q5" i="3"/>
  <c r="O5" i="3"/>
  <c r="J5" i="3"/>
  <c r="F5" i="3"/>
  <c r="F171" i="4" l="1"/>
  <c r="M171" i="4"/>
  <c r="S144" i="4"/>
  <c r="S145" i="4" s="1"/>
  <c r="S146" i="4" s="1"/>
  <c r="S148" i="4" s="1"/>
  <c r="F144" i="4"/>
  <c r="M144" i="4"/>
  <c r="G171" i="4"/>
  <c r="L171" i="4"/>
  <c r="L172" i="4" s="1"/>
  <c r="L173" i="4" s="1"/>
  <c r="L175" i="4" s="1"/>
  <c r="L177" i="4" s="1"/>
  <c r="K171" i="4"/>
  <c r="N144" i="4"/>
  <c r="N145" i="4" s="1"/>
  <c r="N146" i="4" s="1"/>
  <c r="N148" i="4" s="1"/>
  <c r="I144" i="4"/>
  <c r="P171" i="4"/>
  <c r="P172" i="4" s="1"/>
  <c r="Q171" i="4"/>
  <c r="Q172" i="4" s="1"/>
  <c r="Q173" i="4" s="1"/>
  <c r="Q175" i="4" s="1"/>
  <c r="Q177" i="4" s="1"/>
  <c r="W86" i="4"/>
  <c r="W88" i="4" s="1"/>
  <c r="W89" i="4" s="1"/>
  <c r="W90" i="4" s="1"/>
  <c r="W92" i="4" s="1"/>
  <c r="W94" i="4" s="1"/>
  <c r="J88" i="4"/>
  <c r="W141" i="4"/>
  <c r="W144" i="4" s="1"/>
  <c r="W145" i="4" s="1"/>
  <c r="W146" i="4" s="1"/>
  <c r="W148" i="4" s="1"/>
  <c r="W150" i="4" s="1"/>
  <c r="J144" i="4"/>
  <c r="J145" i="4" s="1"/>
  <c r="J146" i="4" s="1"/>
  <c r="J148" i="4" s="1"/>
  <c r="J150" i="4" s="1"/>
  <c r="J159" i="4" s="1"/>
  <c r="J164" i="4" s="1"/>
  <c r="E418" i="4"/>
  <c r="P416" i="4"/>
  <c r="P418" i="4" s="1"/>
  <c r="W114" i="4"/>
  <c r="W116" i="4" s="1"/>
  <c r="W117" i="4" s="1"/>
  <c r="W118" i="4" s="1"/>
  <c r="W120" i="4" s="1"/>
  <c r="W122" i="4" s="1"/>
  <c r="J116" i="4"/>
  <c r="K144" i="4"/>
  <c r="N171" i="4"/>
  <c r="F418" i="4"/>
  <c r="Q416" i="4"/>
  <c r="Q418" i="4" s="1"/>
  <c r="L144" i="4"/>
  <c r="L145" i="4" s="1"/>
  <c r="L146" i="4" s="1"/>
  <c r="L148" i="4" s="1"/>
  <c r="L150" i="4" s="1"/>
  <c r="O171" i="4"/>
  <c r="O144" i="4"/>
  <c r="O145" i="4" s="1"/>
  <c r="O146" i="4" s="1"/>
  <c r="O148" i="4" s="1"/>
  <c r="O150" i="4" s="1"/>
  <c r="R171" i="4"/>
  <c r="P144" i="4"/>
  <c r="P145" i="4" s="1"/>
  <c r="P146" i="4" s="1"/>
  <c r="P148" i="4" s="1"/>
  <c r="Q144" i="4"/>
  <c r="S171" i="4"/>
  <c r="R144" i="4"/>
  <c r="R145" i="4" s="1"/>
  <c r="R146" i="4" s="1"/>
  <c r="R148" i="4" s="1"/>
  <c r="H168" i="4"/>
  <c r="H171" i="4" s="1"/>
  <c r="E171" i="4"/>
  <c r="W31" i="4"/>
  <c r="W33" i="4" s="1"/>
  <c r="W34" i="4" s="1"/>
  <c r="W35" i="4" s="1"/>
  <c r="W37" i="4" s="1"/>
  <c r="W39" i="4" s="1"/>
  <c r="J33" i="4"/>
  <c r="W252" i="4"/>
  <c r="W254" i="4" s="1"/>
  <c r="W255" i="4" s="1"/>
  <c r="W256" i="4" s="1"/>
  <c r="W258" i="4" s="1"/>
  <c r="W260" i="4" s="1"/>
  <c r="J254" i="4"/>
  <c r="E144" i="4"/>
  <c r="I171" i="4"/>
  <c r="I172" i="4" s="1"/>
  <c r="I173" i="4" s="1"/>
  <c r="I175" i="4" s="1"/>
  <c r="I177" i="4" s="1"/>
  <c r="D406" i="4"/>
  <c r="D411" i="4" s="1"/>
  <c r="D404" i="4"/>
  <c r="D409" i="4" s="1"/>
  <c r="D405" i="4"/>
  <c r="D410" i="4" s="1"/>
  <c r="D403" i="4"/>
  <c r="D408" i="4" s="1"/>
  <c r="W58" i="4"/>
  <c r="W60" i="4" s="1"/>
  <c r="W61" i="4" s="1"/>
  <c r="W62" i="4" s="1"/>
  <c r="W64" i="4" s="1"/>
  <c r="W66" i="4" s="1"/>
  <c r="J60" i="4"/>
  <c r="W168" i="4"/>
  <c r="W171" i="4" s="1"/>
  <c r="W172" i="4" s="1"/>
  <c r="W173" i="4" s="1"/>
  <c r="W175" i="4" s="1"/>
  <c r="W177" i="4" s="1"/>
  <c r="J171" i="4"/>
  <c r="W280" i="4"/>
  <c r="W282" i="4" s="1"/>
  <c r="W283" i="4" s="1"/>
  <c r="W284" i="4" s="1"/>
  <c r="W286" i="4" s="1"/>
  <c r="W288" i="4" s="1"/>
  <c r="J282" i="4"/>
  <c r="G144" i="4"/>
  <c r="W499" i="4"/>
  <c r="W501" i="4" s="1"/>
  <c r="W502" i="4" s="1"/>
  <c r="W503" i="4" s="1"/>
  <c r="W505" i="4" s="1"/>
  <c r="W507" i="4" s="1"/>
  <c r="J501" i="4"/>
  <c r="W388" i="4"/>
  <c r="W390" i="4" s="1"/>
  <c r="J390" i="4"/>
  <c r="J391" i="4" s="1"/>
  <c r="J392" i="4" s="1"/>
  <c r="J394" i="4" s="1"/>
  <c r="W360" i="4"/>
  <c r="W362" i="4" s="1"/>
  <c r="J362" i="4"/>
  <c r="W224" i="4"/>
  <c r="W226" i="4" s="1"/>
  <c r="J226" i="4"/>
  <c r="D75" i="4"/>
  <c r="D73" i="4"/>
  <c r="D78" i="4" s="1"/>
  <c r="D74" i="4"/>
  <c r="O445" i="3"/>
  <c r="O449" i="3" s="1"/>
  <c r="O444" i="3"/>
  <c r="O448" i="3" s="1"/>
  <c r="M442" i="3"/>
  <c r="M446" i="3" s="1"/>
  <c r="R38" i="14"/>
  <c r="N442" i="3"/>
  <c r="N446" i="3" s="1"/>
  <c r="N443" i="3"/>
  <c r="N447" i="3" s="1"/>
  <c r="D420" i="3"/>
  <c r="D424" i="3" s="1"/>
  <c r="D419" i="3"/>
  <c r="D423" i="3" s="1"/>
  <c r="D345" i="3"/>
  <c r="D349" i="3" s="1"/>
  <c r="D344" i="3"/>
  <c r="D348" i="3" s="1"/>
  <c r="D270" i="3"/>
  <c r="D274" i="3" s="1"/>
  <c r="D269" i="3"/>
  <c r="D273" i="3" s="1"/>
  <c r="D268" i="3"/>
  <c r="D272" i="3" s="1"/>
  <c r="O220" i="3"/>
  <c r="O224" i="3" s="1"/>
  <c r="O221" i="3"/>
  <c r="O225" i="3" s="1"/>
  <c r="N27" i="14"/>
  <c r="N218" i="3"/>
  <c r="N222" i="3" s="1"/>
  <c r="N219" i="3"/>
  <c r="N223" i="3" s="1"/>
  <c r="D121" i="3"/>
  <c r="D125" i="3" s="1"/>
  <c r="D120" i="3"/>
  <c r="D124" i="3" s="1"/>
  <c r="D44" i="3"/>
  <c r="D48" i="3" s="1"/>
  <c r="D43" i="3"/>
  <c r="D47" i="3" s="1"/>
  <c r="D21" i="3"/>
  <c r="D25" i="3" s="1"/>
  <c r="D20" i="3"/>
  <c r="D24" i="3" s="1"/>
  <c r="G120" i="3"/>
  <c r="G124" i="3" s="1"/>
  <c r="G121" i="3"/>
  <c r="G125" i="3" s="1"/>
  <c r="E21" i="3"/>
  <c r="E25" i="3" s="1"/>
  <c r="M13" i="17"/>
  <c r="D375" i="4"/>
  <c r="D380" i="4" s="1"/>
  <c r="D157" i="4"/>
  <c r="D162" i="4" s="1"/>
  <c r="N145" i="3"/>
  <c r="N149" i="3" s="1"/>
  <c r="G146" i="3"/>
  <c r="G150" i="3" s="1"/>
  <c r="D17" i="12"/>
  <c r="D63" i="3"/>
  <c r="S138" i="3"/>
  <c r="E113" i="3"/>
  <c r="F113" i="3"/>
  <c r="K138" i="3"/>
  <c r="M113" i="3"/>
  <c r="D88" i="3"/>
  <c r="H113" i="3"/>
  <c r="T113" i="3"/>
  <c r="E138" i="3"/>
  <c r="R138" i="3"/>
  <c r="T138" i="3"/>
  <c r="U138" i="3"/>
  <c r="I113" i="3"/>
  <c r="V113" i="3"/>
  <c r="F138" i="3"/>
  <c r="H138" i="3"/>
  <c r="J138" i="3"/>
  <c r="J113" i="3"/>
  <c r="U113" i="3"/>
  <c r="L113" i="3"/>
  <c r="V138" i="3"/>
  <c r="D312" i="3"/>
  <c r="K113" i="3"/>
  <c r="D138" i="3"/>
  <c r="D362" i="3"/>
  <c r="D387" i="3"/>
  <c r="D238" i="3"/>
  <c r="M138" i="3"/>
  <c r="Q138" i="3"/>
  <c r="P138" i="3"/>
  <c r="O138" i="3"/>
  <c r="S113" i="3"/>
  <c r="R113" i="3"/>
  <c r="Q113" i="3"/>
  <c r="P113" i="3"/>
  <c r="O113" i="3"/>
  <c r="N113" i="3"/>
  <c r="N13" i="3"/>
  <c r="B62" i="17"/>
  <c r="V94" i="4"/>
  <c r="T94" i="4"/>
  <c r="U66" i="4"/>
  <c r="V66" i="4"/>
  <c r="T66" i="4"/>
  <c r="J57" i="17"/>
  <c r="U11" i="4"/>
  <c r="T11" i="4"/>
  <c r="U424" i="4"/>
  <c r="V424" i="4"/>
  <c r="T424" i="4"/>
  <c r="D486" i="4"/>
  <c r="D491" i="4" s="1"/>
  <c r="D459" i="4"/>
  <c r="D464" i="4" s="1"/>
  <c r="D431" i="4"/>
  <c r="D436" i="4" s="1"/>
  <c r="S5" i="3"/>
  <c r="S6" i="3" s="1"/>
  <c r="S7" i="3" s="1"/>
  <c r="W5" i="3"/>
  <c r="R27" i="14"/>
  <c r="D15" i="13"/>
  <c r="D232" i="4"/>
  <c r="D38" i="15"/>
  <c r="E38" i="15"/>
  <c r="E15" i="14"/>
  <c r="D15" i="14"/>
  <c r="E15" i="15"/>
  <c r="D15" i="15"/>
  <c r="M15" i="15"/>
  <c r="L15" i="15"/>
  <c r="E15" i="16"/>
  <c r="D15" i="16"/>
  <c r="V80" i="3"/>
  <c r="V81" i="3" s="1"/>
  <c r="V82" i="3" s="1"/>
  <c r="D27" i="15"/>
  <c r="C27" i="15"/>
  <c r="E27" i="15"/>
  <c r="D15" i="17"/>
  <c r="E15" i="17"/>
  <c r="E15" i="13"/>
  <c r="F30" i="3"/>
  <c r="F31" i="3" s="1"/>
  <c r="F32" i="3" s="1"/>
  <c r="E17" i="12"/>
  <c r="Q80" i="3"/>
  <c r="Q81" i="3" s="1"/>
  <c r="Q82" i="3" s="1"/>
  <c r="S30" i="3"/>
  <c r="S31" i="3" s="1"/>
  <c r="S32" i="3" s="1"/>
  <c r="U30" i="3"/>
  <c r="U31" i="3" s="1"/>
  <c r="U32" i="3" s="1"/>
  <c r="P208" i="3"/>
  <c r="P209" i="3" s="1"/>
  <c r="P211" i="3" s="1"/>
  <c r="P213" i="3" s="1"/>
  <c r="S203" i="3"/>
  <c r="R205" i="3"/>
  <c r="Q30" i="3"/>
  <c r="Q31" i="3" s="1"/>
  <c r="Q32" i="3" s="1"/>
  <c r="Q206" i="3"/>
  <c r="Q207" i="3" s="1"/>
  <c r="P432" i="3"/>
  <c r="P433" i="3" s="1"/>
  <c r="P435" i="3" s="1"/>
  <c r="P437" i="3" s="1"/>
  <c r="R429" i="3"/>
  <c r="Q430" i="3"/>
  <c r="Q431" i="3" s="1"/>
  <c r="J30" i="3"/>
  <c r="J31" i="3" s="1"/>
  <c r="J32" i="3" s="1"/>
  <c r="E379" i="3"/>
  <c r="K30" i="3"/>
  <c r="K31" i="3" s="1"/>
  <c r="K32" i="3" s="1"/>
  <c r="P80" i="3"/>
  <c r="P81" i="3" s="1"/>
  <c r="P82" i="3" s="1"/>
  <c r="L30" i="3"/>
  <c r="L31" i="3" s="1"/>
  <c r="L32" i="3" s="1"/>
  <c r="E405" i="3"/>
  <c r="E406" i="3" s="1"/>
  <c r="K80" i="3"/>
  <c r="K81" i="3" s="1"/>
  <c r="K82" i="3" s="1"/>
  <c r="S80" i="3"/>
  <c r="S81" i="3" s="1"/>
  <c r="S82" i="3" s="1"/>
  <c r="E305" i="3"/>
  <c r="E306" i="3" s="1"/>
  <c r="E330" i="3"/>
  <c r="E331" i="3" s="1"/>
  <c r="E355" i="3"/>
  <c r="E356" i="3" s="1"/>
  <c r="K474" i="4"/>
  <c r="K475" i="4" s="1"/>
  <c r="K477" i="4" s="1"/>
  <c r="K479" i="4" s="1"/>
  <c r="R502" i="4"/>
  <c r="R503" i="4" s="1"/>
  <c r="R505" i="4" s="1"/>
  <c r="R507" i="4" s="1"/>
  <c r="K502" i="4"/>
  <c r="K503" i="4" s="1"/>
  <c r="K505" i="4" s="1"/>
  <c r="K507" i="4" s="1"/>
  <c r="E474" i="4"/>
  <c r="E475" i="4" s="1"/>
  <c r="E477" i="4" s="1"/>
  <c r="E479" i="4" s="1"/>
  <c r="M474" i="4"/>
  <c r="M475" i="4" s="1"/>
  <c r="M477" i="4" s="1"/>
  <c r="M479" i="4" s="1"/>
  <c r="S474" i="4"/>
  <c r="S475" i="4" s="1"/>
  <c r="S477" i="4" s="1"/>
  <c r="S479" i="4" s="1"/>
  <c r="G474" i="4"/>
  <c r="G475" i="4" s="1"/>
  <c r="G477" i="4" s="1"/>
  <c r="G479" i="4" s="1"/>
  <c r="G502" i="4"/>
  <c r="G503" i="4" s="1"/>
  <c r="G505" i="4" s="1"/>
  <c r="G507" i="4" s="1"/>
  <c r="O502" i="4"/>
  <c r="O503" i="4" s="1"/>
  <c r="O505" i="4" s="1"/>
  <c r="O507" i="4" s="1"/>
  <c r="S502" i="4"/>
  <c r="S503" i="4" s="1"/>
  <c r="S505" i="4" s="1"/>
  <c r="S507" i="4" s="1"/>
  <c r="F474" i="4"/>
  <c r="F475" i="4" s="1"/>
  <c r="F477" i="4" s="1"/>
  <c r="F479" i="4" s="1"/>
  <c r="J474" i="4"/>
  <c r="J475" i="4" s="1"/>
  <c r="J477" i="4" s="1"/>
  <c r="J479" i="4" s="1"/>
  <c r="N474" i="4"/>
  <c r="N475" i="4" s="1"/>
  <c r="N477" i="4" s="1"/>
  <c r="N479" i="4" s="1"/>
  <c r="E502" i="4"/>
  <c r="E503" i="4" s="1"/>
  <c r="E505" i="4" s="1"/>
  <c r="E507" i="4" s="1"/>
  <c r="I502" i="4"/>
  <c r="I503" i="4" s="1"/>
  <c r="I505" i="4" s="1"/>
  <c r="I507" i="4" s="1"/>
  <c r="Q502" i="4"/>
  <c r="Q503" i="4" s="1"/>
  <c r="Q505" i="4" s="1"/>
  <c r="Q507" i="4" s="1"/>
  <c r="V11" i="4"/>
  <c r="F61" i="4"/>
  <c r="F62" i="4" s="1"/>
  <c r="F64" i="4" s="1"/>
  <c r="I89" i="4"/>
  <c r="I90" i="4" s="1"/>
  <c r="I92" i="4" s="1"/>
  <c r="F117" i="4"/>
  <c r="F118" i="4" s="1"/>
  <c r="F120" i="4" s="1"/>
  <c r="N117" i="4"/>
  <c r="N118" i="4" s="1"/>
  <c r="N120" i="4" s="1"/>
  <c r="H141" i="4"/>
  <c r="H144" i="4" s="1"/>
  <c r="T172" i="4"/>
  <c r="N227" i="4"/>
  <c r="N228" i="4" s="1"/>
  <c r="N230" i="4" s="1"/>
  <c r="N232" i="4" s="1"/>
  <c r="P255" i="4"/>
  <c r="P256" i="4" s="1"/>
  <c r="P258" i="4" s="1"/>
  <c r="P260" i="4" s="1"/>
  <c r="D260" i="4"/>
  <c r="I283" i="4"/>
  <c r="I284" i="4" s="1"/>
  <c r="I286" i="4" s="1"/>
  <c r="I288" i="4" s="1"/>
  <c r="T288" i="4"/>
  <c r="H360" i="4"/>
  <c r="H362" i="4" s="1"/>
  <c r="M6" i="4"/>
  <c r="M7" i="4" s="1"/>
  <c r="M9" i="4" s="1"/>
  <c r="S34" i="4"/>
  <c r="S35" i="4" s="1"/>
  <c r="S37" i="4" s="1"/>
  <c r="S39" i="4" s="1"/>
  <c r="U39" i="4"/>
  <c r="S61" i="4"/>
  <c r="S62" i="4" s="1"/>
  <c r="S64" i="4" s="1"/>
  <c r="F89" i="4"/>
  <c r="F90" i="4" s="1"/>
  <c r="F92" i="4" s="1"/>
  <c r="O227" i="4"/>
  <c r="O228" i="4" s="1"/>
  <c r="O230" i="4" s="1"/>
  <c r="O232" i="4" s="1"/>
  <c r="U288" i="4"/>
  <c r="O363" i="4"/>
  <c r="O364" i="4" s="1"/>
  <c r="O366" i="4" s="1"/>
  <c r="O368" i="4" s="1"/>
  <c r="J6" i="4"/>
  <c r="J7" i="4" s="1"/>
  <c r="J9" i="4" s="1"/>
  <c r="H34" i="4"/>
  <c r="H35" i="4" s="1"/>
  <c r="H37" i="4" s="1"/>
  <c r="H39" i="4" s="1"/>
  <c r="V39" i="4"/>
  <c r="P61" i="4"/>
  <c r="P62" i="4" s="1"/>
  <c r="P64" i="4" s="1"/>
  <c r="B59" i="12"/>
  <c r="S89" i="4"/>
  <c r="S90" i="4" s="1"/>
  <c r="S92" i="4" s="1"/>
  <c r="U94" i="4"/>
  <c r="H114" i="4"/>
  <c r="H116" i="4" s="1"/>
  <c r="U117" i="4"/>
  <c r="T145" i="4"/>
  <c r="V172" i="4"/>
  <c r="G227" i="4"/>
  <c r="G228" i="4" s="1"/>
  <c r="G230" i="4" s="1"/>
  <c r="G232" i="4" s="1"/>
  <c r="L227" i="4"/>
  <c r="L228" i="4" s="1"/>
  <c r="L230" i="4" s="1"/>
  <c r="P227" i="4"/>
  <c r="P228" i="4" s="1"/>
  <c r="P230" i="4" s="1"/>
  <c r="H252" i="4"/>
  <c r="H254" i="4" s="1"/>
  <c r="N255" i="4"/>
  <c r="N256" i="4" s="1"/>
  <c r="N258" i="4" s="1"/>
  <c r="N260" i="4" s="1"/>
  <c r="K283" i="4"/>
  <c r="K284" i="4" s="1"/>
  <c r="K286" i="4" s="1"/>
  <c r="K288" i="4" s="1"/>
  <c r="S283" i="4"/>
  <c r="S284" i="4" s="1"/>
  <c r="S286" i="4" s="1"/>
  <c r="G363" i="4"/>
  <c r="G364" i="4" s="1"/>
  <c r="G366" i="4" s="1"/>
  <c r="L363" i="4"/>
  <c r="L364" i="4" s="1"/>
  <c r="L366" i="4" s="1"/>
  <c r="P363" i="4"/>
  <c r="P364" i="4" s="1"/>
  <c r="P366" i="4" s="1"/>
  <c r="P368" i="4" s="1"/>
  <c r="T368" i="4"/>
  <c r="R391" i="4"/>
  <c r="R392" i="4" s="1"/>
  <c r="R394" i="4" s="1"/>
  <c r="H6" i="4"/>
  <c r="H7" i="4" s="1"/>
  <c r="H9" i="4" s="1"/>
  <c r="P6" i="4"/>
  <c r="P7" i="4" s="1"/>
  <c r="P9" i="4" s="1"/>
  <c r="R34" i="4"/>
  <c r="R35" i="4" s="1"/>
  <c r="R37" i="4" s="1"/>
  <c r="N61" i="4"/>
  <c r="N62" i="4" s="1"/>
  <c r="N64" i="4" s="1"/>
  <c r="R118" i="4"/>
  <c r="R120" i="4" s="1"/>
  <c r="T122" i="4"/>
  <c r="H224" i="4"/>
  <c r="H226" i="4" s="1"/>
  <c r="U232" i="4"/>
  <c r="M283" i="4"/>
  <c r="M284" i="4" s="1"/>
  <c r="M286" i="4" s="1"/>
  <c r="I6" i="4"/>
  <c r="I7" i="4" s="1"/>
  <c r="I9" i="4" s="1"/>
  <c r="G34" i="4"/>
  <c r="G35" i="4" s="1"/>
  <c r="G37" i="4" s="1"/>
  <c r="G39" i="4" s="1"/>
  <c r="O61" i="4"/>
  <c r="O62" i="4" s="1"/>
  <c r="O64" i="4" s="1"/>
  <c r="V232" i="4"/>
  <c r="H280" i="4"/>
  <c r="H282" i="4" s="1"/>
  <c r="Q391" i="4"/>
  <c r="Q392" i="4" s="1"/>
  <c r="Q394" i="4" s="1"/>
  <c r="Q396" i="4" s="1"/>
  <c r="V396" i="4"/>
  <c r="K6" i="4"/>
  <c r="K7" i="4" s="1"/>
  <c r="K9" i="4" s="1"/>
  <c r="S6" i="4"/>
  <c r="S7" i="4" s="1"/>
  <c r="S9" i="4" s="1"/>
  <c r="M34" i="4"/>
  <c r="M35" i="4" s="1"/>
  <c r="M37" i="4" s="1"/>
  <c r="I61" i="4"/>
  <c r="I62" i="4" s="1"/>
  <c r="I64" i="4" s="1"/>
  <c r="H89" i="4"/>
  <c r="H90" i="4" s="1"/>
  <c r="H92" i="4" s="1"/>
  <c r="E117" i="4"/>
  <c r="E118" i="4" s="1"/>
  <c r="E120" i="4" s="1"/>
  <c r="I117" i="4"/>
  <c r="I118" i="4" s="1"/>
  <c r="I120" i="4" s="1"/>
  <c r="M117" i="4"/>
  <c r="M118" i="4" s="1"/>
  <c r="M120" i="4" s="1"/>
  <c r="Q117" i="4"/>
  <c r="Q118" i="4" s="1"/>
  <c r="Q120" i="4" s="1"/>
  <c r="V117" i="4"/>
  <c r="I227" i="4"/>
  <c r="I228" i="4" s="1"/>
  <c r="I230" i="4" s="1"/>
  <c r="I232" i="4" s="1"/>
  <c r="M227" i="4"/>
  <c r="M228" i="4" s="1"/>
  <c r="M230" i="4" s="1"/>
  <c r="M232" i="4" s="1"/>
  <c r="O255" i="4"/>
  <c r="O256" i="4" s="1"/>
  <c r="O258" i="4" s="1"/>
  <c r="O260" i="4" s="1"/>
  <c r="U260" i="4"/>
  <c r="G283" i="4"/>
  <c r="G284" i="4" s="1"/>
  <c r="G286" i="4" s="1"/>
  <c r="G288" i="4" s="1"/>
  <c r="L283" i="4"/>
  <c r="L284" i="4" s="1"/>
  <c r="L286" i="4" s="1"/>
  <c r="L288" i="4" s="1"/>
  <c r="D288" i="4"/>
  <c r="M363" i="4"/>
  <c r="M364" i="4" s="1"/>
  <c r="M366" i="4" s="1"/>
  <c r="M368" i="4" s="1"/>
  <c r="G391" i="4"/>
  <c r="G392" i="4" s="1"/>
  <c r="G394" i="4" s="1"/>
  <c r="G396" i="4" s="1"/>
  <c r="S391" i="4"/>
  <c r="S392" i="4" s="1"/>
  <c r="S394" i="4" s="1"/>
  <c r="F379" i="3"/>
  <c r="F253" i="3"/>
  <c r="F255" i="3" s="1"/>
  <c r="F256" i="3" s="1"/>
  <c r="F257" i="3" s="1"/>
  <c r="E255" i="3"/>
  <c r="O6" i="3"/>
  <c r="O7" i="3" s="1"/>
  <c r="O56" i="3"/>
  <c r="O57" i="3" s="1"/>
  <c r="E84" i="3"/>
  <c r="E86" i="3" s="1"/>
  <c r="E80" i="3"/>
  <c r="I81" i="3"/>
  <c r="I82" i="3" s="1"/>
  <c r="U84" i="3"/>
  <c r="U86" i="3" s="1"/>
  <c r="U88" i="3" s="1"/>
  <c r="U80" i="3"/>
  <c r="Q6" i="3"/>
  <c r="Q7" i="3" s="1"/>
  <c r="E31" i="3"/>
  <c r="E32" i="3" s="1"/>
  <c r="N31" i="3"/>
  <c r="N32" i="3" s="1"/>
  <c r="R31" i="3"/>
  <c r="R32" i="3" s="1"/>
  <c r="V30" i="3"/>
  <c r="Q56" i="3"/>
  <c r="Q57" i="3" s="1"/>
  <c r="F80" i="3"/>
  <c r="J80" i="3"/>
  <c r="N84" i="3"/>
  <c r="N86" i="3" s="1"/>
  <c r="N88" i="3" s="1"/>
  <c r="N80" i="3"/>
  <c r="R84" i="3"/>
  <c r="R86" i="3" s="1"/>
  <c r="R88" i="3" s="1"/>
  <c r="R80" i="3"/>
  <c r="I30" i="3"/>
  <c r="F6" i="3"/>
  <c r="F7" i="3" s="1"/>
  <c r="O30" i="3"/>
  <c r="F56" i="3"/>
  <c r="F57" i="3" s="1"/>
  <c r="S56" i="3"/>
  <c r="S57" i="3" s="1"/>
  <c r="O80" i="3"/>
  <c r="J6" i="3"/>
  <c r="J7" i="3" s="1"/>
  <c r="G30" i="3"/>
  <c r="P31" i="3"/>
  <c r="P32" i="3" s="1"/>
  <c r="T30" i="3"/>
  <c r="J56" i="3"/>
  <c r="J57" i="3" s="1"/>
  <c r="V55" i="3"/>
  <c r="H78" i="3"/>
  <c r="W78" i="3" s="1"/>
  <c r="T84" i="3"/>
  <c r="T86" i="3" s="1"/>
  <c r="T88" i="3" s="1"/>
  <c r="T80" i="3"/>
  <c r="S84" i="3"/>
  <c r="S86" i="3" s="1"/>
  <c r="S88" i="3" s="1"/>
  <c r="Q84" i="3"/>
  <c r="Q86" i="3" s="1"/>
  <c r="Q88" i="3" s="1"/>
  <c r="J84" i="3"/>
  <c r="J86" i="3" s="1"/>
  <c r="J88" i="3" s="1"/>
  <c r="G5" i="3"/>
  <c r="F302" i="3"/>
  <c r="I84" i="3"/>
  <c r="I86" i="3" s="1"/>
  <c r="I88" i="3" s="1"/>
  <c r="M30" i="3"/>
  <c r="F327" i="3"/>
  <c r="F329" i="3" s="1"/>
  <c r="H28" i="3"/>
  <c r="F228" i="3"/>
  <c r="G55" i="3"/>
  <c r="O84" i="3"/>
  <c r="O86" i="3" s="1"/>
  <c r="O88" i="3" s="1"/>
  <c r="F404" i="3"/>
  <c r="P84" i="3"/>
  <c r="P86" i="3" s="1"/>
  <c r="P88" i="3" s="1"/>
  <c r="L80" i="3"/>
  <c r="K84" i="3"/>
  <c r="K86" i="3" s="1"/>
  <c r="K88" i="3" s="1"/>
  <c r="F84" i="3"/>
  <c r="F86" i="3" s="1"/>
  <c r="F88" i="3" s="1"/>
  <c r="V84" i="3"/>
  <c r="V86" i="3" s="1"/>
  <c r="V88" i="3" s="1"/>
  <c r="Q419" i="4" l="1"/>
  <c r="Q420" i="4" s="1"/>
  <c r="Q422" i="4" s="1"/>
  <c r="Q424" i="4" s="1"/>
  <c r="Q431" i="4" s="1"/>
  <c r="Q436" i="4" s="1"/>
  <c r="W269" i="4"/>
  <c r="W274" i="4" s="1"/>
  <c r="W270" i="4"/>
  <c r="W275" i="4" s="1"/>
  <c r="W268" i="4"/>
  <c r="W273" i="4" s="1"/>
  <c r="W267" i="4"/>
  <c r="W272" i="4" s="1"/>
  <c r="W517" i="4"/>
  <c r="W522" i="4" s="1"/>
  <c r="W516" i="4"/>
  <c r="W521" i="4" s="1"/>
  <c r="W515" i="4"/>
  <c r="W520" i="4" s="1"/>
  <c r="W514" i="4"/>
  <c r="W519" i="4" s="1"/>
  <c r="P419" i="4"/>
  <c r="P420" i="4" s="1"/>
  <c r="P422" i="4" s="1"/>
  <c r="P424" i="4" s="1"/>
  <c r="P431" i="4" s="1"/>
  <c r="P436" i="4" s="1"/>
  <c r="W298" i="4"/>
  <c r="W303" i="4" s="1"/>
  <c r="W297" i="4"/>
  <c r="W302" i="4" s="1"/>
  <c r="W295" i="4"/>
  <c r="W300" i="4" s="1"/>
  <c r="W296" i="4"/>
  <c r="W301" i="4" s="1"/>
  <c r="W184" i="4"/>
  <c r="W189" i="4" s="1"/>
  <c r="W187" i="4"/>
  <c r="W192" i="4" s="1"/>
  <c r="W186" i="4"/>
  <c r="W191" i="4" s="1"/>
  <c r="W185" i="4"/>
  <c r="W190" i="4" s="1"/>
  <c r="W160" i="4"/>
  <c r="W165" i="4" s="1"/>
  <c r="W159" i="4"/>
  <c r="W164" i="4" s="1"/>
  <c r="W158" i="4"/>
  <c r="W163" i="4" s="1"/>
  <c r="W157" i="4"/>
  <c r="W162" i="4" s="1"/>
  <c r="W129" i="4"/>
  <c r="W134" i="4" s="1"/>
  <c r="W131" i="4"/>
  <c r="W136" i="4" s="1"/>
  <c r="W130" i="4"/>
  <c r="W135" i="4" s="1"/>
  <c r="W132" i="4"/>
  <c r="W137" i="4" s="1"/>
  <c r="W46" i="4"/>
  <c r="W51" i="4" s="1"/>
  <c r="W49" i="4"/>
  <c r="W54" i="4" s="1"/>
  <c r="W47" i="4"/>
  <c r="W52" i="4" s="1"/>
  <c r="W48" i="4"/>
  <c r="W53" i="4" s="1"/>
  <c r="W76" i="4"/>
  <c r="W81" i="4" s="1"/>
  <c r="W73" i="4"/>
  <c r="W78" i="4" s="1"/>
  <c r="W74" i="4"/>
  <c r="W79" i="4" s="1"/>
  <c r="W75" i="4"/>
  <c r="W80" i="4" s="1"/>
  <c r="W103" i="4"/>
  <c r="W108" i="4" s="1"/>
  <c r="W104" i="4"/>
  <c r="W109" i="4" s="1"/>
  <c r="W102" i="4"/>
  <c r="W107" i="4" s="1"/>
  <c r="W101" i="4"/>
  <c r="W106" i="4" s="1"/>
  <c r="V73" i="4"/>
  <c r="V78" i="4" s="1"/>
  <c r="U73" i="4"/>
  <c r="U78" i="4" s="1"/>
  <c r="W391" i="4"/>
  <c r="W392" i="4" s="1"/>
  <c r="W394" i="4" s="1"/>
  <c r="W396" i="4" s="1"/>
  <c r="W363" i="4"/>
  <c r="W364" i="4" s="1"/>
  <c r="W366" i="4" s="1"/>
  <c r="W368" i="4" s="1"/>
  <c r="W227" i="4"/>
  <c r="W228" i="4" s="1"/>
  <c r="W230" i="4" s="1"/>
  <c r="W232" i="4" s="1"/>
  <c r="T73" i="4"/>
  <c r="T78" i="4" s="1"/>
  <c r="T76" i="4"/>
  <c r="V76" i="4"/>
  <c r="U76" i="4"/>
  <c r="D76" i="4"/>
  <c r="D81" i="4" s="1"/>
  <c r="E59" i="12"/>
  <c r="C59" i="12"/>
  <c r="D320" i="3"/>
  <c r="D324" i="3" s="1"/>
  <c r="D319" i="3"/>
  <c r="D323" i="3" s="1"/>
  <c r="P445" i="3"/>
  <c r="P449" i="3" s="1"/>
  <c r="P444" i="3"/>
  <c r="P448" i="3" s="1"/>
  <c r="O442" i="3"/>
  <c r="O446" i="3" s="1"/>
  <c r="O443" i="3"/>
  <c r="O447" i="3" s="1"/>
  <c r="D418" i="3"/>
  <c r="D422" i="3" s="1"/>
  <c r="D421" i="3"/>
  <c r="D395" i="3"/>
  <c r="D399" i="3" s="1"/>
  <c r="D394" i="3"/>
  <c r="D398" i="3" s="1"/>
  <c r="D370" i="3"/>
  <c r="D374" i="3" s="1"/>
  <c r="D369" i="3"/>
  <c r="D373" i="3" s="1"/>
  <c r="D343" i="3"/>
  <c r="D347" i="3" s="1"/>
  <c r="D342" i="3"/>
  <c r="D346" i="3" s="1"/>
  <c r="D271" i="3"/>
  <c r="D275" i="3" s="1"/>
  <c r="E29" i="12"/>
  <c r="D245" i="3"/>
  <c r="D249" i="3" s="1"/>
  <c r="D244" i="3"/>
  <c r="D248" i="3" s="1"/>
  <c r="D243" i="3"/>
  <c r="D247" i="3" s="1"/>
  <c r="D246" i="3"/>
  <c r="D250" i="3" s="1"/>
  <c r="O218" i="3"/>
  <c r="O222" i="3" s="1"/>
  <c r="O219" i="3"/>
  <c r="O223" i="3" s="1"/>
  <c r="P221" i="3"/>
  <c r="P225" i="3" s="1"/>
  <c r="P220" i="3"/>
  <c r="P224" i="3" s="1"/>
  <c r="D145" i="3"/>
  <c r="D149" i="3" s="1"/>
  <c r="D146" i="3"/>
  <c r="D150" i="3" s="1"/>
  <c r="D119" i="3"/>
  <c r="D123" i="3" s="1"/>
  <c r="D118" i="3"/>
  <c r="D122" i="3" s="1"/>
  <c r="D96" i="3"/>
  <c r="D100" i="3" s="1"/>
  <c r="D95" i="3"/>
  <c r="D99" i="3" s="1"/>
  <c r="D71" i="3"/>
  <c r="D75" i="3" s="1"/>
  <c r="D70" i="3"/>
  <c r="D74" i="3" s="1"/>
  <c r="D19" i="3"/>
  <c r="D23" i="3" s="1"/>
  <c r="V95" i="3"/>
  <c r="V99" i="3" s="1"/>
  <c r="V96" i="3"/>
  <c r="V100" i="3" s="1"/>
  <c r="D13" i="15"/>
  <c r="N21" i="3"/>
  <c r="N25" i="3" s="1"/>
  <c r="H120" i="3"/>
  <c r="H124" i="3" s="1"/>
  <c r="H121" i="3"/>
  <c r="H125" i="3" s="1"/>
  <c r="I96" i="3"/>
  <c r="I100" i="3" s="1"/>
  <c r="I95" i="3"/>
  <c r="I99" i="3" s="1"/>
  <c r="O95" i="3"/>
  <c r="O99" i="3" s="1"/>
  <c r="O96" i="3"/>
  <c r="O100" i="3" s="1"/>
  <c r="Q120" i="3"/>
  <c r="Q124" i="3" s="1"/>
  <c r="Q121" i="3"/>
  <c r="Q125" i="3" s="1"/>
  <c r="I120" i="3"/>
  <c r="I124" i="3" s="1"/>
  <c r="I121" i="3"/>
  <c r="I125" i="3" s="1"/>
  <c r="G119" i="3"/>
  <c r="G123" i="3" s="1"/>
  <c r="G118" i="3"/>
  <c r="G122" i="3" s="1"/>
  <c r="K96" i="3"/>
  <c r="K100" i="3" s="1"/>
  <c r="K95" i="3"/>
  <c r="K99" i="3" s="1"/>
  <c r="P120" i="3"/>
  <c r="P124" i="3" s="1"/>
  <c r="P121" i="3"/>
  <c r="P125" i="3" s="1"/>
  <c r="V121" i="3"/>
  <c r="V125" i="3" s="1"/>
  <c r="V120" i="3"/>
  <c r="V124" i="3" s="1"/>
  <c r="E121" i="3"/>
  <c r="E125" i="3" s="1"/>
  <c r="E120" i="3"/>
  <c r="E124" i="3" s="1"/>
  <c r="J96" i="3"/>
  <c r="J100" i="3" s="1"/>
  <c r="J95" i="3"/>
  <c r="J99" i="3" s="1"/>
  <c r="Q95" i="3"/>
  <c r="Q99" i="3" s="1"/>
  <c r="Q96" i="3"/>
  <c r="Q100" i="3" s="1"/>
  <c r="R121" i="3"/>
  <c r="R125" i="3" s="1"/>
  <c r="R120" i="3"/>
  <c r="R124" i="3" s="1"/>
  <c r="F95" i="3"/>
  <c r="F99" i="3" s="1"/>
  <c r="F96" i="3"/>
  <c r="F100" i="3" s="1"/>
  <c r="U96" i="3"/>
  <c r="U100" i="3" s="1"/>
  <c r="U95" i="3"/>
  <c r="U99" i="3" s="1"/>
  <c r="S95" i="3"/>
  <c r="S99" i="3" s="1"/>
  <c r="S96" i="3"/>
  <c r="S100" i="3" s="1"/>
  <c r="S120" i="3"/>
  <c r="S124" i="3" s="1"/>
  <c r="S121" i="3"/>
  <c r="S125" i="3" s="1"/>
  <c r="R95" i="3"/>
  <c r="R99" i="3" s="1"/>
  <c r="R96" i="3"/>
  <c r="R100" i="3" s="1"/>
  <c r="O121" i="3"/>
  <c r="O125" i="3" s="1"/>
  <c r="O120" i="3"/>
  <c r="O124" i="3" s="1"/>
  <c r="F120" i="3"/>
  <c r="F124" i="3" s="1"/>
  <c r="F121" i="3"/>
  <c r="F125" i="3" s="1"/>
  <c r="K121" i="3"/>
  <c r="K125" i="3" s="1"/>
  <c r="K120" i="3"/>
  <c r="K124" i="3" s="1"/>
  <c r="J121" i="3"/>
  <c r="J125" i="3" s="1"/>
  <c r="G17" i="14"/>
  <c r="J120" i="3"/>
  <c r="J124" i="3" s="1"/>
  <c r="M121" i="3"/>
  <c r="M125" i="3" s="1"/>
  <c r="M120" i="3"/>
  <c r="M124" i="3" s="1"/>
  <c r="N121" i="3"/>
  <c r="N125" i="3" s="1"/>
  <c r="N120" i="3"/>
  <c r="N124" i="3" s="1"/>
  <c r="N95" i="3"/>
  <c r="N99" i="3" s="1"/>
  <c r="N96" i="3"/>
  <c r="N100" i="3" s="1"/>
  <c r="T95" i="3"/>
  <c r="T99" i="3" s="1"/>
  <c r="T96" i="3"/>
  <c r="T100" i="3" s="1"/>
  <c r="L121" i="3"/>
  <c r="L125" i="3" s="1"/>
  <c r="L120" i="3"/>
  <c r="L124" i="3" s="1"/>
  <c r="P95" i="3"/>
  <c r="P99" i="3" s="1"/>
  <c r="P96" i="3"/>
  <c r="P100" i="3" s="1"/>
  <c r="U120" i="3"/>
  <c r="U124" i="3" s="1"/>
  <c r="U121" i="3"/>
  <c r="U125" i="3" s="1"/>
  <c r="T120" i="3"/>
  <c r="T124" i="3" s="1"/>
  <c r="T121" i="3"/>
  <c r="T125" i="3" s="1"/>
  <c r="D295" i="4"/>
  <c r="D300" i="4" s="1"/>
  <c r="T74" i="4"/>
  <c r="T75" i="4"/>
  <c r="V75" i="4"/>
  <c r="U75" i="4"/>
  <c r="B78" i="12"/>
  <c r="I17" i="16"/>
  <c r="D28" i="12"/>
  <c r="U146" i="3"/>
  <c r="U150" i="3" s="1"/>
  <c r="U145" i="3"/>
  <c r="U149" i="3" s="1"/>
  <c r="G18" i="14"/>
  <c r="J145" i="3"/>
  <c r="J149" i="3" s="1"/>
  <c r="J146" i="3"/>
  <c r="J150" i="3" s="1"/>
  <c r="V144" i="3"/>
  <c r="V148" i="3" s="1"/>
  <c r="M18" i="17"/>
  <c r="V146" i="3"/>
  <c r="V150" i="3" s="1"/>
  <c r="T146" i="3"/>
  <c r="T150" i="3" s="1"/>
  <c r="E18" i="17"/>
  <c r="E18" i="16"/>
  <c r="R146" i="3"/>
  <c r="R150" i="3" s="1"/>
  <c r="S145" i="3"/>
  <c r="S149" i="3" s="1"/>
  <c r="S144" i="3"/>
  <c r="S148" i="3" s="1"/>
  <c r="S146" i="3"/>
  <c r="S150" i="3" s="1"/>
  <c r="O146" i="3"/>
  <c r="O150" i="3" s="1"/>
  <c r="O145" i="3"/>
  <c r="O149" i="3" s="1"/>
  <c r="F145" i="3"/>
  <c r="F149" i="3" s="1"/>
  <c r="G18" i="13"/>
  <c r="F146" i="3"/>
  <c r="F150" i="3" s="1"/>
  <c r="D18" i="13"/>
  <c r="E144" i="3"/>
  <c r="E148" i="3" s="1"/>
  <c r="E146" i="3"/>
  <c r="E150" i="3" s="1"/>
  <c r="J18" i="15"/>
  <c r="P146" i="3"/>
  <c r="P150" i="3" s="1"/>
  <c r="P145" i="3"/>
  <c r="P149" i="3" s="1"/>
  <c r="M146" i="3"/>
  <c r="M150" i="3" s="1"/>
  <c r="S18" i="14"/>
  <c r="M145" i="3"/>
  <c r="M149" i="3" s="1"/>
  <c r="K145" i="3"/>
  <c r="K149" i="3" s="1"/>
  <c r="K146" i="3"/>
  <c r="K150" i="3" s="1"/>
  <c r="H145" i="3"/>
  <c r="H149" i="3" s="1"/>
  <c r="H146" i="3"/>
  <c r="H150" i="3" s="1"/>
  <c r="Q145" i="3"/>
  <c r="Q149" i="3" s="1"/>
  <c r="Q144" i="3"/>
  <c r="Q148" i="3" s="1"/>
  <c r="Q18" i="15"/>
  <c r="H17" i="16"/>
  <c r="H17" i="17"/>
  <c r="H17" i="13"/>
  <c r="L17" i="15"/>
  <c r="P17" i="15"/>
  <c r="D17" i="16"/>
  <c r="P17" i="14"/>
  <c r="L17" i="17"/>
  <c r="L17" i="14"/>
  <c r="D16" i="15"/>
  <c r="H16" i="13"/>
  <c r="H16" i="17"/>
  <c r="H16" i="15"/>
  <c r="P16" i="15"/>
  <c r="L16" i="14"/>
  <c r="E17" i="13"/>
  <c r="C38" i="15"/>
  <c r="M17" i="17"/>
  <c r="M17" i="15"/>
  <c r="E17" i="16"/>
  <c r="I17" i="14"/>
  <c r="O18" i="14"/>
  <c r="I17" i="13"/>
  <c r="B28" i="12"/>
  <c r="M17" i="14"/>
  <c r="E13" i="13"/>
  <c r="D13" i="13"/>
  <c r="E17" i="15"/>
  <c r="E88" i="3"/>
  <c r="I17" i="17"/>
  <c r="Q17" i="13"/>
  <c r="N143" i="3"/>
  <c r="N147" i="3" s="1"/>
  <c r="E85" i="17"/>
  <c r="T406" i="4"/>
  <c r="T411" i="4" s="1"/>
  <c r="T403" i="4"/>
  <c r="T408" i="4" s="1"/>
  <c r="B85" i="17"/>
  <c r="U377" i="4"/>
  <c r="U382" i="4" s="1"/>
  <c r="H84" i="17"/>
  <c r="V377" i="4"/>
  <c r="V382" i="4" s="1"/>
  <c r="L84" i="17"/>
  <c r="I84" i="17"/>
  <c r="U378" i="4"/>
  <c r="U383" i="4" s="1"/>
  <c r="V378" i="4"/>
  <c r="V383" i="4" s="1"/>
  <c r="M84" i="17"/>
  <c r="J84" i="17"/>
  <c r="V375" i="4"/>
  <c r="V380" i="4" s="1"/>
  <c r="U404" i="4"/>
  <c r="U409" i="4" s="1"/>
  <c r="G85" i="17"/>
  <c r="B84" i="12"/>
  <c r="V376" i="4"/>
  <c r="V381" i="4" s="1"/>
  <c r="K84" i="17"/>
  <c r="U405" i="4"/>
  <c r="U410" i="4" s="1"/>
  <c r="H85" i="17"/>
  <c r="U376" i="4"/>
  <c r="U381" i="4" s="1"/>
  <c r="G84" i="17"/>
  <c r="I85" i="17"/>
  <c r="U406" i="4"/>
  <c r="U411" i="4" s="1"/>
  <c r="T405" i="4"/>
  <c r="T410" i="4" s="1"/>
  <c r="D85" i="17"/>
  <c r="F85" i="17"/>
  <c r="U403" i="4"/>
  <c r="U408" i="4" s="1"/>
  <c r="F84" i="17"/>
  <c r="U375" i="4"/>
  <c r="U380" i="4" s="1"/>
  <c r="T404" i="4"/>
  <c r="T409" i="4" s="1"/>
  <c r="C85" i="17"/>
  <c r="B13" i="17"/>
  <c r="T18" i="3"/>
  <c r="T22" i="3" s="1"/>
  <c r="B13" i="14"/>
  <c r="I18" i="3"/>
  <c r="I22" i="3" s="1"/>
  <c r="N18" i="3"/>
  <c r="N22" i="3" s="1"/>
  <c r="B13" i="16"/>
  <c r="R18" i="3"/>
  <c r="R22" i="3" s="1"/>
  <c r="B29" i="12"/>
  <c r="J13" i="15"/>
  <c r="P18" i="3"/>
  <c r="P22" i="3" s="1"/>
  <c r="F13" i="17"/>
  <c r="U18" i="3"/>
  <c r="U22" i="3" s="1"/>
  <c r="B14" i="12"/>
  <c r="V297" i="4"/>
  <c r="V302" i="4" s="1"/>
  <c r="L73" i="17"/>
  <c r="V298" i="4"/>
  <c r="V303" i="4" s="1"/>
  <c r="M73" i="17"/>
  <c r="V295" i="4"/>
  <c r="V300" i="4" s="1"/>
  <c r="J73" i="17"/>
  <c r="V296" i="4"/>
  <c r="V301" i="4" s="1"/>
  <c r="K73" i="17"/>
  <c r="V268" i="4"/>
  <c r="V273" i="4" s="1"/>
  <c r="K71" i="17"/>
  <c r="M71" i="17"/>
  <c r="V270" i="4"/>
  <c r="V275" i="4" s="1"/>
  <c r="V269" i="4"/>
  <c r="V274" i="4" s="1"/>
  <c r="L71" i="17"/>
  <c r="T268" i="4"/>
  <c r="T273" i="4" s="1"/>
  <c r="C71" i="17"/>
  <c r="E71" i="17"/>
  <c r="T270" i="4"/>
  <c r="T275" i="4" s="1"/>
  <c r="T269" i="4"/>
  <c r="T274" i="4" s="1"/>
  <c r="D71" i="17"/>
  <c r="T241" i="4"/>
  <c r="T246" i="4" s="1"/>
  <c r="D70" i="17"/>
  <c r="T242" i="4"/>
  <c r="T247" i="4" s="1"/>
  <c r="E70" i="17"/>
  <c r="T240" i="4"/>
  <c r="T245" i="4" s="1"/>
  <c r="C70" i="17"/>
  <c r="T239" i="4"/>
  <c r="T244" i="4" s="1"/>
  <c r="B70" i="17"/>
  <c r="T129" i="4"/>
  <c r="T134" i="4" s="1"/>
  <c r="U102" i="4"/>
  <c r="U107" i="4" s="1"/>
  <c r="G61" i="17"/>
  <c r="U103" i="4"/>
  <c r="U108" i="4" s="1"/>
  <c r="H61" i="17"/>
  <c r="I61" i="17"/>
  <c r="U104" i="4"/>
  <c r="U109" i="4" s="1"/>
  <c r="V104" i="4"/>
  <c r="V109" i="4" s="1"/>
  <c r="M61" i="17"/>
  <c r="V101" i="4"/>
  <c r="V106" i="4" s="1"/>
  <c r="J61" i="17"/>
  <c r="V102" i="4"/>
  <c r="V107" i="4" s="1"/>
  <c r="K61" i="17"/>
  <c r="V103" i="4"/>
  <c r="V108" i="4" s="1"/>
  <c r="L61" i="17"/>
  <c r="F61" i="17"/>
  <c r="U101" i="4"/>
  <c r="U106" i="4" s="1"/>
  <c r="T102" i="4"/>
  <c r="T107" i="4" s="1"/>
  <c r="C61" i="17"/>
  <c r="T101" i="4"/>
  <c r="T106" i="4" s="1"/>
  <c r="B61" i="17"/>
  <c r="T104" i="4"/>
  <c r="T109" i="4" s="1"/>
  <c r="E61" i="17"/>
  <c r="T103" i="4"/>
  <c r="T108" i="4" s="1"/>
  <c r="D61" i="17"/>
  <c r="J59" i="17"/>
  <c r="F59" i="17"/>
  <c r="B59" i="17"/>
  <c r="E58" i="17"/>
  <c r="T49" i="4"/>
  <c r="T54" i="4" s="1"/>
  <c r="D58" i="17"/>
  <c r="T48" i="4"/>
  <c r="T53" i="4" s="1"/>
  <c r="C58" i="17"/>
  <c r="T47" i="4"/>
  <c r="T52" i="4" s="1"/>
  <c r="B58" i="17"/>
  <c r="T46" i="4"/>
  <c r="T51" i="4" s="1"/>
  <c r="F57" i="17"/>
  <c r="U18" i="4"/>
  <c r="U23" i="4" s="1"/>
  <c r="V18" i="4"/>
  <c r="V23" i="4" s="1"/>
  <c r="T18" i="4"/>
  <c r="T23" i="4" s="1"/>
  <c r="B57" i="17"/>
  <c r="B85" i="12"/>
  <c r="D85" i="12"/>
  <c r="E85" i="12"/>
  <c r="C85" i="12"/>
  <c r="D158" i="4"/>
  <c r="D163" i="4" s="1"/>
  <c r="C63" i="12"/>
  <c r="D160" i="4"/>
  <c r="D165" i="4" s="1"/>
  <c r="E63" i="12"/>
  <c r="D159" i="4"/>
  <c r="D164" i="4" s="1"/>
  <c r="D63" i="12"/>
  <c r="D79" i="4"/>
  <c r="W28" i="3"/>
  <c r="W30" i="3" s="1"/>
  <c r="W31" i="3" s="1"/>
  <c r="W32" i="3" s="1"/>
  <c r="U515" i="4"/>
  <c r="U520" i="4" s="1"/>
  <c r="G79" i="17"/>
  <c r="V516" i="4"/>
  <c r="V521" i="4" s="1"/>
  <c r="L79" i="17"/>
  <c r="V517" i="4"/>
  <c r="V522" i="4" s="1"/>
  <c r="M79" i="17"/>
  <c r="U516" i="4"/>
  <c r="U521" i="4" s="1"/>
  <c r="H79" i="17"/>
  <c r="U517" i="4"/>
  <c r="U522" i="4" s="1"/>
  <c r="I79" i="17"/>
  <c r="T515" i="4"/>
  <c r="T520" i="4" s="1"/>
  <c r="C79" i="17"/>
  <c r="T516" i="4"/>
  <c r="T521" i="4" s="1"/>
  <c r="D79" i="17"/>
  <c r="E79" i="17"/>
  <c r="T517" i="4"/>
  <c r="T522" i="4" s="1"/>
  <c r="J78" i="17"/>
  <c r="V486" i="4"/>
  <c r="V491" i="4" s="1"/>
  <c r="V487" i="4"/>
  <c r="V492" i="4" s="1"/>
  <c r="K78" i="17"/>
  <c r="U489" i="4"/>
  <c r="U494" i="4" s="1"/>
  <c r="I78" i="17"/>
  <c r="F78" i="17"/>
  <c r="U486" i="4"/>
  <c r="U491" i="4" s="1"/>
  <c r="U487" i="4"/>
  <c r="U492" i="4" s="1"/>
  <c r="G78" i="17"/>
  <c r="V489" i="4"/>
  <c r="V494" i="4" s="1"/>
  <c r="M78" i="17"/>
  <c r="U488" i="4"/>
  <c r="U493" i="4" s="1"/>
  <c r="H78" i="17"/>
  <c r="V488" i="4"/>
  <c r="V493" i="4" s="1"/>
  <c r="L78" i="17"/>
  <c r="T486" i="4"/>
  <c r="T491" i="4" s="1"/>
  <c r="B78" i="17"/>
  <c r="T489" i="4"/>
  <c r="T494" i="4" s="1"/>
  <c r="E78" i="17"/>
  <c r="T488" i="4"/>
  <c r="T493" i="4" s="1"/>
  <c r="D78" i="17"/>
  <c r="T487" i="4"/>
  <c r="T492" i="4" s="1"/>
  <c r="C78" i="17"/>
  <c r="V460" i="4"/>
  <c r="V465" i="4" s="1"/>
  <c r="K77" i="17"/>
  <c r="V461" i="4"/>
  <c r="V466" i="4" s="1"/>
  <c r="L77" i="17"/>
  <c r="F77" i="17"/>
  <c r="U459" i="4"/>
  <c r="U464" i="4" s="1"/>
  <c r="U460" i="4"/>
  <c r="U465" i="4" s="1"/>
  <c r="G77" i="17"/>
  <c r="U461" i="4"/>
  <c r="U466" i="4" s="1"/>
  <c r="H77" i="17"/>
  <c r="V459" i="4"/>
  <c r="V464" i="4" s="1"/>
  <c r="J77" i="17"/>
  <c r="U462" i="4"/>
  <c r="U467" i="4" s="1"/>
  <c r="I77" i="17"/>
  <c r="V462" i="4"/>
  <c r="V467" i="4" s="1"/>
  <c r="M77" i="17"/>
  <c r="E77" i="17"/>
  <c r="T462" i="4"/>
  <c r="T467" i="4" s="1"/>
  <c r="T460" i="4"/>
  <c r="T465" i="4" s="1"/>
  <c r="C77" i="17"/>
  <c r="T459" i="4"/>
  <c r="T464" i="4" s="1"/>
  <c r="B77" i="17"/>
  <c r="T461" i="4"/>
  <c r="T466" i="4" s="1"/>
  <c r="D77" i="17"/>
  <c r="V431" i="4"/>
  <c r="V436" i="4" s="1"/>
  <c r="J76" i="17"/>
  <c r="U431" i="4"/>
  <c r="U436" i="4" s="1"/>
  <c r="F76" i="17"/>
  <c r="T431" i="4"/>
  <c r="T436" i="4" s="1"/>
  <c r="B76" i="17"/>
  <c r="Q489" i="4"/>
  <c r="Q494" i="4" s="1"/>
  <c r="Q78" i="15"/>
  <c r="Q488" i="4"/>
  <c r="Q493" i="4" s="1"/>
  <c r="P78" i="15"/>
  <c r="Q487" i="4"/>
  <c r="Q492" i="4" s="1"/>
  <c r="O78" i="15"/>
  <c r="P486" i="4"/>
  <c r="P491" i="4" s="1"/>
  <c r="J78" i="15"/>
  <c r="L78" i="15"/>
  <c r="P488" i="4"/>
  <c r="P493" i="4" s="1"/>
  <c r="P489" i="4"/>
  <c r="P494" i="4" s="1"/>
  <c r="M78" i="15"/>
  <c r="Q486" i="4"/>
  <c r="Q491" i="4" s="1"/>
  <c r="N78" i="15"/>
  <c r="P487" i="4"/>
  <c r="P492" i="4" s="1"/>
  <c r="K78" i="15"/>
  <c r="C78" i="12"/>
  <c r="D487" i="4"/>
  <c r="D492" i="4" s="1"/>
  <c r="D78" i="12"/>
  <c r="D488" i="4"/>
  <c r="D493" i="4" s="1"/>
  <c r="D489" i="4"/>
  <c r="D494" i="4" s="1"/>
  <c r="E78" i="12"/>
  <c r="Q459" i="4"/>
  <c r="Q464" i="4" s="1"/>
  <c r="N77" i="15"/>
  <c r="Q462" i="4"/>
  <c r="Q467" i="4" s="1"/>
  <c r="Q77" i="15"/>
  <c r="Q460" i="4"/>
  <c r="Q465" i="4" s="1"/>
  <c r="O77" i="15"/>
  <c r="P461" i="4"/>
  <c r="P466" i="4" s="1"/>
  <c r="L77" i="15"/>
  <c r="P459" i="4"/>
  <c r="P464" i="4" s="1"/>
  <c r="J77" i="15"/>
  <c r="P462" i="4"/>
  <c r="P467" i="4" s="1"/>
  <c r="M77" i="15"/>
  <c r="Q461" i="4"/>
  <c r="Q466" i="4" s="1"/>
  <c r="P77" i="15"/>
  <c r="P460" i="4"/>
  <c r="P465" i="4" s="1"/>
  <c r="K77" i="15"/>
  <c r="D462" i="4"/>
  <c r="D467" i="4" s="1"/>
  <c r="E77" i="12"/>
  <c r="B77" i="12"/>
  <c r="D77" i="12"/>
  <c r="D461" i="4"/>
  <c r="D466" i="4" s="1"/>
  <c r="C77" i="12"/>
  <c r="D460" i="4"/>
  <c r="D465" i="4" s="1"/>
  <c r="D376" i="4"/>
  <c r="D381" i="4" s="1"/>
  <c r="C84" i="12"/>
  <c r="D84" i="12"/>
  <c r="D377" i="4"/>
  <c r="D382" i="4" s="1"/>
  <c r="E84" i="12"/>
  <c r="D378" i="4"/>
  <c r="D383" i="4" s="1"/>
  <c r="Q122" i="4"/>
  <c r="R62" i="14"/>
  <c r="B62" i="14"/>
  <c r="R122" i="4"/>
  <c r="E122" i="4"/>
  <c r="N122" i="4"/>
  <c r="F62" i="13"/>
  <c r="S94" i="4"/>
  <c r="F94" i="4"/>
  <c r="H94" i="4"/>
  <c r="I94" i="4"/>
  <c r="I66" i="4"/>
  <c r="I73" i="4" s="1"/>
  <c r="O66" i="4"/>
  <c r="O73" i="4" s="1"/>
  <c r="F66" i="4"/>
  <c r="F73" i="4" s="1"/>
  <c r="N66" i="4"/>
  <c r="N73" i="4" s="1"/>
  <c r="F59" i="16"/>
  <c r="P66" i="4"/>
  <c r="P73" i="4" s="1"/>
  <c r="D59" i="12"/>
  <c r="D80" i="4"/>
  <c r="D46" i="4"/>
  <c r="D51" i="4" s="1"/>
  <c r="S11" i="4"/>
  <c r="I11" i="4"/>
  <c r="J57" i="14"/>
  <c r="H11" i="4"/>
  <c r="J11" i="4"/>
  <c r="M11" i="4"/>
  <c r="D267" i="4"/>
  <c r="D272" i="4" s="1"/>
  <c r="D79" i="12"/>
  <c r="D516" i="4"/>
  <c r="D521" i="4" s="1"/>
  <c r="E79" i="12"/>
  <c r="D517" i="4"/>
  <c r="D522" i="4" s="1"/>
  <c r="D76" i="12"/>
  <c r="D433" i="4"/>
  <c r="D438" i="4" s="1"/>
  <c r="D434" i="4"/>
  <c r="D439" i="4" s="1"/>
  <c r="E76" i="12"/>
  <c r="D432" i="4"/>
  <c r="D437" i="4" s="1"/>
  <c r="C76" i="12"/>
  <c r="D103" i="4"/>
  <c r="D108" i="4" s="1"/>
  <c r="D101" i="4"/>
  <c r="D106" i="4" s="1"/>
  <c r="D109" i="4"/>
  <c r="D107" i="4"/>
  <c r="P11" i="4"/>
  <c r="N76" i="15"/>
  <c r="J76" i="15"/>
  <c r="C15" i="13"/>
  <c r="N146" i="3"/>
  <c r="N150" i="3" s="1"/>
  <c r="E18" i="15"/>
  <c r="W80" i="3"/>
  <c r="W81" i="3" s="1"/>
  <c r="W82" i="3" s="1"/>
  <c r="W84" i="3"/>
  <c r="W86" i="3" s="1"/>
  <c r="W88" i="3" s="1"/>
  <c r="W6" i="3"/>
  <c r="W7" i="3" s="1"/>
  <c r="N144" i="3"/>
  <c r="N148" i="3" s="1"/>
  <c r="L146" i="3"/>
  <c r="L150" i="3" s="1"/>
  <c r="Q18" i="14"/>
  <c r="L144" i="3"/>
  <c r="L148" i="3" s="1"/>
  <c r="L145" i="3"/>
  <c r="L149" i="3" s="1"/>
  <c r="P18" i="14"/>
  <c r="V173" i="4"/>
  <c r="V175" i="4" s="1"/>
  <c r="V177" i="4" s="1"/>
  <c r="T146" i="4"/>
  <c r="T148" i="4" s="1"/>
  <c r="T150" i="4" s="1"/>
  <c r="U118" i="4"/>
  <c r="U120" i="4" s="1"/>
  <c r="T173" i="4"/>
  <c r="T175" i="4" s="1"/>
  <c r="T177" i="4" s="1"/>
  <c r="V118" i="4"/>
  <c r="V120" i="4" s="1"/>
  <c r="B63" i="12"/>
  <c r="K5" i="3"/>
  <c r="K6" i="3" s="1"/>
  <c r="K7" i="3" s="1"/>
  <c r="G145" i="3"/>
  <c r="G149" i="3" s="1"/>
  <c r="M17" i="13"/>
  <c r="L17" i="13"/>
  <c r="B64" i="12"/>
  <c r="S83" i="3"/>
  <c r="B76" i="12"/>
  <c r="C15" i="17"/>
  <c r="B15" i="17"/>
  <c r="C15" i="16"/>
  <c r="C18" i="15"/>
  <c r="K15" i="15"/>
  <c r="C15" i="15"/>
  <c r="C18" i="14"/>
  <c r="B18" i="14"/>
  <c r="C15" i="14"/>
  <c r="B15" i="14"/>
  <c r="K18" i="13"/>
  <c r="G143" i="3"/>
  <c r="G147" i="3" s="1"/>
  <c r="K17" i="13"/>
  <c r="C17" i="12"/>
  <c r="B15" i="13"/>
  <c r="E37" i="12"/>
  <c r="D32" i="12"/>
  <c r="I38" i="15"/>
  <c r="E32" i="12"/>
  <c r="H38" i="15"/>
  <c r="G38" i="15"/>
  <c r="C37" i="12"/>
  <c r="D37" i="12"/>
  <c r="D29" i="12"/>
  <c r="E34" i="12"/>
  <c r="C29" i="12"/>
  <c r="C32" i="12"/>
  <c r="P83" i="3"/>
  <c r="Q83" i="3"/>
  <c r="Q8" i="3"/>
  <c r="Q9" i="3" s="1"/>
  <c r="Q11" i="3" s="1"/>
  <c r="Q13" i="3" s="1"/>
  <c r="I83" i="3"/>
  <c r="K83" i="3"/>
  <c r="V83" i="3"/>
  <c r="G144" i="3"/>
  <c r="G148" i="3" s="1"/>
  <c r="H27" i="15"/>
  <c r="G27" i="15"/>
  <c r="I27" i="15"/>
  <c r="L18" i="13"/>
  <c r="M18" i="13"/>
  <c r="D18" i="14"/>
  <c r="E18" i="14"/>
  <c r="D18" i="15"/>
  <c r="E16" i="16"/>
  <c r="M16" i="17"/>
  <c r="M16" i="14"/>
  <c r="I16" i="15"/>
  <c r="I16" i="16"/>
  <c r="E16" i="15"/>
  <c r="I16" i="14"/>
  <c r="H15" i="17"/>
  <c r="I15" i="17"/>
  <c r="C14" i="12"/>
  <c r="D14" i="12"/>
  <c r="E14" i="12"/>
  <c r="K13" i="17"/>
  <c r="V21" i="3"/>
  <c r="V25" i="3" s="1"/>
  <c r="V20" i="3"/>
  <c r="V24" i="3" s="1"/>
  <c r="L13" i="17"/>
  <c r="G13" i="17"/>
  <c r="T19" i="3"/>
  <c r="T23" i="3" s="1"/>
  <c r="C13" i="17"/>
  <c r="T20" i="3"/>
  <c r="T24" i="3" s="1"/>
  <c r="D13" i="17"/>
  <c r="T21" i="3"/>
  <c r="T25" i="3" s="1"/>
  <c r="E13" i="17"/>
  <c r="R21" i="3"/>
  <c r="R25" i="3" s="1"/>
  <c r="E13" i="16"/>
  <c r="C13" i="16"/>
  <c r="R20" i="3"/>
  <c r="R24" i="3" s="1"/>
  <c r="D13" i="16"/>
  <c r="P21" i="3"/>
  <c r="P25" i="3" s="1"/>
  <c r="M13" i="15"/>
  <c r="K13" i="15"/>
  <c r="P20" i="3"/>
  <c r="P24" i="3" s="1"/>
  <c r="L13" i="15"/>
  <c r="I20" i="3"/>
  <c r="I24" i="3" s="1"/>
  <c r="D13" i="14"/>
  <c r="C13" i="14"/>
  <c r="J8" i="3"/>
  <c r="J9" i="3" s="1"/>
  <c r="J11" i="3" s="1"/>
  <c r="J13" i="3" s="1"/>
  <c r="I21" i="3"/>
  <c r="I25" i="3" s="1"/>
  <c r="E13" i="14"/>
  <c r="C13" i="12"/>
  <c r="D13" i="12"/>
  <c r="E13" i="12"/>
  <c r="V19" i="3"/>
  <c r="V23" i="3" s="1"/>
  <c r="P19" i="3"/>
  <c r="P23" i="3" s="1"/>
  <c r="R19" i="3"/>
  <c r="R23" i="3" s="1"/>
  <c r="N19" i="3"/>
  <c r="N23" i="3" s="1"/>
  <c r="U19" i="3"/>
  <c r="U23" i="3" s="1"/>
  <c r="I19" i="3"/>
  <c r="I23" i="3" s="1"/>
  <c r="R206" i="3"/>
  <c r="R207" i="3" s="1"/>
  <c r="S205" i="3"/>
  <c r="T203" i="3"/>
  <c r="Q208" i="3"/>
  <c r="Q209" i="3" s="1"/>
  <c r="Q211" i="3" s="1"/>
  <c r="Q213" i="3" s="1"/>
  <c r="Q432" i="3"/>
  <c r="Q433" i="3" s="1"/>
  <c r="Q435" i="3" s="1"/>
  <c r="Q437" i="3" s="1"/>
  <c r="S429" i="3"/>
  <c r="R430" i="3"/>
  <c r="R431" i="3" s="1"/>
  <c r="E332" i="3"/>
  <c r="E333" i="3" s="1"/>
  <c r="E335" i="3" s="1"/>
  <c r="F405" i="3"/>
  <c r="F406" i="3" s="1"/>
  <c r="E307" i="3"/>
  <c r="E308" i="3" s="1"/>
  <c r="E310" i="3" s="1"/>
  <c r="E380" i="3"/>
  <c r="E381" i="3" s="1"/>
  <c r="F354" i="3"/>
  <c r="F355" i="3" s="1"/>
  <c r="F356" i="3" s="1"/>
  <c r="F330" i="3"/>
  <c r="F331" i="3" s="1"/>
  <c r="E357" i="3"/>
  <c r="E358" i="3" s="1"/>
  <c r="E360" i="3" s="1"/>
  <c r="E407" i="3"/>
  <c r="E408" i="3" s="1"/>
  <c r="E410" i="3" s="1"/>
  <c r="H80" i="3"/>
  <c r="H81" i="3" s="1"/>
  <c r="H82" i="3" s="1"/>
  <c r="G80" i="3"/>
  <c r="G81" i="3" s="1"/>
  <c r="G82" i="3" s="1"/>
  <c r="K447" i="4"/>
  <c r="K448" i="4" s="1"/>
  <c r="K450" i="4" s="1"/>
  <c r="K452" i="4" s="1"/>
  <c r="J502" i="4"/>
  <c r="J503" i="4" s="1"/>
  <c r="J505" i="4" s="1"/>
  <c r="J507" i="4" s="1"/>
  <c r="L447" i="4"/>
  <c r="L448" i="4" s="1"/>
  <c r="L450" i="4" s="1"/>
  <c r="L452" i="4" s="1"/>
  <c r="L502" i="4"/>
  <c r="L503" i="4" s="1"/>
  <c r="L505" i="4" s="1"/>
  <c r="L507" i="4" s="1"/>
  <c r="F447" i="4"/>
  <c r="F448" i="4" s="1"/>
  <c r="F450" i="4" s="1"/>
  <c r="F452" i="4" s="1"/>
  <c r="H474" i="4"/>
  <c r="H475" i="4" s="1"/>
  <c r="H477" i="4" s="1"/>
  <c r="H479" i="4" s="1"/>
  <c r="P173" i="4"/>
  <c r="P175" i="4" s="1"/>
  <c r="P177" i="4" s="1"/>
  <c r="M502" i="4"/>
  <c r="M503" i="4" s="1"/>
  <c r="M505" i="4" s="1"/>
  <c r="M507" i="4" s="1"/>
  <c r="O447" i="4"/>
  <c r="O448" i="4" s="1"/>
  <c r="O450" i="4" s="1"/>
  <c r="O452" i="4" s="1"/>
  <c r="G447" i="4"/>
  <c r="G448" i="4" s="1"/>
  <c r="G450" i="4" s="1"/>
  <c r="G452" i="4" s="1"/>
  <c r="O474" i="4"/>
  <c r="O475" i="4" s="1"/>
  <c r="O477" i="4" s="1"/>
  <c r="O479" i="4" s="1"/>
  <c r="R447" i="4"/>
  <c r="R448" i="4" s="1"/>
  <c r="R450" i="4" s="1"/>
  <c r="R452" i="4" s="1"/>
  <c r="P502" i="4"/>
  <c r="P503" i="4" s="1"/>
  <c r="P505" i="4" s="1"/>
  <c r="P507" i="4" s="1"/>
  <c r="H502" i="4"/>
  <c r="H503" i="4" s="1"/>
  <c r="H505" i="4" s="1"/>
  <c r="H507" i="4" s="1"/>
  <c r="J447" i="4"/>
  <c r="J448" i="4" s="1"/>
  <c r="J450" i="4" s="1"/>
  <c r="J452" i="4" s="1"/>
  <c r="L474" i="4"/>
  <c r="L475" i="4" s="1"/>
  <c r="L477" i="4" s="1"/>
  <c r="L479" i="4" s="1"/>
  <c r="S447" i="4"/>
  <c r="S448" i="4" s="1"/>
  <c r="S450" i="4" s="1"/>
  <c r="S452" i="4" s="1"/>
  <c r="I447" i="4"/>
  <c r="I448" i="4" s="1"/>
  <c r="I450" i="4" s="1"/>
  <c r="I452" i="4" s="1"/>
  <c r="F502" i="4"/>
  <c r="F503" i="4" s="1"/>
  <c r="F505" i="4" s="1"/>
  <c r="F507" i="4" s="1"/>
  <c r="H447" i="4"/>
  <c r="H448" i="4" s="1"/>
  <c r="H450" i="4" s="1"/>
  <c r="H452" i="4" s="1"/>
  <c r="I474" i="4"/>
  <c r="I475" i="4" s="1"/>
  <c r="I477" i="4" s="1"/>
  <c r="I479" i="4" s="1"/>
  <c r="N447" i="4"/>
  <c r="N448" i="4" s="1"/>
  <c r="N450" i="4" s="1"/>
  <c r="N452" i="4" s="1"/>
  <c r="R474" i="4"/>
  <c r="R475" i="4" s="1"/>
  <c r="R477" i="4" s="1"/>
  <c r="R479" i="4" s="1"/>
  <c r="M447" i="4"/>
  <c r="M448" i="4" s="1"/>
  <c r="M450" i="4" s="1"/>
  <c r="M452" i="4" s="1"/>
  <c r="E447" i="4"/>
  <c r="E448" i="4" s="1"/>
  <c r="E450" i="4" s="1"/>
  <c r="E452" i="4" s="1"/>
  <c r="N502" i="4"/>
  <c r="N503" i="4" s="1"/>
  <c r="N505" i="4" s="1"/>
  <c r="N507" i="4" s="1"/>
  <c r="O419" i="4"/>
  <c r="O420" i="4" s="1"/>
  <c r="O422" i="4" s="1"/>
  <c r="R419" i="4"/>
  <c r="R420" i="4" s="1"/>
  <c r="R422" i="4" s="1"/>
  <c r="H419" i="4"/>
  <c r="H420" i="4" s="1"/>
  <c r="H422" i="4" s="1"/>
  <c r="K419" i="4"/>
  <c r="K420" i="4" s="1"/>
  <c r="K422" i="4" s="1"/>
  <c r="S419" i="4"/>
  <c r="S420" i="4" s="1"/>
  <c r="S422" i="4" s="1"/>
  <c r="I419" i="4"/>
  <c r="I420" i="4" s="1"/>
  <c r="I422" i="4" s="1"/>
  <c r="J419" i="4"/>
  <c r="J420" i="4" s="1"/>
  <c r="J422" i="4" s="1"/>
  <c r="M419" i="4"/>
  <c r="M420" i="4" s="1"/>
  <c r="M422" i="4" s="1"/>
  <c r="E419" i="4"/>
  <c r="E420" i="4" s="1"/>
  <c r="E422" i="4" s="1"/>
  <c r="G419" i="4"/>
  <c r="G420" i="4" s="1"/>
  <c r="G422" i="4" s="1"/>
  <c r="N419" i="4"/>
  <c r="N420" i="4" s="1"/>
  <c r="N422" i="4" s="1"/>
  <c r="F419" i="4"/>
  <c r="F420" i="4" s="1"/>
  <c r="F422" i="4" s="1"/>
  <c r="L419" i="4"/>
  <c r="L420" i="4" s="1"/>
  <c r="L422" i="4" s="1"/>
  <c r="S150" i="4"/>
  <c r="M288" i="4"/>
  <c r="S396" i="4"/>
  <c r="P283" i="4"/>
  <c r="P284" i="4" s="1"/>
  <c r="P286" i="4" s="1"/>
  <c r="P288" i="4" s="1"/>
  <c r="G172" i="4"/>
  <c r="G173" i="4" s="1"/>
  <c r="G175" i="4" s="1"/>
  <c r="G177" i="4" s="1"/>
  <c r="E283" i="4"/>
  <c r="E284" i="4" s="1"/>
  <c r="E286" i="4" s="1"/>
  <c r="E288" i="4" s="1"/>
  <c r="K117" i="4"/>
  <c r="K118" i="4" s="1"/>
  <c r="K120" i="4" s="1"/>
  <c r="F34" i="4"/>
  <c r="F35" i="4" s="1"/>
  <c r="F37" i="4" s="1"/>
  <c r="F39" i="4" s="1"/>
  <c r="S288" i="4"/>
  <c r="R255" i="4"/>
  <c r="R256" i="4" s="1"/>
  <c r="R258" i="4" s="1"/>
  <c r="R172" i="4"/>
  <c r="R173" i="4" s="1"/>
  <c r="R175" i="4" s="1"/>
  <c r="R177" i="4" s="1"/>
  <c r="N6" i="4"/>
  <c r="N7" i="4" s="1"/>
  <c r="N9" i="4" s="1"/>
  <c r="H283" i="4"/>
  <c r="H284" i="4" s="1"/>
  <c r="H286" i="4" s="1"/>
  <c r="H288" i="4" s="1"/>
  <c r="R363" i="4"/>
  <c r="R364" i="4" s="1"/>
  <c r="R366" i="4" s="1"/>
  <c r="R368" i="4" s="1"/>
  <c r="E227" i="4"/>
  <c r="E228" i="4" s="1"/>
  <c r="E230" i="4" s="1"/>
  <c r="E89" i="4"/>
  <c r="E90" i="4" s="1"/>
  <c r="E92" i="4" s="1"/>
  <c r="L368" i="4"/>
  <c r="P232" i="4"/>
  <c r="K89" i="4"/>
  <c r="K90" i="4" s="1"/>
  <c r="K92" i="4" s="1"/>
  <c r="E145" i="4"/>
  <c r="E146" i="4" s="1"/>
  <c r="E148" i="4" s="1"/>
  <c r="E150" i="4" s="1"/>
  <c r="K391" i="4"/>
  <c r="K392" i="4" s="1"/>
  <c r="K394" i="4" s="1"/>
  <c r="K396" i="4" s="1"/>
  <c r="K403" i="4" s="1"/>
  <c r="K408" i="4" s="1"/>
  <c r="S255" i="4"/>
  <c r="S256" i="4" s="1"/>
  <c r="S258" i="4" s="1"/>
  <c r="S260" i="4" s="1"/>
  <c r="S172" i="4"/>
  <c r="S173" i="4" s="1"/>
  <c r="S175" i="4" s="1"/>
  <c r="S177" i="4" s="1"/>
  <c r="Q145" i="4"/>
  <c r="Q146" i="4" s="1"/>
  <c r="Q148" i="4" s="1"/>
  <c r="M122" i="4"/>
  <c r="M61" i="4"/>
  <c r="M62" i="4" s="1"/>
  <c r="M64" i="4" s="1"/>
  <c r="I34" i="4"/>
  <c r="I35" i="4" s="1"/>
  <c r="I37" i="4" s="1"/>
  <c r="I39" i="4" s="1"/>
  <c r="J89" i="4"/>
  <c r="J90" i="4" s="1"/>
  <c r="J92" i="4" s="1"/>
  <c r="O34" i="4"/>
  <c r="O35" i="4" s="1"/>
  <c r="O37" i="4" s="1"/>
  <c r="O39" i="4" s="1"/>
  <c r="G255" i="4"/>
  <c r="G256" i="4" s="1"/>
  <c r="G258" i="4" s="1"/>
  <c r="R150" i="4"/>
  <c r="G368" i="4"/>
  <c r="L232" i="4"/>
  <c r="H61" i="4"/>
  <c r="H62" i="4" s="1"/>
  <c r="H64" i="4" s="1"/>
  <c r="F6" i="4"/>
  <c r="F7" i="4" s="1"/>
  <c r="F9" i="4" s="1"/>
  <c r="J283" i="4"/>
  <c r="J284" i="4" s="1"/>
  <c r="J286" i="4" s="1"/>
  <c r="O117" i="4"/>
  <c r="O118" i="4" s="1"/>
  <c r="O120" i="4" s="1"/>
  <c r="E363" i="4"/>
  <c r="E364" i="4" s="1"/>
  <c r="E366" i="4" s="1"/>
  <c r="E368" i="4" s="1"/>
  <c r="F122" i="4"/>
  <c r="J34" i="4"/>
  <c r="J35" i="4" s="1"/>
  <c r="J37" i="4" s="1"/>
  <c r="J39" i="4" s="1"/>
  <c r="F172" i="4"/>
  <c r="F173" i="4" s="1"/>
  <c r="F175" i="4" s="1"/>
  <c r="F177" i="4" s="1"/>
  <c r="F145" i="4"/>
  <c r="F146" i="4" s="1"/>
  <c r="F148" i="4" s="1"/>
  <c r="F150" i="4" s="1"/>
  <c r="E6" i="4"/>
  <c r="E7" i="4" s="1"/>
  <c r="E9" i="4" s="1"/>
  <c r="N150" i="4"/>
  <c r="I363" i="4"/>
  <c r="I364" i="4" s="1"/>
  <c r="I366" i="4" s="1"/>
  <c r="I368" i="4" s="1"/>
  <c r="Q227" i="4"/>
  <c r="Q228" i="4" s="1"/>
  <c r="Q230" i="4" s="1"/>
  <c r="I122" i="4"/>
  <c r="P89" i="4"/>
  <c r="P90" i="4" s="1"/>
  <c r="P92" i="4" s="1"/>
  <c r="Q34" i="4"/>
  <c r="Q35" i="4" s="1"/>
  <c r="Q37" i="4" s="1"/>
  <c r="F363" i="4"/>
  <c r="F364" i="4" s="1"/>
  <c r="F366" i="4" s="1"/>
  <c r="F368" i="4" s="1"/>
  <c r="U172" i="4"/>
  <c r="P117" i="4"/>
  <c r="P118" i="4" s="1"/>
  <c r="P120" i="4" s="1"/>
  <c r="E391" i="4"/>
  <c r="E392" i="4" s="1"/>
  <c r="E394" i="4" s="1"/>
  <c r="E396" i="4" s="1"/>
  <c r="G61" i="4"/>
  <c r="G62" i="4" s="1"/>
  <c r="G64" i="4" s="1"/>
  <c r="H172" i="4"/>
  <c r="H173" i="4" s="1"/>
  <c r="H175" i="4" s="1"/>
  <c r="H177" i="4" s="1"/>
  <c r="Q363" i="4"/>
  <c r="Q364" i="4" s="1"/>
  <c r="Q366" i="4" s="1"/>
  <c r="Q368" i="4" s="1"/>
  <c r="K255" i="4"/>
  <c r="K256" i="4" s="1"/>
  <c r="K258" i="4" s="1"/>
  <c r="E61" i="4"/>
  <c r="E62" i="4" s="1"/>
  <c r="E64" i="4" s="1"/>
  <c r="M39" i="4"/>
  <c r="K11" i="4"/>
  <c r="S363" i="4"/>
  <c r="S364" i="4" s="1"/>
  <c r="S366" i="4" s="1"/>
  <c r="S368" i="4" s="1"/>
  <c r="K227" i="4"/>
  <c r="K228" i="4" s="1"/>
  <c r="K230" i="4" s="1"/>
  <c r="K232" i="4" s="1"/>
  <c r="L391" i="4"/>
  <c r="L392" i="4" s="1"/>
  <c r="L394" i="4" s="1"/>
  <c r="R227" i="4"/>
  <c r="R228" i="4" s="1"/>
  <c r="R230" i="4" s="1"/>
  <c r="R232" i="4" s="1"/>
  <c r="H227" i="4"/>
  <c r="H228" i="4" s="1"/>
  <c r="H230" i="4" s="1"/>
  <c r="H232" i="4" s="1"/>
  <c r="Q89" i="4"/>
  <c r="Q90" i="4" s="1"/>
  <c r="Q92" i="4" s="1"/>
  <c r="R396" i="4"/>
  <c r="J396" i="4"/>
  <c r="J255" i="4"/>
  <c r="J256" i="4" s="1"/>
  <c r="J258" i="4" s="1"/>
  <c r="J260" i="4" s="1"/>
  <c r="P150" i="4"/>
  <c r="G145" i="4"/>
  <c r="G146" i="4" s="1"/>
  <c r="G148" i="4" s="1"/>
  <c r="G150" i="4" s="1"/>
  <c r="P34" i="4"/>
  <c r="P35" i="4" s="1"/>
  <c r="P37" i="4" s="1"/>
  <c r="M391" i="4"/>
  <c r="M392" i="4" s="1"/>
  <c r="M394" i="4" s="1"/>
  <c r="I255" i="4"/>
  <c r="I256" i="4" s="1"/>
  <c r="I258" i="4" s="1"/>
  <c r="I260" i="4" s="1"/>
  <c r="N89" i="4"/>
  <c r="N90" i="4" s="1"/>
  <c r="N92" i="4" s="1"/>
  <c r="S66" i="4"/>
  <c r="S73" i="4" s="1"/>
  <c r="Q283" i="4"/>
  <c r="Q284" i="4" s="1"/>
  <c r="Q286" i="4" s="1"/>
  <c r="Q288" i="4" s="1"/>
  <c r="V145" i="4"/>
  <c r="O391" i="4"/>
  <c r="O392" i="4" s="1"/>
  <c r="O394" i="4" s="1"/>
  <c r="O396" i="4" s="1"/>
  <c r="F255" i="4"/>
  <c r="F256" i="4" s="1"/>
  <c r="F258" i="4" s="1"/>
  <c r="F260" i="4" s="1"/>
  <c r="O172" i="4"/>
  <c r="O173" i="4" s="1"/>
  <c r="O175" i="4" s="1"/>
  <c r="O177" i="4" s="1"/>
  <c r="M145" i="4"/>
  <c r="M146" i="4" s="1"/>
  <c r="M148" i="4" s="1"/>
  <c r="M150" i="4" s="1"/>
  <c r="K363" i="4"/>
  <c r="K364" i="4" s="1"/>
  <c r="K366" i="4" s="1"/>
  <c r="N283" i="4"/>
  <c r="N284" i="4" s="1"/>
  <c r="N286" i="4" s="1"/>
  <c r="N288" i="4" s="1"/>
  <c r="M255" i="4"/>
  <c r="M256" i="4" s="1"/>
  <c r="M258" i="4" s="1"/>
  <c r="M260" i="4" s="1"/>
  <c r="S227" i="4"/>
  <c r="F227" i="4"/>
  <c r="F228" i="4" s="1"/>
  <c r="F230" i="4" s="1"/>
  <c r="F232" i="4" s="1"/>
  <c r="M172" i="4"/>
  <c r="M173" i="4" s="1"/>
  <c r="M175" i="4" s="1"/>
  <c r="M177" i="4" s="1"/>
  <c r="R89" i="4"/>
  <c r="R90" i="4" s="1"/>
  <c r="R92" i="4" s="1"/>
  <c r="K34" i="4"/>
  <c r="K35" i="4" s="1"/>
  <c r="K37" i="4" s="1"/>
  <c r="K39" i="4" s="1"/>
  <c r="Q6" i="4"/>
  <c r="Q7" i="4" s="1"/>
  <c r="Q9" i="4" s="1"/>
  <c r="P391" i="4"/>
  <c r="P392" i="4" s="1"/>
  <c r="P394" i="4" s="1"/>
  <c r="P396" i="4" s="1"/>
  <c r="H391" i="4"/>
  <c r="H392" i="4" s="1"/>
  <c r="H394" i="4" s="1"/>
  <c r="H396" i="4" s="1"/>
  <c r="J363" i="4"/>
  <c r="J364" i="4" s="1"/>
  <c r="J366" i="4" s="1"/>
  <c r="J368" i="4" s="1"/>
  <c r="L255" i="4"/>
  <c r="L256" i="4" s="1"/>
  <c r="L258" i="4" s="1"/>
  <c r="L260" i="4" s="1"/>
  <c r="J227" i="4"/>
  <c r="J228" i="4" s="1"/>
  <c r="J230" i="4" s="1"/>
  <c r="J232" i="4" s="1"/>
  <c r="J117" i="4"/>
  <c r="J118" i="4" s="1"/>
  <c r="J120" i="4" s="1"/>
  <c r="M89" i="4"/>
  <c r="M90" i="4" s="1"/>
  <c r="M92" i="4" s="1"/>
  <c r="R61" i="4"/>
  <c r="R62" i="4" s="1"/>
  <c r="R64" i="4" s="1"/>
  <c r="R39" i="4"/>
  <c r="N172" i="4"/>
  <c r="N173" i="4" s="1"/>
  <c r="N175" i="4" s="1"/>
  <c r="N177" i="4" s="1"/>
  <c r="O89" i="4"/>
  <c r="O90" i="4" s="1"/>
  <c r="O92" i="4" s="1"/>
  <c r="G89" i="4"/>
  <c r="G90" i="4" s="1"/>
  <c r="G92" i="4" s="1"/>
  <c r="L61" i="4"/>
  <c r="L62" i="4" s="1"/>
  <c r="L64" i="4" s="1"/>
  <c r="L34" i="4"/>
  <c r="L35" i="4" s="1"/>
  <c r="L37" i="4" s="1"/>
  <c r="L39" i="4" s="1"/>
  <c r="R6" i="4"/>
  <c r="R7" i="4" s="1"/>
  <c r="R9" i="4" s="1"/>
  <c r="I391" i="4"/>
  <c r="I392" i="4" s="1"/>
  <c r="I394" i="4" s="1"/>
  <c r="I396" i="4" s="1"/>
  <c r="I403" i="4" s="1"/>
  <c r="I408" i="4" s="1"/>
  <c r="R283" i="4"/>
  <c r="R284" i="4" s="1"/>
  <c r="R286" i="4" s="1"/>
  <c r="R288" i="4" s="1"/>
  <c r="Q255" i="4"/>
  <c r="Q256" i="4" s="1"/>
  <c r="Q258" i="4" s="1"/>
  <c r="Q260" i="4" s="1"/>
  <c r="E172" i="4"/>
  <c r="E173" i="4" s="1"/>
  <c r="E175" i="4" s="1"/>
  <c r="E177" i="4" s="1"/>
  <c r="K145" i="4"/>
  <c r="K146" i="4" s="1"/>
  <c r="K148" i="4" s="1"/>
  <c r="K150" i="4" s="1"/>
  <c r="S117" i="4"/>
  <c r="S118" i="4" s="1"/>
  <c r="S120" i="4" s="1"/>
  <c r="G117" i="4"/>
  <c r="G118" i="4" s="1"/>
  <c r="G120" i="4" s="1"/>
  <c r="K61" i="4"/>
  <c r="K62" i="4" s="1"/>
  <c r="K64" i="4" s="1"/>
  <c r="N363" i="4"/>
  <c r="N364" i="4" s="1"/>
  <c r="N366" i="4" s="1"/>
  <c r="N368" i="4" s="1"/>
  <c r="K172" i="4"/>
  <c r="K173" i="4" s="1"/>
  <c r="K175" i="4" s="1"/>
  <c r="K177" i="4" s="1"/>
  <c r="U145" i="4"/>
  <c r="I145" i="4"/>
  <c r="I146" i="4" s="1"/>
  <c r="I148" i="4" s="1"/>
  <c r="I150" i="4" s="1"/>
  <c r="L89" i="4"/>
  <c r="L90" i="4" s="1"/>
  <c r="L92" i="4" s="1"/>
  <c r="Q61" i="4"/>
  <c r="Q62" i="4" s="1"/>
  <c r="Q64" i="4" s="1"/>
  <c r="B58" i="12"/>
  <c r="E34" i="4"/>
  <c r="E35" i="4" s="1"/>
  <c r="E37" i="4" s="1"/>
  <c r="E39" i="4" s="1"/>
  <c r="O6" i="4"/>
  <c r="O7" i="4" s="1"/>
  <c r="O9" i="4" s="1"/>
  <c r="G6" i="4"/>
  <c r="G7" i="4" s="1"/>
  <c r="G9" i="4" s="1"/>
  <c r="N391" i="4"/>
  <c r="N392" i="4" s="1"/>
  <c r="N394" i="4" s="1"/>
  <c r="N396" i="4" s="1"/>
  <c r="F391" i="4"/>
  <c r="F392" i="4" s="1"/>
  <c r="F394" i="4" s="1"/>
  <c r="F396" i="4" s="1"/>
  <c r="O283" i="4"/>
  <c r="O284" i="4" s="1"/>
  <c r="O286" i="4" s="1"/>
  <c r="O288" i="4" s="1"/>
  <c r="F283" i="4"/>
  <c r="F284" i="4" s="1"/>
  <c r="F286" i="4" s="1"/>
  <c r="F288" i="4" s="1"/>
  <c r="E255" i="4"/>
  <c r="E256" i="4" s="1"/>
  <c r="E258" i="4" s="1"/>
  <c r="E260" i="4" s="1"/>
  <c r="J172" i="4"/>
  <c r="J173" i="4" s="1"/>
  <c r="J175" i="4" s="1"/>
  <c r="J177" i="4" s="1"/>
  <c r="L117" i="4"/>
  <c r="L118" i="4" s="1"/>
  <c r="L120" i="4" s="1"/>
  <c r="J61" i="4"/>
  <c r="J62" i="4" s="1"/>
  <c r="J64" i="4" s="1"/>
  <c r="N34" i="4"/>
  <c r="N35" i="4" s="1"/>
  <c r="N37" i="4" s="1"/>
  <c r="N39" i="4" s="1"/>
  <c r="L6" i="4"/>
  <c r="L7" i="4" s="1"/>
  <c r="L9" i="4" s="1"/>
  <c r="F380" i="3"/>
  <c r="F381" i="3" s="1"/>
  <c r="G379" i="3"/>
  <c r="G354" i="3"/>
  <c r="G253" i="3"/>
  <c r="G255" i="3" s="1"/>
  <c r="G256" i="3" s="1"/>
  <c r="G257" i="3" s="1"/>
  <c r="E256" i="3"/>
  <c r="E257" i="3" s="1"/>
  <c r="F258" i="3"/>
  <c r="F259" i="3" s="1"/>
  <c r="F261" i="3" s="1"/>
  <c r="F263" i="3" s="1"/>
  <c r="F268" i="3" s="1"/>
  <c r="F272" i="3" s="1"/>
  <c r="G302" i="3"/>
  <c r="F304" i="3"/>
  <c r="S58" i="3"/>
  <c r="S59" i="3" s="1"/>
  <c r="S61" i="3" s="1"/>
  <c r="S63" i="3" s="1"/>
  <c r="R33" i="3"/>
  <c r="R34" i="3" s="1"/>
  <c r="R36" i="3" s="1"/>
  <c r="R38" i="3" s="1"/>
  <c r="L81" i="3"/>
  <c r="L82" i="3" s="1"/>
  <c r="M31" i="3"/>
  <c r="M32" i="3" s="1"/>
  <c r="L33" i="3"/>
  <c r="L34" i="3" s="1"/>
  <c r="L36" i="3" s="1"/>
  <c r="L38" i="3" s="1"/>
  <c r="F58" i="3"/>
  <c r="F59" i="3" s="1"/>
  <c r="F61" i="3" s="1"/>
  <c r="F63" i="3" s="1"/>
  <c r="S8" i="3"/>
  <c r="S9" i="3" s="1"/>
  <c r="S11" i="3" s="1"/>
  <c r="S13" i="3" s="1"/>
  <c r="N33" i="3"/>
  <c r="N34" i="3" s="1"/>
  <c r="N36" i="3" s="1"/>
  <c r="N38" i="3" s="1"/>
  <c r="F8" i="3"/>
  <c r="F9" i="3" s="1"/>
  <c r="F11" i="3" s="1"/>
  <c r="F13" i="3" s="1"/>
  <c r="Q58" i="3"/>
  <c r="Q59" i="3" s="1"/>
  <c r="Q61" i="3" s="1"/>
  <c r="Q63" i="3" s="1"/>
  <c r="J33" i="3"/>
  <c r="J34" i="3" s="1"/>
  <c r="J36" i="3" s="1"/>
  <c r="J38" i="3" s="1"/>
  <c r="O58" i="3"/>
  <c r="O59" i="3" s="1"/>
  <c r="O61" i="3" s="1"/>
  <c r="O63" i="3" s="1"/>
  <c r="P33" i="3"/>
  <c r="P34" i="3" s="1"/>
  <c r="P36" i="3" s="1"/>
  <c r="P38" i="3" s="1"/>
  <c r="U33" i="3"/>
  <c r="U34" i="3" s="1"/>
  <c r="U36" i="3" s="1"/>
  <c r="U38" i="3" s="1"/>
  <c r="G56" i="3"/>
  <c r="G57" i="3" s="1"/>
  <c r="G228" i="3"/>
  <c r="H228" i="3" s="1"/>
  <c r="H230" i="3" s="1"/>
  <c r="F230" i="3"/>
  <c r="H30" i="3"/>
  <c r="E231" i="3"/>
  <c r="O81" i="3"/>
  <c r="O82" i="3" s="1"/>
  <c r="S33" i="3"/>
  <c r="S34" i="3" s="1"/>
  <c r="S36" i="3" s="1"/>
  <c r="S38" i="3" s="1"/>
  <c r="K33" i="3"/>
  <c r="K34" i="3" s="1"/>
  <c r="K36" i="3" s="1"/>
  <c r="K38" i="3" s="1"/>
  <c r="Q33" i="3"/>
  <c r="Q34" i="3" s="1"/>
  <c r="Q36" i="3" s="1"/>
  <c r="Q38" i="3" s="1"/>
  <c r="F81" i="3"/>
  <c r="F82" i="3" s="1"/>
  <c r="O8" i="3"/>
  <c r="O9" i="3" s="1"/>
  <c r="O11" i="3" s="1"/>
  <c r="O13" i="3" s="1"/>
  <c r="T81" i="3"/>
  <c r="T82" i="3" s="1"/>
  <c r="G31" i="3"/>
  <c r="G32" i="3" s="1"/>
  <c r="I31" i="3"/>
  <c r="I32" i="3" s="1"/>
  <c r="N81" i="3"/>
  <c r="N82" i="3" s="1"/>
  <c r="E81" i="3"/>
  <c r="E82" i="3" s="1"/>
  <c r="J58" i="3"/>
  <c r="J59" i="3" s="1"/>
  <c r="J61" i="3" s="1"/>
  <c r="J63" i="3" s="1"/>
  <c r="O31" i="3"/>
  <c r="O32" i="3" s="1"/>
  <c r="F33" i="3"/>
  <c r="F34" i="3" s="1"/>
  <c r="F36" i="3" s="1"/>
  <c r="F38" i="3" s="1"/>
  <c r="E33" i="3"/>
  <c r="E34" i="3" s="1"/>
  <c r="E36" i="3" s="1"/>
  <c r="E38" i="3" s="1"/>
  <c r="U81" i="3"/>
  <c r="U82" i="3" s="1"/>
  <c r="G6" i="3"/>
  <c r="G7" i="3" s="1"/>
  <c r="K55" i="3"/>
  <c r="V56" i="3"/>
  <c r="V57" i="3" s="1"/>
  <c r="T31" i="3"/>
  <c r="T32" i="3" s="1"/>
  <c r="R81" i="3"/>
  <c r="R82" i="3" s="1"/>
  <c r="J81" i="3"/>
  <c r="J82" i="3" s="1"/>
  <c r="V31" i="3"/>
  <c r="V32" i="3" s="1"/>
  <c r="H5" i="3"/>
  <c r="G84" i="3"/>
  <c r="G86" i="3" s="1"/>
  <c r="G88" i="3" s="1"/>
  <c r="L5" i="3"/>
  <c r="H84" i="3"/>
  <c r="H86" i="3" s="1"/>
  <c r="H88" i="3" s="1"/>
  <c r="I354" i="3"/>
  <c r="G327" i="3"/>
  <c r="G329" i="3" s="1"/>
  <c r="G404" i="3"/>
  <c r="I379" i="3"/>
  <c r="M80" i="3"/>
  <c r="L84" i="3"/>
  <c r="L86" i="3" s="1"/>
  <c r="L88" i="3" s="1"/>
  <c r="H55" i="3"/>
  <c r="O76" i="4" l="1"/>
  <c r="P76" i="4"/>
  <c r="N76" i="4"/>
  <c r="G59" i="17"/>
  <c r="U74" i="4"/>
  <c r="U79" i="4" s="1"/>
  <c r="K59" i="17"/>
  <c r="V74" i="4"/>
  <c r="V79" i="4" s="1"/>
  <c r="I76" i="4"/>
  <c r="F76" i="4"/>
  <c r="S76" i="4"/>
  <c r="S81" i="4" s="1"/>
  <c r="E35" i="12"/>
  <c r="E232" i="3"/>
  <c r="D318" i="3"/>
  <c r="D322" i="3" s="1"/>
  <c r="D317" i="3"/>
  <c r="D321" i="3" s="1"/>
  <c r="Q445" i="3"/>
  <c r="Q449" i="3" s="1"/>
  <c r="Q444" i="3"/>
  <c r="Q448" i="3" s="1"/>
  <c r="P442" i="3"/>
  <c r="P446" i="3" s="1"/>
  <c r="P443" i="3"/>
  <c r="P447" i="3" s="1"/>
  <c r="D393" i="3"/>
  <c r="D397" i="3" s="1"/>
  <c r="D392" i="3"/>
  <c r="D396" i="3" s="1"/>
  <c r="D368" i="3"/>
  <c r="D372" i="3" s="1"/>
  <c r="D367" i="3"/>
  <c r="D371" i="3" s="1"/>
  <c r="Q221" i="3"/>
  <c r="Q225" i="3" s="1"/>
  <c r="Q220" i="3"/>
  <c r="Q224" i="3" s="1"/>
  <c r="P218" i="3"/>
  <c r="P222" i="3" s="1"/>
  <c r="P219" i="3"/>
  <c r="P223" i="3" s="1"/>
  <c r="D144" i="3"/>
  <c r="D148" i="3" s="1"/>
  <c r="D143" i="3"/>
  <c r="D147" i="3" s="1"/>
  <c r="L16" i="17"/>
  <c r="T17" i="14"/>
  <c r="H16" i="14"/>
  <c r="D94" i="3"/>
  <c r="D98" i="3" s="1"/>
  <c r="D93" i="3"/>
  <c r="D97" i="3" s="1"/>
  <c r="H16" i="16"/>
  <c r="L16" i="15"/>
  <c r="D69" i="3"/>
  <c r="D73" i="3" s="1"/>
  <c r="D68" i="3"/>
  <c r="D72" i="3" s="1"/>
  <c r="D18" i="3"/>
  <c r="D22" i="3" s="1"/>
  <c r="B13" i="12"/>
  <c r="U17" i="14"/>
  <c r="T93" i="3"/>
  <c r="T97" i="3" s="1"/>
  <c r="T94" i="3"/>
  <c r="T98" i="3" s="1"/>
  <c r="I94" i="3"/>
  <c r="I98" i="3" s="1"/>
  <c r="I93" i="3"/>
  <c r="I97" i="3" s="1"/>
  <c r="H17" i="14"/>
  <c r="H119" i="3"/>
  <c r="H123" i="3" s="1"/>
  <c r="H118" i="3"/>
  <c r="H122" i="3" s="1"/>
  <c r="O70" i="3"/>
  <c r="O74" i="3" s="1"/>
  <c r="O71" i="3"/>
  <c r="O75" i="3" s="1"/>
  <c r="E16" i="17"/>
  <c r="M16" i="15"/>
  <c r="D17" i="17"/>
  <c r="U118" i="3"/>
  <c r="U122" i="3" s="1"/>
  <c r="U119" i="3"/>
  <c r="U123" i="3" s="1"/>
  <c r="I118" i="3"/>
  <c r="I122" i="3" s="1"/>
  <c r="I119" i="3"/>
  <c r="I123" i="3" s="1"/>
  <c r="T118" i="3"/>
  <c r="T122" i="3" s="1"/>
  <c r="T119" i="3"/>
  <c r="T123" i="3" s="1"/>
  <c r="R46" i="3"/>
  <c r="R45" i="3"/>
  <c r="I16" i="17"/>
  <c r="J46" i="3"/>
  <c r="J45" i="3"/>
  <c r="E16" i="12"/>
  <c r="D17" i="13"/>
  <c r="K119" i="3"/>
  <c r="K123" i="3" s="1"/>
  <c r="K118" i="3"/>
  <c r="K122" i="3" s="1"/>
  <c r="S118" i="3"/>
  <c r="S122" i="3" s="1"/>
  <c r="S119" i="3"/>
  <c r="S123" i="3" s="1"/>
  <c r="R119" i="3"/>
  <c r="R123" i="3" s="1"/>
  <c r="R118" i="3"/>
  <c r="R122" i="3" s="1"/>
  <c r="V119" i="3"/>
  <c r="V123" i="3" s="1"/>
  <c r="V118" i="3"/>
  <c r="V122" i="3" s="1"/>
  <c r="K46" i="3"/>
  <c r="K45" i="3"/>
  <c r="Q70" i="3"/>
  <c r="Q74" i="3" s="1"/>
  <c r="Q71" i="3"/>
  <c r="Q75" i="3" s="1"/>
  <c r="C13" i="15"/>
  <c r="Q17" i="15"/>
  <c r="D16" i="17"/>
  <c r="D16" i="16"/>
  <c r="D17" i="15"/>
  <c r="N93" i="3"/>
  <c r="N97" i="3" s="1"/>
  <c r="N94" i="3"/>
  <c r="N98" i="3" s="1"/>
  <c r="Q118" i="3"/>
  <c r="Q122" i="3" s="1"/>
  <c r="Q119" i="3"/>
  <c r="Q123" i="3" s="1"/>
  <c r="U45" i="3"/>
  <c r="U46" i="3"/>
  <c r="F93" i="3"/>
  <c r="F97" i="3" s="1"/>
  <c r="F94" i="3"/>
  <c r="F98" i="3" s="1"/>
  <c r="P45" i="3"/>
  <c r="P46" i="3"/>
  <c r="H95" i="3"/>
  <c r="H99" i="3" s="1"/>
  <c r="H96" i="3"/>
  <c r="H100" i="3" s="1"/>
  <c r="I13" i="13"/>
  <c r="D16" i="14"/>
  <c r="S93" i="3"/>
  <c r="S97" i="3" s="1"/>
  <c r="S94" i="3"/>
  <c r="S98" i="3" s="1"/>
  <c r="P119" i="3"/>
  <c r="P123" i="3" s="1"/>
  <c r="P118" i="3"/>
  <c r="P122" i="3" s="1"/>
  <c r="N45" i="3"/>
  <c r="N46" i="3"/>
  <c r="I16" i="13"/>
  <c r="E96" i="3"/>
  <c r="E100" i="3" s="1"/>
  <c r="E95" i="3"/>
  <c r="E99" i="3" s="1"/>
  <c r="E17" i="14"/>
  <c r="N118" i="3"/>
  <c r="N122" i="3" s="1"/>
  <c r="N119" i="3"/>
  <c r="N123" i="3" s="1"/>
  <c r="Q93" i="3"/>
  <c r="Q97" i="3" s="1"/>
  <c r="Q94" i="3"/>
  <c r="Q98" i="3" s="1"/>
  <c r="J118" i="3"/>
  <c r="J122" i="3" s="1"/>
  <c r="J119" i="3"/>
  <c r="J123" i="3" s="1"/>
  <c r="S70" i="3"/>
  <c r="S74" i="3" s="1"/>
  <c r="S71" i="3"/>
  <c r="S75" i="3" s="1"/>
  <c r="J71" i="3"/>
  <c r="J75" i="3" s="1"/>
  <c r="J70" i="3"/>
  <c r="J74" i="3" s="1"/>
  <c r="Q16" i="15"/>
  <c r="Q17" i="14"/>
  <c r="E17" i="17"/>
  <c r="I17" i="15"/>
  <c r="P93" i="3"/>
  <c r="P97" i="3" s="1"/>
  <c r="P94" i="3"/>
  <c r="P98" i="3" s="1"/>
  <c r="R93" i="3"/>
  <c r="R97" i="3" s="1"/>
  <c r="R94" i="3"/>
  <c r="R98" i="3" s="1"/>
  <c r="G95" i="3"/>
  <c r="G99" i="3" s="1"/>
  <c r="G96" i="3"/>
  <c r="G100" i="3" s="1"/>
  <c r="S46" i="3"/>
  <c r="S45" i="3"/>
  <c r="W96" i="3"/>
  <c r="W100" i="3" s="1"/>
  <c r="W95" i="3"/>
  <c r="W99" i="3" s="1"/>
  <c r="F119" i="3"/>
  <c r="F123" i="3" s="1"/>
  <c r="F118" i="3"/>
  <c r="F122" i="3" s="1"/>
  <c r="F71" i="3"/>
  <c r="F75" i="3" s="1"/>
  <c r="F70" i="3"/>
  <c r="F74" i="3" s="1"/>
  <c r="E16" i="14"/>
  <c r="P17" i="13"/>
  <c r="K94" i="3"/>
  <c r="K98" i="3" s="1"/>
  <c r="K93" i="3"/>
  <c r="K97" i="3" s="1"/>
  <c r="J93" i="3"/>
  <c r="J97" i="3" s="1"/>
  <c r="J94" i="3"/>
  <c r="J98" i="3" s="1"/>
  <c r="E118" i="3"/>
  <c r="E122" i="3" s="1"/>
  <c r="E119" i="3"/>
  <c r="E123" i="3" s="1"/>
  <c r="Q45" i="3"/>
  <c r="Q46" i="3"/>
  <c r="F45" i="3"/>
  <c r="F49" i="3" s="1"/>
  <c r="F46" i="3"/>
  <c r="F50" i="3" s="1"/>
  <c r="L96" i="3"/>
  <c r="L100" i="3" s="1"/>
  <c r="L95" i="3"/>
  <c r="L99" i="3" s="1"/>
  <c r="L46" i="3"/>
  <c r="L45" i="3"/>
  <c r="D17" i="14"/>
  <c r="L118" i="3"/>
  <c r="L122" i="3" s="1"/>
  <c r="L119" i="3"/>
  <c r="L123" i="3" s="1"/>
  <c r="M119" i="3"/>
  <c r="M123" i="3" s="1"/>
  <c r="O118" i="3"/>
  <c r="O122" i="3" s="1"/>
  <c r="O119" i="3"/>
  <c r="O123" i="3" s="1"/>
  <c r="U93" i="3"/>
  <c r="U97" i="3" s="1"/>
  <c r="U94" i="3"/>
  <c r="U98" i="3" s="1"/>
  <c r="O93" i="3"/>
  <c r="O97" i="3" s="1"/>
  <c r="O94" i="3"/>
  <c r="O98" i="3" s="1"/>
  <c r="V93" i="3"/>
  <c r="V97" i="3" s="1"/>
  <c r="V94" i="3"/>
  <c r="V98" i="3" s="1"/>
  <c r="M18" i="14"/>
  <c r="C18" i="13"/>
  <c r="N20" i="3"/>
  <c r="N24" i="3" s="1"/>
  <c r="M129" i="4"/>
  <c r="M134" i="4" s="1"/>
  <c r="P75" i="4"/>
  <c r="N75" i="4"/>
  <c r="F75" i="4"/>
  <c r="O75" i="4"/>
  <c r="I75" i="4"/>
  <c r="I80" i="4" s="1"/>
  <c r="S75" i="4"/>
  <c r="K18" i="4"/>
  <c r="K23" i="4" s="1"/>
  <c r="B18" i="13"/>
  <c r="T145" i="3"/>
  <c r="T149" i="3" s="1"/>
  <c r="T144" i="3"/>
  <c r="T148" i="3" s="1"/>
  <c r="O18" i="15"/>
  <c r="F269" i="3"/>
  <c r="F273" i="3" s="1"/>
  <c r="F270" i="3"/>
  <c r="F274" i="3" s="1"/>
  <c r="C18" i="12"/>
  <c r="U144" i="3"/>
  <c r="U148" i="3" s="1"/>
  <c r="K17" i="14"/>
  <c r="Q146" i="3"/>
  <c r="Q150" i="3" s="1"/>
  <c r="I18" i="15"/>
  <c r="D18" i="17"/>
  <c r="G17" i="13"/>
  <c r="G18" i="17"/>
  <c r="H17" i="15"/>
  <c r="K18" i="17"/>
  <c r="V145" i="3"/>
  <c r="V149" i="3" s="1"/>
  <c r="J18" i="17"/>
  <c r="L18" i="17"/>
  <c r="G18" i="16"/>
  <c r="H144" i="3"/>
  <c r="H148" i="3" s="1"/>
  <c r="O18" i="13"/>
  <c r="H18" i="16"/>
  <c r="S17" i="14"/>
  <c r="F18" i="16"/>
  <c r="E13" i="15"/>
  <c r="I18" i="16"/>
  <c r="F144" i="3"/>
  <c r="F148" i="3" s="1"/>
  <c r="C18" i="17"/>
  <c r="C17" i="13"/>
  <c r="H143" i="3"/>
  <c r="H147" i="3" s="1"/>
  <c r="N18" i="13"/>
  <c r="R145" i="3"/>
  <c r="R149" i="3" s="1"/>
  <c r="F18" i="14"/>
  <c r="F18" i="13"/>
  <c r="C17" i="17"/>
  <c r="J144" i="3"/>
  <c r="J148" i="3" s="1"/>
  <c r="C17" i="15"/>
  <c r="D15" i="12"/>
  <c r="K17" i="17"/>
  <c r="G17" i="17"/>
  <c r="F17" i="14"/>
  <c r="O17" i="14"/>
  <c r="O17" i="13"/>
  <c r="C17" i="14"/>
  <c r="P144" i="3"/>
  <c r="P148" i="3" s="1"/>
  <c r="E18" i="13"/>
  <c r="H18" i="15"/>
  <c r="E145" i="3"/>
  <c r="E149" i="3" s="1"/>
  <c r="U18" i="14"/>
  <c r="L18" i="15"/>
  <c r="P143" i="3"/>
  <c r="P147" i="3" s="1"/>
  <c r="K144" i="3"/>
  <c r="K148" i="3" s="1"/>
  <c r="P16" i="14"/>
  <c r="M144" i="3"/>
  <c r="M148" i="3" s="1"/>
  <c r="E16" i="13"/>
  <c r="D16" i="13"/>
  <c r="H18" i="14"/>
  <c r="K18" i="14"/>
  <c r="N18" i="15"/>
  <c r="D18" i="16"/>
  <c r="K18" i="15"/>
  <c r="D34" i="12"/>
  <c r="P15" i="15"/>
  <c r="Q15" i="15"/>
  <c r="H15" i="14"/>
  <c r="I15" i="14"/>
  <c r="E15" i="12"/>
  <c r="C17" i="16"/>
  <c r="C15" i="12"/>
  <c r="C34" i="12"/>
  <c r="G17" i="16"/>
  <c r="I18" i="13"/>
  <c r="K17" i="15"/>
  <c r="E18" i="12"/>
  <c r="H15" i="13"/>
  <c r="L18" i="14"/>
  <c r="E28" i="12"/>
  <c r="E19" i="3"/>
  <c r="E23" i="3" s="1"/>
  <c r="R144" i="3"/>
  <c r="R148" i="3" s="1"/>
  <c r="E20" i="3"/>
  <c r="E24" i="3" s="1"/>
  <c r="C18" i="16"/>
  <c r="M18" i="15"/>
  <c r="P18" i="15"/>
  <c r="T18" i="14"/>
  <c r="C13" i="13"/>
  <c r="C16" i="12"/>
  <c r="D16" i="12"/>
  <c r="C31" i="12"/>
  <c r="C35" i="12"/>
  <c r="Q18" i="13"/>
  <c r="D35" i="12"/>
  <c r="H18" i="17"/>
  <c r="G17" i="15"/>
  <c r="B16" i="12"/>
  <c r="C28" i="12"/>
  <c r="D31" i="12"/>
  <c r="I18" i="17"/>
  <c r="O17" i="15"/>
  <c r="I18" i="14"/>
  <c r="E362" i="3"/>
  <c r="G18" i="15"/>
  <c r="E312" i="3"/>
  <c r="J20" i="3"/>
  <c r="J24" i="3" s="1"/>
  <c r="E31" i="12"/>
  <c r="D18" i="12"/>
  <c r="P14" i="14"/>
  <c r="Q14" i="14"/>
  <c r="P18" i="13"/>
  <c r="H18" i="13"/>
  <c r="O144" i="3"/>
  <c r="O148" i="3" s="1"/>
  <c r="E412" i="3"/>
  <c r="E337" i="3"/>
  <c r="J85" i="17"/>
  <c r="V403" i="4"/>
  <c r="V408" i="4" s="1"/>
  <c r="V405" i="4"/>
  <c r="V410" i="4" s="1"/>
  <c r="L85" i="17"/>
  <c r="B73" i="12"/>
  <c r="E84" i="17"/>
  <c r="T378" i="4"/>
  <c r="T383" i="4" s="1"/>
  <c r="T375" i="4"/>
  <c r="T380" i="4" s="1"/>
  <c r="B84" i="17"/>
  <c r="T376" i="4"/>
  <c r="T381" i="4" s="1"/>
  <c r="C84" i="17"/>
  <c r="V404" i="4"/>
  <c r="V409" i="4" s="1"/>
  <c r="K85" i="17"/>
  <c r="V406" i="4"/>
  <c r="V411" i="4" s="1"/>
  <c r="M85" i="17"/>
  <c r="T377" i="4"/>
  <c r="T382" i="4" s="1"/>
  <c r="D84" i="17"/>
  <c r="B18" i="16"/>
  <c r="R143" i="3"/>
  <c r="R147" i="3" s="1"/>
  <c r="N18" i="14"/>
  <c r="L143" i="3"/>
  <c r="L147" i="3" s="1"/>
  <c r="J13" i="17"/>
  <c r="V18" i="3"/>
  <c r="V22" i="3" s="1"/>
  <c r="B17" i="14"/>
  <c r="F18" i="15"/>
  <c r="O143" i="3"/>
  <c r="O147" i="3" s="1"/>
  <c r="B17" i="12"/>
  <c r="J17" i="17"/>
  <c r="E18" i="3"/>
  <c r="E22" i="3" s="1"/>
  <c r="B13" i="13"/>
  <c r="J15" i="15"/>
  <c r="B15" i="16"/>
  <c r="F17" i="17"/>
  <c r="B17" i="13"/>
  <c r="B18" i="17"/>
  <c r="T143" i="3"/>
  <c r="T147" i="3" s="1"/>
  <c r="F17" i="15"/>
  <c r="J18" i="14"/>
  <c r="K143" i="3"/>
  <c r="K147" i="3" s="1"/>
  <c r="G33" i="3"/>
  <c r="G34" i="3" s="1"/>
  <c r="G36" i="3" s="1"/>
  <c r="G38" i="3" s="1"/>
  <c r="B17" i="16"/>
  <c r="F18" i="17"/>
  <c r="U143" i="3"/>
  <c r="U147" i="3" s="1"/>
  <c r="B18" i="12"/>
  <c r="N17" i="15"/>
  <c r="U297" i="4"/>
  <c r="U302" i="4" s="1"/>
  <c r="H73" i="17"/>
  <c r="U298" i="4"/>
  <c r="U303" i="4" s="1"/>
  <c r="I73" i="17"/>
  <c r="F73" i="17"/>
  <c r="U295" i="4"/>
  <c r="U300" i="4" s="1"/>
  <c r="U296" i="4"/>
  <c r="U301" i="4" s="1"/>
  <c r="G73" i="17"/>
  <c r="T298" i="4"/>
  <c r="T303" i="4" s="1"/>
  <c r="E73" i="17"/>
  <c r="T297" i="4"/>
  <c r="T302" i="4" s="1"/>
  <c r="D73" i="17"/>
  <c r="T295" i="4"/>
  <c r="T300" i="4" s="1"/>
  <c r="B73" i="17"/>
  <c r="T296" i="4"/>
  <c r="T301" i="4" s="1"/>
  <c r="C73" i="17"/>
  <c r="H71" i="17"/>
  <c r="U269" i="4"/>
  <c r="U274" i="4" s="1"/>
  <c r="U270" i="4"/>
  <c r="U275" i="4" s="1"/>
  <c r="I71" i="17"/>
  <c r="V267" i="4"/>
  <c r="V272" i="4" s="1"/>
  <c r="J71" i="17"/>
  <c r="T267" i="4"/>
  <c r="T272" i="4" s="1"/>
  <c r="B71" i="17"/>
  <c r="V242" i="4"/>
  <c r="V247" i="4" s="1"/>
  <c r="M70" i="17"/>
  <c r="J70" i="17"/>
  <c r="V239" i="4"/>
  <c r="V244" i="4" s="1"/>
  <c r="V240" i="4"/>
  <c r="V245" i="4" s="1"/>
  <c r="K70" i="17"/>
  <c r="V241" i="4"/>
  <c r="V246" i="4" s="1"/>
  <c r="L70" i="17"/>
  <c r="U242" i="4"/>
  <c r="U247" i="4" s="1"/>
  <c r="I70" i="17"/>
  <c r="U239" i="4"/>
  <c r="U244" i="4" s="1"/>
  <c r="F70" i="17"/>
  <c r="U240" i="4"/>
  <c r="U245" i="4" s="1"/>
  <c r="G70" i="17"/>
  <c r="U241" i="4"/>
  <c r="U246" i="4" s="1"/>
  <c r="H70" i="17"/>
  <c r="U122" i="4"/>
  <c r="V122" i="4"/>
  <c r="T131" i="4"/>
  <c r="T136" i="4" s="1"/>
  <c r="D62" i="17"/>
  <c r="T132" i="4"/>
  <c r="T137" i="4" s="1"/>
  <c r="E62" i="17"/>
  <c r="T130" i="4"/>
  <c r="T135" i="4" s="1"/>
  <c r="C62" i="17"/>
  <c r="U81" i="4"/>
  <c r="I59" i="17"/>
  <c r="L59" i="17"/>
  <c r="V80" i="4"/>
  <c r="H59" i="17"/>
  <c r="U80" i="4"/>
  <c r="V81" i="4"/>
  <c r="M59" i="17"/>
  <c r="T80" i="4"/>
  <c r="D59" i="17"/>
  <c r="T79" i="4"/>
  <c r="C59" i="17"/>
  <c r="T81" i="4"/>
  <c r="E59" i="17"/>
  <c r="G58" i="17"/>
  <c r="U47" i="4"/>
  <c r="U52" i="4" s="1"/>
  <c r="H58" i="17"/>
  <c r="U48" i="4"/>
  <c r="U53" i="4" s="1"/>
  <c r="M58" i="17"/>
  <c r="V49" i="4"/>
  <c r="V54" i="4" s="1"/>
  <c r="L58" i="17"/>
  <c r="V48" i="4"/>
  <c r="V53" i="4" s="1"/>
  <c r="J58" i="17"/>
  <c r="V46" i="4"/>
  <c r="V51" i="4" s="1"/>
  <c r="I58" i="17"/>
  <c r="U49" i="4"/>
  <c r="U54" i="4" s="1"/>
  <c r="V47" i="4"/>
  <c r="V52" i="4" s="1"/>
  <c r="K58" i="17"/>
  <c r="F58" i="17"/>
  <c r="U46" i="4"/>
  <c r="U51" i="4" s="1"/>
  <c r="V21" i="4"/>
  <c r="V26" i="4" s="1"/>
  <c r="M57" i="17"/>
  <c r="V19" i="4"/>
  <c r="V24" i="4" s="1"/>
  <c r="K57" i="17"/>
  <c r="U21" i="4"/>
  <c r="U26" i="4" s="1"/>
  <c r="I57" i="17"/>
  <c r="U19" i="4"/>
  <c r="U24" i="4" s="1"/>
  <c r="G57" i="17"/>
  <c r="U20" i="4"/>
  <c r="U25" i="4" s="1"/>
  <c r="H57" i="17"/>
  <c r="V20" i="4"/>
  <c r="V25" i="4" s="1"/>
  <c r="L57" i="17"/>
  <c r="T19" i="4"/>
  <c r="T24" i="4" s="1"/>
  <c r="C57" i="17"/>
  <c r="T20" i="4"/>
  <c r="T25" i="4" s="1"/>
  <c r="D57" i="17"/>
  <c r="E57" i="17"/>
  <c r="T21" i="4"/>
  <c r="T26" i="4" s="1"/>
  <c r="G406" i="4"/>
  <c r="G411" i="4" s="1"/>
  <c r="M85" i="13"/>
  <c r="G404" i="4"/>
  <c r="G409" i="4" s="1"/>
  <c r="K85" i="13"/>
  <c r="G403" i="4"/>
  <c r="G408" i="4" s="1"/>
  <c r="J85" i="13"/>
  <c r="Q404" i="4"/>
  <c r="Q409" i="4" s="1"/>
  <c r="O85" i="15"/>
  <c r="Q405" i="4"/>
  <c r="Q410" i="4" s="1"/>
  <c r="P85" i="15"/>
  <c r="Q403" i="4"/>
  <c r="Q408" i="4" s="1"/>
  <c r="N85" i="15"/>
  <c r="G405" i="4"/>
  <c r="G410" i="4" s="1"/>
  <c r="L85" i="13"/>
  <c r="Q406" i="4"/>
  <c r="Q411" i="4" s="1"/>
  <c r="Q85" i="15"/>
  <c r="N64" i="14"/>
  <c r="L184" i="4"/>
  <c r="L189" i="4" s="1"/>
  <c r="L185" i="4"/>
  <c r="L190" i="4" s="1"/>
  <c r="O64" i="14"/>
  <c r="L186" i="4"/>
  <c r="L191" i="4" s="1"/>
  <c r="P64" i="14"/>
  <c r="Q184" i="4"/>
  <c r="Q189" i="4" s="1"/>
  <c r="N64" i="15"/>
  <c r="O64" i="15"/>
  <c r="Q185" i="4"/>
  <c r="Q190" i="4" s="1"/>
  <c r="I187" i="4"/>
  <c r="I192" i="4" s="1"/>
  <c r="E64" i="14"/>
  <c r="P64" i="15"/>
  <c r="Q186" i="4"/>
  <c r="Q191" i="4" s="1"/>
  <c r="I184" i="4"/>
  <c r="I189" i="4" s="1"/>
  <c r="B64" i="14"/>
  <c r="C64" i="14"/>
  <c r="I185" i="4"/>
  <c r="I190" i="4" s="1"/>
  <c r="Q187" i="4"/>
  <c r="Q192" i="4" s="1"/>
  <c r="Q64" i="15"/>
  <c r="L187" i="4"/>
  <c r="L192" i="4" s="1"/>
  <c r="Q64" i="14"/>
  <c r="D64" i="14"/>
  <c r="I186" i="4"/>
  <c r="I191" i="4" s="1"/>
  <c r="J158" i="4"/>
  <c r="J163" i="4" s="1"/>
  <c r="G63" i="14"/>
  <c r="J157" i="4"/>
  <c r="J162" i="4" s="1"/>
  <c r="F63" i="14"/>
  <c r="L159" i="4"/>
  <c r="L164" i="4" s="1"/>
  <c r="P63" i="14"/>
  <c r="H63" i="14"/>
  <c r="L157" i="4"/>
  <c r="L162" i="4" s="1"/>
  <c r="N63" i="14"/>
  <c r="Q63" i="14"/>
  <c r="L160" i="4"/>
  <c r="L165" i="4" s="1"/>
  <c r="O159" i="4"/>
  <c r="O164" i="4" s="1"/>
  <c r="H63" i="15"/>
  <c r="O63" i="14"/>
  <c r="L158" i="4"/>
  <c r="L163" i="4" s="1"/>
  <c r="G63" i="15"/>
  <c r="O158" i="4"/>
  <c r="O163" i="4" s="1"/>
  <c r="O160" i="4"/>
  <c r="O165" i="4" s="1"/>
  <c r="I63" i="15"/>
  <c r="J160" i="4"/>
  <c r="J165" i="4" s="1"/>
  <c r="I63" i="14"/>
  <c r="O157" i="4"/>
  <c r="O162" i="4" s="1"/>
  <c r="F63" i="15"/>
  <c r="B15" i="12"/>
  <c r="V515" i="4"/>
  <c r="V520" i="4" s="1"/>
  <c r="K79" i="17"/>
  <c r="V514" i="4"/>
  <c r="V519" i="4" s="1"/>
  <c r="J79" i="17"/>
  <c r="U514" i="4"/>
  <c r="U519" i="4" s="1"/>
  <c r="F79" i="17"/>
  <c r="T514" i="4"/>
  <c r="T519" i="4" s="1"/>
  <c r="B79" i="17"/>
  <c r="V432" i="4"/>
  <c r="V437" i="4" s="1"/>
  <c r="K76" i="17"/>
  <c r="V433" i="4"/>
  <c r="V438" i="4" s="1"/>
  <c r="L76" i="17"/>
  <c r="U432" i="4"/>
  <c r="U437" i="4" s="1"/>
  <c r="G76" i="17"/>
  <c r="V434" i="4"/>
  <c r="V439" i="4" s="1"/>
  <c r="M76" i="17"/>
  <c r="U433" i="4"/>
  <c r="U438" i="4" s="1"/>
  <c r="H76" i="17"/>
  <c r="U434" i="4"/>
  <c r="U439" i="4" s="1"/>
  <c r="I76" i="17"/>
  <c r="T432" i="4"/>
  <c r="T437" i="4" s="1"/>
  <c r="C76" i="17"/>
  <c r="T433" i="4"/>
  <c r="T438" i="4" s="1"/>
  <c r="D76" i="17"/>
  <c r="E76" i="17"/>
  <c r="T434" i="4"/>
  <c r="T439" i="4" s="1"/>
  <c r="G487" i="4"/>
  <c r="G492" i="4" s="1"/>
  <c r="K78" i="13"/>
  <c r="E487" i="4"/>
  <c r="E492" i="4" s="1"/>
  <c r="C78" i="13"/>
  <c r="J488" i="4"/>
  <c r="J493" i="4" s="1"/>
  <c r="H78" i="14"/>
  <c r="S486" i="4"/>
  <c r="S491" i="4" s="1"/>
  <c r="F78" i="16"/>
  <c r="K78" i="14"/>
  <c r="K487" i="4"/>
  <c r="K492" i="4" s="1"/>
  <c r="G489" i="4"/>
  <c r="G494" i="4" s="1"/>
  <c r="M78" i="13"/>
  <c r="E488" i="4"/>
  <c r="E493" i="4" s="1"/>
  <c r="D78" i="13"/>
  <c r="J486" i="4"/>
  <c r="J491" i="4" s="1"/>
  <c r="F78" i="14"/>
  <c r="S489" i="4"/>
  <c r="S494" i="4" s="1"/>
  <c r="I78" i="16"/>
  <c r="K488" i="4"/>
  <c r="K493" i="4" s="1"/>
  <c r="L78" i="14"/>
  <c r="E78" i="13"/>
  <c r="E489" i="4"/>
  <c r="E494" i="4" s="1"/>
  <c r="M486" i="4"/>
  <c r="M491" i="4" s="1"/>
  <c r="R78" i="14"/>
  <c r="J489" i="4"/>
  <c r="J494" i="4" s="1"/>
  <c r="I78" i="14"/>
  <c r="K486" i="4"/>
  <c r="K491" i="4" s="1"/>
  <c r="J78" i="14"/>
  <c r="F489" i="4"/>
  <c r="F494" i="4" s="1"/>
  <c r="I78" i="13"/>
  <c r="M487" i="4"/>
  <c r="M492" i="4" s="1"/>
  <c r="S78" i="14"/>
  <c r="N486" i="4"/>
  <c r="N491" i="4" s="1"/>
  <c r="K489" i="4"/>
  <c r="K494" i="4" s="1"/>
  <c r="M78" i="14"/>
  <c r="S488" i="4"/>
  <c r="S493" i="4" s="1"/>
  <c r="H78" i="16"/>
  <c r="F486" i="4"/>
  <c r="F491" i="4" s="1"/>
  <c r="F78" i="13"/>
  <c r="U78" i="14"/>
  <c r="M489" i="4"/>
  <c r="M494" i="4" s="1"/>
  <c r="N489" i="4"/>
  <c r="N494" i="4" s="1"/>
  <c r="E78" i="15"/>
  <c r="F487" i="4"/>
  <c r="F492" i="4" s="1"/>
  <c r="G78" i="13"/>
  <c r="M488" i="4"/>
  <c r="M493" i="4" s="1"/>
  <c r="T78" i="14"/>
  <c r="N487" i="4"/>
  <c r="N492" i="4" s="1"/>
  <c r="C78" i="15"/>
  <c r="G488" i="4"/>
  <c r="G493" i="4" s="1"/>
  <c r="L78" i="13"/>
  <c r="J487" i="4"/>
  <c r="J492" i="4" s="1"/>
  <c r="G78" i="14"/>
  <c r="E486" i="4"/>
  <c r="E491" i="4" s="1"/>
  <c r="B78" i="13"/>
  <c r="F488" i="4"/>
  <c r="F493" i="4" s="1"/>
  <c r="H78" i="13"/>
  <c r="S487" i="4"/>
  <c r="S492" i="4" s="1"/>
  <c r="G78" i="16"/>
  <c r="N488" i="4"/>
  <c r="N493" i="4" s="1"/>
  <c r="D78" i="15"/>
  <c r="G486" i="4"/>
  <c r="G491" i="4" s="1"/>
  <c r="J78" i="13"/>
  <c r="M378" i="4"/>
  <c r="M383" i="4" s="1"/>
  <c r="U84" i="14"/>
  <c r="R84" i="14"/>
  <c r="M375" i="4"/>
  <c r="M380" i="4" s="1"/>
  <c r="H84" i="15"/>
  <c r="O377" i="4"/>
  <c r="O382" i="4" s="1"/>
  <c r="M376" i="4"/>
  <c r="M381" i="4" s="1"/>
  <c r="S84" i="14"/>
  <c r="O375" i="4"/>
  <c r="O380" i="4" s="1"/>
  <c r="F84" i="15"/>
  <c r="O378" i="4"/>
  <c r="O383" i="4" s="1"/>
  <c r="I84" i="15"/>
  <c r="L84" i="15"/>
  <c r="P377" i="4"/>
  <c r="P382" i="4" s="1"/>
  <c r="O376" i="4"/>
  <c r="O381" i="4" s="1"/>
  <c r="G84" i="15"/>
  <c r="P375" i="4"/>
  <c r="P380" i="4" s="1"/>
  <c r="J84" i="15"/>
  <c r="P376" i="4"/>
  <c r="P381" i="4" s="1"/>
  <c r="K84" i="15"/>
  <c r="M377" i="4"/>
  <c r="M382" i="4" s="1"/>
  <c r="T84" i="14"/>
  <c r="P378" i="4"/>
  <c r="P383" i="4" s="1"/>
  <c r="M84" i="15"/>
  <c r="I297" i="4"/>
  <c r="I302" i="4" s="1"/>
  <c r="D73" i="14"/>
  <c r="Q73" i="14"/>
  <c r="L298" i="4"/>
  <c r="L303" i="4" s="1"/>
  <c r="L297" i="4"/>
  <c r="L302" i="4" s="1"/>
  <c r="P73" i="14"/>
  <c r="L73" i="13"/>
  <c r="G297" i="4"/>
  <c r="G302" i="4" s="1"/>
  <c r="L296" i="4"/>
  <c r="L301" i="4" s="1"/>
  <c r="O73" i="14"/>
  <c r="G298" i="4"/>
  <c r="G303" i="4" s="1"/>
  <c r="M73" i="13"/>
  <c r="G296" i="4"/>
  <c r="G301" i="4" s="1"/>
  <c r="K73" i="13"/>
  <c r="K297" i="4"/>
  <c r="K302" i="4" s="1"/>
  <c r="L73" i="14"/>
  <c r="I295" i="4"/>
  <c r="I300" i="4" s="1"/>
  <c r="B73" i="14"/>
  <c r="G295" i="4"/>
  <c r="G300" i="4" s="1"/>
  <c r="J73" i="13"/>
  <c r="K295" i="4"/>
  <c r="K300" i="4" s="1"/>
  <c r="J73" i="14"/>
  <c r="I296" i="4"/>
  <c r="I301" i="4" s="1"/>
  <c r="C73" i="14"/>
  <c r="K298" i="4"/>
  <c r="K303" i="4" s="1"/>
  <c r="M73" i="14"/>
  <c r="E73" i="14"/>
  <c r="I298" i="4"/>
  <c r="I303" i="4" s="1"/>
  <c r="L295" i="4"/>
  <c r="L300" i="4" s="1"/>
  <c r="N73" i="14"/>
  <c r="K296" i="4"/>
  <c r="K301" i="4" s="1"/>
  <c r="K73" i="14"/>
  <c r="E73" i="12"/>
  <c r="D298" i="4"/>
  <c r="D303" i="4" s="1"/>
  <c r="C73" i="12"/>
  <c r="D296" i="4"/>
  <c r="D301" i="4" s="1"/>
  <c r="D73" i="12"/>
  <c r="D297" i="4"/>
  <c r="D302" i="4" s="1"/>
  <c r="M241" i="4"/>
  <c r="M246" i="4" s="1"/>
  <c r="T70" i="14"/>
  <c r="G242" i="4"/>
  <c r="G247" i="4" s="1"/>
  <c r="M70" i="13"/>
  <c r="H70" i="15"/>
  <c r="O241" i="4"/>
  <c r="O246" i="4" s="1"/>
  <c r="R70" i="14"/>
  <c r="M239" i="4"/>
  <c r="M244" i="4" s="1"/>
  <c r="O239" i="4"/>
  <c r="O244" i="4" s="1"/>
  <c r="F70" i="15"/>
  <c r="M240" i="4"/>
  <c r="M245" i="4" s="1"/>
  <c r="S70" i="14"/>
  <c r="I240" i="4"/>
  <c r="I245" i="4" s="1"/>
  <c r="C70" i="14"/>
  <c r="I239" i="4"/>
  <c r="I244" i="4" s="1"/>
  <c r="B70" i="14"/>
  <c r="N241" i="4"/>
  <c r="N246" i="4" s="1"/>
  <c r="D70" i="15"/>
  <c r="O242" i="4"/>
  <c r="O247" i="4" s="1"/>
  <c r="I70" i="15"/>
  <c r="G240" i="4"/>
  <c r="G245" i="4" s="1"/>
  <c r="K70" i="13"/>
  <c r="I241" i="4"/>
  <c r="I246" i="4" s="1"/>
  <c r="D70" i="14"/>
  <c r="N240" i="4"/>
  <c r="N245" i="4" s="1"/>
  <c r="C70" i="15"/>
  <c r="I242" i="4"/>
  <c r="I247" i="4" s="1"/>
  <c r="E70" i="14"/>
  <c r="L70" i="13"/>
  <c r="G241" i="4"/>
  <c r="G246" i="4" s="1"/>
  <c r="N239" i="4"/>
  <c r="N244" i="4" s="1"/>
  <c r="U70" i="14"/>
  <c r="M242" i="4"/>
  <c r="M247" i="4" s="1"/>
  <c r="G239" i="4"/>
  <c r="G244" i="4" s="1"/>
  <c r="J70" i="13"/>
  <c r="O240" i="4"/>
  <c r="O245" i="4" s="1"/>
  <c r="G70" i="15"/>
  <c r="N242" i="4"/>
  <c r="N247" i="4" s="1"/>
  <c r="E70" i="15"/>
  <c r="B70" i="12"/>
  <c r="D239" i="4"/>
  <c r="D244" i="4" s="1"/>
  <c r="C70" i="12"/>
  <c r="D240" i="4"/>
  <c r="D245" i="4" s="1"/>
  <c r="D70" i="12"/>
  <c r="D241" i="4"/>
  <c r="D246" i="4" s="1"/>
  <c r="E70" i="12"/>
  <c r="D242" i="4"/>
  <c r="D247" i="4" s="1"/>
  <c r="R129" i="4"/>
  <c r="R134" i="4" s="1"/>
  <c r="B62" i="16"/>
  <c r="K122" i="4"/>
  <c r="L122" i="4"/>
  <c r="F62" i="15"/>
  <c r="F129" i="4"/>
  <c r="F134" i="4" s="1"/>
  <c r="I129" i="4"/>
  <c r="I134" i="4" s="1"/>
  <c r="J122" i="4"/>
  <c r="J62" i="15"/>
  <c r="N129" i="4"/>
  <c r="N134" i="4" s="1"/>
  <c r="S122" i="4"/>
  <c r="E129" i="4"/>
  <c r="E134" i="4" s="1"/>
  <c r="B62" i="13"/>
  <c r="Q129" i="4"/>
  <c r="Q134" i="4" s="1"/>
  <c r="N62" i="15"/>
  <c r="J62" i="13"/>
  <c r="F104" i="4"/>
  <c r="F109" i="4" s="1"/>
  <c r="I61" i="13"/>
  <c r="M94" i="4"/>
  <c r="P61" i="13"/>
  <c r="H103" i="4"/>
  <c r="H108" i="4" s="1"/>
  <c r="F103" i="4"/>
  <c r="F108" i="4" s="1"/>
  <c r="H61" i="13"/>
  <c r="H102" i="4"/>
  <c r="H107" i="4" s="1"/>
  <c r="O61" i="13"/>
  <c r="K94" i="4"/>
  <c r="H101" i="4"/>
  <c r="H106" i="4" s="1"/>
  <c r="N61" i="13"/>
  <c r="G61" i="16"/>
  <c r="S102" i="4"/>
  <c r="S107" i="4" s="1"/>
  <c r="L94" i="4"/>
  <c r="G94" i="4"/>
  <c r="I103" i="4"/>
  <c r="I108" i="4" s="1"/>
  <c r="D61" i="14"/>
  <c r="H104" i="4"/>
  <c r="H109" i="4" s="1"/>
  <c r="Q61" i="13"/>
  <c r="S103" i="4"/>
  <c r="S108" i="4" s="1"/>
  <c r="H61" i="16"/>
  <c r="I102" i="4"/>
  <c r="I107" i="4" s="1"/>
  <c r="C61" i="14"/>
  <c r="S101" i="4"/>
  <c r="S106" i="4" s="1"/>
  <c r="F61" i="16"/>
  <c r="E94" i="4"/>
  <c r="I101" i="4"/>
  <c r="I106" i="4" s="1"/>
  <c r="B61" i="14"/>
  <c r="F102" i="4"/>
  <c r="F107" i="4" s="1"/>
  <c r="G61" i="13"/>
  <c r="S104" i="4"/>
  <c r="S109" i="4" s="1"/>
  <c r="I61" i="16"/>
  <c r="I104" i="4"/>
  <c r="I109" i="4" s="1"/>
  <c r="E61" i="14"/>
  <c r="F101" i="4"/>
  <c r="F106" i="4" s="1"/>
  <c r="F61" i="13"/>
  <c r="N78" i="4"/>
  <c r="J66" i="4"/>
  <c r="J76" i="4" s="1"/>
  <c r="R66" i="4"/>
  <c r="R73" i="4" s="1"/>
  <c r="J59" i="13"/>
  <c r="P78" i="4"/>
  <c r="J59" i="15"/>
  <c r="F78" i="4"/>
  <c r="F59" i="13"/>
  <c r="J59" i="14"/>
  <c r="F59" i="15"/>
  <c r="O78" i="4"/>
  <c r="Q66" i="4"/>
  <c r="Q73" i="4" s="1"/>
  <c r="L66" i="4"/>
  <c r="L73" i="4" s="1"/>
  <c r="S78" i="4"/>
  <c r="E66" i="4"/>
  <c r="E73" i="4" s="1"/>
  <c r="H66" i="4"/>
  <c r="H73" i="4" s="1"/>
  <c r="M66" i="4"/>
  <c r="M73" i="4" s="1"/>
  <c r="I78" i="4"/>
  <c r="B59" i="14"/>
  <c r="I59" i="16"/>
  <c r="G58" i="16"/>
  <c r="S47" i="4"/>
  <c r="S52" i="4" s="1"/>
  <c r="S48" i="4"/>
  <c r="S53" i="4" s="1"/>
  <c r="H58" i="16"/>
  <c r="P58" i="13"/>
  <c r="H48" i="4"/>
  <c r="H53" i="4" s="1"/>
  <c r="F58" i="16"/>
  <c r="S46" i="4"/>
  <c r="S51" i="4" s="1"/>
  <c r="N58" i="13"/>
  <c r="H46" i="4"/>
  <c r="H51" i="4" s="1"/>
  <c r="H49" i="4"/>
  <c r="H54" i="4" s="1"/>
  <c r="Q58" i="13"/>
  <c r="L58" i="13"/>
  <c r="G48" i="4"/>
  <c r="G53" i="4" s="1"/>
  <c r="O58" i="13"/>
  <c r="H47" i="4"/>
  <c r="H52" i="4" s="1"/>
  <c r="J58" i="13"/>
  <c r="G46" i="4"/>
  <c r="G51" i="4" s="1"/>
  <c r="M58" i="13"/>
  <c r="G49" i="4"/>
  <c r="G54" i="4" s="1"/>
  <c r="I58" i="16"/>
  <c r="S49" i="4"/>
  <c r="S54" i="4" s="1"/>
  <c r="K58" i="13"/>
  <c r="G47" i="4"/>
  <c r="G52" i="4" s="1"/>
  <c r="D48" i="4"/>
  <c r="D53" i="4" s="1"/>
  <c r="D58" i="12"/>
  <c r="E58" i="12"/>
  <c r="D49" i="4"/>
  <c r="D54" i="4" s="1"/>
  <c r="D47" i="4"/>
  <c r="D52" i="4" s="1"/>
  <c r="C58" i="12"/>
  <c r="H18" i="4"/>
  <c r="H23" i="4" s="1"/>
  <c r="N57" i="13"/>
  <c r="L11" i="4"/>
  <c r="G11" i="4"/>
  <c r="R57" i="14"/>
  <c r="M18" i="4"/>
  <c r="M23" i="4" s="1"/>
  <c r="I18" i="4"/>
  <c r="I23" i="4" s="1"/>
  <c r="B57" i="14"/>
  <c r="F11" i="4"/>
  <c r="B57" i="16"/>
  <c r="J18" i="4"/>
  <c r="J23" i="4" s="1"/>
  <c r="F57" i="14"/>
  <c r="S18" i="4"/>
  <c r="S23" i="4" s="1"/>
  <c r="F57" i="16"/>
  <c r="E11" i="4"/>
  <c r="N268" i="4"/>
  <c r="N273" i="4" s="1"/>
  <c r="C71" i="15"/>
  <c r="P268" i="4"/>
  <c r="P273" i="4" s="1"/>
  <c r="K71" i="15"/>
  <c r="O268" i="4"/>
  <c r="O273" i="4" s="1"/>
  <c r="G71" i="15"/>
  <c r="O269" i="4"/>
  <c r="O274" i="4" s="1"/>
  <c r="H71" i="15"/>
  <c r="O270" i="4"/>
  <c r="O275" i="4" s="1"/>
  <c r="I71" i="15"/>
  <c r="P269" i="4"/>
  <c r="P274" i="4" s="1"/>
  <c r="L71" i="15"/>
  <c r="N269" i="4"/>
  <c r="N274" i="4" s="1"/>
  <c r="D71" i="15"/>
  <c r="P270" i="4"/>
  <c r="P275" i="4" s="1"/>
  <c r="M71" i="15"/>
  <c r="N270" i="4"/>
  <c r="N275" i="4" s="1"/>
  <c r="E71" i="15"/>
  <c r="B71" i="12"/>
  <c r="D270" i="4"/>
  <c r="D275" i="4" s="1"/>
  <c r="E71" i="12"/>
  <c r="D268" i="4"/>
  <c r="D273" i="4" s="1"/>
  <c r="C71" i="12"/>
  <c r="D71" i="12"/>
  <c r="D269" i="4"/>
  <c r="D274" i="4" s="1"/>
  <c r="C79" i="16"/>
  <c r="R515" i="4"/>
  <c r="R520" i="4" s="1"/>
  <c r="O516" i="4"/>
  <c r="O521" i="4" s="1"/>
  <c r="H79" i="15"/>
  <c r="S517" i="4"/>
  <c r="S522" i="4" s="1"/>
  <c r="I79" i="16"/>
  <c r="L79" i="14"/>
  <c r="K516" i="4"/>
  <c r="K521" i="4" s="1"/>
  <c r="H79" i="16"/>
  <c r="S516" i="4"/>
  <c r="S521" i="4" s="1"/>
  <c r="K517" i="4"/>
  <c r="K522" i="4" s="1"/>
  <c r="M79" i="14"/>
  <c r="R517" i="4"/>
  <c r="R522" i="4" s="1"/>
  <c r="E79" i="16"/>
  <c r="O517" i="4"/>
  <c r="O522" i="4" s="1"/>
  <c r="I79" i="15"/>
  <c r="R516" i="4"/>
  <c r="R521" i="4" s="1"/>
  <c r="D79" i="16"/>
  <c r="E515" i="4"/>
  <c r="E520" i="4" s="1"/>
  <c r="C79" i="13"/>
  <c r="B79" i="12"/>
  <c r="D514" i="4"/>
  <c r="D519" i="4" s="1"/>
  <c r="G516" i="4"/>
  <c r="G521" i="4" s="1"/>
  <c r="L79" i="13"/>
  <c r="G517" i="4"/>
  <c r="G522" i="4" s="1"/>
  <c r="M79" i="13"/>
  <c r="E517" i="4"/>
  <c r="E522" i="4" s="1"/>
  <c r="E79" i="13"/>
  <c r="C79" i="12"/>
  <c r="D515" i="4"/>
  <c r="D520" i="4" s="1"/>
  <c r="E516" i="4"/>
  <c r="E521" i="4" s="1"/>
  <c r="D79" i="13"/>
  <c r="S424" i="4"/>
  <c r="R424" i="4"/>
  <c r="M424" i="4"/>
  <c r="J424" i="4"/>
  <c r="L424" i="4"/>
  <c r="F424" i="4"/>
  <c r="K424" i="4"/>
  <c r="H424" i="4"/>
  <c r="G424" i="4"/>
  <c r="E424" i="4"/>
  <c r="O94" i="4"/>
  <c r="N94" i="4"/>
  <c r="O11" i="4"/>
  <c r="P18" i="4"/>
  <c r="P23" i="4" s="1"/>
  <c r="J57" i="15"/>
  <c r="N11" i="4"/>
  <c r="I424" i="4"/>
  <c r="I516" i="4"/>
  <c r="I521" i="4" s="1"/>
  <c r="D79" i="14"/>
  <c r="I517" i="4"/>
  <c r="I522" i="4" s="1"/>
  <c r="E79" i="14"/>
  <c r="O424" i="4"/>
  <c r="N424" i="4"/>
  <c r="Q432" i="4"/>
  <c r="Q437" i="4" s="1"/>
  <c r="O76" i="15"/>
  <c r="Q433" i="4"/>
  <c r="Q438" i="4" s="1"/>
  <c r="P76" i="15"/>
  <c r="Q434" i="4"/>
  <c r="Q439" i="4" s="1"/>
  <c r="Q76" i="15"/>
  <c r="Q515" i="4"/>
  <c r="Q520" i="4" s="1"/>
  <c r="O79" i="15"/>
  <c r="Q516" i="4"/>
  <c r="Q521" i="4" s="1"/>
  <c r="P79" i="15"/>
  <c r="Q517" i="4"/>
  <c r="Q522" i="4" s="1"/>
  <c r="Q79" i="15"/>
  <c r="Q94" i="4"/>
  <c r="N57" i="15"/>
  <c r="P434" i="4"/>
  <c r="P439" i="4" s="1"/>
  <c r="M76" i="15"/>
  <c r="P432" i="4"/>
  <c r="P437" i="4" s="1"/>
  <c r="K76" i="15"/>
  <c r="P433" i="4"/>
  <c r="P438" i="4" s="1"/>
  <c r="L76" i="15"/>
  <c r="W33" i="3"/>
  <c r="W34" i="3" s="1"/>
  <c r="W36" i="3" s="1"/>
  <c r="W38" i="3" s="1"/>
  <c r="W83" i="3"/>
  <c r="B37" i="12"/>
  <c r="F38" i="15"/>
  <c r="B32" i="12"/>
  <c r="W8" i="3"/>
  <c r="W9" i="3" s="1"/>
  <c r="W11" i="3" s="1"/>
  <c r="W13" i="3" s="1"/>
  <c r="F27" i="15"/>
  <c r="S228" i="4"/>
  <c r="S230" i="4" s="1"/>
  <c r="S232" i="4" s="1"/>
  <c r="U173" i="4"/>
  <c r="U175" i="4" s="1"/>
  <c r="U177" i="4" s="1"/>
  <c r="U146" i="4"/>
  <c r="U148" i="4" s="1"/>
  <c r="U150" i="4" s="1"/>
  <c r="B62" i="12"/>
  <c r="V146" i="4"/>
  <c r="V148" i="4" s="1"/>
  <c r="V150" i="4" s="1"/>
  <c r="B61" i="12"/>
  <c r="J18" i="13"/>
  <c r="J17" i="13"/>
  <c r="Q21" i="3"/>
  <c r="Q25" i="3" s="1"/>
  <c r="C16" i="17"/>
  <c r="K16" i="17"/>
  <c r="G16" i="17"/>
  <c r="G15" i="17"/>
  <c r="G16" i="16"/>
  <c r="C16" i="16"/>
  <c r="G16" i="15"/>
  <c r="C16" i="15"/>
  <c r="K16" i="14"/>
  <c r="G16" i="14"/>
  <c r="G16" i="13"/>
  <c r="F83" i="3"/>
  <c r="E83" i="3"/>
  <c r="M38" i="15"/>
  <c r="G83" i="3"/>
  <c r="K38" i="15"/>
  <c r="H83" i="3"/>
  <c r="L38" i="15"/>
  <c r="R83" i="3"/>
  <c r="N83" i="3"/>
  <c r="O83" i="3"/>
  <c r="J83" i="3"/>
  <c r="L83" i="3"/>
  <c r="U83" i="3"/>
  <c r="T83" i="3"/>
  <c r="K27" i="15"/>
  <c r="M27" i="15"/>
  <c r="L27" i="15"/>
  <c r="C16" i="14"/>
  <c r="O16" i="15"/>
  <c r="K16" i="15"/>
  <c r="U20" i="3"/>
  <c r="U24" i="3" s="1"/>
  <c r="H13" i="17"/>
  <c r="U21" i="3"/>
  <c r="U25" i="3" s="1"/>
  <c r="I13" i="17"/>
  <c r="H13" i="13"/>
  <c r="G13" i="13"/>
  <c r="R208" i="3"/>
  <c r="R209" i="3" s="1"/>
  <c r="R211" i="3" s="1"/>
  <c r="R213" i="3" s="1"/>
  <c r="T205" i="3"/>
  <c r="U203" i="3"/>
  <c r="S206" i="3"/>
  <c r="S207" i="3" s="1"/>
  <c r="R432" i="3"/>
  <c r="R433" i="3" s="1"/>
  <c r="R435" i="3" s="1"/>
  <c r="R437" i="3" s="1"/>
  <c r="S430" i="3"/>
  <c r="S431" i="3" s="1"/>
  <c r="T429" i="3"/>
  <c r="E382" i="3"/>
  <c r="E383" i="3" s="1"/>
  <c r="H379" i="3"/>
  <c r="H380" i="3" s="1"/>
  <c r="H381" i="3" s="1"/>
  <c r="G405" i="3"/>
  <c r="G406" i="3" s="1"/>
  <c r="F332" i="3"/>
  <c r="F333" i="3" s="1"/>
  <c r="F335" i="3" s="1"/>
  <c r="F407" i="3"/>
  <c r="F408" i="3" s="1"/>
  <c r="F410" i="3" s="1"/>
  <c r="F412" i="3" s="1"/>
  <c r="I355" i="3"/>
  <c r="I356" i="3" s="1"/>
  <c r="E233" i="3"/>
  <c r="I380" i="3"/>
  <c r="I381" i="3" s="1"/>
  <c r="H354" i="3"/>
  <c r="H355" i="3" s="1"/>
  <c r="H356" i="3" s="1"/>
  <c r="G330" i="3"/>
  <c r="G331" i="3" s="1"/>
  <c r="M396" i="4"/>
  <c r="Q150" i="4"/>
  <c r="K260" i="4"/>
  <c r="Q39" i="4"/>
  <c r="G122" i="4"/>
  <c r="L396" i="4"/>
  <c r="J288" i="4"/>
  <c r="K368" i="4"/>
  <c r="G66" i="4"/>
  <c r="G73" i="4" s="1"/>
  <c r="G78" i="4" s="1"/>
  <c r="Q232" i="4"/>
  <c r="K66" i="4"/>
  <c r="K73" i="4" s="1"/>
  <c r="R11" i="4"/>
  <c r="P122" i="4"/>
  <c r="R94" i="4"/>
  <c r="P39" i="4"/>
  <c r="H117" i="4"/>
  <c r="H118" i="4" s="1"/>
  <c r="H120" i="4" s="1"/>
  <c r="O122" i="4"/>
  <c r="R260" i="4"/>
  <c r="E232" i="4"/>
  <c r="H145" i="4"/>
  <c r="H146" i="4" s="1"/>
  <c r="H148" i="4" s="1"/>
  <c r="H150" i="4" s="1"/>
  <c r="P94" i="4"/>
  <c r="G260" i="4"/>
  <c r="G269" i="4" s="1"/>
  <c r="J94" i="4"/>
  <c r="Q11" i="4"/>
  <c r="H363" i="4"/>
  <c r="H364" i="4" s="1"/>
  <c r="H366" i="4" s="1"/>
  <c r="H255" i="4"/>
  <c r="H256" i="4" s="1"/>
  <c r="H258" i="4" s="1"/>
  <c r="H253" i="3"/>
  <c r="H255" i="3" s="1"/>
  <c r="H256" i="3" s="1"/>
  <c r="H257" i="3" s="1"/>
  <c r="F382" i="3"/>
  <c r="F383" i="3" s="1"/>
  <c r="F385" i="3" s="1"/>
  <c r="F387" i="3" s="1"/>
  <c r="G380" i="3"/>
  <c r="G381" i="3" s="1"/>
  <c r="F357" i="3"/>
  <c r="F358" i="3" s="1"/>
  <c r="F360" i="3" s="1"/>
  <c r="I253" i="3"/>
  <c r="I255" i="3" s="1"/>
  <c r="I256" i="3" s="1"/>
  <c r="I257" i="3" s="1"/>
  <c r="G355" i="3"/>
  <c r="G356" i="3" s="1"/>
  <c r="E258" i="3"/>
  <c r="E259" i="3" s="1"/>
  <c r="E261" i="3" s="1"/>
  <c r="E263" i="3" s="1"/>
  <c r="E268" i="3" s="1"/>
  <c r="E272" i="3" s="1"/>
  <c r="F305" i="3"/>
  <c r="F306" i="3" s="1"/>
  <c r="G258" i="3"/>
  <c r="G259" i="3" s="1"/>
  <c r="G261" i="3" s="1"/>
  <c r="G263" i="3" s="1"/>
  <c r="G268" i="3" s="1"/>
  <c r="G272" i="3" s="1"/>
  <c r="H302" i="3"/>
  <c r="G304" i="3"/>
  <c r="I302" i="3"/>
  <c r="G58" i="3"/>
  <c r="G59" i="3" s="1"/>
  <c r="G61" i="3" s="1"/>
  <c r="G63" i="3" s="1"/>
  <c r="M33" i="3"/>
  <c r="M34" i="3" s="1"/>
  <c r="M36" i="3" s="1"/>
  <c r="M38" i="3" s="1"/>
  <c r="G8" i="3"/>
  <c r="G9" i="3" s="1"/>
  <c r="G11" i="3" s="1"/>
  <c r="G13" i="3" s="1"/>
  <c r="K8" i="3"/>
  <c r="K9" i="3" s="1"/>
  <c r="K11" i="3" s="1"/>
  <c r="I33" i="3"/>
  <c r="I34" i="3" s="1"/>
  <c r="I36" i="3" s="1"/>
  <c r="I38" i="3" s="1"/>
  <c r="H56" i="3"/>
  <c r="H57" i="3" s="1"/>
  <c r="M81" i="3"/>
  <c r="M82" i="3" s="1"/>
  <c r="T33" i="3"/>
  <c r="T34" i="3" s="1"/>
  <c r="T36" i="3" s="1"/>
  <c r="T38" i="3" s="1"/>
  <c r="K56" i="3"/>
  <c r="K57" i="3" s="1"/>
  <c r="H231" i="3"/>
  <c r="H232" i="3" s="1"/>
  <c r="L55" i="3"/>
  <c r="O33" i="3"/>
  <c r="O34" i="3" s="1"/>
  <c r="O36" i="3" s="1"/>
  <c r="O38" i="3" s="1"/>
  <c r="G230" i="3"/>
  <c r="I228" i="3"/>
  <c r="H6" i="3"/>
  <c r="H7" i="3" s="1"/>
  <c r="H31" i="3"/>
  <c r="H32" i="3" s="1"/>
  <c r="F231" i="3"/>
  <c r="F232" i="3" s="1"/>
  <c r="L6" i="3"/>
  <c r="L7" i="3" s="1"/>
  <c r="V33" i="3"/>
  <c r="V34" i="3" s="1"/>
  <c r="V36" i="3" s="1"/>
  <c r="V58" i="3"/>
  <c r="V59" i="3" s="1"/>
  <c r="V61" i="3" s="1"/>
  <c r="V63" i="3" s="1"/>
  <c r="M5" i="3"/>
  <c r="H327" i="3"/>
  <c r="H329" i="3" s="1"/>
  <c r="I327" i="3"/>
  <c r="I329" i="3" s="1"/>
  <c r="J354" i="3"/>
  <c r="J355" i="3" s="1"/>
  <c r="J356" i="3" s="1"/>
  <c r="M84" i="3"/>
  <c r="M86" i="3" s="1"/>
  <c r="M88" i="3" s="1"/>
  <c r="H404" i="3"/>
  <c r="I404" i="3"/>
  <c r="J379" i="3"/>
  <c r="J380" i="3" s="1"/>
  <c r="J381" i="3" s="1"/>
  <c r="J73" i="4" l="1"/>
  <c r="W403" i="4"/>
  <c r="W408" i="4" s="1"/>
  <c r="R85" i="15"/>
  <c r="W404" i="4"/>
  <c r="W409" i="4" s="1"/>
  <c r="S85" i="15"/>
  <c r="W406" i="4"/>
  <c r="W411" i="4" s="1"/>
  <c r="U85" i="15"/>
  <c r="T85" i="15"/>
  <c r="W405" i="4"/>
  <c r="W410" i="4" s="1"/>
  <c r="W377" i="4"/>
  <c r="W382" i="4" s="1"/>
  <c r="T84" i="15"/>
  <c r="W378" i="4"/>
  <c r="W383" i="4" s="1"/>
  <c r="U84" i="15"/>
  <c r="W375" i="4"/>
  <c r="W380" i="4" s="1"/>
  <c r="R84" i="15"/>
  <c r="W376" i="4"/>
  <c r="W381" i="4" s="1"/>
  <c r="S84" i="15"/>
  <c r="W242" i="4"/>
  <c r="W247" i="4" s="1"/>
  <c r="U70" i="15"/>
  <c r="W240" i="4"/>
  <c r="W245" i="4" s="1"/>
  <c r="S70" i="15"/>
  <c r="T70" i="15"/>
  <c r="W241" i="4"/>
  <c r="W246" i="4" s="1"/>
  <c r="R70" i="15"/>
  <c r="W239" i="4"/>
  <c r="W244" i="4" s="1"/>
  <c r="G76" i="4"/>
  <c r="G81" i="4" s="1"/>
  <c r="C59" i="15"/>
  <c r="N74" i="4"/>
  <c r="N79" i="4" s="1"/>
  <c r="G59" i="13"/>
  <c r="F74" i="4"/>
  <c r="F79" i="4" s="1"/>
  <c r="K59" i="15"/>
  <c r="P74" i="4"/>
  <c r="P79" i="4" s="1"/>
  <c r="M76" i="4"/>
  <c r="K76" i="4"/>
  <c r="K81" i="4" s="1"/>
  <c r="G59" i="16"/>
  <c r="S74" i="4"/>
  <c r="S79" i="4" s="1"/>
  <c r="L76" i="4"/>
  <c r="C59" i="14"/>
  <c r="I74" i="4"/>
  <c r="I79" i="4" s="1"/>
  <c r="R76" i="4"/>
  <c r="H76" i="4"/>
  <c r="G59" i="15"/>
  <c r="O74" i="4"/>
  <c r="O79" i="4" s="1"/>
  <c r="Q76" i="4"/>
  <c r="E76" i="4"/>
  <c r="E234" i="3"/>
  <c r="E236" i="3" s="1"/>
  <c r="E238" i="3" s="1"/>
  <c r="E243" i="3" s="1"/>
  <c r="E247" i="3" s="1"/>
  <c r="B17" i="17"/>
  <c r="B34" i="12"/>
  <c r="E318" i="3"/>
  <c r="E322" i="3" s="1"/>
  <c r="E319" i="3"/>
  <c r="E323" i="3" s="1"/>
  <c r="E320" i="3"/>
  <c r="E324" i="3" s="1"/>
  <c r="R445" i="3"/>
  <c r="R449" i="3" s="1"/>
  <c r="R444" i="3"/>
  <c r="R448" i="3" s="1"/>
  <c r="Q442" i="3"/>
  <c r="Q446" i="3" s="1"/>
  <c r="Q443" i="3"/>
  <c r="Q447" i="3" s="1"/>
  <c r="F420" i="3"/>
  <c r="F424" i="3" s="1"/>
  <c r="F419" i="3"/>
  <c r="F423" i="3" s="1"/>
  <c r="F394" i="3"/>
  <c r="F398" i="3" s="1"/>
  <c r="F395" i="3"/>
  <c r="F399" i="3" s="1"/>
  <c r="E370" i="3"/>
  <c r="E374" i="3" s="1"/>
  <c r="E369" i="3"/>
  <c r="E373" i="3" s="1"/>
  <c r="F271" i="3"/>
  <c r="F275" i="3" s="1"/>
  <c r="I29" i="13"/>
  <c r="R221" i="3"/>
  <c r="R225" i="3" s="1"/>
  <c r="R220" i="3"/>
  <c r="R224" i="3" s="1"/>
  <c r="Q218" i="3"/>
  <c r="Q222" i="3" s="1"/>
  <c r="Q219" i="3"/>
  <c r="Q223" i="3" s="1"/>
  <c r="M143" i="3"/>
  <c r="M147" i="3" s="1"/>
  <c r="R18" i="14"/>
  <c r="J17" i="15"/>
  <c r="M118" i="3"/>
  <c r="M122" i="3" s="1"/>
  <c r="R17" i="14"/>
  <c r="F17" i="13"/>
  <c r="H15" i="16"/>
  <c r="G20" i="3"/>
  <c r="G24" i="3" s="1"/>
  <c r="G21" i="3"/>
  <c r="G25" i="3" s="1"/>
  <c r="J16" i="15"/>
  <c r="H15" i="15"/>
  <c r="G93" i="3"/>
  <c r="G97" i="3" s="1"/>
  <c r="G94" i="3"/>
  <c r="G98" i="3" s="1"/>
  <c r="N44" i="3"/>
  <c r="N43" i="3"/>
  <c r="N47" i="3" s="1"/>
  <c r="I15" i="15"/>
  <c r="K43" i="3"/>
  <c r="K47" i="3" s="1"/>
  <c r="K44" i="3"/>
  <c r="I46" i="3"/>
  <c r="I45" i="3"/>
  <c r="G45" i="3"/>
  <c r="G46" i="3"/>
  <c r="F43" i="3"/>
  <c r="F47" i="3" s="1"/>
  <c r="F44" i="3"/>
  <c r="F48" i="3" s="1"/>
  <c r="S44" i="3"/>
  <c r="S48" i="3" s="1"/>
  <c r="S43" i="3"/>
  <c r="S47" i="3" s="1"/>
  <c r="Q16" i="14"/>
  <c r="F68" i="3"/>
  <c r="F72" i="3" s="1"/>
  <c r="F69" i="3"/>
  <c r="F73" i="3" s="1"/>
  <c r="O68" i="3"/>
  <c r="O72" i="3" s="1"/>
  <c r="O69" i="3"/>
  <c r="O73" i="3" s="1"/>
  <c r="M45" i="3"/>
  <c r="M46" i="3"/>
  <c r="W46" i="3"/>
  <c r="W45" i="3"/>
  <c r="S68" i="3"/>
  <c r="S72" i="3" s="1"/>
  <c r="S69" i="3"/>
  <c r="S73" i="3" s="1"/>
  <c r="H93" i="3"/>
  <c r="H97" i="3" s="1"/>
  <c r="H94" i="3"/>
  <c r="H98" i="3" s="1"/>
  <c r="G70" i="3"/>
  <c r="G74" i="3" s="1"/>
  <c r="G71" i="3"/>
  <c r="G75" i="3" s="1"/>
  <c r="Q43" i="3"/>
  <c r="Q47" i="3" s="1"/>
  <c r="Q44" i="3"/>
  <c r="U43" i="3"/>
  <c r="U47" i="3" s="1"/>
  <c r="U44" i="3"/>
  <c r="U48" i="3" s="1"/>
  <c r="N17" i="13"/>
  <c r="L44" i="3"/>
  <c r="L48" i="3" s="1"/>
  <c r="L43" i="3"/>
  <c r="P44" i="3"/>
  <c r="V71" i="3"/>
  <c r="V75" i="3" s="1"/>
  <c r="V70" i="3"/>
  <c r="V74" i="3" s="1"/>
  <c r="T45" i="3"/>
  <c r="T46" i="3"/>
  <c r="N17" i="14"/>
  <c r="I15" i="13"/>
  <c r="J44" i="3"/>
  <c r="J48" i="3" s="1"/>
  <c r="J43" i="3"/>
  <c r="J47" i="3" s="1"/>
  <c r="M96" i="3"/>
  <c r="M100" i="3" s="1"/>
  <c r="M95" i="3"/>
  <c r="M99" i="3" s="1"/>
  <c r="Q16" i="13"/>
  <c r="P16" i="13"/>
  <c r="L94" i="3"/>
  <c r="L98" i="3" s="1"/>
  <c r="L93" i="3"/>
  <c r="L97" i="3" s="1"/>
  <c r="E93" i="3"/>
  <c r="E97" i="3" s="1"/>
  <c r="E94" i="3"/>
  <c r="E98" i="3" s="1"/>
  <c r="Q68" i="3"/>
  <c r="Q72" i="3" s="1"/>
  <c r="Q69" i="3"/>
  <c r="Q73" i="3" s="1"/>
  <c r="I15" i="16"/>
  <c r="O45" i="3"/>
  <c r="O46" i="3"/>
  <c r="J17" i="14"/>
  <c r="E45" i="3"/>
  <c r="E46" i="3"/>
  <c r="F17" i="16"/>
  <c r="W93" i="3"/>
  <c r="W97" i="3" s="1"/>
  <c r="W94" i="3"/>
  <c r="W98" i="3" s="1"/>
  <c r="J68" i="3"/>
  <c r="J72" i="3" s="1"/>
  <c r="J69" i="3"/>
  <c r="J73" i="3" s="1"/>
  <c r="R44" i="3"/>
  <c r="R43" i="3"/>
  <c r="R47" i="3" s="1"/>
  <c r="B35" i="12"/>
  <c r="B31" i="12"/>
  <c r="E143" i="3"/>
  <c r="E147" i="3" s="1"/>
  <c r="H75" i="4"/>
  <c r="E75" i="4"/>
  <c r="K75" i="4"/>
  <c r="J75" i="4"/>
  <c r="G75" i="4"/>
  <c r="L75" i="4"/>
  <c r="L74" i="4"/>
  <c r="R75" i="4"/>
  <c r="Q74" i="4"/>
  <c r="Q75" i="4"/>
  <c r="M75" i="4"/>
  <c r="V143" i="3"/>
  <c r="V147" i="3" s="1"/>
  <c r="S143" i="3"/>
  <c r="S147" i="3" s="1"/>
  <c r="E269" i="3"/>
  <c r="E273" i="3" s="1"/>
  <c r="E270" i="3"/>
  <c r="E274" i="3" s="1"/>
  <c r="G269" i="3"/>
  <c r="G273" i="3" s="1"/>
  <c r="G270" i="3"/>
  <c r="G274" i="3" s="1"/>
  <c r="J143" i="3"/>
  <c r="J147" i="3" s="1"/>
  <c r="F143" i="3"/>
  <c r="F147" i="3" s="1"/>
  <c r="Q143" i="3"/>
  <c r="Q147" i="3" s="1"/>
  <c r="T16" i="14"/>
  <c r="E420" i="3"/>
  <c r="E424" i="3" s="1"/>
  <c r="E345" i="3"/>
  <c r="E349" i="3" s="1"/>
  <c r="V38" i="3"/>
  <c r="E385" i="3"/>
  <c r="E387" i="3" s="1"/>
  <c r="E393" i="3" s="1"/>
  <c r="E397" i="3" s="1"/>
  <c r="E317" i="3"/>
  <c r="E321" i="3" s="1"/>
  <c r="M13" i="13"/>
  <c r="L13" i="13"/>
  <c r="K13" i="3"/>
  <c r="F362" i="3"/>
  <c r="C16" i="13"/>
  <c r="F337" i="3"/>
  <c r="F16" i="17"/>
  <c r="J16" i="14"/>
  <c r="J16" i="17"/>
  <c r="F29" i="13"/>
  <c r="B14" i="16"/>
  <c r="F16" i="13"/>
  <c r="F13" i="14"/>
  <c r="J18" i="3"/>
  <c r="J22" i="3" s="1"/>
  <c r="B16" i="16"/>
  <c r="F16" i="16"/>
  <c r="F13" i="15"/>
  <c r="O18" i="3"/>
  <c r="O22" i="3" s="1"/>
  <c r="B16" i="17"/>
  <c r="F16" i="15"/>
  <c r="N13" i="15"/>
  <c r="Q18" i="3"/>
  <c r="Q22" i="3" s="1"/>
  <c r="B16" i="14"/>
  <c r="N16" i="15"/>
  <c r="F15" i="17"/>
  <c r="F16" i="14"/>
  <c r="F14" i="14"/>
  <c r="J14" i="14"/>
  <c r="M83" i="3"/>
  <c r="U267" i="4"/>
  <c r="U272" i="4" s="1"/>
  <c r="F71" i="17"/>
  <c r="U268" i="4"/>
  <c r="U273" i="4" s="1"/>
  <c r="G71" i="17"/>
  <c r="L64" i="17"/>
  <c r="V186" i="4"/>
  <c r="V191" i="4" s="1"/>
  <c r="V187" i="4"/>
  <c r="V192" i="4" s="1"/>
  <c r="M64" i="17"/>
  <c r="V184" i="4"/>
  <c r="V189" i="4" s="1"/>
  <c r="J64" i="17"/>
  <c r="V185" i="4"/>
  <c r="V190" i="4" s="1"/>
  <c r="K64" i="17"/>
  <c r="B64" i="17"/>
  <c r="T184" i="4"/>
  <c r="T189" i="4" s="1"/>
  <c r="T185" i="4"/>
  <c r="T190" i="4" s="1"/>
  <c r="C64" i="17"/>
  <c r="T187" i="4"/>
  <c r="T192" i="4" s="1"/>
  <c r="E64" i="17"/>
  <c r="T186" i="4"/>
  <c r="T191" i="4" s="1"/>
  <c r="D64" i="17"/>
  <c r="T157" i="4"/>
  <c r="T162" i="4" s="1"/>
  <c r="B63" i="17"/>
  <c r="E63" i="17"/>
  <c r="T160" i="4"/>
  <c r="T165" i="4" s="1"/>
  <c r="T158" i="4"/>
  <c r="T163" i="4" s="1"/>
  <c r="C63" i="17"/>
  <c r="T159" i="4"/>
  <c r="T164" i="4" s="1"/>
  <c r="D63" i="17"/>
  <c r="V129" i="4"/>
  <c r="V134" i="4" s="1"/>
  <c r="J62" i="17"/>
  <c r="F62" i="17"/>
  <c r="U129" i="4"/>
  <c r="U134" i="4" s="1"/>
  <c r="K404" i="4"/>
  <c r="K409" i="4" s="1"/>
  <c r="K85" i="14"/>
  <c r="R405" i="4"/>
  <c r="R410" i="4" s="1"/>
  <c r="D85" i="16"/>
  <c r="K405" i="4"/>
  <c r="K410" i="4" s="1"/>
  <c r="L85" i="14"/>
  <c r="P404" i="4"/>
  <c r="P409" i="4" s="1"/>
  <c r="K85" i="15"/>
  <c r="H404" i="4"/>
  <c r="H409" i="4" s="1"/>
  <c r="O85" i="13"/>
  <c r="F403" i="4"/>
  <c r="F408" i="4" s="1"/>
  <c r="F85" i="13"/>
  <c r="S403" i="4"/>
  <c r="S408" i="4" s="1"/>
  <c r="F85" i="16"/>
  <c r="S406" i="4"/>
  <c r="S411" i="4" s="1"/>
  <c r="I85" i="16"/>
  <c r="I404" i="4"/>
  <c r="I409" i="4" s="1"/>
  <c r="C85" i="14"/>
  <c r="P403" i="4"/>
  <c r="P408" i="4" s="1"/>
  <c r="J85" i="15"/>
  <c r="H405" i="4"/>
  <c r="H410" i="4" s="1"/>
  <c r="P85" i="13"/>
  <c r="O404" i="4"/>
  <c r="O409" i="4" s="1"/>
  <c r="G85" i="15"/>
  <c r="F404" i="4"/>
  <c r="F409" i="4" s="1"/>
  <c r="G85" i="13"/>
  <c r="S404" i="4"/>
  <c r="S409" i="4" s="1"/>
  <c r="G85" i="16"/>
  <c r="E405" i="4"/>
  <c r="E410" i="4" s="1"/>
  <c r="D85" i="13"/>
  <c r="B85" i="14"/>
  <c r="L85" i="15"/>
  <c r="P405" i="4"/>
  <c r="P410" i="4" s="1"/>
  <c r="H406" i="4"/>
  <c r="H411" i="4" s="1"/>
  <c r="Q85" i="13"/>
  <c r="O405" i="4"/>
  <c r="O410" i="4" s="1"/>
  <c r="H85" i="15"/>
  <c r="S405" i="4"/>
  <c r="S410" i="4" s="1"/>
  <c r="H85" i="16"/>
  <c r="H403" i="4"/>
  <c r="H408" i="4" s="1"/>
  <c r="N85" i="13"/>
  <c r="E406" i="4"/>
  <c r="E411" i="4" s="1"/>
  <c r="E85" i="13"/>
  <c r="I405" i="4"/>
  <c r="I410" i="4" s="1"/>
  <c r="D85" i="14"/>
  <c r="P406" i="4"/>
  <c r="P411" i="4" s="1"/>
  <c r="M85" i="15"/>
  <c r="O406" i="4"/>
  <c r="O411" i="4" s="1"/>
  <c r="I85" i="15"/>
  <c r="J403" i="4"/>
  <c r="J408" i="4" s="1"/>
  <c r="F85" i="14"/>
  <c r="F406" i="4"/>
  <c r="F411" i="4" s="1"/>
  <c r="I85" i="13"/>
  <c r="B85" i="13"/>
  <c r="E403" i="4"/>
  <c r="E408" i="4" s="1"/>
  <c r="I406" i="4"/>
  <c r="I411" i="4" s="1"/>
  <c r="E85" i="14"/>
  <c r="N405" i="4"/>
  <c r="N410" i="4" s="1"/>
  <c r="D85" i="15"/>
  <c r="O403" i="4"/>
  <c r="O408" i="4" s="1"/>
  <c r="F85" i="15"/>
  <c r="R403" i="4"/>
  <c r="R408" i="4" s="1"/>
  <c r="B85" i="16"/>
  <c r="J406" i="4"/>
  <c r="J411" i="4" s="1"/>
  <c r="I85" i="14"/>
  <c r="K406" i="4"/>
  <c r="K411" i="4" s="1"/>
  <c r="M85" i="14"/>
  <c r="E404" i="4"/>
  <c r="E409" i="4" s="1"/>
  <c r="C85" i="13"/>
  <c r="N404" i="4"/>
  <c r="N409" i="4" s="1"/>
  <c r="C85" i="15"/>
  <c r="R404" i="4"/>
  <c r="R409" i="4" s="1"/>
  <c r="C85" i="16"/>
  <c r="J404" i="4"/>
  <c r="J409" i="4" s="1"/>
  <c r="G85" i="14"/>
  <c r="N403" i="4"/>
  <c r="N408" i="4" s="1"/>
  <c r="J85" i="14"/>
  <c r="N406" i="4"/>
  <c r="N411" i="4" s="1"/>
  <c r="E85" i="15"/>
  <c r="F405" i="4"/>
  <c r="F410" i="4" s="1"/>
  <c r="H85" i="13"/>
  <c r="R406" i="4"/>
  <c r="R411" i="4" s="1"/>
  <c r="E85" i="16"/>
  <c r="J405" i="4"/>
  <c r="J410" i="4" s="1"/>
  <c r="H85" i="14"/>
  <c r="S185" i="4"/>
  <c r="S190" i="4" s="1"/>
  <c r="G64" i="16"/>
  <c r="K187" i="4"/>
  <c r="K192" i="4" s="1"/>
  <c r="M64" i="14"/>
  <c r="P185" i="4"/>
  <c r="P190" i="4" s="1"/>
  <c r="K64" i="15"/>
  <c r="N187" i="4"/>
  <c r="N192" i="4" s="1"/>
  <c r="E64" i="15"/>
  <c r="F184" i="4"/>
  <c r="F189" i="4" s="1"/>
  <c r="F64" i="13"/>
  <c r="M185" i="4"/>
  <c r="M190" i="4" s="1"/>
  <c r="S64" i="14"/>
  <c r="G185" i="4"/>
  <c r="G190" i="4" s="1"/>
  <c r="K64" i="13"/>
  <c r="K184" i="4"/>
  <c r="K189" i="4" s="1"/>
  <c r="J64" i="14"/>
  <c r="P187" i="4"/>
  <c r="P192" i="4" s="1"/>
  <c r="M64" i="15"/>
  <c r="F187" i="4"/>
  <c r="F192" i="4" s="1"/>
  <c r="I64" i="13"/>
  <c r="M186" i="4"/>
  <c r="M191" i="4" s="1"/>
  <c r="T64" i="14"/>
  <c r="G186" i="4"/>
  <c r="G191" i="4" s="1"/>
  <c r="L64" i="13"/>
  <c r="H184" i="4"/>
  <c r="H189" i="4" s="1"/>
  <c r="N64" i="13"/>
  <c r="K185" i="4"/>
  <c r="K190" i="4" s="1"/>
  <c r="K64" i="14"/>
  <c r="P186" i="4"/>
  <c r="P191" i="4" s="1"/>
  <c r="L64" i="15"/>
  <c r="M187" i="4"/>
  <c r="M192" i="4" s="1"/>
  <c r="U64" i="14"/>
  <c r="G187" i="4"/>
  <c r="G192" i="4" s="1"/>
  <c r="M64" i="13"/>
  <c r="H185" i="4"/>
  <c r="H190" i="4" s="1"/>
  <c r="O64" i="13"/>
  <c r="P184" i="4"/>
  <c r="P189" i="4" s="1"/>
  <c r="J64" i="15"/>
  <c r="E185" i="4"/>
  <c r="E190" i="4" s="1"/>
  <c r="C64" i="13"/>
  <c r="F64" i="15"/>
  <c r="O184" i="4"/>
  <c r="O189" i="4" s="1"/>
  <c r="R64" i="14"/>
  <c r="M184" i="4"/>
  <c r="M189" i="4" s="1"/>
  <c r="H186" i="4"/>
  <c r="H191" i="4" s="1"/>
  <c r="P64" i="13"/>
  <c r="E186" i="4"/>
  <c r="E191" i="4" s="1"/>
  <c r="D64" i="13"/>
  <c r="R186" i="4"/>
  <c r="R191" i="4" s="1"/>
  <c r="D64" i="16"/>
  <c r="O185" i="4"/>
  <c r="O190" i="4" s="1"/>
  <c r="G64" i="15"/>
  <c r="J186" i="4"/>
  <c r="J191" i="4" s="1"/>
  <c r="H64" i="14"/>
  <c r="S186" i="4"/>
  <c r="S191" i="4" s="1"/>
  <c r="H64" i="16"/>
  <c r="H187" i="4"/>
  <c r="H192" i="4" s="1"/>
  <c r="Q64" i="13"/>
  <c r="N184" i="4"/>
  <c r="N189" i="4" s="1"/>
  <c r="E187" i="4"/>
  <c r="E192" i="4" s="1"/>
  <c r="E64" i="13"/>
  <c r="R184" i="4"/>
  <c r="R189" i="4" s="1"/>
  <c r="B64" i="16"/>
  <c r="H64" i="15"/>
  <c r="O186" i="4"/>
  <c r="O191" i="4" s="1"/>
  <c r="J184" i="4"/>
  <c r="J189" i="4" s="1"/>
  <c r="F64" i="14"/>
  <c r="S187" i="4"/>
  <c r="S192" i="4" s="1"/>
  <c r="I64" i="16"/>
  <c r="N185" i="4"/>
  <c r="N190" i="4" s="1"/>
  <c r="C64" i="15"/>
  <c r="F185" i="4"/>
  <c r="F190" i="4" s="1"/>
  <c r="G64" i="13"/>
  <c r="E184" i="4"/>
  <c r="E189" i="4" s="1"/>
  <c r="B64" i="13"/>
  <c r="R187" i="4"/>
  <c r="R192" i="4" s="1"/>
  <c r="E64" i="16"/>
  <c r="O187" i="4"/>
  <c r="O192" i="4" s="1"/>
  <c r="I64" i="15"/>
  <c r="J187" i="4"/>
  <c r="J192" i="4" s="1"/>
  <c r="I64" i="14"/>
  <c r="S184" i="4"/>
  <c r="S189" i="4" s="1"/>
  <c r="F64" i="16"/>
  <c r="K186" i="4"/>
  <c r="K191" i="4" s="1"/>
  <c r="L64" i="14"/>
  <c r="N186" i="4"/>
  <c r="N191" i="4" s="1"/>
  <c r="D64" i="15"/>
  <c r="H64" i="13"/>
  <c r="F186" i="4"/>
  <c r="F191" i="4" s="1"/>
  <c r="R185" i="4"/>
  <c r="R190" i="4" s="1"/>
  <c r="C64" i="16"/>
  <c r="J64" i="13"/>
  <c r="G184" i="4"/>
  <c r="G189" i="4" s="1"/>
  <c r="J185" i="4"/>
  <c r="J190" i="4" s="1"/>
  <c r="G64" i="14"/>
  <c r="E160" i="4"/>
  <c r="E165" i="4" s="1"/>
  <c r="E63" i="13"/>
  <c r="S159" i="4"/>
  <c r="S164" i="4" s="1"/>
  <c r="H63" i="16"/>
  <c r="B63" i="13"/>
  <c r="E157" i="4"/>
  <c r="E162" i="4" s="1"/>
  <c r="P160" i="4"/>
  <c r="P165" i="4" s="1"/>
  <c r="M63" i="15"/>
  <c r="C63" i="16"/>
  <c r="R158" i="4"/>
  <c r="R163" i="4" s="1"/>
  <c r="D63" i="13"/>
  <c r="E159" i="4"/>
  <c r="E164" i="4" s="1"/>
  <c r="P158" i="4"/>
  <c r="P163" i="4" s="1"/>
  <c r="K63" i="15"/>
  <c r="R157" i="4"/>
  <c r="R162" i="4" s="1"/>
  <c r="B63" i="16"/>
  <c r="M63" i="14"/>
  <c r="K160" i="4"/>
  <c r="K165" i="4" s="1"/>
  <c r="I157" i="4"/>
  <c r="I162" i="4" s="1"/>
  <c r="B63" i="14"/>
  <c r="N158" i="4"/>
  <c r="N163" i="4" s="1"/>
  <c r="C63" i="15"/>
  <c r="U63" i="14"/>
  <c r="M160" i="4"/>
  <c r="M165" i="4" s="1"/>
  <c r="C63" i="13"/>
  <c r="E158" i="4"/>
  <c r="E163" i="4" s="1"/>
  <c r="R159" i="4"/>
  <c r="R164" i="4" s="1"/>
  <c r="D63" i="16"/>
  <c r="K157" i="4"/>
  <c r="K162" i="4" s="1"/>
  <c r="J63" i="14"/>
  <c r="I158" i="4"/>
  <c r="I163" i="4" s="1"/>
  <c r="C63" i="14"/>
  <c r="F158" i="4"/>
  <c r="F163" i="4" s="1"/>
  <c r="G63" i="13"/>
  <c r="N159" i="4"/>
  <c r="N164" i="4" s="1"/>
  <c r="D63" i="15"/>
  <c r="L63" i="15"/>
  <c r="P159" i="4"/>
  <c r="P164" i="4" s="1"/>
  <c r="M159" i="4"/>
  <c r="M164" i="4" s="1"/>
  <c r="T63" i="14"/>
  <c r="K158" i="4"/>
  <c r="K163" i="4" s="1"/>
  <c r="K63" i="14"/>
  <c r="D63" i="14"/>
  <c r="I159" i="4"/>
  <c r="I164" i="4" s="1"/>
  <c r="H63" i="13"/>
  <c r="F159" i="4"/>
  <c r="F164" i="4" s="1"/>
  <c r="N160" i="4"/>
  <c r="N165" i="4" s="1"/>
  <c r="E63" i="15"/>
  <c r="E63" i="16"/>
  <c r="R160" i="4"/>
  <c r="R165" i="4" s="1"/>
  <c r="M157" i="4"/>
  <c r="M162" i="4" s="1"/>
  <c r="R63" i="14"/>
  <c r="K63" i="13"/>
  <c r="G158" i="4"/>
  <c r="G163" i="4" s="1"/>
  <c r="K159" i="4"/>
  <c r="K164" i="4" s="1"/>
  <c r="L63" i="14"/>
  <c r="F63" i="16"/>
  <c r="S157" i="4"/>
  <c r="S162" i="4" s="1"/>
  <c r="E63" i="14"/>
  <c r="I160" i="4"/>
  <c r="I165" i="4" s="1"/>
  <c r="F160" i="4"/>
  <c r="F165" i="4" s="1"/>
  <c r="I63" i="13"/>
  <c r="N157" i="4"/>
  <c r="N162" i="4" s="1"/>
  <c r="G157" i="4"/>
  <c r="G162" i="4" s="1"/>
  <c r="J63" i="13"/>
  <c r="M158" i="4"/>
  <c r="M163" i="4" s="1"/>
  <c r="S63" i="14"/>
  <c r="L63" i="13"/>
  <c r="G159" i="4"/>
  <c r="G164" i="4" s="1"/>
  <c r="S158" i="4"/>
  <c r="S163" i="4" s="1"/>
  <c r="G63" i="16"/>
  <c r="F157" i="4"/>
  <c r="F162" i="4" s="1"/>
  <c r="F63" i="13"/>
  <c r="P157" i="4"/>
  <c r="P162" i="4" s="1"/>
  <c r="J63" i="15"/>
  <c r="M63" i="13"/>
  <c r="G160" i="4"/>
  <c r="G165" i="4" s="1"/>
  <c r="I63" i="16"/>
  <c r="S160" i="4"/>
  <c r="S165" i="4" s="1"/>
  <c r="H486" i="4"/>
  <c r="H491" i="4" s="1"/>
  <c r="N78" i="13"/>
  <c r="O486" i="4"/>
  <c r="O491" i="4" s="1"/>
  <c r="F78" i="15"/>
  <c r="I487" i="4"/>
  <c r="I492" i="4" s="1"/>
  <c r="C78" i="14"/>
  <c r="Q78" i="14"/>
  <c r="L489" i="4"/>
  <c r="L494" i="4" s="1"/>
  <c r="H78" i="15"/>
  <c r="O488" i="4"/>
  <c r="O493" i="4" s="1"/>
  <c r="I489" i="4"/>
  <c r="I494" i="4" s="1"/>
  <c r="E78" i="14"/>
  <c r="L488" i="4"/>
  <c r="L493" i="4" s="1"/>
  <c r="P78" i="14"/>
  <c r="O487" i="4"/>
  <c r="O492" i="4" s="1"/>
  <c r="G78" i="15"/>
  <c r="L487" i="4"/>
  <c r="L492" i="4" s="1"/>
  <c r="O78" i="14"/>
  <c r="O489" i="4"/>
  <c r="O494" i="4" s="1"/>
  <c r="I78" i="15"/>
  <c r="R487" i="4"/>
  <c r="R492" i="4" s="1"/>
  <c r="C78" i="16"/>
  <c r="L486" i="4"/>
  <c r="L491" i="4" s="1"/>
  <c r="N78" i="14"/>
  <c r="H488" i="4"/>
  <c r="H493" i="4" s="1"/>
  <c r="P78" i="13"/>
  <c r="R488" i="4"/>
  <c r="R493" i="4" s="1"/>
  <c r="D78" i="16"/>
  <c r="I488" i="4"/>
  <c r="I493" i="4" s="1"/>
  <c r="D78" i="14"/>
  <c r="H489" i="4"/>
  <c r="H494" i="4" s="1"/>
  <c r="Q78" i="13"/>
  <c r="R486" i="4"/>
  <c r="R491" i="4" s="1"/>
  <c r="B78" i="16"/>
  <c r="I486" i="4"/>
  <c r="I491" i="4" s="1"/>
  <c r="B78" i="14"/>
  <c r="H487" i="4"/>
  <c r="H492" i="4" s="1"/>
  <c r="O78" i="13"/>
  <c r="R489" i="4"/>
  <c r="R494" i="4" s="1"/>
  <c r="E78" i="16"/>
  <c r="N459" i="4"/>
  <c r="N464" i="4" s="1"/>
  <c r="J460" i="4"/>
  <c r="J465" i="4" s="1"/>
  <c r="G77" i="14"/>
  <c r="K461" i="4"/>
  <c r="K466" i="4" s="1"/>
  <c r="L77" i="14"/>
  <c r="G460" i="4"/>
  <c r="G465" i="4" s="1"/>
  <c r="K77" i="13"/>
  <c r="L460" i="4"/>
  <c r="L465" i="4" s="1"/>
  <c r="O77" i="14"/>
  <c r="R460" i="4"/>
  <c r="R465" i="4" s="1"/>
  <c r="C77" i="16"/>
  <c r="F462" i="4"/>
  <c r="F467" i="4" s="1"/>
  <c r="I77" i="13"/>
  <c r="N462" i="4"/>
  <c r="N467" i="4" s="1"/>
  <c r="E77" i="15"/>
  <c r="K459" i="4"/>
  <c r="K464" i="4" s="1"/>
  <c r="J77" i="14"/>
  <c r="E462" i="4"/>
  <c r="E467" i="4" s="1"/>
  <c r="E77" i="13"/>
  <c r="L77" i="13"/>
  <c r="G461" i="4"/>
  <c r="G466" i="4" s="1"/>
  <c r="L461" i="4"/>
  <c r="L466" i="4" s="1"/>
  <c r="P77" i="14"/>
  <c r="F460" i="4"/>
  <c r="F465" i="4" s="1"/>
  <c r="G77" i="13"/>
  <c r="N460" i="4"/>
  <c r="N465" i="4" s="1"/>
  <c r="C77" i="15"/>
  <c r="M462" i="4"/>
  <c r="M467" i="4" s="1"/>
  <c r="U77" i="14"/>
  <c r="K462" i="4"/>
  <c r="K467" i="4" s="1"/>
  <c r="M77" i="14"/>
  <c r="E460" i="4"/>
  <c r="E465" i="4" s="1"/>
  <c r="C77" i="13"/>
  <c r="L459" i="4"/>
  <c r="L464" i="4" s="1"/>
  <c r="N77" i="14"/>
  <c r="H461" i="4"/>
  <c r="H466" i="4" s="1"/>
  <c r="P77" i="13"/>
  <c r="F461" i="4"/>
  <c r="F466" i="4" s="1"/>
  <c r="H77" i="13"/>
  <c r="N461" i="4"/>
  <c r="N466" i="4" s="1"/>
  <c r="D77" i="15"/>
  <c r="M460" i="4"/>
  <c r="M465" i="4" s="1"/>
  <c r="S77" i="14"/>
  <c r="E461" i="4"/>
  <c r="E466" i="4" s="1"/>
  <c r="D77" i="13"/>
  <c r="I461" i="4"/>
  <c r="I466" i="4" s="1"/>
  <c r="D77" i="14"/>
  <c r="Q77" i="14"/>
  <c r="L462" i="4"/>
  <c r="L467" i="4" s="1"/>
  <c r="H459" i="4"/>
  <c r="H464" i="4" s="1"/>
  <c r="N77" i="13"/>
  <c r="M461" i="4"/>
  <c r="M466" i="4" s="1"/>
  <c r="T77" i="14"/>
  <c r="S460" i="4"/>
  <c r="S465" i="4" s="1"/>
  <c r="G77" i="16"/>
  <c r="B77" i="13"/>
  <c r="E459" i="4"/>
  <c r="E464" i="4" s="1"/>
  <c r="I459" i="4"/>
  <c r="I464" i="4" s="1"/>
  <c r="B77" i="14"/>
  <c r="H462" i="4"/>
  <c r="H467" i="4" s="1"/>
  <c r="Q77" i="13"/>
  <c r="O459" i="4"/>
  <c r="O464" i="4" s="1"/>
  <c r="F77" i="15"/>
  <c r="J461" i="4"/>
  <c r="J466" i="4" s="1"/>
  <c r="H77" i="14"/>
  <c r="R77" i="14"/>
  <c r="M459" i="4"/>
  <c r="M464" i="4" s="1"/>
  <c r="S461" i="4"/>
  <c r="S466" i="4" s="1"/>
  <c r="H77" i="16"/>
  <c r="I462" i="4"/>
  <c r="I467" i="4" s="1"/>
  <c r="E77" i="14"/>
  <c r="R461" i="4"/>
  <c r="R466" i="4" s="1"/>
  <c r="D77" i="16"/>
  <c r="H460" i="4"/>
  <c r="H465" i="4" s="1"/>
  <c r="O77" i="13"/>
  <c r="O462" i="4"/>
  <c r="O467" i="4" s="1"/>
  <c r="I77" i="15"/>
  <c r="J459" i="4"/>
  <c r="J464" i="4" s="1"/>
  <c r="F77" i="14"/>
  <c r="S459" i="4"/>
  <c r="S464" i="4" s="1"/>
  <c r="F77" i="16"/>
  <c r="G459" i="4"/>
  <c r="G464" i="4" s="1"/>
  <c r="J77" i="13"/>
  <c r="I460" i="4"/>
  <c r="I465" i="4" s="1"/>
  <c r="C77" i="14"/>
  <c r="R459" i="4"/>
  <c r="R464" i="4" s="1"/>
  <c r="B77" i="16"/>
  <c r="O460" i="4"/>
  <c r="O465" i="4" s="1"/>
  <c r="G77" i="15"/>
  <c r="J462" i="4"/>
  <c r="J467" i="4" s="1"/>
  <c r="I77" i="14"/>
  <c r="K460" i="4"/>
  <c r="K465" i="4" s="1"/>
  <c r="K77" i="14"/>
  <c r="S462" i="4"/>
  <c r="S467" i="4" s="1"/>
  <c r="I77" i="16"/>
  <c r="G462" i="4"/>
  <c r="G467" i="4" s="1"/>
  <c r="M77" i="13"/>
  <c r="R462" i="4"/>
  <c r="R467" i="4" s="1"/>
  <c r="E77" i="16"/>
  <c r="F459" i="4"/>
  <c r="F464" i="4" s="1"/>
  <c r="F77" i="13"/>
  <c r="O461" i="4"/>
  <c r="O466" i="4" s="1"/>
  <c r="H77" i="15"/>
  <c r="L378" i="4"/>
  <c r="L383" i="4" s="1"/>
  <c r="Q84" i="14"/>
  <c r="I376" i="4"/>
  <c r="I381" i="4" s="1"/>
  <c r="C84" i="14"/>
  <c r="S377" i="4"/>
  <c r="S382" i="4" s="1"/>
  <c r="H84" i="16"/>
  <c r="R377" i="4"/>
  <c r="R382" i="4" s="1"/>
  <c r="D84" i="16"/>
  <c r="N377" i="4"/>
  <c r="N382" i="4" s="1"/>
  <c r="D84" i="15"/>
  <c r="F376" i="4"/>
  <c r="F381" i="4" s="1"/>
  <c r="G84" i="13"/>
  <c r="L84" i="13"/>
  <c r="G377" i="4"/>
  <c r="G382" i="4" s="1"/>
  <c r="Q378" i="4"/>
  <c r="Q383" i="4" s="1"/>
  <c r="Q84" i="15"/>
  <c r="L376" i="4"/>
  <c r="L381" i="4" s="1"/>
  <c r="O84" i="14"/>
  <c r="R378" i="4"/>
  <c r="R383" i="4" s="1"/>
  <c r="E84" i="16"/>
  <c r="I377" i="4"/>
  <c r="I382" i="4" s="1"/>
  <c r="D84" i="14"/>
  <c r="R375" i="4"/>
  <c r="R380" i="4" s="1"/>
  <c r="B84" i="16"/>
  <c r="N375" i="4"/>
  <c r="N380" i="4" s="1"/>
  <c r="G375" i="4"/>
  <c r="G380" i="4" s="1"/>
  <c r="J84" i="13"/>
  <c r="L377" i="4"/>
  <c r="L382" i="4" s="1"/>
  <c r="P84" i="14"/>
  <c r="Q375" i="4"/>
  <c r="Q380" i="4" s="1"/>
  <c r="N84" i="15"/>
  <c r="I375" i="4"/>
  <c r="I380" i="4" s="1"/>
  <c r="B84" i="14"/>
  <c r="N378" i="4"/>
  <c r="N383" i="4" s="1"/>
  <c r="E84" i="15"/>
  <c r="G378" i="4"/>
  <c r="G383" i="4" s="1"/>
  <c r="M84" i="13"/>
  <c r="G84" i="16"/>
  <c r="S376" i="4"/>
  <c r="S381" i="4" s="1"/>
  <c r="I378" i="4"/>
  <c r="I383" i="4" s="1"/>
  <c r="E84" i="14"/>
  <c r="B84" i="13"/>
  <c r="E375" i="4"/>
  <c r="E380" i="4" s="1"/>
  <c r="N376" i="4"/>
  <c r="N381" i="4" s="1"/>
  <c r="C84" i="15"/>
  <c r="G376" i="4"/>
  <c r="G381" i="4" s="1"/>
  <c r="K84" i="13"/>
  <c r="J378" i="4"/>
  <c r="J383" i="4" s="1"/>
  <c r="I84" i="14"/>
  <c r="F378" i="4"/>
  <c r="F383" i="4" s="1"/>
  <c r="I84" i="13"/>
  <c r="E378" i="4"/>
  <c r="E383" i="4" s="1"/>
  <c r="E84" i="13"/>
  <c r="G84" i="14"/>
  <c r="J376" i="4"/>
  <c r="J381" i="4" s="1"/>
  <c r="S378" i="4"/>
  <c r="S383" i="4" s="1"/>
  <c r="I84" i="16"/>
  <c r="E377" i="4"/>
  <c r="E382" i="4" s="1"/>
  <c r="D84" i="13"/>
  <c r="F377" i="4"/>
  <c r="F382" i="4" s="1"/>
  <c r="H84" i="13"/>
  <c r="Q376" i="4"/>
  <c r="Q381" i="4" s="1"/>
  <c r="O84" i="15"/>
  <c r="J375" i="4"/>
  <c r="J380" i="4" s="1"/>
  <c r="F84" i="14"/>
  <c r="S375" i="4"/>
  <c r="S380" i="4" s="1"/>
  <c r="F84" i="16"/>
  <c r="C84" i="16"/>
  <c r="R376" i="4"/>
  <c r="R381" i="4" s="1"/>
  <c r="E376" i="4"/>
  <c r="E381" i="4" s="1"/>
  <c r="C84" i="13"/>
  <c r="F375" i="4"/>
  <c r="F380" i="4" s="1"/>
  <c r="F84" i="13"/>
  <c r="Q377" i="4"/>
  <c r="Q382" i="4" s="1"/>
  <c r="P84" i="15"/>
  <c r="L375" i="4"/>
  <c r="L380" i="4" s="1"/>
  <c r="N84" i="14"/>
  <c r="J377" i="4"/>
  <c r="J382" i="4" s="1"/>
  <c r="H84" i="14"/>
  <c r="Q296" i="4"/>
  <c r="Q301" i="4" s="1"/>
  <c r="O73" i="15"/>
  <c r="B73" i="13"/>
  <c r="E295" i="4"/>
  <c r="E300" i="4" s="1"/>
  <c r="N297" i="4"/>
  <c r="N302" i="4" s="1"/>
  <c r="D73" i="15"/>
  <c r="S297" i="4"/>
  <c r="S302" i="4" s="1"/>
  <c r="H73" i="16"/>
  <c r="G73" i="15"/>
  <c r="O296" i="4"/>
  <c r="O301" i="4" s="1"/>
  <c r="P298" i="4"/>
  <c r="P303" i="4" s="1"/>
  <c r="M73" i="15"/>
  <c r="Q73" i="15"/>
  <c r="Q298" i="4"/>
  <c r="Q303" i="4" s="1"/>
  <c r="E298" i="4"/>
  <c r="E303" i="4" s="1"/>
  <c r="E73" i="13"/>
  <c r="N295" i="4"/>
  <c r="N300" i="4" s="1"/>
  <c r="S295" i="4"/>
  <c r="S300" i="4" s="1"/>
  <c r="F73" i="16"/>
  <c r="O298" i="4"/>
  <c r="O303" i="4" s="1"/>
  <c r="I73" i="15"/>
  <c r="F296" i="4"/>
  <c r="F301" i="4" s="1"/>
  <c r="G73" i="13"/>
  <c r="P296" i="4"/>
  <c r="P301" i="4" s="1"/>
  <c r="K73" i="15"/>
  <c r="H298" i="4"/>
  <c r="H303" i="4" s="1"/>
  <c r="Q73" i="13"/>
  <c r="Q297" i="4"/>
  <c r="Q302" i="4" s="1"/>
  <c r="P73" i="15"/>
  <c r="N298" i="4"/>
  <c r="N303" i="4" s="1"/>
  <c r="E73" i="15"/>
  <c r="S298" i="4"/>
  <c r="S303" i="4" s="1"/>
  <c r="I73" i="16"/>
  <c r="O297" i="4"/>
  <c r="O302" i="4" s="1"/>
  <c r="H73" i="15"/>
  <c r="F297" i="4"/>
  <c r="F302" i="4" s="1"/>
  <c r="H73" i="13"/>
  <c r="P295" i="4"/>
  <c r="P300" i="4" s="1"/>
  <c r="J73" i="15"/>
  <c r="H296" i="4"/>
  <c r="H301" i="4" s="1"/>
  <c r="O73" i="13"/>
  <c r="S296" i="4"/>
  <c r="S301" i="4" s="1"/>
  <c r="G73" i="16"/>
  <c r="M297" i="4"/>
  <c r="M302" i="4" s="1"/>
  <c r="T73" i="14"/>
  <c r="O295" i="4"/>
  <c r="O300" i="4" s="1"/>
  <c r="F73" i="15"/>
  <c r="F295" i="4"/>
  <c r="F300" i="4" s="1"/>
  <c r="F73" i="13"/>
  <c r="P297" i="4"/>
  <c r="P302" i="4" s="1"/>
  <c r="L73" i="15"/>
  <c r="H297" i="4"/>
  <c r="H302" i="4" s="1"/>
  <c r="P73" i="13"/>
  <c r="R298" i="4"/>
  <c r="R303" i="4" s="1"/>
  <c r="E73" i="16"/>
  <c r="M296" i="4"/>
  <c r="M301" i="4" s="1"/>
  <c r="S73" i="14"/>
  <c r="F298" i="4"/>
  <c r="F303" i="4" s="1"/>
  <c r="I73" i="13"/>
  <c r="H295" i="4"/>
  <c r="H300" i="4" s="1"/>
  <c r="N73" i="13"/>
  <c r="B73" i="16"/>
  <c r="R295" i="4"/>
  <c r="R300" i="4" s="1"/>
  <c r="M295" i="4"/>
  <c r="M300" i="4" s="1"/>
  <c r="R73" i="14"/>
  <c r="E296" i="4"/>
  <c r="E301" i="4" s="1"/>
  <c r="C73" i="13"/>
  <c r="C73" i="16"/>
  <c r="R296" i="4"/>
  <c r="R301" i="4" s="1"/>
  <c r="M298" i="4"/>
  <c r="M303" i="4" s="1"/>
  <c r="U73" i="14"/>
  <c r="Q295" i="4"/>
  <c r="Q300" i="4" s="1"/>
  <c r="N73" i="15"/>
  <c r="E297" i="4"/>
  <c r="E302" i="4" s="1"/>
  <c r="D73" i="13"/>
  <c r="N296" i="4"/>
  <c r="N301" i="4" s="1"/>
  <c r="C73" i="15"/>
  <c r="R297" i="4"/>
  <c r="R302" i="4" s="1"/>
  <c r="D73" i="16"/>
  <c r="K242" i="4"/>
  <c r="K247" i="4" s="1"/>
  <c r="M70" i="14"/>
  <c r="R242" i="4"/>
  <c r="R247" i="4" s="1"/>
  <c r="E70" i="16"/>
  <c r="K240" i="4"/>
  <c r="K245" i="4" s="1"/>
  <c r="K70" i="14"/>
  <c r="C70" i="16"/>
  <c r="R240" i="4"/>
  <c r="R245" i="4" s="1"/>
  <c r="H240" i="4"/>
  <c r="H245" i="4" s="1"/>
  <c r="O70" i="13"/>
  <c r="F240" i="4"/>
  <c r="F245" i="4" s="1"/>
  <c r="G70" i="13"/>
  <c r="P70" i="13"/>
  <c r="H241" i="4"/>
  <c r="H246" i="4" s="1"/>
  <c r="H242" i="4"/>
  <c r="H247" i="4" s="1"/>
  <c r="Q70" i="13"/>
  <c r="F70" i="13"/>
  <c r="F239" i="4"/>
  <c r="F244" i="4" s="1"/>
  <c r="J242" i="4"/>
  <c r="J247" i="4" s="1"/>
  <c r="I70" i="14"/>
  <c r="L241" i="4"/>
  <c r="L246" i="4" s="1"/>
  <c r="P70" i="14"/>
  <c r="H239" i="4"/>
  <c r="H244" i="4" s="1"/>
  <c r="N70" i="13"/>
  <c r="P240" i="4"/>
  <c r="P245" i="4" s="1"/>
  <c r="K70" i="15"/>
  <c r="F242" i="4"/>
  <c r="F247" i="4" s="1"/>
  <c r="I70" i="13"/>
  <c r="J240" i="4"/>
  <c r="J245" i="4" s="1"/>
  <c r="G70" i="14"/>
  <c r="R241" i="4"/>
  <c r="R246" i="4" s="1"/>
  <c r="D70" i="16"/>
  <c r="F241" i="4"/>
  <c r="F246" i="4" s="1"/>
  <c r="H70" i="13"/>
  <c r="L239" i="4"/>
  <c r="L244" i="4" s="1"/>
  <c r="N70" i="14"/>
  <c r="P242" i="4"/>
  <c r="P247" i="4" s="1"/>
  <c r="M70" i="15"/>
  <c r="J241" i="4"/>
  <c r="J246" i="4" s="1"/>
  <c r="H70" i="14"/>
  <c r="K241" i="4"/>
  <c r="K246" i="4" s="1"/>
  <c r="L70" i="14"/>
  <c r="Q70" i="14"/>
  <c r="L242" i="4"/>
  <c r="L247" i="4" s="1"/>
  <c r="P241" i="4"/>
  <c r="P246" i="4" s="1"/>
  <c r="L70" i="15"/>
  <c r="J239" i="4"/>
  <c r="J244" i="4" s="1"/>
  <c r="F70" i="14"/>
  <c r="K239" i="4"/>
  <c r="K244" i="4" s="1"/>
  <c r="J70" i="14"/>
  <c r="R239" i="4"/>
  <c r="R244" i="4" s="1"/>
  <c r="B70" i="16"/>
  <c r="L240" i="4"/>
  <c r="L245" i="4" s="1"/>
  <c r="O70" i="14"/>
  <c r="P239" i="4"/>
  <c r="P244" i="4" s="1"/>
  <c r="J70" i="15"/>
  <c r="N132" i="4"/>
  <c r="N137" i="4" s="1"/>
  <c r="E62" i="15"/>
  <c r="J129" i="4"/>
  <c r="J134" i="4" s="1"/>
  <c r="F62" i="14"/>
  <c r="F132" i="4"/>
  <c r="F137" i="4" s="1"/>
  <c r="I62" i="13"/>
  <c r="I132" i="4"/>
  <c r="I137" i="4" s="1"/>
  <c r="E62" i="14"/>
  <c r="E132" i="4"/>
  <c r="E137" i="4" s="1"/>
  <c r="E62" i="13"/>
  <c r="G129" i="4"/>
  <c r="G134" i="4" s="1"/>
  <c r="N130" i="4"/>
  <c r="N135" i="4" s="1"/>
  <c r="C62" i="15"/>
  <c r="R131" i="4"/>
  <c r="R136" i="4" s="1"/>
  <c r="D62" i="16"/>
  <c r="F130" i="4"/>
  <c r="F135" i="4" s="1"/>
  <c r="G62" i="13"/>
  <c r="M132" i="4"/>
  <c r="M137" i="4" s="1"/>
  <c r="U62" i="14"/>
  <c r="E130" i="4"/>
  <c r="E135" i="4" s="1"/>
  <c r="C62" i="13"/>
  <c r="S129" i="4"/>
  <c r="S134" i="4" s="1"/>
  <c r="F62" i="16"/>
  <c r="R130" i="4"/>
  <c r="R135" i="4" s="1"/>
  <c r="C62" i="16"/>
  <c r="E131" i="4"/>
  <c r="E136" i="4" s="1"/>
  <c r="D62" i="13"/>
  <c r="R132" i="4"/>
  <c r="R137" i="4" s="1"/>
  <c r="E62" i="16"/>
  <c r="I131" i="4"/>
  <c r="I136" i="4" s="1"/>
  <c r="D62" i="14"/>
  <c r="O129" i="4"/>
  <c r="O134" i="4" s="1"/>
  <c r="K129" i="4"/>
  <c r="K134" i="4" s="1"/>
  <c r="J62" i="14"/>
  <c r="I130" i="4"/>
  <c r="I135" i="4" s="1"/>
  <c r="C62" i="14"/>
  <c r="Q131" i="4"/>
  <c r="Q136" i="4" s="1"/>
  <c r="P62" i="15"/>
  <c r="N62" i="13"/>
  <c r="Q130" i="4"/>
  <c r="Q135" i="4" s="1"/>
  <c r="O62" i="15"/>
  <c r="M130" i="4"/>
  <c r="M135" i="4" s="1"/>
  <c r="S62" i="14"/>
  <c r="L129" i="4"/>
  <c r="L134" i="4" s="1"/>
  <c r="N62" i="14"/>
  <c r="Q132" i="4"/>
  <c r="Q137" i="4" s="1"/>
  <c r="Q62" i="15"/>
  <c r="M131" i="4"/>
  <c r="M136" i="4" s="1"/>
  <c r="T62" i="14"/>
  <c r="N131" i="4"/>
  <c r="N136" i="4" s="1"/>
  <c r="D62" i="15"/>
  <c r="P129" i="4"/>
  <c r="P134" i="4" s="1"/>
  <c r="F131" i="4"/>
  <c r="F136" i="4" s="1"/>
  <c r="H62" i="13"/>
  <c r="G103" i="4"/>
  <c r="G108" i="4" s="1"/>
  <c r="L61" i="13"/>
  <c r="L102" i="4"/>
  <c r="L107" i="4" s="1"/>
  <c r="O61" i="14"/>
  <c r="K103" i="4"/>
  <c r="K108" i="4" s="1"/>
  <c r="L61" i="14"/>
  <c r="J101" i="4"/>
  <c r="J106" i="4" s="1"/>
  <c r="F61" i="14"/>
  <c r="E102" i="4"/>
  <c r="E107" i="4" s="1"/>
  <c r="C61" i="13"/>
  <c r="G102" i="4"/>
  <c r="G107" i="4" s="1"/>
  <c r="K61" i="13"/>
  <c r="K61" i="14"/>
  <c r="K102" i="4"/>
  <c r="K107" i="4" s="1"/>
  <c r="C61" i="16"/>
  <c r="R102" i="4"/>
  <c r="R107" i="4" s="1"/>
  <c r="R61" i="14"/>
  <c r="M101" i="4"/>
  <c r="M106" i="4" s="1"/>
  <c r="E104" i="4"/>
  <c r="E109" i="4" s="1"/>
  <c r="E61" i="13"/>
  <c r="G101" i="4"/>
  <c r="G106" i="4" s="1"/>
  <c r="J61" i="13"/>
  <c r="R101" i="4"/>
  <c r="R106" i="4" s="1"/>
  <c r="B61" i="16"/>
  <c r="M104" i="4"/>
  <c r="M109" i="4" s="1"/>
  <c r="U61" i="14"/>
  <c r="E103" i="4"/>
  <c r="E108" i="4" s="1"/>
  <c r="D61" i="13"/>
  <c r="G104" i="4"/>
  <c r="G109" i="4" s="1"/>
  <c r="M61" i="13"/>
  <c r="R104" i="4"/>
  <c r="R109" i="4" s="1"/>
  <c r="E61" i="16"/>
  <c r="M102" i="4"/>
  <c r="M107" i="4" s="1"/>
  <c r="S61" i="14"/>
  <c r="B61" i="13"/>
  <c r="E101" i="4"/>
  <c r="E106" i="4" s="1"/>
  <c r="R103" i="4"/>
  <c r="R108" i="4" s="1"/>
  <c r="D61" i="16"/>
  <c r="M103" i="4"/>
  <c r="M108" i="4" s="1"/>
  <c r="T61" i="14"/>
  <c r="L101" i="4"/>
  <c r="L106" i="4" s="1"/>
  <c r="N61" i="14"/>
  <c r="J104" i="4"/>
  <c r="J109" i="4" s="1"/>
  <c r="I61" i="14"/>
  <c r="L104" i="4"/>
  <c r="L109" i="4" s="1"/>
  <c r="Q61" i="14"/>
  <c r="K101" i="4"/>
  <c r="K106" i="4" s="1"/>
  <c r="J61" i="14"/>
  <c r="J103" i="4"/>
  <c r="J108" i="4" s="1"/>
  <c r="H61" i="14"/>
  <c r="L103" i="4"/>
  <c r="L108" i="4" s="1"/>
  <c r="P61" i="14"/>
  <c r="K104" i="4"/>
  <c r="K109" i="4" s="1"/>
  <c r="M61" i="14"/>
  <c r="J102" i="4"/>
  <c r="J107" i="4" s="1"/>
  <c r="G61" i="14"/>
  <c r="D59" i="14"/>
  <c r="R59" i="14"/>
  <c r="M78" i="4"/>
  <c r="F81" i="4"/>
  <c r="I59" i="13"/>
  <c r="M59" i="14"/>
  <c r="M59" i="13"/>
  <c r="J78" i="4"/>
  <c r="F59" i="14"/>
  <c r="H59" i="13"/>
  <c r="F80" i="4"/>
  <c r="H78" i="4"/>
  <c r="N59" i="13"/>
  <c r="N59" i="14"/>
  <c r="L78" i="4"/>
  <c r="P80" i="4"/>
  <c r="L59" i="15"/>
  <c r="D59" i="15"/>
  <c r="N80" i="4"/>
  <c r="O80" i="4"/>
  <c r="H59" i="15"/>
  <c r="I81" i="4"/>
  <c r="E59" i="14"/>
  <c r="B59" i="13"/>
  <c r="E78" i="4"/>
  <c r="Q78" i="4"/>
  <c r="N59" i="15"/>
  <c r="P81" i="4"/>
  <c r="M59" i="15"/>
  <c r="R78" i="4"/>
  <c r="B59" i="16"/>
  <c r="N81" i="4"/>
  <c r="E59" i="15"/>
  <c r="O81" i="4"/>
  <c r="I59" i="15"/>
  <c r="S80" i="4"/>
  <c r="H59" i="16"/>
  <c r="K78" i="4"/>
  <c r="E58" i="14"/>
  <c r="I49" i="4"/>
  <c r="I54" i="4" s="1"/>
  <c r="F58" i="13"/>
  <c r="F46" i="4"/>
  <c r="F51" i="4" s="1"/>
  <c r="N58" i="14"/>
  <c r="L46" i="4"/>
  <c r="L51" i="4" s="1"/>
  <c r="F58" i="15"/>
  <c r="O46" i="4"/>
  <c r="O51" i="4" s="1"/>
  <c r="E58" i="16"/>
  <c r="R49" i="4"/>
  <c r="R54" i="4" s="1"/>
  <c r="I58" i="13"/>
  <c r="F49" i="4"/>
  <c r="F54" i="4" s="1"/>
  <c r="Q58" i="14"/>
  <c r="L49" i="4"/>
  <c r="L54" i="4" s="1"/>
  <c r="I58" i="15"/>
  <c r="O49" i="4"/>
  <c r="O54" i="4" s="1"/>
  <c r="B58" i="13"/>
  <c r="E46" i="4"/>
  <c r="E51" i="4" s="1"/>
  <c r="I46" i="4"/>
  <c r="I51" i="4" s="1"/>
  <c r="B58" i="14"/>
  <c r="R58" i="14"/>
  <c r="M46" i="4"/>
  <c r="M51" i="4" s="1"/>
  <c r="F47" i="4"/>
  <c r="F52" i="4" s="1"/>
  <c r="G58" i="13"/>
  <c r="O58" i="14"/>
  <c r="L47" i="4"/>
  <c r="L52" i="4" s="1"/>
  <c r="G58" i="15"/>
  <c r="O47" i="4"/>
  <c r="O52" i="4" s="1"/>
  <c r="E58" i="13"/>
  <c r="E49" i="4"/>
  <c r="E54" i="4" s="1"/>
  <c r="S58" i="14"/>
  <c r="M47" i="4"/>
  <c r="M52" i="4" s="1"/>
  <c r="P58" i="14"/>
  <c r="L48" i="4"/>
  <c r="L53" i="4" s="1"/>
  <c r="C58" i="13"/>
  <c r="E47" i="4"/>
  <c r="E52" i="4" s="1"/>
  <c r="G58" i="14"/>
  <c r="J47" i="4"/>
  <c r="J52" i="4" s="1"/>
  <c r="N46" i="4"/>
  <c r="N51" i="4" s="1"/>
  <c r="J58" i="14"/>
  <c r="K46" i="4"/>
  <c r="K51" i="4" s="1"/>
  <c r="D58" i="15"/>
  <c r="N48" i="4"/>
  <c r="N53" i="4" s="1"/>
  <c r="U58" i="14"/>
  <c r="M49" i="4"/>
  <c r="M54" i="4" s="1"/>
  <c r="M58" i="14"/>
  <c r="K49" i="4"/>
  <c r="K54" i="4" s="1"/>
  <c r="D58" i="13"/>
  <c r="E48" i="4"/>
  <c r="E53" i="4" s="1"/>
  <c r="C58" i="16"/>
  <c r="R47" i="4"/>
  <c r="R52" i="4" s="1"/>
  <c r="H58" i="14"/>
  <c r="J48" i="4"/>
  <c r="J53" i="4" s="1"/>
  <c r="H58" i="13"/>
  <c r="F48" i="4"/>
  <c r="F53" i="4" s="1"/>
  <c r="E58" i="15"/>
  <c r="N49" i="4"/>
  <c r="N54" i="4" s="1"/>
  <c r="C58" i="14"/>
  <c r="I47" i="4"/>
  <c r="I52" i="4" s="1"/>
  <c r="T58" i="14"/>
  <c r="M48" i="4"/>
  <c r="M53" i="4" s="1"/>
  <c r="K48" i="4"/>
  <c r="K53" i="4" s="1"/>
  <c r="L58" i="14"/>
  <c r="D58" i="16"/>
  <c r="R48" i="4"/>
  <c r="R53" i="4" s="1"/>
  <c r="F58" i="14"/>
  <c r="J46" i="4"/>
  <c r="J51" i="4" s="1"/>
  <c r="H58" i="15"/>
  <c r="O48" i="4"/>
  <c r="O53" i="4" s="1"/>
  <c r="N47" i="4"/>
  <c r="N52" i="4" s="1"/>
  <c r="C58" i="15"/>
  <c r="D58" i="14"/>
  <c r="I48" i="4"/>
  <c r="I53" i="4" s="1"/>
  <c r="K58" i="14"/>
  <c r="K47" i="4"/>
  <c r="K52" i="4" s="1"/>
  <c r="B58" i="16"/>
  <c r="R46" i="4"/>
  <c r="R51" i="4" s="1"/>
  <c r="I58" i="14"/>
  <c r="J49" i="4"/>
  <c r="J54" i="4" s="1"/>
  <c r="L18" i="4"/>
  <c r="L23" i="4" s="1"/>
  <c r="N57" i="14"/>
  <c r="J20" i="4"/>
  <c r="J25" i="4" s="1"/>
  <c r="H57" i="14"/>
  <c r="I20" i="4"/>
  <c r="I25" i="4" s="1"/>
  <c r="D57" i="14"/>
  <c r="G57" i="14"/>
  <c r="J19" i="4"/>
  <c r="J24" i="4" s="1"/>
  <c r="I21" i="4"/>
  <c r="I26" i="4" s="1"/>
  <c r="E57" i="14"/>
  <c r="J21" i="4"/>
  <c r="J26" i="4" s="1"/>
  <c r="I57" i="14"/>
  <c r="I19" i="4"/>
  <c r="I24" i="4" s="1"/>
  <c r="C57" i="14"/>
  <c r="H19" i="4"/>
  <c r="H24" i="4" s="1"/>
  <c r="O57" i="13"/>
  <c r="B57" i="13"/>
  <c r="E18" i="4"/>
  <c r="E23" i="4" s="1"/>
  <c r="H21" i="4"/>
  <c r="H26" i="4" s="1"/>
  <c r="Q57" i="13"/>
  <c r="F18" i="4"/>
  <c r="F23" i="4" s="1"/>
  <c r="F57" i="13"/>
  <c r="S19" i="4"/>
  <c r="S24" i="4" s="1"/>
  <c r="G57" i="16"/>
  <c r="K21" i="4"/>
  <c r="K26" i="4" s="1"/>
  <c r="M57" i="14"/>
  <c r="M20" i="4"/>
  <c r="M25" i="4" s="1"/>
  <c r="T57" i="14"/>
  <c r="H20" i="4"/>
  <c r="H25" i="4" s="1"/>
  <c r="P57" i="13"/>
  <c r="S21" i="4"/>
  <c r="S26" i="4" s="1"/>
  <c r="I57" i="16"/>
  <c r="K19" i="4"/>
  <c r="K24" i="4" s="1"/>
  <c r="K57" i="14"/>
  <c r="M19" i="4"/>
  <c r="M24" i="4" s="1"/>
  <c r="S57" i="14"/>
  <c r="G18" i="4"/>
  <c r="G23" i="4" s="1"/>
  <c r="J57" i="13"/>
  <c r="S20" i="4"/>
  <c r="S25" i="4" s="1"/>
  <c r="H57" i="16"/>
  <c r="K20" i="4"/>
  <c r="K25" i="4" s="1"/>
  <c r="L57" i="14"/>
  <c r="R18" i="4"/>
  <c r="R23" i="4" s="1"/>
  <c r="M21" i="4"/>
  <c r="M26" i="4" s="1"/>
  <c r="U57" i="14"/>
  <c r="F268" i="4"/>
  <c r="F273" i="4" s="1"/>
  <c r="G71" i="13"/>
  <c r="Q268" i="4"/>
  <c r="Q273" i="4" s="1"/>
  <c r="O71" i="15"/>
  <c r="L269" i="4"/>
  <c r="L274" i="4" s="1"/>
  <c r="P71" i="14"/>
  <c r="G71" i="14"/>
  <c r="J268" i="4"/>
  <c r="J273" i="4" s="1"/>
  <c r="F269" i="4"/>
  <c r="F274" i="4" s="1"/>
  <c r="H71" i="13"/>
  <c r="P267" i="4"/>
  <c r="P272" i="4" s="1"/>
  <c r="J71" i="15"/>
  <c r="P71" i="15"/>
  <c r="Q269" i="4"/>
  <c r="Q274" i="4" s="1"/>
  <c r="F270" i="4"/>
  <c r="F275" i="4" s="1"/>
  <c r="I71" i="13"/>
  <c r="J270" i="4"/>
  <c r="J275" i="4" s="1"/>
  <c r="I71" i="14"/>
  <c r="S268" i="4"/>
  <c r="S273" i="4" s="1"/>
  <c r="G71" i="16"/>
  <c r="L270" i="4"/>
  <c r="L275" i="4" s="1"/>
  <c r="Q71" i="14"/>
  <c r="J269" i="4"/>
  <c r="J274" i="4" s="1"/>
  <c r="H71" i="14"/>
  <c r="H71" i="16"/>
  <c r="S269" i="4"/>
  <c r="S274" i="4" s="1"/>
  <c r="S270" i="4"/>
  <c r="S275" i="4" s="1"/>
  <c r="I71" i="16"/>
  <c r="T71" i="14"/>
  <c r="M269" i="4"/>
  <c r="M274" i="4" s="1"/>
  <c r="M270" i="4"/>
  <c r="M275" i="4" s="1"/>
  <c r="U71" i="14"/>
  <c r="D71" i="14"/>
  <c r="I269" i="4"/>
  <c r="I274" i="4" s="1"/>
  <c r="F71" i="15"/>
  <c r="O267" i="4"/>
  <c r="O272" i="4" s="1"/>
  <c r="D71" i="13"/>
  <c r="E269" i="4"/>
  <c r="E274" i="4" s="1"/>
  <c r="Q270" i="4"/>
  <c r="Q275" i="4" s="1"/>
  <c r="Q71" i="15"/>
  <c r="N267" i="4"/>
  <c r="N272" i="4" s="1"/>
  <c r="I270" i="4"/>
  <c r="I275" i="4" s="1"/>
  <c r="E71" i="14"/>
  <c r="E270" i="4"/>
  <c r="E275" i="4" s="1"/>
  <c r="E71" i="13"/>
  <c r="P516" i="4"/>
  <c r="P521" i="4" s="1"/>
  <c r="L79" i="15"/>
  <c r="K514" i="4"/>
  <c r="K519" i="4" s="1"/>
  <c r="J79" i="14"/>
  <c r="M516" i="4"/>
  <c r="M521" i="4" s="1"/>
  <c r="T79" i="14"/>
  <c r="J516" i="4"/>
  <c r="J521" i="4" s="1"/>
  <c r="H79" i="14"/>
  <c r="L516" i="4"/>
  <c r="L521" i="4" s="1"/>
  <c r="P79" i="14"/>
  <c r="G79" i="14"/>
  <c r="J515" i="4"/>
  <c r="J520" i="4" s="1"/>
  <c r="R514" i="4"/>
  <c r="R519" i="4" s="1"/>
  <c r="B79" i="16"/>
  <c r="Q79" i="14"/>
  <c r="L517" i="4"/>
  <c r="L522" i="4" s="1"/>
  <c r="N515" i="4"/>
  <c r="N520" i="4" s="1"/>
  <c r="C79" i="15"/>
  <c r="S515" i="4"/>
  <c r="S520" i="4" s="1"/>
  <c r="G79" i="16"/>
  <c r="K515" i="4"/>
  <c r="K520" i="4" s="1"/>
  <c r="K79" i="14"/>
  <c r="N516" i="4"/>
  <c r="N521" i="4" s="1"/>
  <c r="D79" i="15"/>
  <c r="O514" i="4"/>
  <c r="O519" i="4" s="1"/>
  <c r="F79" i="15"/>
  <c r="N517" i="4"/>
  <c r="N522" i="4" s="1"/>
  <c r="E79" i="15"/>
  <c r="P517" i="4"/>
  <c r="P522" i="4" s="1"/>
  <c r="M79" i="15"/>
  <c r="O515" i="4"/>
  <c r="O520" i="4" s="1"/>
  <c r="G79" i="15"/>
  <c r="S514" i="4"/>
  <c r="S519" i="4" s="1"/>
  <c r="F79" i="16"/>
  <c r="M517" i="4"/>
  <c r="M522" i="4" s="1"/>
  <c r="U79" i="14"/>
  <c r="J517" i="4"/>
  <c r="J522" i="4" s="1"/>
  <c r="I79" i="14"/>
  <c r="B79" i="13"/>
  <c r="E514" i="4"/>
  <c r="E519" i="4" s="1"/>
  <c r="F517" i="4"/>
  <c r="F522" i="4" s="1"/>
  <c r="I79" i="13"/>
  <c r="F515" i="4"/>
  <c r="F520" i="4" s="1"/>
  <c r="G79" i="13"/>
  <c r="H516" i="4"/>
  <c r="H521" i="4" s="1"/>
  <c r="P79" i="13"/>
  <c r="H517" i="4"/>
  <c r="H522" i="4" s="1"/>
  <c r="Q79" i="13"/>
  <c r="G514" i="4"/>
  <c r="G519" i="4" s="1"/>
  <c r="J79" i="13"/>
  <c r="F516" i="4"/>
  <c r="F521" i="4" s="1"/>
  <c r="H79" i="13"/>
  <c r="G515" i="4"/>
  <c r="G520" i="4" s="1"/>
  <c r="K79" i="13"/>
  <c r="R431" i="4"/>
  <c r="R436" i="4" s="1"/>
  <c r="B76" i="16"/>
  <c r="S431" i="4"/>
  <c r="S436" i="4" s="1"/>
  <c r="F76" i="16"/>
  <c r="B76" i="13"/>
  <c r="E431" i="4"/>
  <c r="E436" i="4" s="1"/>
  <c r="F431" i="4"/>
  <c r="F436" i="4" s="1"/>
  <c r="F76" i="13"/>
  <c r="G431" i="4"/>
  <c r="G436" i="4" s="1"/>
  <c r="J76" i="13"/>
  <c r="L431" i="4"/>
  <c r="L436" i="4" s="1"/>
  <c r="N76" i="14"/>
  <c r="H431" i="4"/>
  <c r="H436" i="4" s="1"/>
  <c r="N76" i="13"/>
  <c r="J431" i="4"/>
  <c r="J436" i="4" s="1"/>
  <c r="F76" i="14"/>
  <c r="K431" i="4"/>
  <c r="K436" i="4" s="1"/>
  <c r="J76" i="14"/>
  <c r="R76" i="14"/>
  <c r="M431" i="4"/>
  <c r="M436" i="4" s="1"/>
  <c r="P103" i="4"/>
  <c r="P108" i="4" s="1"/>
  <c r="L61" i="15"/>
  <c r="P104" i="4"/>
  <c r="P109" i="4" s="1"/>
  <c r="M61" i="15"/>
  <c r="P102" i="4"/>
  <c r="P107" i="4" s="1"/>
  <c r="K61" i="15"/>
  <c r="O104" i="4"/>
  <c r="O109" i="4" s="1"/>
  <c r="I61" i="15"/>
  <c r="O101" i="4"/>
  <c r="O106" i="4" s="1"/>
  <c r="F61" i="15"/>
  <c r="O102" i="4"/>
  <c r="O107" i="4" s="1"/>
  <c r="G61" i="15"/>
  <c r="H61" i="15"/>
  <c r="O103" i="4"/>
  <c r="O108" i="4" s="1"/>
  <c r="P101" i="4"/>
  <c r="P106" i="4" s="1"/>
  <c r="J61" i="15"/>
  <c r="N103" i="4"/>
  <c r="N108" i="4" s="1"/>
  <c r="D61" i="15"/>
  <c r="N104" i="4"/>
  <c r="N109" i="4" s="1"/>
  <c r="E61" i="15"/>
  <c r="N101" i="4"/>
  <c r="N106" i="4" s="1"/>
  <c r="N102" i="4"/>
  <c r="N107" i="4" s="1"/>
  <c r="C61" i="15"/>
  <c r="P19" i="4"/>
  <c r="P24" i="4" s="1"/>
  <c r="K57" i="15"/>
  <c r="P20" i="4"/>
  <c r="P25" i="4" s="1"/>
  <c r="L57" i="15"/>
  <c r="P21" i="4"/>
  <c r="P26" i="4" s="1"/>
  <c r="M57" i="15"/>
  <c r="O18" i="4"/>
  <c r="O23" i="4" s="1"/>
  <c r="F57" i="15"/>
  <c r="N18" i="4"/>
  <c r="N23" i="4" s="1"/>
  <c r="I431" i="4"/>
  <c r="I436" i="4" s="1"/>
  <c r="B76" i="14"/>
  <c r="I515" i="4"/>
  <c r="I520" i="4" s="1"/>
  <c r="C79" i="14"/>
  <c r="I514" i="4"/>
  <c r="I519" i="4" s="1"/>
  <c r="B79" i="14"/>
  <c r="N431" i="4"/>
  <c r="N436" i="4" s="1"/>
  <c r="O431" i="4"/>
  <c r="O436" i="4" s="1"/>
  <c r="F76" i="15"/>
  <c r="Q514" i="4"/>
  <c r="Q519" i="4" s="1"/>
  <c r="N79" i="15"/>
  <c r="Q101" i="4"/>
  <c r="Q106" i="4" s="1"/>
  <c r="N61" i="15"/>
  <c r="Q102" i="4"/>
  <c r="Q107" i="4" s="1"/>
  <c r="O61" i="15"/>
  <c r="Q103" i="4"/>
  <c r="Q108" i="4" s="1"/>
  <c r="P61" i="15"/>
  <c r="Q104" i="4"/>
  <c r="Q109" i="4" s="1"/>
  <c r="Q61" i="15"/>
  <c r="Q18" i="4"/>
  <c r="Q23" i="4" s="1"/>
  <c r="H13" i="14"/>
  <c r="E34" i="13"/>
  <c r="U16" i="15"/>
  <c r="S16" i="15"/>
  <c r="J38" i="15"/>
  <c r="T16" i="15"/>
  <c r="J27" i="15"/>
  <c r="O16" i="14"/>
  <c r="O14" i="14"/>
  <c r="M16" i="13"/>
  <c r="L16" i="13"/>
  <c r="Q13" i="15"/>
  <c r="G15" i="16"/>
  <c r="O15" i="15"/>
  <c r="G15" i="15"/>
  <c r="G15" i="14"/>
  <c r="K16" i="13"/>
  <c r="G15" i="13"/>
  <c r="F20" i="3"/>
  <c r="F24" i="3" s="1"/>
  <c r="F19" i="3"/>
  <c r="F23" i="3" s="1"/>
  <c r="Q38" i="15"/>
  <c r="J357" i="3"/>
  <c r="J358" i="3" s="1"/>
  <c r="J360" i="3" s="1"/>
  <c r="J382" i="3"/>
  <c r="J383" i="3" s="1"/>
  <c r="J385" i="3" s="1"/>
  <c r="J387" i="3" s="1"/>
  <c r="G29" i="13"/>
  <c r="H29" i="13"/>
  <c r="P38" i="15"/>
  <c r="O38" i="15"/>
  <c r="O27" i="15"/>
  <c r="Q27" i="15"/>
  <c r="P27" i="15"/>
  <c r="O16" i="13"/>
  <c r="U16" i="14"/>
  <c r="F21" i="3"/>
  <c r="F25" i="3" s="1"/>
  <c r="U50" i="3"/>
  <c r="I14" i="17"/>
  <c r="U49" i="3"/>
  <c r="H14" i="17"/>
  <c r="G14" i="17"/>
  <c r="G14" i="16"/>
  <c r="S50" i="3"/>
  <c r="I14" i="16"/>
  <c r="S49" i="3"/>
  <c r="H14" i="16"/>
  <c r="R48" i="3"/>
  <c r="C14" i="16"/>
  <c r="R50" i="3"/>
  <c r="E14" i="16"/>
  <c r="R49" i="3"/>
  <c r="D14" i="16"/>
  <c r="M14" i="15"/>
  <c r="P50" i="3"/>
  <c r="L14" i="15"/>
  <c r="P49" i="3"/>
  <c r="P48" i="3"/>
  <c r="K14" i="15"/>
  <c r="Q14" i="15"/>
  <c r="Q50" i="3"/>
  <c r="Q48" i="3"/>
  <c r="O14" i="15"/>
  <c r="P14" i="15"/>
  <c r="Q49" i="3"/>
  <c r="C14" i="15"/>
  <c r="N48" i="3"/>
  <c r="N49" i="3"/>
  <c r="D14" i="15"/>
  <c r="E14" i="15"/>
  <c r="N50" i="3"/>
  <c r="J49" i="3"/>
  <c r="H14" i="14"/>
  <c r="M14" i="14"/>
  <c r="K50" i="3"/>
  <c r="G14" i="14"/>
  <c r="L14" i="14"/>
  <c r="K49" i="3"/>
  <c r="I14" i="14"/>
  <c r="J50" i="3"/>
  <c r="K48" i="3"/>
  <c r="K14" i="14"/>
  <c r="I14" i="13"/>
  <c r="G14" i="13"/>
  <c r="H14" i="13"/>
  <c r="S21" i="3"/>
  <c r="S25" i="3" s="1"/>
  <c r="I13" i="16"/>
  <c r="S20" i="3"/>
  <c r="S24" i="3" s="1"/>
  <c r="H13" i="16"/>
  <c r="S19" i="3"/>
  <c r="S23" i="3" s="1"/>
  <c r="G13" i="16"/>
  <c r="Q20" i="3"/>
  <c r="Q24" i="3" s="1"/>
  <c r="P13" i="15"/>
  <c r="Q19" i="3"/>
  <c r="Q23" i="3" s="1"/>
  <c r="O13" i="15"/>
  <c r="O20" i="3"/>
  <c r="O24" i="3" s="1"/>
  <c r="H13" i="15"/>
  <c r="O21" i="3"/>
  <c r="O25" i="3" s="1"/>
  <c r="I13" i="15"/>
  <c r="O19" i="3"/>
  <c r="O23" i="3" s="1"/>
  <c r="G13" i="15"/>
  <c r="J21" i="3"/>
  <c r="J25" i="3" s="1"/>
  <c r="I13" i="14"/>
  <c r="J19" i="3"/>
  <c r="J23" i="3" s="1"/>
  <c r="G13" i="14"/>
  <c r="S208" i="3"/>
  <c r="S209" i="3" s="1"/>
  <c r="S211" i="3" s="1"/>
  <c r="S213" i="3" s="1"/>
  <c r="U205" i="3"/>
  <c r="V203" i="3"/>
  <c r="T206" i="3"/>
  <c r="T207" i="3" s="1"/>
  <c r="S432" i="3"/>
  <c r="S433" i="3" s="1"/>
  <c r="S435" i="3" s="1"/>
  <c r="S437" i="3" s="1"/>
  <c r="T430" i="3"/>
  <c r="T431" i="3" s="1"/>
  <c r="V429" i="3"/>
  <c r="U429" i="3"/>
  <c r="I382" i="3"/>
  <c r="I383" i="3" s="1"/>
  <c r="I385" i="3" s="1"/>
  <c r="I387" i="3" s="1"/>
  <c r="F233" i="3"/>
  <c r="F234" i="3" s="1"/>
  <c r="F236" i="3" s="1"/>
  <c r="F238" i="3" s="1"/>
  <c r="G407" i="3"/>
  <c r="G408" i="3" s="1"/>
  <c r="G410" i="3" s="1"/>
  <c r="G412" i="3" s="1"/>
  <c r="H405" i="3"/>
  <c r="H406" i="3" s="1"/>
  <c r="H233" i="3"/>
  <c r="H234" i="3" s="1"/>
  <c r="H236" i="3" s="1"/>
  <c r="H238" i="3" s="1"/>
  <c r="I405" i="3"/>
  <c r="I406" i="3" s="1"/>
  <c r="I330" i="3"/>
  <c r="I331" i="3" s="1"/>
  <c r="G332" i="3"/>
  <c r="G333" i="3" s="1"/>
  <c r="G335" i="3" s="1"/>
  <c r="G337" i="3" s="1"/>
  <c r="I357" i="3"/>
  <c r="I358" i="3" s="1"/>
  <c r="I360" i="3" s="1"/>
  <c r="H330" i="3"/>
  <c r="H331" i="3" s="1"/>
  <c r="H368" i="4"/>
  <c r="H122" i="4"/>
  <c r="H260" i="4"/>
  <c r="J253" i="3"/>
  <c r="J255" i="3" s="1"/>
  <c r="J256" i="3" s="1"/>
  <c r="J257" i="3" s="1"/>
  <c r="G382" i="3"/>
  <c r="G383" i="3" s="1"/>
  <c r="G385" i="3" s="1"/>
  <c r="G387" i="3" s="1"/>
  <c r="H382" i="3"/>
  <c r="H383" i="3" s="1"/>
  <c r="H385" i="3" s="1"/>
  <c r="H387" i="3" s="1"/>
  <c r="G357" i="3"/>
  <c r="G358" i="3" s="1"/>
  <c r="G360" i="3" s="1"/>
  <c r="G362" i="3" s="1"/>
  <c r="H357" i="3"/>
  <c r="H358" i="3" s="1"/>
  <c r="H360" i="3" s="1"/>
  <c r="F307" i="3"/>
  <c r="F308" i="3" s="1"/>
  <c r="F310" i="3" s="1"/>
  <c r="G305" i="3"/>
  <c r="G306" i="3" s="1"/>
  <c r="H258" i="3"/>
  <c r="H259" i="3" s="1"/>
  <c r="H261" i="3" s="1"/>
  <c r="H263" i="3" s="1"/>
  <c r="H268" i="3" s="1"/>
  <c r="H272" i="3" s="1"/>
  <c r="I258" i="3"/>
  <c r="I259" i="3" s="1"/>
  <c r="I261" i="3" s="1"/>
  <c r="I263" i="3" s="1"/>
  <c r="I268" i="3" s="1"/>
  <c r="I272" i="3" s="1"/>
  <c r="H304" i="3"/>
  <c r="I304" i="3"/>
  <c r="J302" i="3"/>
  <c r="K58" i="3"/>
  <c r="K59" i="3" s="1"/>
  <c r="K61" i="3" s="1"/>
  <c r="K63" i="3" s="1"/>
  <c r="L8" i="3"/>
  <c r="L9" i="3" s="1"/>
  <c r="L11" i="3" s="1"/>
  <c r="L13" i="3" s="1"/>
  <c r="H8" i="3"/>
  <c r="H9" i="3" s="1"/>
  <c r="H11" i="3" s="1"/>
  <c r="H13" i="3" s="1"/>
  <c r="H33" i="3"/>
  <c r="H34" i="3" s="1"/>
  <c r="H36" i="3" s="1"/>
  <c r="H38" i="3" s="1"/>
  <c r="G231" i="3"/>
  <c r="G232" i="3" s="1"/>
  <c r="L56" i="3"/>
  <c r="L57" i="3" s="1"/>
  <c r="H58" i="3"/>
  <c r="H59" i="3" s="1"/>
  <c r="H61" i="3" s="1"/>
  <c r="H63" i="3" s="1"/>
  <c r="M6" i="3"/>
  <c r="M7" i="3" s="1"/>
  <c r="I230" i="3"/>
  <c r="J228" i="3"/>
  <c r="M55" i="3"/>
  <c r="J327" i="3"/>
  <c r="J329" i="3" s="1"/>
  <c r="K354" i="3"/>
  <c r="K355" i="3" s="1"/>
  <c r="K356" i="3" s="1"/>
  <c r="K379" i="3"/>
  <c r="K380" i="3" s="1"/>
  <c r="K381" i="3" s="1"/>
  <c r="J404" i="3"/>
  <c r="C59" i="13" l="1"/>
  <c r="E74" i="4"/>
  <c r="E79" i="4" s="1"/>
  <c r="C59" i="16"/>
  <c r="R74" i="4"/>
  <c r="R79" i="4" s="1"/>
  <c r="O59" i="13"/>
  <c r="H74" i="4"/>
  <c r="H79" i="4" s="1"/>
  <c r="O59" i="15"/>
  <c r="K59" i="13"/>
  <c r="G74" i="4"/>
  <c r="G79" i="4" s="1"/>
  <c r="G59" i="14"/>
  <c r="J74" i="4"/>
  <c r="J79" i="4" s="1"/>
  <c r="S59" i="14"/>
  <c r="M74" i="4"/>
  <c r="K59" i="14"/>
  <c r="K74" i="4"/>
  <c r="K79" i="4" s="1"/>
  <c r="F14" i="16"/>
  <c r="H244" i="3"/>
  <c r="H248" i="3" s="1"/>
  <c r="H243" i="3"/>
  <c r="H247" i="3" s="1"/>
  <c r="H246" i="3"/>
  <c r="H250" i="3" s="1"/>
  <c r="H245" i="3"/>
  <c r="H249" i="3" s="1"/>
  <c r="F243" i="3"/>
  <c r="F247" i="3" s="1"/>
  <c r="F245" i="3"/>
  <c r="F249" i="3" s="1"/>
  <c r="F244" i="3"/>
  <c r="F248" i="3" s="1"/>
  <c r="F246" i="3"/>
  <c r="F250" i="3" s="1"/>
  <c r="S444" i="3"/>
  <c r="S448" i="3" s="1"/>
  <c r="S445" i="3"/>
  <c r="S449" i="3" s="1"/>
  <c r="R442" i="3"/>
  <c r="R446" i="3" s="1"/>
  <c r="R443" i="3"/>
  <c r="R447" i="3" s="1"/>
  <c r="G420" i="3"/>
  <c r="G424" i="3" s="1"/>
  <c r="G419" i="3"/>
  <c r="G423" i="3" s="1"/>
  <c r="F418" i="3"/>
  <c r="F422" i="3" s="1"/>
  <c r="F417" i="3"/>
  <c r="F421" i="3" s="1"/>
  <c r="D37" i="13"/>
  <c r="E419" i="3"/>
  <c r="E423" i="3" s="1"/>
  <c r="E418" i="3"/>
  <c r="E422" i="3" s="1"/>
  <c r="E417" i="3"/>
  <c r="E421" i="3" s="1"/>
  <c r="J395" i="3"/>
  <c r="J399" i="3" s="1"/>
  <c r="J394" i="3"/>
  <c r="J398" i="3" s="1"/>
  <c r="I395" i="3"/>
  <c r="I399" i="3" s="1"/>
  <c r="I394" i="3"/>
  <c r="I398" i="3" s="1"/>
  <c r="H395" i="3"/>
  <c r="H399" i="3" s="1"/>
  <c r="H394" i="3"/>
  <c r="H398" i="3" s="1"/>
  <c r="G395" i="3"/>
  <c r="G399" i="3" s="1"/>
  <c r="G394" i="3"/>
  <c r="G398" i="3" s="1"/>
  <c r="F392" i="3"/>
  <c r="F396" i="3" s="1"/>
  <c r="F393" i="3"/>
  <c r="F397" i="3" s="1"/>
  <c r="G369" i="3"/>
  <c r="G373" i="3" s="1"/>
  <c r="G370" i="3"/>
  <c r="G374" i="3" s="1"/>
  <c r="E367" i="3"/>
  <c r="E371" i="3" s="1"/>
  <c r="E368" i="3"/>
  <c r="E372" i="3" s="1"/>
  <c r="F369" i="3"/>
  <c r="F373" i="3" s="1"/>
  <c r="F370" i="3"/>
  <c r="F374" i="3" s="1"/>
  <c r="D32" i="13"/>
  <c r="E344" i="3"/>
  <c r="E348" i="3" s="1"/>
  <c r="G345" i="3"/>
  <c r="G349" i="3" s="1"/>
  <c r="G344" i="3"/>
  <c r="G348" i="3" s="1"/>
  <c r="F344" i="3"/>
  <c r="F348" i="3" s="1"/>
  <c r="F345" i="3"/>
  <c r="F349" i="3" s="1"/>
  <c r="E342" i="3"/>
  <c r="E346" i="3" s="1"/>
  <c r="E343" i="3"/>
  <c r="E347" i="3" s="1"/>
  <c r="G271" i="3"/>
  <c r="G275" i="3" s="1"/>
  <c r="M29" i="13"/>
  <c r="E29" i="13"/>
  <c r="E271" i="3"/>
  <c r="E275" i="3" s="1"/>
  <c r="S221" i="3"/>
  <c r="S225" i="3" s="1"/>
  <c r="S220" i="3"/>
  <c r="S224" i="3" s="1"/>
  <c r="R218" i="3"/>
  <c r="R222" i="3" s="1"/>
  <c r="R219" i="3"/>
  <c r="R223" i="3" s="1"/>
  <c r="N14" i="15"/>
  <c r="F14" i="13"/>
  <c r="D14" i="13"/>
  <c r="V46" i="3"/>
  <c r="V45" i="3"/>
  <c r="H45" i="3"/>
  <c r="H49" i="3" s="1"/>
  <c r="H46" i="3"/>
  <c r="H50" i="3" s="1"/>
  <c r="T43" i="3"/>
  <c r="T47" i="3" s="1"/>
  <c r="T44" i="3"/>
  <c r="T48" i="3" s="1"/>
  <c r="E44" i="3"/>
  <c r="E48" i="3" s="1"/>
  <c r="Q13" i="14"/>
  <c r="M44" i="3"/>
  <c r="M48" i="3" s="1"/>
  <c r="G44" i="3"/>
  <c r="G48" i="3" s="1"/>
  <c r="G43" i="3"/>
  <c r="G47" i="3" s="1"/>
  <c r="M13" i="14"/>
  <c r="L13" i="14"/>
  <c r="B16" i="13"/>
  <c r="M94" i="3"/>
  <c r="M98" i="3" s="1"/>
  <c r="I44" i="3"/>
  <c r="I48" i="3" s="1"/>
  <c r="I43" i="3"/>
  <c r="I47" i="3" s="1"/>
  <c r="W44" i="3"/>
  <c r="W48" i="3" s="1"/>
  <c r="W43" i="3"/>
  <c r="V69" i="3"/>
  <c r="V73" i="3" s="1"/>
  <c r="V68" i="3"/>
  <c r="V72" i="3" s="1"/>
  <c r="F14" i="17"/>
  <c r="O44" i="3"/>
  <c r="O48" i="3" s="1"/>
  <c r="O43" i="3"/>
  <c r="O47" i="3" s="1"/>
  <c r="L15" i="17"/>
  <c r="K71" i="3"/>
  <c r="K75" i="3" s="1"/>
  <c r="K70" i="3"/>
  <c r="K74" i="3" s="1"/>
  <c r="G68" i="3"/>
  <c r="G72" i="3" s="1"/>
  <c r="G69" i="3"/>
  <c r="G73" i="3" s="1"/>
  <c r="H70" i="3"/>
  <c r="H74" i="3" s="1"/>
  <c r="H71" i="3"/>
  <c r="H75" i="3" s="1"/>
  <c r="E14" i="13"/>
  <c r="M15" i="17"/>
  <c r="G18" i="3"/>
  <c r="G22" i="3" s="1"/>
  <c r="G19" i="3"/>
  <c r="G23" i="3" s="1"/>
  <c r="J14" i="15"/>
  <c r="P43" i="3"/>
  <c r="P47" i="3" s="1"/>
  <c r="I271" i="3"/>
  <c r="I275" i="3" s="1"/>
  <c r="B30" i="14"/>
  <c r="E392" i="3"/>
  <c r="E396" i="3" s="1"/>
  <c r="D34" i="13"/>
  <c r="I269" i="3"/>
  <c r="I273" i="3" s="1"/>
  <c r="I270" i="3"/>
  <c r="I274" i="3" s="1"/>
  <c r="H270" i="3"/>
  <c r="H274" i="3" s="1"/>
  <c r="H269" i="3"/>
  <c r="H273" i="3" s="1"/>
  <c r="C34" i="13"/>
  <c r="E244" i="3"/>
  <c r="E248" i="3" s="1"/>
  <c r="P28" i="13"/>
  <c r="C37" i="13"/>
  <c r="E37" i="13"/>
  <c r="E32" i="13"/>
  <c r="M15" i="14"/>
  <c r="L15" i="14"/>
  <c r="C32" i="13"/>
  <c r="D31" i="13"/>
  <c r="E31" i="13"/>
  <c r="C31" i="13"/>
  <c r="E395" i="3"/>
  <c r="E399" i="3" s="1"/>
  <c r="I362" i="3"/>
  <c r="E50" i="3"/>
  <c r="F312" i="3"/>
  <c r="E49" i="3"/>
  <c r="C14" i="13"/>
  <c r="J362" i="3"/>
  <c r="H362" i="3"/>
  <c r="M14" i="17"/>
  <c r="L14" i="17"/>
  <c r="P13" i="14"/>
  <c r="B31" i="13"/>
  <c r="F13" i="13"/>
  <c r="F18" i="3"/>
  <c r="F22" i="3" s="1"/>
  <c r="F15" i="13"/>
  <c r="N16" i="13"/>
  <c r="F15" i="14"/>
  <c r="F13" i="16"/>
  <c r="S18" i="3"/>
  <c r="S22" i="3" s="1"/>
  <c r="N16" i="14"/>
  <c r="F15" i="15"/>
  <c r="N14" i="14"/>
  <c r="L47" i="3"/>
  <c r="B29" i="13"/>
  <c r="B28" i="13"/>
  <c r="N15" i="15"/>
  <c r="R16" i="15"/>
  <c r="F15" i="16"/>
  <c r="D29" i="13"/>
  <c r="U186" i="4"/>
  <c r="U191" i="4" s="1"/>
  <c r="H64" i="17"/>
  <c r="F64" i="17"/>
  <c r="U184" i="4"/>
  <c r="U189" i="4" s="1"/>
  <c r="U187" i="4"/>
  <c r="U192" i="4" s="1"/>
  <c r="I64" i="17"/>
  <c r="U185" i="4"/>
  <c r="U190" i="4" s="1"/>
  <c r="G64" i="17"/>
  <c r="H63" i="17"/>
  <c r="U159" i="4"/>
  <c r="U164" i="4" s="1"/>
  <c r="U160" i="4"/>
  <c r="U165" i="4" s="1"/>
  <c r="I63" i="17"/>
  <c r="V157" i="4"/>
  <c r="V162" i="4" s="1"/>
  <c r="J63" i="17"/>
  <c r="V160" i="4"/>
  <c r="V165" i="4" s="1"/>
  <c r="M63" i="17"/>
  <c r="V158" i="4"/>
  <c r="V163" i="4" s="1"/>
  <c r="K63" i="17"/>
  <c r="U157" i="4"/>
  <c r="U162" i="4" s="1"/>
  <c r="F63" i="17"/>
  <c r="V159" i="4"/>
  <c r="V164" i="4" s="1"/>
  <c r="L63" i="17"/>
  <c r="G63" i="17"/>
  <c r="U158" i="4"/>
  <c r="U163" i="4" s="1"/>
  <c r="V130" i="4"/>
  <c r="V135" i="4" s="1"/>
  <c r="K62" i="17"/>
  <c r="V132" i="4"/>
  <c r="V137" i="4" s="1"/>
  <c r="M62" i="17"/>
  <c r="U131" i="4"/>
  <c r="U136" i="4" s="1"/>
  <c r="H62" i="17"/>
  <c r="V131" i="4"/>
  <c r="V136" i="4" s="1"/>
  <c r="L62" i="17"/>
  <c r="U132" i="4"/>
  <c r="U137" i="4" s="1"/>
  <c r="I62" i="17"/>
  <c r="U130" i="4"/>
  <c r="U135" i="4" s="1"/>
  <c r="G62" i="17"/>
  <c r="L405" i="4"/>
  <c r="L410" i="4" s="1"/>
  <c r="P85" i="14"/>
  <c r="Q85" i="14"/>
  <c r="L406" i="4"/>
  <c r="L411" i="4" s="1"/>
  <c r="M406" i="4"/>
  <c r="M411" i="4" s="1"/>
  <c r="U85" i="14"/>
  <c r="L403" i="4"/>
  <c r="L408" i="4" s="1"/>
  <c r="N85" i="14"/>
  <c r="M405" i="4"/>
  <c r="M410" i="4" s="1"/>
  <c r="T85" i="14"/>
  <c r="L404" i="4"/>
  <c r="L409" i="4" s="1"/>
  <c r="O85" i="14"/>
  <c r="M403" i="4"/>
  <c r="M408" i="4" s="1"/>
  <c r="R85" i="14"/>
  <c r="M404" i="4"/>
  <c r="M409" i="4" s="1"/>
  <c r="S85" i="14"/>
  <c r="H160" i="4"/>
  <c r="H165" i="4" s="1"/>
  <c r="Q63" i="13"/>
  <c r="P63" i="13"/>
  <c r="H159" i="4"/>
  <c r="H164" i="4" s="1"/>
  <c r="O63" i="15"/>
  <c r="Q158" i="4"/>
  <c r="Q163" i="4" s="1"/>
  <c r="Q160" i="4"/>
  <c r="Q165" i="4" s="1"/>
  <c r="Q63" i="15"/>
  <c r="Q159" i="4"/>
  <c r="Q164" i="4" s="1"/>
  <c r="P63" i="15"/>
  <c r="O63" i="13"/>
  <c r="H158" i="4"/>
  <c r="H163" i="4" s="1"/>
  <c r="Q157" i="4"/>
  <c r="Q162" i="4" s="1"/>
  <c r="N63" i="15"/>
  <c r="N63" i="13"/>
  <c r="H157" i="4"/>
  <c r="H162" i="4" s="1"/>
  <c r="M79" i="4"/>
  <c r="K378" i="4"/>
  <c r="K383" i="4" s="1"/>
  <c r="M84" i="14"/>
  <c r="K375" i="4"/>
  <c r="K380" i="4" s="1"/>
  <c r="J84" i="14"/>
  <c r="K84" i="14"/>
  <c r="K376" i="4"/>
  <c r="K381" i="4" s="1"/>
  <c r="K377" i="4"/>
  <c r="K382" i="4" s="1"/>
  <c r="L84" i="14"/>
  <c r="J297" i="4"/>
  <c r="J302" i="4" s="1"/>
  <c r="H73" i="14"/>
  <c r="J298" i="4"/>
  <c r="J303" i="4" s="1"/>
  <c r="I73" i="14"/>
  <c r="G73" i="14"/>
  <c r="J296" i="4"/>
  <c r="J301" i="4" s="1"/>
  <c r="F73" i="14"/>
  <c r="J295" i="4"/>
  <c r="J300" i="4" s="1"/>
  <c r="Q239" i="4"/>
  <c r="Q244" i="4" s="1"/>
  <c r="N70" i="15"/>
  <c r="E240" i="4"/>
  <c r="E245" i="4" s="1"/>
  <c r="C70" i="13"/>
  <c r="S239" i="4"/>
  <c r="S244" i="4" s="1"/>
  <c r="F70" i="16"/>
  <c r="S242" i="4"/>
  <c r="S247" i="4" s="1"/>
  <c r="I70" i="16"/>
  <c r="E242" i="4"/>
  <c r="E247" i="4" s="1"/>
  <c r="E70" i="13"/>
  <c r="G70" i="16"/>
  <c r="S240" i="4"/>
  <c r="S245" i="4" s="1"/>
  <c r="Q241" i="4"/>
  <c r="Q246" i="4" s="1"/>
  <c r="P70" i="15"/>
  <c r="Q242" i="4"/>
  <c r="Q247" i="4" s="1"/>
  <c r="Q70" i="15"/>
  <c r="S241" i="4"/>
  <c r="S246" i="4" s="1"/>
  <c r="H70" i="16"/>
  <c r="E241" i="4"/>
  <c r="E246" i="4" s="1"/>
  <c r="D70" i="13"/>
  <c r="Q240" i="4"/>
  <c r="Q245" i="4" s="1"/>
  <c r="O70" i="15"/>
  <c r="E239" i="4"/>
  <c r="E244" i="4" s="1"/>
  <c r="B70" i="13"/>
  <c r="Q62" i="14"/>
  <c r="L132" i="4"/>
  <c r="L137" i="4" s="1"/>
  <c r="S132" i="4"/>
  <c r="S137" i="4" s="1"/>
  <c r="I62" i="16"/>
  <c r="G62" i="14"/>
  <c r="J130" i="4"/>
  <c r="J135" i="4" s="1"/>
  <c r="L130" i="4"/>
  <c r="L135" i="4" s="1"/>
  <c r="O62" i="14"/>
  <c r="H129" i="4"/>
  <c r="H134" i="4" s="1"/>
  <c r="J131" i="4"/>
  <c r="J136" i="4" s="1"/>
  <c r="H62" i="14"/>
  <c r="L62" i="13"/>
  <c r="G131" i="4"/>
  <c r="G136" i="4" s="1"/>
  <c r="K130" i="4"/>
  <c r="K135" i="4" s="1"/>
  <c r="K62" i="14"/>
  <c r="L131" i="4"/>
  <c r="L136" i="4" s="1"/>
  <c r="P62" i="14"/>
  <c r="J132" i="4"/>
  <c r="J137" i="4" s="1"/>
  <c r="I62" i="14"/>
  <c r="G132" i="4"/>
  <c r="G137" i="4" s="1"/>
  <c r="M62" i="13"/>
  <c r="K132" i="4"/>
  <c r="K137" i="4" s="1"/>
  <c r="M62" i="14"/>
  <c r="G130" i="4"/>
  <c r="G135" i="4" s="1"/>
  <c r="K62" i="13"/>
  <c r="K131" i="4"/>
  <c r="K136" i="4" s="1"/>
  <c r="L62" i="14"/>
  <c r="P131" i="4"/>
  <c r="P136" i="4" s="1"/>
  <c r="L62" i="15"/>
  <c r="O132" i="4"/>
  <c r="O137" i="4" s="1"/>
  <c r="I62" i="15"/>
  <c r="S130" i="4"/>
  <c r="S135" i="4" s="1"/>
  <c r="G62" i="16"/>
  <c r="P132" i="4"/>
  <c r="P137" i="4" s="1"/>
  <c r="M62" i="15"/>
  <c r="H62" i="15"/>
  <c r="O131" i="4"/>
  <c r="O136" i="4" s="1"/>
  <c r="S131" i="4"/>
  <c r="S136" i="4" s="1"/>
  <c r="H62" i="16"/>
  <c r="P130" i="4"/>
  <c r="P135" i="4" s="1"/>
  <c r="K62" i="15"/>
  <c r="O130" i="4"/>
  <c r="O135" i="4" s="1"/>
  <c r="G62" i="15"/>
  <c r="R80" i="4"/>
  <c r="D59" i="16"/>
  <c r="L79" i="4"/>
  <c r="O59" i="14"/>
  <c r="E81" i="4"/>
  <c r="E59" i="13"/>
  <c r="L80" i="4"/>
  <c r="P59" i="14"/>
  <c r="L81" i="4"/>
  <c r="Q59" i="14"/>
  <c r="I59" i="14"/>
  <c r="J81" i="4"/>
  <c r="D59" i="13"/>
  <c r="E80" i="4"/>
  <c r="Q81" i="4"/>
  <c r="Q59" i="15"/>
  <c r="Q79" i="4"/>
  <c r="H80" i="4"/>
  <c r="P59" i="13"/>
  <c r="H81" i="4"/>
  <c r="Q59" i="13"/>
  <c r="T59" i="14"/>
  <c r="M80" i="4"/>
  <c r="E59" i="16"/>
  <c r="R81" i="4"/>
  <c r="J80" i="4"/>
  <c r="H59" i="14"/>
  <c r="M81" i="4"/>
  <c r="U59" i="14"/>
  <c r="G80" i="4"/>
  <c r="L59" i="13"/>
  <c r="Q80" i="4"/>
  <c r="P59" i="15"/>
  <c r="K80" i="4"/>
  <c r="L59" i="14"/>
  <c r="P58" i="15"/>
  <c r="Q48" i="4"/>
  <c r="Q53" i="4" s="1"/>
  <c r="O58" i="15"/>
  <c r="Q47" i="4"/>
  <c r="Q52" i="4" s="1"/>
  <c r="Q46" i="4"/>
  <c r="Q51" i="4" s="1"/>
  <c r="N58" i="15"/>
  <c r="J58" i="15"/>
  <c r="P46" i="4"/>
  <c r="P51" i="4" s="1"/>
  <c r="Q58" i="15"/>
  <c r="Q49" i="4"/>
  <c r="Q54" i="4" s="1"/>
  <c r="P49" i="4"/>
  <c r="P54" i="4" s="1"/>
  <c r="M58" i="15"/>
  <c r="L58" i="15"/>
  <c r="P48" i="4"/>
  <c r="P53" i="4" s="1"/>
  <c r="K58" i="15"/>
  <c r="P47" i="4"/>
  <c r="P52" i="4" s="1"/>
  <c r="G19" i="4"/>
  <c r="G24" i="4" s="1"/>
  <c r="K57" i="13"/>
  <c r="G21" i="4"/>
  <c r="G26" i="4" s="1"/>
  <c r="M57" i="13"/>
  <c r="L20" i="4"/>
  <c r="L25" i="4" s="1"/>
  <c r="P57" i="14"/>
  <c r="E20" i="4"/>
  <c r="E25" i="4" s="1"/>
  <c r="D57" i="13"/>
  <c r="L57" i="13"/>
  <c r="G20" i="4"/>
  <c r="G25" i="4" s="1"/>
  <c r="E21" i="4"/>
  <c r="E26" i="4" s="1"/>
  <c r="E57" i="13"/>
  <c r="R21" i="4"/>
  <c r="R26" i="4" s="1"/>
  <c r="E57" i="16"/>
  <c r="F21" i="4"/>
  <c r="F26" i="4" s="1"/>
  <c r="I57" i="13"/>
  <c r="E19" i="4"/>
  <c r="E24" i="4" s="1"/>
  <c r="C57" i="13"/>
  <c r="L19" i="4"/>
  <c r="L24" i="4" s="1"/>
  <c r="O57" i="14"/>
  <c r="R20" i="4"/>
  <c r="R25" i="4" s="1"/>
  <c r="D57" i="16"/>
  <c r="F20" i="4"/>
  <c r="F25" i="4" s="1"/>
  <c r="H57" i="13"/>
  <c r="C57" i="16"/>
  <c r="R19" i="4"/>
  <c r="R24" i="4" s="1"/>
  <c r="F19" i="4"/>
  <c r="F24" i="4" s="1"/>
  <c r="G57" i="13"/>
  <c r="Q57" i="14"/>
  <c r="L21" i="4"/>
  <c r="L26" i="4" s="1"/>
  <c r="G268" i="4"/>
  <c r="G273" i="4" s="1"/>
  <c r="K71" i="13"/>
  <c r="R268" i="4"/>
  <c r="R273" i="4" s="1"/>
  <c r="C71" i="16"/>
  <c r="J267" i="4"/>
  <c r="J272" i="4" s="1"/>
  <c r="F71" i="14"/>
  <c r="K270" i="4"/>
  <c r="K275" i="4" s="1"/>
  <c r="M71" i="14"/>
  <c r="I267" i="4"/>
  <c r="I272" i="4" s="1"/>
  <c r="B71" i="14"/>
  <c r="G270" i="4"/>
  <c r="G275" i="4" s="1"/>
  <c r="M71" i="13"/>
  <c r="L267" i="4"/>
  <c r="L272" i="4" s="1"/>
  <c r="N71" i="14"/>
  <c r="E267" i="4"/>
  <c r="E272" i="4" s="1"/>
  <c r="B71" i="13"/>
  <c r="S267" i="4"/>
  <c r="S272" i="4" s="1"/>
  <c r="F71" i="16"/>
  <c r="I268" i="4"/>
  <c r="I273" i="4" s="1"/>
  <c r="C71" i="14"/>
  <c r="M267" i="4"/>
  <c r="M272" i="4" s="1"/>
  <c r="R71" i="14"/>
  <c r="G274" i="4"/>
  <c r="L71" i="13"/>
  <c r="R270" i="4"/>
  <c r="R275" i="4" s="1"/>
  <c r="E71" i="16"/>
  <c r="F267" i="4"/>
  <c r="F272" i="4" s="1"/>
  <c r="F71" i="13"/>
  <c r="L71" i="14"/>
  <c r="K269" i="4"/>
  <c r="K274" i="4" s="1"/>
  <c r="E268" i="4"/>
  <c r="E273" i="4" s="1"/>
  <c r="C71" i="13"/>
  <c r="M268" i="4"/>
  <c r="M273" i="4" s="1"/>
  <c r="S71" i="14"/>
  <c r="O71" i="14"/>
  <c r="L268" i="4"/>
  <c r="L273" i="4" s="1"/>
  <c r="R269" i="4"/>
  <c r="R274" i="4" s="1"/>
  <c r="D71" i="16"/>
  <c r="Q267" i="4"/>
  <c r="Q272" i="4" s="1"/>
  <c r="N71" i="15"/>
  <c r="N514" i="4"/>
  <c r="N519" i="4" s="1"/>
  <c r="P515" i="4"/>
  <c r="P520" i="4" s="1"/>
  <c r="K79" i="15"/>
  <c r="M514" i="4"/>
  <c r="M519" i="4" s="1"/>
  <c r="R79" i="14"/>
  <c r="L514" i="4"/>
  <c r="L519" i="4" s="1"/>
  <c r="N79" i="14"/>
  <c r="L515" i="4"/>
  <c r="L520" i="4" s="1"/>
  <c r="O79" i="14"/>
  <c r="J514" i="4"/>
  <c r="J519" i="4" s="1"/>
  <c r="F79" i="14"/>
  <c r="P514" i="4"/>
  <c r="P519" i="4" s="1"/>
  <c r="J79" i="15"/>
  <c r="M515" i="4"/>
  <c r="M520" i="4" s="1"/>
  <c r="S79" i="14"/>
  <c r="F514" i="4"/>
  <c r="F519" i="4" s="1"/>
  <c r="F79" i="13"/>
  <c r="H514" i="4"/>
  <c r="H519" i="4" s="1"/>
  <c r="N79" i="13"/>
  <c r="H515" i="4"/>
  <c r="H520" i="4" s="1"/>
  <c r="O79" i="13"/>
  <c r="R434" i="4"/>
  <c r="R439" i="4" s="1"/>
  <c r="E76" i="16"/>
  <c r="R433" i="4"/>
  <c r="R438" i="4" s="1"/>
  <c r="D76" i="16"/>
  <c r="R432" i="4"/>
  <c r="R437" i="4" s="1"/>
  <c r="C76" i="16"/>
  <c r="S433" i="4"/>
  <c r="S438" i="4" s="1"/>
  <c r="H76" i="16"/>
  <c r="S434" i="4"/>
  <c r="S439" i="4" s="1"/>
  <c r="I76" i="16"/>
  <c r="S432" i="4"/>
  <c r="S437" i="4" s="1"/>
  <c r="G76" i="16"/>
  <c r="M432" i="4"/>
  <c r="M437" i="4" s="1"/>
  <c r="S76" i="14"/>
  <c r="H432" i="4"/>
  <c r="H437" i="4" s="1"/>
  <c r="O76" i="13"/>
  <c r="L433" i="4"/>
  <c r="L438" i="4" s="1"/>
  <c r="P76" i="14"/>
  <c r="E434" i="4"/>
  <c r="E439" i="4" s="1"/>
  <c r="E76" i="13"/>
  <c r="M433" i="4"/>
  <c r="M438" i="4" s="1"/>
  <c r="T76" i="14"/>
  <c r="H434" i="4"/>
  <c r="H439" i="4" s="1"/>
  <c r="Q76" i="13"/>
  <c r="L432" i="4"/>
  <c r="L437" i="4" s="1"/>
  <c r="O76" i="14"/>
  <c r="E433" i="4"/>
  <c r="E438" i="4" s="1"/>
  <c r="D76" i="13"/>
  <c r="M434" i="4"/>
  <c r="M439" i="4" s="1"/>
  <c r="U76" i="14"/>
  <c r="H433" i="4"/>
  <c r="H438" i="4" s="1"/>
  <c r="P76" i="13"/>
  <c r="Q76" i="14"/>
  <c r="L434" i="4"/>
  <c r="L439" i="4" s="1"/>
  <c r="E432" i="4"/>
  <c r="E437" i="4" s="1"/>
  <c r="C76" i="13"/>
  <c r="K433" i="4"/>
  <c r="K438" i="4" s="1"/>
  <c r="L76" i="14"/>
  <c r="J434" i="4"/>
  <c r="J439" i="4" s="1"/>
  <c r="I76" i="14"/>
  <c r="G432" i="4"/>
  <c r="G437" i="4" s="1"/>
  <c r="K76" i="13"/>
  <c r="F434" i="4"/>
  <c r="F439" i="4" s="1"/>
  <c r="I76" i="13"/>
  <c r="K434" i="4"/>
  <c r="K439" i="4" s="1"/>
  <c r="M76" i="14"/>
  <c r="G76" i="14"/>
  <c r="J432" i="4"/>
  <c r="J437" i="4" s="1"/>
  <c r="G434" i="4"/>
  <c r="G439" i="4" s="1"/>
  <c r="M76" i="13"/>
  <c r="F433" i="4"/>
  <c r="F438" i="4" s="1"/>
  <c r="H76" i="13"/>
  <c r="K432" i="4"/>
  <c r="K437" i="4" s="1"/>
  <c r="K76" i="14"/>
  <c r="J433" i="4"/>
  <c r="J438" i="4" s="1"/>
  <c r="H76" i="14"/>
  <c r="G433" i="4"/>
  <c r="G438" i="4" s="1"/>
  <c r="L76" i="13"/>
  <c r="F432" i="4"/>
  <c r="F437" i="4" s="1"/>
  <c r="G76" i="13"/>
  <c r="O19" i="4"/>
  <c r="O24" i="4" s="1"/>
  <c r="G57" i="15"/>
  <c r="H57" i="15"/>
  <c r="O20" i="4"/>
  <c r="O25" i="4" s="1"/>
  <c r="O21" i="4"/>
  <c r="O26" i="4" s="1"/>
  <c r="I57" i="15"/>
  <c r="N20" i="4"/>
  <c r="N25" i="4" s="1"/>
  <c r="D57" i="15"/>
  <c r="N21" i="4"/>
  <c r="N26" i="4" s="1"/>
  <c r="E57" i="15"/>
  <c r="N19" i="4"/>
  <c r="N24" i="4" s="1"/>
  <c r="C57" i="15"/>
  <c r="I434" i="4"/>
  <c r="I439" i="4" s="1"/>
  <c r="E76" i="14"/>
  <c r="I432" i="4"/>
  <c r="I437" i="4" s="1"/>
  <c r="C76" i="14"/>
  <c r="I433" i="4"/>
  <c r="I438" i="4" s="1"/>
  <c r="D76" i="14"/>
  <c r="O432" i="4"/>
  <c r="O437" i="4" s="1"/>
  <c r="G76" i="15"/>
  <c r="N432" i="4"/>
  <c r="N437" i="4" s="1"/>
  <c r="C76" i="15"/>
  <c r="N433" i="4"/>
  <c r="N438" i="4" s="1"/>
  <c r="D76" i="15"/>
  <c r="N434" i="4"/>
  <c r="N439" i="4" s="1"/>
  <c r="E76" i="15"/>
  <c r="O434" i="4"/>
  <c r="O439" i="4" s="1"/>
  <c r="I76" i="15"/>
  <c r="O433" i="4"/>
  <c r="O438" i="4" s="1"/>
  <c r="H76" i="15"/>
  <c r="Q20" i="4"/>
  <c r="Q25" i="4" s="1"/>
  <c r="P57" i="15"/>
  <c r="Q21" i="4"/>
  <c r="Q26" i="4" s="1"/>
  <c r="Q57" i="15"/>
  <c r="Q19" i="4"/>
  <c r="Q24" i="4" s="1"/>
  <c r="O57" i="15"/>
  <c r="C29" i="13"/>
  <c r="S14" i="15"/>
  <c r="S13" i="15"/>
  <c r="W19" i="3"/>
  <c r="W23" i="3" s="1"/>
  <c r="W49" i="3"/>
  <c r="T14" i="15"/>
  <c r="N38" i="15"/>
  <c r="V205" i="3"/>
  <c r="V206" i="3" s="1"/>
  <c r="V207" i="3" s="1"/>
  <c r="W203" i="3"/>
  <c r="W205" i="3" s="1"/>
  <c r="W206" i="3" s="1"/>
  <c r="W207" i="3" s="1"/>
  <c r="U14" i="15"/>
  <c r="W50" i="3"/>
  <c r="T13" i="15"/>
  <c r="W20" i="3"/>
  <c r="W24" i="3" s="1"/>
  <c r="W21" i="3"/>
  <c r="W25" i="3" s="1"/>
  <c r="U13" i="15"/>
  <c r="N27" i="15"/>
  <c r="C35" i="13"/>
  <c r="J29" i="13"/>
  <c r="J16" i="13"/>
  <c r="M15" i="13"/>
  <c r="L15" i="13"/>
  <c r="K13" i="13"/>
  <c r="K15" i="17"/>
  <c r="S16" i="14"/>
  <c r="K15" i="13"/>
  <c r="I37" i="13"/>
  <c r="H37" i="13"/>
  <c r="K382" i="3"/>
  <c r="K383" i="3" s="1"/>
  <c r="K385" i="3" s="1"/>
  <c r="K387" i="3" s="1"/>
  <c r="G37" i="13"/>
  <c r="E38" i="16"/>
  <c r="K357" i="3"/>
  <c r="K358" i="3" s="1"/>
  <c r="K360" i="3" s="1"/>
  <c r="L29" i="13"/>
  <c r="G35" i="13"/>
  <c r="K29" i="13"/>
  <c r="D38" i="16"/>
  <c r="H35" i="13"/>
  <c r="C38" i="16"/>
  <c r="I35" i="13"/>
  <c r="E27" i="16"/>
  <c r="D27" i="16"/>
  <c r="C27" i="16"/>
  <c r="T50" i="3"/>
  <c r="E14" i="17"/>
  <c r="C14" i="17"/>
  <c r="T49" i="3"/>
  <c r="D14" i="17"/>
  <c r="G14" i="15"/>
  <c r="O49" i="3"/>
  <c r="H14" i="15"/>
  <c r="I14" i="15"/>
  <c r="O50" i="3"/>
  <c r="C14" i="14"/>
  <c r="I50" i="3"/>
  <c r="E14" i="14"/>
  <c r="U14" i="14"/>
  <c r="T14" i="14"/>
  <c r="I49" i="3"/>
  <c r="D14" i="14"/>
  <c r="S14" i="14"/>
  <c r="K14" i="13"/>
  <c r="G49" i="3"/>
  <c r="L14" i="13"/>
  <c r="G50" i="3"/>
  <c r="M14" i="13"/>
  <c r="U206" i="3"/>
  <c r="U207" i="3" s="1"/>
  <c r="T208" i="3"/>
  <c r="T209" i="3" s="1"/>
  <c r="T211" i="3" s="1"/>
  <c r="T213" i="3" s="1"/>
  <c r="T432" i="3"/>
  <c r="T433" i="3" s="1"/>
  <c r="T435" i="3" s="1"/>
  <c r="T437" i="3" s="1"/>
  <c r="U430" i="3"/>
  <c r="U431" i="3" s="1"/>
  <c r="V430" i="3"/>
  <c r="V431" i="3" s="1"/>
  <c r="H407" i="3"/>
  <c r="H408" i="3" s="1"/>
  <c r="H410" i="3" s="1"/>
  <c r="H412" i="3" s="1"/>
  <c r="I332" i="3"/>
  <c r="I333" i="3" s="1"/>
  <c r="I335" i="3" s="1"/>
  <c r="J330" i="3"/>
  <c r="J331" i="3" s="1"/>
  <c r="H332" i="3"/>
  <c r="H333" i="3" s="1"/>
  <c r="H335" i="3" s="1"/>
  <c r="G233" i="3"/>
  <c r="G234" i="3" s="1"/>
  <c r="G236" i="3" s="1"/>
  <c r="G238" i="3" s="1"/>
  <c r="J405" i="3"/>
  <c r="J406" i="3" s="1"/>
  <c r="I407" i="3"/>
  <c r="I408" i="3" s="1"/>
  <c r="I410" i="3" s="1"/>
  <c r="I412" i="3" s="1"/>
  <c r="K253" i="3"/>
  <c r="K255" i="3" s="1"/>
  <c r="K256" i="3" s="1"/>
  <c r="K257" i="3" s="1"/>
  <c r="G307" i="3"/>
  <c r="G308" i="3" s="1"/>
  <c r="G310" i="3" s="1"/>
  <c r="G312" i="3" s="1"/>
  <c r="H305" i="3"/>
  <c r="H306" i="3" s="1"/>
  <c r="I305" i="3"/>
  <c r="I306" i="3" s="1"/>
  <c r="J258" i="3"/>
  <c r="J304" i="3"/>
  <c r="K302" i="3"/>
  <c r="M8" i="3"/>
  <c r="M9" i="3" s="1"/>
  <c r="M11" i="3" s="1"/>
  <c r="M13" i="3" s="1"/>
  <c r="L50" i="3"/>
  <c r="L49" i="3"/>
  <c r="J230" i="3"/>
  <c r="K228" i="3"/>
  <c r="L58" i="3"/>
  <c r="L59" i="3" s="1"/>
  <c r="L61" i="3" s="1"/>
  <c r="L63" i="3" s="1"/>
  <c r="M56" i="3"/>
  <c r="M57" i="3" s="1"/>
  <c r="I231" i="3"/>
  <c r="I232" i="3" s="1"/>
  <c r="L354" i="3"/>
  <c r="L355" i="3" s="1"/>
  <c r="L356" i="3" s="1"/>
  <c r="K327" i="3"/>
  <c r="K329" i="3" s="1"/>
  <c r="L379" i="3"/>
  <c r="L380" i="3" s="1"/>
  <c r="L381" i="3" s="1"/>
  <c r="K404" i="3"/>
  <c r="K395" i="3" l="1"/>
  <c r="K399" i="3" s="1"/>
  <c r="K394" i="3"/>
  <c r="K398" i="3" s="1"/>
  <c r="B34" i="13"/>
  <c r="I34" i="13"/>
  <c r="G319" i="3"/>
  <c r="G323" i="3" s="1"/>
  <c r="G320" i="3"/>
  <c r="G324" i="3" s="1"/>
  <c r="F319" i="3"/>
  <c r="F323" i="3" s="1"/>
  <c r="F320" i="3"/>
  <c r="F324" i="3" s="1"/>
  <c r="G243" i="3"/>
  <c r="G247" i="3" s="1"/>
  <c r="G244" i="3"/>
  <c r="G248" i="3" s="1"/>
  <c r="G245" i="3"/>
  <c r="G249" i="3" s="1"/>
  <c r="G246" i="3"/>
  <c r="G250" i="3" s="1"/>
  <c r="D28" i="13"/>
  <c r="E245" i="3"/>
  <c r="E249" i="3" s="1"/>
  <c r="E28" i="13"/>
  <c r="E246" i="3"/>
  <c r="E250" i="3" s="1"/>
  <c r="S442" i="3"/>
  <c r="S446" i="3" s="1"/>
  <c r="S443" i="3"/>
  <c r="S447" i="3" s="1"/>
  <c r="T444" i="3"/>
  <c r="T448" i="3" s="1"/>
  <c r="T445" i="3"/>
  <c r="T449" i="3" s="1"/>
  <c r="I419" i="3"/>
  <c r="I423" i="3" s="1"/>
  <c r="I420" i="3"/>
  <c r="I424" i="3" s="1"/>
  <c r="H419" i="3"/>
  <c r="H423" i="3" s="1"/>
  <c r="H420" i="3"/>
  <c r="H424" i="3" s="1"/>
  <c r="G417" i="3"/>
  <c r="G421" i="3" s="1"/>
  <c r="G418" i="3"/>
  <c r="G422" i="3" s="1"/>
  <c r="B37" i="13"/>
  <c r="J392" i="3"/>
  <c r="J396" i="3" s="1"/>
  <c r="J393" i="3"/>
  <c r="J397" i="3" s="1"/>
  <c r="I393" i="3"/>
  <c r="I397" i="3" s="1"/>
  <c r="I392" i="3"/>
  <c r="I396" i="3" s="1"/>
  <c r="H393" i="3"/>
  <c r="H397" i="3" s="1"/>
  <c r="H392" i="3"/>
  <c r="H396" i="3" s="1"/>
  <c r="G393" i="3"/>
  <c r="G397" i="3" s="1"/>
  <c r="G392" i="3"/>
  <c r="G396" i="3" s="1"/>
  <c r="D35" i="13"/>
  <c r="E394" i="3"/>
  <c r="E398" i="3" s="1"/>
  <c r="H369" i="3"/>
  <c r="H373" i="3" s="1"/>
  <c r="H370" i="3"/>
  <c r="H374" i="3" s="1"/>
  <c r="J369" i="3"/>
  <c r="J373" i="3" s="1"/>
  <c r="J370" i="3"/>
  <c r="J374" i="3" s="1"/>
  <c r="F368" i="3"/>
  <c r="F372" i="3" s="1"/>
  <c r="I369" i="3"/>
  <c r="I373" i="3" s="1"/>
  <c r="I370" i="3"/>
  <c r="I374" i="3" s="1"/>
  <c r="G368" i="3"/>
  <c r="G372" i="3" s="1"/>
  <c r="B32" i="13"/>
  <c r="F343" i="3"/>
  <c r="F347" i="3" s="1"/>
  <c r="F342" i="3"/>
  <c r="F346" i="3" s="1"/>
  <c r="G32" i="13"/>
  <c r="G343" i="3"/>
  <c r="G347" i="3" s="1"/>
  <c r="G342" i="3"/>
  <c r="G346" i="3" s="1"/>
  <c r="H271" i="3"/>
  <c r="H275" i="3" s="1"/>
  <c r="Q29" i="13"/>
  <c r="T221" i="3"/>
  <c r="T225" i="3" s="1"/>
  <c r="T220" i="3"/>
  <c r="T224" i="3" s="1"/>
  <c r="S218" i="3"/>
  <c r="S222" i="3" s="1"/>
  <c r="S219" i="3"/>
  <c r="S223" i="3" s="1"/>
  <c r="M93" i="3"/>
  <c r="M97" i="3" s="1"/>
  <c r="R16" i="14"/>
  <c r="B14" i="14"/>
  <c r="M43" i="3"/>
  <c r="M47" i="3" s="1"/>
  <c r="R14" i="14"/>
  <c r="J13" i="13"/>
  <c r="H68" i="3"/>
  <c r="H72" i="3" s="1"/>
  <c r="H69" i="3"/>
  <c r="H73" i="3" s="1"/>
  <c r="H44" i="3"/>
  <c r="H48" i="3" s="1"/>
  <c r="H43" i="3"/>
  <c r="H47" i="3" s="1"/>
  <c r="L71" i="3"/>
  <c r="L75" i="3" s="1"/>
  <c r="L70" i="3"/>
  <c r="L74" i="3" s="1"/>
  <c r="J14" i="13"/>
  <c r="P15" i="13"/>
  <c r="B14" i="17"/>
  <c r="K68" i="3"/>
  <c r="K72" i="3" s="1"/>
  <c r="K69" i="3"/>
  <c r="K73" i="3" s="1"/>
  <c r="V44" i="3"/>
  <c r="V48" i="3" s="1"/>
  <c r="Q15" i="13"/>
  <c r="F14" i="15"/>
  <c r="E43" i="3"/>
  <c r="E47" i="3" s="1"/>
  <c r="B14" i="13"/>
  <c r="C30" i="14"/>
  <c r="F30" i="14"/>
  <c r="F32" i="13"/>
  <c r="C28" i="13"/>
  <c r="G34" i="13"/>
  <c r="F28" i="13"/>
  <c r="E35" i="13"/>
  <c r="V49" i="3"/>
  <c r="K20" i="3"/>
  <c r="K24" i="3" s="1"/>
  <c r="I32" i="13"/>
  <c r="K13" i="14"/>
  <c r="K19" i="3"/>
  <c r="K23" i="3" s="1"/>
  <c r="H34" i="13"/>
  <c r="V50" i="3"/>
  <c r="K21" i="3"/>
  <c r="K25" i="3" s="1"/>
  <c r="H32" i="13"/>
  <c r="K362" i="3"/>
  <c r="K14" i="17"/>
  <c r="H337" i="3"/>
  <c r="I337" i="3"/>
  <c r="N28" i="13"/>
  <c r="R14" i="15"/>
  <c r="W47" i="3"/>
  <c r="N13" i="13"/>
  <c r="H18" i="3"/>
  <c r="H22" i="3" s="1"/>
  <c r="N29" i="13"/>
  <c r="B29" i="14"/>
  <c r="N14" i="13"/>
  <c r="J15" i="17"/>
  <c r="R13" i="15"/>
  <c r="W18" i="3"/>
  <c r="W22" i="3" s="1"/>
  <c r="J13" i="14"/>
  <c r="K18" i="3"/>
  <c r="K22" i="3" s="1"/>
  <c r="J259" i="3"/>
  <c r="J261" i="3" s="1"/>
  <c r="H376" i="4"/>
  <c r="H381" i="4" s="1"/>
  <c r="O84" i="13"/>
  <c r="H375" i="4"/>
  <c r="H380" i="4" s="1"/>
  <c r="N84" i="13"/>
  <c r="H378" i="4"/>
  <c r="H383" i="4" s="1"/>
  <c r="Q84" i="13"/>
  <c r="P84" i="13"/>
  <c r="H377" i="4"/>
  <c r="H382" i="4" s="1"/>
  <c r="H132" i="4"/>
  <c r="H137" i="4" s="1"/>
  <c r="Q62" i="13"/>
  <c r="H130" i="4"/>
  <c r="H135" i="4" s="1"/>
  <c r="O62" i="13"/>
  <c r="H131" i="4"/>
  <c r="H136" i="4" s="1"/>
  <c r="P62" i="13"/>
  <c r="R267" i="4"/>
  <c r="R272" i="4" s="1"/>
  <c r="B71" i="16"/>
  <c r="K267" i="4"/>
  <c r="K272" i="4" s="1"/>
  <c r="J71" i="14"/>
  <c r="H270" i="4"/>
  <c r="H275" i="4" s="1"/>
  <c r="Q71" i="13"/>
  <c r="H268" i="4"/>
  <c r="H273" i="4" s="1"/>
  <c r="O71" i="13"/>
  <c r="K268" i="4"/>
  <c r="K273" i="4" s="1"/>
  <c r="K71" i="14"/>
  <c r="H269" i="4"/>
  <c r="H274" i="4" s="1"/>
  <c r="P71" i="13"/>
  <c r="G267" i="4"/>
  <c r="G272" i="4" s="1"/>
  <c r="J71" i="13"/>
  <c r="B38" i="16"/>
  <c r="W208" i="3"/>
  <c r="W209" i="3" s="1"/>
  <c r="W211" i="3" s="1"/>
  <c r="W213" i="3" s="1"/>
  <c r="F37" i="13"/>
  <c r="B35" i="13"/>
  <c r="F35" i="13"/>
  <c r="B27" i="16"/>
  <c r="O13" i="14"/>
  <c r="J15" i="13"/>
  <c r="O35" i="13"/>
  <c r="G35" i="14"/>
  <c r="K35" i="13"/>
  <c r="C35" i="14"/>
  <c r="K15" i="14"/>
  <c r="O15" i="13"/>
  <c r="I28" i="13"/>
  <c r="O28" i="13"/>
  <c r="I38" i="16"/>
  <c r="K34" i="13"/>
  <c r="H35" i="14"/>
  <c r="L35" i="13"/>
  <c r="G38" i="16"/>
  <c r="L34" i="13"/>
  <c r="M32" i="13"/>
  <c r="Q28" i="13"/>
  <c r="M34" i="13"/>
  <c r="E35" i="14"/>
  <c r="K32" i="13"/>
  <c r="L357" i="3"/>
  <c r="L358" i="3" s="1"/>
  <c r="L360" i="3" s="1"/>
  <c r="L362" i="3" s="1"/>
  <c r="H38" i="16"/>
  <c r="Q35" i="13"/>
  <c r="C29" i="14"/>
  <c r="D29" i="14"/>
  <c r="K37" i="13"/>
  <c r="P35" i="13"/>
  <c r="L382" i="3"/>
  <c r="L383" i="3" s="1"/>
  <c r="L385" i="3" s="1"/>
  <c r="L387" i="3" s="1"/>
  <c r="I35" i="14"/>
  <c r="D35" i="14"/>
  <c r="L32" i="13"/>
  <c r="M37" i="13"/>
  <c r="P29" i="13"/>
  <c r="H28" i="13"/>
  <c r="O29" i="13"/>
  <c r="G28" i="13"/>
  <c r="L37" i="13"/>
  <c r="G27" i="16"/>
  <c r="H27" i="16"/>
  <c r="I27" i="16"/>
  <c r="O14" i="13"/>
  <c r="P14" i="13"/>
  <c r="Q14" i="13"/>
  <c r="L19" i="3"/>
  <c r="L23" i="3" s="1"/>
  <c r="L20" i="3"/>
  <c r="L24" i="3" s="1"/>
  <c r="L21" i="3"/>
  <c r="L25" i="3" s="1"/>
  <c r="H20" i="3"/>
  <c r="H24" i="3" s="1"/>
  <c r="P13" i="13"/>
  <c r="H21" i="3"/>
  <c r="H25" i="3" s="1"/>
  <c r="Q13" i="13"/>
  <c r="O13" i="13"/>
  <c r="H19" i="3"/>
  <c r="H23" i="3" s="1"/>
  <c r="L253" i="3"/>
  <c r="L255" i="3" s="1"/>
  <c r="L256" i="3" s="1"/>
  <c r="L257" i="3" s="1"/>
  <c r="V208" i="3"/>
  <c r="V209" i="3" s="1"/>
  <c r="V211" i="3" s="1"/>
  <c r="U208" i="3"/>
  <c r="U209" i="3" s="1"/>
  <c r="U211" i="3" s="1"/>
  <c r="U213" i="3" s="1"/>
  <c r="U432" i="3"/>
  <c r="U433" i="3" s="1"/>
  <c r="U435" i="3" s="1"/>
  <c r="U437" i="3" s="1"/>
  <c r="V432" i="3"/>
  <c r="V433" i="3" s="1"/>
  <c r="V435" i="3" s="1"/>
  <c r="V437" i="3" s="1"/>
  <c r="J407" i="3"/>
  <c r="J408" i="3" s="1"/>
  <c r="J410" i="3" s="1"/>
  <c r="J412" i="3" s="1"/>
  <c r="J332" i="3"/>
  <c r="J333" i="3" s="1"/>
  <c r="J335" i="3" s="1"/>
  <c r="K330" i="3"/>
  <c r="K331" i="3" s="1"/>
  <c r="I233" i="3"/>
  <c r="I234" i="3" s="1"/>
  <c r="I236" i="3" s="1"/>
  <c r="I238" i="3" s="1"/>
  <c r="K405" i="3"/>
  <c r="K406" i="3" s="1"/>
  <c r="I307" i="3"/>
  <c r="I308" i="3" s="1"/>
  <c r="I310" i="3" s="1"/>
  <c r="H307" i="3"/>
  <c r="H308" i="3" s="1"/>
  <c r="H310" i="3" s="1"/>
  <c r="J305" i="3"/>
  <c r="J306" i="3" s="1"/>
  <c r="K258" i="3"/>
  <c r="K304" i="3"/>
  <c r="L302" i="3"/>
  <c r="M50" i="3"/>
  <c r="M49" i="3"/>
  <c r="M58" i="3"/>
  <c r="M59" i="3" s="1"/>
  <c r="M61" i="3" s="1"/>
  <c r="M63" i="3" s="1"/>
  <c r="K230" i="3"/>
  <c r="L228" i="3"/>
  <c r="J231" i="3"/>
  <c r="J232" i="3" s="1"/>
  <c r="L327" i="3"/>
  <c r="L329" i="3" s="1"/>
  <c r="M354" i="3"/>
  <c r="M355" i="3" s="1"/>
  <c r="M356" i="3" s="1"/>
  <c r="M379" i="3"/>
  <c r="M380" i="3" s="1"/>
  <c r="M381" i="3" s="1"/>
  <c r="L404" i="3"/>
  <c r="Q34" i="13" l="1"/>
  <c r="K393" i="3"/>
  <c r="K397" i="3" s="1"/>
  <c r="K392" i="3"/>
  <c r="K396" i="3" s="1"/>
  <c r="I34" i="14"/>
  <c r="G318" i="3"/>
  <c r="G322" i="3" s="1"/>
  <c r="G317" i="3"/>
  <c r="G321" i="3" s="1"/>
  <c r="F317" i="3"/>
  <c r="F321" i="3" s="1"/>
  <c r="F318" i="3"/>
  <c r="F322" i="3" s="1"/>
  <c r="I246" i="3"/>
  <c r="I250" i="3" s="1"/>
  <c r="I243" i="3"/>
  <c r="I247" i="3" s="1"/>
  <c r="I245" i="3"/>
  <c r="I249" i="3" s="1"/>
  <c r="I244" i="3"/>
  <c r="I248" i="3" s="1"/>
  <c r="U444" i="3"/>
  <c r="U448" i="3" s="1"/>
  <c r="U445" i="3"/>
  <c r="U449" i="3" s="1"/>
  <c r="T442" i="3"/>
  <c r="T446" i="3" s="1"/>
  <c r="T443" i="3"/>
  <c r="T447" i="3" s="1"/>
  <c r="V444" i="3"/>
  <c r="V448" i="3" s="1"/>
  <c r="V445" i="3"/>
  <c r="V449" i="3" s="1"/>
  <c r="J420" i="3"/>
  <c r="J424" i="3" s="1"/>
  <c r="J419" i="3"/>
  <c r="J423" i="3" s="1"/>
  <c r="I417" i="3"/>
  <c r="I421" i="3" s="1"/>
  <c r="I418" i="3"/>
  <c r="I422" i="3" s="1"/>
  <c r="H418" i="3"/>
  <c r="H422" i="3" s="1"/>
  <c r="H417" i="3"/>
  <c r="H421" i="3" s="1"/>
  <c r="L394" i="3"/>
  <c r="L398" i="3" s="1"/>
  <c r="L395" i="3"/>
  <c r="L399" i="3" s="1"/>
  <c r="K369" i="3"/>
  <c r="K373" i="3" s="1"/>
  <c r="K370" i="3"/>
  <c r="K374" i="3" s="1"/>
  <c r="F367" i="3"/>
  <c r="F371" i="3" s="1"/>
  <c r="F34" i="13"/>
  <c r="I368" i="3"/>
  <c r="I372" i="3" s="1"/>
  <c r="J368" i="3"/>
  <c r="J372" i="3" s="1"/>
  <c r="L369" i="3"/>
  <c r="L373" i="3" s="1"/>
  <c r="L370" i="3"/>
  <c r="L374" i="3" s="1"/>
  <c r="H368" i="3"/>
  <c r="H372" i="3" s="1"/>
  <c r="E34" i="14"/>
  <c r="G367" i="3"/>
  <c r="G371" i="3" s="1"/>
  <c r="J34" i="13"/>
  <c r="I345" i="3"/>
  <c r="I349" i="3" s="1"/>
  <c r="I344" i="3"/>
  <c r="I348" i="3" s="1"/>
  <c r="H344" i="3"/>
  <c r="H348" i="3" s="1"/>
  <c r="H345" i="3"/>
  <c r="H349" i="3" s="1"/>
  <c r="W220" i="3"/>
  <c r="W224" i="3" s="1"/>
  <c r="W221" i="3"/>
  <c r="W225" i="3" s="1"/>
  <c r="U221" i="3"/>
  <c r="U225" i="3" s="1"/>
  <c r="U220" i="3"/>
  <c r="U224" i="3" s="1"/>
  <c r="T218" i="3"/>
  <c r="T222" i="3" s="1"/>
  <c r="T219" i="3"/>
  <c r="T223" i="3" s="1"/>
  <c r="M18" i="3"/>
  <c r="M22" i="3" s="1"/>
  <c r="R13" i="14"/>
  <c r="L68" i="3"/>
  <c r="L72" i="3" s="1"/>
  <c r="L69" i="3"/>
  <c r="L73" i="3" s="1"/>
  <c r="M71" i="3"/>
  <c r="M75" i="3" s="1"/>
  <c r="M70" i="3"/>
  <c r="M74" i="3" s="1"/>
  <c r="J14" i="17"/>
  <c r="V43" i="3"/>
  <c r="V47" i="3" s="1"/>
  <c r="G31" i="13"/>
  <c r="G34" i="14"/>
  <c r="H31" i="13"/>
  <c r="O34" i="13"/>
  <c r="H34" i="14"/>
  <c r="P34" i="13"/>
  <c r="D34" i="14"/>
  <c r="C34" i="14"/>
  <c r="I31" i="13"/>
  <c r="V213" i="3"/>
  <c r="H312" i="3"/>
  <c r="I312" i="3"/>
  <c r="F31" i="13"/>
  <c r="J263" i="3"/>
  <c r="J268" i="3" s="1"/>
  <c r="J272" i="3" s="1"/>
  <c r="J337" i="3"/>
  <c r="J15" i="14"/>
  <c r="N13" i="14"/>
  <c r="L18" i="3"/>
  <c r="L22" i="3" s="1"/>
  <c r="N15" i="13"/>
  <c r="M382" i="3"/>
  <c r="M383" i="3" s="1"/>
  <c r="M385" i="3" s="1"/>
  <c r="M387" i="3" s="1"/>
  <c r="M357" i="3"/>
  <c r="M358" i="3" s="1"/>
  <c r="M360" i="3" s="1"/>
  <c r="K259" i="3"/>
  <c r="K261" i="3" s="1"/>
  <c r="H267" i="4"/>
  <c r="H272" i="4" s="1"/>
  <c r="N71" i="13"/>
  <c r="F35" i="14"/>
  <c r="N35" i="13"/>
  <c r="B35" i="14"/>
  <c r="J37" i="13"/>
  <c r="F38" i="16"/>
  <c r="F27" i="16"/>
  <c r="O15" i="14"/>
  <c r="P15" i="14"/>
  <c r="Q15" i="14"/>
  <c r="J35" i="13"/>
  <c r="J32" i="13"/>
  <c r="J28" i="13"/>
  <c r="O37" i="13"/>
  <c r="E38" i="17"/>
  <c r="D37" i="14"/>
  <c r="K35" i="14"/>
  <c r="M31" i="13"/>
  <c r="L28" i="13"/>
  <c r="D38" i="17"/>
  <c r="E37" i="14"/>
  <c r="L35" i="14"/>
  <c r="M28" i="13"/>
  <c r="C38" i="17"/>
  <c r="M35" i="14"/>
  <c r="K28" i="13"/>
  <c r="C37" i="14"/>
  <c r="P37" i="13"/>
  <c r="K31" i="13"/>
  <c r="Q37" i="13"/>
  <c r="L31" i="13"/>
  <c r="D27" i="17"/>
  <c r="C27" i="17"/>
  <c r="E27" i="17"/>
  <c r="M19" i="3"/>
  <c r="M23" i="3" s="1"/>
  <c r="S13" i="14"/>
  <c r="M21" i="3"/>
  <c r="M25" i="3" s="1"/>
  <c r="U13" i="14"/>
  <c r="M20" i="3"/>
  <c r="M24" i="3" s="1"/>
  <c r="T13" i="14"/>
  <c r="M253" i="3"/>
  <c r="M255" i="3" s="1"/>
  <c r="M256" i="3" s="1"/>
  <c r="M257" i="3" s="1"/>
  <c r="K332" i="3"/>
  <c r="K333" i="3" s="1"/>
  <c r="K335" i="3" s="1"/>
  <c r="K407" i="3"/>
  <c r="K408" i="3" s="1"/>
  <c r="K410" i="3" s="1"/>
  <c r="K412" i="3" s="1"/>
  <c r="J233" i="3"/>
  <c r="J234" i="3" s="1"/>
  <c r="J236" i="3" s="1"/>
  <c r="J238" i="3" s="1"/>
  <c r="L405" i="3"/>
  <c r="L406" i="3" s="1"/>
  <c r="L330" i="3"/>
  <c r="L331" i="3" s="1"/>
  <c r="J307" i="3"/>
  <c r="J308" i="3" s="1"/>
  <c r="J310" i="3" s="1"/>
  <c r="K305" i="3"/>
  <c r="K306" i="3" s="1"/>
  <c r="L258" i="3"/>
  <c r="M302" i="3"/>
  <c r="L304" i="3"/>
  <c r="K231" i="3"/>
  <c r="K232" i="3" s="1"/>
  <c r="L230" i="3"/>
  <c r="M228" i="3"/>
  <c r="M327" i="3"/>
  <c r="M329" i="3" s="1"/>
  <c r="N354" i="3"/>
  <c r="N379" i="3"/>
  <c r="M404" i="3"/>
  <c r="M34" i="14" l="1"/>
  <c r="I320" i="3"/>
  <c r="I324" i="3" s="1"/>
  <c r="I319" i="3"/>
  <c r="I323" i="3" s="1"/>
  <c r="H320" i="3"/>
  <c r="H324" i="3" s="1"/>
  <c r="H319" i="3"/>
  <c r="H323" i="3" s="1"/>
  <c r="J246" i="3"/>
  <c r="J250" i="3" s="1"/>
  <c r="J243" i="3"/>
  <c r="J247" i="3" s="1"/>
  <c r="J244" i="3"/>
  <c r="J248" i="3" s="1"/>
  <c r="J245" i="3"/>
  <c r="J249" i="3" s="1"/>
  <c r="U442" i="3"/>
  <c r="U446" i="3" s="1"/>
  <c r="U443" i="3"/>
  <c r="U447" i="3" s="1"/>
  <c r="V442" i="3"/>
  <c r="V446" i="3" s="1"/>
  <c r="V443" i="3"/>
  <c r="V447" i="3" s="1"/>
  <c r="K420" i="3"/>
  <c r="K424" i="3" s="1"/>
  <c r="K419" i="3"/>
  <c r="K423" i="3" s="1"/>
  <c r="J417" i="3"/>
  <c r="J421" i="3" s="1"/>
  <c r="J418" i="3"/>
  <c r="J422" i="3" s="1"/>
  <c r="M395" i="3"/>
  <c r="M399" i="3" s="1"/>
  <c r="M394" i="3"/>
  <c r="M398" i="3" s="1"/>
  <c r="L392" i="3"/>
  <c r="L396" i="3" s="1"/>
  <c r="L393" i="3"/>
  <c r="L397" i="3" s="1"/>
  <c r="L368" i="3"/>
  <c r="L372" i="3" s="1"/>
  <c r="K368" i="3"/>
  <c r="K372" i="3" s="1"/>
  <c r="H367" i="3"/>
  <c r="H371" i="3" s="1"/>
  <c r="N34" i="13"/>
  <c r="F34" i="14"/>
  <c r="J367" i="3"/>
  <c r="J371" i="3" s="1"/>
  <c r="B34" i="14"/>
  <c r="I367" i="3"/>
  <c r="I371" i="3" s="1"/>
  <c r="I342" i="3"/>
  <c r="I346" i="3" s="1"/>
  <c r="I343" i="3"/>
  <c r="I347" i="3" s="1"/>
  <c r="H343" i="3"/>
  <c r="H347" i="3" s="1"/>
  <c r="H342" i="3"/>
  <c r="H346" i="3" s="1"/>
  <c r="J345" i="3"/>
  <c r="J349" i="3" s="1"/>
  <c r="J344" i="3"/>
  <c r="J348" i="3" s="1"/>
  <c r="W218" i="3"/>
  <c r="W222" i="3" s="1"/>
  <c r="W219" i="3"/>
  <c r="W223" i="3" s="1"/>
  <c r="V220" i="3"/>
  <c r="V224" i="3" s="1"/>
  <c r="V221" i="3"/>
  <c r="V225" i="3" s="1"/>
  <c r="U218" i="3"/>
  <c r="U222" i="3" s="1"/>
  <c r="U219" i="3"/>
  <c r="U223" i="3" s="1"/>
  <c r="U15" i="14"/>
  <c r="T15" i="14"/>
  <c r="M69" i="3"/>
  <c r="M73" i="3" s="1"/>
  <c r="J271" i="3"/>
  <c r="J275" i="3" s="1"/>
  <c r="N32" i="13"/>
  <c r="J270" i="3"/>
  <c r="J274" i="3" s="1"/>
  <c r="J269" i="3"/>
  <c r="J273" i="3" s="1"/>
  <c r="B32" i="14"/>
  <c r="C32" i="14"/>
  <c r="L34" i="14"/>
  <c r="K34" i="14"/>
  <c r="D32" i="14"/>
  <c r="E32" i="14"/>
  <c r="Q32" i="13"/>
  <c r="O32" i="13"/>
  <c r="P32" i="13"/>
  <c r="M362" i="3"/>
  <c r="J312" i="3"/>
  <c r="M27" i="17"/>
  <c r="K263" i="3"/>
  <c r="M38" i="17"/>
  <c r="K337" i="3"/>
  <c r="B28" i="14"/>
  <c r="L259" i="3"/>
  <c r="L261" i="3" s="1"/>
  <c r="B38" i="17"/>
  <c r="O35" i="14"/>
  <c r="J35" i="14"/>
  <c r="Q34" i="14"/>
  <c r="S27" i="15"/>
  <c r="B37" i="14"/>
  <c r="T27" i="15"/>
  <c r="Q35" i="14"/>
  <c r="P34" i="14"/>
  <c r="U27" i="15"/>
  <c r="O34" i="14"/>
  <c r="P35" i="14"/>
  <c r="N37" i="13"/>
  <c r="B27" i="17"/>
  <c r="N15" i="14"/>
  <c r="J31" i="13"/>
  <c r="G37" i="14"/>
  <c r="S15" i="14"/>
  <c r="G38" i="17"/>
  <c r="K38" i="17"/>
  <c r="L38" i="17"/>
  <c r="H37" i="14"/>
  <c r="D28" i="14"/>
  <c r="E28" i="14"/>
  <c r="I38" i="17"/>
  <c r="I37" i="14"/>
  <c r="C28" i="14"/>
  <c r="H38" i="17"/>
  <c r="I27" i="17"/>
  <c r="G27" i="17"/>
  <c r="H27" i="17"/>
  <c r="N253" i="3"/>
  <c r="N255" i="3" s="1"/>
  <c r="N256" i="3" s="1"/>
  <c r="N257" i="3" s="1"/>
  <c r="L332" i="3"/>
  <c r="L333" i="3" s="1"/>
  <c r="L335" i="3" s="1"/>
  <c r="L337" i="3" s="1"/>
  <c r="K233" i="3"/>
  <c r="K234" i="3" s="1"/>
  <c r="K236" i="3" s="1"/>
  <c r="K238" i="3" s="1"/>
  <c r="M405" i="3"/>
  <c r="M406" i="3" s="1"/>
  <c r="L407" i="3"/>
  <c r="L408" i="3" s="1"/>
  <c r="L410" i="3" s="1"/>
  <c r="M330" i="3"/>
  <c r="M331" i="3" s="1"/>
  <c r="N380" i="3"/>
  <c r="N381" i="3" s="1"/>
  <c r="N355" i="3"/>
  <c r="N356" i="3" s="1"/>
  <c r="K307" i="3"/>
  <c r="K308" i="3" s="1"/>
  <c r="K310" i="3" s="1"/>
  <c r="L305" i="3"/>
  <c r="L306" i="3" s="1"/>
  <c r="M258" i="3"/>
  <c r="M259" i="3" s="1"/>
  <c r="M261" i="3" s="1"/>
  <c r="M263" i="3" s="1"/>
  <c r="M304" i="3"/>
  <c r="N302" i="3"/>
  <c r="L231" i="3"/>
  <c r="L232" i="3" s="1"/>
  <c r="M230" i="3"/>
  <c r="N228" i="3"/>
  <c r="O354" i="3"/>
  <c r="N327" i="3"/>
  <c r="N329" i="3" s="1"/>
  <c r="N404" i="3"/>
  <c r="O379" i="3"/>
  <c r="J319" i="3" l="1"/>
  <c r="J323" i="3" s="1"/>
  <c r="J320" i="3"/>
  <c r="J324" i="3" s="1"/>
  <c r="I318" i="3"/>
  <c r="I322" i="3" s="1"/>
  <c r="I317" i="3"/>
  <c r="I321" i="3" s="1"/>
  <c r="H318" i="3"/>
  <c r="H322" i="3" s="1"/>
  <c r="H317" i="3"/>
  <c r="H321" i="3" s="1"/>
  <c r="K245" i="3"/>
  <c r="K249" i="3" s="1"/>
  <c r="K243" i="3"/>
  <c r="K247" i="3" s="1"/>
  <c r="K246" i="3"/>
  <c r="K250" i="3" s="1"/>
  <c r="K244" i="3"/>
  <c r="K248" i="3" s="1"/>
  <c r="K417" i="3"/>
  <c r="K421" i="3" s="1"/>
  <c r="K418" i="3"/>
  <c r="K422" i="3" s="1"/>
  <c r="M393" i="3"/>
  <c r="M397" i="3" s="1"/>
  <c r="J34" i="14"/>
  <c r="K367" i="3"/>
  <c r="K371" i="3" s="1"/>
  <c r="M370" i="3"/>
  <c r="M374" i="3" s="1"/>
  <c r="M369" i="3"/>
  <c r="M373" i="3" s="1"/>
  <c r="N34" i="14"/>
  <c r="L367" i="3"/>
  <c r="L371" i="3" s="1"/>
  <c r="K345" i="3"/>
  <c r="K349" i="3" s="1"/>
  <c r="K344" i="3"/>
  <c r="K348" i="3" s="1"/>
  <c r="J342" i="3"/>
  <c r="J346" i="3" s="1"/>
  <c r="J343" i="3"/>
  <c r="J347" i="3" s="1"/>
  <c r="L345" i="3"/>
  <c r="L349" i="3" s="1"/>
  <c r="L344" i="3"/>
  <c r="L348" i="3" s="1"/>
  <c r="K268" i="3"/>
  <c r="K272" i="3" s="1"/>
  <c r="J30" i="14"/>
  <c r="R29" i="14"/>
  <c r="M268" i="3"/>
  <c r="M272" i="3" s="1"/>
  <c r="V218" i="3"/>
  <c r="V222" i="3" s="1"/>
  <c r="V219" i="3"/>
  <c r="V223" i="3" s="1"/>
  <c r="M68" i="3"/>
  <c r="M72" i="3" s="1"/>
  <c r="R15" i="14"/>
  <c r="G30" i="14"/>
  <c r="D30" i="14"/>
  <c r="E29" i="14"/>
  <c r="F29" i="14"/>
  <c r="M270" i="3"/>
  <c r="M274" i="3" s="1"/>
  <c r="M269" i="3"/>
  <c r="M273" i="3" s="1"/>
  <c r="K27" i="17"/>
  <c r="G32" i="14"/>
  <c r="H32" i="14"/>
  <c r="H29" i="14"/>
  <c r="F32" i="14"/>
  <c r="L27" i="17"/>
  <c r="I32" i="14"/>
  <c r="O31" i="13"/>
  <c r="Q31" i="13"/>
  <c r="P31" i="13"/>
  <c r="G29" i="14"/>
  <c r="N31" i="13"/>
  <c r="K312" i="3"/>
  <c r="L412" i="3"/>
  <c r="L263" i="3"/>
  <c r="F28" i="14"/>
  <c r="F38" i="17"/>
  <c r="J38" i="17"/>
  <c r="N35" i="14"/>
  <c r="R27" i="15"/>
  <c r="F37" i="14"/>
  <c r="F27" i="17"/>
  <c r="J27" i="17"/>
  <c r="K37" i="14"/>
  <c r="G28" i="14"/>
  <c r="I28" i="14"/>
  <c r="T35" i="14"/>
  <c r="O253" i="3"/>
  <c r="O255" i="3" s="1"/>
  <c r="O256" i="3" s="1"/>
  <c r="O257" i="3" s="1"/>
  <c r="H28" i="14"/>
  <c r="U35" i="14"/>
  <c r="S35" i="14"/>
  <c r="L37" i="14"/>
  <c r="M37" i="14"/>
  <c r="M407" i="3"/>
  <c r="M408" i="3" s="1"/>
  <c r="M410" i="3" s="1"/>
  <c r="M412" i="3" s="1"/>
  <c r="L233" i="3"/>
  <c r="L234" i="3" s="1"/>
  <c r="L236" i="3" s="1"/>
  <c r="N405" i="3"/>
  <c r="N406" i="3" s="1"/>
  <c r="O355" i="3"/>
  <c r="O356" i="3" s="1"/>
  <c r="M332" i="3"/>
  <c r="M333" i="3" s="1"/>
  <c r="M335" i="3" s="1"/>
  <c r="N357" i="3"/>
  <c r="N358" i="3" s="1"/>
  <c r="N360" i="3" s="1"/>
  <c r="N330" i="3"/>
  <c r="N331" i="3" s="1"/>
  <c r="N382" i="3"/>
  <c r="N383" i="3" s="1"/>
  <c r="N385" i="3" s="1"/>
  <c r="N387" i="3" s="1"/>
  <c r="O380" i="3"/>
  <c r="O381" i="3" s="1"/>
  <c r="L307" i="3"/>
  <c r="L308" i="3" s="1"/>
  <c r="L310" i="3" s="1"/>
  <c r="L312" i="3" s="1"/>
  <c r="M305" i="3"/>
  <c r="M306" i="3" s="1"/>
  <c r="N304" i="3"/>
  <c r="O302" i="3"/>
  <c r="N258" i="3"/>
  <c r="N259" i="3" s="1"/>
  <c r="N261" i="3" s="1"/>
  <c r="N263" i="3" s="1"/>
  <c r="N268" i="3" s="1"/>
  <c r="N272" i="3" s="1"/>
  <c r="N230" i="3"/>
  <c r="O228" i="3"/>
  <c r="M231" i="3"/>
  <c r="M232" i="3" s="1"/>
  <c r="P354" i="3"/>
  <c r="O327" i="3"/>
  <c r="O329" i="3" s="1"/>
  <c r="P379" i="3"/>
  <c r="O404" i="3"/>
  <c r="U34" i="14" l="1"/>
  <c r="L320" i="3"/>
  <c r="L324" i="3" s="1"/>
  <c r="L319" i="3"/>
  <c r="L323" i="3" s="1"/>
  <c r="K320" i="3"/>
  <c r="K324" i="3" s="1"/>
  <c r="K319" i="3"/>
  <c r="K323" i="3" s="1"/>
  <c r="J317" i="3"/>
  <c r="J321" i="3" s="1"/>
  <c r="J318" i="3"/>
  <c r="J322" i="3" s="1"/>
  <c r="M419" i="3"/>
  <c r="M423" i="3" s="1"/>
  <c r="M420" i="3"/>
  <c r="M424" i="3" s="1"/>
  <c r="L420" i="3"/>
  <c r="L424" i="3" s="1"/>
  <c r="L419" i="3"/>
  <c r="L423" i="3" s="1"/>
  <c r="N394" i="3"/>
  <c r="N398" i="3" s="1"/>
  <c r="N395" i="3"/>
  <c r="N399" i="3" s="1"/>
  <c r="R35" i="14"/>
  <c r="M392" i="3"/>
  <c r="M396" i="3" s="1"/>
  <c r="M368" i="3"/>
  <c r="M372" i="3" s="1"/>
  <c r="S34" i="14"/>
  <c r="L342" i="3"/>
  <c r="L346" i="3" s="1"/>
  <c r="L343" i="3"/>
  <c r="L347" i="3" s="1"/>
  <c r="K342" i="3"/>
  <c r="K346" i="3" s="1"/>
  <c r="K343" i="3"/>
  <c r="K347" i="3" s="1"/>
  <c r="U29" i="14"/>
  <c r="M271" i="3"/>
  <c r="M275" i="3" s="1"/>
  <c r="K30" i="14"/>
  <c r="K269" i="3"/>
  <c r="K273" i="3" s="1"/>
  <c r="H30" i="14"/>
  <c r="L30" i="14"/>
  <c r="K270" i="3"/>
  <c r="K274" i="3" s="1"/>
  <c r="L268" i="3"/>
  <c r="L272" i="3" s="1"/>
  <c r="N30" i="14"/>
  <c r="K271" i="3"/>
  <c r="K275" i="3" s="1"/>
  <c r="M30" i="14"/>
  <c r="E30" i="14"/>
  <c r="I29" i="14"/>
  <c r="Q29" i="14"/>
  <c r="L29" i="14"/>
  <c r="J29" i="14"/>
  <c r="N270" i="3"/>
  <c r="N274" i="3" s="1"/>
  <c r="N269" i="3"/>
  <c r="N273" i="3" s="1"/>
  <c r="L32" i="14"/>
  <c r="K32" i="14"/>
  <c r="M32" i="14"/>
  <c r="T34" i="14"/>
  <c r="K29" i="14"/>
  <c r="N362" i="3"/>
  <c r="L238" i="3"/>
  <c r="M337" i="3"/>
  <c r="J28" i="14"/>
  <c r="O32" i="14"/>
  <c r="P32" i="14"/>
  <c r="Q32" i="14"/>
  <c r="J37" i="14"/>
  <c r="P253" i="3"/>
  <c r="P255" i="3" s="1"/>
  <c r="P256" i="3" s="1"/>
  <c r="P257" i="3" s="1"/>
  <c r="T29" i="14"/>
  <c r="M28" i="14"/>
  <c r="L28" i="14"/>
  <c r="S29" i="14"/>
  <c r="K28" i="14"/>
  <c r="O357" i="3"/>
  <c r="O358" i="3" s="1"/>
  <c r="O360" i="3" s="1"/>
  <c r="O382" i="3"/>
  <c r="O383" i="3" s="1"/>
  <c r="O385" i="3" s="1"/>
  <c r="O387" i="3" s="1"/>
  <c r="N332" i="3"/>
  <c r="N333" i="3" s="1"/>
  <c r="N335" i="3" s="1"/>
  <c r="N407" i="3"/>
  <c r="N408" i="3" s="1"/>
  <c r="N410" i="3" s="1"/>
  <c r="N412" i="3" s="1"/>
  <c r="O405" i="3"/>
  <c r="O406" i="3" s="1"/>
  <c r="P355" i="3"/>
  <c r="P356" i="3" s="1"/>
  <c r="P380" i="3"/>
  <c r="P381" i="3" s="1"/>
  <c r="M233" i="3"/>
  <c r="M234" i="3" s="1"/>
  <c r="M236" i="3" s="1"/>
  <c r="M238" i="3" s="1"/>
  <c r="O330" i="3"/>
  <c r="O331" i="3" s="1"/>
  <c r="M307" i="3"/>
  <c r="M308" i="3" s="1"/>
  <c r="M310" i="3" s="1"/>
  <c r="N305" i="3"/>
  <c r="N306" i="3" s="1"/>
  <c r="O258" i="3"/>
  <c r="O259" i="3" s="1"/>
  <c r="O261" i="3" s="1"/>
  <c r="O263" i="3" s="1"/>
  <c r="O268" i="3" s="1"/>
  <c r="O272" i="3" s="1"/>
  <c r="O304" i="3"/>
  <c r="P302" i="3"/>
  <c r="N231" i="3"/>
  <c r="N232" i="3" s="1"/>
  <c r="O230" i="3"/>
  <c r="P228" i="3"/>
  <c r="Q354" i="3"/>
  <c r="P327" i="3"/>
  <c r="P329" i="3" s="1"/>
  <c r="Q379" i="3"/>
  <c r="P404" i="3"/>
  <c r="L317" i="3" l="1"/>
  <c r="L321" i="3" s="1"/>
  <c r="L318" i="3"/>
  <c r="L322" i="3" s="1"/>
  <c r="K317" i="3"/>
  <c r="K321" i="3" s="1"/>
  <c r="K318" i="3"/>
  <c r="K322" i="3" s="1"/>
  <c r="M246" i="3"/>
  <c r="M250" i="3" s="1"/>
  <c r="M245" i="3"/>
  <c r="M249" i="3" s="1"/>
  <c r="M243" i="3"/>
  <c r="M247" i="3" s="1"/>
  <c r="M244" i="3"/>
  <c r="M248" i="3" s="1"/>
  <c r="L243" i="3"/>
  <c r="L247" i="3" s="1"/>
  <c r="L245" i="3"/>
  <c r="L249" i="3" s="1"/>
  <c r="L246" i="3"/>
  <c r="L250" i="3" s="1"/>
  <c r="L244" i="3"/>
  <c r="L248" i="3" s="1"/>
  <c r="N420" i="3"/>
  <c r="N424" i="3" s="1"/>
  <c r="N419" i="3"/>
  <c r="N423" i="3" s="1"/>
  <c r="M418" i="3"/>
  <c r="M422" i="3" s="1"/>
  <c r="L417" i="3"/>
  <c r="L421" i="3" s="1"/>
  <c r="L418" i="3"/>
  <c r="L422" i="3" s="1"/>
  <c r="O394" i="3"/>
  <c r="O398" i="3" s="1"/>
  <c r="O395" i="3"/>
  <c r="O399" i="3" s="1"/>
  <c r="N392" i="3"/>
  <c r="N396" i="3" s="1"/>
  <c r="N393" i="3"/>
  <c r="N397" i="3" s="1"/>
  <c r="N370" i="3"/>
  <c r="N374" i="3" s="1"/>
  <c r="N369" i="3"/>
  <c r="N373" i="3" s="1"/>
  <c r="R34" i="14"/>
  <c r="M367" i="3"/>
  <c r="M371" i="3" s="1"/>
  <c r="M344" i="3"/>
  <c r="M348" i="3" s="1"/>
  <c r="M345" i="3"/>
  <c r="M349" i="3" s="1"/>
  <c r="E29" i="15"/>
  <c r="N271" i="3"/>
  <c r="N275" i="3" s="1"/>
  <c r="L270" i="3"/>
  <c r="L274" i="3" s="1"/>
  <c r="P30" i="14"/>
  <c r="L269" i="3"/>
  <c r="L273" i="3" s="1"/>
  <c r="O30" i="14"/>
  <c r="L271" i="3"/>
  <c r="L275" i="3" s="1"/>
  <c r="Q30" i="14"/>
  <c r="Q253" i="3"/>
  <c r="Q255" i="3" s="1"/>
  <c r="Q256" i="3" s="1"/>
  <c r="Q257" i="3" s="1"/>
  <c r="M29" i="14"/>
  <c r="I30" i="14"/>
  <c r="N29" i="14"/>
  <c r="O270" i="3"/>
  <c r="O274" i="3" s="1"/>
  <c r="O269" i="3"/>
  <c r="O273" i="3" s="1"/>
  <c r="U28" i="14"/>
  <c r="O28" i="14"/>
  <c r="P28" i="14"/>
  <c r="Q28" i="14"/>
  <c r="J32" i="14"/>
  <c r="Q37" i="14"/>
  <c r="P29" i="14"/>
  <c r="P37" i="14"/>
  <c r="O29" i="14"/>
  <c r="M312" i="3"/>
  <c r="O37" i="14"/>
  <c r="O362" i="3"/>
  <c r="N337" i="3"/>
  <c r="N32" i="14"/>
  <c r="C35" i="15"/>
  <c r="S37" i="14"/>
  <c r="D35" i="15"/>
  <c r="U37" i="14"/>
  <c r="E35" i="15"/>
  <c r="T37" i="14"/>
  <c r="E34" i="15"/>
  <c r="D29" i="15"/>
  <c r="C29" i="15"/>
  <c r="O407" i="3"/>
  <c r="O408" i="3" s="1"/>
  <c r="O410" i="3" s="1"/>
  <c r="O412" i="3" s="1"/>
  <c r="P382" i="3"/>
  <c r="P383" i="3" s="1"/>
  <c r="P385" i="3" s="1"/>
  <c r="P387" i="3" s="1"/>
  <c r="O332" i="3"/>
  <c r="O333" i="3" s="1"/>
  <c r="O335" i="3" s="1"/>
  <c r="P357" i="3"/>
  <c r="P358" i="3" s="1"/>
  <c r="P360" i="3" s="1"/>
  <c r="Q355" i="3"/>
  <c r="Q356" i="3" s="1"/>
  <c r="P405" i="3"/>
  <c r="P406" i="3" s="1"/>
  <c r="Q380" i="3"/>
  <c r="Q381" i="3" s="1"/>
  <c r="N233" i="3"/>
  <c r="N234" i="3" s="1"/>
  <c r="N236" i="3" s="1"/>
  <c r="N238" i="3" s="1"/>
  <c r="P330" i="3"/>
  <c r="P331" i="3" s="1"/>
  <c r="N307" i="3"/>
  <c r="N308" i="3" s="1"/>
  <c r="N310" i="3" s="1"/>
  <c r="O305" i="3"/>
  <c r="O306" i="3" s="1"/>
  <c r="P258" i="3"/>
  <c r="P259" i="3" s="1"/>
  <c r="P261" i="3" s="1"/>
  <c r="P263" i="3" s="1"/>
  <c r="P268" i="3" s="1"/>
  <c r="P272" i="3" s="1"/>
  <c r="P304" i="3"/>
  <c r="Q302" i="3"/>
  <c r="P230" i="3"/>
  <c r="Q228" i="3"/>
  <c r="O231" i="3"/>
  <c r="O232" i="3" s="1"/>
  <c r="Q327" i="3"/>
  <c r="Q329" i="3" s="1"/>
  <c r="R354" i="3"/>
  <c r="R379" i="3"/>
  <c r="Q404" i="3"/>
  <c r="R253" i="3" l="1"/>
  <c r="R255" i="3" s="1"/>
  <c r="R256" i="3" s="1"/>
  <c r="R257" i="3" s="1"/>
  <c r="N37" i="14"/>
  <c r="M319" i="3"/>
  <c r="M323" i="3" s="1"/>
  <c r="M320" i="3"/>
  <c r="M324" i="3" s="1"/>
  <c r="S28" i="14"/>
  <c r="T28" i="14"/>
  <c r="R28" i="14"/>
  <c r="O419" i="3"/>
  <c r="O423" i="3" s="1"/>
  <c r="O420" i="3"/>
  <c r="O424" i="3" s="1"/>
  <c r="N417" i="3"/>
  <c r="N421" i="3" s="1"/>
  <c r="N418" i="3"/>
  <c r="N422" i="3" s="1"/>
  <c r="M417" i="3"/>
  <c r="M421" i="3" s="1"/>
  <c r="R37" i="14"/>
  <c r="P395" i="3"/>
  <c r="P399" i="3" s="1"/>
  <c r="P394" i="3"/>
  <c r="P398" i="3" s="1"/>
  <c r="O392" i="3"/>
  <c r="O396" i="3" s="1"/>
  <c r="O393" i="3"/>
  <c r="O397" i="3" s="1"/>
  <c r="O370" i="3"/>
  <c r="O374" i="3" s="1"/>
  <c r="O369" i="3"/>
  <c r="O373" i="3" s="1"/>
  <c r="N368" i="3"/>
  <c r="N372" i="3" s="1"/>
  <c r="N344" i="3"/>
  <c r="N348" i="3" s="1"/>
  <c r="N345" i="3"/>
  <c r="N349" i="3" s="1"/>
  <c r="M343" i="3"/>
  <c r="M347" i="3" s="1"/>
  <c r="O271" i="3"/>
  <c r="O275" i="3" s="1"/>
  <c r="I29" i="15"/>
  <c r="N246" i="3"/>
  <c r="N250" i="3" s="1"/>
  <c r="N243" i="3"/>
  <c r="N247" i="3" s="1"/>
  <c r="N245" i="3"/>
  <c r="N249" i="3" s="1"/>
  <c r="N244" i="3"/>
  <c r="N248" i="3" s="1"/>
  <c r="D34" i="15"/>
  <c r="P269" i="3"/>
  <c r="P273" i="3" s="1"/>
  <c r="P270" i="3"/>
  <c r="P274" i="3" s="1"/>
  <c r="N28" i="14"/>
  <c r="U32" i="14"/>
  <c r="S32" i="14"/>
  <c r="C34" i="15"/>
  <c r="T32" i="14"/>
  <c r="P362" i="3"/>
  <c r="N312" i="3"/>
  <c r="O337" i="3"/>
  <c r="F29" i="15"/>
  <c r="G35" i="15"/>
  <c r="I35" i="15"/>
  <c r="H35" i="15"/>
  <c r="E37" i="15"/>
  <c r="C37" i="15"/>
  <c r="D37" i="15"/>
  <c r="H29" i="15"/>
  <c r="G29" i="15"/>
  <c r="Q357" i="3"/>
  <c r="Q358" i="3" s="1"/>
  <c r="Q360" i="3" s="1"/>
  <c r="O233" i="3"/>
  <c r="O234" i="3" s="1"/>
  <c r="O236" i="3" s="1"/>
  <c r="O238" i="3" s="1"/>
  <c r="R355" i="3"/>
  <c r="R356" i="3" s="1"/>
  <c r="Q330" i="3"/>
  <c r="Q331" i="3" s="1"/>
  <c r="Q382" i="3"/>
  <c r="Q383" i="3" s="1"/>
  <c r="Q385" i="3" s="1"/>
  <c r="Q387" i="3" s="1"/>
  <c r="R380" i="3"/>
  <c r="R381" i="3" s="1"/>
  <c r="P332" i="3"/>
  <c r="P333" i="3" s="1"/>
  <c r="P335" i="3" s="1"/>
  <c r="P407" i="3"/>
  <c r="P408" i="3" s="1"/>
  <c r="P410" i="3" s="1"/>
  <c r="P412" i="3" s="1"/>
  <c r="Q405" i="3"/>
  <c r="Q406" i="3" s="1"/>
  <c r="O307" i="3"/>
  <c r="O308" i="3" s="1"/>
  <c r="O310" i="3" s="1"/>
  <c r="P305" i="3"/>
  <c r="P306" i="3" s="1"/>
  <c r="Q258" i="3"/>
  <c r="Q259" i="3" s="1"/>
  <c r="Q261" i="3" s="1"/>
  <c r="Q263" i="3" s="1"/>
  <c r="Q268" i="3" s="1"/>
  <c r="Q272" i="3" s="1"/>
  <c r="Q304" i="3"/>
  <c r="R302" i="3"/>
  <c r="Q230" i="3"/>
  <c r="R228" i="3"/>
  <c r="P231" i="3"/>
  <c r="P232" i="3" s="1"/>
  <c r="R327" i="3"/>
  <c r="R329" i="3" s="1"/>
  <c r="S354" i="3"/>
  <c r="S253" i="3"/>
  <c r="S255" i="3" s="1"/>
  <c r="R404" i="3"/>
  <c r="S379" i="3"/>
  <c r="I34" i="15" l="1"/>
  <c r="N319" i="3"/>
  <c r="N323" i="3" s="1"/>
  <c r="N320" i="3"/>
  <c r="N324" i="3" s="1"/>
  <c r="M318" i="3"/>
  <c r="M322" i="3" s="1"/>
  <c r="P419" i="3"/>
  <c r="P423" i="3" s="1"/>
  <c r="P420" i="3"/>
  <c r="P424" i="3" s="1"/>
  <c r="O417" i="3"/>
  <c r="O421" i="3" s="1"/>
  <c r="O418" i="3"/>
  <c r="O422" i="3" s="1"/>
  <c r="Q395" i="3"/>
  <c r="Q399" i="3" s="1"/>
  <c r="Q394" i="3"/>
  <c r="Q398" i="3" s="1"/>
  <c r="P392" i="3"/>
  <c r="P396" i="3" s="1"/>
  <c r="P393" i="3"/>
  <c r="P397" i="3" s="1"/>
  <c r="N367" i="3"/>
  <c r="N371" i="3" s="1"/>
  <c r="P370" i="3"/>
  <c r="P374" i="3" s="1"/>
  <c r="P369" i="3"/>
  <c r="P373" i="3" s="1"/>
  <c r="O368" i="3"/>
  <c r="O372" i="3" s="1"/>
  <c r="N342" i="3"/>
  <c r="N346" i="3" s="1"/>
  <c r="N343" i="3"/>
  <c r="N347" i="3" s="1"/>
  <c r="M342" i="3"/>
  <c r="M346" i="3" s="1"/>
  <c r="R32" i="14"/>
  <c r="O344" i="3"/>
  <c r="O348" i="3" s="1"/>
  <c r="O345" i="3"/>
  <c r="O349" i="3" s="1"/>
  <c r="P271" i="3"/>
  <c r="P275" i="3" s="1"/>
  <c r="M29" i="15"/>
  <c r="O244" i="3"/>
  <c r="O248" i="3" s="1"/>
  <c r="O243" i="3"/>
  <c r="O247" i="3" s="1"/>
  <c r="O246" i="3"/>
  <c r="O250" i="3" s="1"/>
  <c r="O245" i="3"/>
  <c r="O249" i="3" s="1"/>
  <c r="Q269" i="3"/>
  <c r="Q273" i="3" s="1"/>
  <c r="Q270" i="3"/>
  <c r="Q274" i="3" s="1"/>
  <c r="C32" i="15"/>
  <c r="E32" i="15"/>
  <c r="U31" i="14"/>
  <c r="T31" i="14"/>
  <c r="G34" i="15"/>
  <c r="H34" i="15"/>
  <c r="S31" i="14"/>
  <c r="D32" i="15"/>
  <c r="Q362" i="3"/>
  <c r="O312" i="3"/>
  <c r="P337" i="3"/>
  <c r="J29" i="15"/>
  <c r="F35" i="15"/>
  <c r="K35" i="15"/>
  <c r="H37" i="15"/>
  <c r="D28" i="15"/>
  <c r="L35" i="15"/>
  <c r="C28" i="15"/>
  <c r="E28" i="15"/>
  <c r="I37" i="15"/>
  <c r="G37" i="15"/>
  <c r="M35" i="15"/>
  <c r="K29" i="15"/>
  <c r="L29" i="15"/>
  <c r="Q332" i="3"/>
  <c r="Q333" i="3" s="1"/>
  <c r="Q335" i="3" s="1"/>
  <c r="R330" i="3"/>
  <c r="R331" i="3" s="1"/>
  <c r="S355" i="3"/>
  <c r="S356" i="3" s="1"/>
  <c r="Q407" i="3"/>
  <c r="Q408" i="3" s="1"/>
  <c r="Q410" i="3" s="1"/>
  <c r="Q412" i="3" s="1"/>
  <c r="R382" i="3"/>
  <c r="R383" i="3" s="1"/>
  <c r="R385" i="3" s="1"/>
  <c r="R387" i="3" s="1"/>
  <c r="R405" i="3"/>
  <c r="R406" i="3" s="1"/>
  <c r="S380" i="3"/>
  <c r="S381" i="3" s="1"/>
  <c r="R357" i="3"/>
  <c r="R358" i="3" s="1"/>
  <c r="R360" i="3" s="1"/>
  <c r="R362" i="3" s="1"/>
  <c r="P233" i="3"/>
  <c r="P234" i="3" s="1"/>
  <c r="P236" i="3" s="1"/>
  <c r="P238" i="3" s="1"/>
  <c r="P307" i="3"/>
  <c r="P308" i="3" s="1"/>
  <c r="P310" i="3" s="1"/>
  <c r="Q305" i="3"/>
  <c r="Q306" i="3" s="1"/>
  <c r="R258" i="3"/>
  <c r="R259" i="3" s="1"/>
  <c r="R261" i="3" s="1"/>
  <c r="R263" i="3" s="1"/>
  <c r="R268" i="3" s="1"/>
  <c r="R272" i="3" s="1"/>
  <c r="R304" i="3"/>
  <c r="S302" i="3"/>
  <c r="S256" i="3"/>
  <c r="S257" i="3" s="1"/>
  <c r="R230" i="3"/>
  <c r="S228" i="3"/>
  <c r="Q231" i="3"/>
  <c r="Q232" i="3" s="1"/>
  <c r="T354" i="3"/>
  <c r="S327" i="3"/>
  <c r="S329" i="3" s="1"/>
  <c r="T379" i="3"/>
  <c r="S404" i="3"/>
  <c r="T253" i="3"/>
  <c r="T255" i="3" s="1"/>
  <c r="M34" i="15" l="1"/>
  <c r="O320" i="3"/>
  <c r="O324" i="3" s="1"/>
  <c r="O319" i="3"/>
  <c r="O323" i="3" s="1"/>
  <c r="N317" i="3"/>
  <c r="N321" i="3" s="1"/>
  <c r="N318" i="3"/>
  <c r="N322" i="3" s="1"/>
  <c r="R31" i="14"/>
  <c r="M317" i="3"/>
  <c r="M321" i="3" s="1"/>
  <c r="Q419" i="3"/>
  <c r="Q423" i="3" s="1"/>
  <c r="Q420" i="3"/>
  <c r="Q424" i="3" s="1"/>
  <c r="P417" i="3"/>
  <c r="P421" i="3" s="1"/>
  <c r="P418" i="3"/>
  <c r="P422" i="3" s="1"/>
  <c r="R395" i="3"/>
  <c r="R399" i="3" s="1"/>
  <c r="R394" i="3"/>
  <c r="R398" i="3" s="1"/>
  <c r="Q392" i="3"/>
  <c r="Q396" i="3" s="1"/>
  <c r="Q393" i="3"/>
  <c r="Q397" i="3" s="1"/>
  <c r="Q370" i="3"/>
  <c r="Q374" i="3" s="1"/>
  <c r="Q369" i="3"/>
  <c r="Q373" i="3" s="1"/>
  <c r="R369" i="3"/>
  <c r="R373" i="3" s="1"/>
  <c r="R370" i="3"/>
  <c r="R374" i="3" s="1"/>
  <c r="F34" i="15"/>
  <c r="O367" i="3"/>
  <c r="O371" i="3" s="1"/>
  <c r="P368" i="3"/>
  <c r="P372" i="3" s="1"/>
  <c r="P344" i="3"/>
  <c r="P348" i="3" s="1"/>
  <c r="P345" i="3"/>
  <c r="P349" i="3" s="1"/>
  <c r="O342" i="3"/>
  <c r="O346" i="3" s="1"/>
  <c r="O343" i="3"/>
  <c r="O347" i="3" s="1"/>
  <c r="Q271" i="3"/>
  <c r="Q275" i="3" s="1"/>
  <c r="Q29" i="15"/>
  <c r="P244" i="3"/>
  <c r="P248" i="3" s="1"/>
  <c r="P243" i="3"/>
  <c r="P247" i="3" s="1"/>
  <c r="P246" i="3"/>
  <c r="P250" i="3" s="1"/>
  <c r="P245" i="3"/>
  <c r="P249" i="3" s="1"/>
  <c r="R269" i="3"/>
  <c r="R273" i="3" s="1"/>
  <c r="R270" i="3"/>
  <c r="R274" i="3" s="1"/>
  <c r="G32" i="15"/>
  <c r="L34" i="15"/>
  <c r="D31" i="15"/>
  <c r="K34" i="15"/>
  <c r="I32" i="15"/>
  <c r="C31" i="15"/>
  <c r="H32" i="15"/>
  <c r="P312" i="3"/>
  <c r="E31" i="15"/>
  <c r="Q337" i="3"/>
  <c r="N29" i="15"/>
  <c r="F28" i="15"/>
  <c r="J35" i="15"/>
  <c r="F37" i="15"/>
  <c r="S382" i="3"/>
  <c r="S383" i="3" s="1"/>
  <c r="S385" i="3" s="1"/>
  <c r="S387" i="3" s="1"/>
  <c r="O35" i="15"/>
  <c r="M37" i="15"/>
  <c r="G28" i="15"/>
  <c r="P35" i="15"/>
  <c r="H28" i="15"/>
  <c r="I28" i="15"/>
  <c r="L37" i="15"/>
  <c r="Q35" i="15"/>
  <c r="M35" i="13"/>
  <c r="K37" i="15"/>
  <c r="O29" i="15"/>
  <c r="P29" i="15"/>
  <c r="S357" i="3"/>
  <c r="S358" i="3" s="1"/>
  <c r="S360" i="3" s="1"/>
  <c r="S405" i="3"/>
  <c r="S406" i="3" s="1"/>
  <c r="Q233" i="3"/>
  <c r="Q234" i="3" s="1"/>
  <c r="Q236" i="3" s="1"/>
  <c r="Q238" i="3" s="1"/>
  <c r="T380" i="3"/>
  <c r="T381" i="3" s="1"/>
  <c r="S330" i="3"/>
  <c r="S331" i="3" s="1"/>
  <c r="R332" i="3"/>
  <c r="R333" i="3" s="1"/>
  <c r="R335" i="3" s="1"/>
  <c r="R407" i="3"/>
  <c r="R408" i="3" s="1"/>
  <c r="R410" i="3" s="1"/>
  <c r="R412" i="3" s="1"/>
  <c r="T355" i="3"/>
  <c r="T356" i="3" s="1"/>
  <c r="Q307" i="3"/>
  <c r="Q308" i="3" s="1"/>
  <c r="Q310" i="3" s="1"/>
  <c r="R305" i="3"/>
  <c r="R306" i="3" s="1"/>
  <c r="S304" i="3"/>
  <c r="T302" i="3"/>
  <c r="S258" i="3"/>
  <c r="S259" i="3" s="1"/>
  <c r="S261" i="3" s="1"/>
  <c r="S263" i="3" s="1"/>
  <c r="S268" i="3" s="1"/>
  <c r="S272" i="3" s="1"/>
  <c r="T256" i="3"/>
  <c r="T257" i="3" s="1"/>
  <c r="S230" i="3"/>
  <c r="T228" i="3"/>
  <c r="R231" i="3"/>
  <c r="R232" i="3" s="1"/>
  <c r="T327" i="3"/>
  <c r="T329" i="3" s="1"/>
  <c r="U354" i="3"/>
  <c r="U253" i="3"/>
  <c r="U255" i="3" s="1"/>
  <c r="T404" i="3"/>
  <c r="U379" i="3"/>
  <c r="Q34" i="15" l="1"/>
  <c r="F32" i="15"/>
  <c r="P320" i="3"/>
  <c r="P324" i="3" s="1"/>
  <c r="P319" i="3"/>
  <c r="P323" i="3" s="1"/>
  <c r="O317" i="3"/>
  <c r="O321" i="3" s="1"/>
  <c r="O318" i="3"/>
  <c r="O322" i="3" s="1"/>
  <c r="R420" i="3"/>
  <c r="R424" i="3" s="1"/>
  <c r="R419" i="3"/>
  <c r="R423" i="3" s="1"/>
  <c r="Q417" i="3"/>
  <c r="Q421" i="3" s="1"/>
  <c r="Q418" i="3"/>
  <c r="Q422" i="3" s="1"/>
  <c r="S394" i="3"/>
  <c r="S398" i="3" s="1"/>
  <c r="S395" i="3"/>
  <c r="S399" i="3" s="1"/>
  <c r="R393" i="3"/>
  <c r="R397" i="3" s="1"/>
  <c r="R392" i="3"/>
  <c r="R396" i="3" s="1"/>
  <c r="R368" i="3"/>
  <c r="R372" i="3" s="1"/>
  <c r="Q368" i="3"/>
  <c r="Q372" i="3" s="1"/>
  <c r="P367" i="3"/>
  <c r="P371" i="3" s="1"/>
  <c r="J34" i="15"/>
  <c r="Q344" i="3"/>
  <c r="Q348" i="3" s="1"/>
  <c r="Q345" i="3"/>
  <c r="Q349" i="3" s="1"/>
  <c r="P342" i="3"/>
  <c r="P346" i="3" s="1"/>
  <c r="P343" i="3"/>
  <c r="P347" i="3" s="1"/>
  <c r="R271" i="3"/>
  <c r="R275" i="3" s="1"/>
  <c r="E29" i="16"/>
  <c r="Q246" i="3"/>
  <c r="Q250" i="3" s="1"/>
  <c r="Q245" i="3"/>
  <c r="Q249" i="3" s="1"/>
  <c r="Q244" i="3"/>
  <c r="Q248" i="3" s="1"/>
  <c r="Q243" i="3"/>
  <c r="Q247" i="3" s="1"/>
  <c r="L32" i="15"/>
  <c r="K32" i="15"/>
  <c r="S269" i="3"/>
  <c r="S273" i="3" s="1"/>
  <c r="S270" i="3"/>
  <c r="S274" i="3" s="1"/>
  <c r="M32" i="15"/>
  <c r="P34" i="15"/>
  <c r="O34" i="15"/>
  <c r="G31" i="15"/>
  <c r="S362" i="3"/>
  <c r="I31" i="15"/>
  <c r="H31" i="15"/>
  <c r="Q312" i="3"/>
  <c r="R337" i="3"/>
  <c r="J28" i="15"/>
  <c r="B29" i="16"/>
  <c r="N35" i="15"/>
  <c r="D29" i="16"/>
  <c r="F31" i="15"/>
  <c r="J37" i="15"/>
  <c r="C29" i="16"/>
  <c r="C35" i="16"/>
  <c r="L28" i="15"/>
  <c r="P37" i="15"/>
  <c r="D35" i="16"/>
  <c r="K28" i="15"/>
  <c r="E34" i="16"/>
  <c r="O37" i="15"/>
  <c r="Q37" i="15"/>
  <c r="M28" i="15"/>
  <c r="C34" i="16"/>
  <c r="D34" i="16"/>
  <c r="E35" i="16"/>
  <c r="T357" i="3"/>
  <c r="T358" i="3" s="1"/>
  <c r="T360" i="3" s="1"/>
  <c r="S332" i="3"/>
  <c r="S333" i="3" s="1"/>
  <c r="S335" i="3" s="1"/>
  <c r="S407" i="3"/>
  <c r="S408" i="3" s="1"/>
  <c r="S410" i="3" s="1"/>
  <c r="S412" i="3" s="1"/>
  <c r="R233" i="3"/>
  <c r="R234" i="3" s="1"/>
  <c r="R236" i="3" s="1"/>
  <c r="R238" i="3" s="1"/>
  <c r="T382" i="3"/>
  <c r="T383" i="3" s="1"/>
  <c r="T385" i="3" s="1"/>
  <c r="T387" i="3" s="1"/>
  <c r="U355" i="3"/>
  <c r="U356" i="3" s="1"/>
  <c r="T330" i="3"/>
  <c r="T331" i="3" s="1"/>
  <c r="T405" i="3"/>
  <c r="T406" i="3" s="1"/>
  <c r="U380" i="3"/>
  <c r="U381" i="3" s="1"/>
  <c r="R307" i="3"/>
  <c r="R308" i="3" s="1"/>
  <c r="R310" i="3" s="1"/>
  <c r="S305" i="3"/>
  <c r="S306" i="3" s="1"/>
  <c r="T258" i="3"/>
  <c r="T259" i="3" s="1"/>
  <c r="T261" i="3" s="1"/>
  <c r="T263" i="3" s="1"/>
  <c r="T304" i="3"/>
  <c r="U302" i="3"/>
  <c r="U256" i="3"/>
  <c r="U257" i="3" s="1"/>
  <c r="S231" i="3"/>
  <c r="S232" i="3" s="1"/>
  <c r="T230" i="3"/>
  <c r="U228" i="3"/>
  <c r="U327" i="3"/>
  <c r="U329" i="3" s="1"/>
  <c r="V354" i="3"/>
  <c r="U404" i="3"/>
  <c r="V253" i="3"/>
  <c r="V379" i="3"/>
  <c r="Q319" i="3" l="1"/>
  <c r="Q323" i="3" s="1"/>
  <c r="Q320" i="3"/>
  <c r="Q324" i="3" s="1"/>
  <c r="P317" i="3"/>
  <c r="P321" i="3" s="1"/>
  <c r="P318" i="3"/>
  <c r="P322" i="3" s="1"/>
  <c r="S420" i="3"/>
  <c r="S424" i="3" s="1"/>
  <c r="S419" i="3"/>
  <c r="S423" i="3" s="1"/>
  <c r="R418" i="3"/>
  <c r="R422" i="3" s="1"/>
  <c r="R417" i="3"/>
  <c r="R421" i="3" s="1"/>
  <c r="T395" i="3"/>
  <c r="T399" i="3" s="1"/>
  <c r="T394" i="3"/>
  <c r="T398" i="3" s="1"/>
  <c r="S392" i="3"/>
  <c r="S396" i="3" s="1"/>
  <c r="S393" i="3"/>
  <c r="S397" i="3" s="1"/>
  <c r="S369" i="3"/>
  <c r="S373" i="3" s="1"/>
  <c r="S370" i="3"/>
  <c r="S374" i="3" s="1"/>
  <c r="Q367" i="3"/>
  <c r="Q371" i="3" s="1"/>
  <c r="N34" i="15"/>
  <c r="R367" i="3"/>
  <c r="R371" i="3" s="1"/>
  <c r="B34" i="16"/>
  <c r="R344" i="3"/>
  <c r="R348" i="3" s="1"/>
  <c r="R345" i="3"/>
  <c r="R349" i="3" s="1"/>
  <c r="Q342" i="3"/>
  <c r="Q346" i="3" s="1"/>
  <c r="Q343" i="3"/>
  <c r="Q347" i="3" s="1"/>
  <c r="J32" i="15"/>
  <c r="S271" i="3"/>
  <c r="S275" i="3" s="1"/>
  <c r="I29" i="16"/>
  <c r="T268" i="3"/>
  <c r="T272" i="3" s="1"/>
  <c r="B30" i="17"/>
  <c r="R243" i="3"/>
  <c r="R247" i="3" s="1"/>
  <c r="R245" i="3"/>
  <c r="R249" i="3" s="1"/>
  <c r="R244" i="3"/>
  <c r="R248" i="3" s="1"/>
  <c r="R246" i="3"/>
  <c r="R250" i="3" s="1"/>
  <c r="N32" i="15"/>
  <c r="M31" i="15"/>
  <c r="K31" i="15"/>
  <c r="Q32" i="15"/>
  <c r="P32" i="15"/>
  <c r="R312" i="3"/>
  <c r="O32" i="15"/>
  <c r="T362" i="3"/>
  <c r="L31" i="15"/>
  <c r="I35" i="16"/>
  <c r="S337" i="3"/>
  <c r="F29" i="16"/>
  <c r="N28" i="15"/>
  <c r="G35" i="16"/>
  <c r="H29" i="16"/>
  <c r="N37" i="15"/>
  <c r="V255" i="3"/>
  <c r="V256" i="3" s="1"/>
  <c r="V257" i="3" s="1"/>
  <c r="W253" i="3"/>
  <c r="W255" i="3" s="1"/>
  <c r="W256" i="3" s="1"/>
  <c r="W257" i="3" s="1"/>
  <c r="E37" i="16"/>
  <c r="J31" i="15"/>
  <c r="B35" i="16"/>
  <c r="G29" i="16"/>
  <c r="H35" i="16"/>
  <c r="Q28" i="15"/>
  <c r="D37" i="16"/>
  <c r="P28" i="15"/>
  <c r="C37" i="16"/>
  <c r="O28" i="15"/>
  <c r="U357" i="3"/>
  <c r="U358" i="3" s="1"/>
  <c r="U360" i="3" s="1"/>
  <c r="U382" i="3"/>
  <c r="U383" i="3" s="1"/>
  <c r="U385" i="3" s="1"/>
  <c r="U387" i="3" s="1"/>
  <c r="U330" i="3"/>
  <c r="U331" i="3" s="1"/>
  <c r="U405" i="3"/>
  <c r="U406" i="3" s="1"/>
  <c r="T407" i="3"/>
  <c r="T408" i="3" s="1"/>
  <c r="T410" i="3" s="1"/>
  <c r="S233" i="3"/>
  <c r="S234" i="3" s="1"/>
  <c r="S236" i="3" s="1"/>
  <c r="S238" i="3" s="1"/>
  <c r="T332" i="3"/>
  <c r="T333" i="3" s="1"/>
  <c r="T335" i="3" s="1"/>
  <c r="V380" i="3"/>
  <c r="V381" i="3" s="1"/>
  <c r="V355" i="3"/>
  <c r="V356" i="3" s="1"/>
  <c r="S307" i="3"/>
  <c r="S308" i="3" s="1"/>
  <c r="S310" i="3" s="1"/>
  <c r="T305" i="3"/>
  <c r="T306" i="3" s="1"/>
  <c r="U258" i="3"/>
  <c r="U304" i="3"/>
  <c r="V302" i="3"/>
  <c r="W302" i="3" s="1"/>
  <c r="W304" i="3" s="1"/>
  <c r="W305" i="3" s="1"/>
  <c r="W306" i="3" s="1"/>
  <c r="U230" i="3"/>
  <c r="V228" i="3"/>
  <c r="W228" i="3" s="1"/>
  <c r="W230" i="3" s="1"/>
  <c r="W231" i="3" s="1"/>
  <c r="W232" i="3" s="1"/>
  <c r="T231" i="3"/>
  <c r="T232" i="3" s="1"/>
  <c r="V327" i="3"/>
  <c r="V404" i="3"/>
  <c r="I34" i="16" l="1"/>
  <c r="R319" i="3"/>
  <c r="R323" i="3" s="1"/>
  <c r="R320" i="3"/>
  <c r="R324" i="3" s="1"/>
  <c r="Q317" i="3"/>
  <c r="Q321" i="3" s="1"/>
  <c r="Q318" i="3"/>
  <c r="Q322" i="3" s="1"/>
  <c r="S418" i="3"/>
  <c r="S422" i="3" s="1"/>
  <c r="S417" i="3"/>
  <c r="S421" i="3" s="1"/>
  <c r="U395" i="3"/>
  <c r="U399" i="3" s="1"/>
  <c r="U394" i="3"/>
  <c r="U398" i="3" s="1"/>
  <c r="T393" i="3"/>
  <c r="T397" i="3" s="1"/>
  <c r="T392" i="3"/>
  <c r="T396" i="3" s="1"/>
  <c r="T369" i="3"/>
  <c r="T373" i="3" s="1"/>
  <c r="T370" i="3"/>
  <c r="T374" i="3" s="1"/>
  <c r="S368" i="3"/>
  <c r="S372" i="3" s="1"/>
  <c r="S345" i="3"/>
  <c r="S349" i="3" s="1"/>
  <c r="S344" i="3"/>
  <c r="S348" i="3" s="1"/>
  <c r="R342" i="3"/>
  <c r="R346" i="3" s="1"/>
  <c r="R343" i="3"/>
  <c r="R347" i="3" s="1"/>
  <c r="T269" i="3"/>
  <c r="T273" i="3" s="1"/>
  <c r="C30" i="17"/>
  <c r="E29" i="17"/>
  <c r="T271" i="3"/>
  <c r="T275" i="3" s="1"/>
  <c r="E30" i="17"/>
  <c r="T270" i="3"/>
  <c r="T274" i="3" s="1"/>
  <c r="D30" i="17"/>
  <c r="S243" i="3"/>
  <c r="S247" i="3" s="1"/>
  <c r="S244" i="3"/>
  <c r="S248" i="3" s="1"/>
  <c r="S245" i="3"/>
  <c r="S249" i="3" s="1"/>
  <c r="S246" i="3"/>
  <c r="S250" i="3" s="1"/>
  <c r="C32" i="16"/>
  <c r="E32" i="16"/>
  <c r="H34" i="16"/>
  <c r="O31" i="15"/>
  <c r="D32" i="16"/>
  <c r="Q31" i="15"/>
  <c r="G34" i="16"/>
  <c r="U362" i="3"/>
  <c r="S312" i="3"/>
  <c r="P31" i="15"/>
  <c r="T412" i="3"/>
  <c r="T337" i="3"/>
  <c r="B28" i="16"/>
  <c r="B29" i="17"/>
  <c r="U259" i="3"/>
  <c r="U261" i="3" s="1"/>
  <c r="F35" i="16"/>
  <c r="V329" i="3"/>
  <c r="V330" i="3" s="1"/>
  <c r="V331" i="3" s="1"/>
  <c r="W327" i="3"/>
  <c r="W329" i="3" s="1"/>
  <c r="W330" i="3" s="1"/>
  <c r="W331" i="3" s="1"/>
  <c r="N31" i="15"/>
  <c r="W233" i="3"/>
  <c r="W234" i="3" s="1"/>
  <c r="W236" i="3" s="1"/>
  <c r="W238" i="3" s="1"/>
  <c r="W307" i="3"/>
  <c r="W308" i="3" s="1"/>
  <c r="W310" i="3" s="1"/>
  <c r="W312" i="3" s="1"/>
  <c r="W258" i="3"/>
  <c r="W259" i="3" s="1"/>
  <c r="W261" i="3" s="1"/>
  <c r="W263" i="3" s="1"/>
  <c r="W268" i="3" s="1"/>
  <c r="W272" i="3" s="1"/>
  <c r="B37" i="16"/>
  <c r="E28" i="16"/>
  <c r="H37" i="16"/>
  <c r="D29" i="17"/>
  <c r="I37" i="16"/>
  <c r="D35" i="17"/>
  <c r="C28" i="16"/>
  <c r="E35" i="17"/>
  <c r="C35" i="17"/>
  <c r="G37" i="16"/>
  <c r="C29" i="17"/>
  <c r="D28" i="16"/>
  <c r="E34" i="17"/>
  <c r="U407" i="3"/>
  <c r="U408" i="3" s="1"/>
  <c r="U410" i="3" s="1"/>
  <c r="U412" i="3" s="1"/>
  <c r="U332" i="3"/>
  <c r="U333" i="3" s="1"/>
  <c r="U335" i="3" s="1"/>
  <c r="T233" i="3"/>
  <c r="T234" i="3" s="1"/>
  <c r="T236" i="3" s="1"/>
  <c r="V405" i="3"/>
  <c r="V406" i="3" s="1"/>
  <c r="V382" i="3"/>
  <c r="V383" i="3" s="1"/>
  <c r="V385" i="3" s="1"/>
  <c r="V387" i="3" s="1"/>
  <c r="V357" i="3"/>
  <c r="V358" i="3" s="1"/>
  <c r="V360" i="3" s="1"/>
  <c r="T307" i="3"/>
  <c r="T308" i="3" s="1"/>
  <c r="T310" i="3" s="1"/>
  <c r="U305" i="3"/>
  <c r="U306" i="3" s="1"/>
  <c r="V258" i="3"/>
  <c r="V304" i="3"/>
  <c r="V230" i="3"/>
  <c r="U231" i="3"/>
  <c r="U232" i="3" s="1"/>
  <c r="V395" i="3" l="1"/>
  <c r="V399" i="3" s="1"/>
  <c r="V394" i="3"/>
  <c r="V398" i="3" s="1"/>
  <c r="W320" i="3"/>
  <c r="W324" i="3" s="1"/>
  <c r="W319" i="3"/>
  <c r="W323" i="3" s="1"/>
  <c r="S320" i="3"/>
  <c r="S324" i="3" s="1"/>
  <c r="S319" i="3"/>
  <c r="S323" i="3" s="1"/>
  <c r="R317" i="3"/>
  <c r="R321" i="3" s="1"/>
  <c r="R318" i="3"/>
  <c r="R322" i="3" s="1"/>
  <c r="U419" i="3"/>
  <c r="U423" i="3" s="1"/>
  <c r="U420" i="3"/>
  <c r="U424" i="3" s="1"/>
  <c r="T420" i="3"/>
  <c r="T424" i="3" s="1"/>
  <c r="T419" i="3"/>
  <c r="T423" i="3" s="1"/>
  <c r="U393" i="3"/>
  <c r="U397" i="3" s="1"/>
  <c r="U392" i="3"/>
  <c r="U396" i="3" s="1"/>
  <c r="S367" i="3"/>
  <c r="S371" i="3" s="1"/>
  <c r="F34" i="16"/>
  <c r="T368" i="3"/>
  <c r="T372" i="3" s="1"/>
  <c r="U369" i="3"/>
  <c r="U373" i="3" s="1"/>
  <c r="U370" i="3"/>
  <c r="U374" i="3" s="1"/>
  <c r="S343" i="3"/>
  <c r="S347" i="3" s="1"/>
  <c r="S342" i="3"/>
  <c r="S346" i="3" s="1"/>
  <c r="T345" i="3"/>
  <c r="T349" i="3" s="1"/>
  <c r="T344" i="3"/>
  <c r="T348" i="3" s="1"/>
  <c r="W246" i="3"/>
  <c r="W250" i="3" s="1"/>
  <c r="W243" i="3"/>
  <c r="W247" i="3" s="1"/>
  <c r="W245" i="3"/>
  <c r="W249" i="3" s="1"/>
  <c r="W244" i="3"/>
  <c r="W248" i="3" s="1"/>
  <c r="B32" i="16"/>
  <c r="C34" i="17"/>
  <c r="W270" i="3"/>
  <c r="W274" i="3" s="1"/>
  <c r="W269" i="3"/>
  <c r="W273" i="3" s="1"/>
  <c r="D34" i="17"/>
  <c r="G32" i="16"/>
  <c r="H32" i="16"/>
  <c r="E31" i="16"/>
  <c r="C31" i="16"/>
  <c r="D31" i="16"/>
  <c r="T312" i="3"/>
  <c r="V362" i="3"/>
  <c r="I32" i="16"/>
  <c r="U263" i="3"/>
  <c r="T238" i="3"/>
  <c r="U337" i="3"/>
  <c r="F28" i="16"/>
  <c r="V259" i="3"/>
  <c r="V261" i="3" s="1"/>
  <c r="B35" i="17"/>
  <c r="B31" i="16"/>
  <c r="F37" i="16"/>
  <c r="W332" i="3"/>
  <c r="W333" i="3" s="1"/>
  <c r="W335" i="3" s="1"/>
  <c r="W337" i="3" s="1"/>
  <c r="I28" i="16"/>
  <c r="H28" i="16"/>
  <c r="G35" i="17"/>
  <c r="H35" i="17"/>
  <c r="I35" i="17"/>
  <c r="G28" i="16"/>
  <c r="U233" i="3"/>
  <c r="U234" i="3" s="1"/>
  <c r="U236" i="3" s="1"/>
  <c r="V407" i="3"/>
  <c r="V408" i="3" s="1"/>
  <c r="V410" i="3" s="1"/>
  <c r="V412" i="3" s="1"/>
  <c r="V332" i="3"/>
  <c r="V333" i="3" s="1"/>
  <c r="V335" i="3" s="1"/>
  <c r="U307" i="3"/>
  <c r="U308" i="3" s="1"/>
  <c r="U310" i="3" s="1"/>
  <c r="V305" i="3"/>
  <c r="V306" i="3" s="1"/>
  <c r="V231" i="3"/>
  <c r="V232" i="3" s="1"/>
  <c r="V419" i="3" l="1"/>
  <c r="V423" i="3" s="1"/>
  <c r="V418" i="3"/>
  <c r="V422" i="3" s="1"/>
  <c r="V417" i="3"/>
  <c r="V421" i="3" s="1"/>
  <c r="V420" i="3"/>
  <c r="V424" i="3" s="1"/>
  <c r="F32" i="16"/>
  <c r="V392" i="3"/>
  <c r="V396" i="3" s="1"/>
  <c r="V393" i="3"/>
  <c r="V397" i="3" s="1"/>
  <c r="I34" i="17"/>
  <c r="T319" i="3"/>
  <c r="T323" i="3" s="1"/>
  <c r="T320" i="3"/>
  <c r="T324" i="3" s="1"/>
  <c r="W317" i="3"/>
  <c r="W321" i="3" s="1"/>
  <c r="W318" i="3"/>
  <c r="W322" i="3" s="1"/>
  <c r="S318" i="3"/>
  <c r="S322" i="3" s="1"/>
  <c r="S317" i="3"/>
  <c r="S321" i="3" s="1"/>
  <c r="T244" i="3"/>
  <c r="T248" i="3" s="1"/>
  <c r="T243" i="3"/>
  <c r="T247" i="3" s="1"/>
  <c r="T246" i="3"/>
  <c r="T250" i="3" s="1"/>
  <c r="T245" i="3"/>
  <c r="T249" i="3" s="1"/>
  <c r="U418" i="3"/>
  <c r="U422" i="3" s="1"/>
  <c r="U417" i="3"/>
  <c r="U421" i="3" s="1"/>
  <c r="T417" i="3"/>
  <c r="T421" i="3" s="1"/>
  <c r="T418" i="3"/>
  <c r="T422" i="3" s="1"/>
  <c r="U368" i="3"/>
  <c r="U372" i="3" s="1"/>
  <c r="T367" i="3"/>
  <c r="T371" i="3" s="1"/>
  <c r="B34" i="17"/>
  <c r="V369" i="3"/>
  <c r="V373" i="3" s="1"/>
  <c r="V370" i="3"/>
  <c r="V374" i="3" s="1"/>
  <c r="W345" i="3"/>
  <c r="W349" i="3" s="1"/>
  <c r="W344" i="3"/>
  <c r="W348" i="3" s="1"/>
  <c r="U345" i="3"/>
  <c r="U349" i="3" s="1"/>
  <c r="U344" i="3"/>
  <c r="U348" i="3" s="1"/>
  <c r="T343" i="3"/>
  <c r="T347" i="3" s="1"/>
  <c r="T342" i="3"/>
  <c r="T346" i="3" s="1"/>
  <c r="U268" i="3"/>
  <c r="U272" i="3" s="1"/>
  <c r="F30" i="17"/>
  <c r="W271" i="3"/>
  <c r="W275" i="3" s="1"/>
  <c r="U29" i="15"/>
  <c r="D32" i="17"/>
  <c r="C32" i="17"/>
  <c r="E32" i="17"/>
  <c r="D28" i="17"/>
  <c r="B28" i="17"/>
  <c r="C28" i="17"/>
  <c r="D37" i="17"/>
  <c r="G34" i="17"/>
  <c r="H31" i="16"/>
  <c r="E37" i="17"/>
  <c r="C37" i="17"/>
  <c r="B37" i="17"/>
  <c r="H34" i="17"/>
  <c r="G31" i="16"/>
  <c r="I31" i="16"/>
  <c r="U312" i="3"/>
  <c r="V263" i="3"/>
  <c r="U238" i="3"/>
  <c r="V337" i="3"/>
  <c r="R28" i="15"/>
  <c r="R29" i="15"/>
  <c r="U31" i="15"/>
  <c r="T29" i="15"/>
  <c r="T28" i="15"/>
  <c r="S28" i="15"/>
  <c r="F31" i="16"/>
  <c r="S29" i="15"/>
  <c r="S31" i="15"/>
  <c r="F35" i="17"/>
  <c r="U28" i="15"/>
  <c r="M35" i="17"/>
  <c r="T31" i="15"/>
  <c r="G37" i="17"/>
  <c r="H37" i="17"/>
  <c r="I37" i="17"/>
  <c r="K35" i="17"/>
  <c r="L35" i="17"/>
  <c r="V233" i="3"/>
  <c r="V234" i="3" s="1"/>
  <c r="V236" i="3" s="1"/>
  <c r="V307" i="3"/>
  <c r="V308" i="3" s="1"/>
  <c r="V310" i="3" s="1"/>
  <c r="U320" i="3" l="1"/>
  <c r="U324" i="3" s="1"/>
  <c r="U319" i="3"/>
  <c r="U323" i="3" s="1"/>
  <c r="T318" i="3"/>
  <c r="T322" i="3" s="1"/>
  <c r="T317" i="3"/>
  <c r="T321" i="3" s="1"/>
  <c r="U243" i="3"/>
  <c r="U247" i="3" s="1"/>
  <c r="U244" i="3"/>
  <c r="U248" i="3" s="1"/>
  <c r="U246" i="3"/>
  <c r="U250" i="3" s="1"/>
  <c r="U245" i="3"/>
  <c r="U249" i="3" s="1"/>
  <c r="M34" i="17"/>
  <c r="V368" i="3"/>
  <c r="V372" i="3" s="1"/>
  <c r="F34" i="17"/>
  <c r="U367" i="3"/>
  <c r="U371" i="3" s="1"/>
  <c r="B32" i="17"/>
  <c r="U342" i="3"/>
  <c r="U346" i="3" s="1"/>
  <c r="U343" i="3"/>
  <c r="U347" i="3" s="1"/>
  <c r="V345" i="3"/>
  <c r="V349" i="3" s="1"/>
  <c r="V344" i="3"/>
  <c r="V348" i="3" s="1"/>
  <c r="W342" i="3"/>
  <c r="W346" i="3" s="1"/>
  <c r="W343" i="3"/>
  <c r="W347" i="3" s="1"/>
  <c r="H30" i="17"/>
  <c r="U270" i="3"/>
  <c r="U274" i="3" s="1"/>
  <c r="U269" i="3"/>
  <c r="U273" i="3" s="1"/>
  <c r="G30" i="17"/>
  <c r="I29" i="17"/>
  <c r="I30" i="17"/>
  <c r="U271" i="3"/>
  <c r="U275" i="3" s="1"/>
  <c r="J30" i="17"/>
  <c r="V268" i="3"/>
  <c r="V272" i="3" s="1"/>
  <c r="F29" i="17"/>
  <c r="H28" i="17"/>
  <c r="F28" i="17"/>
  <c r="I28" i="17"/>
  <c r="E28" i="17"/>
  <c r="G32" i="17"/>
  <c r="M32" i="17"/>
  <c r="K34" i="17"/>
  <c r="G29" i="17"/>
  <c r="H29" i="17"/>
  <c r="H32" i="17"/>
  <c r="I32" i="17"/>
  <c r="V312" i="3"/>
  <c r="L34" i="17"/>
  <c r="V238" i="3"/>
  <c r="F37" i="17"/>
  <c r="F32" i="17"/>
  <c r="J35" i="17"/>
  <c r="R31" i="15"/>
  <c r="T32" i="15"/>
  <c r="M37" i="17"/>
  <c r="S32" i="15"/>
  <c r="U32" i="15"/>
  <c r="L37" i="17"/>
  <c r="K37" i="17"/>
  <c r="V317" i="3" l="1"/>
  <c r="V321" i="3" s="1"/>
  <c r="V320" i="3"/>
  <c r="V324" i="3" s="1"/>
  <c r="V319" i="3"/>
  <c r="V323" i="3" s="1"/>
  <c r="V318" i="3"/>
  <c r="V322" i="3" s="1"/>
  <c r="V243" i="3"/>
  <c r="V247" i="3" s="1"/>
  <c r="V246" i="3"/>
  <c r="V250" i="3" s="1"/>
  <c r="V245" i="3"/>
  <c r="V249" i="3" s="1"/>
  <c r="V244" i="3"/>
  <c r="V248" i="3" s="1"/>
  <c r="U318" i="3"/>
  <c r="U322" i="3" s="1"/>
  <c r="U317" i="3"/>
  <c r="U321" i="3" s="1"/>
  <c r="G28" i="17"/>
  <c r="J34" i="17"/>
  <c r="V367" i="3"/>
  <c r="V371" i="3" s="1"/>
  <c r="V343" i="3"/>
  <c r="V347" i="3" s="1"/>
  <c r="V342" i="3"/>
  <c r="V346" i="3" s="1"/>
  <c r="V271" i="3"/>
  <c r="V275" i="3" s="1"/>
  <c r="M29" i="17"/>
  <c r="M30" i="17"/>
  <c r="L30" i="17"/>
  <c r="V270" i="3"/>
  <c r="V274" i="3" s="1"/>
  <c r="K30" i="17"/>
  <c r="V269" i="3"/>
  <c r="V273" i="3" s="1"/>
  <c r="J29" i="17"/>
  <c r="K29" i="17"/>
  <c r="J28" i="17"/>
  <c r="L29" i="17"/>
  <c r="L32" i="17"/>
  <c r="K32" i="17"/>
  <c r="M28" i="17"/>
  <c r="R32" i="15"/>
  <c r="J32" i="17"/>
  <c r="J37" i="17"/>
  <c r="K28" i="17" l="1"/>
  <c r="L28" i="17"/>
  <c r="Y615" i="4"/>
  <c r="D613" i="4" s="1"/>
  <c r="D614" i="4" s="1"/>
  <c r="D616" i="4" s="1"/>
  <c r="D624" i="4" l="1"/>
  <c r="D629" i="4" s="1"/>
  <c r="C72" i="12"/>
  <c r="D623" i="4"/>
  <c r="D628" i="4" s="1"/>
  <c r="B72" i="12"/>
  <c r="D72" i="12"/>
  <c r="D625" i="4"/>
  <c r="D630" i="4" s="1"/>
  <c r="E72" i="12"/>
  <c r="D626" i="4"/>
  <c r="D631" i="4" s="1"/>
  <c r="Y1195" i="4"/>
  <c r="D1193" i="4" s="1"/>
  <c r="D1194" i="4" s="1"/>
  <c r="D1196" i="4" s="1"/>
  <c r="D1202" i="4" l="1"/>
  <c r="D1207" i="4" s="1"/>
  <c r="D1206" i="4" l="1"/>
  <c r="D1211" i="4" s="1"/>
  <c r="E81" i="12"/>
  <c r="B81" i="12"/>
  <c r="D1203" i="4"/>
  <c r="D1208" i="4" s="1"/>
  <c r="D1204" i="4"/>
  <c r="D1209" i="4" s="1"/>
  <c r="C81" i="12"/>
  <c r="D1205" i="4"/>
  <c r="D1210" i="4" s="1"/>
  <c r="D8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Product04</author>
  </authors>
  <commentList>
    <comment ref="Q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Product04:</t>
        </r>
        <r>
          <rPr>
            <sz val="9"/>
            <color indexed="81"/>
            <rFont val="Tahoma"/>
            <family val="2"/>
          </rPr>
          <t xml:space="preserve">
6 ล้อ 2,889 บาท/เที่ยว</t>
        </r>
      </text>
    </comment>
  </commentList>
</comments>
</file>

<file path=xl/sharedStrings.xml><?xml version="1.0" encoding="utf-8"?>
<sst xmlns="http://schemas.openxmlformats.org/spreadsheetml/2006/main" count="5985" uniqueCount="355">
  <si>
    <t>Internal Memo</t>
  </si>
  <si>
    <t>No.</t>
  </si>
  <si>
    <t>To           :</t>
  </si>
  <si>
    <t>Date  :</t>
  </si>
  <si>
    <t>RE          :</t>
  </si>
  <si>
    <t>BKK</t>
  </si>
  <si>
    <t>CM</t>
  </si>
  <si>
    <t>CR</t>
  </si>
  <si>
    <t>PL</t>
  </si>
  <si>
    <t>NS</t>
  </si>
  <si>
    <t>KK</t>
  </si>
  <si>
    <t>SK</t>
  </si>
  <si>
    <t>UD</t>
  </si>
  <si>
    <t>UB</t>
  </si>
  <si>
    <t>NR</t>
  </si>
  <si>
    <t>RB</t>
  </si>
  <si>
    <t>PC</t>
  </si>
  <si>
    <t>BS</t>
  </si>
  <si>
    <t>AY</t>
  </si>
  <si>
    <t>RY</t>
  </si>
  <si>
    <t>CB</t>
  </si>
  <si>
    <t>SR</t>
  </si>
  <si>
    <t>PK</t>
  </si>
  <si>
    <t>HY</t>
  </si>
  <si>
    <t>STD 9 mm.</t>
  </si>
  <si>
    <t>SYNIA 9 mm.</t>
  </si>
  <si>
    <t>TEC 9 mm.</t>
  </si>
  <si>
    <t>SYNIA TEC 9 mm.</t>
  </si>
  <si>
    <t>STD 12 mm.</t>
  </si>
  <si>
    <t>TEC 12 mm.</t>
  </si>
  <si>
    <t>Paper touch ลวดลาย</t>
  </si>
  <si>
    <t>Paper touch หยาดเพชร</t>
  </si>
  <si>
    <t>ราคาขายข้างต้นให้ถือเป็นราคาขายต่ำสุด สามารถขายที่ราคาสูงกว่านี้ได้ ขึ้นอยู่กับแต่ละพื้นที่</t>
  </si>
  <si>
    <t>ปริมาณการขายส่งแผ่น 120x240 ขั้นต่ำ 400 แผ่น : เดือน</t>
  </si>
  <si>
    <t>SB 120x240 4 mm</t>
  </si>
  <si>
    <t>SB 120x120 4 mm</t>
  </si>
  <si>
    <t>SB 60x240 4 mm</t>
  </si>
  <si>
    <t>SB 120x240 6 mm</t>
  </si>
  <si>
    <t>SB 120x240 8 mm</t>
  </si>
  <si>
    <t>SB 120x240 10 mm</t>
  </si>
  <si>
    <t>SB 120x240 12 mm</t>
  </si>
  <si>
    <t>บอร์ดซูปเปอร์ซัน 4 มม.120x240</t>
  </si>
  <si>
    <t>บอร์ดซูปเปอร์ซัน 4 มม.120x120</t>
  </si>
  <si>
    <t>บอร์ดซูปเปอร์ซัน 4 มม.60x240</t>
  </si>
  <si>
    <t>บอร์ดซูปเปอร์ซัน 6 มม.120x240</t>
  </si>
  <si>
    <t>ลายไม้/เซาะร่อง</t>
  </si>
  <si>
    <t xml:space="preserve">ระบายอากาศ </t>
  </si>
  <si>
    <t>ลายไม้ระบายอากาศ</t>
  </si>
  <si>
    <t>ไม้มอบ</t>
  </si>
  <si>
    <t>ไม้ระแนงลบมุม 7.5</t>
  </si>
  <si>
    <t>Price List</t>
  </si>
  <si>
    <t>Discount</t>
  </si>
  <si>
    <t>Transportation</t>
  </si>
  <si>
    <t>COGS</t>
  </si>
  <si>
    <t>Promotion Rebate</t>
  </si>
  <si>
    <t>Net Cost</t>
  </si>
  <si>
    <t xml:space="preserve">ค่าคลัง ตันละ 150 </t>
  </si>
  <si>
    <t>Net Cost (RE)</t>
  </si>
  <si>
    <t>ค่าคลัง ตันละ 150</t>
  </si>
  <si>
    <t xml:space="preserve">60x120 </t>
  </si>
  <si>
    <t>ค่าคลัง ตันละ 450</t>
  </si>
  <si>
    <t>60x120</t>
  </si>
  <si>
    <t>Sun 120x240 4 mm</t>
  </si>
  <si>
    <t>Sun 120x120 4 mm</t>
  </si>
  <si>
    <t>Sun 60x240 4 mm</t>
  </si>
  <si>
    <t>Sun 120x240 6 mm</t>
  </si>
  <si>
    <t>VAT</t>
  </si>
  <si>
    <t>RE (ex VAT)</t>
  </si>
  <si>
    <t>Net Price (inc VAT)</t>
  </si>
  <si>
    <t>NE</t>
  </si>
  <si>
    <t>S</t>
  </si>
  <si>
    <t>BKK Price</t>
  </si>
  <si>
    <t>N Price</t>
  </si>
  <si>
    <t>C Price</t>
  </si>
  <si>
    <t>E Price</t>
  </si>
  <si>
    <t>MG/Bht : S2</t>
  </si>
  <si>
    <t>MG/Bht : หน้าร้าน</t>
  </si>
  <si>
    <t>MG/% : S2</t>
  </si>
  <si>
    <t>MG/% : หน้าร้าน</t>
  </si>
  <si>
    <t>WIP</t>
  </si>
  <si>
    <t>WIPR</t>
  </si>
  <si>
    <t>WIPRSO</t>
  </si>
  <si>
    <t>Y 1: Gypsum</t>
  </si>
  <si>
    <t>Y1 : Smart Board</t>
  </si>
  <si>
    <t>เซิฟบอร์ด ขนาด 30 ซม.</t>
  </si>
  <si>
    <t>เซิฟบอร์ด ขนาด 45 ซม.</t>
  </si>
  <si>
    <t>เซิฟบอร์ด ขนาด 60 ซม.</t>
  </si>
  <si>
    <t>เซิฟบอร์ด ขนาด 60*120 ซม.</t>
  </si>
  <si>
    <t>เซิฟบอร์ด ขนาด 30 ซม. ทนชื้น</t>
  </si>
  <si>
    <t>เซิฟบอร์ด ขนาด 45 ซม. ทนชื้น</t>
  </si>
  <si>
    <t>เซิฟบอร์ด ขนาด 60 ซม. ทนชื้น</t>
  </si>
  <si>
    <t>เซิฟบอร์ด ขนาด 60*120 ซม. ทนชื้น</t>
  </si>
  <si>
    <t xml:space="preserve">อะคูสติก กาแลคซี่ </t>
  </si>
  <si>
    <t>อะคูสติก-อิมเพรสชันME903</t>
  </si>
  <si>
    <t>อะคูสติก-อิมเพรสชันME904</t>
  </si>
  <si>
    <t>อะคูสติก-อิมเพรสชันME905</t>
  </si>
  <si>
    <t>ยิปซัมลดเสียงสะท้อน เอคโค่บล็อค</t>
  </si>
  <si>
    <t>ลายไม้ระบายอากาศ โพรเทคชั่น</t>
  </si>
  <si>
    <t>Color touch 60x120 ทนชื้น 9 มม.</t>
  </si>
  <si>
    <t>ราคา RE (EX VAT) และไม่รวมค่าขนส่ง ยังไม่หักรีเบทประจำเดือน</t>
  </si>
  <si>
    <t xml:space="preserve">  หมายเหตุ : </t>
  </si>
  <si>
    <t>Price : SDM</t>
  </si>
  <si>
    <t>ผู้จัดการภาค / ผู้จัดการเขต</t>
  </si>
  <si>
    <t>MG/Bht : SDM</t>
  </si>
  <si>
    <t>MG/Bht : RM</t>
  </si>
  <si>
    <t>MG/Bht : ZM</t>
  </si>
  <si>
    <t>MG/% : ZM</t>
  </si>
  <si>
    <t>MG/% : RM</t>
  </si>
  <si>
    <t>MG/% : SDM</t>
  </si>
  <si>
    <t xml:space="preserve">Sun ไม้มอบ </t>
  </si>
  <si>
    <t>Sun ไม้ระแนงลบมุม 7.5</t>
  </si>
  <si>
    <t>Sun 120x240 8 mm</t>
  </si>
  <si>
    <t>บอร์ดซูปเปอร์ซัน 8 มม.120x240</t>
  </si>
  <si>
    <t>SB 120x280 8 mm</t>
  </si>
  <si>
    <t>ทนไฟ 12 มม.</t>
  </si>
  <si>
    <t>ทนไฟ 15 มม.</t>
  </si>
  <si>
    <t>เวเทอร์บล็อค W0</t>
  </si>
  <si>
    <t>เวเทอร์บล็อค W1</t>
  </si>
  <si>
    <t>Rockchill</t>
  </si>
  <si>
    <t>New Product</t>
  </si>
  <si>
    <t>Y1 : Rockwool</t>
  </si>
  <si>
    <t>Rock Chill หนา 3 นิ้ว</t>
  </si>
  <si>
    <t>Safe 'n' Silent Pro 330 หนา 50 มม. 60*120</t>
  </si>
  <si>
    <t>Safe 'n' Silent Pro 330 หนา 75 มม. 60*120</t>
  </si>
  <si>
    <t>Safe 'n' Silent Pro 350 หนา 50 มม. 60*120</t>
  </si>
  <si>
    <t>SB 120x240 16 mm</t>
  </si>
  <si>
    <t>คนอฟ</t>
  </si>
  <si>
    <t>คนอฟ ทนชื้น/ฟอล์ย</t>
  </si>
  <si>
    <t>อี่ซี่บอร์ท / คนอฟ</t>
  </si>
  <si>
    <t>SB 120x240 18 mm</t>
  </si>
  <si>
    <t>อี่ซี่บอร์ท/คนอฟ ทนชื้น / ฟอล์ย</t>
  </si>
  <si>
    <t>SB 60*120 4 mm</t>
  </si>
  <si>
    <t>STD 15 mm.</t>
  </si>
  <si>
    <t>ยิปซัม ธรรมดา 9 มม. ขอบเรียบ/ลาด</t>
  </si>
  <si>
    <t>ยิปซัม ธรรมดา 9 มม. ขอบลาด 4 ด้าน</t>
  </si>
  <si>
    <t>ยิปซัม ทนชื้น/ฟลอยด์ 9 มม. ขอบเรียบ/ลาด</t>
  </si>
  <si>
    <t>ยิปซัม ทนชื้น/ฟลอยด์ 9 มม. ขอบลาด 4 ด้าน</t>
  </si>
  <si>
    <t>ยิปซัม ธรรมดา 12 มม. ขอบเรียบ/ลาด</t>
  </si>
  <si>
    <t>ยิปซัม ทนชื้น/ฟลอยด์ 12 มม. ขอบเรียบ/ลาด</t>
  </si>
  <si>
    <t>ยิปซัม ธรรมดา 15 มม. ขอบลาด</t>
  </si>
  <si>
    <t>ไม้ฝา ซูเปอร์ซัน 20*300*0.8 สีซิเมนต์</t>
  </si>
  <si>
    <t>ไม้ฝา ซูเปอร์ซัน 15*300*0.8 สีซิเมนต์</t>
  </si>
  <si>
    <t>W1</t>
  </si>
  <si>
    <t>W2</t>
  </si>
  <si>
    <t>R1</t>
  </si>
  <si>
    <t>R2</t>
  </si>
  <si>
    <t>Safe 'n' Silent Pro 330 หนา 50 มม. 60*120 (6 แผ่น/ แพ็ค)</t>
  </si>
  <si>
    <t>Safe 'n' Silent Pro 330 หนา 75 มม. 60*120 (4 แผ่น/แพ็ค)</t>
  </si>
  <si>
    <t>ซีเมนต์บอร์ด 120*240*8 มม.(60)</t>
  </si>
  <si>
    <t>ซีเมนต์บอร์ด 120*240*10 มม.(48)</t>
  </si>
  <si>
    <t>ซีเมนต์บอร์ด 120*240*12 มม.(40)</t>
  </si>
  <si>
    <t>ซีเมนต์บอร์ด 120*240*16 มม.(30)</t>
  </si>
  <si>
    <t>ซีเมนต์บอร์ด 120*240*20 มม.(24)</t>
  </si>
  <si>
    <t>ซีเมนต์บอร์ด 120*240*24 มม.(20)</t>
  </si>
  <si>
    <t>ซีเมนต์บอร์ด 120*240 8 มม.</t>
  </si>
  <si>
    <t>ซีเมนต์บอร์ด 120*240 10 มม.</t>
  </si>
  <si>
    <t>ซีเมนต์บอร์ด 120*240 12 มม.</t>
  </si>
  <si>
    <t>ซีเมนต์บอร์ด 120*240 16 มม.</t>
  </si>
  <si>
    <t>ซีเมนต์บอร์ด 120*240 20 มม.</t>
  </si>
  <si>
    <t>ซีเมนต์บอร์ด 120*240 24 มม.</t>
  </si>
  <si>
    <t>SB เซาะร่อง 4" 120*280 8 มม.</t>
  </si>
  <si>
    <t>ไม้ฝา ซูเปอร์ซัน 15*400*0.8 สีซิเมนต์</t>
  </si>
  <si>
    <t>ไม้ฝา ซูเปอร์ซัน 20*400*0.8 สีซิเมนต์</t>
  </si>
  <si>
    <t>ไม้พื้น ซูเปอร์ซัน ลายไม้ 10*300*2.5 รองพื้น</t>
  </si>
  <si>
    <t>ไม้พื้น ซูเปอร์ซัน ลายไม้ 15*300*2.5 รองพื้น</t>
  </si>
  <si>
    <t>ไม้พื้น ซูเปอร์ซัน ลายไม้ 20*300*2.5 รองพื้น</t>
  </si>
  <si>
    <t>SB</t>
  </si>
  <si>
    <t>ไม้มอบ ตราช้าง</t>
  </si>
  <si>
    <t>ไม้ระแนงลบมุม ซิเมนต็ 7.5 ตราช้าง</t>
  </si>
  <si>
    <t>ไม้ระแนงลบมุม ซิเมนต์ 10 ตราช้าง</t>
  </si>
  <si>
    <t xml:space="preserve"> ไม้มอบ ซุปเปอร์ซัน</t>
  </si>
  <si>
    <t>ไม้ระแนงลบมุม 7.5 ซุปเปอร์ซัน</t>
  </si>
  <si>
    <t>SB 120x240 4 mm ตราช้าง</t>
  </si>
  <si>
    <t>SB 120x120 4 mm ตราช้าง</t>
  </si>
  <si>
    <t>SB 60x240 4 mm ตราช้าง</t>
  </si>
  <si>
    <t>SB 60x120 4 mm ตราช้าง</t>
  </si>
  <si>
    <t>SB 120x240 6 mm ตราช้าง</t>
  </si>
  <si>
    <t>SB 120x240 8 mm ตราช้าง</t>
  </si>
  <si>
    <t>SB 120x240 10 mm ตราช้าง</t>
  </si>
  <si>
    <t>SB 120x240 12 mm ตราช้าง</t>
  </si>
  <si>
    <t>SB 120x240 15 mm ตราช้าง</t>
  </si>
  <si>
    <t>SB 120x240 16 mm ตราช้าง</t>
  </si>
  <si>
    <t>SB 120x240 18 mm ตราช้าง</t>
  </si>
  <si>
    <t>SB 120x240 20 mm ตราช้าง</t>
  </si>
  <si>
    <t>SB 120x280 8 mm ตราช้าง</t>
  </si>
  <si>
    <t>ลายไม้/เซาะร่อง ตราช้าง</t>
  </si>
  <si>
    <t>ระบายอากาศ  ตราช้าง</t>
  </si>
  <si>
    <t>ระบายอากาศโพรเทคชั่น  ตราช้าง</t>
  </si>
  <si>
    <t>ลายไม้ ระบายอากาศ /เซาะร่อง ระบายอากาศ ตราช้าง</t>
  </si>
  <si>
    <t>ลายไม้/เซาะร่อง (ระบายอากาศ โพรเทคชั่น) ตราช้าง</t>
  </si>
  <si>
    <t>ไม้ระแนงลบมุม 10</t>
  </si>
  <si>
    <t>กรณีหุ้มฟลอยด์</t>
  </si>
  <si>
    <t>1 ด้าน +90 บาท</t>
  </si>
  <si>
    <t>2 ด้าน +112 บาท</t>
  </si>
  <si>
    <t>Price : W1</t>
  </si>
  <si>
    <t>Price : W2</t>
  </si>
  <si>
    <t>Price : R1</t>
  </si>
  <si>
    <t>Price : R2</t>
  </si>
  <si>
    <t>MG/Bht : W1</t>
  </si>
  <si>
    <t>MG/Bht : W2</t>
  </si>
  <si>
    <t>MG/Bht : R1</t>
  </si>
  <si>
    <t>MG/Bht : R2</t>
  </si>
  <si>
    <t>MG/% : W1</t>
  </si>
  <si>
    <t>MG/% : W2</t>
  </si>
  <si>
    <t>MG/% : R1</t>
  </si>
  <si>
    <t>MG/% : R2</t>
  </si>
  <si>
    <t>Color touch 60x60 9 mm.</t>
  </si>
  <si>
    <t>Color touch 60x120 9 mm.</t>
  </si>
  <si>
    <t>Color touch 60x60  9 mm.ทนชื้น</t>
  </si>
  <si>
    <t>Paper touch ลวดลาย 60*60*8 mm.</t>
  </si>
  <si>
    <t>Paper touch หยาดเพชร 60*60*8 mm.</t>
  </si>
  <si>
    <t>Color touch สีมุก/สีเพชร  60x60*9 mm.</t>
  </si>
  <si>
    <t>Color touch สีมุก/สีเพชร 60x120*9 mm.</t>
  </si>
  <si>
    <t>Color touch สีมุก/สีเพชร 60x120*12 mm.</t>
  </si>
  <si>
    <t>Color touch สีมุก/สีเพชร  60x60*9 mm. ทนชื้น</t>
  </si>
  <si>
    <t>Color touch สีมุก/สีเพชร 60x120*9 mm. ทนชื้น</t>
  </si>
  <si>
    <t>Color touch สีมุก/สีเพชร 60x120*12 mm. ทนชื้น</t>
  </si>
  <si>
    <t>ยิปซัมลดเสียงสะท้อน เอคโค่บล็อค (R1,R2,R8,S8)</t>
  </si>
  <si>
    <t>ยิปซัมเฟล็กบอร์ด(ดัดโค้ง) 6 มม. 120*240 มม.</t>
  </si>
  <si>
    <t>เซาะร่อง ลายเสี้ยน 120*240*6 มม.</t>
  </si>
  <si>
    <t>Safe 'n' Silent Pro 330 หนา 50 มม. 40*120</t>
  </si>
  <si>
    <t>บอร์ดซูปเปอร์ซัน 15 มม.120x241</t>
  </si>
  <si>
    <t>บอร์ดซูปเปอร์ซัน 20 มม.120x242</t>
  </si>
  <si>
    <t>ซุปเปอร์ซัน 15 มม.120*240</t>
  </si>
  <si>
    <t>ซุปเปอร์ซัน 20 มม.120*240</t>
  </si>
  <si>
    <t>Sun 120x240 15 mm</t>
  </si>
  <si>
    <t>Sun 120x240 20 mm</t>
  </si>
  <si>
    <t>บอร์ดซูปเปอร์ซัน 15 มม.120x240</t>
  </si>
  <si>
    <t>บอร์ดซูปเปอร์ซัน 20 มม.120x240</t>
  </si>
  <si>
    <t>SB 120x240 20 mm (87 Kg.)</t>
  </si>
  <si>
    <t>SB 120x240 15 mm (65.3 Kg.)</t>
  </si>
  <si>
    <t>Safe 'n' Silent Pro 330 หนา 50 มม. 40*120 (6 แผ่น/ แพ็ค)</t>
  </si>
  <si>
    <t>Paper touch หยาดเพชร ติดฟอยลด์</t>
  </si>
  <si>
    <t>Paper touch หยาดเพชร 60*60*8 mm. กันร้อน</t>
  </si>
  <si>
    <t>อะคูสติก-อิมเพรสชันME908</t>
  </si>
  <si>
    <t>ซุปเปอร์สมาร์ท 60*60*4 มม.ขาวไข่มุก</t>
  </si>
  <si>
    <t>ระบายอากาศ โพรเทคชั่น 60*120 ซม. 4 มม.</t>
  </si>
  <si>
    <t>หากราคาข้างต้นสูง ไม่สามารถขายได้ โปรดสอบถาม ผจก.PM</t>
  </si>
  <si>
    <t xml:space="preserve">ราคาขายข้างต้นรวม VAT  </t>
  </si>
  <si>
    <t>Y01010100109120240</t>
  </si>
  <si>
    <t>Y01010200109120240</t>
  </si>
  <si>
    <t>Y01010700109120240</t>
  </si>
  <si>
    <t>Y01020000109120240</t>
  </si>
  <si>
    <t>Y01020300109120240</t>
  </si>
  <si>
    <t>Y01020400109120240</t>
  </si>
  <si>
    <t>Y01020500109120240</t>
  </si>
  <si>
    <t>Y01020600109120240</t>
  </si>
  <si>
    <t>Y01020800109120240</t>
  </si>
  <si>
    <t>Y01020900109120240</t>
  </si>
  <si>
    <t>Y01010100112120240</t>
  </si>
  <si>
    <t>Y01010200012120240</t>
  </si>
  <si>
    <t>Y01020300112120240</t>
  </si>
  <si>
    <t>Y01020400012120240</t>
  </si>
  <si>
    <t>Y01020400112120240</t>
  </si>
  <si>
    <t>Y01020600012120240</t>
  </si>
  <si>
    <t>Y01020600112120240</t>
  </si>
  <si>
    <t>Y01021500112120240</t>
  </si>
  <si>
    <t>Y01021500115120240</t>
  </si>
  <si>
    <t>Y01041400212120240</t>
  </si>
  <si>
    <t>Y01041400312120240</t>
  </si>
  <si>
    <t>Y01041400412120240</t>
  </si>
  <si>
    <t>Y01041400512120240</t>
  </si>
  <si>
    <t>Y01062001908060060</t>
  </si>
  <si>
    <t>Y01062002008060060</t>
  </si>
  <si>
    <t>Y01062002108060060</t>
  </si>
  <si>
    <t>Y01062002208060060</t>
  </si>
  <si>
    <t>Y01062002308060060</t>
  </si>
  <si>
    <t>Y01062002408060060</t>
  </si>
  <si>
    <t>Y01062002508060060</t>
  </si>
  <si>
    <t>Y01062007508060060</t>
  </si>
  <si>
    <t>Y01062007608060060</t>
  </si>
  <si>
    <t>Y01062007708060060</t>
  </si>
  <si>
    <t>Y01062101908060060</t>
  </si>
  <si>
    <t>Y01062102008060060</t>
  </si>
  <si>
    <t>Y01062102108060060</t>
  </si>
  <si>
    <t>Y01062102208060060</t>
  </si>
  <si>
    <t>Y01062102308060060</t>
  </si>
  <si>
    <t>Y01062102408060060</t>
  </si>
  <si>
    <t>Y01062102508060060</t>
  </si>
  <si>
    <t>Y01062001708060060</t>
  </si>
  <si>
    <t>Y01062101708060060</t>
  </si>
  <si>
    <t>Y01062001808060060</t>
  </si>
  <si>
    <t>Y01062101808060060</t>
  </si>
  <si>
    <t>Y01062201409060060</t>
  </si>
  <si>
    <t>Y01062201409060120</t>
  </si>
  <si>
    <t>Y01062301409060060</t>
  </si>
  <si>
    <t>Y01062301409060120</t>
  </si>
  <si>
    <t>Y01083300109030030</t>
  </si>
  <si>
    <t>Y01083300109045045</t>
  </si>
  <si>
    <t>Y01083300109060060</t>
  </si>
  <si>
    <t>Y01083300109060120</t>
  </si>
  <si>
    <t>Y01083400109030030</t>
  </si>
  <si>
    <t>Y01083400109045045</t>
  </si>
  <si>
    <t>Y01083400109060060</t>
  </si>
  <si>
    <t>Y01083400109060120</t>
  </si>
  <si>
    <t>Y01070104114060120</t>
  </si>
  <si>
    <t>Y01070103516060060</t>
  </si>
  <si>
    <t>Y01070103616060120</t>
  </si>
  <si>
    <t>Y01073203716060060</t>
  </si>
  <si>
    <t>Y01073203816060120</t>
  </si>
  <si>
    <t>Y02010200109120240</t>
  </si>
  <si>
    <t>Y02020400109120240</t>
  </si>
  <si>
    <t>Y02020600109120240</t>
  </si>
  <si>
    <t>Y01030500909120240</t>
  </si>
  <si>
    <t>Y01031001009120240</t>
  </si>
  <si>
    <t>Y01010200115120240</t>
  </si>
  <si>
    <t>Y01021700106120240</t>
  </si>
  <si>
    <t>Y01062201412060120</t>
  </si>
  <si>
    <t>Y01062301412060120</t>
  </si>
  <si>
    <t>Y03094001604120240</t>
  </si>
  <si>
    <t>Y03094001604120120</t>
  </si>
  <si>
    <t>Y03094001604060240</t>
  </si>
  <si>
    <t>Y03094001606120240</t>
  </si>
  <si>
    <t>Y03094001608120240</t>
  </si>
  <si>
    <t>Y03094001610120240</t>
  </si>
  <si>
    <t>Y03094001612120240</t>
  </si>
  <si>
    <t>Y03094101608120280</t>
  </si>
  <si>
    <t>Y03094204804060120</t>
  </si>
  <si>
    <t>Y03094205104060120</t>
  </si>
  <si>
    <t>Y03094304504060120</t>
  </si>
  <si>
    <t>Y03094304904060120</t>
  </si>
  <si>
    <t>Y03094305004060120</t>
  </si>
  <si>
    <t>Y03094001604060120</t>
  </si>
  <si>
    <t>Y03104501608050300</t>
  </si>
  <si>
    <t>Y04094001604120240</t>
  </si>
  <si>
    <t>Y04094001604120120</t>
  </si>
  <si>
    <t>Y04094001604060240</t>
  </si>
  <si>
    <t>Y04094001606120240</t>
  </si>
  <si>
    <t>Y04104501608050300</t>
  </si>
  <si>
    <t>Y04104601608075300</t>
  </si>
  <si>
    <t>Y04094001608120240</t>
  </si>
  <si>
    <t>Y03094304604060120</t>
  </si>
  <si>
    <t>Y03094001615120240</t>
  </si>
  <si>
    <t>Y03094001616120240</t>
  </si>
  <si>
    <t>Y03094001618120240</t>
  </si>
  <si>
    <t>Y03094001620120240</t>
  </si>
  <si>
    <t>Y04104701608015300</t>
  </si>
  <si>
    <t>Y03110101608120240</t>
  </si>
  <si>
    <t>Y03110101610120240</t>
  </si>
  <si>
    <t>Y03110101612120240</t>
  </si>
  <si>
    <t>Y03110101616120240</t>
  </si>
  <si>
    <t>Y03110101620120240</t>
  </si>
  <si>
    <t>Y03110101624120240</t>
  </si>
  <si>
    <t>Y04104701608015400</t>
  </si>
  <si>
    <t>Y04104701608020300</t>
  </si>
  <si>
    <t>Y03104601610100300</t>
  </si>
  <si>
    <t>Y03094007906120240</t>
  </si>
  <si>
    <t>Y04094001615120240</t>
  </si>
  <si>
    <t>Y04094001620120240</t>
  </si>
  <si>
    <t>Y03104601608075301</t>
  </si>
  <si>
    <t>Y06135105682060400</t>
  </si>
  <si>
    <t>Y06135005881060120</t>
  </si>
  <si>
    <t>Y06135005882060120</t>
  </si>
  <si>
    <t>Y06135005981060120</t>
  </si>
  <si>
    <t>Y06135005881040120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</si>
</sst>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1010000]d/m/yyyy;@"/>
    <numFmt numFmtId="166" formatCode="0.0%"/>
    <numFmt numFmtId="167" formatCode="_-* #,##0.000_-;\-* #,##0.000_-;_-* &quot;-&quot;??_-;_-@_-"/>
    <numFmt numFmtId="168" formatCode="#,##0.00_ ;\-#,##0.00\ "/>
    <numFmt numFmtId="169" formatCode="_-* #,##0_-;\-* #,##0_-;_-* &quot;-&quot;??_-;_-@_-"/>
    <numFmt numFmtId="170" formatCode="B1mmm\-yy"/>
    <numFmt numFmtId="171" formatCode="_-* #,##0.0_-;\-* #,##0.0_-;_-* &quot;-&quot;??_-;_-@_-"/>
  </numFmts>
  <fonts count="50" x14ac:knownFonts="1">
    <font>
      <sz val="14"/>
      <name val="Cordia New"/>
      <charset val="222"/>
    </font>
    <font>
      <b/>
      <sz val="36"/>
      <name val="CordiaUPC"/>
      <family val="2"/>
      <charset val="222"/>
    </font>
    <font>
      <b/>
      <sz val="36"/>
      <name val="Times New Roman"/>
      <family val="1"/>
    </font>
    <font>
      <sz val="14"/>
      <name val="CordiaUPC"/>
      <family val="2"/>
      <charset val="222"/>
    </font>
    <font>
      <b/>
      <sz val="18"/>
      <name val="CordiaUPC"/>
      <family val="2"/>
      <charset val="222"/>
    </font>
    <font>
      <b/>
      <sz val="16"/>
      <name val="CordiaUPC"/>
      <family val="2"/>
      <charset val="222"/>
    </font>
    <font>
      <sz val="14"/>
      <color indexed="10"/>
      <name val="CordiaUPC"/>
      <family val="2"/>
      <charset val="222"/>
    </font>
    <font>
      <sz val="14"/>
      <name val="Cordia New"/>
      <family val="2"/>
    </font>
    <font>
      <sz val="14"/>
      <color rgb="FFFF0000"/>
      <name val="Cordia New"/>
      <family val="2"/>
    </font>
    <font>
      <sz val="14"/>
      <name val="Browallia New"/>
      <family val="2"/>
    </font>
    <font>
      <sz val="14"/>
      <color rgb="FF3333CC"/>
      <name val="Browallia New"/>
      <family val="2"/>
    </font>
    <font>
      <sz val="14"/>
      <color rgb="FFFF0000"/>
      <name val="Browallia New"/>
      <family val="2"/>
    </font>
    <font>
      <sz val="14"/>
      <color theme="9" tint="-0.249977111117893"/>
      <name val="Browallia New"/>
      <family val="2"/>
    </font>
    <font>
      <sz val="14"/>
      <color theme="0"/>
      <name val="Browallia New"/>
      <family val="2"/>
    </font>
    <font>
      <sz val="14"/>
      <color theme="4" tint="-0.249977111117893"/>
      <name val="Browallia New"/>
      <family val="2"/>
    </font>
    <font>
      <b/>
      <sz val="14"/>
      <name val="Cordia New"/>
      <family val="2"/>
    </font>
    <font>
      <sz val="14"/>
      <color theme="9" tint="-0.499984740745262"/>
      <name val="Browallia New"/>
      <family val="2"/>
    </font>
    <font>
      <sz val="14"/>
      <color theme="1"/>
      <name val="Cordia New"/>
      <family val="2"/>
    </font>
    <font>
      <sz val="12"/>
      <name val="CordiaUPC"/>
      <family val="2"/>
      <charset val="222"/>
    </font>
    <font>
      <sz val="12"/>
      <name val="Cordia New"/>
      <family val="2"/>
      <charset val="222"/>
    </font>
    <font>
      <sz val="14"/>
      <color theme="1"/>
      <name val="Browallia New"/>
      <family val="2"/>
    </font>
    <font>
      <sz val="10"/>
      <color indexed="8"/>
      <name val="Arial"/>
      <family val="2"/>
    </font>
    <font>
      <sz val="14"/>
      <color theme="1"/>
      <name val="Cordia New"/>
      <family val="2"/>
      <charset val="222"/>
    </font>
    <font>
      <sz val="12"/>
      <color rgb="FFFF0000"/>
      <name val="CordiaUPC"/>
      <family val="2"/>
      <charset val="222"/>
    </font>
    <font>
      <sz val="8"/>
      <name val="Cordia New"/>
      <family val="2"/>
    </font>
    <font>
      <b/>
      <sz val="36"/>
      <color theme="1"/>
      <name val="CordiaUPC"/>
      <family val="2"/>
      <charset val="222"/>
    </font>
    <font>
      <b/>
      <sz val="36"/>
      <color theme="1"/>
      <name val="Times New Roman"/>
      <family val="1"/>
      <charset val="222"/>
    </font>
    <font>
      <sz val="14"/>
      <color theme="1"/>
      <name val="CordiaUPC"/>
      <family val="2"/>
      <charset val="222"/>
    </font>
    <font>
      <sz val="12"/>
      <color theme="1"/>
      <name val="CordiaUPC"/>
      <family val="2"/>
      <charset val="222"/>
    </font>
    <font>
      <sz val="12"/>
      <color theme="1"/>
      <name val="Cordia New"/>
      <family val="2"/>
      <charset val="222"/>
    </font>
    <font>
      <b/>
      <sz val="14"/>
      <color theme="1"/>
      <name val="Cordia New"/>
      <family val="2"/>
      <charset val="222"/>
    </font>
    <font>
      <b/>
      <sz val="16"/>
      <color theme="1"/>
      <name val="Cordia New"/>
      <family val="2"/>
      <charset val="222"/>
    </font>
    <font>
      <sz val="14"/>
      <color theme="4"/>
      <name val="Browallia New"/>
      <family val="2"/>
    </font>
    <font>
      <sz val="12"/>
      <color rgb="FFFF0000"/>
      <name val="Cordia New"/>
      <family val="2"/>
      <charset val="222"/>
    </font>
    <font>
      <sz val="8"/>
      <name val="Cordia New"/>
      <family val="2"/>
    </font>
    <font>
      <b/>
      <sz val="20"/>
      <color rgb="FFFF0000"/>
      <name val="CordiaUP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00B050"/>
      <name val="Browallia New"/>
      <family val="2"/>
    </font>
    <font>
      <sz val="14"/>
      <color rgb="FF0070C0"/>
      <name val="Browallia New"/>
      <family val="2"/>
    </font>
    <font>
      <sz val="8"/>
      <name val="Cordia New"/>
      <family val="2"/>
    </font>
    <font>
      <b/>
      <sz val="14"/>
      <name val="Browallia New"/>
      <family val="2"/>
    </font>
    <font>
      <b/>
      <sz val="14"/>
      <color theme="1"/>
      <name val="Browallia New"/>
      <family val="2"/>
    </font>
    <font>
      <b/>
      <sz val="14"/>
      <color theme="0"/>
      <name val="Browallia New"/>
      <family val="2"/>
    </font>
    <font>
      <b/>
      <sz val="14"/>
      <color rgb="FFFF0000"/>
      <name val="Browallia New"/>
      <family val="2"/>
    </font>
    <font>
      <sz val="14"/>
      <color theme="7" tint="-0.249977111117893"/>
      <name val="Browallia New"/>
      <family val="2"/>
    </font>
    <font>
      <sz val="10"/>
      <color theme="1"/>
      <name val="Calibri"/>
      <family val="2"/>
      <scheme val="minor"/>
    </font>
    <font>
      <sz val="14"/>
      <color rgb="FFFF0000"/>
      <name val="Browallia New"/>
      <family val="2"/>
      <charset val="222"/>
    </font>
    <font>
      <sz val="14"/>
      <color theme="9" tint="-0.499984740745262"/>
      <name val="Browallia New"/>
      <family val="2"/>
      <charset val="222"/>
    </font>
    <font>
      <sz val="14"/>
      <color theme="9" tint="-0.499984740745262"/>
      <name val="Cordia New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auto="1"/>
      </top>
      <bottom style="hair">
        <color auto="1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1" fillId="0" borderId="0">
      <alignment vertical="top"/>
    </xf>
  </cellStyleXfs>
  <cellXfs count="435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distributed"/>
      <protection locked="0"/>
    </xf>
    <xf numFmtId="0" fontId="4" fillId="0" borderId="0" xfId="0" applyFont="1"/>
    <xf numFmtId="1" fontId="5" fillId="0" borderId="0" xfId="0" applyNumberFormat="1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65" fontId="3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164" fontId="3" fillId="0" borderId="0" xfId="1" applyFont="1" applyFill="1" applyBorder="1" applyAlignment="1" applyProtection="1">
      <alignment horizontal="left"/>
      <protection locked="0"/>
    </xf>
    <xf numFmtId="164" fontId="3" fillId="0" borderId="0" xfId="1" applyFont="1" applyFill="1" applyBorder="1" applyAlignment="1" applyProtection="1">
      <alignment horizontal="distributed"/>
      <protection locked="0"/>
    </xf>
    <xf numFmtId="0" fontId="7" fillId="0" borderId="0" xfId="0" applyFont="1"/>
    <xf numFmtId="0" fontId="9" fillId="2" borderId="1" xfId="0" applyFont="1" applyFill="1" applyBorder="1" applyAlignment="1">
      <alignment horizontal="center"/>
    </xf>
    <xf numFmtId="164" fontId="9" fillId="0" borderId="1" xfId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2" xfId="1" applyFont="1" applyBorder="1"/>
    <xf numFmtId="2" fontId="9" fillId="0" borderId="2" xfId="0" applyNumberFormat="1" applyFont="1" applyBorder="1"/>
    <xf numFmtId="0" fontId="9" fillId="0" borderId="0" xfId="0" applyFont="1"/>
    <xf numFmtId="9" fontId="9" fillId="0" borderId="2" xfId="2" applyFont="1" applyBorder="1"/>
    <xf numFmtId="2" fontId="9" fillId="0" borderId="2" xfId="2" applyNumberFormat="1" applyFont="1" applyBorder="1"/>
    <xf numFmtId="164" fontId="9" fillId="4" borderId="2" xfId="1" applyFont="1" applyFill="1" applyBorder="1"/>
    <xf numFmtId="2" fontId="9" fillId="4" borderId="2" xfId="0" applyNumberFormat="1" applyFont="1" applyFill="1" applyBorder="1"/>
    <xf numFmtId="164" fontId="9" fillId="5" borderId="2" xfId="1" applyFont="1" applyFill="1" applyBorder="1"/>
    <xf numFmtId="164" fontId="10" fillId="0" borderId="2" xfId="1" applyFont="1" applyBorder="1"/>
    <xf numFmtId="164" fontId="10" fillId="0" borderId="2" xfId="0" applyNumberFormat="1" applyFont="1" applyBorder="1"/>
    <xf numFmtId="0" fontId="10" fillId="0" borderId="0" xfId="0" applyFont="1"/>
    <xf numFmtId="164" fontId="11" fillId="0" borderId="2" xfId="1" applyFont="1" applyBorder="1"/>
    <xf numFmtId="164" fontId="11" fillId="0" borderId="2" xfId="0" applyNumberFormat="1" applyFont="1" applyBorder="1"/>
    <xf numFmtId="0" fontId="11" fillId="0" borderId="0" xfId="0" applyFont="1"/>
    <xf numFmtId="2" fontId="11" fillId="0" borderId="2" xfId="0" applyNumberFormat="1" applyFont="1" applyBorder="1"/>
    <xf numFmtId="166" fontId="12" fillId="0" borderId="2" xfId="2" applyNumberFormat="1" applyFont="1" applyBorder="1"/>
    <xf numFmtId="0" fontId="12" fillId="0" borderId="0" xfId="0" applyFont="1"/>
    <xf numFmtId="164" fontId="9" fillId="0" borderId="0" xfId="1" applyFont="1" applyBorder="1"/>
    <xf numFmtId="2" fontId="9" fillId="0" borderId="0" xfId="0" applyNumberFormat="1" applyFont="1"/>
    <xf numFmtId="167" fontId="11" fillId="0" borderId="2" xfId="0" applyNumberFormat="1" applyFont="1" applyBorder="1"/>
    <xf numFmtId="166" fontId="9" fillId="0" borderId="0" xfId="2" applyNumberFormat="1" applyFont="1"/>
    <xf numFmtId="2" fontId="9" fillId="5" borderId="2" xfId="0" applyNumberFormat="1" applyFont="1" applyFill="1" applyBorder="1"/>
    <xf numFmtId="9" fontId="9" fillId="0" borderId="0" xfId="2" applyFont="1"/>
    <xf numFmtId="164" fontId="9" fillId="0" borderId="2" xfId="1" applyFont="1" applyFill="1" applyBorder="1"/>
    <xf numFmtId="9" fontId="12" fillId="0" borderId="5" xfId="2" applyFont="1" applyBorder="1"/>
    <xf numFmtId="9" fontId="12" fillId="0" borderId="0" xfId="2" applyFont="1" applyBorder="1"/>
    <xf numFmtId="168" fontId="11" fillId="0" borderId="2" xfId="1" applyNumberFormat="1" applyFont="1" applyBorder="1"/>
    <xf numFmtId="168" fontId="11" fillId="0" borderId="2" xfId="0" applyNumberFormat="1" applyFont="1" applyBorder="1"/>
    <xf numFmtId="164" fontId="10" fillId="0" borderId="2" xfId="1" applyFont="1" applyFill="1" applyBorder="1"/>
    <xf numFmtId="164" fontId="13" fillId="0" borderId="0" xfId="1" applyFont="1" applyBorder="1"/>
    <xf numFmtId="164" fontId="9" fillId="0" borderId="0" xfId="1" applyFont="1"/>
    <xf numFmtId="0" fontId="14" fillId="0" borderId="0" xfId="0" applyFont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9" fillId="0" borderId="9" xfId="0" applyFont="1" applyBorder="1"/>
    <xf numFmtId="9" fontId="9" fillId="0" borderId="9" xfId="0" applyNumberFormat="1" applyFont="1" applyBorder="1"/>
    <xf numFmtId="0" fontId="9" fillId="4" borderId="8" xfId="0" applyFont="1" applyFill="1" applyBorder="1"/>
    <xf numFmtId="0" fontId="9" fillId="4" borderId="9" xfId="0" applyFont="1" applyFill="1" applyBorder="1"/>
    <xf numFmtId="0" fontId="9" fillId="5" borderId="8" xfId="0" applyFont="1" applyFill="1" applyBorder="1"/>
    <xf numFmtId="0" fontId="9" fillId="5" borderId="9" xfId="0" applyFont="1" applyFill="1" applyBorder="1"/>
    <xf numFmtId="0" fontId="10" fillId="0" borderId="8" xfId="0" applyFont="1" applyBorder="1"/>
    <xf numFmtId="0" fontId="10" fillId="0" borderId="9" xfId="0" applyFont="1" applyBorder="1"/>
    <xf numFmtId="0" fontId="11" fillId="0" borderId="8" xfId="0" applyFont="1" applyBorder="1"/>
    <xf numFmtId="0" fontId="11" fillId="0" borderId="9" xfId="0" applyFont="1" applyBorder="1"/>
    <xf numFmtId="0" fontId="12" fillId="0" borderId="8" xfId="0" applyFont="1" applyBorder="1"/>
    <xf numFmtId="0" fontId="12" fillId="0" borderId="9" xfId="0" applyFont="1" applyBorder="1"/>
    <xf numFmtId="0" fontId="9" fillId="2" borderId="1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9" fontId="9" fillId="0" borderId="8" xfId="2" applyFont="1" applyBorder="1"/>
    <xf numFmtId="9" fontId="9" fillId="0" borderId="9" xfId="2" applyFont="1" applyBorder="1"/>
    <xf numFmtId="0" fontId="12" fillId="0" borderId="12" xfId="0" applyFont="1" applyBorder="1"/>
    <xf numFmtId="0" fontId="12" fillId="0" borderId="13" xfId="0" applyFont="1" applyBorder="1"/>
    <xf numFmtId="0" fontId="9" fillId="0" borderId="12" xfId="0" applyFont="1" applyBorder="1"/>
    <xf numFmtId="0" fontId="9" fillId="2" borderId="10" xfId="0" applyFont="1" applyFill="1" applyBorder="1" applyAlignment="1">
      <alignment horizontal="left"/>
    </xf>
    <xf numFmtId="166" fontId="12" fillId="0" borderId="2" xfId="1" applyNumberFormat="1" applyFont="1" applyBorder="1"/>
    <xf numFmtId="1" fontId="0" fillId="0" borderId="15" xfId="0" applyNumberFormat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3" fillId="0" borderId="0" xfId="1" applyNumberFormat="1" applyFont="1" applyFill="1" applyBorder="1" applyAlignment="1" applyProtection="1">
      <alignment horizontal="center" vertical="center"/>
      <protection locked="0"/>
    </xf>
    <xf numFmtId="1" fontId="7" fillId="0" borderId="15" xfId="0" applyNumberFormat="1" applyFont="1" applyBorder="1" applyAlignment="1">
      <alignment horizontal="center"/>
    </xf>
    <xf numFmtId="1" fontId="9" fillId="0" borderId="2" xfId="0" applyNumberFormat="1" applyFont="1" applyBorder="1"/>
    <xf numFmtId="1" fontId="0" fillId="0" borderId="33" xfId="0" applyNumberFormat="1" applyBorder="1" applyAlignment="1">
      <alignment horizontal="center"/>
    </xf>
    <xf numFmtId="1" fontId="0" fillId="0" borderId="34" xfId="0" applyNumberFormat="1" applyBorder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3" borderId="37" xfId="0" applyNumberFormat="1" applyFill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40" xfId="0" applyBorder="1"/>
    <xf numFmtId="0" fontId="0" fillId="0" borderId="35" xfId="0" applyBorder="1"/>
    <xf numFmtId="1" fontId="0" fillId="3" borderId="43" xfId="0" applyNumberFormat="1" applyFill="1" applyBorder="1" applyAlignment="1">
      <alignment horizontal="center"/>
    </xf>
    <xf numFmtId="1" fontId="0" fillId="0" borderId="43" xfId="0" applyNumberFormat="1" applyBorder="1" applyAlignment="1">
      <alignment horizontal="center"/>
    </xf>
    <xf numFmtId="1" fontId="7" fillId="0" borderId="43" xfId="0" applyNumberFormat="1" applyFont="1" applyBorder="1" applyAlignment="1">
      <alignment horizontal="center"/>
    </xf>
    <xf numFmtId="1" fontId="0" fillId="0" borderId="44" xfId="0" applyNumberFormat="1" applyBorder="1" applyAlignment="1">
      <alignment horizontal="center"/>
    </xf>
    <xf numFmtId="1" fontId="9" fillId="0" borderId="2" xfId="1" applyNumberFormat="1" applyFont="1" applyBorder="1"/>
    <xf numFmtId="9" fontId="11" fillId="0" borderId="2" xfId="2" applyFont="1" applyBorder="1"/>
    <xf numFmtId="168" fontId="10" fillId="0" borderId="2" xfId="1" applyNumberFormat="1" applyFont="1" applyBorder="1"/>
    <xf numFmtId="0" fontId="16" fillId="0" borderId="8" xfId="0" applyFont="1" applyBorder="1"/>
    <xf numFmtId="0" fontId="16" fillId="0" borderId="9" xfId="0" applyFont="1" applyBorder="1"/>
    <xf numFmtId="10" fontId="16" fillId="0" borderId="2" xfId="2" applyNumberFormat="1" applyFont="1" applyBorder="1"/>
    <xf numFmtId="166" fontId="16" fillId="0" borderId="2" xfId="2" applyNumberFormat="1" applyFont="1" applyBorder="1"/>
    <xf numFmtId="164" fontId="16" fillId="0" borderId="2" xfId="1" applyFont="1" applyBorder="1"/>
    <xf numFmtId="2" fontId="16" fillId="0" borderId="2" xfId="0" applyNumberFormat="1" applyFont="1" applyBorder="1"/>
    <xf numFmtId="0" fontId="16" fillId="0" borderId="49" xfId="0" applyFont="1" applyBorder="1"/>
    <xf numFmtId="166" fontId="16" fillId="0" borderId="49" xfId="2" applyNumberFormat="1" applyFont="1" applyBorder="1"/>
    <xf numFmtId="9" fontId="16" fillId="0" borderId="2" xfId="2" applyFont="1" applyBorder="1"/>
    <xf numFmtId="2" fontId="9" fillId="0" borderId="2" xfId="1" applyNumberFormat="1" applyFont="1" applyBorder="1"/>
    <xf numFmtId="0" fontId="0" fillId="0" borderId="46" xfId="0" applyBorder="1"/>
    <xf numFmtId="1" fontId="7" fillId="0" borderId="37" xfId="0" applyNumberFormat="1" applyFont="1" applyBorder="1" applyAlignment="1">
      <alignment horizontal="center"/>
    </xf>
    <xf numFmtId="1" fontId="7" fillId="0" borderId="43" xfId="0" applyNumberFormat="1" applyFont="1" applyBorder="1" applyAlignment="1">
      <alignment vertical="center"/>
    </xf>
    <xf numFmtId="1" fontId="7" fillId="0" borderId="15" xfId="0" applyNumberFormat="1" applyFont="1" applyBorder="1" applyAlignment="1">
      <alignment vertical="center"/>
    </xf>
    <xf numFmtId="1" fontId="0" fillId="0" borderId="37" xfId="0" applyNumberFormat="1" applyBorder="1" applyAlignment="1">
      <alignment vertical="center"/>
    </xf>
    <xf numFmtId="1" fontId="0" fillId="0" borderId="15" xfId="0" applyNumberFormat="1" applyBorder="1" applyAlignment="1">
      <alignment vertical="center"/>
    </xf>
    <xf numFmtId="1" fontId="0" fillId="0" borderId="43" xfId="0" applyNumberFormat="1" applyBorder="1" applyAlignment="1">
      <alignment vertical="center"/>
    </xf>
    <xf numFmtId="1" fontId="0" fillId="6" borderId="43" xfId="0" applyNumberFormat="1" applyFill="1" applyBorder="1" applyAlignment="1">
      <alignment horizontal="center"/>
    </xf>
    <xf numFmtId="1" fontId="0" fillId="6" borderId="15" xfId="0" applyNumberFormat="1" applyFill="1" applyBorder="1" applyAlignment="1">
      <alignment horizontal="center"/>
    </xf>
    <xf numFmtId="1" fontId="0" fillId="6" borderId="37" xfId="0" applyNumberFormat="1" applyFill="1" applyBorder="1" applyAlignment="1">
      <alignment horizontal="center"/>
    </xf>
    <xf numFmtId="10" fontId="11" fillId="0" borderId="2" xfId="2" applyNumberFormat="1" applyFont="1" applyBorder="1"/>
    <xf numFmtId="1" fontId="8" fillId="0" borderId="15" xfId="0" applyNumberFormat="1" applyFont="1" applyBorder="1" applyAlignment="1">
      <alignment horizontal="center"/>
    </xf>
    <xf numFmtId="1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" fontId="15" fillId="0" borderId="3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55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1" fontId="15" fillId="0" borderId="25" xfId="0" applyNumberFormat="1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1" fontId="15" fillId="0" borderId="21" xfId="0" applyNumberFormat="1" applyFont="1" applyBorder="1" applyAlignment="1">
      <alignment horizontal="right" vertical="center"/>
    </xf>
    <xf numFmtId="0" fontId="15" fillId="0" borderId="19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8" fillId="0" borderId="0" xfId="0" applyFont="1"/>
    <xf numFmtId="1" fontId="8" fillId="0" borderId="37" xfId="0" applyNumberFormat="1" applyFont="1" applyBorder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1" fontId="18" fillId="0" borderId="0" xfId="1" applyNumberFormat="1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18" fillId="0" borderId="0" xfId="0" applyFont="1" applyProtection="1">
      <protection locked="0"/>
    </xf>
    <xf numFmtId="1" fontId="17" fillId="0" borderId="14" xfId="0" applyNumberFormat="1" applyFont="1" applyBorder="1" applyAlignment="1">
      <alignment horizontal="center"/>
    </xf>
    <xf numFmtId="1" fontId="17" fillId="0" borderId="15" xfId="0" applyNumberFormat="1" applyFont="1" applyBorder="1" applyAlignment="1">
      <alignment horizontal="center"/>
    </xf>
    <xf numFmtId="1" fontId="17" fillId="0" borderId="33" xfId="0" applyNumberFormat="1" applyFont="1" applyBorder="1" applyAlignment="1">
      <alignment horizontal="center"/>
    </xf>
    <xf numFmtId="1" fontId="17" fillId="0" borderId="37" xfId="0" applyNumberFormat="1" applyFont="1" applyBorder="1" applyAlignment="1">
      <alignment horizontal="center"/>
    </xf>
    <xf numFmtId="0" fontId="17" fillId="0" borderId="0" xfId="0" applyFont="1"/>
    <xf numFmtId="1" fontId="17" fillId="3" borderId="15" xfId="0" applyNumberFormat="1" applyFont="1" applyFill="1" applyBorder="1" applyAlignment="1">
      <alignment horizontal="center"/>
    </xf>
    <xf numFmtId="1" fontId="17" fillId="0" borderId="31" xfId="0" applyNumberFormat="1" applyFont="1" applyBorder="1" applyAlignment="1">
      <alignment horizontal="center"/>
    </xf>
    <xf numFmtId="1" fontId="17" fillId="3" borderId="37" xfId="0" applyNumberFormat="1" applyFont="1" applyFill="1" applyBorder="1" applyAlignment="1">
      <alignment horizontal="center"/>
    </xf>
    <xf numFmtId="1" fontId="17" fillId="0" borderId="43" xfId="0" applyNumberFormat="1" applyFont="1" applyBorder="1" applyAlignment="1">
      <alignment horizontal="center"/>
    </xf>
    <xf numFmtId="1" fontId="17" fillId="0" borderId="17" xfId="0" applyNumberFormat="1" applyFont="1" applyBorder="1" applyAlignment="1">
      <alignment horizontal="center"/>
    </xf>
    <xf numFmtId="1" fontId="23" fillId="0" borderId="0" xfId="1" applyNumberFormat="1" applyFont="1" applyFill="1" applyBorder="1" applyAlignment="1" applyProtection="1">
      <alignment horizontal="center" vertical="center"/>
      <protection locked="0"/>
    </xf>
    <xf numFmtId="1" fontId="22" fillId="0" borderId="15" xfId="0" applyNumberFormat="1" applyFont="1" applyBorder="1" applyAlignment="1">
      <alignment horizontal="center"/>
    </xf>
    <xf numFmtId="1" fontId="8" fillId="0" borderId="43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distributed"/>
      <protection locked="0"/>
    </xf>
    <xf numFmtId="0" fontId="27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left"/>
      <protection locked="0"/>
    </xf>
    <xf numFmtId="0" fontId="27" fillId="0" borderId="0" xfId="0" applyFont="1" applyProtection="1">
      <protection locked="0"/>
    </xf>
    <xf numFmtId="0" fontId="28" fillId="0" borderId="0" xfId="0" applyFont="1" applyAlignment="1" applyProtection="1">
      <alignment horizontal="left"/>
      <protection locked="0"/>
    </xf>
    <xf numFmtId="1" fontId="28" fillId="0" borderId="0" xfId="1" applyNumberFormat="1" applyFont="1" applyFill="1" applyBorder="1" applyAlignment="1" applyProtection="1">
      <alignment horizontal="center" vertical="center"/>
      <protection locked="0"/>
    </xf>
    <xf numFmtId="164" fontId="28" fillId="0" borderId="0" xfId="1" applyFont="1" applyFill="1" applyBorder="1" applyAlignment="1" applyProtection="1">
      <alignment horizontal="left" vertical="center"/>
      <protection locked="0"/>
    </xf>
    <xf numFmtId="0" fontId="29" fillId="0" borderId="0" xfId="0" applyFont="1"/>
    <xf numFmtId="164" fontId="28" fillId="0" borderId="0" xfId="1" applyFont="1" applyFill="1" applyBorder="1" applyAlignment="1" applyProtection="1">
      <alignment horizontal="left"/>
      <protection locked="0"/>
    </xf>
    <xf numFmtId="0" fontId="31" fillId="0" borderId="21" xfId="0" applyFont="1" applyBorder="1"/>
    <xf numFmtId="0" fontId="31" fillId="0" borderId="25" xfId="0" applyFont="1" applyBorder="1"/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164" fontId="27" fillId="0" borderId="0" xfId="1" applyFont="1" applyFill="1" applyBorder="1" applyAlignment="1" applyProtection="1">
      <alignment horizontal="left"/>
      <protection locked="0"/>
    </xf>
    <xf numFmtId="1" fontId="27" fillId="0" borderId="0" xfId="1" applyNumberFormat="1" applyFont="1" applyFill="1" applyBorder="1" applyAlignment="1" applyProtection="1">
      <alignment horizontal="center" vertical="center"/>
      <protection locked="0"/>
    </xf>
    <xf numFmtId="164" fontId="27" fillId="0" borderId="0" xfId="1" applyFont="1" applyFill="1" applyBorder="1" applyAlignment="1" applyProtection="1">
      <alignment horizontal="distributed"/>
      <protection locked="0"/>
    </xf>
    <xf numFmtId="0" fontId="32" fillId="0" borderId="8" xfId="0" applyFont="1" applyBorder="1"/>
    <xf numFmtId="0" fontId="30" fillId="0" borderId="21" xfId="0" applyFont="1" applyBorder="1"/>
    <xf numFmtId="1" fontId="17" fillId="0" borderId="45" xfId="0" applyNumberFormat="1" applyFont="1" applyBorder="1" applyAlignment="1">
      <alignment horizontal="center"/>
    </xf>
    <xf numFmtId="1" fontId="17" fillId="0" borderId="38" xfId="0" applyNumberFormat="1" applyFont="1" applyBorder="1" applyAlignment="1">
      <alignment horizontal="center"/>
    </xf>
    <xf numFmtId="1" fontId="15" fillId="0" borderId="23" xfId="0" applyNumberFormat="1" applyFont="1" applyBorder="1" applyAlignment="1">
      <alignment horizontal="center" vertical="center"/>
    </xf>
    <xf numFmtId="1" fontId="17" fillId="0" borderId="44" xfId="0" applyNumberFormat="1" applyFont="1" applyBorder="1" applyAlignment="1">
      <alignment horizontal="center"/>
    </xf>
    <xf numFmtId="0" fontId="9" fillId="7" borderId="8" xfId="0" applyFont="1" applyFill="1" applyBorder="1"/>
    <xf numFmtId="0" fontId="9" fillId="7" borderId="9" xfId="0" applyFont="1" applyFill="1" applyBorder="1"/>
    <xf numFmtId="10" fontId="9" fillId="7" borderId="2" xfId="2" applyNumberFormat="1" applyFont="1" applyFill="1" applyBorder="1"/>
    <xf numFmtId="2" fontId="9" fillId="7" borderId="2" xfId="0" applyNumberFormat="1" applyFont="1" applyFill="1" applyBorder="1"/>
    <xf numFmtId="169" fontId="9" fillId="0" borderId="2" xfId="1" applyNumberFormat="1" applyFont="1" applyBorder="1"/>
    <xf numFmtId="10" fontId="20" fillId="7" borderId="2" xfId="2" applyNumberFormat="1" applyFont="1" applyFill="1" applyBorder="1"/>
    <xf numFmtId="1" fontId="22" fillId="0" borderId="61" xfId="0" applyNumberFormat="1" applyFont="1" applyBorder="1" applyAlignment="1">
      <alignment horizontal="center"/>
    </xf>
    <xf numFmtId="1" fontId="17" fillId="0" borderId="60" xfId="0" applyNumberFormat="1" applyFont="1" applyBorder="1" applyAlignment="1">
      <alignment horizontal="center"/>
    </xf>
    <xf numFmtId="1" fontId="17" fillId="0" borderId="62" xfId="0" applyNumberFormat="1" applyFont="1" applyBorder="1" applyAlignment="1">
      <alignment horizontal="center"/>
    </xf>
    <xf numFmtId="1" fontId="17" fillId="0" borderId="61" xfId="0" applyNumberFormat="1" applyFont="1" applyBorder="1" applyAlignment="1">
      <alignment horizontal="center"/>
    </xf>
    <xf numFmtId="1" fontId="17" fillId="3" borderId="45" xfId="0" applyNumberFormat="1" applyFont="1" applyFill="1" applyBorder="1" applyAlignment="1">
      <alignment horizontal="center"/>
    </xf>
    <xf numFmtId="1" fontId="17" fillId="4" borderId="37" xfId="0" applyNumberFormat="1" applyFont="1" applyFill="1" applyBorder="1" applyAlignment="1">
      <alignment horizontal="center"/>
    </xf>
    <xf numFmtId="1" fontId="17" fillId="4" borderId="43" xfId="0" applyNumberFormat="1" applyFont="1" applyFill="1" applyBorder="1" applyAlignment="1">
      <alignment horizontal="center"/>
    </xf>
    <xf numFmtId="1" fontId="17" fillId="4" borderId="15" xfId="0" applyNumberFormat="1" applyFont="1" applyFill="1" applyBorder="1" applyAlignment="1">
      <alignment horizontal="center"/>
    </xf>
    <xf numFmtId="0" fontId="33" fillId="0" borderId="0" xfId="0" applyFont="1"/>
    <xf numFmtId="1" fontId="17" fillId="4" borderId="38" xfId="0" applyNumberFormat="1" applyFont="1" applyFill="1" applyBorder="1" applyAlignment="1">
      <alignment horizontal="center"/>
    </xf>
    <xf numFmtId="1" fontId="17" fillId="4" borderId="44" xfId="0" applyNumberFormat="1" applyFont="1" applyFill="1" applyBorder="1" applyAlignment="1">
      <alignment horizontal="center"/>
    </xf>
    <xf numFmtId="1" fontId="17" fillId="4" borderId="17" xfId="0" applyNumberFormat="1" applyFont="1" applyFill="1" applyBorder="1" applyAlignment="1">
      <alignment horizontal="center"/>
    </xf>
    <xf numFmtId="164" fontId="9" fillId="0" borderId="0" xfId="0" applyNumberFormat="1" applyFont="1"/>
    <xf numFmtId="1" fontId="17" fillId="0" borderId="36" xfId="0" applyNumberFormat="1" applyFont="1" applyBorder="1" applyAlignment="1">
      <alignment horizontal="center"/>
    </xf>
    <xf numFmtId="1" fontId="17" fillId="0" borderId="42" xfId="0" applyNumberFormat="1" applyFont="1" applyBorder="1" applyAlignment="1">
      <alignment horizontal="center"/>
    </xf>
    <xf numFmtId="1" fontId="17" fillId="0" borderId="24" xfId="0" applyNumberFormat="1" applyFont="1" applyBorder="1" applyAlignment="1">
      <alignment horizontal="center"/>
    </xf>
    <xf numFmtId="1" fontId="17" fillId="3" borderId="42" xfId="0" applyNumberFormat="1" applyFont="1" applyFill="1" applyBorder="1" applyAlignment="1">
      <alignment horizontal="center"/>
    </xf>
    <xf numFmtId="1" fontId="17" fillId="3" borderId="24" xfId="0" applyNumberFormat="1" applyFont="1" applyFill="1" applyBorder="1" applyAlignment="1">
      <alignment horizontal="center"/>
    </xf>
    <xf numFmtId="1" fontId="17" fillId="3" borderId="36" xfId="0" applyNumberFormat="1" applyFont="1" applyFill="1" applyBorder="1" applyAlignment="1">
      <alignment horizontal="center"/>
    </xf>
    <xf numFmtId="1" fontId="17" fillId="3" borderId="43" xfId="0" applyNumberFormat="1" applyFont="1" applyFill="1" applyBorder="1" applyAlignment="1">
      <alignment horizontal="center"/>
    </xf>
    <xf numFmtId="1" fontId="17" fillId="3" borderId="57" xfId="0" applyNumberFormat="1" applyFont="1" applyFill="1" applyBorder="1" applyAlignment="1">
      <alignment horizontal="center"/>
    </xf>
    <xf numFmtId="1" fontId="17" fillId="3" borderId="14" xfId="0" applyNumberFormat="1" applyFont="1" applyFill="1" applyBorder="1" applyAlignment="1">
      <alignment horizontal="center"/>
    </xf>
    <xf numFmtId="1" fontId="17" fillId="3" borderId="4" xfId="0" applyNumberFormat="1" applyFont="1" applyFill="1" applyBorder="1" applyAlignment="1">
      <alignment horizontal="center"/>
    </xf>
    <xf numFmtId="1" fontId="17" fillId="3" borderId="33" xfId="0" applyNumberFormat="1" applyFont="1" applyFill="1" applyBorder="1" applyAlignment="1">
      <alignment horizontal="center"/>
    </xf>
    <xf numFmtId="0" fontId="16" fillId="0" borderId="12" xfId="0" applyFont="1" applyBorder="1"/>
    <xf numFmtId="0" fontId="16" fillId="0" borderId="13" xfId="0" applyFont="1" applyBorder="1"/>
    <xf numFmtId="166" fontId="16" fillId="0" borderId="5" xfId="2" applyNumberFormat="1" applyFont="1" applyBorder="1"/>
    <xf numFmtId="1" fontId="8" fillId="0" borderId="45" xfId="0" applyNumberFormat="1" applyFont="1" applyBorder="1" applyAlignment="1">
      <alignment horizontal="center"/>
    </xf>
    <xf numFmtId="10" fontId="16" fillId="0" borderId="2" xfId="0" applyNumberFormat="1" applyFont="1" applyBorder="1"/>
    <xf numFmtId="169" fontId="17" fillId="0" borderId="15" xfId="0" applyNumberFormat="1" applyFont="1" applyBorder="1" applyAlignment="1">
      <alignment horizontal="center" vertical="center"/>
    </xf>
    <xf numFmtId="169" fontId="17" fillId="0" borderId="15" xfId="0" applyNumberFormat="1" applyFont="1" applyBorder="1"/>
    <xf numFmtId="1" fontId="8" fillId="0" borderId="43" xfId="0" applyNumberFormat="1" applyFont="1" applyBorder="1" applyAlignment="1">
      <alignment vertical="center"/>
    </xf>
    <xf numFmtId="1" fontId="8" fillId="0" borderId="15" xfId="0" applyNumberFormat="1" applyFont="1" applyBorder="1" applyAlignment="1">
      <alignment vertical="center"/>
    </xf>
    <xf numFmtId="1" fontId="8" fillId="0" borderId="37" xfId="0" applyNumberFormat="1" applyFont="1" applyBorder="1" applyAlignment="1">
      <alignment vertical="center"/>
    </xf>
    <xf numFmtId="2" fontId="17" fillId="0" borderId="14" xfId="0" applyNumberFormat="1" applyFont="1" applyBorder="1" applyAlignment="1">
      <alignment horizontal="center"/>
    </xf>
    <xf numFmtId="9" fontId="9" fillId="0" borderId="2" xfId="2" applyFont="1" applyFill="1" applyBorder="1"/>
    <xf numFmtId="1" fontId="15" fillId="0" borderId="22" xfId="0" applyNumberFormat="1" applyFont="1" applyBorder="1" applyAlignment="1">
      <alignment horizontal="right" vertical="center"/>
    </xf>
    <xf numFmtId="1" fontId="15" fillId="0" borderId="23" xfId="0" applyNumberFormat="1" applyFont="1" applyBorder="1" applyAlignment="1">
      <alignment horizontal="right" vertical="center"/>
    </xf>
    <xf numFmtId="1" fontId="17" fillId="0" borderId="64" xfId="0" applyNumberFormat="1" applyFont="1" applyBorder="1" applyAlignment="1">
      <alignment horizontal="center"/>
    </xf>
    <xf numFmtId="9" fontId="9" fillId="0" borderId="66" xfId="2" applyFont="1" applyBorder="1"/>
    <xf numFmtId="0" fontId="17" fillId="2" borderId="65" xfId="0" applyFont="1" applyFill="1" applyBorder="1" applyAlignment="1">
      <alignment horizontal="center"/>
    </xf>
    <xf numFmtId="9" fontId="38" fillId="0" borderId="2" xfId="2" applyFont="1" applyBorder="1"/>
    <xf numFmtId="1" fontId="8" fillId="4" borderId="15" xfId="0" applyNumberFormat="1" applyFont="1" applyFill="1" applyBorder="1" applyAlignment="1">
      <alignment horizontal="center"/>
    </xf>
    <xf numFmtId="2" fontId="32" fillId="0" borderId="2" xfId="0" applyNumberFormat="1" applyFont="1" applyBorder="1"/>
    <xf numFmtId="2" fontId="32" fillId="0" borderId="2" xfId="1" applyNumberFormat="1" applyFont="1" applyBorder="1"/>
    <xf numFmtId="2" fontId="39" fillId="0" borderId="2" xfId="1" applyNumberFormat="1" applyFont="1" applyBorder="1"/>
    <xf numFmtId="2" fontId="39" fillId="0" borderId="2" xfId="0" applyNumberFormat="1" applyFont="1" applyBorder="1"/>
    <xf numFmtId="0" fontId="12" fillId="0" borderId="49" xfId="0" applyFont="1" applyBorder="1"/>
    <xf numFmtId="1" fontId="8" fillId="0" borderId="36" xfId="0" applyNumberFormat="1" applyFont="1" applyBorder="1" applyAlignment="1">
      <alignment horizontal="center"/>
    </xf>
    <xf numFmtId="1" fontId="8" fillId="0" borderId="42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8" borderId="37" xfId="0" applyNumberFormat="1" applyFont="1" applyFill="1" applyBorder="1" applyAlignment="1">
      <alignment horizontal="center"/>
    </xf>
    <xf numFmtId="1" fontId="8" fillId="8" borderId="43" xfId="0" applyNumberFormat="1" applyFont="1" applyFill="1" applyBorder="1" applyAlignment="1">
      <alignment horizontal="center"/>
    </xf>
    <xf numFmtId="1" fontId="8" fillId="8" borderId="15" xfId="0" applyNumberFormat="1" applyFont="1" applyFill="1" applyBorder="1" applyAlignment="1">
      <alignment horizontal="center"/>
    </xf>
    <xf numFmtId="0" fontId="8" fillId="8" borderId="0" xfId="0" applyFont="1" applyFill="1"/>
    <xf numFmtId="1" fontId="8" fillId="6" borderId="37" xfId="0" applyNumberFormat="1" applyFont="1" applyFill="1" applyBorder="1" applyAlignment="1">
      <alignment horizontal="center"/>
    </xf>
    <xf numFmtId="1" fontId="8" fillId="6" borderId="43" xfId="0" applyNumberFormat="1" applyFont="1" applyFill="1" applyBorder="1" applyAlignment="1">
      <alignment horizontal="center"/>
    </xf>
    <xf numFmtId="1" fontId="8" fillId="6" borderId="15" xfId="0" applyNumberFormat="1" applyFont="1" applyFill="1" applyBorder="1" applyAlignment="1">
      <alignment horizontal="center"/>
    </xf>
    <xf numFmtId="1" fontId="8" fillId="4" borderId="37" xfId="0" applyNumberFormat="1" applyFont="1" applyFill="1" applyBorder="1" applyAlignment="1">
      <alignment horizontal="center"/>
    </xf>
    <xf numFmtId="1" fontId="8" fillId="4" borderId="60" xfId="0" applyNumberFormat="1" applyFont="1" applyFill="1" applyBorder="1" applyAlignment="1">
      <alignment horizontal="center"/>
    </xf>
    <xf numFmtId="1" fontId="8" fillId="4" borderId="62" xfId="0" applyNumberFormat="1" applyFont="1" applyFill="1" applyBorder="1" applyAlignment="1">
      <alignment horizontal="center"/>
    </xf>
    <xf numFmtId="1" fontId="8" fillId="4" borderId="61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4" fontId="28" fillId="0" borderId="0" xfId="1" applyFont="1" applyFill="1" applyBorder="1" applyAlignment="1" applyProtection="1">
      <alignment vertical="center"/>
      <protection locked="0"/>
    </xf>
    <xf numFmtId="0" fontId="28" fillId="0" borderId="0" xfId="0" applyFont="1" applyProtection="1">
      <protection locked="0"/>
    </xf>
    <xf numFmtId="0" fontId="30" fillId="0" borderId="26" xfId="0" applyFont="1" applyBorder="1"/>
    <xf numFmtId="0" fontId="17" fillId="0" borderId="4" xfId="0" applyFont="1" applyBorder="1"/>
    <xf numFmtId="0" fontId="17" fillId="0" borderId="33" xfId="0" applyFont="1" applyBorder="1"/>
    <xf numFmtId="0" fontId="22" fillId="0" borderId="33" xfId="0" applyFont="1" applyBorder="1"/>
    <xf numFmtId="0" fontId="17" fillId="0" borderId="34" xfId="0" applyFont="1" applyBorder="1"/>
    <xf numFmtId="0" fontId="22" fillId="0" borderId="26" xfId="0" applyFont="1" applyBorder="1"/>
    <xf numFmtId="0" fontId="17" fillId="0" borderId="59" xfId="0" applyFont="1" applyBorder="1"/>
    <xf numFmtId="0" fontId="17" fillId="0" borderId="30" xfId="0" applyFont="1" applyBorder="1"/>
    <xf numFmtId="0" fontId="17" fillId="0" borderId="52" xfId="0" applyFont="1" applyBorder="1"/>
    <xf numFmtId="164" fontId="35" fillId="2" borderId="0" xfId="1" applyFont="1" applyFill="1" applyBorder="1" applyAlignment="1" applyProtection="1">
      <protection locked="0"/>
    </xf>
    <xf numFmtId="0" fontId="8" fillId="0" borderId="33" xfId="0" applyFont="1" applyBorder="1"/>
    <xf numFmtId="164" fontId="18" fillId="0" borderId="0" xfId="1" applyFont="1" applyFill="1" applyBorder="1" applyAlignment="1" applyProtection="1">
      <alignment vertical="center"/>
      <protection locked="0"/>
    </xf>
    <xf numFmtId="0" fontId="15" fillId="0" borderId="28" xfId="0" applyFont="1" applyBorder="1" applyAlignment="1">
      <alignment vertical="center"/>
    </xf>
    <xf numFmtId="0" fontId="17" fillId="0" borderId="29" xfId="0" applyFont="1" applyBorder="1"/>
    <xf numFmtId="0" fontId="0" fillId="0" borderId="33" xfId="0" applyBorder="1"/>
    <xf numFmtId="0" fontId="0" fillId="0" borderId="34" xfId="0" applyBorder="1"/>
    <xf numFmtId="0" fontId="7" fillId="0" borderId="28" xfId="0" applyFont="1" applyBorder="1"/>
    <xf numFmtId="0" fontId="8" fillId="0" borderId="32" xfId="0" applyFont="1" applyBorder="1"/>
    <xf numFmtId="0" fontId="8" fillId="8" borderId="33" xfId="0" applyFont="1" applyFill="1" applyBorder="1"/>
    <xf numFmtId="0" fontId="8" fillId="0" borderId="59" xfId="0" applyFont="1" applyBorder="1"/>
    <xf numFmtId="0" fontId="8" fillId="0" borderId="30" xfId="0" applyFont="1" applyBorder="1"/>
    <xf numFmtId="0" fontId="17" fillId="0" borderId="32" xfId="0" applyFont="1" applyBorder="1"/>
    <xf numFmtId="0" fontId="7" fillId="0" borderId="33" xfId="0" applyFont="1" applyBorder="1"/>
    <xf numFmtId="0" fontId="15" fillId="0" borderId="20" xfId="0" applyFont="1" applyBorder="1" applyAlignment="1">
      <alignment vertical="center"/>
    </xf>
    <xf numFmtId="0" fontId="17" fillId="0" borderId="63" xfId="0" applyFont="1" applyBorder="1"/>
    <xf numFmtId="0" fontId="0" fillId="0" borderId="30" xfId="0" applyBorder="1"/>
    <xf numFmtId="0" fontId="7" fillId="0" borderId="30" xfId="0" applyFont="1" applyBorder="1"/>
    <xf numFmtId="0" fontId="17" fillId="0" borderId="27" xfId="0" applyFont="1" applyBorder="1"/>
    <xf numFmtId="0" fontId="7" fillId="0" borderId="20" xfId="0" applyFont="1" applyBorder="1"/>
    <xf numFmtId="0" fontId="15" fillId="0" borderId="26" xfId="0" applyFont="1" applyBorder="1" applyAlignment="1">
      <alignment vertical="center"/>
    </xf>
    <xf numFmtId="0" fontId="7" fillId="0" borderId="16" xfId="0" applyFont="1" applyBorder="1"/>
    <xf numFmtId="0" fontId="17" fillId="0" borderId="53" xfId="0" applyFont="1" applyBorder="1"/>
    <xf numFmtId="0" fontId="0" fillId="0" borderId="27" xfId="0" applyBorder="1"/>
    <xf numFmtId="1" fontId="8" fillId="0" borderId="33" xfId="0" applyNumberFormat="1" applyFont="1" applyBorder="1" applyAlignment="1">
      <alignment horizontal="center"/>
    </xf>
    <xf numFmtId="169" fontId="9" fillId="0" borderId="2" xfId="0" applyNumberFormat="1" applyFont="1" applyBorder="1"/>
    <xf numFmtId="169" fontId="10" fillId="0" borderId="2" xfId="1" applyNumberFormat="1" applyFont="1" applyBorder="1"/>
    <xf numFmtId="169" fontId="10" fillId="0" borderId="2" xfId="0" applyNumberFormat="1" applyFont="1" applyBorder="1"/>
    <xf numFmtId="169" fontId="39" fillId="0" borderId="2" xfId="1" applyNumberFormat="1" applyFont="1" applyBorder="1"/>
    <xf numFmtId="2" fontId="8" fillId="0" borderId="37" xfId="0" applyNumberFormat="1" applyFont="1" applyBorder="1" applyAlignment="1">
      <alignment horizontal="center"/>
    </xf>
    <xf numFmtId="14" fontId="7" fillId="0" borderId="0" xfId="0" applyNumberFormat="1" applyFont="1"/>
    <xf numFmtId="164" fontId="9" fillId="0" borderId="2" xfId="1" applyFont="1" applyBorder="1" applyAlignment="1">
      <alignment horizontal="center"/>
    </xf>
    <xf numFmtId="164" fontId="17" fillId="0" borderId="0" xfId="1" applyFont="1"/>
    <xf numFmtId="164" fontId="17" fillId="0" borderId="0" xfId="0" applyNumberFormat="1" applyFont="1"/>
    <xf numFmtId="2" fontId="8" fillId="0" borderId="14" xfId="0" applyNumberFormat="1" applyFont="1" applyBorder="1" applyAlignment="1">
      <alignment horizontal="center"/>
    </xf>
    <xf numFmtId="0" fontId="8" fillId="0" borderId="4" xfId="0" applyFont="1" applyBorder="1"/>
    <xf numFmtId="1" fontId="8" fillId="0" borderId="14" xfId="0" applyNumberFormat="1" applyFont="1" applyBorder="1" applyAlignment="1">
      <alignment horizontal="center"/>
    </xf>
    <xf numFmtId="1" fontId="8" fillId="8" borderId="45" xfId="0" applyNumberFormat="1" applyFont="1" applyFill="1" applyBorder="1" applyAlignment="1">
      <alignment horizontal="center"/>
    </xf>
    <xf numFmtId="0" fontId="8" fillId="0" borderId="29" xfId="0" applyFont="1" applyBorder="1"/>
    <xf numFmtId="0" fontId="8" fillId="8" borderId="30" xfId="0" applyFont="1" applyFill="1" applyBorder="1"/>
    <xf numFmtId="9" fontId="8" fillId="0" borderId="0" xfId="2" applyFont="1"/>
    <xf numFmtId="164" fontId="30" fillId="0" borderId="56" xfId="1" applyFont="1" applyBorder="1" applyAlignment="1">
      <alignment horizontal="center"/>
    </xf>
    <xf numFmtId="164" fontId="30" fillId="0" borderId="58" xfId="1" applyFont="1" applyBorder="1" applyAlignment="1">
      <alignment horizontal="center"/>
    </xf>
    <xf numFmtId="0" fontId="30" fillId="0" borderId="48" xfId="0" applyFont="1" applyBorder="1"/>
    <xf numFmtId="0" fontId="31" fillId="0" borderId="48" xfId="0" applyFont="1" applyBorder="1" applyAlignment="1">
      <alignment horizontal="center" vertical="center"/>
    </xf>
    <xf numFmtId="0" fontId="31" fillId="0" borderId="68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/>
    </xf>
    <xf numFmtId="2" fontId="17" fillId="0" borderId="15" xfId="0" applyNumberFormat="1" applyFont="1" applyBorder="1" applyAlignment="1">
      <alignment horizontal="center"/>
    </xf>
    <xf numFmtId="1" fontId="8" fillId="8" borderId="14" xfId="0" applyNumberFormat="1" applyFont="1" applyFill="1" applyBorder="1" applyAlignment="1">
      <alignment horizontal="center"/>
    </xf>
    <xf numFmtId="1" fontId="22" fillId="0" borderId="14" xfId="0" applyNumberFormat="1" applyFont="1" applyBorder="1" applyAlignment="1">
      <alignment horizontal="center"/>
    </xf>
    <xf numFmtId="1" fontId="17" fillId="0" borderId="69" xfId="0" applyNumberFormat="1" applyFont="1" applyBorder="1" applyAlignment="1">
      <alignment horizontal="center"/>
    </xf>
    <xf numFmtId="2" fontId="17" fillId="0" borderId="69" xfId="0" applyNumberFormat="1" applyFont="1" applyBorder="1" applyAlignment="1">
      <alignment horizontal="center"/>
    </xf>
    <xf numFmtId="2" fontId="8" fillId="0" borderId="69" xfId="0" applyNumberFormat="1" applyFont="1" applyBorder="1" applyAlignment="1">
      <alignment horizontal="center"/>
    </xf>
    <xf numFmtId="1" fontId="0" fillId="0" borderId="69" xfId="0" applyNumberFormat="1" applyBorder="1" applyAlignment="1">
      <alignment horizontal="center"/>
    </xf>
    <xf numFmtId="1" fontId="8" fillId="0" borderId="69" xfId="0" applyNumberFormat="1" applyFon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2" fontId="17" fillId="3" borderId="14" xfId="0" applyNumberFormat="1" applyFont="1" applyFill="1" applyBorder="1" applyAlignment="1">
      <alignment horizontal="center"/>
    </xf>
    <xf numFmtId="2" fontId="8" fillId="3" borderId="14" xfId="0" applyNumberFormat="1" applyFont="1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" fontId="8" fillId="3" borderId="14" xfId="0" applyNumberFormat="1" applyFont="1" applyFill="1" applyBorder="1" applyAlignment="1">
      <alignment horizontal="center"/>
    </xf>
    <xf numFmtId="2" fontId="8" fillId="0" borderId="15" xfId="0" applyNumberFormat="1" applyFont="1" applyBorder="1" applyAlignment="1">
      <alignment horizontal="center"/>
    </xf>
    <xf numFmtId="1" fontId="17" fillId="0" borderId="40" xfId="0" applyNumberFormat="1" applyFont="1" applyBorder="1" applyAlignment="1">
      <alignment horizontal="center"/>
    </xf>
    <xf numFmtId="1" fontId="0" fillId="0" borderId="56" xfId="0" applyNumberFormat="1" applyBorder="1" applyAlignment="1">
      <alignment horizontal="center"/>
    </xf>
    <xf numFmtId="1" fontId="15" fillId="0" borderId="70" xfId="0" applyNumberFormat="1" applyFont="1" applyBorder="1" applyAlignment="1">
      <alignment horizontal="center" vertical="center"/>
    </xf>
    <xf numFmtId="164" fontId="8" fillId="0" borderId="15" xfId="0" applyNumberFormat="1" applyFont="1" applyBorder="1" applyAlignment="1">
      <alignment horizontal="center"/>
    </xf>
    <xf numFmtId="166" fontId="9" fillId="0" borderId="2" xfId="2" applyNumberFormat="1" applyFont="1" applyFill="1" applyBorder="1"/>
    <xf numFmtId="2" fontId="9" fillId="7" borderId="2" xfId="2" applyNumberFormat="1" applyFont="1" applyFill="1" applyBorder="1"/>
    <xf numFmtId="0" fontId="9" fillId="9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164" fontId="9" fillId="13" borderId="1" xfId="1" applyFont="1" applyFill="1" applyBorder="1" applyAlignment="1">
      <alignment horizontal="center"/>
    </xf>
    <xf numFmtId="170" fontId="41" fillId="0" borderId="0" xfId="0" applyNumberFormat="1" applyFont="1" applyAlignment="1">
      <alignment horizontal="center"/>
    </xf>
    <xf numFmtId="0" fontId="13" fillId="12" borderId="8" xfId="0" applyFont="1" applyFill="1" applyBorder="1"/>
    <xf numFmtId="0" fontId="13" fillId="12" borderId="9" xfId="0" applyFont="1" applyFill="1" applyBorder="1"/>
    <xf numFmtId="2" fontId="13" fillId="12" borderId="2" xfId="0" applyNumberFormat="1" applyFont="1" applyFill="1" applyBorder="1"/>
    <xf numFmtId="0" fontId="42" fillId="13" borderId="8" xfId="0" applyFont="1" applyFill="1" applyBorder="1"/>
    <xf numFmtId="0" fontId="42" fillId="13" borderId="9" xfId="0" applyFont="1" applyFill="1" applyBorder="1"/>
    <xf numFmtId="0" fontId="43" fillId="12" borderId="8" xfId="0" applyFont="1" applyFill="1" applyBorder="1"/>
    <xf numFmtId="0" fontId="43" fillId="12" borderId="9" xfId="0" applyFont="1" applyFill="1" applyBorder="1"/>
    <xf numFmtId="2" fontId="43" fillId="12" borderId="2" xfId="0" applyNumberFormat="1" applyFont="1" applyFill="1" applyBorder="1"/>
    <xf numFmtId="0" fontId="41" fillId="0" borderId="0" xfId="0" applyFont="1"/>
    <xf numFmtId="0" fontId="41" fillId="9" borderId="8" xfId="0" applyFont="1" applyFill="1" applyBorder="1"/>
    <xf numFmtId="0" fontId="41" fillId="9" borderId="9" xfId="0" applyFont="1" applyFill="1" applyBorder="1"/>
    <xf numFmtId="10" fontId="41" fillId="9" borderId="2" xfId="2" applyNumberFormat="1" applyFont="1" applyFill="1" applyBorder="1"/>
    <xf numFmtId="10" fontId="42" fillId="9" borderId="2" xfId="2" applyNumberFormat="1" applyFont="1" applyFill="1" applyBorder="1"/>
    <xf numFmtId="0" fontId="41" fillId="2" borderId="1" xfId="0" applyFont="1" applyFill="1" applyBorder="1" applyAlignment="1">
      <alignment horizontal="center"/>
    </xf>
    <xf numFmtId="0" fontId="41" fillId="2" borderId="10" xfId="0" applyFont="1" applyFill="1" applyBorder="1" applyAlignment="1">
      <alignment horizontal="center"/>
    </xf>
    <xf numFmtId="0" fontId="41" fillId="13" borderId="8" xfId="0" applyFont="1" applyFill="1" applyBorder="1"/>
    <xf numFmtId="0" fontId="41" fillId="13" borderId="9" xfId="0" applyFont="1" applyFill="1" applyBorder="1"/>
    <xf numFmtId="166" fontId="41" fillId="9" borderId="2" xfId="2" applyNumberFormat="1" applyFont="1" applyFill="1" applyBorder="1"/>
    <xf numFmtId="0" fontId="41" fillId="12" borderId="8" xfId="0" applyFont="1" applyFill="1" applyBorder="1"/>
    <xf numFmtId="0" fontId="41" fillId="12" borderId="9" xfId="0" applyFont="1" applyFill="1" applyBorder="1"/>
    <xf numFmtId="2" fontId="41" fillId="12" borderId="2" xfId="0" applyNumberFormat="1" applyFont="1" applyFill="1" applyBorder="1"/>
    <xf numFmtId="0" fontId="9" fillId="14" borderId="9" xfId="0" applyFont="1" applyFill="1" applyBorder="1"/>
    <xf numFmtId="0" fontId="41" fillId="15" borderId="8" xfId="0" applyFont="1" applyFill="1" applyBorder="1"/>
    <xf numFmtId="0" fontId="41" fillId="15" borderId="9" xfId="0" applyFont="1" applyFill="1" applyBorder="1"/>
    <xf numFmtId="164" fontId="41" fillId="15" borderId="2" xfId="1" applyFont="1" applyFill="1" applyBorder="1"/>
    <xf numFmtId="2" fontId="41" fillId="15" borderId="2" xfId="0" applyNumberFormat="1" applyFont="1" applyFill="1" applyBorder="1"/>
    <xf numFmtId="0" fontId="41" fillId="14" borderId="8" xfId="0" applyFont="1" applyFill="1" applyBorder="1"/>
    <xf numFmtId="0" fontId="41" fillId="14" borderId="9" xfId="0" applyFont="1" applyFill="1" applyBorder="1"/>
    <xf numFmtId="0" fontId="42" fillId="14" borderId="8" xfId="0" applyFont="1" applyFill="1" applyBorder="1"/>
    <xf numFmtId="0" fontId="42" fillId="14" borderId="9" xfId="0" applyFont="1" applyFill="1" applyBorder="1"/>
    <xf numFmtId="166" fontId="20" fillId="0" borderId="2" xfId="2" applyNumberFormat="1" applyFont="1" applyBorder="1"/>
    <xf numFmtId="0" fontId="41" fillId="2" borderId="10" xfId="0" applyFont="1" applyFill="1" applyBorder="1" applyAlignment="1">
      <alignment horizontal="left"/>
    </xf>
    <xf numFmtId="9" fontId="41" fillId="9" borderId="2" xfId="2" applyFont="1" applyFill="1" applyBorder="1"/>
    <xf numFmtId="10" fontId="44" fillId="9" borderId="2" xfId="2" applyNumberFormat="1" applyFont="1" applyFill="1" applyBorder="1"/>
    <xf numFmtId="9" fontId="42" fillId="9" borderId="2" xfId="2" applyFont="1" applyFill="1" applyBorder="1"/>
    <xf numFmtId="9" fontId="44" fillId="9" borderId="2" xfId="2" applyFont="1" applyFill="1" applyBorder="1"/>
    <xf numFmtId="0" fontId="9" fillId="2" borderId="10" xfId="0" applyFont="1" applyFill="1" applyBorder="1"/>
    <xf numFmtId="10" fontId="12" fillId="0" borderId="2" xfId="2" applyNumberFormat="1" applyFont="1" applyBorder="1"/>
    <xf numFmtId="10" fontId="12" fillId="0" borderId="49" xfId="2" applyNumberFormat="1" applyFont="1" applyBorder="1"/>
    <xf numFmtId="2" fontId="11" fillId="0" borderId="2" xfId="2" applyNumberFormat="1" applyFont="1" applyBorder="1"/>
    <xf numFmtId="10" fontId="38" fillId="0" borderId="2" xfId="2" applyNumberFormat="1" applyFont="1" applyBorder="1"/>
    <xf numFmtId="10" fontId="11" fillId="0" borderId="2" xfId="0" applyNumberFormat="1" applyFont="1" applyBorder="1"/>
    <xf numFmtId="0" fontId="9" fillId="2" borderId="1" xfId="0" applyFont="1" applyFill="1" applyBorder="1" applyAlignment="1">
      <alignment horizontal="left"/>
    </xf>
    <xf numFmtId="164" fontId="45" fillId="0" borderId="2" xfId="1" applyFont="1" applyBorder="1"/>
    <xf numFmtId="164" fontId="45" fillId="0" borderId="2" xfId="0" applyNumberFormat="1" applyFont="1" applyBorder="1"/>
    <xf numFmtId="10" fontId="45" fillId="0" borderId="2" xfId="2" applyNumberFormat="1" applyFont="1" applyBorder="1"/>
    <xf numFmtId="166" fontId="45" fillId="0" borderId="2" xfId="2" applyNumberFormat="1" applyFont="1" applyBorder="1"/>
    <xf numFmtId="1" fontId="17" fillId="0" borderId="15" xfId="0" applyNumberFormat="1" applyFont="1" applyBorder="1" applyAlignment="1">
      <alignment horizontal="center" vertical="center"/>
    </xf>
    <xf numFmtId="2" fontId="44" fillId="13" borderId="2" xfId="0" applyNumberFormat="1" applyFont="1" applyFill="1" applyBorder="1"/>
    <xf numFmtId="164" fontId="44" fillId="14" borderId="2" xfId="1" applyFont="1" applyFill="1" applyBorder="1"/>
    <xf numFmtId="2" fontId="44" fillId="14" borderId="2" xfId="0" applyNumberFormat="1" applyFont="1" applyFill="1" applyBorder="1"/>
    <xf numFmtId="9" fontId="9" fillId="16" borderId="2" xfId="2" applyFont="1" applyFill="1" applyBorder="1"/>
    <xf numFmtId="166" fontId="9" fillId="16" borderId="2" xfId="2" applyNumberFormat="1" applyFont="1" applyFill="1" applyBorder="1"/>
    <xf numFmtId="10" fontId="9" fillId="16" borderId="2" xfId="2" applyNumberFormat="1" applyFont="1" applyFill="1" applyBorder="1"/>
    <xf numFmtId="10" fontId="20" fillId="16" borderId="2" xfId="2" applyNumberFormat="1" applyFont="1" applyFill="1" applyBorder="1"/>
    <xf numFmtId="10" fontId="11" fillId="16" borderId="2" xfId="2" applyNumberFormat="1" applyFont="1" applyFill="1" applyBorder="1"/>
    <xf numFmtId="164" fontId="9" fillId="17" borderId="2" xfId="1" applyFont="1" applyFill="1" applyBorder="1"/>
    <xf numFmtId="2" fontId="9" fillId="17" borderId="2" xfId="0" applyNumberFormat="1" applyFont="1" applyFill="1" applyBorder="1"/>
    <xf numFmtId="171" fontId="9" fillId="0" borderId="0" xfId="1" applyNumberFormat="1" applyFont="1"/>
    <xf numFmtId="169" fontId="9" fillId="0" borderId="0" xfId="1" applyNumberFormat="1" applyFont="1"/>
    <xf numFmtId="169" fontId="10" fillId="0" borderId="0" xfId="1" applyNumberFormat="1" applyFont="1"/>
    <xf numFmtId="169" fontId="11" fillId="0" borderId="0" xfId="1" applyNumberFormat="1" applyFont="1"/>
    <xf numFmtId="169" fontId="12" fillId="0" borderId="0" xfId="1" applyNumberFormat="1" applyFont="1"/>
    <xf numFmtId="169" fontId="9" fillId="0" borderId="3" xfId="1" applyNumberFormat="1" applyFont="1" applyBorder="1" applyAlignment="1">
      <alignment horizontal="center"/>
    </xf>
    <xf numFmtId="169" fontId="9" fillId="0" borderId="3" xfId="1" applyNumberFormat="1" applyFont="1" applyBorder="1"/>
    <xf numFmtId="169" fontId="9" fillId="18" borderId="0" xfId="1" applyNumberFormat="1" applyFont="1" applyFill="1"/>
    <xf numFmtId="0" fontId="9" fillId="12" borderId="1" xfId="0" applyFont="1" applyFill="1" applyBorder="1" applyAlignment="1">
      <alignment horizontal="center"/>
    </xf>
    <xf numFmtId="164" fontId="9" fillId="13" borderId="2" xfId="1" applyFont="1" applyFill="1" applyBorder="1"/>
    <xf numFmtId="0" fontId="17" fillId="2" borderId="65" xfId="0" applyFont="1" applyFill="1" applyBorder="1" applyAlignment="1">
      <alignment horizontal="left"/>
    </xf>
    <xf numFmtId="164" fontId="39" fillId="0" borderId="2" xfId="1" applyFont="1" applyBorder="1"/>
    <xf numFmtId="0" fontId="41" fillId="0" borderId="1" xfId="0" applyFont="1" applyBorder="1" applyAlignment="1">
      <alignment horizontal="center"/>
    </xf>
    <xf numFmtId="0" fontId="46" fillId="0" borderId="0" xfId="0" applyFont="1" applyAlignment="1" applyProtection="1">
      <alignment horizontal="center"/>
      <protection locked="0"/>
    </xf>
    <xf numFmtId="0" fontId="4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2" xfId="1" applyNumberFormat="1" applyFont="1" applyFill="1" applyBorder="1"/>
    <xf numFmtId="169" fontId="9" fillId="0" borderId="0" xfId="1" applyNumberFormat="1" applyFont="1" applyFill="1"/>
    <xf numFmtId="2" fontId="10" fillId="0" borderId="2" xfId="0" applyNumberFormat="1" applyFont="1" applyBorder="1"/>
    <xf numFmtId="2" fontId="10" fillId="0" borderId="2" xfId="1" applyNumberFormat="1" applyFont="1" applyBorder="1"/>
    <xf numFmtId="2" fontId="9" fillId="0" borderId="2" xfId="1" applyNumberFormat="1" applyFont="1" applyFill="1" applyBorder="1"/>
    <xf numFmtId="0" fontId="47" fillId="0" borderId="8" xfId="0" applyFont="1" applyBorder="1"/>
    <xf numFmtId="0" fontId="47" fillId="0" borderId="9" xfId="0" applyFont="1" applyBorder="1"/>
    <xf numFmtId="2" fontId="47" fillId="0" borderId="2" xfId="1" applyNumberFormat="1" applyFont="1" applyFill="1" applyBorder="1"/>
    <xf numFmtId="2" fontId="47" fillId="0" borderId="2" xfId="0" applyNumberFormat="1" applyFont="1" applyBorder="1"/>
    <xf numFmtId="0" fontId="48" fillId="0" borderId="8" xfId="0" applyFont="1" applyBorder="1"/>
    <xf numFmtId="0" fontId="48" fillId="0" borderId="9" xfId="0" applyFont="1" applyBorder="1"/>
    <xf numFmtId="2" fontId="48" fillId="0" borderId="2" xfId="1" applyNumberFormat="1" applyFont="1" applyBorder="1"/>
    <xf numFmtId="2" fontId="48" fillId="0" borderId="2" xfId="0" applyNumberFormat="1" applyFont="1" applyBorder="1"/>
    <xf numFmtId="0" fontId="49" fillId="0" borderId="0" xfId="0" applyFont="1"/>
    <xf numFmtId="169" fontId="9" fillId="0" borderId="67" xfId="1" applyNumberFormat="1" applyFont="1" applyBorder="1" applyAlignment="1">
      <alignment horizontal="center"/>
    </xf>
    <xf numFmtId="169" fontId="9" fillId="0" borderId="48" xfId="1" applyNumberFormat="1" applyFont="1" applyBorder="1" applyAlignment="1">
      <alignment horizontal="center"/>
    </xf>
    <xf numFmtId="169" fontId="9" fillId="0" borderId="54" xfId="1" applyNumberFormat="1" applyFont="1" applyBorder="1" applyAlignment="1">
      <alignment horizontal="center"/>
    </xf>
    <xf numFmtId="0" fontId="22" fillId="0" borderId="47" xfId="0" applyFont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30" fillId="0" borderId="47" xfId="0" applyFont="1" applyBorder="1" applyAlignment="1">
      <alignment vertical="center"/>
    </xf>
    <xf numFmtId="0" fontId="30" fillId="0" borderId="41" xfId="0" applyFont="1" applyBorder="1" applyAlignment="1">
      <alignment vertical="center"/>
    </xf>
    <xf numFmtId="0" fontId="8" fillId="0" borderId="0" xfId="0" applyFont="1" applyAlignment="1">
      <alignment horizontal="center"/>
    </xf>
    <xf numFmtId="0" fontId="15" fillId="0" borderId="51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7" fillId="0" borderId="47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15" fillId="0" borderId="47" xfId="0" applyFont="1" applyBorder="1" applyAlignment="1">
      <alignment vertical="center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204887</xdr:colOff>
      <xdr:row>3</xdr:row>
      <xdr:rowOff>0</xdr:rowOff>
    </xdr:from>
    <xdr:to>
      <xdr:col>33</xdr:col>
      <xdr:colOff>524492</xdr:colOff>
      <xdr:row>14</xdr:row>
      <xdr:rowOff>229643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504360-5AB0-CFB8-75CD-63331C847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60558" y="814192"/>
          <a:ext cx="5851933" cy="3215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2222811</xdr:colOff>
      <xdr:row>114</xdr:row>
      <xdr:rowOff>58316</xdr:rowOff>
    </xdr:from>
    <xdr:to>
      <xdr:col>0</xdr:col>
      <xdr:colOff>2504673</xdr:colOff>
      <xdr:row>114</xdr:row>
      <xdr:rowOff>320740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429DFA7F-EE28-58CF-009B-E3EDD980213C}"/>
            </a:ext>
          </a:extLst>
        </xdr:cNvPr>
        <xdr:cNvSpPr/>
      </xdr:nvSpPr>
      <xdr:spPr>
        <a:xfrm>
          <a:off x="2222811" y="24353590"/>
          <a:ext cx="281862" cy="262424"/>
        </a:xfrm>
        <a:prstGeom prst="star5">
          <a:avLst>
            <a:gd name="adj" fmla="val 9048"/>
            <a:gd name="hf" fmla="val 105146"/>
            <a:gd name="vf" fmla="val 1105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2518253</xdr:colOff>
      <xdr:row>114</xdr:row>
      <xdr:rowOff>91336</xdr:rowOff>
    </xdr:from>
    <xdr:to>
      <xdr:col>0</xdr:col>
      <xdr:colOff>2896644</xdr:colOff>
      <xdr:row>114</xdr:row>
      <xdr:rowOff>287055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732F00F1-AB0C-46B2-B69C-90553BC9B9D3}"/>
            </a:ext>
          </a:extLst>
        </xdr:cNvPr>
        <xdr:cNvSpPr/>
      </xdr:nvSpPr>
      <xdr:spPr>
        <a:xfrm>
          <a:off x="2518253" y="24386610"/>
          <a:ext cx="378391" cy="195719"/>
        </a:xfrm>
        <a:prstGeom prst="star5">
          <a:avLst>
            <a:gd name="adj" fmla="val 9048"/>
            <a:gd name="hf" fmla="val 105146"/>
            <a:gd name="vf" fmla="val 1105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288471</xdr:colOff>
      <xdr:row>114</xdr:row>
      <xdr:rowOff>64925</xdr:rowOff>
    </xdr:from>
    <xdr:to>
      <xdr:col>0</xdr:col>
      <xdr:colOff>570333</xdr:colOff>
      <xdr:row>114</xdr:row>
      <xdr:rowOff>327349</xdr:rowOff>
    </xdr:to>
    <xdr:sp macro="" textlink="">
      <xdr:nvSpPr>
        <xdr:cNvPr id="4" name="Star: 5 Points 3">
          <a:extLst>
            <a:ext uri="{FF2B5EF4-FFF2-40B4-BE49-F238E27FC236}">
              <a16:creationId xmlns:a16="http://schemas.microsoft.com/office/drawing/2014/main" id="{1C37E7D3-3349-4A65-8963-1F32DE418781}"/>
            </a:ext>
          </a:extLst>
        </xdr:cNvPr>
        <xdr:cNvSpPr/>
      </xdr:nvSpPr>
      <xdr:spPr>
        <a:xfrm>
          <a:off x="288471" y="19591175"/>
          <a:ext cx="281862" cy="262424"/>
        </a:xfrm>
        <a:prstGeom prst="star5">
          <a:avLst>
            <a:gd name="adj" fmla="val 9048"/>
            <a:gd name="hf" fmla="val 105146"/>
            <a:gd name="vf" fmla="val 11055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C1024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baseColWidth="10" defaultColWidth="9.19921875" defaultRowHeight="20" x14ac:dyDescent="0.3"/>
  <cols>
    <col min="1" max="1" width="24.19921875" style="19" customWidth="1"/>
    <col min="2" max="2" width="24.796875" style="22" customWidth="1"/>
    <col min="3" max="3" width="14.3984375" style="22" customWidth="1"/>
    <col min="4" max="4" width="10" style="50" customWidth="1"/>
    <col min="5" max="23" width="10" style="22" customWidth="1"/>
    <col min="24" max="24" width="13.796875" style="22" customWidth="1"/>
    <col min="25" max="28" width="13.59765625" style="22" bestFit="1" customWidth="1"/>
    <col min="29" max="16384" width="9.19921875" style="22"/>
  </cols>
  <sheetData>
    <row r="1" spans="1:28" ht="18.75" customHeight="1" thickBot="1" x14ac:dyDescent="0.4">
      <c r="D1" s="330">
        <v>46113</v>
      </c>
    </row>
    <row r="2" spans="1:28" s="19" customFormat="1" ht="24" thickBot="1" x14ac:dyDescent="0.4">
      <c r="B2" s="401"/>
      <c r="C2" s="18"/>
      <c r="D2" s="329" t="s">
        <v>5</v>
      </c>
      <c r="E2" s="324" t="s">
        <v>6</v>
      </c>
      <c r="F2" s="324" t="s">
        <v>7</v>
      </c>
      <c r="G2" s="324" t="s">
        <v>8</v>
      </c>
      <c r="H2" s="324" t="s">
        <v>9</v>
      </c>
      <c r="I2" s="325" t="s">
        <v>10</v>
      </c>
      <c r="J2" s="325" t="s">
        <v>11</v>
      </c>
      <c r="K2" s="325" t="s">
        <v>12</v>
      </c>
      <c r="L2" s="325" t="s">
        <v>13</v>
      </c>
      <c r="M2" s="325" t="s">
        <v>14</v>
      </c>
      <c r="N2" s="326" t="s">
        <v>15</v>
      </c>
      <c r="O2" s="326" t="s">
        <v>16</v>
      </c>
      <c r="P2" s="326" t="s">
        <v>17</v>
      </c>
      <c r="Q2" s="326" t="s">
        <v>18</v>
      </c>
      <c r="R2" s="327" t="s">
        <v>19</v>
      </c>
      <c r="S2" s="327" t="s">
        <v>20</v>
      </c>
      <c r="T2" s="328" t="s">
        <v>21</v>
      </c>
      <c r="U2" s="328" t="s">
        <v>22</v>
      </c>
      <c r="V2" s="328" t="s">
        <v>23</v>
      </c>
      <c r="W2" s="327" t="s">
        <v>166</v>
      </c>
    </row>
    <row r="3" spans="1:28" ht="21" customHeight="1" thickBot="1" x14ac:dyDescent="0.4">
      <c r="A3" s="402" t="s">
        <v>239</v>
      </c>
      <c r="B3" s="344" t="s">
        <v>24</v>
      </c>
      <c r="C3" s="53" t="s">
        <v>50</v>
      </c>
      <c r="D3" s="20">
        <v>238</v>
      </c>
      <c r="E3" s="21">
        <v>238</v>
      </c>
      <c r="F3" s="21">
        <v>238</v>
      </c>
      <c r="G3" s="21">
        <v>238</v>
      </c>
      <c r="H3" s="21">
        <v>238</v>
      </c>
      <c r="I3" s="21">
        <v>238</v>
      </c>
      <c r="J3" s="21">
        <v>238</v>
      </c>
      <c r="K3" s="21">
        <v>238</v>
      </c>
      <c r="L3" s="21">
        <v>238</v>
      </c>
      <c r="M3" s="21">
        <v>238</v>
      </c>
      <c r="N3" s="21">
        <v>238</v>
      </c>
      <c r="O3" s="21">
        <v>238</v>
      </c>
      <c r="P3" s="21">
        <v>238</v>
      </c>
      <c r="Q3" s="21">
        <v>238</v>
      </c>
      <c r="R3" s="21">
        <v>238</v>
      </c>
      <c r="S3" s="21">
        <v>238</v>
      </c>
      <c r="T3" s="21">
        <v>238</v>
      </c>
      <c r="U3" s="21">
        <v>238</v>
      </c>
      <c r="V3" s="21">
        <v>238</v>
      </c>
      <c r="W3" s="21">
        <v>238</v>
      </c>
    </row>
    <row r="4" spans="1:28" s="339" customFormat="1" ht="23" x14ac:dyDescent="0.35">
      <c r="A4" s="402" t="s">
        <v>240</v>
      </c>
      <c r="B4" s="340" t="s">
        <v>51</v>
      </c>
      <c r="C4" s="341"/>
      <c r="D4" s="342">
        <v>0.03</v>
      </c>
      <c r="E4" s="342">
        <v>2.5000000000000001E-2</v>
      </c>
      <c r="F4" s="342">
        <v>2.5000000000000001E-2</v>
      </c>
      <c r="G4" s="342">
        <v>2.5000000000000001E-2</v>
      </c>
      <c r="H4" s="342">
        <v>2.5000000000000001E-2</v>
      </c>
      <c r="I4" s="343">
        <v>0.03</v>
      </c>
      <c r="J4" s="343">
        <v>0.03</v>
      </c>
      <c r="K4" s="343">
        <v>0.03</v>
      </c>
      <c r="L4" s="343">
        <v>0.03</v>
      </c>
      <c r="M4" s="343">
        <v>0.03</v>
      </c>
      <c r="N4" s="342">
        <v>0.04</v>
      </c>
      <c r="O4" s="342">
        <v>0.04</v>
      </c>
      <c r="P4" s="342">
        <v>0.04</v>
      </c>
      <c r="Q4" s="342">
        <v>0.04</v>
      </c>
      <c r="R4" s="342">
        <v>0.04</v>
      </c>
      <c r="S4" s="342">
        <v>0.04</v>
      </c>
      <c r="T4" s="342">
        <v>0.04</v>
      </c>
      <c r="U4" s="342">
        <v>0.04</v>
      </c>
      <c r="V4" s="342">
        <v>0.04</v>
      </c>
      <c r="W4" s="342">
        <v>0.04</v>
      </c>
    </row>
    <row r="5" spans="1:28" x14ac:dyDescent="0.3">
      <c r="B5" s="54"/>
      <c r="C5" s="55"/>
      <c r="D5" s="20">
        <f>D3*(1-D4)</f>
        <v>230.85999999999999</v>
      </c>
      <c r="E5" s="20">
        <f t="shared" ref="E5:V5" si="0">E3*(1-E4)</f>
        <v>232.04999999999998</v>
      </c>
      <c r="F5" s="20">
        <f t="shared" si="0"/>
        <v>232.04999999999998</v>
      </c>
      <c r="G5" s="20">
        <f t="shared" si="0"/>
        <v>232.04999999999998</v>
      </c>
      <c r="H5" s="20">
        <f t="shared" si="0"/>
        <v>232.04999999999998</v>
      </c>
      <c r="I5" s="20">
        <f t="shared" si="0"/>
        <v>230.85999999999999</v>
      </c>
      <c r="J5" s="20">
        <f>J3*(1-J4)</f>
        <v>230.85999999999999</v>
      </c>
      <c r="K5" s="20">
        <f t="shared" si="0"/>
        <v>230.85999999999999</v>
      </c>
      <c r="L5" s="20">
        <f t="shared" si="0"/>
        <v>230.85999999999999</v>
      </c>
      <c r="M5" s="20">
        <f t="shared" si="0"/>
        <v>230.85999999999999</v>
      </c>
      <c r="N5" s="20">
        <f t="shared" si="0"/>
        <v>228.48</v>
      </c>
      <c r="O5" s="20">
        <f t="shared" si="0"/>
        <v>228.48</v>
      </c>
      <c r="P5" s="20">
        <f t="shared" si="0"/>
        <v>228.48</v>
      </c>
      <c r="Q5" s="20">
        <f t="shared" si="0"/>
        <v>228.48</v>
      </c>
      <c r="R5" s="20">
        <f t="shared" si="0"/>
        <v>228.48</v>
      </c>
      <c r="S5" s="20">
        <f t="shared" si="0"/>
        <v>228.48</v>
      </c>
      <c r="T5" s="20">
        <f t="shared" si="0"/>
        <v>228.48</v>
      </c>
      <c r="U5" s="20">
        <f t="shared" si="0"/>
        <v>228.48</v>
      </c>
      <c r="V5" s="20">
        <f t="shared" si="0"/>
        <v>228.48</v>
      </c>
      <c r="W5" s="20">
        <f>W3*(1-W4)</f>
        <v>228.48</v>
      </c>
    </row>
    <row r="6" spans="1:28" x14ac:dyDescent="0.3">
      <c r="B6" s="54" t="s">
        <v>51</v>
      </c>
      <c r="C6" s="56">
        <v>0</v>
      </c>
      <c r="D6" s="20">
        <f>D5*$C6</f>
        <v>0</v>
      </c>
      <c r="E6" s="20">
        <f t="shared" ref="E6:V6" si="1">E5*$C6</f>
        <v>0</v>
      </c>
      <c r="F6" s="20">
        <f t="shared" si="1"/>
        <v>0</v>
      </c>
      <c r="G6" s="20">
        <f t="shared" si="1"/>
        <v>0</v>
      </c>
      <c r="H6" s="20">
        <f t="shared" si="1"/>
        <v>0</v>
      </c>
      <c r="I6" s="20">
        <f t="shared" si="1"/>
        <v>0</v>
      </c>
      <c r="J6" s="20">
        <f t="shared" si="1"/>
        <v>0</v>
      </c>
      <c r="K6" s="20">
        <f t="shared" si="1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  <c r="O6" s="20">
        <f t="shared" si="1"/>
        <v>0</v>
      </c>
      <c r="P6" s="20">
        <f t="shared" si="1"/>
        <v>0</v>
      </c>
      <c r="Q6" s="20">
        <f t="shared" si="1"/>
        <v>0</v>
      </c>
      <c r="R6" s="20">
        <f t="shared" si="1"/>
        <v>0</v>
      </c>
      <c r="S6" s="20">
        <f t="shared" si="1"/>
        <v>0</v>
      </c>
      <c r="T6" s="20">
        <f t="shared" si="1"/>
        <v>0</v>
      </c>
      <c r="U6" s="20">
        <f t="shared" si="1"/>
        <v>0</v>
      </c>
      <c r="V6" s="20">
        <f t="shared" si="1"/>
        <v>0</v>
      </c>
      <c r="W6" s="20">
        <f>W5*$C6</f>
        <v>0</v>
      </c>
    </row>
    <row r="7" spans="1:28" x14ac:dyDescent="0.3">
      <c r="B7" s="54" t="s">
        <v>67</v>
      </c>
      <c r="C7" s="55"/>
      <c r="D7" s="20">
        <f>D5-D6</f>
        <v>230.85999999999999</v>
      </c>
      <c r="E7" s="20">
        <f t="shared" ref="E7:V7" si="2">E5-E6</f>
        <v>232.04999999999998</v>
      </c>
      <c r="F7" s="20">
        <f t="shared" si="2"/>
        <v>232.04999999999998</v>
      </c>
      <c r="G7" s="20">
        <f t="shared" si="2"/>
        <v>232.04999999999998</v>
      </c>
      <c r="H7" s="20">
        <f t="shared" si="2"/>
        <v>232.04999999999998</v>
      </c>
      <c r="I7" s="20">
        <f t="shared" si="2"/>
        <v>230.85999999999999</v>
      </c>
      <c r="J7" s="20">
        <f t="shared" si="2"/>
        <v>230.85999999999999</v>
      </c>
      <c r="K7" s="20">
        <f t="shared" si="2"/>
        <v>230.85999999999999</v>
      </c>
      <c r="L7" s="20">
        <f t="shared" si="2"/>
        <v>230.85999999999999</v>
      </c>
      <c r="M7" s="20">
        <f t="shared" si="2"/>
        <v>230.85999999999999</v>
      </c>
      <c r="N7" s="20">
        <f t="shared" si="2"/>
        <v>228.48</v>
      </c>
      <c r="O7" s="20">
        <f t="shared" si="2"/>
        <v>228.48</v>
      </c>
      <c r="P7" s="20">
        <f t="shared" si="2"/>
        <v>228.48</v>
      </c>
      <c r="Q7" s="20">
        <f t="shared" si="2"/>
        <v>228.48</v>
      </c>
      <c r="R7" s="20">
        <f t="shared" si="2"/>
        <v>228.48</v>
      </c>
      <c r="S7" s="20">
        <f t="shared" si="2"/>
        <v>228.48</v>
      </c>
      <c r="T7" s="20">
        <f t="shared" si="2"/>
        <v>228.48</v>
      </c>
      <c r="U7" s="20">
        <f t="shared" si="2"/>
        <v>228.48</v>
      </c>
      <c r="V7" s="20">
        <f t="shared" si="2"/>
        <v>228.48</v>
      </c>
      <c r="W7" s="20">
        <f>W5-W6</f>
        <v>228.48</v>
      </c>
    </row>
    <row r="8" spans="1:28" x14ac:dyDescent="0.3">
      <c r="B8" s="54" t="s">
        <v>66</v>
      </c>
      <c r="C8" s="56">
        <v>7.0000000000000007E-2</v>
      </c>
      <c r="D8" s="20">
        <f>D7*$C8</f>
        <v>16.1602</v>
      </c>
      <c r="E8" s="20">
        <f t="shared" ref="E8:V8" si="3">E7*$C8</f>
        <v>16.243500000000001</v>
      </c>
      <c r="F8" s="20">
        <f t="shared" si="3"/>
        <v>16.243500000000001</v>
      </c>
      <c r="G8" s="20">
        <f t="shared" si="3"/>
        <v>16.243500000000001</v>
      </c>
      <c r="H8" s="20">
        <f t="shared" si="3"/>
        <v>16.243500000000001</v>
      </c>
      <c r="I8" s="20">
        <f t="shared" si="3"/>
        <v>16.1602</v>
      </c>
      <c r="J8" s="20">
        <f t="shared" si="3"/>
        <v>16.1602</v>
      </c>
      <c r="K8" s="20">
        <f t="shared" si="3"/>
        <v>16.1602</v>
      </c>
      <c r="L8" s="20">
        <f t="shared" si="3"/>
        <v>16.1602</v>
      </c>
      <c r="M8" s="20">
        <f t="shared" si="3"/>
        <v>16.1602</v>
      </c>
      <c r="N8" s="20">
        <f t="shared" si="3"/>
        <v>15.993600000000001</v>
      </c>
      <c r="O8" s="20">
        <f t="shared" si="3"/>
        <v>15.993600000000001</v>
      </c>
      <c r="P8" s="20">
        <f t="shared" si="3"/>
        <v>15.993600000000001</v>
      </c>
      <c r="Q8" s="20">
        <f t="shared" si="3"/>
        <v>15.993600000000001</v>
      </c>
      <c r="R8" s="20">
        <f t="shared" si="3"/>
        <v>15.993600000000001</v>
      </c>
      <c r="S8" s="20">
        <f t="shared" si="3"/>
        <v>15.993600000000001</v>
      </c>
      <c r="T8" s="20">
        <f t="shared" si="3"/>
        <v>15.993600000000001</v>
      </c>
      <c r="U8" s="20">
        <f t="shared" si="3"/>
        <v>15.993600000000001</v>
      </c>
      <c r="V8" s="20">
        <f t="shared" si="3"/>
        <v>15.993600000000001</v>
      </c>
      <c r="W8" s="20">
        <f>W7*$C8</f>
        <v>15.993600000000001</v>
      </c>
    </row>
    <row r="9" spans="1:28" x14ac:dyDescent="0.3">
      <c r="B9" s="54" t="s">
        <v>68</v>
      </c>
      <c r="C9" s="55"/>
      <c r="D9" s="20">
        <f>D7+D8</f>
        <v>247.02019999999999</v>
      </c>
      <c r="E9" s="20">
        <f t="shared" ref="E9:V9" si="4">E7+E8</f>
        <v>248.29349999999999</v>
      </c>
      <c r="F9" s="20">
        <f t="shared" si="4"/>
        <v>248.29349999999999</v>
      </c>
      <c r="G9" s="20">
        <f t="shared" si="4"/>
        <v>248.29349999999999</v>
      </c>
      <c r="H9" s="20">
        <f t="shared" si="4"/>
        <v>248.29349999999999</v>
      </c>
      <c r="I9" s="20">
        <f t="shared" si="4"/>
        <v>247.02019999999999</v>
      </c>
      <c r="J9" s="20">
        <f t="shared" si="4"/>
        <v>247.02019999999999</v>
      </c>
      <c r="K9" s="20">
        <f t="shared" si="4"/>
        <v>247.02019999999999</v>
      </c>
      <c r="L9" s="20">
        <f t="shared" si="4"/>
        <v>247.02019999999999</v>
      </c>
      <c r="M9" s="20">
        <f t="shared" si="4"/>
        <v>247.02019999999999</v>
      </c>
      <c r="N9" s="20">
        <f t="shared" si="4"/>
        <v>244.47359999999998</v>
      </c>
      <c r="O9" s="20">
        <f t="shared" si="4"/>
        <v>244.47359999999998</v>
      </c>
      <c r="P9" s="20">
        <f t="shared" si="4"/>
        <v>244.47359999999998</v>
      </c>
      <c r="Q9" s="20">
        <f t="shared" si="4"/>
        <v>244.47359999999998</v>
      </c>
      <c r="R9" s="20">
        <f t="shared" si="4"/>
        <v>244.47359999999998</v>
      </c>
      <c r="S9" s="20">
        <f t="shared" si="4"/>
        <v>244.47359999999998</v>
      </c>
      <c r="T9" s="20">
        <f t="shared" si="4"/>
        <v>244.47359999999998</v>
      </c>
      <c r="U9" s="20">
        <f t="shared" si="4"/>
        <v>244.47359999999998</v>
      </c>
      <c r="V9" s="20">
        <f t="shared" si="4"/>
        <v>244.47359999999998</v>
      </c>
      <c r="W9" s="20">
        <f>W7+W8</f>
        <v>244.47359999999998</v>
      </c>
    </row>
    <row r="10" spans="1:28" ht="23" x14ac:dyDescent="0.35">
      <c r="B10" s="334" t="s">
        <v>52</v>
      </c>
      <c r="C10" s="335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379"/>
      <c r="Q10" s="379"/>
      <c r="R10" s="379"/>
      <c r="S10" s="379"/>
      <c r="T10" s="379"/>
      <c r="U10" s="379"/>
      <c r="V10" s="379"/>
      <c r="W10" s="379"/>
    </row>
    <row r="11" spans="1:28" ht="21.75" customHeight="1" x14ac:dyDescent="0.3">
      <c r="B11" s="57" t="s">
        <v>53</v>
      </c>
      <c r="C11" s="58"/>
      <c r="D11" s="25">
        <f>SUM(D9:D10)</f>
        <v>247.02019999999999</v>
      </c>
      <c r="E11" s="26">
        <f t="shared" ref="E11:V11" si="5">SUM(E9:E10)</f>
        <v>248.29349999999999</v>
      </c>
      <c r="F11" s="26">
        <f t="shared" si="5"/>
        <v>248.29349999999999</v>
      </c>
      <c r="G11" s="26">
        <f t="shared" si="5"/>
        <v>248.29349999999999</v>
      </c>
      <c r="H11" s="26">
        <f t="shared" si="5"/>
        <v>248.29349999999999</v>
      </c>
      <c r="I11" s="26">
        <f t="shared" si="5"/>
        <v>247.02019999999999</v>
      </c>
      <c r="J11" s="26">
        <f t="shared" si="5"/>
        <v>247.02019999999999</v>
      </c>
      <c r="K11" s="26">
        <f t="shared" si="5"/>
        <v>247.02019999999999</v>
      </c>
      <c r="L11" s="26">
        <f t="shared" si="5"/>
        <v>247.02019999999999</v>
      </c>
      <c r="M11" s="26">
        <f t="shared" si="5"/>
        <v>247.02019999999999</v>
      </c>
      <c r="N11" s="26">
        <f t="shared" si="5"/>
        <v>244.47359999999998</v>
      </c>
      <c r="O11" s="26">
        <f t="shared" si="5"/>
        <v>244.47359999999998</v>
      </c>
      <c r="P11" s="26">
        <f t="shared" si="5"/>
        <v>244.47359999999998</v>
      </c>
      <c r="Q11" s="26">
        <f t="shared" si="5"/>
        <v>244.47359999999998</v>
      </c>
      <c r="R11" s="26">
        <f t="shared" si="5"/>
        <v>244.47359999999998</v>
      </c>
      <c r="S11" s="26">
        <f t="shared" si="5"/>
        <v>244.47359999999998</v>
      </c>
      <c r="T11" s="26">
        <f t="shared" si="5"/>
        <v>244.47359999999998</v>
      </c>
      <c r="U11" s="26">
        <f t="shared" si="5"/>
        <v>244.47359999999998</v>
      </c>
      <c r="V11" s="26">
        <f t="shared" si="5"/>
        <v>244.47359999999998</v>
      </c>
      <c r="W11" s="26">
        <f>SUM(W9:W10)</f>
        <v>244.47359999999998</v>
      </c>
    </row>
    <row r="12" spans="1:28" s="339" customFormat="1" ht="23" x14ac:dyDescent="0.35">
      <c r="A12" s="403"/>
      <c r="B12" s="336" t="s">
        <v>54</v>
      </c>
      <c r="C12" s="337"/>
      <c r="D12" s="338"/>
      <c r="E12" s="338"/>
      <c r="F12" s="338"/>
      <c r="G12" s="338"/>
      <c r="H12" s="338"/>
      <c r="I12" s="338"/>
      <c r="J12" s="338"/>
      <c r="K12" s="338"/>
      <c r="L12" s="338"/>
      <c r="M12" s="338"/>
      <c r="N12" s="338"/>
      <c r="O12" s="338"/>
      <c r="P12" s="338"/>
      <c r="Q12" s="338"/>
      <c r="R12" s="338"/>
      <c r="S12" s="338"/>
      <c r="T12" s="338"/>
      <c r="U12" s="338"/>
      <c r="V12" s="338"/>
      <c r="W12" s="338"/>
    </row>
    <row r="13" spans="1:28" ht="23" x14ac:dyDescent="0.35">
      <c r="B13" s="353" t="s">
        <v>55</v>
      </c>
      <c r="C13" s="354"/>
      <c r="D13" s="355">
        <f>D11</f>
        <v>247.02019999999999</v>
      </c>
      <c r="E13" s="355">
        <f>E11</f>
        <v>248.29349999999999</v>
      </c>
      <c r="F13" s="355">
        <f t="shared" ref="F13:W13" si="6">F11</f>
        <v>248.29349999999999</v>
      </c>
      <c r="G13" s="355">
        <f t="shared" si="6"/>
        <v>248.29349999999999</v>
      </c>
      <c r="H13" s="355">
        <f t="shared" si="6"/>
        <v>248.29349999999999</v>
      </c>
      <c r="I13" s="355">
        <f t="shared" si="6"/>
        <v>247.02019999999999</v>
      </c>
      <c r="J13" s="355">
        <f t="shared" si="6"/>
        <v>247.02019999999999</v>
      </c>
      <c r="K13" s="355">
        <f t="shared" si="6"/>
        <v>247.02019999999999</v>
      </c>
      <c r="L13" s="355">
        <f t="shared" si="6"/>
        <v>247.02019999999999</v>
      </c>
      <c r="M13" s="355">
        <f t="shared" si="6"/>
        <v>247.02019999999999</v>
      </c>
      <c r="N13" s="355">
        <f t="shared" si="6"/>
        <v>244.47359999999998</v>
      </c>
      <c r="O13" s="355">
        <f t="shared" si="6"/>
        <v>244.47359999999998</v>
      </c>
      <c r="P13" s="355">
        <f t="shared" si="6"/>
        <v>244.47359999999998</v>
      </c>
      <c r="Q13" s="355">
        <f t="shared" si="6"/>
        <v>244.47359999999998</v>
      </c>
      <c r="R13" s="355">
        <f t="shared" si="6"/>
        <v>244.47359999999998</v>
      </c>
      <c r="S13" s="355">
        <f t="shared" si="6"/>
        <v>244.47359999999998</v>
      </c>
      <c r="T13" s="355">
        <f t="shared" si="6"/>
        <v>244.47359999999998</v>
      </c>
      <c r="U13" s="355">
        <f t="shared" si="6"/>
        <v>244.47359999999998</v>
      </c>
      <c r="V13" s="355">
        <f t="shared" si="6"/>
        <v>244.47359999999998</v>
      </c>
      <c r="W13" s="355">
        <f t="shared" si="6"/>
        <v>244.47359999999998</v>
      </c>
      <c r="X13" s="50"/>
      <c r="Y13" s="50"/>
      <c r="Z13" s="50"/>
      <c r="AA13" s="50"/>
      <c r="AB13" s="50"/>
    </row>
    <row r="14" spans="1:28" x14ac:dyDescent="0.3">
      <c r="B14" s="171" t="s">
        <v>194</v>
      </c>
      <c r="C14" s="55"/>
      <c r="D14" s="43">
        <v>124</v>
      </c>
      <c r="E14" s="43">
        <v>136</v>
      </c>
      <c r="F14" s="43">
        <v>139</v>
      </c>
      <c r="G14" s="43">
        <v>134</v>
      </c>
      <c r="H14" s="43">
        <v>129</v>
      </c>
      <c r="I14" s="43">
        <v>134</v>
      </c>
      <c r="J14" s="43">
        <v>138</v>
      </c>
      <c r="K14" s="43">
        <v>136</v>
      </c>
      <c r="L14" s="43">
        <v>137</v>
      </c>
      <c r="M14" s="43">
        <v>132</v>
      </c>
      <c r="N14" s="43">
        <v>124</v>
      </c>
      <c r="O14" s="43">
        <v>124</v>
      </c>
      <c r="P14" s="43">
        <v>124</v>
      </c>
      <c r="Q14" s="43">
        <v>124</v>
      </c>
      <c r="R14" s="43">
        <v>124</v>
      </c>
      <c r="S14" s="43">
        <v>124</v>
      </c>
      <c r="T14" s="43">
        <v>126</v>
      </c>
      <c r="U14" s="43">
        <v>129</v>
      </c>
      <c r="V14" s="43">
        <v>120</v>
      </c>
      <c r="W14" s="43">
        <v>124</v>
      </c>
      <c r="X14" s="195"/>
    </row>
    <row r="15" spans="1:28" s="30" customFormat="1" x14ac:dyDescent="0.3">
      <c r="A15" s="404"/>
      <c r="B15" s="61" t="s">
        <v>195</v>
      </c>
      <c r="C15" s="62"/>
      <c r="D15" s="48">
        <v>125</v>
      </c>
      <c r="E15" s="29">
        <v>137</v>
      </c>
      <c r="F15" s="29">
        <v>140</v>
      </c>
      <c r="G15" s="29">
        <v>135</v>
      </c>
      <c r="H15" s="29">
        <v>130</v>
      </c>
      <c r="I15" s="29">
        <v>135</v>
      </c>
      <c r="J15" s="29">
        <v>139</v>
      </c>
      <c r="K15" s="29">
        <v>137</v>
      </c>
      <c r="L15" s="29">
        <v>138</v>
      </c>
      <c r="M15" s="29">
        <v>133</v>
      </c>
      <c r="N15" s="29">
        <v>125</v>
      </c>
      <c r="O15" s="29">
        <v>125</v>
      </c>
      <c r="P15" s="29">
        <v>125</v>
      </c>
      <c r="Q15" s="29">
        <v>125</v>
      </c>
      <c r="R15" s="29">
        <v>125</v>
      </c>
      <c r="S15" s="29">
        <v>125</v>
      </c>
      <c r="T15" s="29">
        <v>127</v>
      </c>
      <c r="U15" s="29">
        <v>130</v>
      </c>
      <c r="V15" s="29">
        <v>121</v>
      </c>
      <c r="W15" s="29">
        <v>125</v>
      </c>
    </row>
    <row r="16" spans="1:28" s="30" customFormat="1" x14ac:dyDescent="0.3">
      <c r="A16" s="404"/>
      <c r="B16" s="61" t="s">
        <v>196</v>
      </c>
      <c r="C16" s="62"/>
      <c r="D16" s="48">
        <v>126</v>
      </c>
      <c r="E16" s="29">
        <v>138</v>
      </c>
      <c r="F16" s="29">
        <v>141</v>
      </c>
      <c r="G16" s="29">
        <v>136</v>
      </c>
      <c r="H16" s="29">
        <v>131</v>
      </c>
      <c r="I16" s="29">
        <v>136</v>
      </c>
      <c r="J16" s="29">
        <v>140</v>
      </c>
      <c r="K16" s="29">
        <v>138</v>
      </c>
      <c r="L16" s="29">
        <v>139</v>
      </c>
      <c r="M16" s="29">
        <v>134</v>
      </c>
      <c r="N16" s="29">
        <v>126</v>
      </c>
      <c r="O16" s="29">
        <v>126</v>
      </c>
      <c r="P16" s="29">
        <v>126</v>
      </c>
      <c r="Q16" s="29">
        <v>126</v>
      </c>
      <c r="R16" s="29">
        <v>126</v>
      </c>
      <c r="S16" s="29">
        <v>126</v>
      </c>
      <c r="T16" s="29">
        <v>128</v>
      </c>
      <c r="U16" s="29">
        <v>131</v>
      </c>
      <c r="V16" s="29">
        <v>122</v>
      </c>
      <c r="W16" s="29">
        <v>126</v>
      </c>
    </row>
    <row r="17" spans="1:23" s="30" customFormat="1" x14ac:dyDescent="0.3">
      <c r="A17" s="404"/>
      <c r="B17" s="61" t="s">
        <v>197</v>
      </c>
      <c r="C17" s="62"/>
      <c r="D17" s="48">
        <v>127</v>
      </c>
      <c r="E17" s="29">
        <v>139</v>
      </c>
      <c r="F17" s="29">
        <v>142</v>
      </c>
      <c r="G17" s="29">
        <v>137</v>
      </c>
      <c r="H17" s="29">
        <v>132</v>
      </c>
      <c r="I17" s="29">
        <v>137</v>
      </c>
      <c r="J17" s="29">
        <v>141</v>
      </c>
      <c r="K17" s="29">
        <v>139</v>
      </c>
      <c r="L17" s="29">
        <v>140</v>
      </c>
      <c r="M17" s="29">
        <v>135</v>
      </c>
      <c r="N17" s="29">
        <v>127</v>
      </c>
      <c r="O17" s="29">
        <v>127</v>
      </c>
      <c r="P17" s="29">
        <v>127</v>
      </c>
      <c r="Q17" s="29">
        <v>127</v>
      </c>
      <c r="R17" s="29">
        <v>127</v>
      </c>
      <c r="S17" s="29">
        <v>127</v>
      </c>
      <c r="T17" s="29">
        <v>129</v>
      </c>
      <c r="U17" s="29">
        <v>132</v>
      </c>
      <c r="V17" s="29">
        <v>123</v>
      </c>
      <c r="W17" s="29">
        <v>127</v>
      </c>
    </row>
    <row r="18" spans="1:23" s="30" customFormat="1" x14ac:dyDescent="0.3">
      <c r="A18" s="404"/>
      <c r="B18" s="63" t="s">
        <v>198</v>
      </c>
      <c r="C18" s="62"/>
      <c r="D18" s="31">
        <f>+D14-D13</f>
        <v>-123.02019999999999</v>
      </c>
      <c r="E18" s="31">
        <f t="shared" ref="E18:W18" si="7">+E14-E13</f>
        <v>-112.29349999999999</v>
      </c>
      <c r="F18" s="31">
        <f t="shared" si="7"/>
        <v>-109.29349999999999</v>
      </c>
      <c r="G18" s="31">
        <f>+G14-G13</f>
        <v>-114.29349999999999</v>
      </c>
      <c r="H18" s="31">
        <f t="shared" si="7"/>
        <v>-119.29349999999999</v>
      </c>
      <c r="I18" s="31">
        <f t="shared" si="7"/>
        <v>-113.02019999999999</v>
      </c>
      <c r="J18" s="31">
        <f t="shared" si="7"/>
        <v>-109.02019999999999</v>
      </c>
      <c r="K18" s="31">
        <f t="shared" si="7"/>
        <v>-111.02019999999999</v>
      </c>
      <c r="L18" s="31">
        <f t="shared" si="7"/>
        <v>-110.02019999999999</v>
      </c>
      <c r="M18" s="31">
        <f t="shared" si="7"/>
        <v>-115.02019999999999</v>
      </c>
      <c r="N18" s="31">
        <f t="shared" si="7"/>
        <v>-120.47359999999998</v>
      </c>
      <c r="O18" s="31">
        <f t="shared" si="7"/>
        <v>-120.47359999999998</v>
      </c>
      <c r="P18" s="31">
        <f t="shared" si="7"/>
        <v>-120.47359999999998</v>
      </c>
      <c r="Q18" s="31">
        <f t="shared" si="7"/>
        <v>-120.47359999999998</v>
      </c>
      <c r="R18" s="31">
        <f t="shared" si="7"/>
        <v>-120.47359999999998</v>
      </c>
      <c r="S18" s="31">
        <f t="shared" si="7"/>
        <v>-120.47359999999998</v>
      </c>
      <c r="T18" s="31">
        <f t="shared" si="7"/>
        <v>-118.47359999999998</v>
      </c>
      <c r="U18" s="31">
        <f t="shared" si="7"/>
        <v>-115.47359999999998</v>
      </c>
      <c r="V18" s="31">
        <f t="shared" si="7"/>
        <v>-124.47359999999998</v>
      </c>
      <c r="W18" s="31">
        <f t="shared" si="7"/>
        <v>-120.47359999999998</v>
      </c>
    </row>
    <row r="19" spans="1:23" s="33" customFormat="1" x14ac:dyDescent="0.3">
      <c r="A19" s="405"/>
      <c r="B19" s="63" t="s">
        <v>199</v>
      </c>
      <c r="C19" s="64"/>
      <c r="D19" s="31">
        <f>+D15-D$13</f>
        <v>-122.02019999999999</v>
      </c>
      <c r="E19" s="32">
        <f t="shared" ref="E19:W19" si="8">+E15-E$13</f>
        <v>-111.29349999999999</v>
      </c>
      <c r="F19" s="32">
        <f t="shared" si="8"/>
        <v>-108.29349999999999</v>
      </c>
      <c r="G19" s="32">
        <f>+G15-G$13</f>
        <v>-113.29349999999999</v>
      </c>
      <c r="H19" s="32">
        <f t="shared" si="8"/>
        <v>-118.29349999999999</v>
      </c>
      <c r="I19" s="32">
        <f t="shared" si="8"/>
        <v>-112.02019999999999</v>
      </c>
      <c r="J19" s="32">
        <f t="shared" si="8"/>
        <v>-108.02019999999999</v>
      </c>
      <c r="K19" s="32">
        <f t="shared" si="8"/>
        <v>-110.02019999999999</v>
      </c>
      <c r="L19" s="32">
        <f t="shared" si="8"/>
        <v>-109.02019999999999</v>
      </c>
      <c r="M19" s="32">
        <f t="shared" si="8"/>
        <v>-114.02019999999999</v>
      </c>
      <c r="N19" s="32">
        <f t="shared" si="8"/>
        <v>-119.47359999999998</v>
      </c>
      <c r="O19" s="32">
        <f t="shared" si="8"/>
        <v>-119.47359999999998</v>
      </c>
      <c r="P19" s="32">
        <f t="shared" si="8"/>
        <v>-119.47359999999998</v>
      </c>
      <c r="Q19" s="32">
        <f t="shared" si="8"/>
        <v>-119.47359999999998</v>
      </c>
      <c r="R19" s="32">
        <f t="shared" si="8"/>
        <v>-119.47359999999998</v>
      </c>
      <c r="S19" s="32">
        <f t="shared" si="8"/>
        <v>-119.47359999999998</v>
      </c>
      <c r="T19" s="32">
        <f t="shared" si="8"/>
        <v>-117.47359999999998</v>
      </c>
      <c r="U19" s="32">
        <f t="shared" si="8"/>
        <v>-114.47359999999998</v>
      </c>
      <c r="V19" s="32">
        <f t="shared" si="8"/>
        <v>-123.47359999999998</v>
      </c>
      <c r="W19" s="32">
        <f t="shared" si="8"/>
        <v>-119.47359999999998</v>
      </c>
    </row>
    <row r="20" spans="1:23" s="33" customFormat="1" x14ac:dyDescent="0.3">
      <c r="A20" s="405"/>
      <c r="B20" s="63" t="s">
        <v>200</v>
      </c>
      <c r="C20" s="64"/>
      <c r="D20" s="31">
        <f>+D16-D$13</f>
        <v>-121.02019999999999</v>
      </c>
      <c r="E20" s="32">
        <f t="shared" ref="E20:W20" si="9">+E16-E$13</f>
        <v>-110.29349999999999</v>
      </c>
      <c r="F20" s="32">
        <f t="shared" si="9"/>
        <v>-107.29349999999999</v>
      </c>
      <c r="G20" s="32">
        <f>+G16-G$13</f>
        <v>-112.29349999999999</v>
      </c>
      <c r="H20" s="32">
        <f t="shared" si="9"/>
        <v>-117.29349999999999</v>
      </c>
      <c r="I20" s="32">
        <f t="shared" si="9"/>
        <v>-111.02019999999999</v>
      </c>
      <c r="J20" s="32">
        <f t="shared" si="9"/>
        <v>-107.02019999999999</v>
      </c>
      <c r="K20" s="32">
        <f t="shared" si="9"/>
        <v>-109.02019999999999</v>
      </c>
      <c r="L20" s="32">
        <f t="shared" si="9"/>
        <v>-108.02019999999999</v>
      </c>
      <c r="M20" s="32">
        <f t="shared" si="9"/>
        <v>-113.02019999999999</v>
      </c>
      <c r="N20" s="32">
        <f t="shared" si="9"/>
        <v>-118.47359999999998</v>
      </c>
      <c r="O20" s="32">
        <f t="shared" si="9"/>
        <v>-118.47359999999998</v>
      </c>
      <c r="P20" s="32">
        <f t="shared" si="9"/>
        <v>-118.47359999999998</v>
      </c>
      <c r="Q20" s="32">
        <f t="shared" si="9"/>
        <v>-118.47359999999998</v>
      </c>
      <c r="R20" s="32">
        <f t="shared" si="9"/>
        <v>-118.47359999999998</v>
      </c>
      <c r="S20" s="32">
        <f t="shared" si="9"/>
        <v>-118.47359999999998</v>
      </c>
      <c r="T20" s="32">
        <f t="shared" si="9"/>
        <v>-116.47359999999998</v>
      </c>
      <c r="U20" s="32">
        <f t="shared" si="9"/>
        <v>-113.47359999999998</v>
      </c>
      <c r="V20" s="32">
        <f t="shared" si="9"/>
        <v>-122.47359999999998</v>
      </c>
      <c r="W20" s="32">
        <f t="shared" si="9"/>
        <v>-118.47359999999998</v>
      </c>
    </row>
    <row r="21" spans="1:23" s="33" customFormat="1" x14ac:dyDescent="0.3">
      <c r="A21" s="405"/>
      <c r="B21" s="63" t="s">
        <v>201</v>
      </c>
      <c r="C21" s="64"/>
      <c r="D21" s="31">
        <f>+D17-D$13</f>
        <v>-120.02019999999999</v>
      </c>
      <c r="E21" s="32">
        <f>+E17-E$13</f>
        <v>-109.29349999999999</v>
      </c>
      <c r="F21" s="32">
        <f t="shared" ref="F21:W21" si="10">+F17-F$13</f>
        <v>-106.29349999999999</v>
      </c>
      <c r="G21" s="32">
        <f>+G17-G$13</f>
        <v>-111.29349999999999</v>
      </c>
      <c r="H21" s="32">
        <f t="shared" si="10"/>
        <v>-116.29349999999999</v>
      </c>
      <c r="I21" s="32">
        <f t="shared" si="10"/>
        <v>-110.02019999999999</v>
      </c>
      <c r="J21" s="32">
        <f t="shared" si="10"/>
        <v>-106.02019999999999</v>
      </c>
      <c r="K21" s="32">
        <f t="shared" si="10"/>
        <v>-108.02019999999999</v>
      </c>
      <c r="L21" s="32">
        <f t="shared" si="10"/>
        <v>-107.02019999999999</v>
      </c>
      <c r="M21" s="32">
        <f t="shared" si="10"/>
        <v>-112.02019999999999</v>
      </c>
      <c r="N21" s="32">
        <f t="shared" si="10"/>
        <v>-117.47359999999998</v>
      </c>
      <c r="O21" s="32">
        <f t="shared" si="10"/>
        <v>-117.47359999999998</v>
      </c>
      <c r="P21" s="32">
        <f t="shared" si="10"/>
        <v>-117.47359999999998</v>
      </c>
      <c r="Q21" s="32">
        <f t="shared" si="10"/>
        <v>-117.47359999999998</v>
      </c>
      <c r="R21" s="32">
        <f t="shared" si="10"/>
        <v>-117.47359999999998</v>
      </c>
      <c r="S21" s="32">
        <f t="shared" si="10"/>
        <v>-117.47359999999998</v>
      </c>
      <c r="T21" s="32">
        <f t="shared" si="10"/>
        <v>-115.47359999999998</v>
      </c>
      <c r="U21" s="32">
        <f t="shared" si="10"/>
        <v>-112.47359999999998</v>
      </c>
      <c r="V21" s="32">
        <f t="shared" si="10"/>
        <v>-121.47359999999998</v>
      </c>
      <c r="W21" s="32">
        <f t="shared" si="10"/>
        <v>-117.47359999999998</v>
      </c>
    </row>
    <row r="22" spans="1:23" s="33" customFormat="1" x14ac:dyDescent="0.3">
      <c r="A22" s="405"/>
      <c r="B22" s="97" t="s">
        <v>202</v>
      </c>
      <c r="C22" s="98"/>
      <c r="D22" s="100">
        <f>+D18/D14</f>
        <v>-0.99209838709677411</v>
      </c>
      <c r="E22" s="100">
        <f>+E18/E14</f>
        <v>-0.82568749999999991</v>
      </c>
      <c r="F22" s="100">
        <f t="shared" ref="F22:W22" si="11">+F18/F14</f>
        <v>-0.78628417266187045</v>
      </c>
      <c r="G22" s="100">
        <f>+G18/G14</f>
        <v>-0.85293656716417909</v>
      </c>
      <c r="H22" s="100">
        <f t="shared" si="11"/>
        <v>-0.92475581395348838</v>
      </c>
      <c r="I22" s="100">
        <f t="shared" si="11"/>
        <v>-0.84343432835820886</v>
      </c>
      <c r="J22" s="100">
        <f t="shared" si="11"/>
        <v>-0.7900014492753622</v>
      </c>
      <c r="K22" s="100">
        <f t="shared" si="11"/>
        <v>-0.81632499999999997</v>
      </c>
      <c r="L22" s="100">
        <f t="shared" si="11"/>
        <v>-0.80306715328467149</v>
      </c>
      <c r="M22" s="100">
        <f t="shared" si="11"/>
        <v>-0.87136515151515148</v>
      </c>
      <c r="N22" s="100">
        <f t="shared" si="11"/>
        <v>-0.97156129032258043</v>
      </c>
      <c r="O22" s="100">
        <f t="shared" si="11"/>
        <v>-0.97156129032258043</v>
      </c>
      <c r="P22" s="100">
        <f t="shared" si="11"/>
        <v>-0.97156129032258043</v>
      </c>
      <c r="Q22" s="100">
        <f t="shared" si="11"/>
        <v>-0.97156129032258043</v>
      </c>
      <c r="R22" s="100">
        <f t="shared" si="11"/>
        <v>-0.97156129032258043</v>
      </c>
      <c r="S22" s="100">
        <f t="shared" si="11"/>
        <v>-0.97156129032258043</v>
      </c>
      <c r="T22" s="100">
        <f t="shared" si="11"/>
        <v>-0.94026666666666647</v>
      </c>
      <c r="U22" s="100">
        <f t="shared" si="11"/>
        <v>-0.89514418604651147</v>
      </c>
      <c r="V22" s="100">
        <f t="shared" si="11"/>
        <v>-1.0372799999999998</v>
      </c>
      <c r="W22" s="100">
        <f t="shared" si="11"/>
        <v>-0.97156129032258043</v>
      </c>
    </row>
    <row r="23" spans="1:23" s="36" customFormat="1" x14ac:dyDescent="0.3">
      <c r="A23" s="406"/>
      <c r="B23" s="97" t="s">
        <v>203</v>
      </c>
      <c r="C23" s="98"/>
      <c r="D23" s="100">
        <f>+D19/D15</f>
        <v>-0.97616159999999996</v>
      </c>
      <c r="E23" s="100">
        <f t="shared" ref="E23:W23" si="12">+E19/E15</f>
        <v>-0.8123613138686131</v>
      </c>
      <c r="F23" s="100">
        <f t="shared" si="12"/>
        <v>-0.77352499999999991</v>
      </c>
      <c r="G23" s="100">
        <f>+G19/G15</f>
        <v>-0.83921111111111102</v>
      </c>
      <c r="H23" s="100">
        <f t="shared" si="12"/>
        <v>-0.90994999999999993</v>
      </c>
      <c r="I23" s="100">
        <f t="shared" si="12"/>
        <v>-0.82977925925925922</v>
      </c>
      <c r="J23" s="100">
        <f t="shared" si="12"/>
        <v>-0.77712374100719417</v>
      </c>
      <c r="K23" s="100">
        <f t="shared" si="12"/>
        <v>-0.80306715328467149</v>
      </c>
      <c r="L23" s="100">
        <f t="shared" si="12"/>
        <v>-0.7900014492753622</v>
      </c>
      <c r="M23" s="100">
        <f t="shared" si="12"/>
        <v>-0.85729473684210522</v>
      </c>
      <c r="N23" s="100">
        <f t="shared" si="12"/>
        <v>-0.95578879999999977</v>
      </c>
      <c r="O23" s="100">
        <f t="shared" si="12"/>
        <v>-0.95578879999999977</v>
      </c>
      <c r="P23" s="100">
        <f t="shared" si="12"/>
        <v>-0.95578879999999977</v>
      </c>
      <c r="Q23" s="100">
        <f t="shared" si="12"/>
        <v>-0.95578879999999977</v>
      </c>
      <c r="R23" s="100">
        <f t="shared" si="12"/>
        <v>-0.95578879999999977</v>
      </c>
      <c r="S23" s="100">
        <f t="shared" si="12"/>
        <v>-0.95578879999999977</v>
      </c>
      <c r="T23" s="100">
        <f t="shared" si="12"/>
        <v>-0.92498897637795252</v>
      </c>
      <c r="U23" s="100">
        <f t="shared" si="12"/>
        <v>-0.88056615384615367</v>
      </c>
      <c r="V23" s="100">
        <f t="shared" si="12"/>
        <v>-1.0204429752066113</v>
      </c>
      <c r="W23" s="100">
        <f t="shared" si="12"/>
        <v>-0.95578879999999977</v>
      </c>
    </row>
    <row r="24" spans="1:23" s="36" customFormat="1" x14ac:dyDescent="0.3">
      <c r="A24" s="406"/>
      <c r="B24" s="97" t="s">
        <v>204</v>
      </c>
      <c r="C24" s="98"/>
      <c r="D24" s="100">
        <f>+D20/D16</f>
        <v>-0.96047777777777765</v>
      </c>
      <c r="E24" s="100">
        <f t="shared" ref="E24:W24" si="13">+E20/E16</f>
        <v>-0.79922826086956522</v>
      </c>
      <c r="F24" s="100">
        <f t="shared" si="13"/>
        <v>-0.76094680851063823</v>
      </c>
      <c r="G24" s="100">
        <f>+G20/G16</f>
        <v>-0.82568749999999991</v>
      </c>
      <c r="H24" s="100">
        <f t="shared" si="13"/>
        <v>-0.89537022900763352</v>
      </c>
      <c r="I24" s="100">
        <f t="shared" si="13"/>
        <v>-0.81632499999999997</v>
      </c>
      <c r="J24" s="100">
        <f t="shared" si="13"/>
        <v>-0.76442999999999994</v>
      </c>
      <c r="K24" s="100">
        <f t="shared" si="13"/>
        <v>-0.7900014492753622</v>
      </c>
      <c r="L24" s="100">
        <f t="shared" si="13"/>
        <v>-0.77712374100719417</v>
      </c>
      <c r="M24" s="100">
        <f t="shared" si="13"/>
        <v>-0.84343432835820886</v>
      </c>
      <c r="N24" s="100">
        <f t="shared" si="13"/>
        <v>-0.94026666666666647</v>
      </c>
      <c r="O24" s="100">
        <f t="shared" si="13"/>
        <v>-0.94026666666666647</v>
      </c>
      <c r="P24" s="100">
        <f t="shared" si="13"/>
        <v>-0.94026666666666647</v>
      </c>
      <c r="Q24" s="100">
        <f t="shared" si="13"/>
        <v>-0.94026666666666647</v>
      </c>
      <c r="R24" s="100">
        <f t="shared" si="13"/>
        <v>-0.94026666666666647</v>
      </c>
      <c r="S24" s="100">
        <f t="shared" si="13"/>
        <v>-0.94026666666666647</v>
      </c>
      <c r="T24" s="100">
        <f t="shared" si="13"/>
        <v>-0.90994999999999981</v>
      </c>
      <c r="U24" s="100">
        <f t="shared" si="13"/>
        <v>-0.86621068702290061</v>
      </c>
      <c r="V24" s="100">
        <f t="shared" si="13"/>
        <v>-1.0038819672131145</v>
      </c>
      <c r="W24" s="100">
        <f t="shared" si="13"/>
        <v>-0.94026666666666647</v>
      </c>
    </row>
    <row r="25" spans="1:23" s="36" customFormat="1" x14ac:dyDescent="0.3">
      <c r="A25" s="406"/>
      <c r="B25" s="97" t="s">
        <v>205</v>
      </c>
      <c r="C25" s="98"/>
      <c r="D25" s="100">
        <f>+D21/D17</f>
        <v>-0.94504094488188972</v>
      </c>
      <c r="E25" s="100">
        <f>+E21/E17</f>
        <v>-0.78628417266187045</v>
      </c>
      <c r="F25" s="100">
        <f t="shared" ref="F25:W25" si="14">+F21/F17</f>
        <v>-0.7485457746478873</v>
      </c>
      <c r="G25" s="100">
        <f>+G21/G17</f>
        <v>-0.8123613138686131</v>
      </c>
      <c r="H25" s="100">
        <f t="shared" si="14"/>
        <v>-0.88101136363636356</v>
      </c>
      <c r="I25" s="100">
        <f t="shared" si="14"/>
        <v>-0.80306715328467149</v>
      </c>
      <c r="J25" s="100">
        <f t="shared" si="14"/>
        <v>-0.75191631205673748</v>
      </c>
      <c r="K25" s="100">
        <f t="shared" si="14"/>
        <v>-0.77712374100719417</v>
      </c>
      <c r="L25" s="100">
        <f t="shared" si="14"/>
        <v>-0.76442999999999994</v>
      </c>
      <c r="M25" s="100">
        <f t="shared" si="14"/>
        <v>-0.82977925925925922</v>
      </c>
      <c r="N25" s="100">
        <f t="shared" si="14"/>
        <v>-0.92498897637795252</v>
      </c>
      <c r="O25" s="100">
        <f t="shared" si="14"/>
        <v>-0.92498897637795252</v>
      </c>
      <c r="P25" s="100">
        <f t="shared" si="14"/>
        <v>-0.92498897637795252</v>
      </c>
      <c r="Q25" s="100">
        <f t="shared" si="14"/>
        <v>-0.92498897637795252</v>
      </c>
      <c r="R25" s="100">
        <f t="shared" si="14"/>
        <v>-0.92498897637795252</v>
      </c>
      <c r="S25" s="100">
        <f t="shared" si="14"/>
        <v>-0.92498897637795252</v>
      </c>
      <c r="T25" s="100">
        <f t="shared" si="14"/>
        <v>-0.89514418604651147</v>
      </c>
      <c r="U25" s="100">
        <f t="shared" si="14"/>
        <v>-0.85207272727272709</v>
      </c>
      <c r="V25" s="100">
        <f t="shared" si="14"/>
        <v>-0.98759024390243888</v>
      </c>
      <c r="W25" s="100">
        <f t="shared" si="14"/>
        <v>-0.92498897637795252</v>
      </c>
    </row>
    <row r="26" spans="1:23" s="36" customFormat="1" ht="21" thickBot="1" x14ac:dyDescent="0.35">
      <c r="A26" s="406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</row>
    <row r="27" spans="1:23" s="19" customFormat="1" ht="24" thickBot="1" x14ac:dyDescent="0.4">
      <c r="A27" s="19" t="s">
        <v>241</v>
      </c>
      <c r="B27" s="345" t="s">
        <v>25</v>
      </c>
      <c r="C27" s="68"/>
      <c r="D27" s="17" t="s">
        <v>5</v>
      </c>
      <c r="E27" s="18" t="s">
        <v>6</v>
      </c>
      <c r="F27" s="18" t="s">
        <v>7</v>
      </c>
      <c r="G27" s="18" t="s">
        <v>8</v>
      </c>
      <c r="H27" s="18" t="s">
        <v>9</v>
      </c>
      <c r="I27" s="18" t="s">
        <v>10</v>
      </c>
      <c r="J27" s="18" t="s">
        <v>11</v>
      </c>
      <c r="K27" s="18" t="s">
        <v>12</v>
      </c>
      <c r="L27" s="18" t="s">
        <v>13</v>
      </c>
      <c r="M27" s="18" t="s">
        <v>14</v>
      </c>
      <c r="N27" s="18" t="s">
        <v>15</v>
      </c>
      <c r="O27" s="18" t="s">
        <v>16</v>
      </c>
      <c r="P27" s="18" t="s">
        <v>17</v>
      </c>
      <c r="Q27" s="18" t="s">
        <v>18</v>
      </c>
      <c r="R27" s="18" t="s">
        <v>19</v>
      </c>
      <c r="S27" s="18" t="s">
        <v>20</v>
      </c>
      <c r="T27" s="18" t="s">
        <v>21</v>
      </c>
      <c r="U27" s="18" t="s">
        <v>22</v>
      </c>
      <c r="V27" s="18" t="s">
        <v>23</v>
      </c>
      <c r="W27" s="18" t="s">
        <v>166</v>
      </c>
    </row>
    <row r="28" spans="1:23" x14ac:dyDescent="0.3">
      <c r="B28" s="54" t="s">
        <v>50</v>
      </c>
      <c r="C28" s="55"/>
      <c r="D28" s="20">
        <v>274</v>
      </c>
      <c r="E28" s="21">
        <f>D28</f>
        <v>274</v>
      </c>
      <c r="F28" s="21">
        <f>D28</f>
        <v>274</v>
      </c>
      <c r="G28" s="21">
        <f>D28</f>
        <v>274</v>
      </c>
      <c r="H28" s="21">
        <f>E28</f>
        <v>274</v>
      </c>
      <c r="I28" s="21">
        <f>D28</f>
        <v>274</v>
      </c>
      <c r="J28" s="21">
        <f>D28</f>
        <v>274</v>
      </c>
      <c r="K28" s="21">
        <f>D28</f>
        <v>274</v>
      </c>
      <c r="L28" s="21">
        <f>D28</f>
        <v>274</v>
      </c>
      <c r="M28" s="21">
        <f>D28</f>
        <v>274</v>
      </c>
      <c r="N28" s="21">
        <f>D28</f>
        <v>274</v>
      </c>
      <c r="O28" s="21">
        <f>D28</f>
        <v>274</v>
      </c>
      <c r="P28" s="21">
        <f>D28</f>
        <v>274</v>
      </c>
      <c r="Q28" s="21">
        <f>D28</f>
        <v>274</v>
      </c>
      <c r="R28" s="21">
        <f>D28</f>
        <v>274</v>
      </c>
      <c r="S28" s="21">
        <f>D28</f>
        <v>274</v>
      </c>
      <c r="T28" s="21">
        <f>D28</f>
        <v>274</v>
      </c>
      <c r="U28" s="21">
        <f>D28</f>
        <v>274</v>
      </c>
      <c r="V28" s="21">
        <f>D28</f>
        <v>274</v>
      </c>
      <c r="W28" s="21">
        <f>H28</f>
        <v>274</v>
      </c>
    </row>
    <row r="29" spans="1:23" ht="23" x14ac:dyDescent="0.35">
      <c r="B29" s="340" t="s">
        <v>51</v>
      </c>
      <c r="C29" s="341"/>
      <c r="D29" s="342">
        <v>0.04</v>
      </c>
      <c r="E29" s="342">
        <v>0.04</v>
      </c>
      <c r="F29" s="342">
        <v>0.04</v>
      </c>
      <c r="G29" s="342">
        <v>0.04</v>
      </c>
      <c r="H29" s="342">
        <v>0.04</v>
      </c>
      <c r="I29" s="342">
        <v>0.04</v>
      </c>
      <c r="J29" s="342">
        <v>0.04</v>
      </c>
      <c r="K29" s="342">
        <v>0.04</v>
      </c>
      <c r="L29" s="342">
        <v>0.04</v>
      </c>
      <c r="M29" s="342">
        <v>0.04</v>
      </c>
      <c r="N29" s="342">
        <v>0.04</v>
      </c>
      <c r="O29" s="342">
        <v>0.04</v>
      </c>
      <c r="P29" s="342">
        <v>0.04</v>
      </c>
      <c r="Q29" s="342">
        <v>0.04</v>
      </c>
      <c r="R29" s="342">
        <v>0.04</v>
      </c>
      <c r="S29" s="342">
        <v>0.04</v>
      </c>
      <c r="T29" s="342">
        <v>0.04</v>
      </c>
      <c r="U29" s="342">
        <v>0.04</v>
      </c>
      <c r="V29" s="342">
        <v>0.04</v>
      </c>
      <c r="W29" s="342">
        <v>0.04</v>
      </c>
    </row>
    <row r="30" spans="1:23" x14ac:dyDescent="0.3">
      <c r="B30" s="54"/>
      <c r="C30" s="55"/>
      <c r="D30" s="20">
        <f t="shared" ref="D30:V30" si="15">D28*(1-D29)</f>
        <v>263.03999999999996</v>
      </c>
      <c r="E30" s="20">
        <f t="shared" si="15"/>
        <v>263.03999999999996</v>
      </c>
      <c r="F30" s="20">
        <f t="shared" si="15"/>
        <v>263.03999999999996</v>
      </c>
      <c r="G30" s="20">
        <f t="shared" si="15"/>
        <v>263.03999999999996</v>
      </c>
      <c r="H30" s="20">
        <f t="shared" si="15"/>
        <v>263.03999999999996</v>
      </c>
      <c r="I30" s="20">
        <f t="shared" si="15"/>
        <v>263.03999999999996</v>
      </c>
      <c r="J30" s="20">
        <f t="shared" si="15"/>
        <v>263.03999999999996</v>
      </c>
      <c r="K30" s="20">
        <f t="shared" si="15"/>
        <v>263.03999999999996</v>
      </c>
      <c r="L30" s="20">
        <f t="shared" si="15"/>
        <v>263.03999999999996</v>
      </c>
      <c r="M30" s="20">
        <f t="shared" si="15"/>
        <v>263.03999999999996</v>
      </c>
      <c r="N30" s="20">
        <f t="shared" si="15"/>
        <v>263.03999999999996</v>
      </c>
      <c r="O30" s="20">
        <f t="shared" si="15"/>
        <v>263.03999999999996</v>
      </c>
      <c r="P30" s="20">
        <f t="shared" si="15"/>
        <v>263.03999999999996</v>
      </c>
      <c r="Q30" s="20">
        <f t="shared" si="15"/>
        <v>263.03999999999996</v>
      </c>
      <c r="R30" s="20">
        <f t="shared" si="15"/>
        <v>263.03999999999996</v>
      </c>
      <c r="S30" s="20">
        <f t="shared" si="15"/>
        <v>263.03999999999996</v>
      </c>
      <c r="T30" s="20">
        <f t="shared" si="15"/>
        <v>263.03999999999996</v>
      </c>
      <c r="U30" s="20">
        <f t="shared" si="15"/>
        <v>263.03999999999996</v>
      </c>
      <c r="V30" s="20">
        <f t="shared" si="15"/>
        <v>263.03999999999996</v>
      </c>
      <c r="W30" s="20">
        <f>W28*(1-W29)</f>
        <v>263.03999999999996</v>
      </c>
    </row>
    <row r="31" spans="1:23" x14ac:dyDescent="0.3">
      <c r="B31" s="54" t="s">
        <v>51</v>
      </c>
      <c r="C31" s="56">
        <v>0</v>
      </c>
      <c r="D31" s="20">
        <f t="shared" ref="D31:W31" si="16">D30*$C31</f>
        <v>0</v>
      </c>
      <c r="E31" s="20">
        <f t="shared" si="16"/>
        <v>0</v>
      </c>
      <c r="F31" s="20">
        <f t="shared" si="16"/>
        <v>0</v>
      </c>
      <c r="G31" s="20">
        <f t="shared" si="16"/>
        <v>0</v>
      </c>
      <c r="H31" s="20">
        <f t="shared" si="16"/>
        <v>0</v>
      </c>
      <c r="I31" s="20">
        <f t="shared" si="16"/>
        <v>0</v>
      </c>
      <c r="J31" s="20">
        <f t="shared" si="16"/>
        <v>0</v>
      </c>
      <c r="K31" s="20">
        <f t="shared" si="16"/>
        <v>0</v>
      </c>
      <c r="L31" s="20">
        <f t="shared" si="16"/>
        <v>0</v>
      </c>
      <c r="M31" s="20">
        <f t="shared" si="16"/>
        <v>0</v>
      </c>
      <c r="N31" s="20">
        <f t="shared" si="16"/>
        <v>0</v>
      </c>
      <c r="O31" s="20">
        <f t="shared" si="16"/>
        <v>0</v>
      </c>
      <c r="P31" s="20">
        <f t="shared" si="16"/>
        <v>0</v>
      </c>
      <c r="Q31" s="20">
        <f t="shared" si="16"/>
        <v>0</v>
      </c>
      <c r="R31" s="20">
        <f t="shared" si="16"/>
        <v>0</v>
      </c>
      <c r="S31" s="20">
        <f t="shared" si="16"/>
        <v>0</v>
      </c>
      <c r="T31" s="20">
        <f t="shared" si="16"/>
        <v>0</v>
      </c>
      <c r="U31" s="20">
        <f t="shared" si="16"/>
        <v>0</v>
      </c>
      <c r="V31" s="20">
        <f t="shared" si="16"/>
        <v>0</v>
      </c>
      <c r="W31" s="20">
        <f t="shared" si="16"/>
        <v>0</v>
      </c>
    </row>
    <row r="32" spans="1:23" x14ac:dyDescent="0.3">
      <c r="B32" s="54" t="s">
        <v>67</v>
      </c>
      <c r="C32" s="55"/>
      <c r="D32" s="20">
        <f>D30-D31</f>
        <v>263.03999999999996</v>
      </c>
      <c r="E32" s="20">
        <f t="shared" ref="E32:V32" si="17">E30-E31</f>
        <v>263.03999999999996</v>
      </c>
      <c r="F32" s="20">
        <f t="shared" si="17"/>
        <v>263.03999999999996</v>
      </c>
      <c r="G32" s="20">
        <f t="shared" si="17"/>
        <v>263.03999999999996</v>
      </c>
      <c r="H32" s="20">
        <f t="shared" si="17"/>
        <v>263.03999999999996</v>
      </c>
      <c r="I32" s="20">
        <f t="shared" si="17"/>
        <v>263.03999999999996</v>
      </c>
      <c r="J32" s="20">
        <f t="shared" si="17"/>
        <v>263.03999999999996</v>
      </c>
      <c r="K32" s="20">
        <f t="shared" si="17"/>
        <v>263.03999999999996</v>
      </c>
      <c r="L32" s="20">
        <f t="shared" si="17"/>
        <v>263.03999999999996</v>
      </c>
      <c r="M32" s="20">
        <f t="shared" si="17"/>
        <v>263.03999999999996</v>
      </c>
      <c r="N32" s="20">
        <f t="shared" si="17"/>
        <v>263.03999999999996</v>
      </c>
      <c r="O32" s="20">
        <f t="shared" si="17"/>
        <v>263.03999999999996</v>
      </c>
      <c r="P32" s="20">
        <f t="shared" si="17"/>
        <v>263.03999999999996</v>
      </c>
      <c r="Q32" s="20">
        <f t="shared" si="17"/>
        <v>263.03999999999996</v>
      </c>
      <c r="R32" s="20">
        <f t="shared" si="17"/>
        <v>263.03999999999996</v>
      </c>
      <c r="S32" s="20">
        <f t="shared" si="17"/>
        <v>263.03999999999996</v>
      </c>
      <c r="T32" s="20">
        <f t="shared" si="17"/>
        <v>263.03999999999996</v>
      </c>
      <c r="U32" s="20">
        <f t="shared" si="17"/>
        <v>263.03999999999996</v>
      </c>
      <c r="V32" s="20">
        <f t="shared" si="17"/>
        <v>263.03999999999996</v>
      </c>
      <c r="W32" s="20">
        <f>W30-W31</f>
        <v>263.03999999999996</v>
      </c>
    </row>
    <row r="33" spans="1:29" x14ac:dyDescent="0.3">
      <c r="B33" s="54" t="s">
        <v>66</v>
      </c>
      <c r="C33" s="56">
        <v>7.0000000000000007E-2</v>
      </c>
      <c r="D33" s="20">
        <f t="shared" ref="D33:W33" si="18">D32*$C33</f>
        <v>18.412800000000001</v>
      </c>
      <c r="E33" s="20">
        <f t="shared" si="18"/>
        <v>18.412800000000001</v>
      </c>
      <c r="F33" s="20">
        <f t="shared" si="18"/>
        <v>18.412800000000001</v>
      </c>
      <c r="G33" s="20">
        <f t="shared" si="18"/>
        <v>18.412800000000001</v>
      </c>
      <c r="H33" s="20">
        <f t="shared" si="18"/>
        <v>18.412800000000001</v>
      </c>
      <c r="I33" s="20">
        <f t="shared" si="18"/>
        <v>18.412800000000001</v>
      </c>
      <c r="J33" s="20">
        <f t="shared" si="18"/>
        <v>18.412800000000001</v>
      </c>
      <c r="K33" s="20">
        <f t="shared" si="18"/>
        <v>18.412800000000001</v>
      </c>
      <c r="L33" s="20">
        <f t="shared" si="18"/>
        <v>18.412800000000001</v>
      </c>
      <c r="M33" s="20">
        <f t="shared" si="18"/>
        <v>18.412800000000001</v>
      </c>
      <c r="N33" s="20">
        <f t="shared" si="18"/>
        <v>18.412800000000001</v>
      </c>
      <c r="O33" s="20">
        <f t="shared" si="18"/>
        <v>18.412800000000001</v>
      </c>
      <c r="P33" s="20">
        <f t="shared" si="18"/>
        <v>18.412800000000001</v>
      </c>
      <c r="Q33" s="20">
        <f t="shared" si="18"/>
        <v>18.412800000000001</v>
      </c>
      <c r="R33" s="20">
        <f t="shared" si="18"/>
        <v>18.412800000000001</v>
      </c>
      <c r="S33" s="20">
        <f t="shared" si="18"/>
        <v>18.412800000000001</v>
      </c>
      <c r="T33" s="20">
        <f t="shared" si="18"/>
        <v>18.412800000000001</v>
      </c>
      <c r="U33" s="20">
        <f t="shared" si="18"/>
        <v>18.412800000000001</v>
      </c>
      <c r="V33" s="20">
        <f t="shared" si="18"/>
        <v>18.412800000000001</v>
      </c>
      <c r="W33" s="20">
        <f t="shared" si="18"/>
        <v>18.412800000000001</v>
      </c>
    </row>
    <row r="34" spans="1:29" x14ac:dyDescent="0.3">
      <c r="B34" s="54" t="s">
        <v>68</v>
      </c>
      <c r="C34" s="55"/>
      <c r="D34" s="20">
        <f>D32+D33</f>
        <v>281.45279999999997</v>
      </c>
      <c r="E34" s="20">
        <f t="shared" ref="E34:V34" si="19">E32+E33</f>
        <v>281.45279999999997</v>
      </c>
      <c r="F34" s="20">
        <f t="shared" si="19"/>
        <v>281.45279999999997</v>
      </c>
      <c r="G34" s="20">
        <f t="shared" si="19"/>
        <v>281.45279999999997</v>
      </c>
      <c r="H34" s="20">
        <f t="shared" si="19"/>
        <v>281.45279999999997</v>
      </c>
      <c r="I34" s="20">
        <f t="shared" si="19"/>
        <v>281.45279999999997</v>
      </c>
      <c r="J34" s="20">
        <f t="shared" si="19"/>
        <v>281.45279999999997</v>
      </c>
      <c r="K34" s="20">
        <f t="shared" si="19"/>
        <v>281.45279999999997</v>
      </c>
      <c r="L34" s="20">
        <f t="shared" si="19"/>
        <v>281.45279999999997</v>
      </c>
      <c r="M34" s="20">
        <f t="shared" si="19"/>
        <v>281.45279999999997</v>
      </c>
      <c r="N34" s="20">
        <f t="shared" si="19"/>
        <v>281.45279999999997</v>
      </c>
      <c r="O34" s="20">
        <f t="shared" si="19"/>
        <v>281.45279999999997</v>
      </c>
      <c r="P34" s="20">
        <f t="shared" si="19"/>
        <v>281.45279999999997</v>
      </c>
      <c r="Q34" s="20">
        <f t="shared" si="19"/>
        <v>281.45279999999997</v>
      </c>
      <c r="R34" s="20">
        <f t="shared" si="19"/>
        <v>281.45279999999997</v>
      </c>
      <c r="S34" s="20">
        <f t="shared" si="19"/>
        <v>281.45279999999997</v>
      </c>
      <c r="T34" s="20">
        <f t="shared" si="19"/>
        <v>281.45279999999997</v>
      </c>
      <c r="U34" s="20">
        <f t="shared" si="19"/>
        <v>281.45279999999997</v>
      </c>
      <c r="V34" s="20">
        <f t="shared" si="19"/>
        <v>281.45279999999997</v>
      </c>
      <c r="W34" s="20">
        <f>W32+W33</f>
        <v>281.45279999999997</v>
      </c>
    </row>
    <row r="35" spans="1:29" ht="23" x14ac:dyDescent="0.35">
      <c r="B35" s="346" t="s">
        <v>52</v>
      </c>
      <c r="C35" s="347"/>
      <c r="D35" s="379"/>
      <c r="E35" s="379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79"/>
    </row>
    <row r="36" spans="1:29" x14ac:dyDescent="0.3">
      <c r="B36" s="57" t="s">
        <v>53</v>
      </c>
      <c r="C36" s="58"/>
      <c r="D36" s="25">
        <f>SUM(D34:D35)</f>
        <v>281.45279999999997</v>
      </c>
      <c r="E36" s="26">
        <f t="shared" ref="E36:V36" si="20">SUM(E34:E35)</f>
        <v>281.45279999999997</v>
      </c>
      <c r="F36" s="26">
        <f t="shared" si="20"/>
        <v>281.45279999999997</v>
      </c>
      <c r="G36" s="26">
        <f t="shared" si="20"/>
        <v>281.45279999999997</v>
      </c>
      <c r="H36" s="26">
        <f t="shared" si="20"/>
        <v>281.45279999999997</v>
      </c>
      <c r="I36" s="26">
        <f t="shared" si="20"/>
        <v>281.45279999999997</v>
      </c>
      <c r="J36" s="26">
        <f t="shared" si="20"/>
        <v>281.45279999999997</v>
      </c>
      <c r="K36" s="26">
        <f t="shared" si="20"/>
        <v>281.45279999999997</v>
      </c>
      <c r="L36" s="26">
        <f t="shared" si="20"/>
        <v>281.45279999999997</v>
      </c>
      <c r="M36" s="26">
        <f t="shared" si="20"/>
        <v>281.45279999999997</v>
      </c>
      <c r="N36" s="26">
        <f t="shared" si="20"/>
        <v>281.45279999999997</v>
      </c>
      <c r="O36" s="26">
        <f t="shared" si="20"/>
        <v>281.45279999999997</v>
      </c>
      <c r="P36" s="26">
        <f t="shared" si="20"/>
        <v>281.45279999999997</v>
      </c>
      <c r="Q36" s="26">
        <f t="shared" si="20"/>
        <v>281.45279999999997</v>
      </c>
      <c r="R36" s="26">
        <f t="shared" si="20"/>
        <v>281.45279999999997</v>
      </c>
      <c r="S36" s="26">
        <f t="shared" si="20"/>
        <v>281.45279999999997</v>
      </c>
      <c r="T36" s="26">
        <f t="shared" si="20"/>
        <v>281.45279999999997</v>
      </c>
      <c r="U36" s="26">
        <f t="shared" si="20"/>
        <v>281.45279999999997</v>
      </c>
      <c r="V36" s="26">
        <f t="shared" si="20"/>
        <v>281.45279999999997</v>
      </c>
      <c r="W36" s="26">
        <f>SUM(W34:W35)</f>
        <v>281.45279999999997</v>
      </c>
    </row>
    <row r="37" spans="1:29" x14ac:dyDescent="0.3">
      <c r="B37" s="331" t="s">
        <v>54</v>
      </c>
      <c r="C37" s="332"/>
      <c r="D37" s="333"/>
      <c r="E37" s="333"/>
      <c r="F37" s="333"/>
      <c r="G37" s="333"/>
      <c r="H37" s="333"/>
      <c r="I37" s="333"/>
      <c r="J37" s="333"/>
      <c r="K37" s="333"/>
      <c r="L37" s="333"/>
      <c r="M37" s="333"/>
      <c r="N37" s="333"/>
      <c r="O37" s="333"/>
      <c r="P37" s="333"/>
      <c r="Q37" s="333"/>
      <c r="R37" s="333"/>
      <c r="S37" s="333"/>
      <c r="T37" s="333"/>
      <c r="U37" s="333"/>
      <c r="V37" s="333"/>
      <c r="W37" s="333"/>
      <c r="Y37" s="38"/>
      <c r="Z37" s="38"/>
      <c r="AA37" s="38"/>
      <c r="AB37" s="38"/>
      <c r="AC37" s="38"/>
    </row>
    <row r="38" spans="1:29" ht="23" x14ac:dyDescent="0.35">
      <c r="B38" s="353" t="s">
        <v>55</v>
      </c>
      <c r="C38" s="354"/>
      <c r="D38" s="355">
        <f>D36</f>
        <v>281.45279999999997</v>
      </c>
      <c r="E38" s="356">
        <f>E36</f>
        <v>281.45279999999997</v>
      </c>
      <c r="F38" s="356">
        <f t="shared" ref="F38:W38" si="21">F36</f>
        <v>281.45279999999997</v>
      </c>
      <c r="G38" s="356">
        <f t="shared" si="21"/>
        <v>281.45279999999997</v>
      </c>
      <c r="H38" s="356">
        <f t="shared" si="21"/>
        <v>281.45279999999997</v>
      </c>
      <c r="I38" s="356">
        <f t="shared" si="21"/>
        <v>281.45279999999997</v>
      </c>
      <c r="J38" s="356">
        <f>J36</f>
        <v>281.45279999999997</v>
      </c>
      <c r="K38" s="356">
        <f t="shared" si="21"/>
        <v>281.45279999999997</v>
      </c>
      <c r="L38" s="356">
        <f t="shared" si="21"/>
        <v>281.45279999999997</v>
      </c>
      <c r="M38" s="356">
        <f t="shared" si="21"/>
        <v>281.45279999999997</v>
      </c>
      <c r="N38" s="356">
        <f t="shared" si="21"/>
        <v>281.45279999999997</v>
      </c>
      <c r="O38" s="356">
        <f t="shared" si="21"/>
        <v>281.45279999999997</v>
      </c>
      <c r="P38" s="356">
        <f t="shared" si="21"/>
        <v>281.45279999999997</v>
      </c>
      <c r="Q38" s="356">
        <f t="shared" si="21"/>
        <v>281.45279999999997</v>
      </c>
      <c r="R38" s="356">
        <f t="shared" si="21"/>
        <v>281.45279999999997</v>
      </c>
      <c r="S38" s="356">
        <f t="shared" si="21"/>
        <v>281.45279999999997</v>
      </c>
      <c r="T38" s="356">
        <f t="shared" si="21"/>
        <v>281.45279999999997</v>
      </c>
      <c r="U38" s="356">
        <f t="shared" si="21"/>
        <v>281.45279999999997</v>
      </c>
      <c r="V38" s="356">
        <f t="shared" si="21"/>
        <v>281.45279999999997</v>
      </c>
      <c r="W38" s="356">
        <f t="shared" si="21"/>
        <v>281.45279999999997</v>
      </c>
    </row>
    <row r="39" spans="1:29" x14ac:dyDescent="0.3">
      <c r="B39" s="171" t="s">
        <v>194</v>
      </c>
      <c r="C39" s="55"/>
      <c r="D39" s="20">
        <v>124</v>
      </c>
      <c r="E39" s="21">
        <v>139</v>
      </c>
      <c r="F39" s="21">
        <v>141</v>
      </c>
      <c r="G39" s="21">
        <v>136</v>
      </c>
      <c r="H39" s="21">
        <v>132</v>
      </c>
      <c r="I39" s="21">
        <v>133</v>
      </c>
      <c r="J39" s="21">
        <v>137</v>
      </c>
      <c r="K39" s="21">
        <v>135</v>
      </c>
      <c r="L39" s="21">
        <v>137</v>
      </c>
      <c r="M39" s="21">
        <v>131</v>
      </c>
      <c r="N39" s="21">
        <v>124</v>
      </c>
      <c r="O39" s="21">
        <v>124</v>
      </c>
      <c r="P39" s="21">
        <v>124</v>
      </c>
      <c r="Q39" s="21">
        <v>124</v>
      </c>
      <c r="R39" s="21">
        <v>124</v>
      </c>
      <c r="S39" s="21">
        <v>124</v>
      </c>
      <c r="T39" s="21">
        <v>128</v>
      </c>
      <c r="U39" s="21">
        <v>131</v>
      </c>
      <c r="V39" s="21">
        <v>123</v>
      </c>
      <c r="W39" s="21">
        <v>124</v>
      </c>
    </row>
    <row r="40" spans="1:29" s="30" customFormat="1" x14ac:dyDescent="0.3">
      <c r="A40" s="404"/>
      <c r="B40" s="61" t="s">
        <v>195</v>
      </c>
      <c r="C40" s="62"/>
      <c r="D40" s="28">
        <v>125</v>
      </c>
      <c r="E40" s="29">
        <v>140</v>
      </c>
      <c r="F40" s="29">
        <v>142</v>
      </c>
      <c r="G40" s="29">
        <v>137</v>
      </c>
      <c r="H40" s="29">
        <v>133</v>
      </c>
      <c r="I40" s="29">
        <v>134</v>
      </c>
      <c r="J40" s="29">
        <v>138</v>
      </c>
      <c r="K40" s="29">
        <v>136</v>
      </c>
      <c r="L40" s="29">
        <v>138</v>
      </c>
      <c r="M40" s="29">
        <v>132</v>
      </c>
      <c r="N40" s="29">
        <v>125</v>
      </c>
      <c r="O40" s="29">
        <v>125</v>
      </c>
      <c r="P40" s="29">
        <v>125</v>
      </c>
      <c r="Q40" s="29">
        <v>125</v>
      </c>
      <c r="R40" s="29">
        <v>125</v>
      </c>
      <c r="S40" s="29">
        <v>125</v>
      </c>
      <c r="T40" s="29">
        <v>129</v>
      </c>
      <c r="U40" s="29">
        <v>132</v>
      </c>
      <c r="V40" s="29">
        <v>124</v>
      </c>
      <c r="W40" s="29">
        <v>125</v>
      </c>
    </row>
    <row r="41" spans="1:29" s="30" customFormat="1" x14ac:dyDescent="0.3">
      <c r="A41" s="404"/>
      <c r="B41" s="61" t="s">
        <v>196</v>
      </c>
      <c r="C41" s="62"/>
      <c r="D41" s="28">
        <v>126</v>
      </c>
      <c r="E41" s="29">
        <v>141</v>
      </c>
      <c r="F41" s="29">
        <v>143</v>
      </c>
      <c r="G41" s="29">
        <v>138</v>
      </c>
      <c r="H41" s="29">
        <v>134</v>
      </c>
      <c r="I41" s="29">
        <v>135</v>
      </c>
      <c r="J41" s="29">
        <v>139</v>
      </c>
      <c r="K41" s="29">
        <v>137</v>
      </c>
      <c r="L41" s="29">
        <v>139</v>
      </c>
      <c r="M41" s="29">
        <v>133</v>
      </c>
      <c r="N41" s="29">
        <v>126</v>
      </c>
      <c r="O41" s="29">
        <v>126</v>
      </c>
      <c r="P41" s="29">
        <v>126</v>
      </c>
      <c r="Q41" s="29">
        <v>126</v>
      </c>
      <c r="R41" s="29">
        <v>126</v>
      </c>
      <c r="S41" s="29">
        <v>126</v>
      </c>
      <c r="T41" s="29">
        <v>130</v>
      </c>
      <c r="U41" s="29">
        <v>133</v>
      </c>
      <c r="V41" s="29">
        <v>125</v>
      </c>
      <c r="W41" s="29">
        <v>126</v>
      </c>
    </row>
    <row r="42" spans="1:29" s="30" customFormat="1" x14ac:dyDescent="0.3">
      <c r="A42" s="404"/>
      <c r="B42" s="61" t="s">
        <v>197</v>
      </c>
      <c r="C42" s="62"/>
      <c r="D42" s="28">
        <v>127</v>
      </c>
      <c r="E42" s="29">
        <v>142</v>
      </c>
      <c r="F42" s="29">
        <v>144</v>
      </c>
      <c r="G42" s="29">
        <v>139</v>
      </c>
      <c r="H42" s="29">
        <v>135</v>
      </c>
      <c r="I42" s="29">
        <v>136</v>
      </c>
      <c r="J42" s="29">
        <v>140</v>
      </c>
      <c r="K42" s="29">
        <v>138</v>
      </c>
      <c r="L42" s="29">
        <v>140</v>
      </c>
      <c r="M42" s="29">
        <v>134</v>
      </c>
      <c r="N42" s="29">
        <v>127</v>
      </c>
      <c r="O42" s="29">
        <v>127</v>
      </c>
      <c r="P42" s="29">
        <v>127</v>
      </c>
      <c r="Q42" s="29">
        <v>127</v>
      </c>
      <c r="R42" s="29">
        <v>127</v>
      </c>
      <c r="S42" s="29">
        <v>127</v>
      </c>
      <c r="T42" s="29">
        <v>131</v>
      </c>
      <c r="U42" s="29">
        <v>134</v>
      </c>
      <c r="V42" s="29">
        <v>126</v>
      </c>
      <c r="W42" s="29">
        <v>127</v>
      </c>
    </row>
    <row r="43" spans="1:29" s="30" customFormat="1" x14ac:dyDescent="0.3">
      <c r="A43" s="404"/>
      <c r="B43" s="63" t="s">
        <v>198</v>
      </c>
      <c r="C43" s="62"/>
      <c r="D43" s="31">
        <f>+D39-D$38</f>
        <v>-157.45279999999997</v>
      </c>
      <c r="E43" s="31">
        <f t="shared" ref="E43:W43" si="22">+E39-E$38</f>
        <v>-142.45279999999997</v>
      </c>
      <c r="F43" s="31">
        <f t="shared" si="22"/>
        <v>-140.45279999999997</v>
      </c>
      <c r="G43" s="31">
        <f t="shared" si="22"/>
        <v>-145.45279999999997</v>
      </c>
      <c r="H43" s="31">
        <f t="shared" si="22"/>
        <v>-149.45279999999997</v>
      </c>
      <c r="I43" s="31">
        <f t="shared" si="22"/>
        <v>-148.45279999999997</v>
      </c>
      <c r="J43" s="31">
        <f t="shared" si="22"/>
        <v>-144.45279999999997</v>
      </c>
      <c r="K43" s="31">
        <f t="shared" si="22"/>
        <v>-146.45279999999997</v>
      </c>
      <c r="L43" s="31">
        <f t="shared" si="22"/>
        <v>-144.45279999999997</v>
      </c>
      <c r="M43" s="31">
        <f t="shared" si="22"/>
        <v>-150.45279999999997</v>
      </c>
      <c r="N43" s="31">
        <f t="shared" si="22"/>
        <v>-157.45279999999997</v>
      </c>
      <c r="O43" s="31">
        <f t="shared" si="22"/>
        <v>-157.45279999999997</v>
      </c>
      <c r="P43" s="31">
        <f t="shared" si="22"/>
        <v>-157.45279999999997</v>
      </c>
      <c r="Q43" s="31">
        <f t="shared" si="22"/>
        <v>-157.45279999999997</v>
      </c>
      <c r="R43" s="31">
        <f t="shared" si="22"/>
        <v>-157.45279999999997</v>
      </c>
      <c r="S43" s="31">
        <f t="shared" si="22"/>
        <v>-157.45279999999997</v>
      </c>
      <c r="T43" s="31">
        <f t="shared" si="22"/>
        <v>-153.45279999999997</v>
      </c>
      <c r="U43" s="31">
        <f t="shared" si="22"/>
        <v>-150.45279999999997</v>
      </c>
      <c r="V43" s="31">
        <f t="shared" si="22"/>
        <v>-158.45279999999997</v>
      </c>
      <c r="W43" s="31">
        <f t="shared" si="22"/>
        <v>-157.45279999999997</v>
      </c>
    </row>
    <row r="44" spans="1:29" s="33" customFormat="1" x14ac:dyDescent="0.3">
      <c r="A44" s="405"/>
      <c r="B44" s="63" t="s">
        <v>199</v>
      </c>
      <c r="C44" s="64"/>
      <c r="D44" s="31">
        <f>+D40-D$38</f>
        <v>-156.45279999999997</v>
      </c>
      <c r="E44" s="32">
        <f t="shared" ref="E44:W44" si="23">+E40-E$38</f>
        <v>-141.45279999999997</v>
      </c>
      <c r="F44" s="32">
        <f t="shared" si="23"/>
        <v>-139.45279999999997</v>
      </c>
      <c r="G44" s="32">
        <f t="shared" si="23"/>
        <v>-144.45279999999997</v>
      </c>
      <c r="H44" s="32">
        <f t="shared" si="23"/>
        <v>-148.45279999999997</v>
      </c>
      <c r="I44" s="32">
        <f t="shared" si="23"/>
        <v>-147.45279999999997</v>
      </c>
      <c r="J44" s="32">
        <f t="shared" si="23"/>
        <v>-143.45279999999997</v>
      </c>
      <c r="K44" s="32">
        <f t="shared" si="23"/>
        <v>-145.45279999999997</v>
      </c>
      <c r="L44" s="32">
        <f t="shared" si="23"/>
        <v>-143.45279999999997</v>
      </c>
      <c r="M44" s="32">
        <f t="shared" si="23"/>
        <v>-149.45279999999997</v>
      </c>
      <c r="N44" s="32">
        <f t="shared" si="23"/>
        <v>-156.45279999999997</v>
      </c>
      <c r="O44" s="32">
        <f t="shared" si="23"/>
        <v>-156.45279999999997</v>
      </c>
      <c r="P44" s="32">
        <f t="shared" si="23"/>
        <v>-156.45279999999997</v>
      </c>
      <c r="Q44" s="32">
        <f t="shared" si="23"/>
        <v>-156.45279999999997</v>
      </c>
      <c r="R44" s="32">
        <f t="shared" si="23"/>
        <v>-156.45279999999997</v>
      </c>
      <c r="S44" s="32">
        <f t="shared" si="23"/>
        <v>-156.45279999999997</v>
      </c>
      <c r="T44" s="32">
        <f t="shared" si="23"/>
        <v>-152.45279999999997</v>
      </c>
      <c r="U44" s="32">
        <f t="shared" si="23"/>
        <v>-149.45279999999997</v>
      </c>
      <c r="V44" s="32">
        <f t="shared" si="23"/>
        <v>-157.45279999999997</v>
      </c>
      <c r="W44" s="32">
        <f t="shared" si="23"/>
        <v>-156.45279999999997</v>
      </c>
    </row>
    <row r="45" spans="1:29" s="33" customFormat="1" x14ac:dyDescent="0.3">
      <c r="A45" s="405"/>
      <c r="B45" s="63" t="s">
        <v>200</v>
      </c>
      <c r="C45" s="64"/>
      <c r="D45" s="31">
        <f>+D41-D$38</f>
        <v>-155.45279999999997</v>
      </c>
      <c r="E45" s="32">
        <f t="shared" ref="E45:W45" si="24">+E41-E$38</f>
        <v>-140.45279999999997</v>
      </c>
      <c r="F45" s="32">
        <f t="shared" si="24"/>
        <v>-138.45279999999997</v>
      </c>
      <c r="G45" s="32">
        <f t="shared" si="24"/>
        <v>-143.45279999999997</v>
      </c>
      <c r="H45" s="32">
        <f t="shared" si="24"/>
        <v>-147.45279999999997</v>
      </c>
      <c r="I45" s="32">
        <f t="shared" si="24"/>
        <v>-146.45279999999997</v>
      </c>
      <c r="J45" s="32">
        <f t="shared" si="24"/>
        <v>-142.45279999999997</v>
      </c>
      <c r="K45" s="32">
        <f t="shared" si="24"/>
        <v>-144.45279999999997</v>
      </c>
      <c r="L45" s="32">
        <f t="shared" si="24"/>
        <v>-142.45279999999997</v>
      </c>
      <c r="M45" s="32">
        <f t="shared" si="24"/>
        <v>-148.45279999999997</v>
      </c>
      <c r="N45" s="32">
        <f t="shared" si="24"/>
        <v>-155.45279999999997</v>
      </c>
      <c r="O45" s="32">
        <f t="shared" si="24"/>
        <v>-155.45279999999997</v>
      </c>
      <c r="P45" s="32">
        <f t="shared" si="24"/>
        <v>-155.45279999999997</v>
      </c>
      <c r="Q45" s="32">
        <f t="shared" si="24"/>
        <v>-155.45279999999997</v>
      </c>
      <c r="R45" s="32">
        <f t="shared" si="24"/>
        <v>-155.45279999999997</v>
      </c>
      <c r="S45" s="32">
        <f t="shared" si="24"/>
        <v>-155.45279999999997</v>
      </c>
      <c r="T45" s="32">
        <f t="shared" si="24"/>
        <v>-151.45279999999997</v>
      </c>
      <c r="U45" s="32">
        <f t="shared" si="24"/>
        <v>-148.45279999999997</v>
      </c>
      <c r="V45" s="32">
        <f t="shared" si="24"/>
        <v>-156.45279999999997</v>
      </c>
      <c r="W45" s="32">
        <f t="shared" si="24"/>
        <v>-155.45279999999997</v>
      </c>
    </row>
    <row r="46" spans="1:29" s="33" customFormat="1" x14ac:dyDescent="0.3">
      <c r="A46" s="405"/>
      <c r="B46" s="63" t="s">
        <v>201</v>
      </c>
      <c r="C46" s="64"/>
      <c r="D46" s="31">
        <f>+D42-D$38</f>
        <v>-154.45279999999997</v>
      </c>
      <c r="E46" s="32">
        <f t="shared" ref="E46:W46" si="25">+E42-E$38</f>
        <v>-139.45279999999997</v>
      </c>
      <c r="F46" s="32">
        <f t="shared" si="25"/>
        <v>-137.45279999999997</v>
      </c>
      <c r="G46" s="32">
        <f t="shared" si="25"/>
        <v>-142.45279999999997</v>
      </c>
      <c r="H46" s="32">
        <f t="shared" si="25"/>
        <v>-146.45279999999997</v>
      </c>
      <c r="I46" s="32">
        <f t="shared" si="25"/>
        <v>-145.45279999999997</v>
      </c>
      <c r="J46" s="32">
        <f t="shared" si="25"/>
        <v>-141.45279999999997</v>
      </c>
      <c r="K46" s="32">
        <f t="shared" si="25"/>
        <v>-143.45279999999997</v>
      </c>
      <c r="L46" s="32">
        <f t="shared" si="25"/>
        <v>-141.45279999999997</v>
      </c>
      <c r="M46" s="32">
        <f t="shared" si="25"/>
        <v>-147.45279999999997</v>
      </c>
      <c r="N46" s="32">
        <f t="shared" si="25"/>
        <v>-154.45279999999997</v>
      </c>
      <c r="O46" s="32">
        <f t="shared" si="25"/>
        <v>-154.45279999999997</v>
      </c>
      <c r="P46" s="32">
        <f t="shared" si="25"/>
        <v>-154.45279999999997</v>
      </c>
      <c r="Q46" s="32">
        <f t="shared" si="25"/>
        <v>-154.45279999999997</v>
      </c>
      <c r="R46" s="32">
        <f t="shared" si="25"/>
        <v>-154.45279999999997</v>
      </c>
      <c r="S46" s="32">
        <f t="shared" si="25"/>
        <v>-154.45279999999997</v>
      </c>
      <c r="T46" s="32">
        <f t="shared" si="25"/>
        <v>-150.45279999999997</v>
      </c>
      <c r="U46" s="32">
        <f t="shared" si="25"/>
        <v>-147.45279999999997</v>
      </c>
      <c r="V46" s="32">
        <f t="shared" si="25"/>
        <v>-155.45279999999997</v>
      </c>
      <c r="W46" s="32">
        <f t="shared" si="25"/>
        <v>-154.45279999999997</v>
      </c>
    </row>
    <row r="47" spans="1:29" s="33" customFormat="1" x14ac:dyDescent="0.3">
      <c r="A47" s="405"/>
      <c r="B47" s="97" t="s">
        <v>202</v>
      </c>
      <c r="C47" s="98"/>
      <c r="D47" s="100">
        <f>+D43/D39</f>
        <v>-1.2697806451612901</v>
      </c>
      <c r="E47" s="361">
        <f t="shared" ref="E47:W47" si="26">+E43/E39</f>
        <v>-1.024840287769784</v>
      </c>
      <c r="F47" s="100">
        <f>+F43/F39</f>
        <v>-0.99611914893617004</v>
      </c>
      <c r="G47" s="100">
        <f t="shared" si="26"/>
        <v>-1.0695058823529409</v>
      </c>
      <c r="H47" s="100">
        <f>+H43/H39</f>
        <v>-1.1322181818181816</v>
      </c>
      <c r="I47" s="100">
        <f t="shared" si="26"/>
        <v>-1.1161864661654133</v>
      </c>
      <c r="J47" s="100">
        <f t="shared" si="26"/>
        <v>-1.0543999999999998</v>
      </c>
      <c r="K47" s="100">
        <f t="shared" si="26"/>
        <v>-1.0848355555555553</v>
      </c>
      <c r="L47" s="100">
        <f t="shared" si="26"/>
        <v>-1.0543999999999998</v>
      </c>
      <c r="M47" s="100">
        <f t="shared" si="26"/>
        <v>-1.1484946564885494</v>
      </c>
      <c r="N47" s="100">
        <f t="shared" si="26"/>
        <v>-1.2697806451612901</v>
      </c>
      <c r="O47" s="100">
        <f t="shared" si="26"/>
        <v>-1.2697806451612901</v>
      </c>
      <c r="P47" s="100">
        <f t="shared" si="26"/>
        <v>-1.2697806451612901</v>
      </c>
      <c r="Q47" s="100">
        <f t="shared" si="26"/>
        <v>-1.2697806451612901</v>
      </c>
      <c r="R47" s="100">
        <f t="shared" si="26"/>
        <v>-1.2697806451612901</v>
      </c>
      <c r="S47" s="100">
        <f t="shared" si="26"/>
        <v>-1.2697806451612901</v>
      </c>
      <c r="T47" s="100">
        <f t="shared" si="26"/>
        <v>-1.1988499999999997</v>
      </c>
      <c r="U47" s="100">
        <f t="shared" si="26"/>
        <v>-1.1484946564885494</v>
      </c>
      <c r="V47" s="100">
        <f t="shared" si="26"/>
        <v>-1.288234146341463</v>
      </c>
      <c r="W47" s="100">
        <f t="shared" si="26"/>
        <v>-1.2697806451612901</v>
      </c>
    </row>
    <row r="48" spans="1:29" s="36" customFormat="1" x14ac:dyDescent="0.3">
      <c r="A48" s="406"/>
      <c r="B48" s="97" t="s">
        <v>203</v>
      </c>
      <c r="C48" s="98"/>
      <c r="D48" s="100">
        <f>+D44/D40</f>
        <v>-1.2516223999999998</v>
      </c>
      <c r="E48" s="100">
        <f t="shared" ref="E48:W48" si="27">+E44/E40</f>
        <v>-1.0103771428571426</v>
      </c>
      <c r="F48" s="100">
        <f>+F44/F40</f>
        <v>-0.98206197183098565</v>
      </c>
      <c r="G48" s="100">
        <f t="shared" si="27"/>
        <v>-1.0543999999999998</v>
      </c>
      <c r="H48" s="100">
        <f>+H44/H40</f>
        <v>-1.1161864661654133</v>
      </c>
      <c r="I48" s="100">
        <f t="shared" si="27"/>
        <v>-1.100394029850746</v>
      </c>
      <c r="J48" s="100">
        <f t="shared" si="27"/>
        <v>-1.0395130434782607</v>
      </c>
      <c r="K48" s="100">
        <f t="shared" si="27"/>
        <v>-1.0695058823529409</v>
      </c>
      <c r="L48" s="100">
        <f t="shared" si="27"/>
        <v>-1.0395130434782607</v>
      </c>
      <c r="M48" s="100">
        <f t="shared" si="27"/>
        <v>-1.1322181818181816</v>
      </c>
      <c r="N48" s="100">
        <f t="shared" si="27"/>
        <v>-1.2516223999999998</v>
      </c>
      <c r="O48" s="100">
        <f t="shared" si="27"/>
        <v>-1.2516223999999998</v>
      </c>
      <c r="P48" s="100">
        <f t="shared" si="27"/>
        <v>-1.2516223999999998</v>
      </c>
      <c r="Q48" s="100">
        <f t="shared" si="27"/>
        <v>-1.2516223999999998</v>
      </c>
      <c r="R48" s="100">
        <f t="shared" si="27"/>
        <v>-1.2516223999999998</v>
      </c>
      <c r="S48" s="100">
        <f t="shared" si="27"/>
        <v>-1.2516223999999998</v>
      </c>
      <c r="T48" s="100">
        <f t="shared" si="27"/>
        <v>-1.1818046511627904</v>
      </c>
      <c r="U48" s="100">
        <f t="shared" si="27"/>
        <v>-1.1322181818181816</v>
      </c>
      <c r="V48" s="100">
        <f t="shared" si="27"/>
        <v>-1.2697806451612901</v>
      </c>
      <c r="W48" s="100">
        <f t="shared" si="27"/>
        <v>-1.2516223999999998</v>
      </c>
    </row>
    <row r="49" spans="1:23" s="36" customFormat="1" x14ac:dyDescent="0.3">
      <c r="A49" s="406"/>
      <c r="B49" s="97" t="s">
        <v>204</v>
      </c>
      <c r="C49" s="98"/>
      <c r="D49" s="100">
        <f>+D45/D41</f>
        <v>-1.2337523809523807</v>
      </c>
      <c r="E49" s="100">
        <f t="shared" ref="E49:W49" si="28">+E45/E41</f>
        <v>-0.99611914893617004</v>
      </c>
      <c r="F49" s="100">
        <f>+F45/F41</f>
        <v>-0.96820139860139842</v>
      </c>
      <c r="G49" s="100">
        <f t="shared" si="28"/>
        <v>-1.0395130434782607</v>
      </c>
      <c r="H49" s="100">
        <f>+H45/H41</f>
        <v>-1.100394029850746</v>
      </c>
      <c r="I49" s="100">
        <f t="shared" si="28"/>
        <v>-1.0848355555555553</v>
      </c>
      <c r="J49" s="100">
        <f t="shared" si="28"/>
        <v>-1.024840287769784</v>
      </c>
      <c r="K49" s="100">
        <f t="shared" si="28"/>
        <v>-1.0543999999999998</v>
      </c>
      <c r="L49" s="100">
        <f t="shared" si="28"/>
        <v>-1.024840287769784</v>
      </c>
      <c r="M49" s="100">
        <f t="shared" si="28"/>
        <v>-1.1161864661654133</v>
      </c>
      <c r="N49" s="100">
        <f t="shared" si="28"/>
        <v>-1.2337523809523807</v>
      </c>
      <c r="O49" s="100">
        <f t="shared" si="28"/>
        <v>-1.2337523809523807</v>
      </c>
      <c r="P49" s="100">
        <f t="shared" si="28"/>
        <v>-1.2337523809523807</v>
      </c>
      <c r="Q49" s="100">
        <f t="shared" si="28"/>
        <v>-1.2337523809523807</v>
      </c>
      <c r="R49" s="100">
        <f t="shared" si="28"/>
        <v>-1.2337523809523807</v>
      </c>
      <c r="S49" s="100">
        <f t="shared" si="28"/>
        <v>-1.2337523809523807</v>
      </c>
      <c r="T49" s="100">
        <f t="shared" si="28"/>
        <v>-1.1650215384615381</v>
      </c>
      <c r="U49" s="100">
        <f t="shared" si="28"/>
        <v>-1.1161864661654133</v>
      </c>
      <c r="V49" s="100">
        <f t="shared" si="28"/>
        <v>-1.2516223999999998</v>
      </c>
      <c r="W49" s="100">
        <f t="shared" si="28"/>
        <v>-1.2337523809523807</v>
      </c>
    </row>
    <row r="50" spans="1:23" s="36" customFormat="1" x14ac:dyDescent="0.3">
      <c r="A50" s="406"/>
      <c r="B50" s="97" t="s">
        <v>205</v>
      </c>
      <c r="C50" s="98"/>
      <c r="D50" s="100">
        <f>+D46/D42</f>
        <v>-1.2161637795275588</v>
      </c>
      <c r="E50" s="100">
        <f t="shared" ref="E50:W50" si="29">+E46/E42</f>
        <v>-0.98206197183098565</v>
      </c>
      <c r="F50" s="100">
        <f>+F46/F42</f>
        <v>-0.95453333333333312</v>
      </c>
      <c r="G50" s="100">
        <f t="shared" si="29"/>
        <v>-1.024840287769784</v>
      </c>
      <c r="H50" s="100">
        <f>+H46/H42</f>
        <v>-1.0848355555555553</v>
      </c>
      <c r="I50" s="100">
        <f t="shared" si="29"/>
        <v>-1.0695058823529409</v>
      </c>
      <c r="J50" s="100">
        <f t="shared" si="29"/>
        <v>-1.0103771428571426</v>
      </c>
      <c r="K50" s="100">
        <f t="shared" si="29"/>
        <v>-1.0395130434782607</v>
      </c>
      <c r="L50" s="100">
        <f t="shared" si="29"/>
        <v>-1.0103771428571426</v>
      </c>
      <c r="M50" s="100">
        <f t="shared" si="29"/>
        <v>-1.100394029850746</v>
      </c>
      <c r="N50" s="100">
        <f t="shared" si="29"/>
        <v>-1.2161637795275588</v>
      </c>
      <c r="O50" s="100">
        <f t="shared" si="29"/>
        <v>-1.2161637795275588</v>
      </c>
      <c r="P50" s="100">
        <f t="shared" si="29"/>
        <v>-1.2161637795275588</v>
      </c>
      <c r="Q50" s="100">
        <f t="shared" si="29"/>
        <v>-1.2161637795275588</v>
      </c>
      <c r="R50" s="100">
        <f t="shared" si="29"/>
        <v>-1.2161637795275588</v>
      </c>
      <c r="S50" s="100">
        <f t="shared" si="29"/>
        <v>-1.2161637795275588</v>
      </c>
      <c r="T50" s="100">
        <f t="shared" si="29"/>
        <v>-1.1484946564885494</v>
      </c>
      <c r="U50" s="100">
        <f t="shared" si="29"/>
        <v>-1.100394029850746</v>
      </c>
      <c r="V50" s="100">
        <f t="shared" si="29"/>
        <v>-1.2337523809523807</v>
      </c>
      <c r="W50" s="100">
        <f t="shared" si="29"/>
        <v>-1.2161637795275588</v>
      </c>
    </row>
    <row r="51" spans="1:23" ht="21" thickBot="1" x14ac:dyDescent="0.35">
      <c r="D51" s="49">
        <v>5</v>
      </c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</row>
    <row r="52" spans="1:23" s="19" customFormat="1" ht="24" thickBot="1" x14ac:dyDescent="0.4">
      <c r="A52" s="19" t="s">
        <v>242</v>
      </c>
      <c r="B52" s="345" t="s">
        <v>26</v>
      </c>
      <c r="C52" s="68"/>
      <c r="D52" s="17" t="s">
        <v>5</v>
      </c>
      <c r="E52" s="18" t="s">
        <v>6</v>
      </c>
      <c r="F52" s="18" t="s">
        <v>7</v>
      </c>
      <c r="G52" s="18" t="s">
        <v>8</v>
      </c>
      <c r="H52" s="18" t="s">
        <v>9</v>
      </c>
      <c r="I52" s="18" t="s">
        <v>10</v>
      </c>
      <c r="J52" s="18" t="s">
        <v>11</v>
      </c>
      <c r="K52" s="18" t="s">
        <v>12</v>
      </c>
      <c r="L52" s="18" t="s">
        <v>13</v>
      </c>
      <c r="M52" s="18" t="s">
        <v>14</v>
      </c>
      <c r="N52" s="18" t="s">
        <v>15</v>
      </c>
      <c r="O52" s="18" t="s">
        <v>16</v>
      </c>
      <c r="P52" s="18" t="s">
        <v>17</v>
      </c>
      <c r="Q52" s="18" t="s">
        <v>18</v>
      </c>
      <c r="R52" s="18" t="s">
        <v>19</v>
      </c>
      <c r="S52" s="18" t="s">
        <v>20</v>
      </c>
      <c r="T52" s="18" t="s">
        <v>21</v>
      </c>
      <c r="U52" s="18" t="s">
        <v>22</v>
      </c>
      <c r="V52" s="18" t="s">
        <v>23</v>
      </c>
      <c r="W52" s="18" t="s">
        <v>166</v>
      </c>
    </row>
    <row r="53" spans="1:23" x14ac:dyDescent="0.3">
      <c r="A53" s="19" t="s">
        <v>243</v>
      </c>
      <c r="B53" s="54" t="s">
        <v>50</v>
      </c>
      <c r="C53" s="55"/>
      <c r="D53" s="20">
        <v>352</v>
      </c>
      <c r="E53" s="21">
        <v>352</v>
      </c>
      <c r="F53" s="21">
        <v>352</v>
      </c>
      <c r="G53" s="21">
        <v>352</v>
      </c>
      <c r="H53" s="21">
        <v>352</v>
      </c>
      <c r="I53" s="21">
        <v>352</v>
      </c>
      <c r="J53" s="21">
        <v>352</v>
      </c>
      <c r="K53" s="21">
        <v>352</v>
      </c>
      <c r="L53" s="21">
        <v>352</v>
      </c>
      <c r="M53" s="21">
        <v>352</v>
      </c>
      <c r="N53" s="21">
        <v>352</v>
      </c>
      <c r="O53" s="21">
        <v>352</v>
      </c>
      <c r="P53" s="21">
        <v>352</v>
      </c>
      <c r="Q53" s="21">
        <v>352</v>
      </c>
      <c r="R53" s="21">
        <v>352</v>
      </c>
      <c r="S53" s="21">
        <v>352</v>
      </c>
      <c r="T53" s="21">
        <v>352</v>
      </c>
      <c r="U53" s="21">
        <v>352</v>
      </c>
      <c r="V53" s="21">
        <v>352</v>
      </c>
      <c r="W53" s="21">
        <v>352</v>
      </c>
    </row>
    <row r="54" spans="1:23" ht="23" x14ac:dyDescent="0.35">
      <c r="A54" s="19" t="s">
        <v>244</v>
      </c>
      <c r="B54" s="340" t="s">
        <v>51</v>
      </c>
      <c r="C54" s="341"/>
      <c r="D54" s="348"/>
      <c r="E54" s="342"/>
      <c r="F54" s="342"/>
      <c r="G54" s="342"/>
      <c r="H54" s="342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2"/>
      <c r="U54" s="342"/>
      <c r="V54" s="342"/>
      <c r="W54" s="348"/>
    </row>
    <row r="55" spans="1:23" x14ac:dyDescent="0.3">
      <c r="A55" s="19" t="s">
        <v>245</v>
      </c>
      <c r="B55" s="54"/>
      <c r="C55" s="55"/>
      <c r="D55" s="20">
        <f t="shared" ref="D55:V55" si="30">D53*(1-D54)</f>
        <v>352</v>
      </c>
      <c r="E55" s="20">
        <f t="shared" si="30"/>
        <v>352</v>
      </c>
      <c r="F55" s="20">
        <f t="shared" si="30"/>
        <v>352</v>
      </c>
      <c r="G55" s="20">
        <f t="shared" si="30"/>
        <v>352</v>
      </c>
      <c r="H55" s="20">
        <f t="shared" si="30"/>
        <v>352</v>
      </c>
      <c r="I55" s="20">
        <f t="shared" si="30"/>
        <v>352</v>
      </c>
      <c r="J55" s="20">
        <f t="shared" si="30"/>
        <v>352</v>
      </c>
      <c r="K55" s="20">
        <f t="shared" si="30"/>
        <v>352</v>
      </c>
      <c r="L55" s="20">
        <f t="shared" si="30"/>
        <v>352</v>
      </c>
      <c r="M55" s="20">
        <f t="shared" si="30"/>
        <v>352</v>
      </c>
      <c r="N55" s="20">
        <f t="shared" si="30"/>
        <v>352</v>
      </c>
      <c r="O55" s="20">
        <f t="shared" si="30"/>
        <v>352</v>
      </c>
      <c r="P55" s="20">
        <f t="shared" si="30"/>
        <v>352</v>
      </c>
      <c r="Q55" s="20">
        <f t="shared" si="30"/>
        <v>352</v>
      </c>
      <c r="R55" s="20">
        <f t="shared" si="30"/>
        <v>352</v>
      </c>
      <c r="S55" s="20">
        <f t="shared" si="30"/>
        <v>352</v>
      </c>
      <c r="T55" s="20">
        <f t="shared" si="30"/>
        <v>352</v>
      </c>
      <c r="U55" s="20">
        <f t="shared" si="30"/>
        <v>352</v>
      </c>
      <c r="V55" s="20">
        <f t="shared" si="30"/>
        <v>352</v>
      </c>
      <c r="W55" s="20">
        <f>W53*(1-W54)</f>
        <v>352</v>
      </c>
    </row>
    <row r="56" spans="1:23" x14ac:dyDescent="0.3">
      <c r="A56" s="19" t="s">
        <v>246</v>
      </c>
      <c r="B56" s="54" t="s">
        <v>51</v>
      </c>
      <c r="C56" s="56">
        <v>0</v>
      </c>
      <c r="D56" s="20">
        <f t="shared" ref="D56:W56" si="31">D55*$C56</f>
        <v>0</v>
      </c>
      <c r="E56" s="20">
        <f t="shared" si="31"/>
        <v>0</v>
      </c>
      <c r="F56" s="20">
        <f t="shared" si="31"/>
        <v>0</v>
      </c>
      <c r="G56" s="20">
        <f t="shared" si="31"/>
        <v>0</v>
      </c>
      <c r="H56" s="20">
        <f t="shared" si="31"/>
        <v>0</v>
      </c>
      <c r="I56" s="20">
        <f t="shared" si="31"/>
        <v>0</v>
      </c>
      <c r="J56" s="20">
        <f t="shared" si="31"/>
        <v>0</v>
      </c>
      <c r="K56" s="20">
        <f t="shared" si="31"/>
        <v>0</v>
      </c>
      <c r="L56" s="20">
        <f t="shared" si="31"/>
        <v>0</v>
      </c>
      <c r="M56" s="20">
        <f t="shared" si="31"/>
        <v>0</v>
      </c>
      <c r="N56" s="20">
        <f t="shared" si="31"/>
        <v>0</v>
      </c>
      <c r="O56" s="20">
        <f t="shared" si="31"/>
        <v>0</v>
      </c>
      <c r="P56" s="20">
        <f t="shared" si="31"/>
        <v>0</v>
      </c>
      <c r="Q56" s="20">
        <f t="shared" si="31"/>
        <v>0</v>
      </c>
      <c r="R56" s="20">
        <f t="shared" si="31"/>
        <v>0</v>
      </c>
      <c r="S56" s="20">
        <f t="shared" si="31"/>
        <v>0</v>
      </c>
      <c r="T56" s="20">
        <f t="shared" si="31"/>
        <v>0</v>
      </c>
      <c r="U56" s="20">
        <f t="shared" si="31"/>
        <v>0</v>
      </c>
      <c r="V56" s="20">
        <f t="shared" si="31"/>
        <v>0</v>
      </c>
      <c r="W56" s="20">
        <f t="shared" si="31"/>
        <v>0</v>
      </c>
    </row>
    <row r="57" spans="1:23" x14ac:dyDescent="0.3">
      <c r="B57" s="54" t="s">
        <v>67</v>
      </c>
      <c r="C57" s="55"/>
      <c r="D57" s="20">
        <f>D55-D56</f>
        <v>352</v>
      </c>
      <c r="E57" s="20">
        <f t="shared" ref="E57:V57" si="32">E55-E56</f>
        <v>352</v>
      </c>
      <c r="F57" s="20">
        <f t="shared" si="32"/>
        <v>352</v>
      </c>
      <c r="G57" s="20">
        <f t="shared" si="32"/>
        <v>352</v>
      </c>
      <c r="H57" s="20">
        <f t="shared" si="32"/>
        <v>352</v>
      </c>
      <c r="I57" s="20">
        <f t="shared" si="32"/>
        <v>352</v>
      </c>
      <c r="J57" s="20">
        <f t="shared" si="32"/>
        <v>352</v>
      </c>
      <c r="K57" s="20">
        <f t="shared" si="32"/>
        <v>352</v>
      </c>
      <c r="L57" s="20">
        <f t="shared" si="32"/>
        <v>352</v>
      </c>
      <c r="M57" s="20">
        <f t="shared" si="32"/>
        <v>352</v>
      </c>
      <c r="N57" s="20">
        <f t="shared" si="32"/>
        <v>352</v>
      </c>
      <c r="O57" s="20">
        <f t="shared" si="32"/>
        <v>352</v>
      </c>
      <c r="P57" s="20">
        <f t="shared" si="32"/>
        <v>352</v>
      </c>
      <c r="Q57" s="20">
        <f t="shared" si="32"/>
        <v>352</v>
      </c>
      <c r="R57" s="20">
        <f t="shared" si="32"/>
        <v>352</v>
      </c>
      <c r="S57" s="20">
        <f t="shared" si="32"/>
        <v>352</v>
      </c>
      <c r="T57" s="20">
        <f t="shared" si="32"/>
        <v>352</v>
      </c>
      <c r="U57" s="20">
        <f t="shared" si="32"/>
        <v>352</v>
      </c>
      <c r="V57" s="20">
        <f t="shared" si="32"/>
        <v>352</v>
      </c>
      <c r="W57" s="20">
        <f>W55-W56</f>
        <v>352</v>
      </c>
    </row>
    <row r="58" spans="1:23" x14ac:dyDescent="0.3">
      <c r="B58" s="54" t="s">
        <v>66</v>
      </c>
      <c r="C58" s="56">
        <v>7.0000000000000007E-2</v>
      </c>
      <c r="D58" s="20">
        <f t="shared" ref="D58:W58" si="33">D57*$C58</f>
        <v>24.64</v>
      </c>
      <c r="E58" s="20">
        <f t="shared" si="33"/>
        <v>24.64</v>
      </c>
      <c r="F58" s="20">
        <f t="shared" si="33"/>
        <v>24.64</v>
      </c>
      <c r="G58" s="20">
        <f t="shared" si="33"/>
        <v>24.64</v>
      </c>
      <c r="H58" s="20">
        <f t="shared" si="33"/>
        <v>24.64</v>
      </c>
      <c r="I58" s="20">
        <f t="shared" si="33"/>
        <v>24.64</v>
      </c>
      <c r="J58" s="20">
        <f t="shared" si="33"/>
        <v>24.64</v>
      </c>
      <c r="K58" s="20">
        <f t="shared" si="33"/>
        <v>24.64</v>
      </c>
      <c r="L58" s="20">
        <f t="shared" si="33"/>
        <v>24.64</v>
      </c>
      <c r="M58" s="20">
        <f t="shared" si="33"/>
        <v>24.64</v>
      </c>
      <c r="N58" s="20">
        <f t="shared" si="33"/>
        <v>24.64</v>
      </c>
      <c r="O58" s="20">
        <f t="shared" si="33"/>
        <v>24.64</v>
      </c>
      <c r="P58" s="20">
        <f t="shared" si="33"/>
        <v>24.64</v>
      </c>
      <c r="Q58" s="20">
        <f t="shared" si="33"/>
        <v>24.64</v>
      </c>
      <c r="R58" s="20">
        <f t="shared" si="33"/>
        <v>24.64</v>
      </c>
      <c r="S58" s="20">
        <f t="shared" si="33"/>
        <v>24.64</v>
      </c>
      <c r="T58" s="20">
        <f t="shared" si="33"/>
        <v>24.64</v>
      </c>
      <c r="U58" s="20">
        <f t="shared" si="33"/>
        <v>24.64</v>
      </c>
      <c r="V58" s="20">
        <f t="shared" si="33"/>
        <v>24.64</v>
      </c>
      <c r="W58" s="20">
        <f t="shared" si="33"/>
        <v>24.64</v>
      </c>
    </row>
    <row r="59" spans="1:23" x14ac:dyDescent="0.3">
      <c r="B59" s="54" t="s">
        <v>68</v>
      </c>
      <c r="C59" s="55"/>
      <c r="D59" s="20">
        <f>D57+D58</f>
        <v>376.64</v>
      </c>
      <c r="E59" s="20">
        <f t="shared" ref="E59:V59" si="34">E57+E58</f>
        <v>376.64</v>
      </c>
      <c r="F59" s="20">
        <f t="shared" si="34"/>
        <v>376.64</v>
      </c>
      <c r="G59" s="20">
        <f t="shared" si="34"/>
        <v>376.64</v>
      </c>
      <c r="H59" s="20">
        <f t="shared" si="34"/>
        <v>376.64</v>
      </c>
      <c r="I59" s="20">
        <f t="shared" si="34"/>
        <v>376.64</v>
      </c>
      <c r="J59" s="20">
        <f t="shared" si="34"/>
        <v>376.64</v>
      </c>
      <c r="K59" s="20">
        <f t="shared" si="34"/>
        <v>376.64</v>
      </c>
      <c r="L59" s="20">
        <f t="shared" si="34"/>
        <v>376.64</v>
      </c>
      <c r="M59" s="20">
        <f t="shared" si="34"/>
        <v>376.64</v>
      </c>
      <c r="N59" s="20">
        <f t="shared" si="34"/>
        <v>376.64</v>
      </c>
      <c r="O59" s="20">
        <f t="shared" si="34"/>
        <v>376.64</v>
      </c>
      <c r="P59" s="20">
        <f t="shared" si="34"/>
        <v>376.64</v>
      </c>
      <c r="Q59" s="20">
        <f t="shared" si="34"/>
        <v>376.64</v>
      </c>
      <c r="R59" s="20">
        <f t="shared" si="34"/>
        <v>376.64</v>
      </c>
      <c r="S59" s="20">
        <f t="shared" si="34"/>
        <v>376.64</v>
      </c>
      <c r="T59" s="20">
        <f t="shared" si="34"/>
        <v>376.64</v>
      </c>
      <c r="U59" s="20">
        <f t="shared" si="34"/>
        <v>376.64</v>
      </c>
      <c r="V59" s="20">
        <f t="shared" si="34"/>
        <v>376.64</v>
      </c>
      <c r="W59" s="20">
        <f>W57+W58</f>
        <v>376.64</v>
      </c>
    </row>
    <row r="60" spans="1:23" ht="23" x14ac:dyDescent="0.35">
      <c r="B60" s="334" t="s">
        <v>52</v>
      </c>
      <c r="C60" s="335"/>
      <c r="D60" s="379"/>
      <c r="E60" s="379"/>
      <c r="F60" s="379"/>
      <c r="G60" s="379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</row>
    <row r="61" spans="1:23" x14ac:dyDescent="0.3">
      <c r="B61" s="57" t="s">
        <v>53</v>
      </c>
      <c r="C61" s="58"/>
      <c r="D61" s="25">
        <f>SUM(D59:D60)</f>
        <v>376.64</v>
      </c>
      <c r="E61" s="25">
        <f t="shared" ref="E61:V61" si="35">SUM(E59:E60)</f>
        <v>376.64</v>
      </c>
      <c r="F61" s="25">
        <f t="shared" si="35"/>
        <v>376.64</v>
      </c>
      <c r="G61" s="25">
        <f t="shared" si="35"/>
        <v>376.64</v>
      </c>
      <c r="H61" s="25">
        <f t="shared" si="35"/>
        <v>376.64</v>
      </c>
      <c r="I61" s="25">
        <f t="shared" si="35"/>
        <v>376.64</v>
      </c>
      <c r="J61" s="25">
        <f t="shared" si="35"/>
        <v>376.64</v>
      </c>
      <c r="K61" s="25">
        <f t="shared" si="35"/>
        <v>376.64</v>
      </c>
      <c r="L61" s="25">
        <f t="shared" si="35"/>
        <v>376.64</v>
      </c>
      <c r="M61" s="25">
        <f t="shared" si="35"/>
        <v>376.64</v>
      </c>
      <c r="N61" s="25">
        <f t="shared" si="35"/>
        <v>376.64</v>
      </c>
      <c r="O61" s="25">
        <f t="shared" si="35"/>
        <v>376.64</v>
      </c>
      <c r="P61" s="25">
        <f t="shared" si="35"/>
        <v>376.64</v>
      </c>
      <c r="Q61" s="25">
        <f t="shared" si="35"/>
        <v>376.64</v>
      </c>
      <c r="R61" s="25">
        <f t="shared" si="35"/>
        <v>376.64</v>
      </c>
      <c r="S61" s="25">
        <f t="shared" si="35"/>
        <v>376.64</v>
      </c>
      <c r="T61" s="25">
        <f t="shared" si="35"/>
        <v>376.64</v>
      </c>
      <c r="U61" s="25">
        <f t="shared" si="35"/>
        <v>376.64</v>
      </c>
      <c r="V61" s="25">
        <f t="shared" si="35"/>
        <v>376.64</v>
      </c>
      <c r="W61" s="25">
        <f>SUM(W59:W60)</f>
        <v>376.64</v>
      </c>
    </row>
    <row r="62" spans="1:23" ht="23" x14ac:dyDescent="0.35">
      <c r="B62" s="336" t="s">
        <v>54</v>
      </c>
      <c r="C62" s="337"/>
      <c r="D62" s="338"/>
      <c r="E62" s="338"/>
      <c r="F62" s="338"/>
      <c r="G62" s="338"/>
      <c r="H62" s="338"/>
      <c r="I62" s="338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</row>
    <row r="63" spans="1:23" ht="23" x14ac:dyDescent="0.35">
      <c r="B63" s="353" t="s">
        <v>55</v>
      </c>
      <c r="C63" s="354"/>
      <c r="D63" s="355">
        <f>D61</f>
        <v>376.64</v>
      </c>
      <c r="E63" s="356">
        <f>E61</f>
        <v>376.64</v>
      </c>
      <c r="F63" s="356">
        <f t="shared" ref="F63:W63" si="36">F61</f>
        <v>376.64</v>
      </c>
      <c r="G63" s="356">
        <f t="shared" si="36"/>
        <v>376.64</v>
      </c>
      <c r="H63" s="356">
        <f t="shared" si="36"/>
        <v>376.64</v>
      </c>
      <c r="I63" s="356">
        <f t="shared" si="36"/>
        <v>376.64</v>
      </c>
      <c r="J63" s="356">
        <f t="shared" si="36"/>
        <v>376.64</v>
      </c>
      <c r="K63" s="356">
        <f t="shared" si="36"/>
        <v>376.64</v>
      </c>
      <c r="L63" s="356">
        <f t="shared" si="36"/>
        <v>376.64</v>
      </c>
      <c r="M63" s="356">
        <f t="shared" si="36"/>
        <v>376.64</v>
      </c>
      <c r="N63" s="356">
        <f t="shared" si="36"/>
        <v>376.64</v>
      </c>
      <c r="O63" s="356">
        <f t="shared" si="36"/>
        <v>376.64</v>
      </c>
      <c r="P63" s="356">
        <f t="shared" si="36"/>
        <v>376.64</v>
      </c>
      <c r="Q63" s="356">
        <f t="shared" si="36"/>
        <v>376.64</v>
      </c>
      <c r="R63" s="356">
        <f t="shared" si="36"/>
        <v>376.64</v>
      </c>
      <c r="S63" s="356">
        <f t="shared" si="36"/>
        <v>376.64</v>
      </c>
      <c r="T63" s="356">
        <f t="shared" si="36"/>
        <v>376.64</v>
      </c>
      <c r="U63" s="356">
        <f t="shared" si="36"/>
        <v>376.64</v>
      </c>
      <c r="V63" s="356">
        <f t="shared" si="36"/>
        <v>376.64</v>
      </c>
      <c r="W63" s="356">
        <f t="shared" si="36"/>
        <v>376.64</v>
      </c>
    </row>
    <row r="64" spans="1:23" x14ac:dyDescent="0.3">
      <c r="B64" s="171" t="s">
        <v>194</v>
      </c>
      <c r="C64" s="55"/>
      <c r="D64" s="20">
        <v>185</v>
      </c>
      <c r="E64" s="21">
        <v>202</v>
      </c>
      <c r="F64" s="21">
        <v>204</v>
      </c>
      <c r="G64" s="21">
        <v>199</v>
      </c>
      <c r="H64" s="21">
        <v>195</v>
      </c>
      <c r="I64" s="21">
        <v>197</v>
      </c>
      <c r="J64" s="21">
        <v>201</v>
      </c>
      <c r="K64" s="21">
        <v>199</v>
      </c>
      <c r="L64" s="21">
        <v>200</v>
      </c>
      <c r="M64" s="21">
        <v>195</v>
      </c>
      <c r="N64" s="21">
        <v>185</v>
      </c>
      <c r="O64" s="21">
        <v>185</v>
      </c>
      <c r="P64" s="21">
        <v>185</v>
      </c>
      <c r="Q64" s="21">
        <v>185</v>
      </c>
      <c r="R64" s="21">
        <v>187</v>
      </c>
      <c r="S64" s="21">
        <v>187</v>
      </c>
      <c r="T64" s="21">
        <v>189</v>
      </c>
      <c r="U64" s="21">
        <v>192</v>
      </c>
      <c r="V64" s="21">
        <v>184</v>
      </c>
      <c r="W64" s="21">
        <v>187</v>
      </c>
    </row>
    <row r="65" spans="1:23" s="30" customFormat="1" x14ac:dyDescent="0.3">
      <c r="A65" s="404"/>
      <c r="B65" s="61" t="s">
        <v>195</v>
      </c>
      <c r="C65" s="62"/>
      <c r="D65" s="28">
        <v>186</v>
      </c>
      <c r="E65" s="29">
        <v>203</v>
      </c>
      <c r="F65" s="29">
        <v>205</v>
      </c>
      <c r="G65" s="29">
        <v>200</v>
      </c>
      <c r="H65" s="29">
        <v>196</v>
      </c>
      <c r="I65" s="29">
        <v>198</v>
      </c>
      <c r="J65" s="29">
        <v>202</v>
      </c>
      <c r="K65" s="29">
        <v>200</v>
      </c>
      <c r="L65" s="29">
        <v>201</v>
      </c>
      <c r="M65" s="29">
        <v>196</v>
      </c>
      <c r="N65" s="29">
        <v>186</v>
      </c>
      <c r="O65" s="29">
        <v>186</v>
      </c>
      <c r="P65" s="29">
        <v>186</v>
      </c>
      <c r="Q65" s="29">
        <v>186</v>
      </c>
      <c r="R65" s="29">
        <v>188</v>
      </c>
      <c r="S65" s="29">
        <v>188</v>
      </c>
      <c r="T65" s="29">
        <v>190</v>
      </c>
      <c r="U65" s="29">
        <v>193</v>
      </c>
      <c r="V65" s="29">
        <v>185</v>
      </c>
      <c r="W65" s="29">
        <v>188</v>
      </c>
    </row>
    <row r="66" spans="1:23" s="30" customFormat="1" x14ac:dyDescent="0.3">
      <c r="A66" s="404"/>
      <c r="B66" s="61" t="s">
        <v>196</v>
      </c>
      <c r="C66" s="62"/>
      <c r="D66" s="28">
        <v>187</v>
      </c>
      <c r="E66" s="29">
        <v>204</v>
      </c>
      <c r="F66" s="29">
        <v>206</v>
      </c>
      <c r="G66" s="29">
        <v>201</v>
      </c>
      <c r="H66" s="29">
        <v>197</v>
      </c>
      <c r="I66" s="29">
        <v>199</v>
      </c>
      <c r="J66" s="29">
        <v>203</v>
      </c>
      <c r="K66" s="29">
        <v>201</v>
      </c>
      <c r="L66" s="29">
        <v>202</v>
      </c>
      <c r="M66" s="29">
        <v>197</v>
      </c>
      <c r="N66" s="29">
        <v>187</v>
      </c>
      <c r="O66" s="29">
        <v>187</v>
      </c>
      <c r="P66" s="29">
        <v>187</v>
      </c>
      <c r="Q66" s="29">
        <v>187</v>
      </c>
      <c r="R66" s="29">
        <v>189</v>
      </c>
      <c r="S66" s="29">
        <v>189</v>
      </c>
      <c r="T66" s="29">
        <v>191</v>
      </c>
      <c r="U66" s="29">
        <v>194</v>
      </c>
      <c r="V66" s="29">
        <v>186</v>
      </c>
      <c r="W66" s="29">
        <v>189</v>
      </c>
    </row>
    <row r="67" spans="1:23" s="30" customFormat="1" x14ac:dyDescent="0.3">
      <c r="A67" s="404"/>
      <c r="B67" s="61" t="s">
        <v>197</v>
      </c>
      <c r="C67" s="62"/>
      <c r="D67" s="28">
        <v>188</v>
      </c>
      <c r="E67" s="29">
        <v>205</v>
      </c>
      <c r="F67" s="29">
        <v>207</v>
      </c>
      <c r="G67" s="29">
        <v>202</v>
      </c>
      <c r="H67" s="29">
        <v>198</v>
      </c>
      <c r="I67" s="29">
        <v>200</v>
      </c>
      <c r="J67" s="29">
        <v>204</v>
      </c>
      <c r="K67" s="29">
        <v>202</v>
      </c>
      <c r="L67" s="29">
        <v>203</v>
      </c>
      <c r="M67" s="29">
        <v>198</v>
      </c>
      <c r="N67" s="29">
        <v>188</v>
      </c>
      <c r="O67" s="29">
        <v>188</v>
      </c>
      <c r="P67" s="29">
        <v>188</v>
      </c>
      <c r="Q67" s="29">
        <v>188</v>
      </c>
      <c r="R67" s="29">
        <v>190</v>
      </c>
      <c r="S67" s="29">
        <v>190</v>
      </c>
      <c r="T67" s="29">
        <v>192</v>
      </c>
      <c r="U67" s="29">
        <v>195</v>
      </c>
      <c r="V67" s="29">
        <v>187</v>
      </c>
      <c r="W67" s="29">
        <v>190</v>
      </c>
    </row>
    <row r="68" spans="1:23" s="30" customFormat="1" x14ac:dyDescent="0.3">
      <c r="A68" s="404"/>
      <c r="B68" s="63" t="s">
        <v>198</v>
      </c>
      <c r="C68" s="62"/>
      <c r="D68" s="31">
        <f>+D64-D$63</f>
        <v>-191.64</v>
      </c>
      <c r="E68" s="31">
        <f t="shared" ref="E68:W68" si="37">+E64-E$63</f>
        <v>-174.64</v>
      </c>
      <c r="F68" s="31">
        <f t="shared" si="37"/>
        <v>-172.64</v>
      </c>
      <c r="G68" s="31">
        <f t="shared" si="37"/>
        <v>-177.64</v>
      </c>
      <c r="H68" s="31">
        <f t="shared" si="37"/>
        <v>-181.64</v>
      </c>
      <c r="I68" s="31">
        <f t="shared" si="37"/>
        <v>-179.64</v>
      </c>
      <c r="J68" s="31">
        <f t="shared" si="37"/>
        <v>-175.64</v>
      </c>
      <c r="K68" s="31">
        <f t="shared" si="37"/>
        <v>-177.64</v>
      </c>
      <c r="L68" s="31">
        <f t="shared" si="37"/>
        <v>-176.64</v>
      </c>
      <c r="M68" s="31">
        <f t="shared" si="37"/>
        <v>-181.64</v>
      </c>
      <c r="N68" s="31">
        <f t="shared" si="37"/>
        <v>-191.64</v>
      </c>
      <c r="O68" s="31">
        <f t="shared" si="37"/>
        <v>-191.64</v>
      </c>
      <c r="P68" s="31">
        <f t="shared" si="37"/>
        <v>-191.64</v>
      </c>
      <c r="Q68" s="31">
        <f t="shared" si="37"/>
        <v>-191.64</v>
      </c>
      <c r="R68" s="31">
        <f t="shared" si="37"/>
        <v>-189.64</v>
      </c>
      <c r="S68" s="31">
        <f t="shared" si="37"/>
        <v>-189.64</v>
      </c>
      <c r="T68" s="31">
        <f t="shared" si="37"/>
        <v>-187.64</v>
      </c>
      <c r="U68" s="31">
        <f t="shared" si="37"/>
        <v>-184.64</v>
      </c>
      <c r="V68" s="31">
        <f t="shared" si="37"/>
        <v>-192.64</v>
      </c>
      <c r="W68" s="31">
        <f t="shared" si="37"/>
        <v>-189.64</v>
      </c>
    </row>
    <row r="69" spans="1:23" s="33" customFormat="1" x14ac:dyDescent="0.3">
      <c r="A69" s="405"/>
      <c r="B69" s="63" t="s">
        <v>199</v>
      </c>
      <c r="C69" s="64"/>
      <c r="D69" s="31">
        <f>+D65-D$63</f>
        <v>-190.64</v>
      </c>
      <c r="E69" s="32">
        <f t="shared" ref="E69:W69" si="38">+E65-E$63</f>
        <v>-173.64</v>
      </c>
      <c r="F69" s="32">
        <f t="shared" si="38"/>
        <v>-171.64</v>
      </c>
      <c r="G69" s="32">
        <f t="shared" si="38"/>
        <v>-176.64</v>
      </c>
      <c r="H69" s="32">
        <f t="shared" si="38"/>
        <v>-180.64</v>
      </c>
      <c r="I69" s="32">
        <f t="shared" si="38"/>
        <v>-178.64</v>
      </c>
      <c r="J69" s="32">
        <f t="shared" si="38"/>
        <v>-174.64</v>
      </c>
      <c r="K69" s="32">
        <f t="shared" si="38"/>
        <v>-176.64</v>
      </c>
      <c r="L69" s="32">
        <f t="shared" si="38"/>
        <v>-175.64</v>
      </c>
      <c r="M69" s="32">
        <f t="shared" si="38"/>
        <v>-180.64</v>
      </c>
      <c r="N69" s="32">
        <f t="shared" si="38"/>
        <v>-190.64</v>
      </c>
      <c r="O69" s="32">
        <f t="shared" si="38"/>
        <v>-190.64</v>
      </c>
      <c r="P69" s="32">
        <f t="shared" si="38"/>
        <v>-190.64</v>
      </c>
      <c r="Q69" s="32">
        <f t="shared" si="38"/>
        <v>-190.64</v>
      </c>
      <c r="R69" s="32">
        <f t="shared" si="38"/>
        <v>-188.64</v>
      </c>
      <c r="S69" s="32">
        <f t="shared" si="38"/>
        <v>-188.64</v>
      </c>
      <c r="T69" s="32">
        <f t="shared" si="38"/>
        <v>-186.64</v>
      </c>
      <c r="U69" s="32">
        <f t="shared" si="38"/>
        <v>-183.64</v>
      </c>
      <c r="V69" s="32">
        <f t="shared" si="38"/>
        <v>-191.64</v>
      </c>
      <c r="W69" s="32">
        <f t="shared" si="38"/>
        <v>-188.64</v>
      </c>
    </row>
    <row r="70" spans="1:23" s="33" customFormat="1" x14ac:dyDescent="0.3">
      <c r="A70" s="405"/>
      <c r="B70" s="63" t="s">
        <v>200</v>
      </c>
      <c r="C70" s="64"/>
      <c r="D70" s="31">
        <f>+D66-D$63</f>
        <v>-189.64</v>
      </c>
      <c r="E70" s="32">
        <f t="shared" ref="E70:W70" si="39">+E66-E$63</f>
        <v>-172.64</v>
      </c>
      <c r="F70" s="32">
        <f t="shared" si="39"/>
        <v>-170.64</v>
      </c>
      <c r="G70" s="32">
        <f t="shared" si="39"/>
        <v>-175.64</v>
      </c>
      <c r="H70" s="32">
        <f>+H66-H$63</f>
        <v>-179.64</v>
      </c>
      <c r="I70" s="32">
        <f t="shared" si="39"/>
        <v>-177.64</v>
      </c>
      <c r="J70" s="32">
        <f t="shared" si="39"/>
        <v>-173.64</v>
      </c>
      <c r="K70" s="32">
        <f t="shared" si="39"/>
        <v>-175.64</v>
      </c>
      <c r="L70" s="32">
        <f t="shared" si="39"/>
        <v>-174.64</v>
      </c>
      <c r="M70" s="32">
        <f t="shared" si="39"/>
        <v>-179.64</v>
      </c>
      <c r="N70" s="32">
        <f t="shared" si="39"/>
        <v>-189.64</v>
      </c>
      <c r="O70" s="32">
        <f t="shared" si="39"/>
        <v>-189.64</v>
      </c>
      <c r="P70" s="32">
        <f t="shared" si="39"/>
        <v>-189.64</v>
      </c>
      <c r="Q70" s="32">
        <f t="shared" si="39"/>
        <v>-189.64</v>
      </c>
      <c r="R70" s="32">
        <f t="shared" si="39"/>
        <v>-187.64</v>
      </c>
      <c r="S70" s="32">
        <f t="shared" si="39"/>
        <v>-187.64</v>
      </c>
      <c r="T70" s="32">
        <f t="shared" si="39"/>
        <v>-185.64</v>
      </c>
      <c r="U70" s="32">
        <f t="shared" si="39"/>
        <v>-182.64</v>
      </c>
      <c r="V70" s="32">
        <f t="shared" si="39"/>
        <v>-190.64</v>
      </c>
      <c r="W70" s="32">
        <f t="shared" si="39"/>
        <v>-187.64</v>
      </c>
    </row>
    <row r="71" spans="1:23" s="33" customFormat="1" x14ac:dyDescent="0.3">
      <c r="A71" s="405"/>
      <c r="B71" s="63" t="s">
        <v>201</v>
      </c>
      <c r="C71" s="64"/>
      <c r="D71" s="31">
        <f>+D67-D$63</f>
        <v>-188.64</v>
      </c>
      <c r="E71" s="32">
        <f t="shared" ref="E71:W71" si="40">+E67-E$63</f>
        <v>-171.64</v>
      </c>
      <c r="F71" s="32">
        <f t="shared" si="40"/>
        <v>-169.64</v>
      </c>
      <c r="G71" s="32">
        <f t="shared" si="40"/>
        <v>-174.64</v>
      </c>
      <c r="H71" s="32">
        <f t="shared" si="40"/>
        <v>-178.64</v>
      </c>
      <c r="I71" s="32">
        <f t="shared" si="40"/>
        <v>-176.64</v>
      </c>
      <c r="J71" s="32">
        <f t="shared" si="40"/>
        <v>-172.64</v>
      </c>
      <c r="K71" s="32">
        <f t="shared" si="40"/>
        <v>-174.64</v>
      </c>
      <c r="L71" s="32">
        <f t="shared" si="40"/>
        <v>-173.64</v>
      </c>
      <c r="M71" s="32">
        <f t="shared" si="40"/>
        <v>-178.64</v>
      </c>
      <c r="N71" s="32">
        <f t="shared" si="40"/>
        <v>-188.64</v>
      </c>
      <c r="O71" s="32">
        <f t="shared" si="40"/>
        <v>-188.64</v>
      </c>
      <c r="P71" s="32">
        <f t="shared" si="40"/>
        <v>-188.64</v>
      </c>
      <c r="Q71" s="32">
        <f t="shared" si="40"/>
        <v>-188.64</v>
      </c>
      <c r="R71" s="32">
        <f t="shared" si="40"/>
        <v>-186.64</v>
      </c>
      <c r="S71" s="32">
        <f t="shared" si="40"/>
        <v>-186.64</v>
      </c>
      <c r="T71" s="32">
        <f t="shared" si="40"/>
        <v>-184.64</v>
      </c>
      <c r="U71" s="32">
        <f t="shared" si="40"/>
        <v>-181.64</v>
      </c>
      <c r="V71" s="32">
        <f t="shared" si="40"/>
        <v>-189.64</v>
      </c>
      <c r="W71" s="32">
        <f t="shared" si="40"/>
        <v>-186.64</v>
      </c>
    </row>
    <row r="72" spans="1:23" x14ac:dyDescent="0.3">
      <c r="B72" s="97" t="s">
        <v>202</v>
      </c>
      <c r="C72" s="98"/>
      <c r="D72" s="100">
        <f>+D68/D64</f>
        <v>-1.0358918918918918</v>
      </c>
      <c r="E72" s="100">
        <f t="shared" ref="E72:W72" si="41">+E68/E64</f>
        <v>-0.86455445544554443</v>
      </c>
      <c r="F72" s="100">
        <f t="shared" si="41"/>
        <v>-0.84627450980392149</v>
      </c>
      <c r="G72" s="100">
        <f t="shared" si="41"/>
        <v>-0.89266331658291453</v>
      </c>
      <c r="H72" s="100">
        <f t="shared" si="41"/>
        <v>-0.93148717948717941</v>
      </c>
      <c r="I72" s="100">
        <f t="shared" si="41"/>
        <v>-0.91187817258883241</v>
      </c>
      <c r="J72" s="100">
        <f t="shared" si="41"/>
        <v>-0.87383084577114423</v>
      </c>
      <c r="K72" s="100">
        <f t="shared" si="41"/>
        <v>-0.89266331658291453</v>
      </c>
      <c r="L72" s="100">
        <f t="shared" si="41"/>
        <v>-0.88319999999999999</v>
      </c>
      <c r="M72" s="100">
        <f t="shared" si="41"/>
        <v>-0.93148717948717941</v>
      </c>
      <c r="N72" s="100">
        <f t="shared" si="41"/>
        <v>-1.0358918918918918</v>
      </c>
      <c r="O72" s="100">
        <f t="shared" si="41"/>
        <v>-1.0358918918918918</v>
      </c>
      <c r="P72" s="100">
        <f t="shared" si="41"/>
        <v>-1.0358918918918918</v>
      </c>
      <c r="Q72" s="100">
        <f t="shared" si="41"/>
        <v>-1.0358918918918918</v>
      </c>
      <c r="R72" s="100">
        <f t="shared" si="41"/>
        <v>-1.0141176470588233</v>
      </c>
      <c r="S72" s="100">
        <f t="shared" si="41"/>
        <v>-1.0141176470588233</v>
      </c>
      <c r="T72" s="100">
        <f t="shared" si="41"/>
        <v>-0.99280423280423269</v>
      </c>
      <c r="U72" s="100">
        <f t="shared" si="41"/>
        <v>-0.96166666666666656</v>
      </c>
      <c r="V72" s="100">
        <f t="shared" si="41"/>
        <v>-1.0469565217391303</v>
      </c>
      <c r="W72" s="100">
        <f t="shared" si="41"/>
        <v>-1.0141176470588233</v>
      </c>
    </row>
    <row r="73" spans="1:23" s="36" customFormat="1" x14ac:dyDescent="0.3">
      <c r="A73" s="406"/>
      <c r="B73" s="97" t="s">
        <v>203</v>
      </c>
      <c r="C73" s="98"/>
      <c r="D73" s="100">
        <f>+D69/D65</f>
        <v>-1.0249462365591397</v>
      </c>
      <c r="E73" s="100">
        <f t="shared" ref="E73:W73" si="42">+E69/E65</f>
        <v>-0.85536945812807874</v>
      </c>
      <c r="F73" s="100">
        <f t="shared" si="42"/>
        <v>-0.8372682926829268</v>
      </c>
      <c r="G73" s="100">
        <f t="shared" si="42"/>
        <v>-0.88319999999999999</v>
      </c>
      <c r="H73" s="100">
        <f t="shared" si="42"/>
        <v>-0.92163265306122444</v>
      </c>
      <c r="I73" s="100">
        <f t="shared" si="42"/>
        <v>-0.90222222222222215</v>
      </c>
      <c r="J73" s="100">
        <f t="shared" si="42"/>
        <v>-0.86455445544554443</v>
      </c>
      <c r="K73" s="100">
        <f t="shared" si="42"/>
        <v>-0.88319999999999999</v>
      </c>
      <c r="L73" s="100">
        <f t="shared" si="42"/>
        <v>-0.87383084577114423</v>
      </c>
      <c r="M73" s="100">
        <f t="shared" si="42"/>
        <v>-0.92163265306122444</v>
      </c>
      <c r="N73" s="100">
        <f t="shared" si="42"/>
        <v>-1.0249462365591397</v>
      </c>
      <c r="O73" s="100">
        <f t="shared" si="42"/>
        <v>-1.0249462365591397</v>
      </c>
      <c r="P73" s="100">
        <f t="shared" si="42"/>
        <v>-1.0249462365591397</v>
      </c>
      <c r="Q73" s="100">
        <f t="shared" si="42"/>
        <v>-1.0249462365591397</v>
      </c>
      <c r="R73" s="100">
        <f t="shared" si="42"/>
        <v>-1.0034042553191489</v>
      </c>
      <c r="S73" s="100">
        <f t="shared" si="42"/>
        <v>-1.0034042553191489</v>
      </c>
      <c r="T73" s="100">
        <f t="shared" si="42"/>
        <v>-0.98231578947368414</v>
      </c>
      <c r="U73" s="100">
        <f t="shared" si="42"/>
        <v>-0.95150259067357501</v>
      </c>
      <c r="V73" s="100">
        <f t="shared" si="42"/>
        <v>-1.0358918918918918</v>
      </c>
      <c r="W73" s="100">
        <f t="shared" si="42"/>
        <v>-1.0034042553191489</v>
      </c>
    </row>
    <row r="74" spans="1:23" s="36" customFormat="1" x14ac:dyDescent="0.3">
      <c r="A74" s="406"/>
      <c r="B74" s="97" t="s">
        <v>204</v>
      </c>
      <c r="C74" s="98"/>
      <c r="D74" s="100">
        <f>+D70/D66</f>
        <v>-1.0141176470588233</v>
      </c>
      <c r="E74" s="100">
        <f t="shared" ref="E74:W74" si="43">+E70/E66</f>
        <v>-0.84627450980392149</v>
      </c>
      <c r="F74" s="100">
        <f t="shared" si="43"/>
        <v>-0.82834951456310668</v>
      </c>
      <c r="G74" s="100">
        <f t="shared" si="43"/>
        <v>-0.87383084577114423</v>
      </c>
      <c r="H74" s="100">
        <f t="shared" si="43"/>
        <v>-0.91187817258883241</v>
      </c>
      <c r="I74" s="100">
        <f t="shared" si="43"/>
        <v>-0.89266331658291453</v>
      </c>
      <c r="J74" s="100">
        <f t="shared" si="43"/>
        <v>-0.85536945812807874</v>
      </c>
      <c r="K74" s="100">
        <f t="shared" si="43"/>
        <v>-0.87383084577114423</v>
      </c>
      <c r="L74" s="100">
        <f t="shared" si="43"/>
        <v>-0.86455445544554443</v>
      </c>
      <c r="M74" s="100">
        <f t="shared" si="43"/>
        <v>-0.91187817258883241</v>
      </c>
      <c r="N74" s="100">
        <f t="shared" si="43"/>
        <v>-1.0141176470588233</v>
      </c>
      <c r="O74" s="100">
        <f t="shared" si="43"/>
        <v>-1.0141176470588233</v>
      </c>
      <c r="P74" s="100">
        <f t="shared" si="43"/>
        <v>-1.0141176470588233</v>
      </c>
      <c r="Q74" s="100">
        <f t="shared" si="43"/>
        <v>-1.0141176470588233</v>
      </c>
      <c r="R74" s="100">
        <f t="shared" si="43"/>
        <v>-0.99280423280423269</v>
      </c>
      <c r="S74" s="100">
        <f t="shared" si="43"/>
        <v>-0.99280423280423269</v>
      </c>
      <c r="T74" s="100">
        <f t="shared" si="43"/>
        <v>-0.97193717277486902</v>
      </c>
      <c r="U74" s="100">
        <f t="shared" si="43"/>
        <v>-0.94144329896907208</v>
      </c>
      <c r="V74" s="100">
        <f t="shared" si="43"/>
        <v>-1.0249462365591397</v>
      </c>
      <c r="W74" s="100">
        <f t="shared" si="43"/>
        <v>-0.99280423280423269</v>
      </c>
    </row>
    <row r="75" spans="1:23" s="36" customFormat="1" x14ac:dyDescent="0.3">
      <c r="A75" s="406"/>
      <c r="B75" s="97" t="s">
        <v>205</v>
      </c>
      <c r="C75" s="98"/>
      <c r="D75" s="100">
        <f>+D71/D67</f>
        <v>-1.0034042553191489</v>
      </c>
      <c r="E75" s="100">
        <f t="shared" ref="E75:W75" si="44">+E71/E67</f>
        <v>-0.8372682926829268</v>
      </c>
      <c r="F75" s="100">
        <f t="shared" si="44"/>
        <v>-0.81951690821256029</v>
      </c>
      <c r="G75" s="100">
        <f t="shared" si="44"/>
        <v>-0.86455445544554443</v>
      </c>
      <c r="H75" s="100">
        <f t="shared" si="44"/>
        <v>-0.90222222222222215</v>
      </c>
      <c r="I75" s="100">
        <f t="shared" si="44"/>
        <v>-0.88319999999999999</v>
      </c>
      <c r="J75" s="100">
        <f t="shared" si="44"/>
        <v>-0.84627450980392149</v>
      </c>
      <c r="K75" s="100">
        <f t="shared" si="44"/>
        <v>-0.86455445544554443</v>
      </c>
      <c r="L75" s="100">
        <f t="shared" si="44"/>
        <v>-0.85536945812807874</v>
      </c>
      <c r="M75" s="100">
        <f t="shared" si="44"/>
        <v>-0.90222222222222215</v>
      </c>
      <c r="N75" s="100">
        <f t="shared" si="44"/>
        <v>-1.0034042553191489</v>
      </c>
      <c r="O75" s="100">
        <f t="shared" si="44"/>
        <v>-1.0034042553191489</v>
      </c>
      <c r="P75" s="100">
        <f t="shared" si="44"/>
        <v>-1.0034042553191489</v>
      </c>
      <c r="Q75" s="100">
        <f t="shared" si="44"/>
        <v>-1.0034042553191489</v>
      </c>
      <c r="R75" s="100">
        <f t="shared" si="44"/>
        <v>-0.98231578947368414</v>
      </c>
      <c r="S75" s="100">
        <f t="shared" si="44"/>
        <v>-0.98231578947368414</v>
      </c>
      <c r="T75" s="100">
        <f t="shared" si="44"/>
        <v>-0.96166666666666656</v>
      </c>
      <c r="U75" s="100">
        <f t="shared" si="44"/>
        <v>-0.93148717948717941</v>
      </c>
      <c r="V75" s="100">
        <f t="shared" si="44"/>
        <v>-1.0141176470588233</v>
      </c>
      <c r="W75" s="100">
        <f t="shared" si="44"/>
        <v>-0.98231578947368414</v>
      </c>
    </row>
    <row r="76" spans="1:23" ht="21" thickBot="1" x14ac:dyDescent="0.35"/>
    <row r="77" spans="1:23" s="19" customFormat="1" ht="24" thickBot="1" x14ac:dyDescent="0.4">
      <c r="A77" s="19" t="s">
        <v>247</v>
      </c>
      <c r="B77" s="345" t="s">
        <v>27</v>
      </c>
      <c r="C77" s="68"/>
      <c r="D77" s="17" t="s">
        <v>5</v>
      </c>
      <c r="E77" s="18" t="s">
        <v>6</v>
      </c>
      <c r="F77" s="18" t="s">
        <v>7</v>
      </c>
      <c r="G77" s="18" t="s">
        <v>8</v>
      </c>
      <c r="H77" s="18" t="s">
        <v>9</v>
      </c>
      <c r="I77" s="18" t="s">
        <v>10</v>
      </c>
      <c r="J77" s="18" t="s">
        <v>11</v>
      </c>
      <c r="K77" s="18" t="s">
        <v>12</v>
      </c>
      <c r="L77" s="18" t="s">
        <v>13</v>
      </c>
      <c r="M77" s="18" t="s">
        <v>14</v>
      </c>
      <c r="N77" s="18" t="s">
        <v>15</v>
      </c>
      <c r="O77" s="18" t="s">
        <v>16</v>
      </c>
      <c r="P77" s="18" t="s">
        <v>17</v>
      </c>
      <c r="Q77" s="18" t="s">
        <v>18</v>
      </c>
      <c r="R77" s="18" t="s">
        <v>19</v>
      </c>
      <c r="S77" s="18" t="s">
        <v>20</v>
      </c>
      <c r="T77" s="18" t="s">
        <v>21</v>
      </c>
      <c r="U77" s="18" t="s">
        <v>22</v>
      </c>
      <c r="V77" s="18" t="s">
        <v>23</v>
      </c>
      <c r="W77" s="18" t="s">
        <v>166</v>
      </c>
    </row>
    <row r="78" spans="1:23" x14ac:dyDescent="0.3">
      <c r="A78" s="19" t="s">
        <v>248</v>
      </c>
      <c r="B78" s="54" t="s">
        <v>50</v>
      </c>
      <c r="C78" s="55"/>
      <c r="D78" s="20">
        <v>405</v>
      </c>
      <c r="E78" s="21">
        <f>D78</f>
        <v>405</v>
      </c>
      <c r="F78" s="21">
        <f>D78</f>
        <v>405</v>
      </c>
      <c r="G78" s="21">
        <f>D78</f>
        <v>405</v>
      </c>
      <c r="H78" s="21">
        <f>E78</f>
        <v>405</v>
      </c>
      <c r="I78" s="21">
        <f>D78</f>
        <v>405</v>
      </c>
      <c r="J78" s="21">
        <f>D78</f>
        <v>405</v>
      </c>
      <c r="K78" s="21">
        <f>D78</f>
        <v>405</v>
      </c>
      <c r="L78" s="21">
        <f>D78</f>
        <v>405</v>
      </c>
      <c r="M78" s="21">
        <f>D78</f>
        <v>405</v>
      </c>
      <c r="N78" s="21">
        <f>D78</f>
        <v>405</v>
      </c>
      <c r="O78" s="21">
        <f>D78</f>
        <v>405</v>
      </c>
      <c r="P78" s="21">
        <f>D78</f>
        <v>405</v>
      </c>
      <c r="Q78" s="21">
        <f>D78</f>
        <v>405</v>
      </c>
      <c r="R78" s="21">
        <f>D78</f>
        <v>405</v>
      </c>
      <c r="S78" s="21">
        <f>D78</f>
        <v>405</v>
      </c>
      <c r="T78" s="21">
        <f>D78</f>
        <v>405</v>
      </c>
      <c r="U78" s="21">
        <f>D78</f>
        <v>405</v>
      </c>
      <c r="V78" s="21">
        <f>D78</f>
        <v>405</v>
      </c>
      <c r="W78" s="21">
        <f>H78</f>
        <v>405</v>
      </c>
    </row>
    <row r="79" spans="1:23" ht="23" x14ac:dyDescent="0.35">
      <c r="B79" s="340" t="s">
        <v>51</v>
      </c>
      <c r="C79" s="341"/>
      <c r="D79" s="342"/>
      <c r="E79" s="342"/>
      <c r="F79" s="342"/>
      <c r="G79" s="342"/>
      <c r="H79" s="342"/>
      <c r="I79" s="342"/>
      <c r="J79" s="342"/>
      <c r="K79" s="342"/>
      <c r="L79" s="342"/>
      <c r="M79" s="342"/>
      <c r="N79" s="342"/>
      <c r="O79" s="342"/>
      <c r="P79" s="342"/>
      <c r="Q79" s="342"/>
      <c r="R79" s="342"/>
      <c r="S79" s="342"/>
      <c r="T79" s="343"/>
      <c r="U79" s="343"/>
      <c r="V79" s="343"/>
      <c r="W79" s="342"/>
    </row>
    <row r="80" spans="1:23" x14ac:dyDescent="0.3">
      <c r="B80" s="54"/>
      <c r="C80" s="55"/>
      <c r="D80" s="20">
        <f t="shared" ref="D80:V80" si="45">D78*(1-D79)</f>
        <v>405</v>
      </c>
      <c r="E80" s="20">
        <f t="shared" si="45"/>
        <v>405</v>
      </c>
      <c r="F80" s="20">
        <f t="shared" si="45"/>
        <v>405</v>
      </c>
      <c r="G80" s="20">
        <f t="shared" si="45"/>
        <v>405</v>
      </c>
      <c r="H80" s="20">
        <f t="shared" si="45"/>
        <v>405</v>
      </c>
      <c r="I80" s="20">
        <f t="shared" si="45"/>
        <v>405</v>
      </c>
      <c r="J80" s="20">
        <f t="shared" si="45"/>
        <v>405</v>
      </c>
      <c r="K80" s="20">
        <f t="shared" si="45"/>
        <v>405</v>
      </c>
      <c r="L80" s="20">
        <f t="shared" si="45"/>
        <v>405</v>
      </c>
      <c r="M80" s="20">
        <f t="shared" si="45"/>
        <v>405</v>
      </c>
      <c r="N80" s="20">
        <f t="shared" si="45"/>
        <v>405</v>
      </c>
      <c r="O80" s="20">
        <f t="shared" si="45"/>
        <v>405</v>
      </c>
      <c r="P80" s="20">
        <f t="shared" si="45"/>
        <v>405</v>
      </c>
      <c r="Q80" s="20">
        <f t="shared" si="45"/>
        <v>405</v>
      </c>
      <c r="R80" s="20">
        <f t="shared" si="45"/>
        <v>405</v>
      </c>
      <c r="S80" s="20">
        <f t="shared" si="45"/>
        <v>405</v>
      </c>
      <c r="T80" s="20">
        <f t="shared" si="45"/>
        <v>405</v>
      </c>
      <c r="U80" s="20">
        <f t="shared" si="45"/>
        <v>405</v>
      </c>
      <c r="V80" s="20">
        <f t="shared" si="45"/>
        <v>405</v>
      </c>
      <c r="W80" s="20">
        <f>W78*(1-W79)</f>
        <v>405</v>
      </c>
    </row>
    <row r="81" spans="1:23" x14ac:dyDescent="0.3">
      <c r="B81" s="54" t="s">
        <v>51</v>
      </c>
      <c r="C81" s="56">
        <v>0</v>
      </c>
      <c r="D81" s="20">
        <f t="shared" ref="D81:W81" si="46">D80*$C81</f>
        <v>0</v>
      </c>
      <c r="E81" s="20">
        <f t="shared" si="46"/>
        <v>0</v>
      </c>
      <c r="F81" s="20">
        <f t="shared" si="46"/>
        <v>0</v>
      </c>
      <c r="G81" s="20">
        <f t="shared" si="46"/>
        <v>0</v>
      </c>
      <c r="H81" s="20">
        <f t="shared" si="46"/>
        <v>0</v>
      </c>
      <c r="I81" s="20">
        <f t="shared" si="46"/>
        <v>0</v>
      </c>
      <c r="J81" s="20">
        <f t="shared" si="46"/>
        <v>0</v>
      </c>
      <c r="K81" s="20">
        <f t="shared" si="46"/>
        <v>0</v>
      </c>
      <c r="L81" s="20">
        <f t="shared" si="46"/>
        <v>0</v>
      </c>
      <c r="M81" s="20">
        <f t="shared" si="46"/>
        <v>0</v>
      </c>
      <c r="N81" s="20">
        <f t="shared" si="46"/>
        <v>0</v>
      </c>
      <c r="O81" s="20">
        <f t="shared" si="46"/>
        <v>0</v>
      </c>
      <c r="P81" s="20">
        <f t="shared" si="46"/>
        <v>0</v>
      </c>
      <c r="Q81" s="20">
        <f t="shared" si="46"/>
        <v>0</v>
      </c>
      <c r="R81" s="20">
        <f t="shared" si="46"/>
        <v>0</v>
      </c>
      <c r="S81" s="20">
        <f t="shared" si="46"/>
        <v>0</v>
      </c>
      <c r="T81" s="20">
        <f t="shared" si="46"/>
        <v>0</v>
      </c>
      <c r="U81" s="20">
        <f t="shared" si="46"/>
        <v>0</v>
      </c>
      <c r="V81" s="20">
        <f t="shared" si="46"/>
        <v>0</v>
      </c>
      <c r="W81" s="20">
        <f t="shared" si="46"/>
        <v>0</v>
      </c>
    </row>
    <row r="82" spans="1:23" x14ac:dyDescent="0.3">
      <c r="B82" s="54" t="s">
        <v>67</v>
      </c>
      <c r="C82" s="55"/>
      <c r="D82" s="20">
        <f t="shared" ref="D82:W82" si="47">D80-D81</f>
        <v>405</v>
      </c>
      <c r="E82" s="20">
        <f t="shared" si="47"/>
        <v>405</v>
      </c>
      <c r="F82" s="20">
        <f t="shared" si="47"/>
        <v>405</v>
      </c>
      <c r="G82" s="20">
        <f t="shared" si="47"/>
        <v>405</v>
      </c>
      <c r="H82" s="20">
        <f t="shared" si="47"/>
        <v>405</v>
      </c>
      <c r="I82" s="20">
        <f t="shared" si="47"/>
        <v>405</v>
      </c>
      <c r="J82" s="20">
        <f t="shared" si="47"/>
        <v>405</v>
      </c>
      <c r="K82" s="20">
        <f t="shared" si="47"/>
        <v>405</v>
      </c>
      <c r="L82" s="20">
        <f t="shared" si="47"/>
        <v>405</v>
      </c>
      <c r="M82" s="20">
        <f t="shared" si="47"/>
        <v>405</v>
      </c>
      <c r="N82" s="20">
        <f t="shared" si="47"/>
        <v>405</v>
      </c>
      <c r="O82" s="20">
        <f t="shared" si="47"/>
        <v>405</v>
      </c>
      <c r="P82" s="20">
        <f t="shared" si="47"/>
        <v>405</v>
      </c>
      <c r="Q82" s="20">
        <f t="shared" si="47"/>
        <v>405</v>
      </c>
      <c r="R82" s="20">
        <f t="shared" si="47"/>
        <v>405</v>
      </c>
      <c r="S82" s="20">
        <f t="shared" si="47"/>
        <v>405</v>
      </c>
      <c r="T82" s="20">
        <f t="shared" si="47"/>
        <v>405</v>
      </c>
      <c r="U82" s="20">
        <f t="shared" si="47"/>
        <v>405</v>
      </c>
      <c r="V82" s="20">
        <f t="shared" si="47"/>
        <v>405</v>
      </c>
      <c r="W82" s="20">
        <f t="shared" si="47"/>
        <v>405</v>
      </c>
    </row>
    <row r="83" spans="1:23" x14ac:dyDescent="0.3">
      <c r="B83" s="54" t="s">
        <v>66</v>
      </c>
      <c r="C83" s="56">
        <v>7.0000000000000007E-2</v>
      </c>
      <c r="D83" s="20">
        <f t="shared" ref="D83:W83" si="48">D82*$C83</f>
        <v>28.35</v>
      </c>
      <c r="E83" s="20">
        <f t="shared" si="48"/>
        <v>28.35</v>
      </c>
      <c r="F83" s="20">
        <f t="shared" si="48"/>
        <v>28.35</v>
      </c>
      <c r="G83" s="20">
        <f t="shared" si="48"/>
        <v>28.35</v>
      </c>
      <c r="H83" s="20">
        <f t="shared" si="48"/>
        <v>28.35</v>
      </c>
      <c r="I83" s="20">
        <f t="shared" si="48"/>
        <v>28.35</v>
      </c>
      <c r="J83" s="20">
        <f t="shared" si="48"/>
        <v>28.35</v>
      </c>
      <c r="K83" s="20">
        <f t="shared" si="48"/>
        <v>28.35</v>
      </c>
      <c r="L83" s="20">
        <f t="shared" si="48"/>
        <v>28.35</v>
      </c>
      <c r="M83" s="20">
        <f t="shared" si="48"/>
        <v>28.35</v>
      </c>
      <c r="N83" s="20">
        <f t="shared" si="48"/>
        <v>28.35</v>
      </c>
      <c r="O83" s="20">
        <f t="shared" si="48"/>
        <v>28.35</v>
      </c>
      <c r="P83" s="20">
        <f t="shared" si="48"/>
        <v>28.35</v>
      </c>
      <c r="Q83" s="20">
        <f t="shared" si="48"/>
        <v>28.35</v>
      </c>
      <c r="R83" s="20">
        <f t="shared" si="48"/>
        <v>28.35</v>
      </c>
      <c r="S83" s="20">
        <f t="shared" si="48"/>
        <v>28.35</v>
      </c>
      <c r="T83" s="20">
        <f t="shared" si="48"/>
        <v>28.35</v>
      </c>
      <c r="U83" s="20">
        <f t="shared" si="48"/>
        <v>28.35</v>
      </c>
      <c r="V83" s="20">
        <f t="shared" si="48"/>
        <v>28.35</v>
      </c>
      <c r="W83" s="20">
        <f t="shared" si="48"/>
        <v>28.35</v>
      </c>
    </row>
    <row r="84" spans="1:23" x14ac:dyDescent="0.3">
      <c r="B84" s="54" t="s">
        <v>68</v>
      </c>
      <c r="C84" s="55"/>
      <c r="D84" s="20">
        <f>((D78*(1-D79))-((D78*(1-D79)*2%)))*1.07</f>
        <v>424.68299999999999</v>
      </c>
      <c r="E84" s="21">
        <f t="shared" ref="E84:V84" si="49">((E78*(1-E79))-((E78*(1-E79)*2%)))*1.07</f>
        <v>424.68299999999999</v>
      </c>
      <c r="F84" s="21">
        <f t="shared" si="49"/>
        <v>424.68299999999999</v>
      </c>
      <c r="G84" s="21">
        <f t="shared" si="49"/>
        <v>424.68299999999999</v>
      </c>
      <c r="H84" s="21">
        <f t="shared" si="49"/>
        <v>424.68299999999999</v>
      </c>
      <c r="I84" s="21">
        <f t="shared" si="49"/>
        <v>424.68299999999999</v>
      </c>
      <c r="J84" s="21">
        <f t="shared" si="49"/>
        <v>424.68299999999999</v>
      </c>
      <c r="K84" s="21">
        <f t="shared" si="49"/>
        <v>424.68299999999999</v>
      </c>
      <c r="L84" s="21">
        <f t="shared" si="49"/>
        <v>424.68299999999999</v>
      </c>
      <c r="M84" s="21">
        <f t="shared" si="49"/>
        <v>424.68299999999999</v>
      </c>
      <c r="N84" s="21">
        <f t="shared" si="49"/>
        <v>424.68299999999999</v>
      </c>
      <c r="O84" s="21">
        <f t="shared" si="49"/>
        <v>424.68299999999999</v>
      </c>
      <c r="P84" s="21">
        <f t="shared" si="49"/>
        <v>424.68299999999999</v>
      </c>
      <c r="Q84" s="21">
        <f t="shared" si="49"/>
        <v>424.68299999999999</v>
      </c>
      <c r="R84" s="21">
        <f t="shared" si="49"/>
        <v>424.68299999999999</v>
      </c>
      <c r="S84" s="21">
        <f t="shared" si="49"/>
        <v>424.68299999999999</v>
      </c>
      <c r="T84" s="21">
        <f t="shared" si="49"/>
        <v>424.68299999999999</v>
      </c>
      <c r="U84" s="21">
        <f t="shared" si="49"/>
        <v>424.68299999999999</v>
      </c>
      <c r="V84" s="21">
        <f t="shared" si="49"/>
        <v>424.68299999999999</v>
      </c>
      <c r="W84" s="21">
        <f>((W78*(1-W79))-((W78*(1-W79)*2%)))*1.07</f>
        <v>424.68299999999999</v>
      </c>
    </row>
    <row r="85" spans="1:23" ht="23" x14ac:dyDescent="0.35">
      <c r="B85" s="357" t="s">
        <v>52</v>
      </c>
      <c r="C85" s="358"/>
      <c r="D85" s="380"/>
      <c r="E85" s="381"/>
      <c r="F85" s="381"/>
      <c r="G85" s="381"/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0"/>
      <c r="S85" s="380"/>
      <c r="T85" s="381"/>
      <c r="U85" s="381"/>
      <c r="V85" s="380"/>
      <c r="W85" s="380"/>
    </row>
    <row r="86" spans="1:23" x14ac:dyDescent="0.3">
      <c r="B86" s="57" t="s">
        <v>53</v>
      </c>
      <c r="C86" s="58"/>
      <c r="D86" s="25">
        <f>SUM(D84:D85)</f>
        <v>424.68299999999999</v>
      </c>
      <c r="E86" s="26">
        <f t="shared" ref="E86:V86" si="50">SUM(E84:E85)</f>
        <v>424.68299999999999</v>
      </c>
      <c r="F86" s="26">
        <f t="shared" si="50"/>
        <v>424.68299999999999</v>
      </c>
      <c r="G86" s="26">
        <f t="shared" si="50"/>
        <v>424.68299999999999</v>
      </c>
      <c r="H86" s="26">
        <f t="shared" si="50"/>
        <v>424.68299999999999</v>
      </c>
      <c r="I86" s="26">
        <f t="shared" si="50"/>
        <v>424.68299999999999</v>
      </c>
      <c r="J86" s="26">
        <f t="shared" si="50"/>
        <v>424.68299999999999</v>
      </c>
      <c r="K86" s="26">
        <f t="shared" si="50"/>
        <v>424.68299999999999</v>
      </c>
      <c r="L86" s="26">
        <f t="shared" si="50"/>
        <v>424.68299999999999</v>
      </c>
      <c r="M86" s="26">
        <f t="shared" si="50"/>
        <v>424.68299999999999</v>
      </c>
      <c r="N86" s="26">
        <f t="shared" si="50"/>
        <v>424.68299999999999</v>
      </c>
      <c r="O86" s="26">
        <f t="shared" si="50"/>
        <v>424.68299999999999</v>
      </c>
      <c r="P86" s="26">
        <f t="shared" si="50"/>
        <v>424.68299999999999</v>
      </c>
      <c r="Q86" s="26">
        <f t="shared" si="50"/>
        <v>424.68299999999999</v>
      </c>
      <c r="R86" s="26">
        <f t="shared" si="50"/>
        <v>424.68299999999999</v>
      </c>
      <c r="S86" s="26">
        <f t="shared" si="50"/>
        <v>424.68299999999999</v>
      </c>
      <c r="T86" s="26">
        <f t="shared" si="50"/>
        <v>424.68299999999999</v>
      </c>
      <c r="U86" s="26">
        <f t="shared" si="50"/>
        <v>424.68299999999999</v>
      </c>
      <c r="V86" s="26">
        <f t="shared" si="50"/>
        <v>424.68299999999999</v>
      </c>
      <c r="W86" s="26">
        <f>SUM(W84:W85)</f>
        <v>424.68299999999999</v>
      </c>
    </row>
    <row r="87" spans="1:23" x14ac:dyDescent="0.3">
      <c r="B87" s="331" t="s">
        <v>54</v>
      </c>
      <c r="C87" s="332"/>
      <c r="D87" s="333"/>
      <c r="E87" s="333"/>
      <c r="F87" s="333"/>
      <c r="G87" s="333"/>
      <c r="H87" s="333"/>
      <c r="I87" s="333"/>
      <c r="J87" s="333"/>
      <c r="K87" s="333"/>
      <c r="L87" s="333"/>
      <c r="M87" s="333"/>
      <c r="N87" s="333"/>
      <c r="O87" s="333"/>
      <c r="P87" s="333"/>
      <c r="Q87" s="333"/>
      <c r="R87" s="333"/>
      <c r="S87" s="333"/>
      <c r="T87" s="333"/>
      <c r="U87" s="333"/>
      <c r="V87" s="333"/>
      <c r="W87" s="333"/>
    </row>
    <row r="88" spans="1:23" ht="23" x14ac:dyDescent="0.35">
      <c r="B88" s="353" t="s">
        <v>55</v>
      </c>
      <c r="C88" s="354"/>
      <c r="D88" s="355">
        <f>D86</f>
        <v>424.68299999999999</v>
      </c>
      <c r="E88" s="356">
        <f t="shared" ref="E88:W88" si="51">E86</f>
        <v>424.68299999999999</v>
      </c>
      <c r="F88" s="356">
        <f t="shared" si="51"/>
        <v>424.68299999999999</v>
      </c>
      <c r="G88" s="356">
        <f t="shared" si="51"/>
        <v>424.68299999999999</v>
      </c>
      <c r="H88" s="356">
        <f t="shared" si="51"/>
        <v>424.68299999999999</v>
      </c>
      <c r="I88" s="356">
        <f t="shared" si="51"/>
        <v>424.68299999999999</v>
      </c>
      <c r="J88" s="356">
        <f t="shared" si="51"/>
        <v>424.68299999999999</v>
      </c>
      <c r="K88" s="356">
        <f t="shared" si="51"/>
        <v>424.68299999999999</v>
      </c>
      <c r="L88" s="356">
        <f t="shared" si="51"/>
        <v>424.68299999999999</v>
      </c>
      <c r="M88" s="356">
        <f t="shared" si="51"/>
        <v>424.68299999999999</v>
      </c>
      <c r="N88" s="356">
        <f t="shared" si="51"/>
        <v>424.68299999999999</v>
      </c>
      <c r="O88" s="356">
        <f t="shared" si="51"/>
        <v>424.68299999999999</v>
      </c>
      <c r="P88" s="356">
        <f t="shared" si="51"/>
        <v>424.68299999999999</v>
      </c>
      <c r="Q88" s="356">
        <f t="shared" si="51"/>
        <v>424.68299999999999</v>
      </c>
      <c r="R88" s="356">
        <f>R86</f>
        <v>424.68299999999999</v>
      </c>
      <c r="S88" s="356">
        <f t="shared" si="51"/>
        <v>424.68299999999999</v>
      </c>
      <c r="T88" s="356">
        <f t="shared" si="51"/>
        <v>424.68299999999999</v>
      </c>
      <c r="U88" s="356">
        <f t="shared" si="51"/>
        <v>424.68299999999999</v>
      </c>
      <c r="V88" s="356">
        <f t="shared" si="51"/>
        <v>424.68299999999999</v>
      </c>
      <c r="W88" s="356">
        <f t="shared" si="51"/>
        <v>424.68299999999999</v>
      </c>
    </row>
    <row r="89" spans="1:23" x14ac:dyDescent="0.3">
      <c r="B89" s="171" t="s">
        <v>194</v>
      </c>
      <c r="C89" s="55"/>
      <c r="D89" s="20">
        <v>184</v>
      </c>
      <c r="E89" s="21">
        <v>201</v>
      </c>
      <c r="F89" s="21">
        <v>203</v>
      </c>
      <c r="G89" s="21">
        <v>198</v>
      </c>
      <c r="H89" s="21">
        <v>194</v>
      </c>
      <c r="I89" s="21">
        <v>195</v>
      </c>
      <c r="J89" s="21">
        <v>199</v>
      </c>
      <c r="K89" s="21">
        <v>197</v>
      </c>
      <c r="L89" s="21">
        <v>199</v>
      </c>
      <c r="M89" s="21">
        <v>193</v>
      </c>
      <c r="N89" s="21">
        <v>184</v>
      </c>
      <c r="O89" s="21">
        <v>184</v>
      </c>
      <c r="P89" s="21">
        <v>184</v>
      </c>
      <c r="Q89" s="21">
        <v>184</v>
      </c>
      <c r="R89" s="21">
        <v>185</v>
      </c>
      <c r="S89" s="21">
        <v>185</v>
      </c>
      <c r="T89" s="21">
        <v>190</v>
      </c>
      <c r="U89" s="21">
        <v>193</v>
      </c>
      <c r="V89" s="21">
        <v>184</v>
      </c>
      <c r="W89" s="21">
        <v>185</v>
      </c>
    </row>
    <row r="90" spans="1:23" s="30" customFormat="1" x14ac:dyDescent="0.3">
      <c r="A90" s="404"/>
      <c r="B90" s="61" t="s">
        <v>195</v>
      </c>
      <c r="C90" s="62"/>
      <c r="D90" s="28">
        <v>185</v>
      </c>
      <c r="E90" s="29">
        <v>202</v>
      </c>
      <c r="F90" s="29">
        <v>204</v>
      </c>
      <c r="G90" s="29">
        <v>199</v>
      </c>
      <c r="H90" s="29">
        <v>195</v>
      </c>
      <c r="I90" s="29">
        <v>196</v>
      </c>
      <c r="J90" s="29">
        <v>200</v>
      </c>
      <c r="K90" s="29">
        <v>198</v>
      </c>
      <c r="L90" s="29">
        <v>200</v>
      </c>
      <c r="M90" s="29">
        <v>194</v>
      </c>
      <c r="N90" s="29">
        <v>185</v>
      </c>
      <c r="O90" s="29">
        <v>185</v>
      </c>
      <c r="P90" s="29">
        <v>185</v>
      </c>
      <c r="Q90" s="29">
        <v>185</v>
      </c>
      <c r="R90" s="29">
        <v>186</v>
      </c>
      <c r="S90" s="29">
        <v>186</v>
      </c>
      <c r="T90" s="29">
        <v>191</v>
      </c>
      <c r="U90" s="29">
        <v>194</v>
      </c>
      <c r="V90" s="29">
        <v>185</v>
      </c>
      <c r="W90" s="29">
        <v>186</v>
      </c>
    </row>
    <row r="91" spans="1:23" s="30" customFormat="1" x14ac:dyDescent="0.3">
      <c r="A91" s="404"/>
      <c r="B91" s="61" t="s">
        <v>196</v>
      </c>
      <c r="C91" s="62"/>
      <c r="D91" s="28">
        <v>186</v>
      </c>
      <c r="E91" s="29">
        <v>203</v>
      </c>
      <c r="F91" s="29">
        <v>205</v>
      </c>
      <c r="G91" s="29">
        <v>200</v>
      </c>
      <c r="H91" s="29">
        <v>196</v>
      </c>
      <c r="I91" s="29">
        <v>197</v>
      </c>
      <c r="J91" s="29">
        <v>201</v>
      </c>
      <c r="K91" s="29">
        <v>199</v>
      </c>
      <c r="L91" s="29">
        <v>201</v>
      </c>
      <c r="M91" s="29">
        <v>195</v>
      </c>
      <c r="N91" s="29">
        <v>186</v>
      </c>
      <c r="O91" s="29">
        <v>186</v>
      </c>
      <c r="P91" s="29">
        <v>186</v>
      </c>
      <c r="Q91" s="29">
        <v>186</v>
      </c>
      <c r="R91" s="29">
        <v>187</v>
      </c>
      <c r="S91" s="29">
        <v>187</v>
      </c>
      <c r="T91" s="29">
        <v>192</v>
      </c>
      <c r="U91" s="29">
        <v>195</v>
      </c>
      <c r="V91" s="29">
        <v>186</v>
      </c>
      <c r="W91" s="29">
        <v>187</v>
      </c>
    </row>
    <row r="92" spans="1:23" s="30" customFormat="1" x14ac:dyDescent="0.3">
      <c r="A92" s="404"/>
      <c r="B92" s="61" t="s">
        <v>197</v>
      </c>
      <c r="C92" s="62"/>
      <c r="D92" s="28">
        <v>187</v>
      </c>
      <c r="E92" s="29">
        <v>204</v>
      </c>
      <c r="F92" s="29">
        <v>206</v>
      </c>
      <c r="G92" s="29">
        <v>201</v>
      </c>
      <c r="H92" s="29">
        <v>197</v>
      </c>
      <c r="I92" s="29">
        <v>198</v>
      </c>
      <c r="J92" s="29">
        <v>202</v>
      </c>
      <c r="K92" s="29">
        <v>200</v>
      </c>
      <c r="L92" s="29">
        <v>202</v>
      </c>
      <c r="M92" s="29">
        <v>196</v>
      </c>
      <c r="N92" s="29">
        <v>187</v>
      </c>
      <c r="O92" s="29">
        <v>187</v>
      </c>
      <c r="P92" s="29">
        <v>187</v>
      </c>
      <c r="Q92" s="29">
        <v>187</v>
      </c>
      <c r="R92" s="29">
        <v>188</v>
      </c>
      <c r="S92" s="29">
        <v>188</v>
      </c>
      <c r="T92" s="29">
        <v>193</v>
      </c>
      <c r="U92" s="29">
        <v>196</v>
      </c>
      <c r="V92" s="29">
        <v>187</v>
      </c>
      <c r="W92" s="29">
        <v>188</v>
      </c>
    </row>
    <row r="93" spans="1:23" s="30" customFormat="1" x14ac:dyDescent="0.3">
      <c r="A93" s="404"/>
      <c r="B93" s="63" t="s">
        <v>198</v>
      </c>
      <c r="C93" s="62"/>
      <c r="D93" s="31">
        <f>+D89-D$88</f>
        <v>-240.68299999999999</v>
      </c>
      <c r="E93" s="31">
        <f t="shared" ref="E93:W93" si="52">+E89-E$88</f>
        <v>-223.68299999999999</v>
      </c>
      <c r="F93" s="31">
        <f t="shared" si="52"/>
        <v>-221.68299999999999</v>
      </c>
      <c r="G93" s="31">
        <f t="shared" si="52"/>
        <v>-226.68299999999999</v>
      </c>
      <c r="H93" s="31">
        <f t="shared" si="52"/>
        <v>-230.68299999999999</v>
      </c>
      <c r="I93" s="31">
        <f t="shared" si="52"/>
        <v>-229.68299999999999</v>
      </c>
      <c r="J93" s="31">
        <f t="shared" si="52"/>
        <v>-225.68299999999999</v>
      </c>
      <c r="K93" s="31">
        <f t="shared" si="52"/>
        <v>-227.68299999999999</v>
      </c>
      <c r="L93" s="31">
        <f t="shared" si="52"/>
        <v>-225.68299999999999</v>
      </c>
      <c r="M93" s="31">
        <f t="shared" si="52"/>
        <v>-231.68299999999999</v>
      </c>
      <c r="N93" s="31">
        <f t="shared" si="52"/>
        <v>-240.68299999999999</v>
      </c>
      <c r="O93" s="31">
        <f t="shared" si="52"/>
        <v>-240.68299999999999</v>
      </c>
      <c r="P93" s="31">
        <f t="shared" si="52"/>
        <v>-240.68299999999999</v>
      </c>
      <c r="Q93" s="31">
        <f t="shared" si="52"/>
        <v>-240.68299999999999</v>
      </c>
      <c r="R93" s="31">
        <f t="shared" si="52"/>
        <v>-239.68299999999999</v>
      </c>
      <c r="S93" s="31">
        <f t="shared" si="52"/>
        <v>-239.68299999999999</v>
      </c>
      <c r="T93" s="31">
        <f t="shared" si="52"/>
        <v>-234.68299999999999</v>
      </c>
      <c r="U93" s="31">
        <f t="shared" si="52"/>
        <v>-231.68299999999999</v>
      </c>
      <c r="V93" s="31">
        <f t="shared" si="52"/>
        <v>-240.68299999999999</v>
      </c>
      <c r="W93" s="31">
        <f t="shared" si="52"/>
        <v>-239.68299999999999</v>
      </c>
    </row>
    <row r="94" spans="1:23" s="33" customFormat="1" x14ac:dyDescent="0.3">
      <c r="A94" s="405"/>
      <c r="B94" s="63" t="s">
        <v>199</v>
      </c>
      <c r="C94" s="64"/>
      <c r="D94" s="31">
        <f>+D90-D$88</f>
        <v>-239.68299999999999</v>
      </c>
      <c r="E94" s="32">
        <f t="shared" ref="E94:W94" si="53">+E90-E$88</f>
        <v>-222.68299999999999</v>
      </c>
      <c r="F94" s="32">
        <f t="shared" si="53"/>
        <v>-220.68299999999999</v>
      </c>
      <c r="G94" s="32">
        <f t="shared" si="53"/>
        <v>-225.68299999999999</v>
      </c>
      <c r="H94" s="32">
        <f t="shared" si="53"/>
        <v>-229.68299999999999</v>
      </c>
      <c r="I94" s="32">
        <f t="shared" si="53"/>
        <v>-228.68299999999999</v>
      </c>
      <c r="J94" s="32">
        <f t="shared" si="53"/>
        <v>-224.68299999999999</v>
      </c>
      <c r="K94" s="32">
        <f t="shared" si="53"/>
        <v>-226.68299999999999</v>
      </c>
      <c r="L94" s="32">
        <f t="shared" si="53"/>
        <v>-224.68299999999999</v>
      </c>
      <c r="M94" s="32">
        <f t="shared" si="53"/>
        <v>-230.68299999999999</v>
      </c>
      <c r="N94" s="32">
        <f t="shared" si="53"/>
        <v>-239.68299999999999</v>
      </c>
      <c r="O94" s="32">
        <f t="shared" si="53"/>
        <v>-239.68299999999999</v>
      </c>
      <c r="P94" s="32">
        <f t="shared" si="53"/>
        <v>-239.68299999999999</v>
      </c>
      <c r="Q94" s="32">
        <f t="shared" si="53"/>
        <v>-239.68299999999999</v>
      </c>
      <c r="R94" s="32">
        <f t="shared" si="53"/>
        <v>-238.68299999999999</v>
      </c>
      <c r="S94" s="32">
        <f t="shared" si="53"/>
        <v>-238.68299999999999</v>
      </c>
      <c r="T94" s="32">
        <f t="shared" si="53"/>
        <v>-233.68299999999999</v>
      </c>
      <c r="U94" s="32">
        <f t="shared" si="53"/>
        <v>-230.68299999999999</v>
      </c>
      <c r="V94" s="32">
        <f t="shared" si="53"/>
        <v>-239.68299999999999</v>
      </c>
      <c r="W94" s="32">
        <f t="shared" si="53"/>
        <v>-238.68299999999999</v>
      </c>
    </row>
    <row r="95" spans="1:23" s="33" customFormat="1" x14ac:dyDescent="0.3">
      <c r="A95" s="405"/>
      <c r="B95" s="63" t="s">
        <v>200</v>
      </c>
      <c r="C95" s="64"/>
      <c r="D95" s="31">
        <f>+D91-D$88</f>
        <v>-238.68299999999999</v>
      </c>
      <c r="E95" s="32">
        <f t="shared" ref="E95:W95" si="54">+E91-E$88</f>
        <v>-221.68299999999999</v>
      </c>
      <c r="F95" s="32">
        <f t="shared" si="54"/>
        <v>-219.68299999999999</v>
      </c>
      <c r="G95" s="32">
        <f t="shared" si="54"/>
        <v>-224.68299999999999</v>
      </c>
      <c r="H95" s="32">
        <f t="shared" si="54"/>
        <v>-228.68299999999999</v>
      </c>
      <c r="I95" s="32">
        <f t="shared" si="54"/>
        <v>-227.68299999999999</v>
      </c>
      <c r="J95" s="32">
        <f t="shared" si="54"/>
        <v>-223.68299999999999</v>
      </c>
      <c r="K95" s="32">
        <f t="shared" si="54"/>
        <v>-225.68299999999999</v>
      </c>
      <c r="L95" s="32">
        <f t="shared" si="54"/>
        <v>-223.68299999999999</v>
      </c>
      <c r="M95" s="32">
        <f t="shared" si="54"/>
        <v>-229.68299999999999</v>
      </c>
      <c r="N95" s="32">
        <f t="shared" si="54"/>
        <v>-238.68299999999999</v>
      </c>
      <c r="O95" s="32">
        <f t="shared" si="54"/>
        <v>-238.68299999999999</v>
      </c>
      <c r="P95" s="32">
        <f t="shared" si="54"/>
        <v>-238.68299999999999</v>
      </c>
      <c r="Q95" s="32">
        <f t="shared" si="54"/>
        <v>-238.68299999999999</v>
      </c>
      <c r="R95" s="32">
        <f t="shared" si="54"/>
        <v>-237.68299999999999</v>
      </c>
      <c r="S95" s="32">
        <f t="shared" si="54"/>
        <v>-237.68299999999999</v>
      </c>
      <c r="T95" s="32">
        <f t="shared" si="54"/>
        <v>-232.68299999999999</v>
      </c>
      <c r="U95" s="32">
        <f t="shared" si="54"/>
        <v>-229.68299999999999</v>
      </c>
      <c r="V95" s="32">
        <f t="shared" si="54"/>
        <v>-238.68299999999999</v>
      </c>
      <c r="W95" s="32">
        <f t="shared" si="54"/>
        <v>-237.68299999999999</v>
      </c>
    </row>
    <row r="96" spans="1:23" s="33" customFormat="1" x14ac:dyDescent="0.3">
      <c r="A96" s="405"/>
      <c r="B96" s="63" t="s">
        <v>201</v>
      </c>
      <c r="C96" s="64"/>
      <c r="D96" s="31">
        <f>+D92-D$88</f>
        <v>-237.68299999999999</v>
      </c>
      <c r="E96" s="32">
        <f t="shared" ref="E96:W96" si="55">+E92-E$88</f>
        <v>-220.68299999999999</v>
      </c>
      <c r="F96" s="32">
        <f t="shared" si="55"/>
        <v>-218.68299999999999</v>
      </c>
      <c r="G96" s="32">
        <f t="shared" si="55"/>
        <v>-223.68299999999999</v>
      </c>
      <c r="H96" s="32">
        <f t="shared" si="55"/>
        <v>-227.68299999999999</v>
      </c>
      <c r="I96" s="32">
        <f t="shared" si="55"/>
        <v>-226.68299999999999</v>
      </c>
      <c r="J96" s="32">
        <f t="shared" si="55"/>
        <v>-222.68299999999999</v>
      </c>
      <c r="K96" s="32">
        <f t="shared" si="55"/>
        <v>-224.68299999999999</v>
      </c>
      <c r="L96" s="32">
        <f t="shared" si="55"/>
        <v>-222.68299999999999</v>
      </c>
      <c r="M96" s="32">
        <f t="shared" si="55"/>
        <v>-228.68299999999999</v>
      </c>
      <c r="N96" s="32">
        <f t="shared" si="55"/>
        <v>-237.68299999999999</v>
      </c>
      <c r="O96" s="32">
        <f t="shared" si="55"/>
        <v>-237.68299999999999</v>
      </c>
      <c r="P96" s="32">
        <f t="shared" si="55"/>
        <v>-237.68299999999999</v>
      </c>
      <c r="Q96" s="32">
        <f t="shared" si="55"/>
        <v>-237.68299999999999</v>
      </c>
      <c r="R96" s="32">
        <f t="shared" si="55"/>
        <v>-236.68299999999999</v>
      </c>
      <c r="S96" s="32">
        <f t="shared" si="55"/>
        <v>-236.68299999999999</v>
      </c>
      <c r="T96" s="32">
        <f t="shared" si="55"/>
        <v>-231.68299999999999</v>
      </c>
      <c r="U96" s="32">
        <f t="shared" si="55"/>
        <v>-228.68299999999999</v>
      </c>
      <c r="V96" s="32">
        <f t="shared" si="55"/>
        <v>-237.68299999999999</v>
      </c>
      <c r="W96" s="32">
        <f t="shared" si="55"/>
        <v>-236.68299999999999</v>
      </c>
    </row>
    <row r="97" spans="1:23" x14ac:dyDescent="0.3">
      <c r="B97" s="97" t="s">
        <v>202</v>
      </c>
      <c r="C97" s="98"/>
      <c r="D97" s="100">
        <f>+D93/D89</f>
        <v>-1.3080597826086957</v>
      </c>
      <c r="E97" s="100">
        <f t="shared" ref="E97:W97" si="56">+E93/E89</f>
        <v>-1.1128507462686568</v>
      </c>
      <c r="F97" s="100">
        <f t="shared" si="56"/>
        <v>-1.0920344827586206</v>
      </c>
      <c r="G97" s="100">
        <f t="shared" si="56"/>
        <v>-1.1448636363636364</v>
      </c>
      <c r="H97" s="100">
        <f t="shared" si="56"/>
        <v>-1.1890876288659793</v>
      </c>
      <c r="I97" s="100">
        <f t="shared" si="56"/>
        <v>-1.1778615384615385</v>
      </c>
      <c r="J97" s="100">
        <f t="shared" si="56"/>
        <v>-1.1340854271356784</v>
      </c>
      <c r="K97" s="100">
        <f t="shared" si="56"/>
        <v>-1.1557512690355329</v>
      </c>
      <c r="L97" s="100">
        <f t="shared" si="56"/>
        <v>-1.1340854271356784</v>
      </c>
      <c r="M97" s="100">
        <f t="shared" si="56"/>
        <v>-1.2004300518134714</v>
      </c>
      <c r="N97" s="100">
        <f t="shared" si="56"/>
        <v>-1.3080597826086957</v>
      </c>
      <c r="O97" s="100">
        <f t="shared" si="56"/>
        <v>-1.3080597826086957</v>
      </c>
      <c r="P97" s="100">
        <f t="shared" si="56"/>
        <v>-1.3080597826086957</v>
      </c>
      <c r="Q97" s="100">
        <f t="shared" si="56"/>
        <v>-1.3080597826086957</v>
      </c>
      <c r="R97" s="100">
        <f t="shared" si="56"/>
        <v>-1.2955837837837838</v>
      </c>
      <c r="S97" s="100">
        <f t="shared" si="56"/>
        <v>-1.2955837837837838</v>
      </c>
      <c r="T97" s="100">
        <f t="shared" si="56"/>
        <v>-1.2351736842105263</v>
      </c>
      <c r="U97" s="100">
        <f t="shared" si="56"/>
        <v>-1.2004300518134714</v>
      </c>
      <c r="V97" s="100">
        <f t="shared" si="56"/>
        <v>-1.3080597826086957</v>
      </c>
      <c r="W97" s="100">
        <f t="shared" si="56"/>
        <v>-1.2955837837837838</v>
      </c>
    </row>
    <row r="98" spans="1:23" s="36" customFormat="1" x14ac:dyDescent="0.3">
      <c r="A98" s="406"/>
      <c r="B98" s="97" t="s">
        <v>203</v>
      </c>
      <c r="C98" s="98"/>
      <c r="D98" s="100">
        <f>+D94/D90</f>
        <v>-1.2955837837837838</v>
      </c>
      <c r="E98" s="100">
        <f t="shared" ref="E98:W98" si="57">+E94/E90</f>
        <v>-1.1023910891089108</v>
      </c>
      <c r="F98" s="100">
        <f t="shared" si="57"/>
        <v>-1.0817794117647059</v>
      </c>
      <c r="G98" s="100">
        <f t="shared" si="57"/>
        <v>-1.1340854271356784</v>
      </c>
      <c r="H98" s="100">
        <f t="shared" si="57"/>
        <v>-1.1778615384615385</v>
      </c>
      <c r="I98" s="100">
        <f t="shared" si="57"/>
        <v>-1.16675</v>
      </c>
      <c r="J98" s="100">
        <f t="shared" si="57"/>
        <v>-1.1234150000000001</v>
      </c>
      <c r="K98" s="100">
        <f t="shared" si="57"/>
        <v>-1.1448636363636364</v>
      </c>
      <c r="L98" s="100">
        <f t="shared" si="57"/>
        <v>-1.1234150000000001</v>
      </c>
      <c r="M98" s="100">
        <f t="shared" si="57"/>
        <v>-1.1890876288659793</v>
      </c>
      <c r="N98" s="100">
        <f t="shared" si="57"/>
        <v>-1.2955837837837838</v>
      </c>
      <c r="O98" s="100">
        <f t="shared" si="57"/>
        <v>-1.2955837837837838</v>
      </c>
      <c r="P98" s="100">
        <f t="shared" si="57"/>
        <v>-1.2955837837837838</v>
      </c>
      <c r="Q98" s="100">
        <f t="shared" si="57"/>
        <v>-1.2955837837837838</v>
      </c>
      <c r="R98" s="100">
        <f t="shared" si="57"/>
        <v>-1.2832419354838709</v>
      </c>
      <c r="S98" s="100">
        <f t="shared" si="57"/>
        <v>-1.2832419354838709</v>
      </c>
      <c r="T98" s="100">
        <f t="shared" si="57"/>
        <v>-1.2234712041884817</v>
      </c>
      <c r="U98" s="100">
        <f t="shared" si="57"/>
        <v>-1.1890876288659793</v>
      </c>
      <c r="V98" s="100">
        <f t="shared" si="57"/>
        <v>-1.2955837837837838</v>
      </c>
      <c r="W98" s="100">
        <f t="shared" si="57"/>
        <v>-1.2832419354838709</v>
      </c>
    </row>
    <row r="99" spans="1:23" s="36" customFormat="1" x14ac:dyDescent="0.3">
      <c r="A99" s="406"/>
      <c r="B99" s="97" t="s">
        <v>204</v>
      </c>
      <c r="C99" s="98"/>
      <c r="D99" s="100">
        <f>+D95/D91</f>
        <v>-1.2832419354838709</v>
      </c>
      <c r="E99" s="100">
        <f t="shared" ref="E99:W99" si="58">+E95/E91</f>
        <v>-1.0920344827586206</v>
      </c>
      <c r="F99" s="100">
        <f t="shared" si="58"/>
        <v>-1.0716243902439024</v>
      </c>
      <c r="G99" s="100">
        <f t="shared" si="58"/>
        <v>-1.1234150000000001</v>
      </c>
      <c r="H99" s="100">
        <f t="shared" si="58"/>
        <v>-1.16675</v>
      </c>
      <c r="I99" s="100">
        <f t="shared" si="58"/>
        <v>-1.1557512690355329</v>
      </c>
      <c r="J99" s="100">
        <f t="shared" si="58"/>
        <v>-1.1128507462686568</v>
      </c>
      <c r="K99" s="100">
        <f t="shared" si="58"/>
        <v>-1.1340854271356784</v>
      </c>
      <c r="L99" s="100">
        <f t="shared" si="58"/>
        <v>-1.1128507462686568</v>
      </c>
      <c r="M99" s="100">
        <f t="shared" si="58"/>
        <v>-1.1778615384615385</v>
      </c>
      <c r="N99" s="100">
        <f t="shared" si="58"/>
        <v>-1.2832419354838709</v>
      </c>
      <c r="O99" s="100">
        <f t="shared" si="58"/>
        <v>-1.2832419354838709</v>
      </c>
      <c r="P99" s="100">
        <f t="shared" si="58"/>
        <v>-1.2832419354838709</v>
      </c>
      <c r="Q99" s="100">
        <f t="shared" si="58"/>
        <v>-1.2832419354838709</v>
      </c>
      <c r="R99" s="100">
        <f t="shared" si="58"/>
        <v>-1.2710320855614974</v>
      </c>
      <c r="S99" s="100">
        <f t="shared" si="58"/>
        <v>-1.2710320855614974</v>
      </c>
      <c r="T99" s="100">
        <f t="shared" si="58"/>
        <v>-1.2118906249999999</v>
      </c>
      <c r="U99" s="100">
        <f t="shared" si="58"/>
        <v>-1.1778615384615385</v>
      </c>
      <c r="V99" s="100">
        <f t="shared" si="58"/>
        <v>-1.2832419354838709</v>
      </c>
      <c r="W99" s="100">
        <f t="shared" si="58"/>
        <v>-1.2710320855614974</v>
      </c>
    </row>
    <row r="100" spans="1:23" s="36" customFormat="1" x14ac:dyDescent="0.3">
      <c r="A100" s="406"/>
      <c r="B100" s="97" t="s">
        <v>205</v>
      </c>
      <c r="C100" s="98"/>
      <c r="D100" s="100">
        <f>+D96/D92</f>
        <v>-1.2710320855614974</v>
      </c>
      <c r="E100" s="100">
        <f t="shared" ref="E100:W100" si="59">+E96/E92</f>
        <v>-1.0817794117647059</v>
      </c>
      <c r="F100" s="100">
        <f t="shared" si="59"/>
        <v>-1.0615679611650486</v>
      </c>
      <c r="G100" s="100">
        <f t="shared" si="59"/>
        <v>-1.1128507462686568</v>
      </c>
      <c r="H100" s="100">
        <f t="shared" si="59"/>
        <v>-1.1557512690355329</v>
      </c>
      <c r="I100" s="100">
        <f t="shared" si="59"/>
        <v>-1.1448636363636364</v>
      </c>
      <c r="J100" s="100">
        <f t="shared" si="59"/>
        <v>-1.1023910891089108</v>
      </c>
      <c r="K100" s="100">
        <f t="shared" si="59"/>
        <v>-1.1234150000000001</v>
      </c>
      <c r="L100" s="100">
        <f t="shared" si="59"/>
        <v>-1.1023910891089108</v>
      </c>
      <c r="M100" s="100">
        <f t="shared" si="59"/>
        <v>-1.16675</v>
      </c>
      <c r="N100" s="100">
        <f t="shared" si="59"/>
        <v>-1.2710320855614974</v>
      </c>
      <c r="O100" s="100">
        <f t="shared" si="59"/>
        <v>-1.2710320855614974</v>
      </c>
      <c r="P100" s="100">
        <f t="shared" si="59"/>
        <v>-1.2710320855614974</v>
      </c>
      <c r="Q100" s="100">
        <f t="shared" si="59"/>
        <v>-1.2710320855614974</v>
      </c>
      <c r="R100" s="100">
        <f t="shared" si="59"/>
        <v>-1.2589521276595745</v>
      </c>
      <c r="S100" s="100">
        <f t="shared" si="59"/>
        <v>-1.2589521276595745</v>
      </c>
      <c r="T100" s="100">
        <f t="shared" si="59"/>
        <v>-1.2004300518134714</v>
      </c>
      <c r="U100" s="100">
        <f t="shared" si="59"/>
        <v>-1.16675</v>
      </c>
      <c r="V100" s="100">
        <f t="shared" si="59"/>
        <v>-1.2710320855614974</v>
      </c>
      <c r="W100" s="100">
        <f t="shared" si="59"/>
        <v>-1.2589521276595745</v>
      </c>
    </row>
    <row r="101" spans="1:23" ht="21" thickBot="1" x14ac:dyDescent="0.35"/>
    <row r="102" spans="1:23" s="19" customFormat="1" ht="24" thickBot="1" x14ac:dyDescent="0.4">
      <c r="A102" s="19" t="s">
        <v>249</v>
      </c>
      <c r="B102" s="345" t="s">
        <v>28</v>
      </c>
      <c r="C102" s="68"/>
      <c r="D102" s="17" t="s">
        <v>5</v>
      </c>
      <c r="E102" s="18" t="s">
        <v>6</v>
      </c>
      <c r="F102" s="18" t="s">
        <v>7</v>
      </c>
      <c r="G102" s="18" t="s">
        <v>8</v>
      </c>
      <c r="H102" s="18" t="s">
        <v>9</v>
      </c>
      <c r="I102" s="18" t="s">
        <v>10</v>
      </c>
      <c r="J102" s="18" t="s">
        <v>11</v>
      </c>
      <c r="K102" s="18" t="s">
        <v>12</v>
      </c>
      <c r="L102" s="18" t="s">
        <v>13</v>
      </c>
      <c r="M102" s="18" t="s">
        <v>14</v>
      </c>
      <c r="N102" s="18" t="s">
        <v>15</v>
      </c>
      <c r="O102" s="18" t="s">
        <v>16</v>
      </c>
      <c r="P102" s="18" t="s">
        <v>17</v>
      </c>
      <c r="Q102" s="18" t="s">
        <v>18</v>
      </c>
      <c r="R102" s="18" t="s">
        <v>19</v>
      </c>
      <c r="S102" s="18" t="s">
        <v>20</v>
      </c>
      <c r="T102" s="18" t="s">
        <v>21</v>
      </c>
      <c r="U102" s="18" t="s">
        <v>22</v>
      </c>
      <c r="V102" s="18" t="s">
        <v>23</v>
      </c>
      <c r="W102" s="18" t="s">
        <v>166</v>
      </c>
    </row>
    <row r="103" spans="1:23" x14ac:dyDescent="0.3">
      <c r="A103" s="19" t="s">
        <v>250</v>
      </c>
      <c r="B103" s="54" t="s">
        <v>50</v>
      </c>
      <c r="C103" s="55"/>
      <c r="D103" s="20">
        <v>268</v>
      </c>
      <c r="E103" s="21">
        <v>268</v>
      </c>
      <c r="F103" s="21">
        <v>268</v>
      </c>
      <c r="G103" s="21">
        <v>268</v>
      </c>
      <c r="H103" s="21">
        <v>268</v>
      </c>
      <c r="I103" s="21">
        <v>268</v>
      </c>
      <c r="J103" s="21">
        <v>268</v>
      </c>
      <c r="K103" s="21">
        <v>268</v>
      </c>
      <c r="L103" s="21">
        <v>268</v>
      </c>
      <c r="M103" s="21">
        <v>268</v>
      </c>
      <c r="N103" s="21">
        <v>268</v>
      </c>
      <c r="O103" s="21">
        <v>268</v>
      </c>
      <c r="P103" s="21">
        <v>268</v>
      </c>
      <c r="Q103" s="21">
        <v>268</v>
      </c>
      <c r="R103" s="21">
        <v>268</v>
      </c>
      <c r="S103" s="21">
        <v>268</v>
      </c>
      <c r="T103" s="21">
        <v>268</v>
      </c>
      <c r="U103" s="21">
        <v>268</v>
      </c>
      <c r="V103" s="21">
        <v>268</v>
      </c>
      <c r="W103" s="21">
        <v>268</v>
      </c>
    </row>
    <row r="104" spans="1:23" ht="23" x14ac:dyDescent="0.35">
      <c r="B104" s="340" t="s">
        <v>51</v>
      </c>
      <c r="C104" s="341"/>
      <c r="D104" s="348"/>
      <c r="E104" s="348"/>
      <c r="F104" s="348"/>
      <c r="G104" s="348"/>
      <c r="H104" s="348"/>
      <c r="I104" s="348"/>
      <c r="J104" s="348"/>
      <c r="K104" s="348"/>
      <c r="L104" s="348"/>
      <c r="M104" s="348"/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</row>
    <row r="105" spans="1:23" x14ac:dyDescent="0.3">
      <c r="B105" s="54"/>
      <c r="C105" s="55"/>
      <c r="D105" s="20">
        <f t="shared" ref="D105:V105" si="60">D103*(1-D104)</f>
        <v>268</v>
      </c>
      <c r="E105" s="20">
        <f t="shared" si="60"/>
        <v>268</v>
      </c>
      <c r="F105" s="20">
        <f t="shared" si="60"/>
        <v>268</v>
      </c>
      <c r="G105" s="20">
        <f t="shared" si="60"/>
        <v>268</v>
      </c>
      <c r="H105" s="20">
        <f t="shared" si="60"/>
        <v>268</v>
      </c>
      <c r="I105" s="20">
        <f t="shared" si="60"/>
        <v>268</v>
      </c>
      <c r="J105" s="20">
        <f t="shared" si="60"/>
        <v>268</v>
      </c>
      <c r="K105" s="20">
        <f t="shared" si="60"/>
        <v>268</v>
      </c>
      <c r="L105" s="20">
        <f t="shared" si="60"/>
        <v>268</v>
      </c>
      <c r="M105" s="20">
        <f t="shared" si="60"/>
        <v>268</v>
      </c>
      <c r="N105" s="20">
        <f t="shared" si="60"/>
        <v>268</v>
      </c>
      <c r="O105" s="20">
        <f t="shared" si="60"/>
        <v>268</v>
      </c>
      <c r="P105" s="20">
        <f t="shared" si="60"/>
        <v>268</v>
      </c>
      <c r="Q105" s="20">
        <f t="shared" si="60"/>
        <v>268</v>
      </c>
      <c r="R105" s="20">
        <f t="shared" si="60"/>
        <v>268</v>
      </c>
      <c r="S105" s="20">
        <f t="shared" si="60"/>
        <v>268</v>
      </c>
      <c r="T105" s="20">
        <f t="shared" si="60"/>
        <v>268</v>
      </c>
      <c r="U105" s="20">
        <f t="shared" si="60"/>
        <v>268</v>
      </c>
      <c r="V105" s="20">
        <f t="shared" si="60"/>
        <v>268</v>
      </c>
      <c r="W105" s="20">
        <f>W103*(1-W104)</f>
        <v>268</v>
      </c>
    </row>
    <row r="106" spans="1:23" x14ac:dyDescent="0.3">
      <c r="B106" s="54" t="s">
        <v>51</v>
      </c>
      <c r="C106" s="56">
        <v>0</v>
      </c>
      <c r="D106" s="20">
        <f t="shared" ref="D106:W106" si="61">D105*$C106</f>
        <v>0</v>
      </c>
      <c r="E106" s="20">
        <f t="shared" si="61"/>
        <v>0</v>
      </c>
      <c r="F106" s="20">
        <f t="shared" si="61"/>
        <v>0</v>
      </c>
      <c r="G106" s="20">
        <f t="shared" si="61"/>
        <v>0</v>
      </c>
      <c r="H106" s="20">
        <f t="shared" si="61"/>
        <v>0</v>
      </c>
      <c r="I106" s="20">
        <f t="shared" si="61"/>
        <v>0</v>
      </c>
      <c r="J106" s="20">
        <f t="shared" si="61"/>
        <v>0</v>
      </c>
      <c r="K106" s="20">
        <f t="shared" si="61"/>
        <v>0</v>
      </c>
      <c r="L106" s="20">
        <f t="shared" si="61"/>
        <v>0</v>
      </c>
      <c r="M106" s="20">
        <f t="shared" si="61"/>
        <v>0</v>
      </c>
      <c r="N106" s="20">
        <f t="shared" si="61"/>
        <v>0</v>
      </c>
      <c r="O106" s="20">
        <f t="shared" si="61"/>
        <v>0</v>
      </c>
      <c r="P106" s="20">
        <f t="shared" si="61"/>
        <v>0</v>
      </c>
      <c r="Q106" s="20">
        <f t="shared" si="61"/>
        <v>0</v>
      </c>
      <c r="R106" s="20">
        <f t="shared" si="61"/>
        <v>0</v>
      </c>
      <c r="S106" s="20">
        <f t="shared" si="61"/>
        <v>0</v>
      </c>
      <c r="T106" s="20">
        <f t="shared" si="61"/>
        <v>0</v>
      </c>
      <c r="U106" s="20">
        <f t="shared" si="61"/>
        <v>0</v>
      </c>
      <c r="V106" s="20">
        <f t="shared" si="61"/>
        <v>0</v>
      </c>
      <c r="W106" s="20">
        <f t="shared" si="61"/>
        <v>0</v>
      </c>
    </row>
    <row r="107" spans="1:23" x14ac:dyDescent="0.3">
      <c r="B107" s="54" t="s">
        <v>67</v>
      </c>
      <c r="C107" s="55"/>
      <c r="D107" s="20">
        <f t="shared" ref="D107:W107" si="62">D105-D106</f>
        <v>268</v>
      </c>
      <c r="E107" s="20">
        <f t="shared" si="62"/>
        <v>268</v>
      </c>
      <c r="F107" s="20">
        <f t="shared" si="62"/>
        <v>268</v>
      </c>
      <c r="G107" s="20">
        <f t="shared" si="62"/>
        <v>268</v>
      </c>
      <c r="H107" s="20">
        <f t="shared" si="62"/>
        <v>268</v>
      </c>
      <c r="I107" s="20">
        <f t="shared" si="62"/>
        <v>268</v>
      </c>
      <c r="J107" s="20">
        <f t="shared" si="62"/>
        <v>268</v>
      </c>
      <c r="K107" s="20">
        <f t="shared" si="62"/>
        <v>268</v>
      </c>
      <c r="L107" s="20">
        <f t="shared" si="62"/>
        <v>268</v>
      </c>
      <c r="M107" s="20">
        <f t="shared" si="62"/>
        <v>268</v>
      </c>
      <c r="N107" s="20">
        <f t="shared" si="62"/>
        <v>268</v>
      </c>
      <c r="O107" s="20">
        <f t="shared" si="62"/>
        <v>268</v>
      </c>
      <c r="P107" s="20">
        <f t="shared" si="62"/>
        <v>268</v>
      </c>
      <c r="Q107" s="20">
        <f t="shared" si="62"/>
        <v>268</v>
      </c>
      <c r="R107" s="20">
        <f t="shared" si="62"/>
        <v>268</v>
      </c>
      <c r="S107" s="20">
        <f t="shared" si="62"/>
        <v>268</v>
      </c>
      <c r="T107" s="20">
        <f t="shared" si="62"/>
        <v>268</v>
      </c>
      <c r="U107" s="20">
        <f t="shared" si="62"/>
        <v>268</v>
      </c>
      <c r="V107" s="20">
        <f t="shared" si="62"/>
        <v>268</v>
      </c>
      <c r="W107" s="20">
        <f t="shared" si="62"/>
        <v>268</v>
      </c>
    </row>
    <row r="108" spans="1:23" x14ac:dyDescent="0.3">
      <c r="B108" s="54" t="s">
        <v>66</v>
      </c>
      <c r="C108" s="56">
        <v>7.0000000000000007E-2</v>
      </c>
      <c r="D108" s="20">
        <f t="shared" ref="D108:W108" si="63">D107*$C108</f>
        <v>18.760000000000002</v>
      </c>
      <c r="E108" s="20">
        <f t="shared" si="63"/>
        <v>18.760000000000002</v>
      </c>
      <c r="F108" s="20">
        <f t="shared" si="63"/>
        <v>18.760000000000002</v>
      </c>
      <c r="G108" s="20">
        <f t="shared" si="63"/>
        <v>18.760000000000002</v>
      </c>
      <c r="H108" s="20">
        <f t="shared" si="63"/>
        <v>18.760000000000002</v>
      </c>
      <c r="I108" s="20">
        <f t="shared" si="63"/>
        <v>18.760000000000002</v>
      </c>
      <c r="J108" s="20">
        <f t="shared" si="63"/>
        <v>18.760000000000002</v>
      </c>
      <c r="K108" s="20">
        <f t="shared" si="63"/>
        <v>18.760000000000002</v>
      </c>
      <c r="L108" s="20">
        <f t="shared" si="63"/>
        <v>18.760000000000002</v>
      </c>
      <c r="M108" s="20">
        <f t="shared" si="63"/>
        <v>18.760000000000002</v>
      </c>
      <c r="N108" s="20">
        <f t="shared" si="63"/>
        <v>18.760000000000002</v>
      </c>
      <c r="O108" s="20">
        <f t="shared" si="63"/>
        <v>18.760000000000002</v>
      </c>
      <c r="P108" s="20">
        <f t="shared" si="63"/>
        <v>18.760000000000002</v>
      </c>
      <c r="Q108" s="20">
        <f t="shared" si="63"/>
        <v>18.760000000000002</v>
      </c>
      <c r="R108" s="20">
        <f t="shared" si="63"/>
        <v>18.760000000000002</v>
      </c>
      <c r="S108" s="20">
        <f t="shared" si="63"/>
        <v>18.760000000000002</v>
      </c>
      <c r="T108" s="20">
        <f t="shared" si="63"/>
        <v>18.760000000000002</v>
      </c>
      <c r="U108" s="20">
        <f t="shared" si="63"/>
        <v>18.760000000000002</v>
      </c>
      <c r="V108" s="20">
        <f t="shared" si="63"/>
        <v>18.760000000000002</v>
      </c>
      <c r="W108" s="20">
        <f t="shared" si="63"/>
        <v>18.760000000000002</v>
      </c>
    </row>
    <row r="109" spans="1:23" x14ac:dyDescent="0.3">
      <c r="B109" s="54" t="s">
        <v>68</v>
      </c>
      <c r="C109" s="55"/>
      <c r="D109" s="20">
        <f>D108+D107</f>
        <v>286.76</v>
      </c>
      <c r="E109" s="20">
        <f t="shared" ref="E109:V109" si="64">E108+E107</f>
        <v>286.76</v>
      </c>
      <c r="F109" s="20">
        <f t="shared" si="64"/>
        <v>286.76</v>
      </c>
      <c r="G109" s="20">
        <f t="shared" si="64"/>
        <v>286.76</v>
      </c>
      <c r="H109" s="20">
        <f t="shared" si="64"/>
        <v>286.76</v>
      </c>
      <c r="I109" s="20">
        <f t="shared" si="64"/>
        <v>286.76</v>
      </c>
      <c r="J109" s="20">
        <f t="shared" si="64"/>
        <v>286.76</v>
      </c>
      <c r="K109" s="20">
        <f t="shared" si="64"/>
        <v>286.76</v>
      </c>
      <c r="L109" s="20">
        <f t="shared" si="64"/>
        <v>286.76</v>
      </c>
      <c r="M109" s="20">
        <f t="shared" si="64"/>
        <v>286.76</v>
      </c>
      <c r="N109" s="20">
        <f t="shared" si="64"/>
        <v>286.76</v>
      </c>
      <c r="O109" s="20">
        <f t="shared" si="64"/>
        <v>286.76</v>
      </c>
      <c r="P109" s="20">
        <f t="shared" si="64"/>
        <v>286.76</v>
      </c>
      <c r="Q109" s="20">
        <f t="shared" si="64"/>
        <v>286.76</v>
      </c>
      <c r="R109" s="20">
        <f t="shared" si="64"/>
        <v>286.76</v>
      </c>
      <c r="S109" s="20">
        <f t="shared" si="64"/>
        <v>286.76</v>
      </c>
      <c r="T109" s="20">
        <f t="shared" si="64"/>
        <v>286.76</v>
      </c>
      <c r="U109" s="20">
        <f t="shared" si="64"/>
        <v>286.76</v>
      </c>
      <c r="V109" s="20">
        <f t="shared" si="64"/>
        <v>286.76</v>
      </c>
      <c r="W109" s="20">
        <f>W108+W107</f>
        <v>286.76</v>
      </c>
    </row>
    <row r="110" spans="1:23" ht="23" x14ac:dyDescent="0.35">
      <c r="B110" s="359" t="s">
        <v>52</v>
      </c>
      <c r="C110" s="360"/>
      <c r="D110" s="381"/>
      <c r="E110" s="381"/>
      <c r="F110" s="381"/>
      <c r="G110" s="381"/>
      <c r="H110" s="381"/>
      <c r="I110" s="381"/>
      <c r="J110" s="381"/>
      <c r="K110" s="381"/>
      <c r="L110" s="381"/>
      <c r="M110" s="381"/>
      <c r="N110" s="381"/>
      <c r="O110" s="381"/>
      <c r="P110" s="381"/>
      <c r="Q110" s="381"/>
      <c r="R110" s="381"/>
      <c r="S110" s="381"/>
      <c r="T110" s="381"/>
      <c r="U110" s="381"/>
      <c r="V110" s="381"/>
      <c r="W110" s="381"/>
    </row>
    <row r="111" spans="1:23" x14ac:dyDescent="0.3">
      <c r="B111" s="57" t="s">
        <v>53</v>
      </c>
      <c r="C111" s="58"/>
      <c r="D111" s="25">
        <f>SUM(D109:D110)</f>
        <v>286.76</v>
      </c>
      <c r="E111" s="26">
        <f t="shared" ref="E111:V111" si="65">SUM(E109:E110)</f>
        <v>286.76</v>
      </c>
      <c r="F111" s="26">
        <f t="shared" si="65"/>
        <v>286.76</v>
      </c>
      <c r="G111" s="26">
        <f t="shared" si="65"/>
        <v>286.76</v>
      </c>
      <c r="H111" s="26">
        <f t="shared" si="65"/>
        <v>286.76</v>
      </c>
      <c r="I111" s="26">
        <f t="shared" si="65"/>
        <v>286.76</v>
      </c>
      <c r="J111" s="26">
        <f t="shared" si="65"/>
        <v>286.76</v>
      </c>
      <c r="K111" s="26">
        <f t="shared" si="65"/>
        <v>286.76</v>
      </c>
      <c r="L111" s="26">
        <f t="shared" si="65"/>
        <v>286.76</v>
      </c>
      <c r="M111" s="26">
        <f t="shared" si="65"/>
        <v>286.76</v>
      </c>
      <c r="N111" s="26">
        <f t="shared" si="65"/>
        <v>286.76</v>
      </c>
      <c r="O111" s="26">
        <f t="shared" si="65"/>
        <v>286.76</v>
      </c>
      <c r="P111" s="26">
        <f t="shared" si="65"/>
        <v>286.76</v>
      </c>
      <c r="Q111" s="26">
        <f t="shared" si="65"/>
        <v>286.76</v>
      </c>
      <c r="R111" s="26">
        <f t="shared" si="65"/>
        <v>286.76</v>
      </c>
      <c r="S111" s="26">
        <f t="shared" si="65"/>
        <v>286.76</v>
      </c>
      <c r="T111" s="26">
        <f t="shared" si="65"/>
        <v>286.76</v>
      </c>
      <c r="U111" s="26">
        <f t="shared" si="65"/>
        <v>286.76</v>
      </c>
      <c r="V111" s="26">
        <f t="shared" si="65"/>
        <v>286.76</v>
      </c>
      <c r="W111" s="26">
        <f>SUM(W109:W110)</f>
        <v>286.76</v>
      </c>
    </row>
    <row r="112" spans="1:23" x14ac:dyDescent="0.3">
      <c r="B112" s="331" t="s">
        <v>54</v>
      </c>
      <c r="C112" s="332"/>
      <c r="D112" s="333"/>
      <c r="E112" s="333"/>
      <c r="F112" s="333"/>
      <c r="G112" s="333"/>
      <c r="H112" s="333"/>
      <c r="I112" s="333"/>
      <c r="J112" s="333"/>
      <c r="K112" s="333"/>
      <c r="L112" s="333"/>
      <c r="M112" s="333"/>
      <c r="N112" s="333"/>
      <c r="O112" s="333"/>
      <c r="P112" s="333"/>
      <c r="Q112" s="333"/>
      <c r="R112" s="333"/>
      <c r="S112" s="333"/>
      <c r="T112" s="333"/>
      <c r="U112" s="333"/>
      <c r="V112" s="333"/>
      <c r="W112" s="333"/>
    </row>
    <row r="113" spans="1:23" ht="23" x14ac:dyDescent="0.35">
      <c r="B113" s="353" t="s">
        <v>55</v>
      </c>
      <c r="C113" s="354"/>
      <c r="D113" s="355">
        <f>D111</f>
        <v>286.76</v>
      </c>
      <c r="E113" s="356">
        <f t="shared" ref="E113:W113" si="66">E111</f>
        <v>286.76</v>
      </c>
      <c r="F113" s="356">
        <f>F111</f>
        <v>286.76</v>
      </c>
      <c r="G113" s="356">
        <f t="shared" si="66"/>
        <v>286.76</v>
      </c>
      <c r="H113" s="356">
        <f t="shared" si="66"/>
        <v>286.76</v>
      </c>
      <c r="I113" s="356">
        <f t="shared" si="66"/>
        <v>286.76</v>
      </c>
      <c r="J113" s="356">
        <f t="shared" si="66"/>
        <v>286.76</v>
      </c>
      <c r="K113" s="356">
        <f t="shared" si="66"/>
        <v>286.76</v>
      </c>
      <c r="L113" s="356">
        <f t="shared" si="66"/>
        <v>286.76</v>
      </c>
      <c r="M113" s="356">
        <f t="shared" si="66"/>
        <v>286.76</v>
      </c>
      <c r="N113" s="356">
        <f t="shared" si="66"/>
        <v>286.76</v>
      </c>
      <c r="O113" s="356">
        <f t="shared" si="66"/>
        <v>286.76</v>
      </c>
      <c r="P113" s="356">
        <f t="shared" si="66"/>
        <v>286.76</v>
      </c>
      <c r="Q113" s="356">
        <f t="shared" si="66"/>
        <v>286.76</v>
      </c>
      <c r="R113" s="356">
        <f t="shared" si="66"/>
        <v>286.76</v>
      </c>
      <c r="S113" s="356">
        <f t="shared" si="66"/>
        <v>286.76</v>
      </c>
      <c r="T113" s="356">
        <f t="shared" si="66"/>
        <v>286.76</v>
      </c>
      <c r="U113" s="356">
        <f t="shared" si="66"/>
        <v>286.76</v>
      </c>
      <c r="V113" s="356">
        <f t="shared" si="66"/>
        <v>286.76</v>
      </c>
      <c r="W113" s="356">
        <f t="shared" si="66"/>
        <v>286.76</v>
      </c>
    </row>
    <row r="114" spans="1:23" x14ac:dyDescent="0.3">
      <c r="B114" s="171" t="s">
        <v>194</v>
      </c>
      <c r="C114" s="55"/>
      <c r="D114" s="20">
        <v>143</v>
      </c>
      <c r="E114" s="21">
        <v>165</v>
      </c>
      <c r="F114" s="21">
        <v>169</v>
      </c>
      <c r="G114" s="21">
        <v>162</v>
      </c>
      <c r="H114" s="21">
        <v>155</v>
      </c>
      <c r="I114" s="21">
        <v>160</v>
      </c>
      <c r="J114" s="21">
        <v>166</v>
      </c>
      <c r="K114" s="21">
        <v>163</v>
      </c>
      <c r="L114" s="21">
        <v>165</v>
      </c>
      <c r="M114" s="21">
        <v>158</v>
      </c>
      <c r="N114" s="21">
        <v>144</v>
      </c>
      <c r="O114" s="21">
        <v>144</v>
      </c>
      <c r="P114" s="21">
        <v>144</v>
      </c>
      <c r="Q114" s="21">
        <v>144</v>
      </c>
      <c r="R114" s="21">
        <v>150</v>
      </c>
      <c r="S114" s="21">
        <v>150</v>
      </c>
      <c r="T114" s="21">
        <v>149</v>
      </c>
      <c r="U114" s="21">
        <v>154</v>
      </c>
      <c r="V114" s="21">
        <v>142</v>
      </c>
      <c r="W114" s="21">
        <v>150</v>
      </c>
    </row>
    <row r="115" spans="1:23" s="30" customFormat="1" x14ac:dyDescent="0.3">
      <c r="A115" s="404"/>
      <c r="B115" s="61" t="s">
        <v>195</v>
      </c>
      <c r="C115" s="62"/>
      <c r="D115" s="28">
        <v>144</v>
      </c>
      <c r="E115" s="29">
        <v>166</v>
      </c>
      <c r="F115" s="29">
        <v>170</v>
      </c>
      <c r="G115" s="29">
        <v>163</v>
      </c>
      <c r="H115" s="29">
        <v>156</v>
      </c>
      <c r="I115" s="29">
        <v>161</v>
      </c>
      <c r="J115" s="29">
        <v>167</v>
      </c>
      <c r="K115" s="29">
        <v>164</v>
      </c>
      <c r="L115" s="29">
        <v>166</v>
      </c>
      <c r="M115" s="29">
        <v>159</v>
      </c>
      <c r="N115" s="29">
        <v>145</v>
      </c>
      <c r="O115" s="29">
        <v>145</v>
      </c>
      <c r="P115" s="29">
        <v>145</v>
      </c>
      <c r="Q115" s="29">
        <v>145</v>
      </c>
      <c r="R115" s="29">
        <v>151</v>
      </c>
      <c r="S115" s="29">
        <v>151</v>
      </c>
      <c r="T115" s="29">
        <v>150</v>
      </c>
      <c r="U115" s="29">
        <v>155</v>
      </c>
      <c r="V115" s="29">
        <v>143</v>
      </c>
      <c r="W115" s="29">
        <v>151</v>
      </c>
    </row>
    <row r="116" spans="1:23" s="30" customFormat="1" x14ac:dyDescent="0.3">
      <c r="A116" s="404"/>
      <c r="B116" s="61" t="s">
        <v>196</v>
      </c>
      <c r="C116" s="62"/>
      <c r="D116" s="28">
        <v>145</v>
      </c>
      <c r="E116" s="29">
        <v>167</v>
      </c>
      <c r="F116" s="29">
        <v>171</v>
      </c>
      <c r="G116" s="29">
        <v>164</v>
      </c>
      <c r="H116" s="29">
        <v>157</v>
      </c>
      <c r="I116" s="29">
        <v>162</v>
      </c>
      <c r="J116" s="29">
        <v>168</v>
      </c>
      <c r="K116" s="29">
        <v>165</v>
      </c>
      <c r="L116" s="29">
        <v>167</v>
      </c>
      <c r="M116" s="29">
        <v>160</v>
      </c>
      <c r="N116" s="29">
        <v>146</v>
      </c>
      <c r="O116" s="29">
        <v>146</v>
      </c>
      <c r="P116" s="29">
        <v>146</v>
      </c>
      <c r="Q116" s="29">
        <v>146</v>
      </c>
      <c r="R116" s="29">
        <v>152</v>
      </c>
      <c r="S116" s="29">
        <v>152</v>
      </c>
      <c r="T116" s="29">
        <v>151</v>
      </c>
      <c r="U116" s="29">
        <v>156</v>
      </c>
      <c r="V116" s="29">
        <v>144</v>
      </c>
      <c r="W116" s="29">
        <v>152</v>
      </c>
    </row>
    <row r="117" spans="1:23" s="30" customFormat="1" x14ac:dyDescent="0.3">
      <c r="A117" s="404"/>
      <c r="B117" s="61" t="s">
        <v>197</v>
      </c>
      <c r="C117" s="62"/>
      <c r="D117" s="28">
        <v>146</v>
      </c>
      <c r="E117" s="28">
        <v>168</v>
      </c>
      <c r="F117" s="28">
        <v>172</v>
      </c>
      <c r="G117" s="28">
        <v>165</v>
      </c>
      <c r="H117" s="28">
        <v>158</v>
      </c>
      <c r="I117" s="28">
        <v>163</v>
      </c>
      <c r="J117" s="28">
        <v>169</v>
      </c>
      <c r="K117" s="28">
        <v>166</v>
      </c>
      <c r="L117" s="28">
        <v>168</v>
      </c>
      <c r="M117" s="28">
        <v>161</v>
      </c>
      <c r="N117" s="28">
        <v>147</v>
      </c>
      <c r="O117" s="28">
        <v>147</v>
      </c>
      <c r="P117" s="28">
        <v>147</v>
      </c>
      <c r="Q117" s="28">
        <v>147</v>
      </c>
      <c r="R117" s="28">
        <v>153</v>
      </c>
      <c r="S117" s="28">
        <v>153</v>
      </c>
      <c r="T117" s="28">
        <v>152</v>
      </c>
      <c r="U117" s="28">
        <v>157</v>
      </c>
      <c r="V117" s="28">
        <v>145</v>
      </c>
      <c r="W117" s="28">
        <v>153</v>
      </c>
    </row>
    <row r="118" spans="1:23" s="30" customFormat="1" x14ac:dyDescent="0.3">
      <c r="A118" s="404"/>
      <c r="B118" s="63" t="s">
        <v>198</v>
      </c>
      <c r="C118" s="62"/>
      <c r="D118" s="31">
        <f t="shared" ref="D118:E121" si="67">+D114-D$113</f>
        <v>-143.76</v>
      </c>
      <c r="E118" s="31">
        <f t="shared" si="67"/>
        <v>-121.75999999999999</v>
      </c>
      <c r="F118" s="31">
        <f t="shared" ref="F118:W118" si="68">+F114-F$113</f>
        <v>-117.75999999999999</v>
      </c>
      <c r="G118" s="31">
        <f t="shared" si="68"/>
        <v>-124.75999999999999</v>
      </c>
      <c r="H118" s="31">
        <f t="shared" si="68"/>
        <v>-131.76</v>
      </c>
      <c r="I118" s="31">
        <f t="shared" si="68"/>
        <v>-126.75999999999999</v>
      </c>
      <c r="J118" s="31">
        <f t="shared" si="68"/>
        <v>-120.75999999999999</v>
      </c>
      <c r="K118" s="31">
        <f t="shared" si="68"/>
        <v>-123.75999999999999</v>
      </c>
      <c r="L118" s="31">
        <f t="shared" si="68"/>
        <v>-121.75999999999999</v>
      </c>
      <c r="M118" s="31">
        <f t="shared" si="68"/>
        <v>-128.76</v>
      </c>
      <c r="N118" s="31">
        <f t="shared" si="68"/>
        <v>-142.76</v>
      </c>
      <c r="O118" s="31">
        <f t="shared" si="68"/>
        <v>-142.76</v>
      </c>
      <c r="P118" s="31">
        <f t="shared" si="68"/>
        <v>-142.76</v>
      </c>
      <c r="Q118" s="31">
        <f t="shared" si="68"/>
        <v>-142.76</v>
      </c>
      <c r="R118" s="31">
        <f t="shared" si="68"/>
        <v>-136.76</v>
      </c>
      <c r="S118" s="31">
        <f t="shared" si="68"/>
        <v>-136.76</v>
      </c>
      <c r="T118" s="31">
        <f t="shared" si="68"/>
        <v>-137.76</v>
      </c>
      <c r="U118" s="31">
        <f t="shared" si="68"/>
        <v>-132.76</v>
      </c>
      <c r="V118" s="31">
        <f t="shared" si="68"/>
        <v>-144.76</v>
      </c>
      <c r="W118" s="31">
        <f t="shared" si="68"/>
        <v>-136.76</v>
      </c>
    </row>
    <row r="119" spans="1:23" s="33" customFormat="1" x14ac:dyDescent="0.3">
      <c r="A119" s="405"/>
      <c r="B119" s="63" t="s">
        <v>199</v>
      </c>
      <c r="C119" s="64"/>
      <c r="D119" s="31">
        <f t="shared" si="67"/>
        <v>-142.76</v>
      </c>
      <c r="E119" s="32">
        <f t="shared" si="67"/>
        <v>-120.75999999999999</v>
      </c>
      <c r="F119" s="32">
        <f t="shared" ref="F119:W119" si="69">+F115-F$113</f>
        <v>-116.75999999999999</v>
      </c>
      <c r="G119" s="32">
        <f t="shared" si="69"/>
        <v>-123.75999999999999</v>
      </c>
      <c r="H119" s="32">
        <f t="shared" si="69"/>
        <v>-130.76</v>
      </c>
      <c r="I119" s="32">
        <f t="shared" si="69"/>
        <v>-125.75999999999999</v>
      </c>
      <c r="J119" s="32">
        <f t="shared" si="69"/>
        <v>-119.75999999999999</v>
      </c>
      <c r="K119" s="32">
        <f t="shared" si="69"/>
        <v>-122.75999999999999</v>
      </c>
      <c r="L119" s="32">
        <f t="shared" si="69"/>
        <v>-120.75999999999999</v>
      </c>
      <c r="M119" s="32">
        <f t="shared" si="69"/>
        <v>-127.75999999999999</v>
      </c>
      <c r="N119" s="32">
        <f t="shared" si="69"/>
        <v>-141.76</v>
      </c>
      <c r="O119" s="32">
        <f t="shared" si="69"/>
        <v>-141.76</v>
      </c>
      <c r="P119" s="32">
        <f t="shared" si="69"/>
        <v>-141.76</v>
      </c>
      <c r="Q119" s="32">
        <f t="shared" si="69"/>
        <v>-141.76</v>
      </c>
      <c r="R119" s="32">
        <f t="shared" si="69"/>
        <v>-135.76</v>
      </c>
      <c r="S119" s="32">
        <f t="shared" si="69"/>
        <v>-135.76</v>
      </c>
      <c r="T119" s="32">
        <f t="shared" si="69"/>
        <v>-136.76</v>
      </c>
      <c r="U119" s="32">
        <f t="shared" si="69"/>
        <v>-131.76</v>
      </c>
      <c r="V119" s="32">
        <f t="shared" si="69"/>
        <v>-143.76</v>
      </c>
      <c r="W119" s="32">
        <f t="shared" si="69"/>
        <v>-135.76</v>
      </c>
    </row>
    <row r="120" spans="1:23" s="33" customFormat="1" x14ac:dyDescent="0.3">
      <c r="A120" s="405"/>
      <c r="B120" s="63" t="s">
        <v>200</v>
      </c>
      <c r="C120" s="64"/>
      <c r="D120" s="31">
        <f t="shared" si="67"/>
        <v>-141.76</v>
      </c>
      <c r="E120" s="32">
        <f t="shared" si="67"/>
        <v>-119.75999999999999</v>
      </c>
      <c r="F120" s="32">
        <f t="shared" ref="F120:W120" si="70">+F116-F$113</f>
        <v>-115.75999999999999</v>
      </c>
      <c r="G120" s="32">
        <f t="shared" si="70"/>
        <v>-122.75999999999999</v>
      </c>
      <c r="H120" s="32">
        <f t="shared" si="70"/>
        <v>-129.76</v>
      </c>
      <c r="I120" s="32">
        <f t="shared" si="70"/>
        <v>-124.75999999999999</v>
      </c>
      <c r="J120" s="32">
        <f t="shared" si="70"/>
        <v>-118.75999999999999</v>
      </c>
      <c r="K120" s="32">
        <f t="shared" si="70"/>
        <v>-121.75999999999999</v>
      </c>
      <c r="L120" s="32">
        <f t="shared" si="70"/>
        <v>-119.75999999999999</v>
      </c>
      <c r="M120" s="32">
        <f t="shared" si="70"/>
        <v>-126.75999999999999</v>
      </c>
      <c r="N120" s="32">
        <f t="shared" si="70"/>
        <v>-140.76</v>
      </c>
      <c r="O120" s="32">
        <f t="shared" si="70"/>
        <v>-140.76</v>
      </c>
      <c r="P120" s="32">
        <f t="shared" si="70"/>
        <v>-140.76</v>
      </c>
      <c r="Q120" s="32">
        <f t="shared" si="70"/>
        <v>-140.76</v>
      </c>
      <c r="R120" s="32">
        <f t="shared" si="70"/>
        <v>-134.76</v>
      </c>
      <c r="S120" s="32">
        <f t="shared" si="70"/>
        <v>-134.76</v>
      </c>
      <c r="T120" s="32">
        <f t="shared" si="70"/>
        <v>-135.76</v>
      </c>
      <c r="U120" s="32">
        <f t="shared" si="70"/>
        <v>-130.76</v>
      </c>
      <c r="V120" s="32">
        <f t="shared" si="70"/>
        <v>-142.76</v>
      </c>
      <c r="W120" s="32">
        <f t="shared" si="70"/>
        <v>-134.76</v>
      </c>
    </row>
    <row r="121" spans="1:23" s="33" customFormat="1" x14ac:dyDescent="0.3">
      <c r="A121" s="405"/>
      <c r="B121" s="63" t="s">
        <v>201</v>
      </c>
      <c r="C121" s="64"/>
      <c r="D121" s="31">
        <f t="shared" si="67"/>
        <v>-140.76</v>
      </c>
      <c r="E121" s="32">
        <f t="shared" si="67"/>
        <v>-118.75999999999999</v>
      </c>
      <c r="F121" s="32">
        <f t="shared" ref="F121:W121" si="71">+F117-F$113</f>
        <v>-114.75999999999999</v>
      </c>
      <c r="G121" s="32">
        <f t="shared" si="71"/>
        <v>-121.75999999999999</v>
      </c>
      <c r="H121" s="32">
        <f t="shared" si="71"/>
        <v>-128.76</v>
      </c>
      <c r="I121" s="32">
        <f t="shared" si="71"/>
        <v>-123.75999999999999</v>
      </c>
      <c r="J121" s="32">
        <f t="shared" si="71"/>
        <v>-117.75999999999999</v>
      </c>
      <c r="K121" s="32">
        <f t="shared" si="71"/>
        <v>-120.75999999999999</v>
      </c>
      <c r="L121" s="32">
        <f t="shared" si="71"/>
        <v>-118.75999999999999</v>
      </c>
      <c r="M121" s="32">
        <f t="shared" si="71"/>
        <v>-125.75999999999999</v>
      </c>
      <c r="N121" s="32">
        <f t="shared" si="71"/>
        <v>-139.76</v>
      </c>
      <c r="O121" s="32">
        <f t="shared" si="71"/>
        <v>-139.76</v>
      </c>
      <c r="P121" s="32">
        <f t="shared" si="71"/>
        <v>-139.76</v>
      </c>
      <c r="Q121" s="32">
        <f t="shared" si="71"/>
        <v>-139.76</v>
      </c>
      <c r="R121" s="32">
        <f t="shared" si="71"/>
        <v>-133.76</v>
      </c>
      <c r="S121" s="32">
        <f t="shared" si="71"/>
        <v>-133.76</v>
      </c>
      <c r="T121" s="32">
        <f t="shared" si="71"/>
        <v>-134.76</v>
      </c>
      <c r="U121" s="32">
        <f t="shared" si="71"/>
        <v>-129.76</v>
      </c>
      <c r="V121" s="32">
        <f t="shared" si="71"/>
        <v>-141.76</v>
      </c>
      <c r="W121" s="32">
        <f t="shared" si="71"/>
        <v>-133.76</v>
      </c>
    </row>
    <row r="122" spans="1:23" s="33" customFormat="1" x14ac:dyDescent="0.3">
      <c r="A122" s="405"/>
      <c r="B122" s="97" t="s">
        <v>202</v>
      </c>
      <c r="C122" s="98"/>
      <c r="D122" s="100">
        <f t="shared" ref="D122:E125" si="72">+D118/D114</f>
        <v>-1.0053146853146853</v>
      </c>
      <c r="E122" s="100">
        <f t="shared" si="72"/>
        <v>-0.7379393939393939</v>
      </c>
      <c r="F122" s="100">
        <f t="shared" ref="F122:W122" si="73">+F118/F114</f>
        <v>-0.6968047337278106</v>
      </c>
      <c r="G122" s="100">
        <f t="shared" si="73"/>
        <v>-0.7701234567901234</v>
      </c>
      <c r="H122" s="100">
        <f t="shared" si="73"/>
        <v>-0.85006451612903222</v>
      </c>
      <c r="I122" s="100">
        <f t="shared" si="73"/>
        <v>-0.7922499999999999</v>
      </c>
      <c r="J122" s="100">
        <f t="shared" si="73"/>
        <v>-0.72746987951807218</v>
      </c>
      <c r="K122" s="100">
        <f t="shared" si="73"/>
        <v>-0.75926380368098156</v>
      </c>
      <c r="L122" s="100">
        <f t="shared" si="73"/>
        <v>-0.7379393939393939</v>
      </c>
      <c r="M122" s="100">
        <f t="shared" si="73"/>
        <v>-0.81493670886075942</v>
      </c>
      <c r="N122" s="100">
        <f t="shared" si="73"/>
        <v>-0.99138888888888888</v>
      </c>
      <c r="O122" s="100">
        <f t="shared" si="73"/>
        <v>-0.99138888888888888</v>
      </c>
      <c r="P122" s="100">
        <f t="shared" si="73"/>
        <v>-0.99138888888888888</v>
      </c>
      <c r="Q122" s="100">
        <f t="shared" si="73"/>
        <v>-0.99138888888888888</v>
      </c>
      <c r="R122" s="100">
        <f t="shared" si="73"/>
        <v>-0.91173333333333328</v>
      </c>
      <c r="S122" s="100">
        <f t="shared" si="73"/>
        <v>-0.91173333333333328</v>
      </c>
      <c r="T122" s="100">
        <f t="shared" si="73"/>
        <v>-0.92456375838926164</v>
      </c>
      <c r="U122" s="100">
        <f t="shared" si="73"/>
        <v>-0.862077922077922</v>
      </c>
      <c r="V122" s="100">
        <f t="shared" si="73"/>
        <v>-1.0194366197183098</v>
      </c>
      <c r="W122" s="100">
        <f t="shared" si="73"/>
        <v>-0.91173333333333328</v>
      </c>
    </row>
    <row r="123" spans="1:23" s="36" customFormat="1" x14ac:dyDescent="0.3">
      <c r="A123" s="406"/>
      <c r="B123" s="97" t="s">
        <v>203</v>
      </c>
      <c r="C123" s="98"/>
      <c r="D123" s="100">
        <f t="shared" si="72"/>
        <v>-0.99138888888888888</v>
      </c>
      <c r="E123" s="100">
        <f t="shared" si="72"/>
        <v>-0.72746987951807218</v>
      </c>
      <c r="F123" s="100">
        <f t="shared" ref="F123:W123" si="74">+F119/F115</f>
        <v>-0.68682352941176461</v>
      </c>
      <c r="G123" s="100">
        <f t="shared" si="74"/>
        <v>-0.75926380368098156</v>
      </c>
      <c r="H123" s="100">
        <f t="shared" si="74"/>
        <v>-0.83820512820512816</v>
      </c>
      <c r="I123" s="100">
        <f t="shared" si="74"/>
        <v>-0.78111801242236023</v>
      </c>
      <c r="J123" s="100">
        <f t="shared" si="74"/>
        <v>-0.71712574850299393</v>
      </c>
      <c r="K123" s="100">
        <f t="shared" si="74"/>
        <v>-0.74853658536585366</v>
      </c>
      <c r="L123" s="100">
        <f t="shared" si="74"/>
        <v>-0.72746987951807218</v>
      </c>
      <c r="M123" s="100">
        <f t="shared" si="74"/>
        <v>-0.80352201257861633</v>
      </c>
      <c r="N123" s="100">
        <f t="shared" si="74"/>
        <v>-0.97765517241379307</v>
      </c>
      <c r="O123" s="100">
        <f t="shared" si="74"/>
        <v>-0.97765517241379307</v>
      </c>
      <c r="P123" s="100">
        <f t="shared" si="74"/>
        <v>-0.97765517241379307</v>
      </c>
      <c r="Q123" s="100">
        <f t="shared" si="74"/>
        <v>-0.97765517241379307</v>
      </c>
      <c r="R123" s="100">
        <f t="shared" si="74"/>
        <v>-0.89907284768211915</v>
      </c>
      <c r="S123" s="100">
        <f t="shared" si="74"/>
        <v>-0.89907284768211915</v>
      </c>
      <c r="T123" s="100">
        <f t="shared" si="74"/>
        <v>-0.91173333333333328</v>
      </c>
      <c r="U123" s="100">
        <f t="shared" si="74"/>
        <v>-0.85006451612903222</v>
      </c>
      <c r="V123" s="100">
        <f t="shared" si="74"/>
        <v>-1.0053146853146853</v>
      </c>
      <c r="W123" s="100">
        <f t="shared" si="74"/>
        <v>-0.89907284768211915</v>
      </c>
    </row>
    <row r="124" spans="1:23" s="36" customFormat="1" x14ac:dyDescent="0.3">
      <c r="A124" s="406"/>
      <c r="B124" s="97" t="s">
        <v>204</v>
      </c>
      <c r="C124" s="98"/>
      <c r="D124" s="100">
        <f t="shared" si="72"/>
        <v>-0.97765517241379307</v>
      </c>
      <c r="E124" s="100">
        <f t="shared" si="72"/>
        <v>-0.71712574850299393</v>
      </c>
      <c r="F124" s="100">
        <f t="shared" ref="F124:W124" si="75">+F120/F116</f>
        <v>-0.67695906432748532</v>
      </c>
      <c r="G124" s="100">
        <f t="shared" si="75"/>
        <v>-0.74853658536585366</v>
      </c>
      <c r="H124" s="100">
        <f t="shared" si="75"/>
        <v>-0.82649681528662411</v>
      </c>
      <c r="I124" s="100">
        <f t="shared" si="75"/>
        <v>-0.7701234567901234</v>
      </c>
      <c r="J124" s="100">
        <f t="shared" si="75"/>
        <v>-0.70690476190476181</v>
      </c>
      <c r="K124" s="100">
        <f t="shared" si="75"/>
        <v>-0.7379393939393939</v>
      </c>
      <c r="L124" s="100">
        <f t="shared" si="75"/>
        <v>-0.71712574850299393</v>
      </c>
      <c r="M124" s="100">
        <f t="shared" si="75"/>
        <v>-0.7922499999999999</v>
      </c>
      <c r="N124" s="100">
        <f t="shared" si="75"/>
        <v>-0.96410958904109578</v>
      </c>
      <c r="O124" s="100">
        <f t="shared" si="75"/>
        <v>-0.96410958904109578</v>
      </c>
      <c r="P124" s="100">
        <f t="shared" si="75"/>
        <v>-0.96410958904109578</v>
      </c>
      <c r="Q124" s="100">
        <f t="shared" si="75"/>
        <v>-0.96410958904109578</v>
      </c>
      <c r="R124" s="100">
        <f t="shared" si="75"/>
        <v>-0.88657894736842102</v>
      </c>
      <c r="S124" s="100">
        <f t="shared" si="75"/>
        <v>-0.88657894736842102</v>
      </c>
      <c r="T124" s="100">
        <f t="shared" si="75"/>
        <v>-0.89907284768211915</v>
      </c>
      <c r="U124" s="100">
        <f t="shared" si="75"/>
        <v>-0.83820512820512816</v>
      </c>
      <c r="V124" s="100">
        <f t="shared" si="75"/>
        <v>-0.99138888888888888</v>
      </c>
      <c r="W124" s="100">
        <f t="shared" si="75"/>
        <v>-0.88657894736842102</v>
      </c>
    </row>
    <row r="125" spans="1:23" s="36" customFormat="1" x14ac:dyDescent="0.3">
      <c r="A125" s="406"/>
      <c r="B125" s="97" t="s">
        <v>205</v>
      </c>
      <c r="C125" s="98"/>
      <c r="D125" s="100">
        <f t="shared" si="72"/>
        <v>-0.96410958904109578</v>
      </c>
      <c r="E125" s="100">
        <f t="shared" si="72"/>
        <v>-0.70690476190476181</v>
      </c>
      <c r="F125" s="100">
        <f t="shared" ref="F125:W125" si="76">+F121/F117</f>
        <v>-0.66720930232558129</v>
      </c>
      <c r="G125" s="100">
        <f t="shared" si="76"/>
        <v>-0.7379393939393939</v>
      </c>
      <c r="H125" s="100">
        <f t="shared" si="76"/>
        <v>-0.81493670886075942</v>
      </c>
      <c r="I125" s="100">
        <f t="shared" si="76"/>
        <v>-0.75926380368098156</v>
      </c>
      <c r="J125" s="100">
        <f t="shared" si="76"/>
        <v>-0.6968047337278106</v>
      </c>
      <c r="K125" s="100">
        <f t="shared" si="76"/>
        <v>-0.72746987951807218</v>
      </c>
      <c r="L125" s="100">
        <f t="shared" si="76"/>
        <v>-0.70690476190476181</v>
      </c>
      <c r="M125" s="100">
        <f t="shared" si="76"/>
        <v>-0.78111801242236023</v>
      </c>
      <c r="N125" s="100">
        <f t="shared" si="76"/>
        <v>-0.95074829931972782</v>
      </c>
      <c r="O125" s="100">
        <f t="shared" si="76"/>
        <v>-0.95074829931972782</v>
      </c>
      <c r="P125" s="100">
        <f t="shared" si="76"/>
        <v>-0.95074829931972782</v>
      </c>
      <c r="Q125" s="100">
        <f t="shared" si="76"/>
        <v>-0.95074829931972782</v>
      </c>
      <c r="R125" s="100">
        <f t="shared" si="76"/>
        <v>-0.87424836601307188</v>
      </c>
      <c r="S125" s="100">
        <f t="shared" si="76"/>
        <v>-0.87424836601307188</v>
      </c>
      <c r="T125" s="100">
        <f t="shared" si="76"/>
        <v>-0.88657894736842102</v>
      </c>
      <c r="U125" s="100">
        <f t="shared" si="76"/>
        <v>-0.82649681528662411</v>
      </c>
      <c r="V125" s="100">
        <f t="shared" si="76"/>
        <v>-0.97765517241379307</v>
      </c>
      <c r="W125" s="100">
        <f t="shared" si="76"/>
        <v>-0.87424836601307188</v>
      </c>
    </row>
    <row r="126" spans="1:23" ht="13.5" customHeight="1" thickBot="1" x14ac:dyDescent="0.35"/>
    <row r="127" spans="1:23" s="19" customFormat="1" ht="24" thickBot="1" x14ac:dyDescent="0.4">
      <c r="A127" s="19" t="s">
        <v>251</v>
      </c>
      <c r="B127" s="345" t="s">
        <v>29</v>
      </c>
      <c r="C127" s="68"/>
      <c r="D127" s="17" t="s">
        <v>5</v>
      </c>
      <c r="E127" s="18" t="s">
        <v>6</v>
      </c>
      <c r="F127" s="18" t="s">
        <v>7</v>
      </c>
      <c r="G127" s="18" t="s">
        <v>8</v>
      </c>
      <c r="H127" s="18" t="s">
        <v>9</v>
      </c>
      <c r="I127" s="18" t="s">
        <v>10</v>
      </c>
      <c r="J127" s="18" t="s">
        <v>11</v>
      </c>
      <c r="K127" s="18" t="s">
        <v>12</v>
      </c>
      <c r="L127" s="18" t="s">
        <v>13</v>
      </c>
      <c r="M127" s="18" t="s">
        <v>14</v>
      </c>
      <c r="N127" s="18" t="s">
        <v>15</v>
      </c>
      <c r="O127" s="18" t="s">
        <v>16</v>
      </c>
      <c r="P127" s="18" t="s">
        <v>17</v>
      </c>
      <c r="Q127" s="18" t="s">
        <v>18</v>
      </c>
      <c r="R127" s="18" t="s">
        <v>19</v>
      </c>
      <c r="S127" s="18" t="s">
        <v>20</v>
      </c>
      <c r="T127" s="18" t="s">
        <v>21</v>
      </c>
      <c r="U127" s="18" t="s">
        <v>22</v>
      </c>
      <c r="V127" s="18" t="s">
        <v>23</v>
      </c>
      <c r="W127" s="18" t="s">
        <v>166</v>
      </c>
    </row>
    <row r="128" spans="1:23" x14ac:dyDescent="0.3">
      <c r="A128" s="19" t="s">
        <v>252</v>
      </c>
      <c r="B128" s="54" t="s">
        <v>50</v>
      </c>
      <c r="C128" s="55"/>
      <c r="D128" s="20">
        <v>395</v>
      </c>
      <c r="E128" s="21">
        <v>395</v>
      </c>
      <c r="F128" s="21">
        <v>395</v>
      </c>
      <c r="G128" s="21">
        <v>395</v>
      </c>
      <c r="H128" s="21">
        <v>395</v>
      </c>
      <c r="I128" s="21">
        <v>395</v>
      </c>
      <c r="J128" s="21">
        <v>395</v>
      </c>
      <c r="K128" s="21">
        <v>395</v>
      </c>
      <c r="L128" s="21">
        <v>395</v>
      </c>
      <c r="M128" s="21">
        <v>395</v>
      </c>
      <c r="N128" s="21">
        <v>395</v>
      </c>
      <c r="O128" s="21">
        <v>395</v>
      </c>
      <c r="P128" s="21">
        <v>395</v>
      </c>
      <c r="Q128" s="21">
        <v>395</v>
      </c>
      <c r="R128" s="21">
        <v>395</v>
      </c>
      <c r="S128" s="21">
        <v>395</v>
      </c>
      <c r="T128" s="21">
        <v>395</v>
      </c>
      <c r="U128" s="21">
        <v>395</v>
      </c>
      <c r="V128" s="21">
        <v>395</v>
      </c>
      <c r="W128" s="21">
        <v>395</v>
      </c>
    </row>
    <row r="129" spans="1:23" ht="23" x14ac:dyDescent="0.35">
      <c r="A129" s="19" t="s">
        <v>253</v>
      </c>
      <c r="B129" s="340" t="s">
        <v>51</v>
      </c>
      <c r="C129" s="341"/>
      <c r="D129" s="348"/>
      <c r="E129" s="342"/>
      <c r="F129" s="342"/>
      <c r="G129" s="342"/>
      <c r="H129" s="342"/>
      <c r="I129" s="348"/>
      <c r="J129" s="348"/>
      <c r="K129" s="348"/>
      <c r="L129" s="348"/>
      <c r="M129" s="348"/>
      <c r="N129" s="348"/>
      <c r="O129" s="348"/>
      <c r="P129" s="348"/>
      <c r="Q129" s="348"/>
      <c r="R129" s="348"/>
      <c r="S129" s="348"/>
      <c r="T129" s="342"/>
      <c r="U129" s="342"/>
      <c r="V129" s="342"/>
      <c r="W129" s="348"/>
    </row>
    <row r="130" spans="1:23" x14ac:dyDescent="0.3">
      <c r="A130" s="19" t="s">
        <v>254</v>
      </c>
      <c r="B130" s="54"/>
      <c r="C130" s="55"/>
      <c r="D130" s="20">
        <f t="shared" ref="D130:V130" si="77">D128*(1-D129)</f>
        <v>395</v>
      </c>
      <c r="E130" s="20">
        <f t="shared" si="77"/>
        <v>395</v>
      </c>
      <c r="F130" s="20">
        <f t="shared" si="77"/>
        <v>395</v>
      </c>
      <c r="G130" s="20">
        <f t="shared" si="77"/>
        <v>395</v>
      </c>
      <c r="H130" s="20">
        <f t="shared" si="77"/>
        <v>395</v>
      </c>
      <c r="I130" s="20">
        <f t="shared" si="77"/>
        <v>395</v>
      </c>
      <c r="J130" s="20">
        <f t="shared" si="77"/>
        <v>395</v>
      </c>
      <c r="K130" s="20">
        <f t="shared" si="77"/>
        <v>395</v>
      </c>
      <c r="L130" s="20">
        <f t="shared" si="77"/>
        <v>395</v>
      </c>
      <c r="M130" s="20">
        <f t="shared" si="77"/>
        <v>395</v>
      </c>
      <c r="N130" s="20">
        <f t="shared" si="77"/>
        <v>395</v>
      </c>
      <c r="O130" s="20">
        <f t="shared" si="77"/>
        <v>395</v>
      </c>
      <c r="P130" s="20">
        <f t="shared" si="77"/>
        <v>395</v>
      </c>
      <c r="Q130" s="20">
        <f t="shared" si="77"/>
        <v>395</v>
      </c>
      <c r="R130" s="20">
        <f t="shared" si="77"/>
        <v>395</v>
      </c>
      <c r="S130" s="20">
        <f t="shared" si="77"/>
        <v>395</v>
      </c>
      <c r="T130" s="20">
        <f t="shared" si="77"/>
        <v>395</v>
      </c>
      <c r="U130" s="20">
        <f t="shared" si="77"/>
        <v>395</v>
      </c>
      <c r="V130" s="20">
        <f t="shared" si="77"/>
        <v>395</v>
      </c>
      <c r="W130" s="20">
        <f>W128*(1-W129)</f>
        <v>395</v>
      </c>
    </row>
    <row r="131" spans="1:23" x14ac:dyDescent="0.3">
      <c r="A131" s="19" t="s">
        <v>255</v>
      </c>
      <c r="B131" s="54" t="s">
        <v>51</v>
      </c>
      <c r="C131" s="56">
        <v>0</v>
      </c>
      <c r="D131" s="20">
        <f t="shared" ref="D131:W131" si="78">D130*$C131</f>
        <v>0</v>
      </c>
      <c r="E131" s="20">
        <f t="shared" si="78"/>
        <v>0</v>
      </c>
      <c r="F131" s="20">
        <f t="shared" si="78"/>
        <v>0</v>
      </c>
      <c r="G131" s="20">
        <f t="shared" si="78"/>
        <v>0</v>
      </c>
      <c r="H131" s="20">
        <f t="shared" si="78"/>
        <v>0</v>
      </c>
      <c r="I131" s="20">
        <f t="shared" si="78"/>
        <v>0</v>
      </c>
      <c r="J131" s="20">
        <f t="shared" si="78"/>
        <v>0</v>
      </c>
      <c r="K131" s="20">
        <f t="shared" si="78"/>
        <v>0</v>
      </c>
      <c r="L131" s="20">
        <f t="shared" si="78"/>
        <v>0</v>
      </c>
      <c r="M131" s="20">
        <f t="shared" si="78"/>
        <v>0</v>
      </c>
      <c r="N131" s="20">
        <f t="shared" si="78"/>
        <v>0</v>
      </c>
      <c r="O131" s="20">
        <f t="shared" si="78"/>
        <v>0</v>
      </c>
      <c r="P131" s="20">
        <f t="shared" si="78"/>
        <v>0</v>
      </c>
      <c r="Q131" s="20">
        <f t="shared" si="78"/>
        <v>0</v>
      </c>
      <c r="R131" s="20">
        <f t="shared" si="78"/>
        <v>0</v>
      </c>
      <c r="S131" s="20">
        <f t="shared" si="78"/>
        <v>0</v>
      </c>
      <c r="T131" s="20">
        <f t="shared" si="78"/>
        <v>0</v>
      </c>
      <c r="U131" s="20">
        <f t="shared" si="78"/>
        <v>0</v>
      </c>
      <c r="V131" s="20">
        <f t="shared" si="78"/>
        <v>0</v>
      </c>
      <c r="W131" s="20">
        <f t="shared" si="78"/>
        <v>0</v>
      </c>
    </row>
    <row r="132" spans="1:23" x14ac:dyDescent="0.3">
      <c r="B132" s="54" t="s">
        <v>67</v>
      </c>
      <c r="C132" s="55"/>
      <c r="D132" s="20">
        <f t="shared" ref="D132:W132" si="79">D130-D131</f>
        <v>395</v>
      </c>
      <c r="E132" s="20">
        <f t="shared" si="79"/>
        <v>395</v>
      </c>
      <c r="F132" s="20">
        <f t="shared" si="79"/>
        <v>395</v>
      </c>
      <c r="G132" s="20">
        <f t="shared" si="79"/>
        <v>395</v>
      </c>
      <c r="H132" s="20">
        <f t="shared" si="79"/>
        <v>395</v>
      </c>
      <c r="I132" s="20">
        <f t="shared" si="79"/>
        <v>395</v>
      </c>
      <c r="J132" s="20">
        <f t="shared" si="79"/>
        <v>395</v>
      </c>
      <c r="K132" s="20">
        <f t="shared" si="79"/>
        <v>395</v>
      </c>
      <c r="L132" s="20">
        <f t="shared" si="79"/>
        <v>395</v>
      </c>
      <c r="M132" s="20">
        <f t="shared" si="79"/>
        <v>395</v>
      </c>
      <c r="N132" s="20">
        <f t="shared" si="79"/>
        <v>395</v>
      </c>
      <c r="O132" s="20">
        <f t="shared" si="79"/>
        <v>395</v>
      </c>
      <c r="P132" s="20">
        <f t="shared" si="79"/>
        <v>395</v>
      </c>
      <c r="Q132" s="20">
        <f t="shared" si="79"/>
        <v>395</v>
      </c>
      <c r="R132" s="20">
        <f t="shared" si="79"/>
        <v>395</v>
      </c>
      <c r="S132" s="20">
        <f t="shared" si="79"/>
        <v>395</v>
      </c>
      <c r="T132" s="20">
        <f t="shared" si="79"/>
        <v>395</v>
      </c>
      <c r="U132" s="20">
        <f t="shared" si="79"/>
        <v>395</v>
      </c>
      <c r="V132" s="20">
        <f t="shared" si="79"/>
        <v>395</v>
      </c>
      <c r="W132" s="20">
        <f t="shared" si="79"/>
        <v>395</v>
      </c>
    </row>
    <row r="133" spans="1:23" x14ac:dyDescent="0.3">
      <c r="B133" s="54" t="s">
        <v>66</v>
      </c>
      <c r="C133" s="56">
        <v>7.0000000000000007E-2</v>
      </c>
      <c r="D133" s="20">
        <f t="shared" ref="D133:W133" si="80">D132*$C133</f>
        <v>27.650000000000002</v>
      </c>
      <c r="E133" s="20">
        <f t="shared" si="80"/>
        <v>27.650000000000002</v>
      </c>
      <c r="F133" s="20">
        <f t="shared" si="80"/>
        <v>27.650000000000002</v>
      </c>
      <c r="G133" s="20">
        <f t="shared" si="80"/>
        <v>27.650000000000002</v>
      </c>
      <c r="H133" s="20">
        <f t="shared" si="80"/>
        <v>27.650000000000002</v>
      </c>
      <c r="I133" s="20">
        <f t="shared" si="80"/>
        <v>27.650000000000002</v>
      </c>
      <c r="J133" s="20">
        <f t="shared" si="80"/>
        <v>27.650000000000002</v>
      </c>
      <c r="K133" s="20">
        <f t="shared" si="80"/>
        <v>27.650000000000002</v>
      </c>
      <c r="L133" s="20">
        <f t="shared" si="80"/>
        <v>27.650000000000002</v>
      </c>
      <c r="M133" s="20">
        <f t="shared" si="80"/>
        <v>27.650000000000002</v>
      </c>
      <c r="N133" s="20">
        <f t="shared" si="80"/>
        <v>27.650000000000002</v>
      </c>
      <c r="O133" s="20">
        <f t="shared" si="80"/>
        <v>27.650000000000002</v>
      </c>
      <c r="P133" s="20">
        <f t="shared" si="80"/>
        <v>27.650000000000002</v>
      </c>
      <c r="Q133" s="20">
        <f t="shared" si="80"/>
        <v>27.650000000000002</v>
      </c>
      <c r="R133" s="20">
        <f t="shared" si="80"/>
        <v>27.650000000000002</v>
      </c>
      <c r="S133" s="20">
        <f t="shared" si="80"/>
        <v>27.650000000000002</v>
      </c>
      <c r="T133" s="20">
        <f t="shared" si="80"/>
        <v>27.650000000000002</v>
      </c>
      <c r="U133" s="20">
        <f t="shared" si="80"/>
        <v>27.650000000000002</v>
      </c>
      <c r="V133" s="20">
        <f t="shared" si="80"/>
        <v>27.650000000000002</v>
      </c>
      <c r="W133" s="20">
        <f t="shared" si="80"/>
        <v>27.650000000000002</v>
      </c>
    </row>
    <row r="134" spans="1:23" x14ac:dyDescent="0.3">
      <c r="B134" s="54" t="s">
        <v>68</v>
      </c>
      <c r="C134" s="55"/>
      <c r="D134" s="20">
        <f>D133+D132</f>
        <v>422.65</v>
      </c>
      <c r="E134" s="20">
        <f t="shared" ref="E134:V134" si="81">E133+E132</f>
        <v>422.65</v>
      </c>
      <c r="F134" s="20">
        <f t="shared" si="81"/>
        <v>422.65</v>
      </c>
      <c r="G134" s="20">
        <f t="shared" si="81"/>
        <v>422.65</v>
      </c>
      <c r="H134" s="20">
        <f t="shared" si="81"/>
        <v>422.65</v>
      </c>
      <c r="I134" s="20">
        <f t="shared" si="81"/>
        <v>422.65</v>
      </c>
      <c r="J134" s="20">
        <f t="shared" si="81"/>
        <v>422.65</v>
      </c>
      <c r="K134" s="20">
        <f t="shared" si="81"/>
        <v>422.65</v>
      </c>
      <c r="L134" s="20">
        <f t="shared" si="81"/>
        <v>422.65</v>
      </c>
      <c r="M134" s="20">
        <f t="shared" si="81"/>
        <v>422.65</v>
      </c>
      <c r="N134" s="20">
        <f t="shared" si="81"/>
        <v>422.65</v>
      </c>
      <c r="O134" s="20">
        <f t="shared" si="81"/>
        <v>422.65</v>
      </c>
      <c r="P134" s="20">
        <f t="shared" si="81"/>
        <v>422.65</v>
      </c>
      <c r="Q134" s="20">
        <f t="shared" si="81"/>
        <v>422.65</v>
      </c>
      <c r="R134" s="20">
        <f t="shared" si="81"/>
        <v>422.65</v>
      </c>
      <c r="S134" s="20">
        <f t="shared" si="81"/>
        <v>422.65</v>
      </c>
      <c r="T134" s="20">
        <f t="shared" si="81"/>
        <v>422.65</v>
      </c>
      <c r="U134" s="20">
        <f t="shared" si="81"/>
        <v>422.65</v>
      </c>
      <c r="V134" s="20">
        <f t="shared" si="81"/>
        <v>422.65</v>
      </c>
      <c r="W134" s="20">
        <f>W133+W132</f>
        <v>422.65</v>
      </c>
    </row>
    <row r="135" spans="1:23" ht="23" x14ac:dyDescent="0.35">
      <c r="B135" s="357" t="s">
        <v>52</v>
      </c>
      <c r="C135" s="358"/>
      <c r="D135" s="380"/>
      <c r="E135" s="381"/>
      <c r="F135" s="381"/>
      <c r="G135" s="381"/>
      <c r="H135" s="381"/>
      <c r="I135" s="381"/>
      <c r="J135" s="381"/>
      <c r="K135" s="381"/>
      <c r="L135" s="381"/>
      <c r="M135" s="381"/>
      <c r="N135" s="381"/>
      <c r="O135" s="381"/>
      <c r="P135" s="381"/>
      <c r="Q135" s="381"/>
      <c r="R135" s="381"/>
      <c r="S135" s="381"/>
      <c r="T135" s="381"/>
      <c r="U135" s="381"/>
      <c r="V135" s="381"/>
      <c r="W135" s="381"/>
    </row>
    <row r="136" spans="1:23" x14ac:dyDescent="0.3">
      <c r="B136" s="57" t="s">
        <v>53</v>
      </c>
      <c r="C136" s="58"/>
      <c r="D136" s="25">
        <f>SUM(D134:D135)</f>
        <v>422.65</v>
      </c>
      <c r="E136" s="26">
        <f t="shared" ref="E136:V136" si="82">SUM(E134:E135)</f>
        <v>422.65</v>
      </c>
      <c r="F136" s="26">
        <f t="shared" si="82"/>
        <v>422.65</v>
      </c>
      <c r="G136" s="26">
        <f t="shared" si="82"/>
        <v>422.65</v>
      </c>
      <c r="H136" s="26">
        <f t="shared" si="82"/>
        <v>422.65</v>
      </c>
      <c r="I136" s="26">
        <f t="shared" si="82"/>
        <v>422.65</v>
      </c>
      <c r="J136" s="26">
        <f t="shared" si="82"/>
        <v>422.65</v>
      </c>
      <c r="K136" s="26">
        <f t="shared" si="82"/>
        <v>422.65</v>
      </c>
      <c r="L136" s="26">
        <f t="shared" si="82"/>
        <v>422.65</v>
      </c>
      <c r="M136" s="26">
        <f t="shared" si="82"/>
        <v>422.65</v>
      </c>
      <c r="N136" s="26">
        <f t="shared" si="82"/>
        <v>422.65</v>
      </c>
      <c r="O136" s="26">
        <f t="shared" si="82"/>
        <v>422.65</v>
      </c>
      <c r="P136" s="26">
        <f t="shared" si="82"/>
        <v>422.65</v>
      </c>
      <c r="Q136" s="26">
        <f t="shared" si="82"/>
        <v>422.65</v>
      </c>
      <c r="R136" s="26">
        <f t="shared" si="82"/>
        <v>422.65</v>
      </c>
      <c r="S136" s="26">
        <f t="shared" si="82"/>
        <v>422.65</v>
      </c>
      <c r="T136" s="26">
        <f t="shared" si="82"/>
        <v>422.65</v>
      </c>
      <c r="U136" s="26">
        <f t="shared" si="82"/>
        <v>422.65</v>
      </c>
      <c r="V136" s="26">
        <f t="shared" si="82"/>
        <v>422.65</v>
      </c>
      <c r="W136" s="26">
        <f>SUM(W134:W135)</f>
        <v>422.65</v>
      </c>
    </row>
    <row r="137" spans="1:23" x14ac:dyDescent="0.3">
      <c r="B137" s="331" t="s">
        <v>54</v>
      </c>
      <c r="C137" s="332"/>
      <c r="D137" s="333"/>
      <c r="E137" s="333"/>
      <c r="F137" s="333"/>
      <c r="G137" s="333"/>
      <c r="H137" s="333"/>
      <c r="I137" s="333"/>
      <c r="J137" s="333"/>
      <c r="K137" s="333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/>
      <c r="V137" s="333"/>
      <c r="W137" s="333"/>
    </row>
    <row r="138" spans="1:23" ht="23" x14ac:dyDescent="0.35">
      <c r="B138" s="353" t="s">
        <v>55</v>
      </c>
      <c r="C138" s="354"/>
      <c r="D138" s="355">
        <f>D136</f>
        <v>422.65</v>
      </c>
      <c r="E138" s="356">
        <f t="shared" ref="E138:W138" si="83">E136</f>
        <v>422.65</v>
      </c>
      <c r="F138" s="356">
        <f t="shared" si="83"/>
        <v>422.65</v>
      </c>
      <c r="G138" s="356">
        <f t="shared" si="83"/>
        <v>422.65</v>
      </c>
      <c r="H138" s="356">
        <f t="shared" si="83"/>
        <v>422.65</v>
      </c>
      <c r="I138" s="356">
        <f t="shared" si="83"/>
        <v>422.65</v>
      </c>
      <c r="J138" s="356">
        <f t="shared" si="83"/>
        <v>422.65</v>
      </c>
      <c r="K138" s="356">
        <f t="shared" si="83"/>
        <v>422.65</v>
      </c>
      <c r="L138" s="356">
        <f t="shared" si="83"/>
        <v>422.65</v>
      </c>
      <c r="M138" s="356">
        <f t="shared" si="83"/>
        <v>422.65</v>
      </c>
      <c r="N138" s="356">
        <f t="shared" si="83"/>
        <v>422.65</v>
      </c>
      <c r="O138" s="356">
        <f t="shared" si="83"/>
        <v>422.65</v>
      </c>
      <c r="P138" s="356">
        <f t="shared" si="83"/>
        <v>422.65</v>
      </c>
      <c r="Q138" s="356">
        <f t="shared" si="83"/>
        <v>422.65</v>
      </c>
      <c r="R138" s="356">
        <f t="shared" si="83"/>
        <v>422.65</v>
      </c>
      <c r="S138" s="356">
        <f t="shared" si="83"/>
        <v>422.65</v>
      </c>
      <c r="T138" s="356">
        <f t="shared" si="83"/>
        <v>422.65</v>
      </c>
      <c r="U138" s="356">
        <f t="shared" si="83"/>
        <v>422.65</v>
      </c>
      <c r="V138" s="356">
        <f t="shared" si="83"/>
        <v>422.65</v>
      </c>
      <c r="W138" s="356">
        <f t="shared" si="83"/>
        <v>422.65</v>
      </c>
    </row>
    <row r="139" spans="1:23" x14ac:dyDescent="0.3">
      <c r="B139" s="171" t="s">
        <v>194</v>
      </c>
      <c r="C139" s="55"/>
      <c r="D139" s="20">
        <v>206</v>
      </c>
      <c r="E139" s="21">
        <v>228</v>
      </c>
      <c r="F139" s="21">
        <v>231</v>
      </c>
      <c r="G139" s="21">
        <v>224</v>
      </c>
      <c r="H139" s="21">
        <v>218</v>
      </c>
      <c r="I139" s="21">
        <v>220</v>
      </c>
      <c r="J139" s="21">
        <v>226</v>
      </c>
      <c r="K139" s="21">
        <v>223</v>
      </c>
      <c r="L139" s="21">
        <v>225</v>
      </c>
      <c r="M139" s="21">
        <v>218</v>
      </c>
      <c r="N139" s="21">
        <v>206</v>
      </c>
      <c r="O139" s="21">
        <v>206</v>
      </c>
      <c r="P139" s="21">
        <v>206</v>
      </c>
      <c r="Q139" s="21">
        <v>206</v>
      </c>
      <c r="R139" s="21">
        <v>208</v>
      </c>
      <c r="S139" s="21">
        <v>208</v>
      </c>
      <c r="T139" s="21">
        <v>212</v>
      </c>
      <c r="U139" s="21">
        <v>216</v>
      </c>
      <c r="V139" s="21">
        <v>204</v>
      </c>
      <c r="W139" s="21">
        <v>208</v>
      </c>
    </row>
    <row r="140" spans="1:23" s="30" customFormat="1" x14ac:dyDescent="0.3">
      <c r="A140" s="404"/>
      <c r="B140" s="61" t="s">
        <v>195</v>
      </c>
      <c r="C140" s="62"/>
      <c r="D140" s="28">
        <v>207</v>
      </c>
      <c r="E140" s="29">
        <v>229</v>
      </c>
      <c r="F140" s="29">
        <v>232</v>
      </c>
      <c r="G140" s="29">
        <v>225</v>
      </c>
      <c r="H140" s="29">
        <v>219</v>
      </c>
      <c r="I140" s="29">
        <v>221</v>
      </c>
      <c r="J140" s="29">
        <v>227</v>
      </c>
      <c r="K140" s="29">
        <v>224</v>
      </c>
      <c r="L140" s="29">
        <v>226</v>
      </c>
      <c r="M140" s="29">
        <v>219</v>
      </c>
      <c r="N140" s="29">
        <v>207</v>
      </c>
      <c r="O140" s="29">
        <v>207</v>
      </c>
      <c r="P140" s="29">
        <v>207</v>
      </c>
      <c r="Q140" s="29">
        <v>207</v>
      </c>
      <c r="R140" s="29">
        <v>209</v>
      </c>
      <c r="S140" s="29">
        <v>209</v>
      </c>
      <c r="T140" s="29">
        <v>213</v>
      </c>
      <c r="U140" s="29">
        <v>217</v>
      </c>
      <c r="V140" s="29">
        <v>205</v>
      </c>
      <c r="W140" s="29">
        <v>209</v>
      </c>
    </row>
    <row r="141" spans="1:23" s="30" customFormat="1" x14ac:dyDescent="0.3">
      <c r="A141" s="404"/>
      <c r="B141" s="61" t="s">
        <v>196</v>
      </c>
      <c r="C141" s="62"/>
      <c r="D141" s="28">
        <v>208</v>
      </c>
      <c r="E141" s="29">
        <v>230</v>
      </c>
      <c r="F141" s="29">
        <v>233</v>
      </c>
      <c r="G141" s="29">
        <v>226</v>
      </c>
      <c r="H141" s="29">
        <v>220</v>
      </c>
      <c r="I141" s="29">
        <v>222</v>
      </c>
      <c r="J141" s="29">
        <v>228</v>
      </c>
      <c r="K141" s="29">
        <v>225</v>
      </c>
      <c r="L141" s="29">
        <v>227</v>
      </c>
      <c r="M141" s="29">
        <v>220</v>
      </c>
      <c r="N141" s="29">
        <v>208</v>
      </c>
      <c r="O141" s="29">
        <v>208</v>
      </c>
      <c r="P141" s="29">
        <v>208</v>
      </c>
      <c r="Q141" s="29">
        <v>208</v>
      </c>
      <c r="R141" s="29">
        <v>210</v>
      </c>
      <c r="S141" s="29">
        <v>210</v>
      </c>
      <c r="T141" s="29">
        <v>214</v>
      </c>
      <c r="U141" s="29">
        <v>218</v>
      </c>
      <c r="V141" s="29">
        <v>206</v>
      </c>
      <c r="W141" s="29">
        <v>210</v>
      </c>
    </row>
    <row r="142" spans="1:23" s="30" customFormat="1" x14ac:dyDescent="0.3">
      <c r="A142" s="404"/>
      <c r="B142" s="61" t="s">
        <v>197</v>
      </c>
      <c r="C142" s="62"/>
      <c r="D142" s="28">
        <v>209</v>
      </c>
      <c r="E142" s="29">
        <v>231</v>
      </c>
      <c r="F142" s="29">
        <v>234</v>
      </c>
      <c r="G142" s="29">
        <v>227</v>
      </c>
      <c r="H142" s="29">
        <v>221</v>
      </c>
      <c r="I142" s="29">
        <v>223</v>
      </c>
      <c r="J142" s="29">
        <v>229</v>
      </c>
      <c r="K142" s="29">
        <v>226</v>
      </c>
      <c r="L142" s="29">
        <v>228</v>
      </c>
      <c r="M142" s="29">
        <v>221</v>
      </c>
      <c r="N142" s="29">
        <v>209</v>
      </c>
      <c r="O142" s="29">
        <v>209</v>
      </c>
      <c r="P142" s="29">
        <v>209</v>
      </c>
      <c r="Q142" s="29">
        <v>209</v>
      </c>
      <c r="R142" s="29">
        <v>211</v>
      </c>
      <c r="S142" s="29">
        <v>211</v>
      </c>
      <c r="T142" s="29">
        <v>215</v>
      </c>
      <c r="U142" s="29">
        <v>219</v>
      </c>
      <c r="V142" s="29">
        <v>207</v>
      </c>
      <c r="W142" s="29">
        <v>211</v>
      </c>
    </row>
    <row r="143" spans="1:23" s="30" customFormat="1" x14ac:dyDescent="0.3">
      <c r="A143" s="404"/>
      <c r="B143" s="63" t="s">
        <v>198</v>
      </c>
      <c r="C143" s="62"/>
      <c r="D143" s="31">
        <f>+D139-D$138</f>
        <v>-216.64999999999998</v>
      </c>
      <c r="E143" s="32">
        <f t="shared" ref="E143:W143" si="84">+E139-E$138</f>
        <v>-194.64999999999998</v>
      </c>
      <c r="F143" s="32">
        <f t="shared" si="84"/>
        <v>-191.64999999999998</v>
      </c>
      <c r="G143" s="32">
        <f t="shared" si="84"/>
        <v>-198.64999999999998</v>
      </c>
      <c r="H143" s="32">
        <f t="shared" si="84"/>
        <v>-204.64999999999998</v>
      </c>
      <c r="I143" s="32">
        <f t="shared" si="84"/>
        <v>-202.64999999999998</v>
      </c>
      <c r="J143" s="32">
        <f t="shared" si="84"/>
        <v>-196.64999999999998</v>
      </c>
      <c r="K143" s="32">
        <f t="shared" si="84"/>
        <v>-199.64999999999998</v>
      </c>
      <c r="L143" s="32">
        <f t="shared" si="84"/>
        <v>-197.64999999999998</v>
      </c>
      <c r="M143" s="32">
        <f t="shared" si="84"/>
        <v>-204.64999999999998</v>
      </c>
      <c r="N143" s="32">
        <f t="shared" si="84"/>
        <v>-216.64999999999998</v>
      </c>
      <c r="O143" s="32">
        <f t="shared" si="84"/>
        <v>-216.64999999999998</v>
      </c>
      <c r="P143" s="32">
        <f t="shared" si="84"/>
        <v>-216.64999999999998</v>
      </c>
      <c r="Q143" s="32">
        <f t="shared" si="84"/>
        <v>-216.64999999999998</v>
      </c>
      <c r="R143" s="32">
        <f t="shared" si="84"/>
        <v>-214.64999999999998</v>
      </c>
      <c r="S143" s="32">
        <f t="shared" si="84"/>
        <v>-214.64999999999998</v>
      </c>
      <c r="T143" s="32">
        <f t="shared" si="84"/>
        <v>-210.64999999999998</v>
      </c>
      <c r="U143" s="32">
        <f t="shared" si="84"/>
        <v>-206.64999999999998</v>
      </c>
      <c r="V143" s="32">
        <f t="shared" si="84"/>
        <v>-218.64999999999998</v>
      </c>
      <c r="W143" s="32">
        <f t="shared" si="84"/>
        <v>-214.64999999999998</v>
      </c>
    </row>
    <row r="144" spans="1:23" s="33" customFormat="1" x14ac:dyDescent="0.3">
      <c r="A144" s="405"/>
      <c r="B144" s="63" t="s">
        <v>199</v>
      </c>
      <c r="C144" s="64"/>
      <c r="D144" s="31">
        <f>+D140-D$138</f>
        <v>-215.64999999999998</v>
      </c>
      <c r="E144" s="32">
        <f t="shared" ref="E144:W144" si="85">+E140-E$138</f>
        <v>-193.64999999999998</v>
      </c>
      <c r="F144" s="32">
        <f t="shared" si="85"/>
        <v>-190.64999999999998</v>
      </c>
      <c r="G144" s="32">
        <f t="shared" si="85"/>
        <v>-197.64999999999998</v>
      </c>
      <c r="H144" s="32">
        <f t="shared" si="85"/>
        <v>-203.64999999999998</v>
      </c>
      <c r="I144" s="32">
        <f t="shared" si="85"/>
        <v>-201.64999999999998</v>
      </c>
      <c r="J144" s="32">
        <f t="shared" si="85"/>
        <v>-195.64999999999998</v>
      </c>
      <c r="K144" s="32">
        <f t="shared" si="85"/>
        <v>-198.64999999999998</v>
      </c>
      <c r="L144" s="32">
        <f t="shared" si="85"/>
        <v>-196.64999999999998</v>
      </c>
      <c r="M144" s="32">
        <f t="shared" si="85"/>
        <v>-203.64999999999998</v>
      </c>
      <c r="N144" s="32">
        <f t="shared" si="85"/>
        <v>-215.64999999999998</v>
      </c>
      <c r="O144" s="32">
        <f t="shared" si="85"/>
        <v>-215.64999999999998</v>
      </c>
      <c r="P144" s="32">
        <f t="shared" si="85"/>
        <v>-215.64999999999998</v>
      </c>
      <c r="Q144" s="32">
        <f t="shared" si="85"/>
        <v>-215.64999999999998</v>
      </c>
      <c r="R144" s="32">
        <f t="shared" si="85"/>
        <v>-213.64999999999998</v>
      </c>
      <c r="S144" s="32">
        <f t="shared" si="85"/>
        <v>-213.64999999999998</v>
      </c>
      <c r="T144" s="32">
        <f t="shared" si="85"/>
        <v>-209.64999999999998</v>
      </c>
      <c r="U144" s="32">
        <f t="shared" si="85"/>
        <v>-205.64999999999998</v>
      </c>
      <c r="V144" s="32">
        <f t="shared" si="85"/>
        <v>-217.64999999999998</v>
      </c>
      <c r="W144" s="32">
        <f t="shared" si="85"/>
        <v>-213.64999999999998</v>
      </c>
    </row>
    <row r="145" spans="1:23" s="33" customFormat="1" x14ac:dyDescent="0.3">
      <c r="A145" s="405"/>
      <c r="B145" s="63" t="s">
        <v>200</v>
      </c>
      <c r="C145" s="64"/>
      <c r="D145" s="31">
        <f>+D141-D$138</f>
        <v>-214.64999999999998</v>
      </c>
      <c r="E145" s="32">
        <f t="shared" ref="E145:W145" si="86">+E141-E$138</f>
        <v>-192.64999999999998</v>
      </c>
      <c r="F145" s="32">
        <f t="shared" si="86"/>
        <v>-189.64999999999998</v>
      </c>
      <c r="G145" s="32">
        <f t="shared" si="86"/>
        <v>-196.64999999999998</v>
      </c>
      <c r="H145" s="32">
        <f t="shared" si="86"/>
        <v>-202.64999999999998</v>
      </c>
      <c r="I145" s="32">
        <f t="shared" si="86"/>
        <v>-200.64999999999998</v>
      </c>
      <c r="J145" s="32">
        <f t="shared" si="86"/>
        <v>-194.64999999999998</v>
      </c>
      <c r="K145" s="32">
        <f t="shared" si="86"/>
        <v>-197.64999999999998</v>
      </c>
      <c r="L145" s="32">
        <f t="shared" si="86"/>
        <v>-195.64999999999998</v>
      </c>
      <c r="M145" s="32">
        <f t="shared" si="86"/>
        <v>-202.64999999999998</v>
      </c>
      <c r="N145" s="32">
        <f t="shared" si="86"/>
        <v>-214.64999999999998</v>
      </c>
      <c r="O145" s="32">
        <f t="shared" si="86"/>
        <v>-214.64999999999998</v>
      </c>
      <c r="P145" s="32">
        <f t="shared" si="86"/>
        <v>-214.64999999999998</v>
      </c>
      <c r="Q145" s="32">
        <f t="shared" si="86"/>
        <v>-214.64999999999998</v>
      </c>
      <c r="R145" s="32">
        <f t="shared" si="86"/>
        <v>-212.64999999999998</v>
      </c>
      <c r="S145" s="32">
        <f t="shared" si="86"/>
        <v>-212.64999999999998</v>
      </c>
      <c r="T145" s="32">
        <f t="shared" si="86"/>
        <v>-208.64999999999998</v>
      </c>
      <c r="U145" s="32">
        <f t="shared" si="86"/>
        <v>-204.64999999999998</v>
      </c>
      <c r="V145" s="32">
        <f t="shared" si="86"/>
        <v>-216.64999999999998</v>
      </c>
      <c r="W145" s="32">
        <f t="shared" si="86"/>
        <v>-212.64999999999998</v>
      </c>
    </row>
    <row r="146" spans="1:23" s="33" customFormat="1" x14ac:dyDescent="0.3">
      <c r="A146" s="405"/>
      <c r="B146" s="63" t="s">
        <v>201</v>
      </c>
      <c r="C146" s="64"/>
      <c r="D146" s="31">
        <f>+D142-D$138</f>
        <v>-213.64999999999998</v>
      </c>
      <c r="E146" s="32">
        <f t="shared" ref="E146:W146" si="87">+E142-E$138</f>
        <v>-191.64999999999998</v>
      </c>
      <c r="F146" s="32">
        <f t="shared" si="87"/>
        <v>-188.64999999999998</v>
      </c>
      <c r="G146" s="32">
        <f t="shared" si="87"/>
        <v>-195.64999999999998</v>
      </c>
      <c r="H146" s="32">
        <f t="shared" si="87"/>
        <v>-201.64999999999998</v>
      </c>
      <c r="I146" s="32">
        <f t="shared" si="87"/>
        <v>-199.64999999999998</v>
      </c>
      <c r="J146" s="32">
        <f t="shared" si="87"/>
        <v>-193.64999999999998</v>
      </c>
      <c r="K146" s="32">
        <f t="shared" si="87"/>
        <v>-196.64999999999998</v>
      </c>
      <c r="L146" s="32">
        <f t="shared" si="87"/>
        <v>-194.64999999999998</v>
      </c>
      <c r="M146" s="32">
        <f t="shared" si="87"/>
        <v>-201.64999999999998</v>
      </c>
      <c r="N146" s="32">
        <f t="shared" si="87"/>
        <v>-213.64999999999998</v>
      </c>
      <c r="O146" s="32">
        <f t="shared" si="87"/>
        <v>-213.64999999999998</v>
      </c>
      <c r="P146" s="32">
        <f t="shared" si="87"/>
        <v>-213.64999999999998</v>
      </c>
      <c r="Q146" s="32">
        <f t="shared" si="87"/>
        <v>-213.64999999999998</v>
      </c>
      <c r="R146" s="32">
        <f t="shared" si="87"/>
        <v>-211.64999999999998</v>
      </c>
      <c r="S146" s="32">
        <f t="shared" si="87"/>
        <v>-211.64999999999998</v>
      </c>
      <c r="T146" s="32">
        <f t="shared" si="87"/>
        <v>-207.64999999999998</v>
      </c>
      <c r="U146" s="32">
        <f t="shared" si="87"/>
        <v>-203.64999999999998</v>
      </c>
      <c r="V146" s="32">
        <f t="shared" si="87"/>
        <v>-215.64999999999998</v>
      </c>
      <c r="W146" s="32">
        <f t="shared" si="87"/>
        <v>-211.64999999999998</v>
      </c>
    </row>
    <row r="147" spans="1:23" s="33" customFormat="1" x14ac:dyDescent="0.3">
      <c r="A147" s="405"/>
      <c r="B147" s="97" t="s">
        <v>202</v>
      </c>
      <c r="C147" s="98"/>
      <c r="D147" s="100">
        <f>+D143/D139</f>
        <v>-1.0516990291262134</v>
      </c>
      <c r="E147" s="100">
        <f t="shared" ref="E147:W147" si="88">+E143/E139</f>
        <v>-0.8537280701754385</v>
      </c>
      <c r="F147" s="100">
        <f t="shared" si="88"/>
        <v>-0.82965367965367953</v>
      </c>
      <c r="G147" s="100">
        <f t="shared" si="88"/>
        <v>-0.88683035714285707</v>
      </c>
      <c r="H147" s="100">
        <f t="shared" si="88"/>
        <v>-0.93876146788990811</v>
      </c>
      <c r="I147" s="100">
        <f t="shared" si="88"/>
        <v>-0.92113636363636353</v>
      </c>
      <c r="J147" s="100">
        <f t="shared" si="88"/>
        <v>-0.87013274336283175</v>
      </c>
      <c r="K147" s="100">
        <f t="shared" si="88"/>
        <v>-0.89529147982062773</v>
      </c>
      <c r="L147" s="100">
        <f t="shared" si="88"/>
        <v>-0.87844444444444436</v>
      </c>
      <c r="M147" s="100">
        <f t="shared" si="88"/>
        <v>-0.93876146788990811</v>
      </c>
      <c r="N147" s="100">
        <f t="shared" si="88"/>
        <v>-1.0516990291262134</v>
      </c>
      <c r="O147" s="100">
        <f t="shared" si="88"/>
        <v>-1.0516990291262134</v>
      </c>
      <c r="P147" s="100">
        <f t="shared" si="88"/>
        <v>-1.0516990291262134</v>
      </c>
      <c r="Q147" s="100">
        <f t="shared" si="88"/>
        <v>-1.0516990291262134</v>
      </c>
      <c r="R147" s="100">
        <f t="shared" si="88"/>
        <v>-1.0319711538461538</v>
      </c>
      <c r="S147" s="100">
        <f t="shared" si="88"/>
        <v>-1.0319711538461538</v>
      </c>
      <c r="T147" s="100">
        <f t="shared" si="88"/>
        <v>-0.99363207547169796</v>
      </c>
      <c r="U147" s="100">
        <f t="shared" si="88"/>
        <v>-0.95671296296296282</v>
      </c>
      <c r="V147" s="100">
        <f t="shared" si="88"/>
        <v>-1.071813725490196</v>
      </c>
      <c r="W147" s="100">
        <f t="shared" si="88"/>
        <v>-1.0319711538461538</v>
      </c>
    </row>
    <row r="148" spans="1:23" s="36" customFormat="1" x14ac:dyDescent="0.3">
      <c r="A148" s="406"/>
      <c r="B148" s="97" t="s">
        <v>203</v>
      </c>
      <c r="C148" s="98"/>
      <c r="D148" s="100">
        <f>+D144/D140</f>
        <v>-1.0417874396135265</v>
      </c>
      <c r="E148" s="100">
        <f t="shared" ref="E148:W148" si="89">+E144/E140</f>
        <v>-0.84563318777292562</v>
      </c>
      <c r="F148" s="100">
        <f t="shared" si="89"/>
        <v>-0.82176724137931023</v>
      </c>
      <c r="G148" s="100">
        <f t="shared" si="89"/>
        <v>-0.87844444444444436</v>
      </c>
      <c r="H148" s="100">
        <f t="shared" si="89"/>
        <v>-0.92990867579908665</v>
      </c>
      <c r="I148" s="100">
        <f t="shared" si="89"/>
        <v>-0.91244343891402702</v>
      </c>
      <c r="J148" s="100">
        <f t="shared" si="89"/>
        <v>-0.86189427312775324</v>
      </c>
      <c r="K148" s="100">
        <f t="shared" si="89"/>
        <v>-0.88683035714285707</v>
      </c>
      <c r="L148" s="100">
        <f t="shared" si="89"/>
        <v>-0.87013274336283175</v>
      </c>
      <c r="M148" s="100">
        <f t="shared" si="89"/>
        <v>-0.92990867579908665</v>
      </c>
      <c r="N148" s="100">
        <f t="shared" si="89"/>
        <v>-1.0417874396135265</v>
      </c>
      <c r="O148" s="100">
        <f t="shared" si="89"/>
        <v>-1.0417874396135265</v>
      </c>
      <c r="P148" s="100">
        <f t="shared" si="89"/>
        <v>-1.0417874396135265</v>
      </c>
      <c r="Q148" s="100">
        <f t="shared" si="89"/>
        <v>-1.0417874396135265</v>
      </c>
      <c r="R148" s="100">
        <f t="shared" si="89"/>
        <v>-1.0222488038277511</v>
      </c>
      <c r="S148" s="100">
        <f t="shared" si="89"/>
        <v>-1.0222488038277511</v>
      </c>
      <c r="T148" s="100">
        <f t="shared" si="89"/>
        <v>-0.98427230046948344</v>
      </c>
      <c r="U148" s="100">
        <f t="shared" si="89"/>
        <v>-0.94769585253456212</v>
      </c>
      <c r="V148" s="100">
        <f t="shared" si="89"/>
        <v>-1.0617073170731706</v>
      </c>
      <c r="W148" s="100">
        <f t="shared" si="89"/>
        <v>-1.0222488038277511</v>
      </c>
    </row>
    <row r="149" spans="1:23" s="36" customFormat="1" x14ac:dyDescent="0.3">
      <c r="A149" s="406"/>
      <c r="B149" s="97" t="s">
        <v>204</v>
      </c>
      <c r="C149" s="98"/>
      <c r="D149" s="100">
        <f>+D145/D141</f>
        <v>-1.0319711538461538</v>
      </c>
      <c r="E149" s="100">
        <f t="shared" ref="E149:W149" si="90">+E145/E141</f>
        <v>-0.83760869565217377</v>
      </c>
      <c r="F149" s="100">
        <f t="shared" si="90"/>
        <v>-0.81394849785407719</v>
      </c>
      <c r="G149" s="100">
        <f t="shared" si="90"/>
        <v>-0.87013274336283175</v>
      </c>
      <c r="H149" s="100">
        <f t="shared" si="90"/>
        <v>-0.92113636363636353</v>
      </c>
      <c r="I149" s="100">
        <f t="shared" si="90"/>
        <v>-0.90382882882882876</v>
      </c>
      <c r="J149" s="100">
        <f t="shared" si="90"/>
        <v>-0.8537280701754385</v>
      </c>
      <c r="K149" s="100">
        <f t="shared" si="90"/>
        <v>-0.87844444444444436</v>
      </c>
      <c r="L149" s="100">
        <f t="shared" si="90"/>
        <v>-0.86189427312775324</v>
      </c>
      <c r="M149" s="100">
        <f t="shared" si="90"/>
        <v>-0.92113636363636353</v>
      </c>
      <c r="N149" s="100">
        <f t="shared" si="90"/>
        <v>-1.0319711538461538</v>
      </c>
      <c r="O149" s="100">
        <f t="shared" si="90"/>
        <v>-1.0319711538461538</v>
      </c>
      <c r="P149" s="100">
        <f t="shared" si="90"/>
        <v>-1.0319711538461538</v>
      </c>
      <c r="Q149" s="100">
        <f t="shared" si="90"/>
        <v>-1.0319711538461538</v>
      </c>
      <c r="R149" s="100">
        <f t="shared" si="90"/>
        <v>-1.0126190476190475</v>
      </c>
      <c r="S149" s="100">
        <f t="shared" si="90"/>
        <v>-1.0126190476190475</v>
      </c>
      <c r="T149" s="100">
        <f t="shared" si="90"/>
        <v>-0.97499999999999987</v>
      </c>
      <c r="U149" s="100">
        <f t="shared" si="90"/>
        <v>-0.93876146788990811</v>
      </c>
      <c r="V149" s="100">
        <f t="shared" si="90"/>
        <v>-1.0516990291262134</v>
      </c>
      <c r="W149" s="100">
        <f t="shared" si="90"/>
        <v>-1.0126190476190475</v>
      </c>
    </row>
    <row r="150" spans="1:23" s="36" customFormat="1" x14ac:dyDescent="0.3">
      <c r="A150" s="406"/>
      <c r="B150" s="97" t="s">
        <v>205</v>
      </c>
      <c r="C150" s="98"/>
      <c r="D150" s="100">
        <f>+D146/D142</f>
        <v>-1.0222488038277511</v>
      </c>
      <c r="E150" s="100">
        <f t="shared" ref="E150:W150" si="91">+E146/E142</f>
        <v>-0.82965367965367953</v>
      </c>
      <c r="F150" s="100">
        <f t="shared" si="91"/>
        <v>-0.80619658119658111</v>
      </c>
      <c r="G150" s="100">
        <f t="shared" si="91"/>
        <v>-0.86189427312775324</v>
      </c>
      <c r="H150" s="100">
        <f t="shared" si="91"/>
        <v>-0.91244343891402702</v>
      </c>
      <c r="I150" s="100">
        <f t="shared" si="91"/>
        <v>-0.89529147982062773</v>
      </c>
      <c r="J150" s="100">
        <f t="shared" si="91"/>
        <v>-0.84563318777292562</v>
      </c>
      <c r="K150" s="100">
        <f t="shared" si="91"/>
        <v>-0.87013274336283175</v>
      </c>
      <c r="L150" s="100">
        <f t="shared" si="91"/>
        <v>-0.8537280701754385</v>
      </c>
      <c r="M150" s="100">
        <f t="shared" si="91"/>
        <v>-0.91244343891402702</v>
      </c>
      <c r="N150" s="100">
        <f t="shared" si="91"/>
        <v>-1.0222488038277511</v>
      </c>
      <c r="O150" s="100">
        <f t="shared" si="91"/>
        <v>-1.0222488038277511</v>
      </c>
      <c r="P150" s="100">
        <f t="shared" si="91"/>
        <v>-1.0222488038277511</v>
      </c>
      <c r="Q150" s="100">
        <f t="shared" si="91"/>
        <v>-1.0222488038277511</v>
      </c>
      <c r="R150" s="100">
        <f t="shared" si="91"/>
        <v>-1.003080568720379</v>
      </c>
      <c r="S150" s="100">
        <f t="shared" si="91"/>
        <v>-1.003080568720379</v>
      </c>
      <c r="T150" s="100">
        <f t="shared" si="91"/>
        <v>-0.96581395348837196</v>
      </c>
      <c r="U150" s="100">
        <f t="shared" si="91"/>
        <v>-0.92990867579908665</v>
      </c>
      <c r="V150" s="100">
        <f t="shared" si="91"/>
        <v>-1.0417874396135265</v>
      </c>
      <c r="W150" s="100">
        <f t="shared" si="91"/>
        <v>-1.003080568720379</v>
      </c>
    </row>
    <row r="151" spans="1:23" s="36" customFormat="1" ht="21" thickBot="1" x14ac:dyDescent="0.35">
      <c r="A151" s="406"/>
      <c r="B151" s="207"/>
      <c r="C151" s="208"/>
      <c r="D151" s="209"/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  <c r="S151" s="209"/>
      <c r="T151" s="209"/>
      <c r="U151" s="209"/>
      <c r="V151" s="209"/>
      <c r="W151" s="209"/>
    </row>
    <row r="152" spans="1:23" s="19" customFormat="1" ht="24" thickBot="1" x14ac:dyDescent="0.4">
      <c r="A152" s="19" t="s">
        <v>256</v>
      </c>
      <c r="B152" s="345" t="s">
        <v>114</v>
      </c>
      <c r="C152" s="68"/>
      <c r="D152" s="17" t="s">
        <v>5</v>
      </c>
      <c r="E152" s="18" t="s">
        <v>6</v>
      </c>
      <c r="F152" s="18" t="s">
        <v>7</v>
      </c>
      <c r="G152" s="18" t="s">
        <v>8</v>
      </c>
      <c r="H152" s="18" t="s">
        <v>9</v>
      </c>
      <c r="I152" s="18" t="s">
        <v>10</v>
      </c>
      <c r="J152" s="18" t="s">
        <v>11</v>
      </c>
      <c r="K152" s="18" t="s">
        <v>12</v>
      </c>
      <c r="L152" s="18" t="s">
        <v>13</v>
      </c>
      <c r="M152" s="18" t="s">
        <v>14</v>
      </c>
      <c r="N152" s="18" t="s">
        <v>15</v>
      </c>
      <c r="O152" s="18" t="s">
        <v>16</v>
      </c>
      <c r="P152" s="18" t="s">
        <v>17</v>
      </c>
      <c r="Q152" s="18" t="s">
        <v>18</v>
      </c>
      <c r="R152" s="18" t="s">
        <v>19</v>
      </c>
      <c r="S152" s="18" t="s">
        <v>20</v>
      </c>
      <c r="T152" s="18" t="s">
        <v>21</v>
      </c>
      <c r="U152" s="18" t="s">
        <v>22</v>
      </c>
      <c r="V152" s="18" t="s">
        <v>23</v>
      </c>
      <c r="W152" s="18" t="s">
        <v>166</v>
      </c>
    </row>
    <row r="153" spans="1:23" x14ac:dyDescent="0.3">
      <c r="B153" s="54" t="s">
        <v>50</v>
      </c>
      <c r="C153" s="55"/>
      <c r="D153" s="20">
        <v>446</v>
      </c>
      <c r="E153" s="21">
        <f>D153</f>
        <v>446</v>
      </c>
      <c r="F153" s="21">
        <f>E153</f>
        <v>446</v>
      </c>
      <c r="G153" s="21">
        <f>F153</f>
        <v>446</v>
      </c>
      <c r="H153" s="21">
        <f>G153</f>
        <v>446</v>
      </c>
      <c r="I153" s="21">
        <f>G153</f>
        <v>446</v>
      </c>
      <c r="J153" s="21">
        <f t="shared" ref="J153:W153" si="92">I153</f>
        <v>446</v>
      </c>
      <c r="K153" s="21">
        <f t="shared" si="92"/>
        <v>446</v>
      </c>
      <c r="L153" s="21">
        <f t="shared" si="92"/>
        <v>446</v>
      </c>
      <c r="M153" s="21">
        <f t="shared" si="92"/>
        <v>446</v>
      </c>
      <c r="N153" s="21">
        <f t="shared" si="92"/>
        <v>446</v>
      </c>
      <c r="O153" s="21">
        <f t="shared" si="92"/>
        <v>446</v>
      </c>
      <c r="P153" s="21">
        <f t="shared" si="92"/>
        <v>446</v>
      </c>
      <c r="Q153" s="21">
        <f t="shared" si="92"/>
        <v>446</v>
      </c>
      <c r="R153" s="21">
        <f t="shared" si="92"/>
        <v>446</v>
      </c>
      <c r="S153" s="21">
        <f t="shared" si="92"/>
        <v>446</v>
      </c>
      <c r="T153" s="21">
        <f t="shared" si="92"/>
        <v>446</v>
      </c>
      <c r="U153" s="21">
        <f t="shared" si="92"/>
        <v>446</v>
      </c>
      <c r="V153" s="21">
        <f t="shared" si="92"/>
        <v>446</v>
      </c>
      <c r="W153" s="21">
        <f t="shared" si="92"/>
        <v>446</v>
      </c>
    </row>
    <row r="154" spans="1:23" ht="23" x14ac:dyDescent="0.35">
      <c r="B154" s="340" t="s">
        <v>51</v>
      </c>
      <c r="C154" s="341"/>
      <c r="D154" s="342"/>
      <c r="E154" s="342"/>
      <c r="F154" s="342"/>
      <c r="G154" s="342"/>
      <c r="H154" s="342"/>
      <c r="I154" s="342"/>
      <c r="J154" s="342"/>
      <c r="K154" s="342"/>
      <c r="L154" s="342"/>
      <c r="M154" s="342"/>
      <c r="N154" s="342"/>
      <c r="O154" s="342"/>
      <c r="P154" s="342"/>
      <c r="Q154" s="342"/>
      <c r="R154" s="342"/>
      <c r="S154" s="342"/>
      <c r="T154" s="342"/>
      <c r="U154" s="342"/>
      <c r="V154" s="342"/>
      <c r="W154" s="342"/>
    </row>
    <row r="155" spans="1:23" x14ac:dyDescent="0.3">
      <c r="B155" s="54"/>
      <c r="C155" s="55"/>
      <c r="D155" s="20">
        <f t="shared" ref="D155:V155" si="93">D153*(1-D154)</f>
        <v>446</v>
      </c>
      <c r="E155" s="20">
        <f t="shared" si="93"/>
        <v>446</v>
      </c>
      <c r="F155" s="20">
        <f t="shared" si="93"/>
        <v>446</v>
      </c>
      <c r="G155" s="20">
        <f t="shared" si="93"/>
        <v>446</v>
      </c>
      <c r="H155" s="20">
        <f t="shared" si="93"/>
        <v>446</v>
      </c>
      <c r="I155" s="20">
        <f t="shared" si="93"/>
        <v>446</v>
      </c>
      <c r="J155" s="20">
        <f t="shared" si="93"/>
        <v>446</v>
      </c>
      <c r="K155" s="20">
        <f t="shared" si="93"/>
        <v>446</v>
      </c>
      <c r="L155" s="20">
        <f t="shared" si="93"/>
        <v>446</v>
      </c>
      <c r="M155" s="20">
        <f t="shared" si="93"/>
        <v>446</v>
      </c>
      <c r="N155" s="20">
        <f t="shared" si="93"/>
        <v>446</v>
      </c>
      <c r="O155" s="20">
        <f t="shared" si="93"/>
        <v>446</v>
      </c>
      <c r="P155" s="20">
        <f t="shared" si="93"/>
        <v>446</v>
      </c>
      <c r="Q155" s="20">
        <f t="shared" si="93"/>
        <v>446</v>
      </c>
      <c r="R155" s="20">
        <f t="shared" si="93"/>
        <v>446</v>
      </c>
      <c r="S155" s="20">
        <f t="shared" si="93"/>
        <v>446</v>
      </c>
      <c r="T155" s="20">
        <f t="shared" si="93"/>
        <v>446</v>
      </c>
      <c r="U155" s="20">
        <f t="shared" si="93"/>
        <v>446</v>
      </c>
      <c r="V155" s="20">
        <f t="shared" si="93"/>
        <v>446</v>
      </c>
      <c r="W155" s="20">
        <f>W153*(1-W154)</f>
        <v>446</v>
      </c>
    </row>
    <row r="156" spans="1:23" x14ac:dyDescent="0.3">
      <c r="B156" s="54" t="s">
        <v>51</v>
      </c>
      <c r="C156" s="56">
        <v>0</v>
      </c>
      <c r="D156" s="20">
        <f t="shared" ref="D156:W156" si="94">D155*$C156</f>
        <v>0</v>
      </c>
      <c r="E156" s="20">
        <f t="shared" si="94"/>
        <v>0</v>
      </c>
      <c r="F156" s="20">
        <f t="shared" si="94"/>
        <v>0</v>
      </c>
      <c r="G156" s="20">
        <f t="shared" si="94"/>
        <v>0</v>
      </c>
      <c r="H156" s="20">
        <f t="shared" si="94"/>
        <v>0</v>
      </c>
      <c r="I156" s="20">
        <f t="shared" si="94"/>
        <v>0</v>
      </c>
      <c r="J156" s="20">
        <f t="shared" si="94"/>
        <v>0</v>
      </c>
      <c r="K156" s="20">
        <f t="shared" si="94"/>
        <v>0</v>
      </c>
      <c r="L156" s="20">
        <f t="shared" si="94"/>
        <v>0</v>
      </c>
      <c r="M156" s="20">
        <f t="shared" si="94"/>
        <v>0</v>
      </c>
      <c r="N156" s="20">
        <f t="shared" si="94"/>
        <v>0</v>
      </c>
      <c r="O156" s="20">
        <f t="shared" si="94"/>
        <v>0</v>
      </c>
      <c r="P156" s="20">
        <f t="shared" si="94"/>
        <v>0</v>
      </c>
      <c r="Q156" s="20">
        <f t="shared" si="94"/>
        <v>0</v>
      </c>
      <c r="R156" s="20">
        <f t="shared" si="94"/>
        <v>0</v>
      </c>
      <c r="S156" s="20">
        <f t="shared" si="94"/>
        <v>0</v>
      </c>
      <c r="T156" s="20">
        <f t="shared" si="94"/>
        <v>0</v>
      </c>
      <c r="U156" s="20">
        <f t="shared" si="94"/>
        <v>0</v>
      </c>
      <c r="V156" s="20">
        <f t="shared" si="94"/>
        <v>0</v>
      </c>
      <c r="W156" s="20">
        <f t="shared" si="94"/>
        <v>0</v>
      </c>
    </row>
    <row r="157" spans="1:23" x14ac:dyDescent="0.3">
      <c r="B157" s="54" t="s">
        <v>67</v>
      </c>
      <c r="C157" s="55"/>
      <c r="D157" s="20">
        <f t="shared" ref="D157:W157" si="95">D155-D156</f>
        <v>446</v>
      </c>
      <c r="E157" s="20">
        <f t="shared" si="95"/>
        <v>446</v>
      </c>
      <c r="F157" s="20">
        <f t="shared" si="95"/>
        <v>446</v>
      </c>
      <c r="G157" s="20">
        <f t="shared" si="95"/>
        <v>446</v>
      </c>
      <c r="H157" s="20">
        <f t="shared" si="95"/>
        <v>446</v>
      </c>
      <c r="I157" s="20">
        <f t="shared" si="95"/>
        <v>446</v>
      </c>
      <c r="J157" s="20">
        <f t="shared" si="95"/>
        <v>446</v>
      </c>
      <c r="K157" s="20">
        <f t="shared" si="95"/>
        <v>446</v>
      </c>
      <c r="L157" s="20">
        <f t="shared" si="95"/>
        <v>446</v>
      </c>
      <c r="M157" s="20">
        <f t="shared" si="95"/>
        <v>446</v>
      </c>
      <c r="N157" s="20">
        <f t="shared" si="95"/>
        <v>446</v>
      </c>
      <c r="O157" s="20">
        <f t="shared" si="95"/>
        <v>446</v>
      </c>
      <c r="P157" s="20">
        <f t="shared" si="95"/>
        <v>446</v>
      </c>
      <c r="Q157" s="20">
        <f t="shared" si="95"/>
        <v>446</v>
      </c>
      <c r="R157" s="20">
        <f t="shared" si="95"/>
        <v>446</v>
      </c>
      <c r="S157" s="20">
        <f t="shared" si="95"/>
        <v>446</v>
      </c>
      <c r="T157" s="20">
        <f t="shared" si="95"/>
        <v>446</v>
      </c>
      <c r="U157" s="20">
        <f t="shared" si="95"/>
        <v>446</v>
      </c>
      <c r="V157" s="20">
        <f t="shared" si="95"/>
        <v>446</v>
      </c>
      <c r="W157" s="20">
        <f t="shared" si="95"/>
        <v>446</v>
      </c>
    </row>
    <row r="158" spans="1:23" x14ac:dyDescent="0.3">
      <c r="B158" s="54" t="s">
        <v>66</v>
      </c>
      <c r="C158" s="56">
        <v>7.0000000000000007E-2</v>
      </c>
      <c r="D158" s="20">
        <f t="shared" ref="D158:W158" si="96">D157*$C158</f>
        <v>31.220000000000002</v>
      </c>
      <c r="E158" s="20">
        <f t="shared" si="96"/>
        <v>31.220000000000002</v>
      </c>
      <c r="F158" s="20">
        <f t="shared" si="96"/>
        <v>31.220000000000002</v>
      </c>
      <c r="G158" s="20">
        <f t="shared" si="96"/>
        <v>31.220000000000002</v>
      </c>
      <c r="H158" s="20">
        <f t="shared" si="96"/>
        <v>31.220000000000002</v>
      </c>
      <c r="I158" s="20">
        <f t="shared" si="96"/>
        <v>31.220000000000002</v>
      </c>
      <c r="J158" s="20">
        <f t="shared" si="96"/>
        <v>31.220000000000002</v>
      </c>
      <c r="K158" s="20">
        <f t="shared" si="96"/>
        <v>31.220000000000002</v>
      </c>
      <c r="L158" s="20">
        <f t="shared" si="96"/>
        <v>31.220000000000002</v>
      </c>
      <c r="M158" s="20">
        <f t="shared" si="96"/>
        <v>31.220000000000002</v>
      </c>
      <c r="N158" s="20">
        <f t="shared" si="96"/>
        <v>31.220000000000002</v>
      </c>
      <c r="O158" s="20">
        <f t="shared" si="96"/>
        <v>31.220000000000002</v>
      </c>
      <c r="P158" s="20">
        <f t="shared" si="96"/>
        <v>31.220000000000002</v>
      </c>
      <c r="Q158" s="20">
        <f t="shared" si="96"/>
        <v>31.220000000000002</v>
      </c>
      <c r="R158" s="20">
        <f t="shared" si="96"/>
        <v>31.220000000000002</v>
      </c>
      <c r="S158" s="20">
        <f t="shared" si="96"/>
        <v>31.220000000000002</v>
      </c>
      <c r="T158" s="20">
        <f t="shared" si="96"/>
        <v>31.220000000000002</v>
      </c>
      <c r="U158" s="20">
        <f t="shared" si="96"/>
        <v>31.220000000000002</v>
      </c>
      <c r="V158" s="20">
        <f t="shared" si="96"/>
        <v>31.220000000000002</v>
      </c>
      <c r="W158" s="20">
        <f t="shared" si="96"/>
        <v>31.220000000000002</v>
      </c>
    </row>
    <row r="159" spans="1:23" x14ac:dyDescent="0.3">
      <c r="B159" s="54" t="s">
        <v>68</v>
      </c>
      <c r="C159" s="55"/>
      <c r="D159" s="20">
        <f>D157+D158</f>
        <v>477.22</v>
      </c>
      <c r="E159" s="20">
        <f t="shared" ref="E159:V159" si="97">E157+E158</f>
        <v>477.22</v>
      </c>
      <c r="F159" s="20">
        <f t="shared" si="97"/>
        <v>477.22</v>
      </c>
      <c r="G159" s="20">
        <f t="shared" si="97"/>
        <v>477.22</v>
      </c>
      <c r="H159" s="20">
        <f t="shared" si="97"/>
        <v>477.22</v>
      </c>
      <c r="I159" s="20">
        <f t="shared" si="97"/>
        <v>477.22</v>
      </c>
      <c r="J159" s="20">
        <f t="shared" si="97"/>
        <v>477.22</v>
      </c>
      <c r="K159" s="20">
        <f t="shared" si="97"/>
        <v>477.22</v>
      </c>
      <c r="L159" s="20">
        <f t="shared" si="97"/>
        <v>477.22</v>
      </c>
      <c r="M159" s="20">
        <f t="shared" si="97"/>
        <v>477.22</v>
      </c>
      <c r="N159" s="20">
        <f t="shared" si="97"/>
        <v>477.22</v>
      </c>
      <c r="O159" s="20">
        <f t="shared" si="97"/>
        <v>477.22</v>
      </c>
      <c r="P159" s="20">
        <f t="shared" si="97"/>
        <v>477.22</v>
      </c>
      <c r="Q159" s="20">
        <f t="shared" si="97"/>
        <v>477.22</v>
      </c>
      <c r="R159" s="20">
        <f t="shared" si="97"/>
        <v>477.22</v>
      </c>
      <c r="S159" s="20">
        <f t="shared" si="97"/>
        <v>477.22</v>
      </c>
      <c r="T159" s="20">
        <f t="shared" si="97"/>
        <v>477.22</v>
      </c>
      <c r="U159" s="20">
        <f t="shared" si="97"/>
        <v>477.22</v>
      </c>
      <c r="V159" s="20">
        <f t="shared" si="97"/>
        <v>477.22</v>
      </c>
      <c r="W159" s="20">
        <f>W157+W158</f>
        <v>477.22</v>
      </c>
    </row>
    <row r="160" spans="1:23" ht="23" x14ac:dyDescent="0.35">
      <c r="B160" s="357" t="s">
        <v>52</v>
      </c>
      <c r="C160" s="358"/>
      <c r="D160" s="381"/>
      <c r="E160" s="381"/>
      <c r="F160" s="381"/>
      <c r="G160" s="381"/>
      <c r="H160" s="381"/>
      <c r="I160" s="381"/>
      <c r="J160" s="381"/>
      <c r="K160" s="381"/>
      <c r="L160" s="381"/>
      <c r="M160" s="381"/>
      <c r="N160" s="381"/>
      <c r="O160" s="381"/>
      <c r="P160" s="381"/>
      <c r="Q160" s="381"/>
      <c r="R160" s="381"/>
      <c r="S160" s="381"/>
      <c r="T160" s="381"/>
      <c r="U160" s="381"/>
      <c r="V160" s="381"/>
      <c r="W160" s="381"/>
    </row>
    <row r="161" spans="1:23" x14ac:dyDescent="0.3">
      <c r="B161" s="57" t="s">
        <v>53</v>
      </c>
      <c r="C161" s="58"/>
      <c r="D161" s="25">
        <f>SUM(D159:D160)</f>
        <v>477.22</v>
      </c>
      <c r="E161" s="26">
        <f t="shared" ref="E161:V161" si="98">SUM(E159:E160)</f>
        <v>477.22</v>
      </c>
      <c r="F161" s="26">
        <f t="shared" si="98"/>
        <v>477.22</v>
      </c>
      <c r="G161" s="26">
        <f t="shared" si="98"/>
        <v>477.22</v>
      </c>
      <c r="H161" s="26">
        <f t="shared" si="98"/>
        <v>477.22</v>
      </c>
      <c r="I161" s="26">
        <f t="shared" si="98"/>
        <v>477.22</v>
      </c>
      <c r="J161" s="26">
        <f t="shared" si="98"/>
        <v>477.22</v>
      </c>
      <c r="K161" s="26">
        <f t="shared" si="98"/>
        <v>477.22</v>
      </c>
      <c r="L161" s="26">
        <f t="shared" si="98"/>
        <v>477.22</v>
      </c>
      <c r="M161" s="26">
        <f t="shared" si="98"/>
        <v>477.22</v>
      </c>
      <c r="N161" s="26">
        <f t="shared" si="98"/>
        <v>477.22</v>
      </c>
      <c r="O161" s="26">
        <f t="shared" si="98"/>
        <v>477.22</v>
      </c>
      <c r="P161" s="26">
        <f t="shared" si="98"/>
        <v>477.22</v>
      </c>
      <c r="Q161" s="26">
        <f t="shared" si="98"/>
        <v>477.22</v>
      </c>
      <c r="R161" s="26">
        <f t="shared" si="98"/>
        <v>477.22</v>
      </c>
      <c r="S161" s="26">
        <f t="shared" si="98"/>
        <v>477.22</v>
      </c>
      <c r="T161" s="26">
        <f t="shared" si="98"/>
        <v>477.22</v>
      </c>
      <c r="U161" s="26">
        <f t="shared" si="98"/>
        <v>477.22</v>
      </c>
      <c r="V161" s="26">
        <f t="shared" si="98"/>
        <v>477.22</v>
      </c>
      <c r="W161" s="26">
        <f>SUM(W159:W160)</f>
        <v>477.22</v>
      </c>
    </row>
    <row r="162" spans="1:23" x14ac:dyDescent="0.3">
      <c r="B162" s="331" t="s">
        <v>54</v>
      </c>
      <c r="C162" s="332"/>
      <c r="D162" s="333"/>
      <c r="E162" s="333"/>
      <c r="F162" s="333"/>
      <c r="G162" s="333"/>
      <c r="H162" s="333"/>
      <c r="I162" s="333"/>
      <c r="J162" s="333"/>
      <c r="K162" s="333"/>
      <c r="L162" s="333"/>
      <c r="M162" s="333"/>
      <c r="N162" s="333"/>
      <c r="O162" s="333"/>
      <c r="P162" s="333"/>
      <c r="Q162" s="333"/>
      <c r="R162" s="333"/>
      <c r="S162" s="333"/>
      <c r="T162" s="333"/>
      <c r="U162" s="333"/>
      <c r="V162" s="333"/>
      <c r="W162" s="333"/>
    </row>
    <row r="163" spans="1:23" ht="23" x14ac:dyDescent="0.35">
      <c r="B163" s="353" t="s">
        <v>55</v>
      </c>
      <c r="C163" s="354"/>
      <c r="D163" s="355">
        <f>D161</f>
        <v>477.22</v>
      </c>
      <c r="E163" s="356">
        <f t="shared" ref="E163:W163" si="99">E161</f>
        <v>477.22</v>
      </c>
      <c r="F163" s="356">
        <f t="shared" si="99"/>
        <v>477.22</v>
      </c>
      <c r="G163" s="356">
        <f t="shared" si="99"/>
        <v>477.22</v>
      </c>
      <c r="H163" s="356">
        <f t="shared" si="99"/>
        <v>477.22</v>
      </c>
      <c r="I163" s="356">
        <f t="shared" si="99"/>
        <v>477.22</v>
      </c>
      <c r="J163" s="356">
        <f t="shared" si="99"/>
        <v>477.22</v>
      </c>
      <c r="K163" s="356">
        <f t="shared" si="99"/>
        <v>477.22</v>
      </c>
      <c r="L163" s="356">
        <f t="shared" si="99"/>
        <v>477.22</v>
      </c>
      <c r="M163" s="356">
        <f t="shared" si="99"/>
        <v>477.22</v>
      </c>
      <c r="N163" s="356">
        <f t="shared" si="99"/>
        <v>477.22</v>
      </c>
      <c r="O163" s="356">
        <f t="shared" si="99"/>
        <v>477.22</v>
      </c>
      <c r="P163" s="356">
        <f t="shared" si="99"/>
        <v>477.22</v>
      </c>
      <c r="Q163" s="356">
        <f t="shared" si="99"/>
        <v>477.22</v>
      </c>
      <c r="R163" s="356">
        <f t="shared" si="99"/>
        <v>477.22</v>
      </c>
      <c r="S163" s="356">
        <f t="shared" si="99"/>
        <v>477.22</v>
      </c>
      <c r="T163" s="356">
        <f t="shared" si="99"/>
        <v>477.22</v>
      </c>
      <c r="U163" s="356">
        <f t="shared" si="99"/>
        <v>477.22</v>
      </c>
      <c r="V163" s="356">
        <f t="shared" si="99"/>
        <v>477.22</v>
      </c>
      <c r="W163" s="356">
        <f t="shared" si="99"/>
        <v>477.22</v>
      </c>
    </row>
    <row r="164" spans="1:23" x14ac:dyDescent="0.3">
      <c r="B164" s="171" t="s">
        <v>194</v>
      </c>
      <c r="C164" s="55"/>
      <c r="D164" s="20">
        <v>241</v>
      </c>
      <c r="E164" s="21">
        <v>269</v>
      </c>
      <c r="F164" s="21">
        <v>272</v>
      </c>
      <c r="G164" s="21">
        <v>265</v>
      </c>
      <c r="H164" s="21">
        <v>259</v>
      </c>
      <c r="I164" s="21">
        <v>264</v>
      </c>
      <c r="J164" s="21">
        <v>269</v>
      </c>
      <c r="K164" s="21">
        <v>266</v>
      </c>
      <c r="L164" s="21">
        <v>269</v>
      </c>
      <c r="M164" s="21">
        <v>261</v>
      </c>
      <c r="N164" s="21">
        <v>244</v>
      </c>
      <c r="O164" s="21">
        <v>244</v>
      </c>
      <c r="P164" s="21">
        <v>244</v>
      </c>
      <c r="Q164" s="21">
        <v>244</v>
      </c>
      <c r="R164" s="21">
        <v>256</v>
      </c>
      <c r="S164" s="21">
        <v>256</v>
      </c>
      <c r="T164" s="21">
        <v>259</v>
      </c>
      <c r="U164" s="21">
        <v>263</v>
      </c>
      <c r="V164" s="21">
        <v>251</v>
      </c>
      <c r="W164" s="21">
        <v>256</v>
      </c>
    </row>
    <row r="165" spans="1:23" s="51" customFormat="1" x14ac:dyDescent="0.3">
      <c r="A165" s="407"/>
      <c r="B165" s="61" t="s">
        <v>195</v>
      </c>
      <c r="C165" s="62"/>
      <c r="D165" s="28">
        <v>244</v>
      </c>
      <c r="E165" s="29">
        <v>272</v>
      </c>
      <c r="F165" s="29">
        <v>275</v>
      </c>
      <c r="G165" s="29">
        <v>268</v>
      </c>
      <c r="H165" s="29">
        <v>262</v>
      </c>
      <c r="I165" s="29">
        <v>267</v>
      </c>
      <c r="J165" s="29">
        <v>272</v>
      </c>
      <c r="K165" s="29">
        <v>269</v>
      </c>
      <c r="L165" s="29">
        <v>272</v>
      </c>
      <c r="M165" s="29">
        <v>264</v>
      </c>
      <c r="N165" s="29">
        <v>247</v>
      </c>
      <c r="O165" s="29">
        <v>247</v>
      </c>
      <c r="P165" s="29">
        <v>247</v>
      </c>
      <c r="Q165" s="29">
        <v>247</v>
      </c>
      <c r="R165" s="29">
        <v>259</v>
      </c>
      <c r="S165" s="29">
        <v>259</v>
      </c>
      <c r="T165" s="29">
        <v>262</v>
      </c>
      <c r="U165" s="29">
        <v>266</v>
      </c>
      <c r="V165" s="29">
        <v>254</v>
      </c>
      <c r="W165" s="29">
        <v>259</v>
      </c>
    </row>
    <row r="166" spans="1:23" s="51" customFormat="1" x14ac:dyDescent="0.3">
      <c r="A166" s="407"/>
      <c r="B166" s="61" t="s">
        <v>196</v>
      </c>
      <c r="C166" s="62"/>
      <c r="D166" s="28">
        <v>249</v>
      </c>
      <c r="E166" s="29">
        <v>277</v>
      </c>
      <c r="F166" s="29">
        <v>280</v>
      </c>
      <c r="G166" s="29">
        <v>273</v>
      </c>
      <c r="H166" s="29">
        <v>267</v>
      </c>
      <c r="I166" s="29">
        <v>272</v>
      </c>
      <c r="J166" s="29">
        <v>277</v>
      </c>
      <c r="K166" s="29">
        <v>274</v>
      </c>
      <c r="L166" s="29">
        <v>277</v>
      </c>
      <c r="M166" s="29">
        <v>269</v>
      </c>
      <c r="N166" s="29">
        <v>252</v>
      </c>
      <c r="O166" s="29">
        <v>252</v>
      </c>
      <c r="P166" s="29">
        <v>252</v>
      </c>
      <c r="Q166" s="29">
        <v>252</v>
      </c>
      <c r="R166" s="29">
        <v>264</v>
      </c>
      <c r="S166" s="29">
        <v>264</v>
      </c>
      <c r="T166" s="29">
        <v>267</v>
      </c>
      <c r="U166" s="29">
        <v>271</v>
      </c>
      <c r="V166" s="29">
        <v>259</v>
      </c>
      <c r="W166" s="29">
        <v>264</v>
      </c>
    </row>
    <row r="167" spans="1:23" s="51" customFormat="1" x14ac:dyDescent="0.3">
      <c r="A167" s="407"/>
      <c r="B167" s="61" t="s">
        <v>197</v>
      </c>
      <c r="C167" s="62"/>
      <c r="D167" s="28">
        <v>254</v>
      </c>
      <c r="E167" s="29">
        <v>282</v>
      </c>
      <c r="F167" s="29">
        <v>285</v>
      </c>
      <c r="G167" s="29">
        <v>278</v>
      </c>
      <c r="H167" s="29">
        <v>272</v>
      </c>
      <c r="I167" s="29">
        <v>277</v>
      </c>
      <c r="J167" s="29">
        <v>282</v>
      </c>
      <c r="K167" s="29">
        <v>279</v>
      </c>
      <c r="L167" s="29">
        <v>282</v>
      </c>
      <c r="M167" s="29">
        <v>274</v>
      </c>
      <c r="N167" s="29">
        <v>257</v>
      </c>
      <c r="O167" s="29">
        <v>257</v>
      </c>
      <c r="P167" s="29">
        <v>257</v>
      </c>
      <c r="Q167" s="29">
        <v>257</v>
      </c>
      <c r="R167" s="29">
        <v>269</v>
      </c>
      <c r="S167" s="29">
        <v>269</v>
      </c>
      <c r="T167" s="29">
        <v>272</v>
      </c>
      <c r="U167" s="29">
        <v>276</v>
      </c>
      <c r="V167" s="29">
        <v>264</v>
      </c>
      <c r="W167" s="29">
        <v>269</v>
      </c>
    </row>
    <row r="168" spans="1:23" s="30" customFormat="1" x14ac:dyDescent="0.3">
      <c r="A168" s="404"/>
      <c r="B168" s="63" t="s">
        <v>198</v>
      </c>
      <c r="C168" s="62"/>
      <c r="D168" s="31">
        <f t="shared" ref="D168:E171" si="100">+D164-D$163</f>
        <v>-236.22000000000003</v>
      </c>
      <c r="E168" s="32">
        <f t="shared" si="100"/>
        <v>-208.22000000000003</v>
      </c>
      <c r="F168" s="32">
        <f t="shared" ref="F168:W168" si="101">+F164-F$163</f>
        <v>-205.22000000000003</v>
      </c>
      <c r="G168" s="32">
        <f t="shared" si="101"/>
        <v>-212.22000000000003</v>
      </c>
      <c r="H168" s="32">
        <f t="shared" si="101"/>
        <v>-218.22000000000003</v>
      </c>
      <c r="I168" s="32">
        <f t="shared" si="101"/>
        <v>-213.22000000000003</v>
      </c>
      <c r="J168" s="32">
        <f t="shared" si="101"/>
        <v>-208.22000000000003</v>
      </c>
      <c r="K168" s="32">
        <f t="shared" si="101"/>
        <v>-211.22000000000003</v>
      </c>
      <c r="L168" s="32">
        <f t="shared" si="101"/>
        <v>-208.22000000000003</v>
      </c>
      <c r="M168" s="32">
        <f t="shared" si="101"/>
        <v>-216.22000000000003</v>
      </c>
      <c r="N168" s="32">
        <f t="shared" si="101"/>
        <v>-233.22000000000003</v>
      </c>
      <c r="O168" s="32">
        <f t="shared" si="101"/>
        <v>-233.22000000000003</v>
      </c>
      <c r="P168" s="32">
        <f t="shared" si="101"/>
        <v>-233.22000000000003</v>
      </c>
      <c r="Q168" s="32">
        <f t="shared" si="101"/>
        <v>-233.22000000000003</v>
      </c>
      <c r="R168" s="32">
        <f t="shared" si="101"/>
        <v>-221.22000000000003</v>
      </c>
      <c r="S168" s="32">
        <f t="shared" si="101"/>
        <v>-221.22000000000003</v>
      </c>
      <c r="T168" s="32">
        <f t="shared" si="101"/>
        <v>-218.22000000000003</v>
      </c>
      <c r="U168" s="32">
        <f t="shared" si="101"/>
        <v>-214.22000000000003</v>
      </c>
      <c r="V168" s="32">
        <f t="shared" si="101"/>
        <v>-226.22000000000003</v>
      </c>
      <c r="W168" s="32">
        <f t="shared" si="101"/>
        <v>-221.22000000000003</v>
      </c>
    </row>
    <row r="169" spans="1:23" s="33" customFormat="1" x14ac:dyDescent="0.3">
      <c r="A169" s="405"/>
      <c r="B169" s="63" t="s">
        <v>199</v>
      </c>
      <c r="C169" s="64"/>
      <c r="D169" s="31">
        <f t="shared" si="100"/>
        <v>-233.22000000000003</v>
      </c>
      <c r="E169" s="32">
        <f t="shared" si="100"/>
        <v>-205.22000000000003</v>
      </c>
      <c r="F169" s="32">
        <f t="shared" ref="F169:W169" si="102">+F165-F$163</f>
        <v>-202.22000000000003</v>
      </c>
      <c r="G169" s="32">
        <f t="shared" si="102"/>
        <v>-209.22000000000003</v>
      </c>
      <c r="H169" s="32">
        <f t="shared" si="102"/>
        <v>-215.22000000000003</v>
      </c>
      <c r="I169" s="32">
        <f t="shared" si="102"/>
        <v>-210.22000000000003</v>
      </c>
      <c r="J169" s="32">
        <f t="shared" si="102"/>
        <v>-205.22000000000003</v>
      </c>
      <c r="K169" s="32">
        <f t="shared" si="102"/>
        <v>-208.22000000000003</v>
      </c>
      <c r="L169" s="32">
        <f t="shared" si="102"/>
        <v>-205.22000000000003</v>
      </c>
      <c r="M169" s="32">
        <f t="shared" si="102"/>
        <v>-213.22000000000003</v>
      </c>
      <c r="N169" s="32">
        <f t="shared" si="102"/>
        <v>-230.22000000000003</v>
      </c>
      <c r="O169" s="32">
        <f t="shared" si="102"/>
        <v>-230.22000000000003</v>
      </c>
      <c r="P169" s="32">
        <f t="shared" si="102"/>
        <v>-230.22000000000003</v>
      </c>
      <c r="Q169" s="32">
        <f t="shared" si="102"/>
        <v>-230.22000000000003</v>
      </c>
      <c r="R169" s="32">
        <f t="shared" si="102"/>
        <v>-218.22000000000003</v>
      </c>
      <c r="S169" s="32">
        <f t="shared" si="102"/>
        <v>-218.22000000000003</v>
      </c>
      <c r="T169" s="32">
        <f t="shared" si="102"/>
        <v>-215.22000000000003</v>
      </c>
      <c r="U169" s="32">
        <f t="shared" si="102"/>
        <v>-211.22000000000003</v>
      </c>
      <c r="V169" s="32">
        <f t="shared" si="102"/>
        <v>-223.22000000000003</v>
      </c>
      <c r="W169" s="32">
        <f t="shared" si="102"/>
        <v>-218.22000000000003</v>
      </c>
    </row>
    <row r="170" spans="1:23" s="33" customFormat="1" x14ac:dyDescent="0.3">
      <c r="A170" s="405"/>
      <c r="B170" s="63" t="s">
        <v>200</v>
      </c>
      <c r="C170" s="64"/>
      <c r="D170" s="31">
        <f t="shared" si="100"/>
        <v>-228.22000000000003</v>
      </c>
      <c r="E170" s="32">
        <f t="shared" si="100"/>
        <v>-200.22000000000003</v>
      </c>
      <c r="F170" s="32">
        <f t="shared" ref="F170:W170" si="103">+F166-F$163</f>
        <v>-197.22000000000003</v>
      </c>
      <c r="G170" s="32">
        <f t="shared" si="103"/>
        <v>-204.22000000000003</v>
      </c>
      <c r="H170" s="32">
        <f t="shared" si="103"/>
        <v>-210.22000000000003</v>
      </c>
      <c r="I170" s="32">
        <f t="shared" si="103"/>
        <v>-205.22000000000003</v>
      </c>
      <c r="J170" s="32">
        <f t="shared" si="103"/>
        <v>-200.22000000000003</v>
      </c>
      <c r="K170" s="32">
        <f t="shared" si="103"/>
        <v>-203.22000000000003</v>
      </c>
      <c r="L170" s="32">
        <f t="shared" si="103"/>
        <v>-200.22000000000003</v>
      </c>
      <c r="M170" s="32">
        <f t="shared" si="103"/>
        <v>-208.22000000000003</v>
      </c>
      <c r="N170" s="32">
        <f t="shared" si="103"/>
        <v>-225.22000000000003</v>
      </c>
      <c r="O170" s="32">
        <f t="shared" si="103"/>
        <v>-225.22000000000003</v>
      </c>
      <c r="P170" s="32">
        <f t="shared" si="103"/>
        <v>-225.22000000000003</v>
      </c>
      <c r="Q170" s="32">
        <f t="shared" si="103"/>
        <v>-225.22000000000003</v>
      </c>
      <c r="R170" s="32">
        <f t="shared" si="103"/>
        <v>-213.22000000000003</v>
      </c>
      <c r="S170" s="32">
        <f t="shared" si="103"/>
        <v>-213.22000000000003</v>
      </c>
      <c r="T170" s="32">
        <f t="shared" si="103"/>
        <v>-210.22000000000003</v>
      </c>
      <c r="U170" s="32">
        <f t="shared" si="103"/>
        <v>-206.22000000000003</v>
      </c>
      <c r="V170" s="32">
        <f t="shared" si="103"/>
        <v>-218.22000000000003</v>
      </c>
      <c r="W170" s="32">
        <f t="shared" si="103"/>
        <v>-213.22000000000003</v>
      </c>
    </row>
    <row r="171" spans="1:23" s="33" customFormat="1" x14ac:dyDescent="0.3">
      <c r="A171" s="405"/>
      <c r="B171" s="63" t="s">
        <v>201</v>
      </c>
      <c r="C171" s="64"/>
      <c r="D171" s="31">
        <f t="shared" si="100"/>
        <v>-223.22000000000003</v>
      </c>
      <c r="E171" s="32">
        <f t="shared" si="100"/>
        <v>-195.22000000000003</v>
      </c>
      <c r="F171" s="32">
        <f t="shared" ref="F171:W171" si="104">+F167-F$163</f>
        <v>-192.22000000000003</v>
      </c>
      <c r="G171" s="32">
        <f t="shared" si="104"/>
        <v>-199.22000000000003</v>
      </c>
      <c r="H171" s="32">
        <f t="shared" si="104"/>
        <v>-205.22000000000003</v>
      </c>
      <c r="I171" s="32">
        <f t="shared" si="104"/>
        <v>-200.22000000000003</v>
      </c>
      <c r="J171" s="32">
        <f t="shared" si="104"/>
        <v>-195.22000000000003</v>
      </c>
      <c r="K171" s="32">
        <f t="shared" si="104"/>
        <v>-198.22000000000003</v>
      </c>
      <c r="L171" s="32">
        <f t="shared" si="104"/>
        <v>-195.22000000000003</v>
      </c>
      <c r="M171" s="32">
        <f t="shared" si="104"/>
        <v>-203.22000000000003</v>
      </c>
      <c r="N171" s="32">
        <f t="shared" si="104"/>
        <v>-220.22000000000003</v>
      </c>
      <c r="O171" s="32">
        <f t="shared" si="104"/>
        <v>-220.22000000000003</v>
      </c>
      <c r="P171" s="32">
        <f t="shared" si="104"/>
        <v>-220.22000000000003</v>
      </c>
      <c r="Q171" s="32">
        <f t="shared" si="104"/>
        <v>-220.22000000000003</v>
      </c>
      <c r="R171" s="32">
        <f t="shared" si="104"/>
        <v>-208.22000000000003</v>
      </c>
      <c r="S171" s="32">
        <f t="shared" si="104"/>
        <v>-208.22000000000003</v>
      </c>
      <c r="T171" s="32">
        <f t="shared" si="104"/>
        <v>-205.22000000000003</v>
      </c>
      <c r="U171" s="32">
        <f t="shared" si="104"/>
        <v>-201.22000000000003</v>
      </c>
      <c r="V171" s="32">
        <f t="shared" si="104"/>
        <v>-213.22000000000003</v>
      </c>
      <c r="W171" s="32">
        <f t="shared" si="104"/>
        <v>-208.22000000000003</v>
      </c>
    </row>
    <row r="172" spans="1:23" x14ac:dyDescent="0.3">
      <c r="B172" s="97" t="s">
        <v>202</v>
      </c>
      <c r="C172" s="98"/>
      <c r="D172" s="100">
        <f t="shared" ref="D172:E175" si="105">+D168/D164</f>
        <v>-0.9801659751037346</v>
      </c>
      <c r="E172" s="100">
        <f t="shared" si="105"/>
        <v>-0.77405204460966548</v>
      </c>
      <c r="F172" s="100">
        <f t="shared" ref="F172:W172" si="106">+F168/F164</f>
        <v>-0.7544852941176472</v>
      </c>
      <c r="G172" s="100">
        <f t="shared" si="106"/>
        <v>-0.80083018867924538</v>
      </c>
      <c r="H172" s="100">
        <f t="shared" si="106"/>
        <v>-0.84254826254826265</v>
      </c>
      <c r="I172" s="100">
        <f t="shared" si="106"/>
        <v>-0.80765151515151523</v>
      </c>
      <c r="J172" s="100">
        <f t="shared" si="106"/>
        <v>-0.77405204460966548</v>
      </c>
      <c r="K172" s="100">
        <f t="shared" si="106"/>
        <v>-0.79406015037593991</v>
      </c>
      <c r="L172" s="100">
        <f t="shared" si="106"/>
        <v>-0.77405204460966548</v>
      </c>
      <c r="M172" s="100">
        <f t="shared" si="106"/>
        <v>-0.82842911877394643</v>
      </c>
      <c r="N172" s="100">
        <f t="shared" si="106"/>
        <v>-0.9558196721311476</v>
      </c>
      <c r="O172" s="100">
        <f t="shared" si="106"/>
        <v>-0.9558196721311476</v>
      </c>
      <c r="P172" s="100">
        <f t="shared" si="106"/>
        <v>-0.9558196721311476</v>
      </c>
      <c r="Q172" s="100">
        <f t="shared" si="106"/>
        <v>-0.9558196721311476</v>
      </c>
      <c r="R172" s="100">
        <f t="shared" si="106"/>
        <v>-0.86414062500000011</v>
      </c>
      <c r="S172" s="100">
        <f t="shared" si="106"/>
        <v>-0.86414062500000011</v>
      </c>
      <c r="T172" s="100">
        <f t="shared" si="106"/>
        <v>-0.84254826254826265</v>
      </c>
      <c r="U172" s="100">
        <f t="shared" si="106"/>
        <v>-0.81452471482889743</v>
      </c>
      <c r="V172" s="100">
        <f t="shared" si="106"/>
        <v>-0.90127490039840652</v>
      </c>
      <c r="W172" s="100">
        <f t="shared" si="106"/>
        <v>-0.86414062500000011</v>
      </c>
    </row>
    <row r="173" spans="1:23" s="36" customFormat="1" x14ac:dyDescent="0.3">
      <c r="A173" s="406"/>
      <c r="B173" s="97" t="s">
        <v>203</v>
      </c>
      <c r="C173" s="98"/>
      <c r="D173" s="100">
        <f t="shared" si="105"/>
        <v>-0.9558196721311476</v>
      </c>
      <c r="E173" s="100">
        <f t="shared" si="105"/>
        <v>-0.7544852941176472</v>
      </c>
      <c r="F173" s="100">
        <f t="shared" ref="F173:W173" si="107">+F169/F165</f>
        <v>-0.73534545454545464</v>
      </c>
      <c r="G173" s="100">
        <f t="shared" si="107"/>
        <v>-0.78067164179104487</v>
      </c>
      <c r="H173" s="100">
        <f t="shared" si="107"/>
        <v>-0.82145038167938944</v>
      </c>
      <c r="I173" s="100">
        <f t="shared" si="107"/>
        <v>-0.78734082397003757</v>
      </c>
      <c r="J173" s="100">
        <f t="shared" si="107"/>
        <v>-0.7544852941176472</v>
      </c>
      <c r="K173" s="100">
        <f t="shared" si="107"/>
        <v>-0.77405204460966548</v>
      </c>
      <c r="L173" s="100">
        <f t="shared" si="107"/>
        <v>-0.7544852941176472</v>
      </c>
      <c r="M173" s="100">
        <f t="shared" si="107"/>
        <v>-0.80765151515151523</v>
      </c>
      <c r="N173" s="100">
        <f t="shared" si="107"/>
        <v>-0.93206477732793536</v>
      </c>
      <c r="O173" s="100">
        <f t="shared" si="107"/>
        <v>-0.93206477732793536</v>
      </c>
      <c r="P173" s="100">
        <f t="shared" si="107"/>
        <v>-0.93206477732793536</v>
      </c>
      <c r="Q173" s="100">
        <f t="shared" si="107"/>
        <v>-0.93206477732793536</v>
      </c>
      <c r="R173" s="100">
        <f t="shared" si="107"/>
        <v>-0.84254826254826265</v>
      </c>
      <c r="S173" s="100">
        <f t="shared" si="107"/>
        <v>-0.84254826254826265</v>
      </c>
      <c r="T173" s="100">
        <f t="shared" si="107"/>
        <v>-0.82145038167938944</v>
      </c>
      <c r="U173" s="100">
        <f t="shared" si="107"/>
        <v>-0.79406015037593991</v>
      </c>
      <c r="V173" s="100">
        <f t="shared" si="107"/>
        <v>-0.87881889763779542</v>
      </c>
      <c r="W173" s="100">
        <f t="shared" si="107"/>
        <v>-0.84254826254826265</v>
      </c>
    </row>
    <row r="174" spans="1:23" s="36" customFormat="1" x14ac:dyDescent="0.3">
      <c r="A174" s="406"/>
      <c r="B174" s="97" t="s">
        <v>204</v>
      </c>
      <c r="C174" s="98"/>
      <c r="D174" s="100">
        <f t="shared" si="105"/>
        <v>-0.91654618473895588</v>
      </c>
      <c r="E174" s="100">
        <f t="shared" si="105"/>
        <v>-0.72281588447653444</v>
      </c>
      <c r="F174" s="100">
        <f t="shared" ref="F174:W174" si="108">+F170/F166</f>
        <v>-0.7043571428571429</v>
      </c>
      <c r="G174" s="100">
        <f t="shared" si="108"/>
        <v>-0.74805860805860813</v>
      </c>
      <c r="H174" s="100">
        <f t="shared" si="108"/>
        <v>-0.78734082397003757</v>
      </c>
      <c r="I174" s="100">
        <f t="shared" si="108"/>
        <v>-0.7544852941176472</v>
      </c>
      <c r="J174" s="100">
        <f t="shared" si="108"/>
        <v>-0.72281588447653444</v>
      </c>
      <c r="K174" s="100">
        <f t="shared" si="108"/>
        <v>-0.74167883211678842</v>
      </c>
      <c r="L174" s="100">
        <f t="shared" si="108"/>
        <v>-0.72281588447653444</v>
      </c>
      <c r="M174" s="100">
        <f t="shared" si="108"/>
        <v>-0.77405204460966548</v>
      </c>
      <c r="N174" s="100">
        <f t="shared" si="108"/>
        <v>-0.89373015873015882</v>
      </c>
      <c r="O174" s="100">
        <f t="shared" si="108"/>
        <v>-0.89373015873015882</v>
      </c>
      <c r="P174" s="100">
        <f t="shared" si="108"/>
        <v>-0.89373015873015882</v>
      </c>
      <c r="Q174" s="100">
        <f t="shared" si="108"/>
        <v>-0.89373015873015882</v>
      </c>
      <c r="R174" s="100">
        <f t="shared" si="108"/>
        <v>-0.80765151515151523</v>
      </c>
      <c r="S174" s="100">
        <f t="shared" si="108"/>
        <v>-0.80765151515151523</v>
      </c>
      <c r="T174" s="100">
        <f t="shared" si="108"/>
        <v>-0.78734082397003757</v>
      </c>
      <c r="U174" s="100">
        <f t="shared" si="108"/>
        <v>-0.76095940959409603</v>
      </c>
      <c r="V174" s="100">
        <f t="shared" si="108"/>
        <v>-0.84254826254826265</v>
      </c>
      <c r="W174" s="100">
        <f t="shared" si="108"/>
        <v>-0.80765151515151523</v>
      </c>
    </row>
    <row r="175" spans="1:23" s="36" customFormat="1" x14ac:dyDescent="0.3">
      <c r="A175" s="406"/>
      <c r="B175" s="97" t="s">
        <v>205</v>
      </c>
      <c r="C175" s="98"/>
      <c r="D175" s="100">
        <f t="shared" si="105"/>
        <v>-0.87881889763779542</v>
      </c>
      <c r="E175" s="100">
        <f t="shared" si="105"/>
        <v>-0.6922695035460994</v>
      </c>
      <c r="F175" s="100">
        <f t="shared" ref="F175:W175" si="109">+F171/F167</f>
        <v>-0.67445614035087731</v>
      </c>
      <c r="G175" s="100">
        <f t="shared" si="109"/>
        <v>-0.71661870503597136</v>
      </c>
      <c r="H175" s="100">
        <f t="shared" si="109"/>
        <v>-0.7544852941176472</v>
      </c>
      <c r="I175" s="100">
        <f t="shared" si="109"/>
        <v>-0.72281588447653444</v>
      </c>
      <c r="J175" s="100">
        <f t="shared" si="109"/>
        <v>-0.6922695035460994</v>
      </c>
      <c r="K175" s="100">
        <f t="shared" si="109"/>
        <v>-0.71046594982078859</v>
      </c>
      <c r="L175" s="100">
        <f t="shared" si="109"/>
        <v>-0.6922695035460994</v>
      </c>
      <c r="M175" s="100">
        <f t="shared" si="109"/>
        <v>-0.74167883211678842</v>
      </c>
      <c r="N175" s="100">
        <f t="shared" si="109"/>
        <v>-0.85688715953307404</v>
      </c>
      <c r="O175" s="100">
        <f t="shared" si="109"/>
        <v>-0.85688715953307404</v>
      </c>
      <c r="P175" s="100">
        <f t="shared" si="109"/>
        <v>-0.85688715953307404</v>
      </c>
      <c r="Q175" s="100">
        <f t="shared" si="109"/>
        <v>-0.85688715953307404</v>
      </c>
      <c r="R175" s="100">
        <f t="shared" si="109"/>
        <v>-0.77405204460966548</v>
      </c>
      <c r="S175" s="100">
        <f t="shared" si="109"/>
        <v>-0.77405204460966548</v>
      </c>
      <c r="T175" s="100">
        <f t="shared" si="109"/>
        <v>-0.7544852941176472</v>
      </c>
      <c r="U175" s="100">
        <f t="shared" si="109"/>
        <v>-0.72905797101449288</v>
      </c>
      <c r="V175" s="100">
        <f t="shared" si="109"/>
        <v>-0.80765151515151523</v>
      </c>
      <c r="W175" s="100">
        <f t="shared" si="109"/>
        <v>-0.77405204460966548</v>
      </c>
    </row>
    <row r="176" spans="1:23" s="36" customFormat="1" ht="21" thickBot="1" x14ac:dyDescent="0.35">
      <c r="A176" s="406"/>
      <c r="B176" s="207"/>
      <c r="C176" s="208"/>
      <c r="D176" s="209"/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  <c r="S176" s="209"/>
      <c r="T176" s="209"/>
      <c r="U176" s="209"/>
      <c r="V176" s="209"/>
      <c r="W176" s="209"/>
    </row>
    <row r="177" spans="1:23" s="19" customFormat="1" ht="24" thickBot="1" x14ac:dyDescent="0.4">
      <c r="A177" s="19" t="s">
        <v>257</v>
      </c>
      <c r="B177" s="345" t="s">
        <v>115</v>
      </c>
      <c r="C177" s="68"/>
      <c r="D177" s="17" t="s">
        <v>5</v>
      </c>
      <c r="E177" s="18" t="s">
        <v>6</v>
      </c>
      <c r="F177" s="18" t="s">
        <v>7</v>
      </c>
      <c r="G177" s="18" t="s">
        <v>8</v>
      </c>
      <c r="H177" s="18" t="s">
        <v>9</v>
      </c>
      <c r="I177" s="18" t="s">
        <v>10</v>
      </c>
      <c r="J177" s="18" t="s">
        <v>11</v>
      </c>
      <c r="K177" s="18" t="s">
        <v>12</v>
      </c>
      <c r="L177" s="18" t="s">
        <v>13</v>
      </c>
      <c r="M177" s="18" t="s">
        <v>14</v>
      </c>
      <c r="N177" s="18" t="s">
        <v>15</v>
      </c>
      <c r="O177" s="18" t="s">
        <v>16</v>
      </c>
      <c r="P177" s="18" t="s">
        <v>17</v>
      </c>
      <c r="Q177" s="18" t="s">
        <v>18</v>
      </c>
      <c r="R177" s="18" t="s">
        <v>19</v>
      </c>
      <c r="S177" s="18" t="s">
        <v>20</v>
      </c>
      <c r="T177" s="18" t="s">
        <v>21</v>
      </c>
      <c r="U177" s="18" t="s">
        <v>22</v>
      </c>
      <c r="V177" s="18" t="s">
        <v>23</v>
      </c>
      <c r="W177" s="18" t="s">
        <v>166</v>
      </c>
    </row>
    <row r="178" spans="1:23" x14ac:dyDescent="0.3">
      <c r="B178" s="54" t="s">
        <v>50</v>
      </c>
      <c r="C178" s="55"/>
      <c r="D178" s="20">
        <v>500</v>
      </c>
      <c r="E178" s="21">
        <f>D178</f>
        <v>500</v>
      </c>
      <c r="F178" s="21">
        <f>E178</f>
        <v>500</v>
      </c>
      <c r="G178" s="21">
        <f>F178</f>
        <v>500</v>
      </c>
      <c r="H178" s="21">
        <f>G178</f>
        <v>500</v>
      </c>
      <c r="I178" s="21">
        <f>G178</f>
        <v>500</v>
      </c>
      <c r="J178" s="21">
        <f t="shared" ref="J178:W178" si="110">I178</f>
        <v>500</v>
      </c>
      <c r="K178" s="21">
        <f t="shared" si="110"/>
        <v>500</v>
      </c>
      <c r="L178" s="21">
        <f t="shared" si="110"/>
        <v>500</v>
      </c>
      <c r="M178" s="21">
        <f t="shared" si="110"/>
        <v>500</v>
      </c>
      <c r="N178" s="21">
        <f t="shared" si="110"/>
        <v>500</v>
      </c>
      <c r="O178" s="21">
        <f t="shared" si="110"/>
        <v>500</v>
      </c>
      <c r="P178" s="21">
        <f t="shared" si="110"/>
        <v>500</v>
      </c>
      <c r="Q178" s="21">
        <f t="shared" si="110"/>
        <v>500</v>
      </c>
      <c r="R178" s="21">
        <f t="shared" si="110"/>
        <v>500</v>
      </c>
      <c r="S178" s="21">
        <f t="shared" si="110"/>
        <v>500</v>
      </c>
      <c r="T178" s="21">
        <f t="shared" si="110"/>
        <v>500</v>
      </c>
      <c r="U178" s="21">
        <f t="shared" si="110"/>
        <v>500</v>
      </c>
      <c r="V178" s="21">
        <f t="shared" si="110"/>
        <v>500</v>
      </c>
      <c r="W178" s="21">
        <f t="shared" si="110"/>
        <v>500</v>
      </c>
    </row>
    <row r="179" spans="1:23" ht="23" x14ac:dyDescent="0.35">
      <c r="B179" s="340" t="s">
        <v>51</v>
      </c>
      <c r="C179" s="341"/>
      <c r="D179" s="342"/>
      <c r="E179" s="342"/>
      <c r="F179" s="342"/>
      <c r="G179" s="342"/>
      <c r="H179" s="342"/>
      <c r="I179" s="342"/>
      <c r="J179" s="342"/>
      <c r="K179" s="342"/>
      <c r="L179" s="342"/>
      <c r="M179" s="342"/>
      <c r="N179" s="342"/>
      <c r="O179" s="342"/>
      <c r="P179" s="342"/>
      <c r="Q179" s="342"/>
      <c r="R179" s="342"/>
      <c r="S179" s="342"/>
      <c r="T179" s="342"/>
      <c r="U179" s="342"/>
      <c r="V179" s="342"/>
      <c r="W179" s="342"/>
    </row>
    <row r="180" spans="1:23" x14ac:dyDescent="0.3">
      <c r="B180" s="54"/>
      <c r="C180" s="55"/>
      <c r="D180" s="20">
        <f t="shared" ref="D180:V180" si="111">D178*(1-D179)</f>
        <v>500</v>
      </c>
      <c r="E180" s="20">
        <f t="shared" si="111"/>
        <v>500</v>
      </c>
      <c r="F180" s="20">
        <f t="shared" si="111"/>
        <v>500</v>
      </c>
      <c r="G180" s="20">
        <f t="shared" si="111"/>
        <v>500</v>
      </c>
      <c r="H180" s="20">
        <f t="shared" si="111"/>
        <v>500</v>
      </c>
      <c r="I180" s="20">
        <f t="shared" si="111"/>
        <v>500</v>
      </c>
      <c r="J180" s="20">
        <f t="shared" si="111"/>
        <v>500</v>
      </c>
      <c r="K180" s="20">
        <f t="shared" si="111"/>
        <v>500</v>
      </c>
      <c r="L180" s="20">
        <f t="shared" si="111"/>
        <v>500</v>
      </c>
      <c r="M180" s="20">
        <f t="shared" si="111"/>
        <v>500</v>
      </c>
      <c r="N180" s="20">
        <f t="shared" si="111"/>
        <v>500</v>
      </c>
      <c r="O180" s="20">
        <f t="shared" si="111"/>
        <v>500</v>
      </c>
      <c r="P180" s="20">
        <f t="shared" si="111"/>
        <v>500</v>
      </c>
      <c r="Q180" s="20">
        <f t="shared" si="111"/>
        <v>500</v>
      </c>
      <c r="R180" s="20">
        <f t="shared" si="111"/>
        <v>500</v>
      </c>
      <c r="S180" s="20">
        <f t="shared" si="111"/>
        <v>500</v>
      </c>
      <c r="T180" s="20">
        <f t="shared" si="111"/>
        <v>500</v>
      </c>
      <c r="U180" s="20">
        <f t="shared" si="111"/>
        <v>500</v>
      </c>
      <c r="V180" s="20">
        <f t="shared" si="111"/>
        <v>500</v>
      </c>
      <c r="W180" s="20">
        <f>W178*(1-W179)</f>
        <v>500</v>
      </c>
    </row>
    <row r="181" spans="1:23" x14ac:dyDescent="0.3">
      <c r="B181" s="54" t="s">
        <v>51</v>
      </c>
      <c r="C181" s="56">
        <v>0</v>
      </c>
      <c r="D181" s="20">
        <f>D180*$C181</f>
        <v>0</v>
      </c>
      <c r="E181" s="20">
        <f t="shared" ref="E181:V181" si="112">E180*$C181</f>
        <v>0</v>
      </c>
      <c r="F181" s="20">
        <f t="shared" si="112"/>
        <v>0</v>
      </c>
      <c r="G181" s="20">
        <f t="shared" si="112"/>
        <v>0</v>
      </c>
      <c r="H181" s="20">
        <f t="shared" si="112"/>
        <v>0</v>
      </c>
      <c r="I181" s="20">
        <f t="shared" si="112"/>
        <v>0</v>
      </c>
      <c r="J181" s="20">
        <f t="shared" si="112"/>
        <v>0</v>
      </c>
      <c r="K181" s="20">
        <f t="shared" si="112"/>
        <v>0</v>
      </c>
      <c r="L181" s="20">
        <f t="shared" si="112"/>
        <v>0</v>
      </c>
      <c r="M181" s="20">
        <f t="shared" si="112"/>
        <v>0</v>
      </c>
      <c r="N181" s="20">
        <f t="shared" si="112"/>
        <v>0</v>
      </c>
      <c r="O181" s="20">
        <f t="shared" si="112"/>
        <v>0</v>
      </c>
      <c r="P181" s="20">
        <f t="shared" si="112"/>
        <v>0</v>
      </c>
      <c r="Q181" s="20">
        <f t="shared" si="112"/>
        <v>0</v>
      </c>
      <c r="R181" s="20">
        <f t="shared" si="112"/>
        <v>0</v>
      </c>
      <c r="S181" s="20">
        <f t="shared" si="112"/>
        <v>0</v>
      </c>
      <c r="T181" s="20">
        <f t="shared" si="112"/>
        <v>0</v>
      </c>
      <c r="U181" s="20">
        <f t="shared" si="112"/>
        <v>0</v>
      </c>
      <c r="V181" s="20">
        <f t="shared" si="112"/>
        <v>0</v>
      </c>
      <c r="W181" s="20">
        <f>W180*$C181</f>
        <v>0</v>
      </c>
    </row>
    <row r="182" spans="1:23" x14ac:dyDescent="0.3">
      <c r="B182" s="54" t="s">
        <v>67</v>
      </c>
      <c r="C182" s="55"/>
      <c r="D182" s="20">
        <f>D180-D181</f>
        <v>500</v>
      </c>
      <c r="E182" s="20">
        <f t="shared" ref="E182:V182" si="113">E180-E181</f>
        <v>500</v>
      </c>
      <c r="F182" s="20">
        <f t="shared" si="113"/>
        <v>500</v>
      </c>
      <c r="G182" s="20">
        <f t="shared" si="113"/>
        <v>500</v>
      </c>
      <c r="H182" s="20">
        <f t="shared" si="113"/>
        <v>500</v>
      </c>
      <c r="I182" s="20">
        <f t="shared" si="113"/>
        <v>500</v>
      </c>
      <c r="J182" s="20">
        <f t="shared" si="113"/>
        <v>500</v>
      </c>
      <c r="K182" s="20">
        <f t="shared" si="113"/>
        <v>500</v>
      </c>
      <c r="L182" s="20">
        <f t="shared" si="113"/>
        <v>500</v>
      </c>
      <c r="M182" s="20">
        <f t="shared" si="113"/>
        <v>500</v>
      </c>
      <c r="N182" s="20">
        <f t="shared" si="113"/>
        <v>500</v>
      </c>
      <c r="O182" s="20">
        <f t="shared" si="113"/>
        <v>500</v>
      </c>
      <c r="P182" s="20">
        <f t="shared" si="113"/>
        <v>500</v>
      </c>
      <c r="Q182" s="20">
        <f t="shared" si="113"/>
        <v>500</v>
      </c>
      <c r="R182" s="20">
        <f t="shared" si="113"/>
        <v>500</v>
      </c>
      <c r="S182" s="20">
        <f t="shared" si="113"/>
        <v>500</v>
      </c>
      <c r="T182" s="20">
        <f t="shared" si="113"/>
        <v>500</v>
      </c>
      <c r="U182" s="20">
        <f t="shared" si="113"/>
        <v>500</v>
      </c>
      <c r="V182" s="20">
        <f t="shared" si="113"/>
        <v>500</v>
      </c>
      <c r="W182" s="20">
        <f>W180-W181</f>
        <v>500</v>
      </c>
    </row>
    <row r="183" spans="1:23" x14ac:dyDescent="0.3">
      <c r="B183" s="54" t="s">
        <v>66</v>
      </c>
      <c r="C183" s="56">
        <v>7.0000000000000007E-2</v>
      </c>
      <c r="D183" s="20">
        <f>D182*$C183</f>
        <v>35</v>
      </c>
      <c r="E183" s="20">
        <f t="shared" ref="E183:V183" si="114">E182*$C183</f>
        <v>35</v>
      </c>
      <c r="F183" s="20">
        <f t="shared" si="114"/>
        <v>35</v>
      </c>
      <c r="G183" s="20">
        <f t="shared" si="114"/>
        <v>35</v>
      </c>
      <c r="H183" s="20">
        <f t="shared" si="114"/>
        <v>35</v>
      </c>
      <c r="I183" s="20">
        <f t="shared" si="114"/>
        <v>35</v>
      </c>
      <c r="J183" s="20">
        <f t="shared" si="114"/>
        <v>35</v>
      </c>
      <c r="K183" s="20">
        <f t="shared" si="114"/>
        <v>35</v>
      </c>
      <c r="L183" s="20">
        <f t="shared" si="114"/>
        <v>35</v>
      </c>
      <c r="M183" s="20">
        <f t="shared" si="114"/>
        <v>35</v>
      </c>
      <c r="N183" s="20">
        <f t="shared" si="114"/>
        <v>35</v>
      </c>
      <c r="O183" s="20">
        <f t="shared" si="114"/>
        <v>35</v>
      </c>
      <c r="P183" s="20">
        <f t="shared" si="114"/>
        <v>35</v>
      </c>
      <c r="Q183" s="20">
        <f t="shared" si="114"/>
        <v>35</v>
      </c>
      <c r="R183" s="20">
        <f t="shared" si="114"/>
        <v>35</v>
      </c>
      <c r="S183" s="20">
        <f t="shared" si="114"/>
        <v>35</v>
      </c>
      <c r="T183" s="20">
        <f t="shared" si="114"/>
        <v>35</v>
      </c>
      <c r="U183" s="20">
        <f t="shared" si="114"/>
        <v>35</v>
      </c>
      <c r="V183" s="20">
        <f t="shared" si="114"/>
        <v>35</v>
      </c>
      <c r="W183" s="20">
        <f>W182*$C183</f>
        <v>35</v>
      </c>
    </row>
    <row r="184" spans="1:23" x14ac:dyDescent="0.3">
      <c r="B184" s="54" t="s">
        <v>68</v>
      </c>
      <c r="C184" s="55"/>
      <c r="D184" s="20">
        <f>D182+D183</f>
        <v>535</v>
      </c>
      <c r="E184" s="20">
        <f t="shared" ref="E184:V184" si="115">E182+E183</f>
        <v>535</v>
      </c>
      <c r="F184" s="20">
        <f t="shared" si="115"/>
        <v>535</v>
      </c>
      <c r="G184" s="20">
        <f t="shared" si="115"/>
        <v>535</v>
      </c>
      <c r="H184" s="20">
        <f t="shared" si="115"/>
        <v>535</v>
      </c>
      <c r="I184" s="20">
        <f t="shared" si="115"/>
        <v>535</v>
      </c>
      <c r="J184" s="20">
        <f t="shared" si="115"/>
        <v>535</v>
      </c>
      <c r="K184" s="20">
        <f t="shared" si="115"/>
        <v>535</v>
      </c>
      <c r="L184" s="20">
        <f t="shared" si="115"/>
        <v>535</v>
      </c>
      <c r="M184" s="20">
        <f t="shared" si="115"/>
        <v>535</v>
      </c>
      <c r="N184" s="20">
        <f t="shared" si="115"/>
        <v>535</v>
      </c>
      <c r="O184" s="20">
        <f t="shared" si="115"/>
        <v>535</v>
      </c>
      <c r="P184" s="20">
        <f t="shared" si="115"/>
        <v>535</v>
      </c>
      <c r="Q184" s="20">
        <f t="shared" si="115"/>
        <v>535</v>
      </c>
      <c r="R184" s="20">
        <f t="shared" si="115"/>
        <v>535</v>
      </c>
      <c r="S184" s="20">
        <f t="shared" si="115"/>
        <v>535</v>
      </c>
      <c r="T184" s="20">
        <f t="shared" si="115"/>
        <v>535</v>
      </c>
      <c r="U184" s="20">
        <f t="shared" si="115"/>
        <v>535</v>
      </c>
      <c r="V184" s="20">
        <f t="shared" si="115"/>
        <v>535</v>
      </c>
      <c r="W184" s="20">
        <f>W182+W183</f>
        <v>535</v>
      </c>
    </row>
    <row r="185" spans="1:23" ht="23" x14ac:dyDescent="0.35">
      <c r="B185" s="357" t="s">
        <v>52</v>
      </c>
      <c r="C185" s="358"/>
      <c r="D185" s="381"/>
      <c r="E185" s="381"/>
      <c r="F185" s="381"/>
      <c r="G185" s="381"/>
      <c r="H185" s="381"/>
      <c r="I185" s="381"/>
      <c r="J185" s="381"/>
      <c r="K185" s="381"/>
      <c r="L185" s="381"/>
      <c r="M185" s="381"/>
      <c r="N185" s="381"/>
      <c r="O185" s="381"/>
      <c r="P185" s="381"/>
      <c r="Q185" s="381"/>
      <c r="R185" s="381"/>
      <c r="S185" s="381"/>
      <c r="T185" s="381"/>
      <c r="U185" s="381"/>
      <c r="V185" s="381"/>
      <c r="W185" s="381"/>
    </row>
    <row r="186" spans="1:23" x14ac:dyDescent="0.3">
      <c r="B186" s="57" t="s">
        <v>53</v>
      </c>
      <c r="C186" s="58"/>
      <c r="D186" s="25">
        <f>SUM(D184:D185)</f>
        <v>535</v>
      </c>
      <c r="E186" s="26">
        <f t="shared" ref="E186:V186" si="116">SUM(E184:E185)</f>
        <v>535</v>
      </c>
      <c r="F186" s="26">
        <f>SUM(F184:F185)</f>
        <v>535</v>
      </c>
      <c r="G186" s="26">
        <f t="shared" si="116"/>
        <v>535</v>
      </c>
      <c r="H186" s="26">
        <f t="shared" si="116"/>
        <v>535</v>
      </c>
      <c r="I186" s="26">
        <f t="shared" si="116"/>
        <v>535</v>
      </c>
      <c r="J186" s="26">
        <f t="shared" si="116"/>
        <v>535</v>
      </c>
      <c r="K186" s="26">
        <f t="shared" si="116"/>
        <v>535</v>
      </c>
      <c r="L186" s="26">
        <f t="shared" si="116"/>
        <v>535</v>
      </c>
      <c r="M186" s="26">
        <f t="shared" si="116"/>
        <v>535</v>
      </c>
      <c r="N186" s="26">
        <f t="shared" si="116"/>
        <v>535</v>
      </c>
      <c r="O186" s="26">
        <f t="shared" si="116"/>
        <v>535</v>
      </c>
      <c r="P186" s="26">
        <f t="shared" si="116"/>
        <v>535</v>
      </c>
      <c r="Q186" s="26">
        <f t="shared" si="116"/>
        <v>535</v>
      </c>
      <c r="R186" s="26">
        <f t="shared" si="116"/>
        <v>535</v>
      </c>
      <c r="S186" s="26">
        <f t="shared" si="116"/>
        <v>535</v>
      </c>
      <c r="T186" s="26">
        <f t="shared" si="116"/>
        <v>535</v>
      </c>
      <c r="U186" s="26">
        <f t="shared" si="116"/>
        <v>535</v>
      </c>
      <c r="V186" s="26">
        <f t="shared" si="116"/>
        <v>535</v>
      </c>
      <c r="W186" s="26">
        <f>SUM(W184:W185)</f>
        <v>535</v>
      </c>
    </row>
    <row r="187" spans="1:23" ht="23" x14ac:dyDescent="0.35">
      <c r="B187" s="336" t="s">
        <v>54</v>
      </c>
      <c r="C187" s="337"/>
      <c r="D187" s="338"/>
      <c r="E187" s="338"/>
      <c r="F187" s="338"/>
      <c r="G187" s="338"/>
      <c r="H187" s="338"/>
      <c r="I187" s="338"/>
      <c r="J187" s="338"/>
      <c r="K187" s="338"/>
      <c r="L187" s="338"/>
      <c r="M187" s="338"/>
      <c r="N187" s="338"/>
      <c r="O187" s="338"/>
      <c r="P187" s="338"/>
      <c r="Q187" s="338"/>
      <c r="R187" s="338"/>
      <c r="S187" s="338"/>
      <c r="T187" s="338"/>
      <c r="U187" s="338"/>
      <c r="V187" s="338"/>
      <c r="W187" s="338"/>
    </row>
    <row r="188" spans="1:23" ht="23" x14ac:dyDescent="0.35">
      <c r="B188" s="353" t="s">
        <v>55</v>
      </c>
      <c r="C188" s="354"/>
      <c r="D188" s="355">
        <f>D186</f>
        <v>535</v>
      </c>
      <c r="E188" s="356">
        <f t="shared" ref="E188:W188" si="117">E186</f>
        <v>535</v>
      </c>
      <c r="F188" s="356">
        <f>F186</f>
        <v>535</v>
      </c>
      <c r="G188" s="356">
        <f t="shared" si="117"/>
        <v>535</v>
      </c>
      <c r="H188" s="356">
        <f t="shared" si="117"/>
        <v>535</v>
      </c>
      <c r="I188" s="356">
        <f t="shared" si="117"/>
        <v>535</v>
      </c>
      <c r="J188" s="356">
        <f t="shared" si="117"/>
        <v>535</v>
      </c>
      <c r="K188" s="356">
        <f t="shared" si="117"/>
        <v>535</v>
      </c>
      <c r="L188" s="356">
        <f t="shared" si="117"/>
        <v>535</v>
      </c>
      <c r="M188" s="356">
        <f t="shared" si="117"/>
        <v>535</v>
      </c>
      <c r="N188" s="356">
        <f t="shared" si="117"/>
        <v>535</v>
      </c>
      <c r="O188" s="356">
        <f t="shared" si="117"/>
        <v>535</v>
      </c>
      <c r="P188" s="356">
        <f t="shared" si="117"/>
        <v>535</v>
      </c>
      <c r="Q188" s="356">
        <f t="shared" si="117"/>
        <v>535</v>
      </c>
      <c r="R188" s="356">
        <f t="shared" si="117"/>
        <v>535</v>
      </c>
      <c r="S188" s="356">
        <f t="shared" si="117"/>
        <v>535</v>
      </c>
      <c r="T188" s="356">
        <f t="shared" si="117"/>
        <v>535</v>
      </c>
      <c r="U188" s="356">
        <f t="shared" si="117"/>
        <v>535</v>
      </c>
      <c r="V188" s="356">
        <f t="shared" si="117"/>
        <v>535</v>
      </c>
      <c r="W188" s="356">
        <f t="shared" si="117"/>
        <v>535</v>
      </c>
    </row>
    <row r="189" spans="1:23" x14ac:dyDescent="0.3">
      <c r="B189" s="171" t="s">
        <v>194</v>
      </c>
      <c r="C189" s="55"/>
      <c r="D189" s="20">
        <v>269</v>
      </c>
      <c r="E189" s="21">
        <v>312</v>
      </c>
      <c r="F189" s="21">
        <v>318</v>
      </c>
      <c r="G189" s="21">
        <v>305</v>
      </c>
      <c r="H189" s="21">
        <v>293</v>
      </c>
      <c r="I189" s="21">
        <v>301</v>
      </c>
      <c r="J189" s="21">
        <v>311</v>
      </c>
      <c r="K189" s="21">
        <v>306</v>
      </c>
      <c r="L189" s="21">
        <v>310</v>
      </c>
      <c r="M189" s="21">
        <v>296</v>
      </c>
      <c r="N189" s="21">
        <v>271</v>
      </c>
      <c r="O189" s="21">
        <v>271</v>
      </c>
      <c r="P189" s="21">
        <v>271</v>
      </c>
      <c r="Q189" s="21">
        <v>271</v>
      </c>
      <c r="R189" s="21">
        <v>285</v>
      </c>
      <c r="S189" s="21">
        <v>285</v>
      </c>
      <c r="T189" s="21">
        <v>293</v>
      </c>
      <c r="U189" s="21">
        <v>301</v>
      </c>
      <c r="V189" s="21">
        <v>280</v>
      </c>
      <c r="W189" s="21">
        <v>285</v>
      </c>
    </row>
    <row r="190" spans="1:23" s="51" customFormat="1" x14ac:dyDescent="0.3">
      <c r="A190" s="407"/>
      <c r="B190" s="61" t="s">
        <v>195</v>
      </c>
      <c r="C190" s="62"/>
      <c r="D190" s="28">
        <v>272</v>
      </c>
      <c r="E190" s="29">
        <v>315</v>
      </c>
      <c r="F190" s="29">
        <v>321</v>
      </c>
      <c r="G190" s="29">
        <v>308</v>
      </c>
      <c r="H190" s="29">
        <v>296</v>
      </c>
      <c r="I190" s="29">
        <v>304</v>
      </c>
      <c r="J190" s="29">
        <v>314</v>
      </c>
      <c r="K190" s="29">
        <v>309</v>
      </c>
      <c r="L190" s="29">
        <v>313</v>
      </c>
      <c r="M190" s="29">
        <v>299</v>
      </c>
      <c r="N190" s="29">
        <v>274</v>
      </c>
      <c r="O190" s="29">
        <v>274</v>
      </c>
      <c r="P190" s="29">
        <v>274</v>
      </c>
      <c r="Q190" s="29">
        <v>274</v>
      </c>
      <c r="R190" s="29">
        <v>288</v>
      </c>
      <c r="S190" s="29">
        <v>288</v>
      </c>
      <c r="T190" s="29">
        <v>296</v>
      </c>
      <c r="U190" s="29">
        <v>304</v>
      </c>
      <c r="V190" s="29">
        <v>283</v>
      </c>
      <c r="W190" s="29">
        <v>288</v>
      </c>
    </row>
    <row r="191" spans="1:23" s="51" customFormat="1" x14ac:dyDescent="0.3">
      <c r="A191" s="407"/>
      <c r="B191" s="61" t="s">
        <v>196</v>
      </c>
      <c r="C191" s="62"/>
      <c r="D191" s="28">
        <v>277</v>
      </c>
      <c r="E191" s="29">
        <v>320</v>
      </c>
      <c r="F191" s="29">
        <v>326</v>
      </c>
      <c r="G191" s="29">
        <v>313</v>
      </c>
      <c r="H191" s="29">
        <v>301</v>
      </c>
      <c r="I191" s="29">
        <v>309</v>
      </c>
      <c r="J191" s="29">
        <v>319</v>
      </c>
      <c r="K191" s="29">
        <v>314</v>
      </c>
      <c r="L191" s="29">
        <v>318</v>
      </c>
      <c r="M191" s="29">
        <v>304</v>
      </c>
      <c r="N191" s="29">
        <v>279</v>
      </c>
      <c r="O191" s="29">
        <v>279</v>
      </c>
      <c r="P191" s="29">
        <v>279</v>
      </c>
      <c r="Q191" s="29">
        <v>279</v>
      </c>
      <c r="R191" s="29">
        <v>293</v>
      </c>
      <c r="S191" s="29">
        <v>293</v>
      </c>
      <c r="T191" s="29">
        <v>301</v>
      </c>
      <c r="U191" s="29">
        <v>309</v>
      </c>
      <c r="V191" s="29">
        <v>288</v>
      </c>
      <c r="W191" s="29">
        <v>293</v>
      </c>
    </row>
    <row r="192" spans="1:23" s="51" customFormat="1" x14ac:dyDescent="0.3">
      <c r="A192" s="407"/>
      <c r="B192" s="61" t="s">
        <v>197</v>
      </c>
      <c r="C192" s="62"/>
      <c r="D192" s="28">
        <v>282</v>
      </c>
      <c r="E192" s="29">
        <v>325</v>
      </c>
      <c r="F192" s="29">
        <v>331</v>
      </c>
      <c r="G192" s="29">
        <v>318</v>
      </c>
      <c r="H192" s="29">
        <v>306</v>
      </c>
      <c r="I192" s="29">
        <v>314</v>
      </c>
      <c r="J192" s="29">
        <v>324</v>
      </c>
      <c r="K192" s="29">
        <v>319</v>
      </c>
      <c r="L192" s="29">
        <v>323</v>
      </c>
      <c r="M192" s="29">
        <v>309</v>
      </c>
      <c r="N192" s="29">
        <v>284</v>
      </c>
      <c r="O192" s="29">
        <v>284</v>
      </c>
      <c r="P192" s="29">
        <v>284</v>
      </c>
      <c r="Q192" s="29">
        <v>284</v>
      </c>
      <c r="R192" s="29">
        <v>298</v>
      </c>
      <c r="S192" s="29">
        <v>298</v>
      </c>
      <c r="T192" s="29">
        <v>306</v>
      </c>
      <c r="U192" s="29">
        <v>314</v>
      </c>
      <c r="V192" s="29">
        <v>293</v>
      </c>
      <c r="W192" s="29">
        <v>298</v>
      </c>
    </row>
    <row r="193" spans="1:23" s="30" customFormat="1" x14ac:dyDescent="0.3">
      <c r="A193" s="404"/>
      <c r="B193" s="63" t="s">
        <v>198</v>
      </c>
      <c r="C193" s="62"/>
      <c r="D193" s="31">
        <f t="shared" ref="D193:E196" si="118">+D189-D$188</f>
        <v>-266</v>
      </c>
      <c r="E193" s="32">
        <f t="shared" si="118"/>
        <v>-223</v>
      </c>
      <c r="F193" s="32">
        <f t="shared" ref="F193:W193" si="119">+F189-F$188</f>
        <v>-217</v>
      </c>
      <c r="G193" s="32">
        <f t="shared" si="119"/>
        <v>-230</v>
      </c>
      <c r="H193" s="32">
        <f t="shared" si="119"/>
        <v>-242</v>
      </c>
      <c r="I193" s="32">
        <f t="shared" si="119"/>
        <v>-234</v>
      </c>
      <c r="J193" s="32">
        <f t="shared" si="119"/>
        <v>-224</v>
      </c>
      <c r="K193" s="32">
        <f t="shared" si="119"/>
        <v>-229</v>
      </c>
      <c r="L193" s="32">
        <f t="shared" si="119"/>
        <v>-225</v>
      </c>
      <c r="M193" s="32">
        <f t="shared" si="119"/>
        <v>-239</v>
      </c>
      <c r="N193" s="32">
        <f t="shared" si="119"/>
        <v>-264</v>
      </c>
      <c r="O193" s="32">
        <f t="shared" si="119"/>
        <v>-264</v>
      </c>
      <c r="P193" s="32">
        <f t="shared" si="119"/>
        <v>-264</v>
      </c>
      <c r="Q193" s="32">
        <f t="shared" si="119"/>
        <v>-264</v>
      </c>
      <c r="R193" s="32">
        <f t="shared" si="119"/>
        <v>-250</v>
      </c>
      <c r="S193" s="32">
        <f t="shared" si="119"/>
        <v>-250</v>
      </c>
      <c r="T193" s="32">
        <f t="shared" si="119"/>
        <v>-242</v>
      </c>
      <c r="U193" s="32">
        <f t="shared" si="119"/>
        <v>-234</v>
      </c>
      <c r="V193" s="32">
        <f t="shared" si="119"/>
        <v>-255</v>
      </c>
      <c r="W193" s="32">
        <f t="shared" si="119"/>
        <v>-250</v>
      </c>
    </row>
    <row r="194" spans="1:23" s="33" customFormat="1" x14ac:dyDescent="0.3">
      <c r="A194" s="405"/>
      <c r="B194" s="63" t="s">
        <v>199</v>
      </c>
      <c r="C194" s="64"/>
      <c r="D194" s="31">
        <f t="shared" si="118"/>
        <v>-263</v>
      </c>
      <c r="E194" s="32">
        <f t="shared" si="118"/>
        <v>-220</v>
      </c>
      <c r="F194" s="32">
        <f t="shared" ref="F194:W194" si="120">+F190-F$188</f>
        <v>-214</v>
      </c>
      <c r="G194" s="32">
        <f t="shared" si="120"/>
        <v>-227</v>
      </c>
      <c r="H194" s="32">
        <f t="shared" si="120"/>
        <v>-239</v>
      </c>
      <c r="I194" s="32">
        <f t="shared" si="120"/>
        <v>-231</v>
      </c>
      <c r="J194" s="32">
        <f t="shared" si="120"/>
        <v>-221</v>
      </c>
      <c r="K194" s="32">
        <f t="shared" si="120"/>
        <v>-226</v>
      </c>
      <c r="L194" s="32">
        <f t="shared" si="120"/>
        <v>-222</v>
      </c>
      <c r="M194" s="32">
        <f t="shared" si="120"/>
        <v>-236</v>
      </c>
      <c r="N194" s="32">
        <f t="shared" si="120"/>
        <v>-261</v>
      </c>
      <c r="O194" s="32">
        <f t="shared" si="120"/>
        <v>-261</v>
      </c>
      <c r="P194" s="32">
        <f t="shared" si="120"/>
        <v>-261</v>
      </c>
      <c r="Q194" s="32">
        <f t="shared" si="120"/>
        <v>-261</v>
      </c>
      <c r="R194" s="32">
        <f t="shared" si="120"/>
        <v>-247</v>
      </c>
      <c r="S194" s="32">
        <f t="shared" si="120"/>
        <v>-247</v>
      </c>
      <c r="T194" s="32">
        <f t="shared" si="120"/>
        <v>-239</v>
      </c>
      <c r="U194" s="32">
        <f t="shared" si="120"/>
        <v>-231</v>
      </c>
      <c r="V194" s="32">
        <f t="shared" si="120"/>
        <v>-252</v>
      </c>
      <c r="W194" s="32">
        <f t="shared" si="120"/>
        <v>-247</v>
      </c>
    </row>
    <row r="195" spans="1:23" s="33" customFormat="1" x14ac:dyDescent="0.3">
      <c r="A195" s="405"/>
      <c r="B195" s="63" t="s">
        <v>200</v>
      </c>
      <c r="C195" s="64"/>
      <c r="D195" s="31">
        <f t="shared" si="118"/>
        <v>-258</v>
      </c>
      <c r="E195" s="32">
        <f t="shared" si="118"/>
        <v>-215</v>
      </c>
      <c r="F195" s="32">
        <f t="shared" ref="F195:W195" si="121">+F191-F$188</f>
        <v>-209</v>
      </c>
      <c r="G195" s="32">
        <f t="shared" si="121"/>
        <v>-222</v>
      </c>
      <c r="H195" s="32">
        <f t="shared" si="121"/>
        <v>-234</v>
      </c>
      <c r="I195" s="32">
        <f t="shared" si="121"/>
        <v>-226</v>
      </c>
      <c r="J195" s="32">
        <f t="shared" si="121"/>
        <v>-216</v>
      </c>
      <c r="K195" s="32">
        <f t="shared" si="121"/>
        <v>-221</v>
      </c>
      <c r="L195" s="32">
        <f t="shared" si="121"/>
        <v>-217</v>
      </c>
      <c r="M195" s="32">
        <f t="shared" si="121"/>
        <v>-231</v>
      </c>
      <c r="N195" s="32">
        <f t="shared" si="121"/>
        <v>-256</v>
      </c>
      <c r="O195" s="32">
        <f t="shared" si="121"/>
        <v>-256</v>
      </c>
      <c r="P195" s="32">
        <f t="shared" si="121"/>
        <v>-256</v>
      </c>
      <c r="Q195" s="32">
        <f t="shared" si="121"/>
        <v>-256</v>
      </c>
      <c r="R195" s="32">
        <f t="shared" si="121"/>
        <v>-242</v>
      </c>
      <c r="S195" s="32">
        <f t="shared" si="121"/>
        <v>-242</v>
      </c>
      <c r="T195" s="32">
        <f t="shared" si="121"/>
        <v>-234</v>
      </c>
      <c r="U195" s="32">
        <f t="shared" si="121"/>
        <v>-226</v>
      </c>
      <c r="V195" s="32">
        <f t="shared" si="121"/>
        <v>-247</v>
      </c>
      <c r="W195" s="32">
        <f t="shared" si="121"/>
        <v>-242</v>
      </c>
    </row>
    <row r="196" spans="1:23" s="33" customFormat="1" x14ac:dyDescent="0.3">
      <c r="A196" s="405"/>
      <c r="B196" s="63" t="s">
        <v>201</v>
      </c>
      <c r="C196" s="64"/>
      <c r="D196" s="31">
        <f t="shared" si="118"/>
        <v>-253</v>
      </c>
      <c r="E196" s="32">
        <f t="shared" si="118"/>
        <v>-210</v>
      </c>
      <c r="F196" s="32">
        <f t="shared" ref="F196:W196" si="122">+F192-F$188</f>
        <v>-204</v>
      </c>
      <c r="G196" s="32">
        <f t="shared" si="122"/>
        <v>-217</v>
      </c>
      <c r="H196" s="32">
        <f t="shared" si="122"/>
        <v>-229</v>
      </c>
      <c r="I196" s="32">
        <f t="shared" si="122"/>
        <v>-221</v>
      </c>
      <c r="J196" s="32">
        <f t="shared" si="122"/>
        <v>-211</v>
      </c>
      <c r="K196" s="32">
        <f t="shared" si="122"/>
        <v>-216</v>
      </c>
      <c r="L196" s="32">
        <f t="shared" si="122"/>
        <v>-212</v>
      </c>
      <c r="M196" s="32">
        <f t="shared" si="122"/>
        <v>-226</v>
      </c>
      <c r="N196" s="32">
        <f t="shared" si="122"/>
        <v>-251</v>
      </c>
      <c r="O196" s="32">
        <f t="shared" si="122"/>
        <v>-251</v>
      </c>
      <c r="P196" s="32">
        <f t="shared" si="122"/>
        <v>-251</v>
      </c>
      <c r="Q196" s="32">
        <f t="shared" si="122"/>
        <v>-251</v>
      </c>
      <c r="R196" s="32">
        <f t="shared" si="122"/>
        <v>-237</v>
      </c>
      <c r="S196" s="32">
        <f t="shared" si="122"/>
        <v>-237</v>
      </c>
      <c r="T196" s="32">
        <f t="shared" si="122"/>
        <v>-229</v>
      </c>
      <c r="U196" s="32">
        <f t="shared" si="122"/>
        <v>-221</v>
      </c>
      <c r="V196" s="32">
        <f t="shared" si="122"/>
        <v>-242</v>
      </c>
      <c r="W196" s="32">
        <f t="shared" si="122"/>
        <v>-237</v>
      </c>
    </row>
    <row r="197" spans="1:23" x14ac:dyDescent="0.3">
      <c r="B197" s="97" t="s">
        <v>202</v>
      </c>
      <c r="C197" s="98"/>
      <c r="D197" s="100">
        <f t="shared" ref="D197:E200" si="123">+D193/D189</f>
        <v>-0.98884758364312264</v>
      </c>
      <c r="E197" s="100">
        <f t="shared" si="123"/>
        <v>-0.71474358974358976</v>
      </c>
      <c r="F197" s="100">
        <f t="shared" ref="F197:W197" si="124">+F193/F189</f>
        <v>-0.6823899371069182</v>
      </c>
      <c r="G197" s="100">
        <f t="shared" si="124"/>
        <v>-0.75409836065573765</v>
      </c>
      <c r="H197" s="100">
        <f t="shared" si="124"/>
        <v>-0.82593856655290099</v>
      </c>
      <c r="I197" s="100">
        <f t="shared" si="124"/>
        <v>-0.77740863787375414</v>
      </c>
      <c r="J197" s="100">
        <f t="shared" si="124"/>
        <v>-0.72025723472668812</v>
      </c>
      <c r="K197" s="100">
        <f t="shared" si="124"/>
        <v>-0.74836601307189543</v>
      </c>
      <c r="L197" s="100">
        <f t="shared" si="124"/>
        <v>-0.72580645161290325</v>
      </c>
      <c r="M197" s="100">
        <f t="shared" si="124"/>
        <v>-0.80743243243243246</v>
      </c>
      <c r="N197" s="100">
        <f t="shared" si="124"/>
        <v>-0.97416974169741699</v>
      </c>
      <c r="O197" s="100">
        <f t="shared" si="124"/>
        <v>-0.97416974169741699</v>
      </c>
      <c r="P197" s="100">
        <f t="shared" si="124"/>
        <v>-0.97416974169741699</v>
      </c>
      <c r="Q197" s="100">
        <f t="shared" si="124"/>
        <v>-0.97416974169741699</v>
      </c>
      <c r="R197" s="100">
        <f t="shared" si="124"/>
        <v>-0.8771929824561403</v>
      </c>
      <c r="S197" s="100">
        <f t="shared" si="124"/>
        <v>-0.8771929824561403</v>
      </c>
      <c r="T197" s="100">
        <f t="shared" si="124"/>
        <v>-0.82593856655290099</v>
      </c>
      <c r="U197" s="100">
        <f t="shared" si="124"/>
        <v>-0.77740863787375414</v>
      </c>
      <c r="V197" s="100">
        <f t="shared" si="124"/>
        <v>-0.9107142857142857</v>
      </c>
      <c r="W197" s="100">
        <f t="shared" si="124"/>
        <v>-0.8771929824561403</v>
      </c>
    </row>
    <row r="198" spans="1:23" s="36" customFormat="1" x14ac:dyDescent="0.3">
      <c r="A198" s="406"/>
      <c r="B198" s="97" t="s">
        <v>203</v>
      </c>
      <c r="C198" s="98"/>
      <c r="D198" s="100">
        <f t="shared" si="123"/>
        <v>-0.96691176470588236</v>
      </c>
      <c r="E198" s="100">
        <f t="shared" si="123"/>
        <v>-0.69841269841269837</v>
      </c>
      <c r="F198" s="100">
        <f t="shared" ref="F198:W198" si="125">+F194/F190</f>
        <v>-0.66666666666666663</v>
      </c>
      <c r="G198" s="100">
        <f t="shared" si="125"/>
        <v>-0.73701298701298701</v>
      </c>
      <c r="H198" s="100">
        <f t="shared" si="125"/>
        <v>-0.80743243243243246</v>
      </c>
      <c r="I198" s="100">
        <f t="shared" si="125"/>
        <v>-0.75986842105263153</v>
      </c>
      <c r="J198" s="100">
        <f t="shared" si="125"/>
        <v>-0.70382165605095537</v>
      </c>
      <c r="K198" s="100">
        <f t="shared" si="125"/>
        <v>-0.73139158576051777</v>
      </c>
      <c r="L198" s="100">
        <f t="shared" si="125"/>
        <v>-0.70926517571884984</v>
      </c>
      <c r="M198" s="100">
        <f t="shared" si="125"/>
        <v>-0.78929765886287628</v>
      </c>
      <c r="N198" s="100">
        <f t="shared" si="125"/>
        <v>-0.95255474452554745</v>
      </c>
      <c r="O198" s="100">
        <f t="shared" si="125"/>
        <v>-0.95255474452554745</v>
      </c>
      <c r="P198" s="100">
        <f t="shared" si="125"/>
        <v>-0.95255474452554745</v>
      </c>
      <c r="Q198" s="100">
        <f t="shared" si="125"/>
        <v>-0.95255474452554745</v>
      </c>
      <c r="R198" s="100">
        <f t="shared" si="125"/>
        <v>-0.85763888888888884</v>
      </c>
      <c r="S198" s="100">
        <f t="shared" si="125"/>
        <v>-0.85763888888888884</v>
      </c>
      <c r="T198" s="100">
        <f t="shared" si="125"/>
        <v>-0.80743243243243246</v>
      </c>
      <c r="U198" s="100">
        <f t="shared" si="125"/>
        <v>-0.75986842105263153</v>
      </c>
      <c r="V198" s="100">
        <f t="shared" si="125"/>
        <v>-0.89045936395759717</v>
      </c>
      <c r="W198" s="100">
        <f t="shared" si="125"/>
        <v>-0.85763888888888884</v>
      </c>
    </row>
    <row r="199" spans="1:23" s="36" customFormat="1" x14ac:dyDescent="0.3">
      <c r="A199" s="406"/>
      <c r="B199" s="97" t="s">
        <v>204</v>
      </c>
      <c r="C199" s="98"/>
      <c r="D199" s="100">
        <f t="shared" si="123"/>
        <v>-0.93140794223826717</v>
      </c>
      <c r="E199" s="100">
        <f t="shared" si="123"/>
        <v>-0.671875</v>
      </c>
      <c r="F199" s="100">
        <f t="shared" ref="F199:W199" si="126">+F195/F191</f>
        <v>-0.64110429447852757</v>
      </c>
      <c r="G199" s="100">
        <f t="shared" si="126"/>
        <v>-0.70926517571884984</v>
      </c>
      <c r="H199" s="100">
        <f t="shared" si="126"/>
        <v>-0.77740863787375414</v>
      </c>
      <c r="I199" s="100">
        <f t="shared" si="126"/>
        <v>-0.73139158576051777</v>
      </c>
      <c r="J199" s="100">
        <f t="shared" si="126"/>
        <v>-0.67711598746081503</v>
      </c>
      <c r="K199" s="100">
        <f t="shared" si="126"/>
        <v>-0.70382165605095537</v>
      </c>
      <c r="L199" s="100">
        <f t="shared" si="126"/>
        <v>-0.6823899371069182</v>
      </c>
      <c r="M199" s="100">
        <f t="shared" si="126"/>
        <v>-0.75986842105263153</v>
      </c>
      <c r="N199" s="100">
        <f t="shared" si="126"/>
        <v>-0.91756272401433692</v>
      </c>
      <c r="O199" s="100">
        <f t="shared" si="126"/>
        <v>-0.91756272401433692</v>
      </c>
      <c r="P199" s="100">
        <f t="shared" si="126"/>
        <v>-0.91756272401433692</v>
      </c>
      <c r="Q199" s="100">
        <f t="shared" si="126"/>
        <v>-0.91756272401433692</v>
      </c>
      <c r="R199" s="100">
        <f t="shared" si="126"/>
        <v>-0.82593856655290099</v>
      </c>
      <c r="S199" s="100">
        <f t="shared" si="126"/>
        <v>-0.82593856655290099</v>
      </c>
      <c r="T199" s="100">
        <f t="shared" si="126"/>
        <v>-0.77740863787375414</v>
      </c>
      <c r="U199" s="100">
        <f t="shared" si="126"/>
        <v>-0.73139158576051777</v>
      </c>
      <c r="V199" s="100">
        <f t="shared" si="126"/>
        <v>-0.85763888888888884</v>
      </c>
      <c r="W199" s="100">
        <f t="shared" si="126"/>
        <v>-0.82593856655290099</v>
      </c>
    </row>
    <row r="200" spans="1:23" s="36" customFormat="1" x14ac:dyDescent="0.3">
      <c r="A200" s="406"/>
      <c r="B200" s="97" t="s">
        <v>205</v>
      </c>
      <c r="C200" s="98"/>
      <c r="D200" s="100">
        <f t="shared" si="123"/>
        <v>-0.8971631205673759</v>
      </c>
      <c r="E200" s="100">
        <f t="shared" si="123"/>
        <v>-0.64615384615384619</v>
      </c>
      <c r="F200" s="100">
        <f t="shared" ref="F200:W200" si="127">+F196/F192</f>
        <v>-0.61631419939577037</v>
      </c>
      <c r="G200" s="100">
        <f t="shared" si="127"/>
        <v>-0.6823899371069182</v>
      </c>
      <c r="H200" s="100">
        <f t="shared" si="127"/>
        <v>-0.74836601307189543</v>
      </c>
      <c r="I200" s="100">
        <f t="shared" si="127"/>
        <v>-0.70382165605095537</v>
      </c>
      <c r="J200" s="100">
        <f t="shared" si="127"/>
        <v>-0.65123456790123457</v>
      </c>
      <c r="K200" s="100">
        <f t="shared" si="127"/>
        <v>-0.67711598746081503</v>
      </c>
      <c r="L200" s="100">
        <f t="shared" si="127"/>
        <v>-0.65634674922600622</v>
      </c>
      <c r="M200" s="100">
        <f t="shared" si="127"/>
        <v>-0.73139158576051777</v>
      </c>
      <c r="N200" s="100">
        <f t="shared" si="127"/>
        <v>-0.88380281690140849</v>
      </c>
      <c r="O200" s="100">
        <f t="shared" si="127"/>
        <v>-0.88380281690140849</v>
      </c>
      <c r="P200" s="100">
        <f t="shared" si="127"/>
        <v>-0.88380281690140849</v>
      </c>
      <c r="Q200" s="100">
        <f t="shared" si="127"/>
        <v>-0.88380281690140849</v>
      </c>
      <c r="R200" s="100">
        <f t="shared" si="127"/>
        <v>-0.79530201342281881</v>
      </c>
      <c r="S200" s="100">
        <f t="shared" si="127"/>
        <v>-0.79530201342281881</v>
      </c>
      <c r="T200" s="100">
        <f t="shared" si="127"/>
        <v>-0.74836601307189543</v>
      </c>
      <c r="U200" s="100">
        <f t="shared" si="127"/>
        <v>-0.70382165605095537</v>
      </c>
      <c r="V200" s="100">
        <f t="shared" si="127"/>
        <v>-0.82593856655290099</v>
      </c>
      <c r="W200" s="100">
        <f t="shared" si="127"/>
        <v>-0.79530201342281881</v>
      </c>
    </row>
    <row r="201" spans="1:23" ht="21" thickBot="1" x14ac:dyDescent="0.35"/>
    <row r="202" spans="1:23" s="19" customFormat="1" ht="24" thickBot="1" x14ac:dyDescent="0.4">
      <c r="A202" s="19" t="s">
        <v>258</v>
      </c>
      <c r="B202" s="362" t="s">
        <v>96</v>
      </c>
      <c r="C202" s="68"/>
      <c r="D202" s="17" t="s">
        <v>5</v>
      </c>
      <c r="E202" s="18" t="s">
        <v>6</v>
      </c>
      <c r="F202" s="18" t="s">
        <v>7</v>
      </c>
      <c r="G202" s="18" t="s">
        <v>8</v>
      </c>
      <c r="H202" s="18" t="s">
        <v>9</v>
      </c>
      <c r="I202" s="18" t="s">
        <v>10</v>
      </c>
      <c r="J202" s="18" t="s">
        <v>11</v>
      </c>
      <c r="K202" s="18" t="s">
        <v>12</v>
      </c>
      <c r="L202" s="18" t="s">
        <v>13</v>
      </c>
      <c r="M202" s="18" t="s">
        <v>14</v>
      </c>
      <c r="N202" s="18" t="s">
        <v>15</v>
      </c>
      <c r="O202" s="18" t="s">
        <v>16</v>
      </c>
      <c r="P202" s="18" t="s">
        <v>17</v>
      </c>
      <c r="Q202" s="18" t="s">
        <v>18</v>
      </c>
      <c r="R202" s="18" t="s">
        <v>19</v>
      </c>
      <c r="S202" s="18" t="s">
        <v>20</v>
      </c>
      <c r="T202" s="18" t="s">
        <v>21</v>
      </c>
      <c r="U202" s="18" t="s">
        <v>22</v>
      </c>
      <c r="V202" s="18" t="s">
        <v>23</v>
      </c>
      <c r="W202" s="18" t="s">
        <v>166</v>
      </c>
    </row>
    <row r="203" spans="1:23" x14ac:dyDescent="0.3">
      <c r="A203" s="19" t="s">
        <v>259</v>
      </c>
      <c r="B203" s="54" t="s">
        <v>50</v>
      </c>
      <c r="C203" s="55"/>
      <c r="D203" s="20">
        <v>1100</v>
      </c>
      <c r="E203" s="20">
        <f>D203</f>
        <v>1100</v>
      </c>
      <c r="F203" s="20">
        <f>E203</f>
        <v>1100</v>
      </c>
      <c r="G203" s="20">
        <f>F203</f>
        <v>1100</v>
      </c>
      <c r="H203" s="20">
        <f>G203</f>
        <v>1100</v>
      </c>
      <c r="I203" s="20">
        <f>G203</f>
        <v>1100</v>
      </c>
      <c r="J203" s="20">
        <f t="shared" ref="J203:W203" si="128">I203</f>
        <v>1100</v>
      </c>
      <c r="K203" s="20">
        <f t="shared" si="128"/>
        <v>1100</v>
      </c>
      <c r="L203" s="20">
        <f t="shared" si="128"/>
        <v>1100</v>
      </c>
      <c r="M203" s="20">
        <f t="shared" si="128"/>
        <v>1100</v>
      </c>
      <c r="N203" s="20">
        <f t="shared" si="128"/>
        <v>1100</v>
      </c>
      <c r="O203" s="20">
        <f t="shared" si="128"/>
        <v>1100</v>
      </c>
      <c r="P203" s="20">
        <f t="shared" si="128"/>
        <v>1100</v>
      </c>
      <c r="Q203" s="20">
        <f t="shared" si="128"/>
        <v>1100</v>
      </c>
      <c r="R203" s="20">
        <f t="shared" si="128"/>
        <v>1100</v>
      </c>
      <c r="S203" s="20">
        <f t="shared" si="128"/>
        <v>1100</v>
      </c>
      <c r="T203" s="20">
        <f t="shared" si="128"/>
        <v>1100</v>
      </c>
      <c r="U203" s="20">
        <f t="shared" si="128"/>
        <v>1100</v>
      </c>
      <c r="V203" s="20">
        <f t="shared" si="128"/>
        <v>1100</v>
      </c>
      <c r="W203" s="20">
        <f t="shared" si="128"/>
        <v>1100</v>
      </c>
    </row>
    <row r="204" spans="1:23" ht="23" x14ac:dyDescent="0.35">
      <c r="A204" s="19" t="s">
        <v>260</v>
      </c>
      <c r="B204" s="340" t="s">
        <v>51</v>
      </c>
      <c r="C204" s="341"/>
      <c r="D204" s="342"/>
      <c r="E204" s="342"/>
      <c r="F204" s="342"/>
      <c r="G204" s="342"/>
      <c r="H204" s="342"/>
      <c r="I204" s="342"/>
      <c r="J204" s="342"/>
      <c r="K204" s="342"/>
      <c r="L204" s="342"/>
      <c r="M204" s="342"/>
      <c r="N204" s="342"/>
      <c r="O204" s="342"/>
      <c r="P204" s="342"/>
      <c r="Q204" s="342"/>
      <c r="R204" s="342"/>
      <c r="S204" s="342"/>
      <c r="T204" s="342"/>
      <c r="U204" s="342"/>
      <c r="V204" s="342"/>
      <c r="W204" s="342"/>
    </row>
    <row r="205" spans="1:23" x14ac:dyDescent="0.3">
      <c r="A205" s="19" t="s">
        <v>261</v>
      </c>
      <c r="B205" s="54"/>
      <c r="C205" s="55"/>
      <c r="D205" s="20">
        <f t="shared" ref="D205:V205" si="129">D203*(1-D204)</f>
        <v>1100</v>
      </c>
      <c r="E205" s="20">
        <f t="shared" si="129"/>
        <v>1100</v>
      </c>
      <c r="F205" s="20">
        <f t="shared" si="129"/>
        <v>1100</v>
      </c>
      <c r="G205" s="20">
        <f t="shared" si="129"/>
        <v>1100</v>
      </c>
      <c r="H205" s="20">
        <f t="shared" si="129"/>
        <v>1100</v>
      </c>
      <c r="I205" s="20">
        <f t="shared" si="129"/>
        <v>1100</v>
      </c>
      <c r="J205" s="20">
        <f t="shared" si="129"/>
        <v>1100</v>
      </c>
      <c r="K205" s="20">
        <f t="shared" si="129"/>
        <v>1100</v>
      </c>
      <c r="L205" s="20">
        <f t="shared" si="129"/>
        <v>1100</v>
      </c>
      <c r="M205" s="20">
        <f t="shared" si="129"/>
        <v>1100</v>
      </c>
      <c r="N205" s="20">
        <f t="shared" si="129"/>
        <v>1100</v>
      </c>
      <c r="O205" s="20">
        <f t="shared" si="129"/>
        <v>1100</v>
      </c>
      <c r="P205" s="20">
        <f t="shared" si="129"/>
        <v>1100</v>
      </c>
      <c r="Q205" s="20">
        <f t="shared" si="129"/>
        <v>1100</v>
      </c>
      <c r="R205" s="20">
        <f t="shared" si="129"/>
        <v>1100</v>
      </c>
      <c r="S205" s="20">
        <f t="shared" si="129"/>
        <v>1100</v>
      </c>
      <c r="T205" s="20">
        <f t="shared" si="129"/>
        <v>1100</v>
      </c>
      <c r="U205" s="20">
        <f t="shared" si="129"/>
        <v>1100</v>
      </c>
      <c r="V205" s="20">
        <f t="shared" si="129"/>
        <v>1100</v>
      </c>
      <c r="W205" s="20">
        <f>W203*(1-W204)</f>
        <v>1100</v>
      </c>
    </row>
    <row r="206" spans="1:23" x14ac:dyDescent="0.3">
      <c r="B206" s="54" t="s">
        <v>51</v>
      </c>
      <c r="C206" s="56">
        <v>0</v>
      </c>
      <c r="D206" s="20">
        <f>D205*$C206</f>
        <v>0</v>
      </c>
      <c r="E206" s="20">
        <f t="shared" ref="E206:V206" si="130">E205*$C206</f>
        <v>0</v>
      </c>
      <c r="F206" s="20">
        <f t="shared" si="130"/>
        <v>0</v>
      </c>
      <c r="G206" s="20">
        <f t="shared" si="130"/>
        <v>0</v>
      </c>
      <c r="H206" s="20">
        <f t="shared" si="130"/>
        <v>0</v>
      </c>
      <c r="I206" s="20">
        <f t="shared" si="130"/>
        <v>0</v>
      </c>
      <c r="J206" s="20">
        <f t="shared" si="130"/>
        <v>0</v>
      </c>
      <c r="K206" s="20">
        <f t="shared" si="130"/>
        <v>0</v>
      </c>
      <c r="L206" s="20">
        <f t="shared" si="130"/>
        <v>0</v>
      </c>
      <c r="M206" s="20">
        <f t="shared" si="130"/>
        <v>0</v>
      </c>
      <c r="N206" s="20">
        <f t="shared" si="130"/>
        <v>0</v>
      </c>
      <c r="O206" s="20">
        <f t="shared" si="130"/>
        <v>0</v>
      </c>
      <c r="P206" s="20">
        <f t="shared" si="130"/>
        <v>0</v>
      </c>
      <c r="Q206" s="20">
        <f t="shared" si="130"/>
        <v>0</v>
      </c>
      <c r="R206" s="20">
        <f t="shared" si="130"/>
        <v>0</v>
      </c>
      <c r="S206" s="20">
        <f t="shared" si="130"/>
        <v>0</v>
      </c>
      <c r="T206" s="20">
        <f t="shared" si="130"/>
        <v>0</v>
      </c>
      <c r="U206" s="20">
        <f t="shared" si="130"/>
        <v>0</v>
      </c>
      <c r="V206" s="20">
        <f t="shared" si="130"/>
        <v>0</v>
      </c>
      <c r="W206" s="20">
        <f>W205*$C206</f>
        <v>0</v>
      </c>
    </row>
    <row r="207" spans="1:23" x14ac:dyDescent="0.3">
      <c r="B207" s="54" t="s">
        <v>67</v>
      </c>
      <c r="C207" s="55"/>
      <c r="D207" s="20">
        <f>D205-D206</f>
        <v>1100</v>
      </c>
      <c r="E207" s="20">
        <f t="shared" ref="E207:V207" si="131">E205-E206</f>
        <v>1100</v>
      </c>
      <c r="F207" s="20">
        <f t="shared" si="131"/>
        <v>1100</v>
      </c>
      <c r="G207" s="20">
        <f t="shared" si="131"/>
        <v>1100</v>
      </c>
      <c r="H207" s="20">
        <f t="shared" si="131"/>
        <v>1100</v>
      </c>
      <c r="I207" s="20">
        <f t="shared" si="131"/>
        <v>1100</v>
      </c>
      <c r="J207" s="20">
        <f t="shared" si="131"/>
        <v>1100</v>
      </c>
      <c r="K207" s="20">
        <f t="shared" si="131"/>
        <v>1100</v>
      </c>
      <c r="L207" s="20">
        <f t="shared" si="131"/>
        <v>1100</v>
      </c>
      <c r="M207" s="20">
        <f t="shared" si="131"/>
        <v>1100</v>
      </c>
      <c r="N207" s="20">
        <f t="shared" si="131"/>
        <v>1100</v>
      </c>
      <c r="O207" s="20">
        <f t="shared" si="131"/>
        <v>1100</v>
      </c>
      <c r="P207" s="20">
        <f t="shared" si="131"/>
        <v>1100</v>
      </c>
      <c r="Q207" s="20">
        <f t="shared" si="131"/>
        <v>1100</v>
      </c>
      <c r="R207" s="20">
        <f t="shared" si="131"/>
        <v>1100</v>
      </c>
      <c r="S207" s="20">
        <f t="shared" si="131"/>
        <v>1100</v>
      </c>
      <c r="T207" s="20">
        <f t="shared" si="131"/>
        <v>1100</v>
      </c>
      <c r="U207" s="20">
        <f t="shared" si="131"/>
        <v>1100</v>
      </c>
      <c r="V207" s="20">
        <f t="shared" si="131"/>
        <v>1100</v>
      </c>
      <c r="W207" s="20">
        <f>W205-W206</f>
        <v>1100</v>
      </c>
    </row>
    <row r="208" spans="1:23" x14ac:dyDescent="0.3">
      <c r="B208" s="54" t="s">
        <v>66</v>
      </c>
      <c r="C208" s="56">
        <v>7.0000000000000007E-2</v>
      </c>
      <c r="D208" s="20">
        <f>D207*$C208</f>
        <v>77.000000000000014</v>
      </c>
      <c r="E208" s="20">
        <f t="shared" ref="E208:V208" si="132">E207*$C208</f>
        <v>77.000000000000014</v>
      </c>
      <c r="F208" s="20">
        <f t="shared" si="132"/>
        <v>77.000000000000014</v>
      </c>
      <c r="G208" s="20">
        <f t="shared" si="132"/>
        <v>77.000000000000014</v>
      </c>
      <c r="H208" s="20">
        <f t="shared" si="132"/>
        <v>77.000000000000014</v>
      </c>
      <c r="I208" s="20">
        <f t="shared" si="132"/>
        <v>77.000000000000014</v>
      </c>
      <c r="J208" s="20">
        <f t="shared" si="132"/>
        <v>77.000000000000014</v>
      </c>
      <c r="K208" s="20">
        <f t="shared" si="132"/>
        <v>77.000000000000014</v>
      </c>
      <c r="L208" s="20">
        <f t="shared" si="132"/>
        <v>77.000000000000014</v>
      </c>
      <c r="M208" s="20">
        <f t="shared" si="132"/>
        <v>77.000000000000014</v>
      </c>
      <c r="N208" s="20">
        <f t="shared" si="132"/>
        <v>77.000000000000014</v>
      </c>
      <c r="O208" s="20">
        <f t="shared" si="132"/>
        <v>77.000000000000014</v>
      </c>
      <c r="P208" s="20">
        <f t="shared" si="132"/>
        <v>77.000000000000014</v>
      </c>
      <c r="Q208" s="20">
        <f t="shared" si="132"/>
        <v>77.000000000000014</v>
      </c>
      <c r="R208" s="20">
        <f t="shared" si="132"/>
        <v>77.000000000000014</v>
      </c>
      <c r="S208" s="20">
        <f t="shared" si="132"/>
        <v>77.000000000000014</v>
      </c>
      <c r="T208" s="20">
        <f t="shared" si="132"/>
        <v>77.000000000000014</v>
      </c>
      <c r="U208" s="20">
        <f t="shared" si="132"/>
        <v>77.000000000000014</v>
      </c>
      <c r="V208" s="20">
        <f t="shared" si="132"/>
        <v>77.000000000000014</v>
      </c>
      <c r="W208" s="20">
        <f>W207*$C208</f>
        <v>77.000000000000014</v>
      </c>
    </row>
    <row r="209" spans="1:23" x14ac:dyDescent="0.3">
      <c r="B209" s="54" t="s">
        <v>68</v>
      </c>
      <c r="C209" s="55"/>
      <c r="D209" s="20">
        <f>D207+D208</f>
        <v>1177</v>
      </c>
      <c r="E209" s="20">
        <f t="shared" ref="E209:V209" si="133">E207+E208</f>
        <v>1177</v>
      </c>
      <c r="F209" s="20">
        <f t="shared" si="133"/>
        <v>1177</v>
      </c>
      <c r="G209" s="20">
        <f t="shared" si="133"/>
        <v>1177</v>
      </c>
      <c r="H209" s="20">
        <f t="shared" si="133"/>
        <v>1177</v>
      </c>
      <c r="I209" s="20">
        <f t="shared" si="133"/>
        <v>1177</v>
      </c>
      <c r="J209" s="20">
        <f t="shared" si="133"/>
        <v>1177</v>
      </c>
      <c r="K209" s="20">
        <f t="shared" si="133"/>
        <v>1177</v>
      </c>
      <c r="L209" s="20">
        <f t="shared" si="133"/>
        <v>1177</v>
      </c>
      <c r="M209" s="20">
        <f t="shared" si="133"/>
        <v>1177</v>
      </c>
      <c r="N209" s="20">
        <f t="shared" si="133"/>
        <v>1177</v>
      </c>
      <c r="O209" s="20">
        <f t="shared" si="133"/>
        <v>1177</v>
      </c>
      <c r="P209" s="20">
        <f t="shared" si="133"/>
        <v>1177</v>
      </c>
      <c r="Q209" s="20">
        <f t="shared" si="133"/>
        <v>1177</v>
      </c>
      <c r="R209" s="20">
        <f t="shared" si="133"/>
        <v>1177</v>
      </c>
      <c r="S209" s="20">
        <f t="shared" si="133"/>
        <v>1177</v>
      </c>
      <c r="T209" s="20">
        <f t="shared" si="133"/>
        <v>1177</v>
      </c>
      <c r="U209" s="20">
        <f t="shared" si="133"/>
        <v>1177</v>
      </c>
      <c r="V209" s="20">
        <f t="shared" si="133"/>
        <v>1177</v>
      </c>
      <c r="W209" s="20">
        <f>W207+W208</f>
        <v>1177</v>
      </c>
    </row>
    <row r="210" spans="1:23" ht="23" x14ac:dyDescent="0.35">
      <c r="B210" s="357" t="s">
        <v>52</v>
      </c>
      <c r="C210" s="358"/>
      <c r="D210" s="381"/>
      <c r="E210" s="381"/>
      <c r="F210" s="381"/>
      <c r="G210" s="381"/>
      <c r="H210" s="381"/>
      <c r="I210" s="381"/>
      <c r="J210" s="381"/>
      <c r="K210" s="381"/>
      <c r="L210" s="381"/>
      <c r="M210" s="381"/>
      <c r="N210" s="381"/>
      <c r="O210" s="381"/>
      <c r="P210" s="381"/>
      <c r="Q210" s="381"/>
      <c r="R210" s="381"/>
      <c r="S210" s="381"/>
      <c r="T210" s="381"/>
      <c r="U210" s="381"/>
      <c r="V210" s="381"/>
      <c r="W210" s="381"/>
    </row>
    <row r="211" spans="1:23" x14ac:dyDescent="0.3">
      <c r="B211" s="57" t="s">
        <v>53</v>
      </c>
      <c r="C211" s="58"/>
      <c r="D211" s="25">
        <f>SUM(D209:D210)</f>
        <v>1177</v>
      </c>
      <c r="E211" s="26">
        <f t="shared" ref="E211:V211" si="134">SUM(E209:E210)</f>
        <v>1177</v>
      </c>
      <c r="F211" s="26">
        <f t="shared" si="134"/>
        <v>1177</v>
      </c>
      <c r="G211" s="26">
        <f t="shared" si="134"/>
        <v>1177</v>
      </c>
      <c r="H211" s="26">
        <f t="shared" si="134"/>
        <v>1177</v>
      </c>
      <c r="I211" s="26">
        <f t="shared" si="134"/>
        <v>1177</v>
      </c>
      <c r="J211" s="26">
        <f t="shared" si="134"/>
        <v>1177</v>
      </c>
      <c r="K211" s="26">
        <f t="shared" si="134"/>
        <v>1177</v>
      </c>
      <c r="L211" s="26">
        <f t="shared" si="134"/>
        <v>1177</v>
      </c>
      <c r="M211" s="26">
        <f t="shared" si="134"/>
        <v>1177</v>
      </c>
      <c r="N211" s="26">
        <f t="shared" si="134"/>
        <v>1177</v>
      </c>
      <c r="O211" s="26">
        <f t="shared" si="134"/>
        <v>1177</v>
      </c>
      <c r="P211" s="26">
        <f t="shared" si="134"/>
        <v>1177</v>
      </c>
      <c r="Q211" s="26">
        <f t="shared" si="134"/>
        <v>1177</v>
      </c>
      <c r="R211" s="26">
        <f t="shared" si="134"/>
        <v>1177</v>
      </c>
      <c r="S211" s="26">
        <f t="shared" si="134"/>
        <v>1177</v>
      </c>
      <c r="T211" s="26">
        <f t="shared" si="134"/>
        <v>1177</v>
      </c>
      <c r="U211" s="26">
        <f t="shared" si="134"/>
        <v>1177</v>
      </c>
      <c r="V211" s="26">
        <f t="shared" si="134"/>
        <v>1177</v>
      </c>
      <c r="W211" s="26">
        <f>SUM(W209:W210)</f>
        <v>1177</v>
      </c>
    </row>
    <row r="212" spans="1:23" x14ac:dyDescent="0.3">
      <c r="B212" s="331" t="s">
        <v>54</v>
      </c>
      <c r="C212" s="332"/>
      <c r="D212" s="333"/>
      <c r="E212" s="333"/>
      <c r="F212" s="333"/>
      <c r="G212" s="333"/>
      <c r="H212" s="333"/>
      <c r="I212" s="333"/>
      <c r="J212" s="333"/>
      <c r="K212" s="333"/>
      <c r="L212" s="333"/>
      <c r="M212" s="333"/>
      <c r="N212" s="333"/>
      <c r="O212" s="333"/>
      <c r="P212" s="333"/>
      <c r="Q212" s="333"/>
      <c r="R212" s="333"/>
      <c r="S212" s="333"/>
      <c r="T212" s="333"/>
      <c r="U212" s="333"/>
      <c r="V212" s="333"/>
      <c r="W212" s="333"/>
    </row>
    <row r="213" spans="1:23" ht="23" x14ac:dyDescent="0.35">
      <c r="B213" s="353" t="s">
        <v>55</v>
      </c>
      <c r="C213" s="354"/>
      <c r="D213" s="355">
        <f>D211</f>
        <v>1177</v>
      </c>
      <c r="E213" s="356">
        <f t="shared" ref="E213:W213" si="135">E211</f>
        <v>1177</v>
      </c>
      <c r="F213" s="356">
        <f t="shared" si="135"/>
        <v>1177</v>
      </c>
      <c r="G213" s="356">
        <f t="shared" si="135"/>
        <v>1177</v>
      </c>
      <c r="H213" s="356">
        <f t="shared" si="135"/>
        <v>1177</v>
      </c>
      <c r="I213" s="356">
        <f t="shared" si="135"/>
        <v>1177</v>
      </c>
      <c r="J213" s="356">
        <f t="shared" si="135"/>
        <v>1177</v>
      </c>
      <c r="K213" s="356">
        <f t="shared" si="135"/>
        <v>1177</v>
      </c>
      <c r="L213" s="356">
        <f t="shared" si="135"/>
        <v>1177</v>
      </c>
      <c r="M213" s="356">
        <f t="shared" si="135"/>
        <v>1177</v>
      </c>
      <c r="N213" s="356">
        <f t="shared" si="135"/>
        <v>1177</v>
      </c>
      <c r="O213" s="356">
        <f t="shared" si="135"/>
        <v>1177</v>
      </c>
      <c r="P213" s="356">
        <f t="shared" si="135"/>
        <v>1177</v>
      </c>
      <c r="Q213" s="356">
        <f t="shared" si="135"/>
        <v>1177</v>
      </c>
      <c r="R213" s="356">
        <f t="shared" si="135"/>
        <v>1177</v>
      </c>
      <c r="S213" s="356">
        <f t="shared" si="135"/>
        <v>1177</v>
      </c>
      <c r="T213" s="356">
        <f t="shared" si="135"/>
        <v>1177</v>
      </c>
      <c r="U213" s="356">
        <f t="shared" si="135"/>
        <v>1177</v>
      </c>
      <c r="V213" s="356">
        <f t="shared" si="135"/>
        <v>1177</v>
      </c>
      <c r="W213" s="356">
        <f t="shared" si="135"/>
        <v>1177</v>
      </c>
    </row>
    <row r="214" spans="1:23" x14ac:dyDescent="0.3">
      <c r="B214" s="171" t="s">
        <v>194</v>
      </c>
      <c r="C214" s="55"/>
      <c r="D214" s="181">
        <v>904</v>
      </c>
      <c r="E214" s="282">
        <v>920</v>
      </c>
      <c r="F214" s="282">
        <v>924</v>
      </c>
      <c r="G214" s="282">
        <v>917</v>
      </c>
      <c r="H214" s="282">
        <v>910</v>
      </c>
      <c r="I214" s="282">
        <v>913</v>
      </c>
      <c r="J214" s="282">
        <v>918</v>
      </c>
      <c r="K214" s="282">
        <v>915</v>
      </c>
      <c r="L214" s="282">
        <v>918</v>
      </c>
      <c r="M214" s="282">
        <v>910</v>
      </c>
      <c r="N214" s="282">
        <v>847</v>
      </c>
      <c r="O214" s="282">
        <v>847</v>
      </c>
      <c r="P214" s="282">
        <v>847</v>
      </c>
      <c r="Q214" s="282">
        <v>847</v>
      </c>
      <c r="R214" s="282">
        <v>905</v>
      </c>
      <c r="S214" s="282">
        <v>905</v>
      </c>
      <c r="T214" s="282">
        <v>910</v>
      </c>
      <c r="U214" s="282">
        <v>914</v>
      </c>
      <c r="V214" s="282">
        <v>903</v>
      </c>
      <c r="W214" s="282">
        <v>905</v>
      </c>
    </row>
    <row r="215" spans="1:23" s="51" customFormat="1" x14ac:dyDescent="0.3">
      <c r="A215" s="407"/>
      <c r="B215" s="61" t="s">
        <v>195</v>
      </c>
      <c r="C215" s="62"/>
      <c r="D215" s="283">
        <v>907</v>
      </c>
      <c r="E215" s="283">
        <v>923</v>
      </c>
      <c r="F215" s="283">
        <v>927</v>
      </c>
      <c r="G215" s="283">
        <v>920</v>
      </c>
      <c r="H215" s="283">
        <v>913</v>
      </c>
      <c r="I215" s="283">
        <v>916</v>
      </c>
      <c r="J215" s="283">
        <v>921</v>
      </c>
      <c r="K215" s="283">
        <v>918</v>
      </c>
      <c r="L215" s="283">
        <v>921</v>
      </c>
      <c r="M215" s="283">
        <v>913</v>
      </c>
      <c r="N215" s="283">
        <v>850</v>
      </c>
      <c r="O215" s="283">
        <v>850</v>
      </c>
      <c r="P215" s="283">
        <v>850</v>
      </c>
      <c r="Q215" s="283">
        <v>850</v>
      </c>
      <c r="R215" s="283">
        <v>908</v>
      </c>
      <c r="S215" s="283">
        <v>908</v>
      </c>
      <c r="T215" s="283">
        <v>913</v>
      </c>
      <c r="U215" s="283">
        <v>917</v>
      </c>
      <c r="V215" s="283">
        <v>906</v>
      </c>
      <c r="W215" s="283">
        <v>908</v>
      </c>
    </row>
    <row r="216" spans="1:23" s="51" customFormat="1" x14ac:dyDescent="0.3">
      <c r="A216" s="407"/>
      <c r="B216" s="61" t="s">
        <v>196</v>
      </c>
      <c r="C216" s="62"/>
      <c r="D216" s="283">
        <v>917</v>
      </c>
      <c r="E216" s="283">
        <v>933</v>
      </c>
      <c r="F216" s="283">
        <v>937</v>
      </c>
      <c r="G216" s="283">
        <v>930</v>
      </c>
      <c r="H216" s="283">
        <v>923</v>
      </c>
      <c r="I216" s="283">
        <v>926</v>
      </c>
      <c r="J216" s="283">
        <v>931</v>
      </c>
      <c r="K216" s="283">
        <v>928</v>
      </c>
      <c r="L216" s="283">
        <v>931</v>
      </c>
      <c r="M216" s="283">
        <v>923</v>
      </c>
      <c r="N216" s="283">
        <v>860</v>
      </c>
      <c r="O216" s="283">
        <v>860</v>
      </c>
      <c r="P216" s="283">
        <v>860</v>
      </c>
      <c r="Q216" s="283">
        <v>860</v>
      </c>
      <c r="R216" s="283">
        <v>918</v>
      </c>
      <c r="S216" s="283">
        <v>918</v>
      </c>
      <c r="T216" s="283">
        <v>923</v>
      </c>
      <c r="U216" s="283">
        <v>927</v>
      </c>
      <c r="V216" s="283">
        <v>916</v>
      </c>
      <c r="W216" s="283">
        <v>918</v>
      </c>
    </row>
    <row r="217" spans="1:23" s="51" customFormat="1" x14ac:dyDescent="0.3">
      <c r="A217" s="407"/>
      <c r="B217" s="61" t="s">
        <v>197</v>
      </c>
      <c r="C217" s="62"/>
      <c r="D217" s="283">
        <v>927</v>
      </c>
      <c r="E217" s="283">
        <v>943</v>
      </c>
      <c r="F217" s="283">
        <v>947</v>
      </c>
      <c r="G217" s="283">
        <v>940</v>
      </c>
      <c r="H217" s="283">
        <v>933</v>
      </c>
      <c r="I217" s="283">
        <v>936</v>
      </c>
      <c r="J217" s="283">
        <v>941</v>
      </c>
      <c r="K217" s="283">
        <v>938</v>
      </c>
      <c r="L217" s="283">
        <v>941</v>
      </c>
      <c r="M217" s="283">
        <v>933</v>
      </c>
      <c r="N217" s="283">
        <v>870</v>
      </c>
      <c r="O217" s="283">
        <v>870</v>
      </c>
      <c r="P217" s="283">
        <v>870</v>
      </c>
      <c r="Q217" s="283">
        <v>870</v>
      </c>
      <c r="R217" s="283">
        <v>928</v>
      </c>
      <c r="S217" s="283">
        <v>928</v>
      </c>
      <c r="T217" s="283">
        <v>933</v>
      </c>
      <c r="U217" s="283">
        <v>937</v>
      </c>
      <c r="V217" s="283">
        <v>926</v>
      </c>
      <c r="W217" s="283">
        <v>928</v>
      </c>
    </row>
    <row r="218" spans="1:23" s="30" customFormat="1" x14ac:dyDescent="0.3">
      <c r="A218" s="404"/>
      <c r="B218" s="63" t="s">
        <v>198</v>
      </c>
      <c r="C218" s="62"/>
      <c r="D218" s="31">
        <f t="shared" ref="D218:E221" si="136">+D214-D$213</f>
        <v>-273</v>
      </c>
      <c r="E218" s="31">
        <f t="shared" si="136"/>
        <v>-257</v>
      </c>
      <c r="F218" s="31">
        <f t="shared" ref="F218:W218" si="137">+F214-F$213</f>
        <v>-253</v>
      </c>
      <c r="G218" s="31">
        <f t="shared" si="137"/>
        <v>-260</v>
      </c>
      <c r="H218" s="31">
        <f t="shared" si="137"/>
        <v>-267</v>
      </c>
      <c r="I218" s="31">
        <f t="shared" si="137"/>
        <v>-264</v>
      </c>
      <c r="J218" s="31">
        <f t="shared" si="137"/>
        <v>-259</v>
      </c>
      <c r="K218" s="31">
        <f t="shared" si="137"/>
        <v>-262</v>
      </c>
      <c r="L218" s="31">
        <f t="shared" si="137"/>
        <v>-259</v>
      </c>
      <c r="M218" s="31">
        <f t="shared" si="137"/>
        <v>-267</v>
      </c>
      <c r="N218" s="31">
        <f t="shared" si="137"/>
        <v>-330</v>
      </c>
      <c r="O218" s="31">
        <f t="shared" si="137"/>
        <v>-330</v>
      </c>
      <c r="P218" s="31">
        <f t="shared" si="137"/>
        <v>-330</v>
      </c>
      <c r="Q218" s="31">
        <f t="shared" si="137"/>
        <v>-330</v>
      </c>
      <c r="R218" s="31">
        <f t="shared" si="137"/>
        <v>-272</v>
      </c>
      <c r="S218" s="31">
        <f t="shared" si="137"/>
        <v>-272</v>
      </c>
      <c r="T218" s="31">
        <f t="shared" si="137"/>
        <v>-267</v>
      </c>
      <c r="U218" s="31">
        <f t="shared" si="137"/>
        <v>-263</v>
      </c>
      <c r="V218" s="31">
        <f t="shared" si="137"/>
        <v>-274</v>
      </c>
      <c r="W218" s="31">
        <f t="shared" si="137"/>
        <v>-272</v>
      </c>
    </row>
    <row r="219" spans="1:23" s="33" customFormat="1" x14ac:dyDescent="0.3">
      <c r="A219" s="405"/>
      <c r="B219" s="63" t="s">
        <v>199</v>
      </c>
      <c r="C219" s="64"/>
      <c r="D219" s="31">
        <f t="shared" si="136"/>
        <v>-270</v>
      </c>
      <c r="E219" s="31">
        <f t="shared" si="136"/>
        <v>-254</v>
      </c>
      <c r="F219" s="31">
        <f t="shared" ref="F219:W219" si="138">+F215-F$213</f>
        <v>-250</v>
      </c>
      <c r="G219" s="31">
        <f t="shared" si="138"/>
        <v>-257</v>
      </c>
      <c r="H219" s="31">
        <f t="shared" si="138"/>
        <v>-264</v>
      </c>
      <c r="I219" s="31">
        <f t="shared" si="138"/>
        <v>-261</v>
      </c>
      <c r="J219" s="31">
        <f t="shared" si="138"/>
        <v>-256</v>
      </c>
      <c r="K219" s="31">
        <f t="shared" si="138"/>
        <v>-259</v>
      </c>
      <c r="L219" s="31">
        <f t="shared" si="138"/>
        <v>-256</v>
      </c>
      <c r="M219" s="31">
        <f t="shared" si="138"/>
        <v>-264</v>
      </c>
      <c r="N219" s="31">
        <f t="shared" si="138"/>
        <v>-327</v>
      </c>
      <c r="O219" s="31">
        <f t="shared" si="138"/>
        <v>-327</v>
      </c>
      <c r="P219" s="31">
        <f t="shared" si="138"/>
        <v>-327</v>
      </c>
      <c r="Q219" s="31">
        <f t="shared" si="138"/>
        <v>-327</v>
      </c>
      <c r="R219" s="31">
        <f t="shared" si="138"/>
        <v>-269</v>
      </c>
      <c r="S219" s="31">
        <f t="shared" si="138"/>
        <v>-269</v>
      </c>
      <c r="T219" s="31">
        <f t="shared" si="138"/>
        <v>-264</v>
      </c>
      <c r="U219" s="31">
        <f t="shared" si="138"/>
        <v>-260</v>
      </c>
      <c r="V219" s="31">
        <f t="shared" si="138"/>
        <v>-271</v>
      </c>
      <c r="W219" s="31">
        <f t="shared" si="138"/>
        <v>-269</v>
      </c>
    </row>
    <row r="220" spans="1:23" s="33" customFormat="1" x14ac:dyDescent="0.3">
      <c r="A220" s="405"/>
      <c r="B220" s="63" t="s">
        <v>200</v>
      </c>
      <c r="C220" s="64"/>
      <c r="D220" s="31">
        <f t="shared" si="136"/>
        <v>-260</v>
      </c>
      <c r="E220" s="31">
        <f t="shared" si="136"/>
        <v>-244</v>
      </c>
      <c r="F220" s="31">
        <f t="shared" ref="F220:W220" si="139">+F216-F$213</f>
        <v>-240</v>
      </c>
      <c r="G220" s="31">
        <f t="shared" si="139"/>
        <v>-247</v>
      </c>
      <c r="H220" s="31">
        <f t="shared" si="139"/>
        <v>-254</v>
      </c>
      <c r="I220" s="31">
        <f t="shared" si="139"/>
        <v>-251</v>
      </c>
      <c r="J220" s="31">
        <f t="shared" si="139"/>
        <v>-246</v>
      </c>
      <c r="K220" s="31">
        <f t="shared" si="139"/>
        <v>-249</v>
      </c>
      <c r="L220" s="31">
        <f t="shared" si="139"/>
        <v>-246</v>
      </c>
      <c r="M220" s="31">
        <f t="shared" si="139"/>
        <v>-254</v>
      </c>
      <c r="N220" s="31">
        <f t="shared" si="139"/>
        <v>-317</v>
      </c>
      <c r="O220" s="31">
        <f t="shared" si="139"/>
        <v>-317</v>
      </c>
      <c r="P220" s="31">
        <f t="shared" si="139"/>
        <v>-317</v>
      </c>
      <c r="Q220" s="31">
        <f t="shared" si="139"/>
        <v>-317</v>
      </c>
      <c r="R220" s="31">
        <f t="shared" si="139"/>
        <v>-259</v>
      </c>
      <c r="S220" s="31">
        <f t="shared" si="139"/>
        <v>-259</v>
      </c>
      <c r="T220" s="31">
        <f t="shared" si="139"/>
        <v>-254</v>
      </c>
      <c r="U220" s="31">
        <f t="shared" si="139"/>
        <v>-250</v>
      </c>
      <c r="V220" s="31">
        <f t="shared" si="139"/>
        <v>-261</v>
      </c>
      <c r="W220" s="31">
        <f t="shared" si="139"/>
        <v>-259</v>
      </c>
    </row>
    <row r="221" spans="1:23" s="33" customFormat="1" x14ac:dyDescent="0.3">
      <c r="A221" s="405"/>
      <c r="B221" s="63" t="s">
        <v>201</v>
      </c>
      <c r="C221" s="64"/>
      <c r="D221" s="31">
        <f t="shared" si="136"/>
        <v>-250</v>
      </c>
      <c r="E221" s="31">
        <f t="shared" si="136"/>
        <v>-234</v>
      </c>
      <c r="F221" s="31">
        <f t="shared" ref="F221:W221" si="140">+F217-F$213</f>
        <v>-230</v>
      </c>
      <c r="G221" s="31">
        <f t="shared" si="140"/>
        <v>-237</v>
      </c>
      <c r="H221" s="31">
        <f t="shared" si="140"/>
        <v>-244</v>
      </c>
      <c r="I221" s="31">
        <f t="shared" si="140"/>
        <v>-241</v>
      </c>
      <c r="J221" s="31">
        <f t="shared" si="140"/>
        <v>-236</v>
      </c>
      <c r="K221" s="31">
        <f t="shared" si="140"/>
        <v>-239</v>
      </c>
      <c r="L221" s="31">
        <f t="shared" si="140"/>
        <v>-236</v>
      </c>
      <c r="M221" s="31">
        <f t="shared" si="140"/>
        <v>-244</v>
      </c>
      <c r="N221" s="31">
        <f t="shared" si="140"/>
        <v>-307</v>
      </c>
      <c r="O221" s="31">
        <f t="shared" si="140"/>
        <v>-307</v>
      </c>
      <c r="P221" s="31">
        <f t="shared" si="140"/>
        <v>-307</v>
      </c>
      <c r="Q221" s="31">
        <f t="shared" si="140"/>
        <v>-307</v>
      </c>
      <c r="R221" s="31">
        <f t="shared" si="140"/>
        <v>-249</v>
      </c>
      <c r="S221" s="31">
        <f t="shared" si="140"/>
        <v>-249</v>
      </c>
      <c r="T221" s="31">
        <f t="shared" si="140"/>
        <v>-244</v>
      </c>
      <c r="U221" s="31">
        <f t="shared" si="140"/>
        <v>-240</v>
      </c>
      <c r="V221" s="31">
        <f t="shared" si="140"/>
        <v>-251</v>
      </c>
      <c r="W221" s="31">
        <f t="shared" si="140"/>
        <v>-249</v>
      </c>
    </row>
    <row r="222" spans="1:23" x14ac:dyDescent="0.3">
      <c r="B222" s="97" t="s">
        <v>202</v>
      </c>
      <c r="C222" s="98"/>
      <c r="D222" s="100">
        <f t="shared" ref="D222:E225" si="141">+D218/D214</f>
        <v>-0.30199115044247787</v>
      </c>
      <c r="E222" s="100">
        <f t="shared" si="141"/>
        <v>-0.27934782608695652</v>
      </c>
      <c r="F222" s="100">
        <f t="shared" ref="F222:W222" si="142">+F218/F214</f>
        <v>-0.27380952380952384</v>
      </c>
      <c r="G222" s="100">
        <f t="shared" si="142"/>
        <v>-0.28353326063249729</v>
      </c>
      <c r="H222" s="100">
        <f t="shared" si="142"/>
        <v>-0.29340659340659342</v>
      </c>
      <c r="I222" s="100">
        <f t="shared" si="142"/>
        <v>-0.28915662650602408</v>
      </c>
      <c r="J222" s="100">
        <f t="shared" si="142"/>
        <v>-0.28213507625272333</v>
      </c>
      <c r="K222" s="100">
        <f t="shared" si="142"/>
        <v>-0.28633879781420762</v>
      </c>
      <c r="L222" s="100">
        <f t="shared" si="142"/>
        <v>-0.28213507625272333</v>
      </c>
      <c r="M222" s="100">
        <f t="shared" si="142"/>
        <v>-0.29340659340659342</v>
      </c>
      <c r="N222" s="100">
        <f t="shared" si="142"/>
        <v>-0.38961038961038963</v>
      </c>
      <c r="O222" s="100">
        <f t="shared" si="142"/>
        <v>-0.38961038961038963</v>
      </c>
      <c r="P222" s="100">
        <f t="shared" si="142"/>
        <v>-0.38961038961038963</v>
      </c>
      <c r="Q222" s="100">
        <f t="shared" si="142"/>
        <v>-0.38961038961038963</v>
      </c>
      <c r="R222" s="100">
        <f t="shared" si="142"/>
        <v>-0.3005524861878453</v>
      </c>
      <c r="S222" s="100">
        <f t="shared" si="142"/>
        <v>-0.3005524861878453</v>
      </c>
      <c r="T222" s="100">
        <f t="shared" si="142"/>
        <v>-0.29340659340659342</v>
      </c>
      <c r="U222" s="100">
        <f t="shared" si="142"/>
        <v>-0.28774617067833697</v>
      </c>
      <c r="V222" s="100">
        <f t="shared" si="142"/>
        <v>-0.30343300110741972</v>
      </c>
      <c r="W222" s="100">
        <f t="shared" si="142"/>
        <v>-0.3005524861878453</v>
      </c>
    </row>
    <row r="223" spans="1:23" s="36" customFormat="1" x14ac:dyDescent="0.3">
      <c r="A223" s="406"/>
      <c r="B223" s="97" t="s">
        <v>203</v>
      </c>
      <c r="C223" s="98"/>
      <c r="D223" s="100">
        <f t="shared" si="141"/>
        <v>-0.29768467475192945</v>
      </c>
      <c r="E223" s="100">
        <f t="shared" si="141"/>
        <v>-0.27518959913326113</v>
      </c>
      <c r="F223" s="100">
        <f t="shared" ref="F223:W223" si="143">+F219/F215</f>
        <v>-0.26968716289104638</v>
      </c>
      <c r="G223" s="100">
        <f t="shared" si="143"/>
        <v>-0.27934782608695652</v>
      </c>
      <c r="H223" s="100">
        <f t="shared" si="143"/>
        <v>-0.28915662650602408</v>
      </c>
      <c r="I223" s="100">
        <f t="shared" si="143"/>
        <v>-0.28493449781659391</v>
      </c>
      <c r="J223" s="100">
        <f t="shared" si="143"/>
        <v>-0.27795874049945712</v>
      </c>
      <c r="K223" s="100">
        <f t="shared" si="143"/>
        <v>-0.28213507625272333</v>
      </c>
      <c r="L223" s="100">
        <f t="shared" si="143"/>
        <v>-0.27795874049945712</v>
      </c>
      <c r="M223" s="100">
        <f t="shared" si="143"/>
        <v>-0.28915662650602408</v>
      </c>
      <c r="N223" s="100">
        <f t="shared" si="143"/>
        <v>-0.38470588235294118</v>
      </c>
      <c r="O223" s="100">
        <f t="shared" si="143"/>
        <v>-0.38470588235294118</v>
      </c>
      <c r="P223" s="100">
        <f t="shared" si="143"/>
        <v>-0.38470588235294118</v>
      </c>
      <c r="Q223" s="100">
        <f t="shared" si="143"/>
        <v>-0.38470588235294118</v>
      </c>
      <c r="R223" s="100">
        <f t="shared" si="143"/>
        <v>-0.29625550660792954</v>
      </c>
      <c r="S223" s="100">
        <f t="shared" si="143"/>
        <v>-0.29625550660792954</v>
      </c>
      <c r="T223" s="100">
        <f t="shared" si="143"/>
        <v>-0.28915662650602408</v>
      </c>
      <c r="U223" s="100">
        <f t="shared" si="143"/>
        <v>-0.28353326063249729</v>
      </c>
      <c r="V223" s="100">
        <f t="shared" si="143"/>
        <v>-0.29911699779249445</v>
      </c>
      <c r="W223" s="100">
        <f t="shared" si="143"/>
        <v>-0.29625550660792954</v>
      </c>
    </row>
    <row r="224" spans="1:23" s="36" customFormat="1" x14ac:dyDescent="0.3">
      <c r="A224" s="406"/>
      <c r="B224" s="97" t="s">
        <v>204</v>
      </c>
      <c r="C224" s="98"/>
      <c r="D224" s="100">
        <f t="shared" si="141"/>
        <v>-0.28353326063249729</v>
      </c>
      <c r="E224" s="100">
        <f t="shared" si="141"/>
        <v>-0.26152197213290462</v>
      </c>
      <c r="F224" s="100">
        <f t="shared" ref="F224:W224" si="144">+F220/F216</f>
        <v>-0.25613660618996797</v>
      </c>
      <c r="G224" s="100">
        <f t="shared" si="144"/>
        <v>-0.26559139784946234</v>
      </c>
      <c r="H224" s="100">
        <f t="shared" si="144"/>
        <v>-0.27518959913326113</v>
      </c>
      <c r="I224" s="100">
        <f t="shared" si="144"/>
        <v>-0.2710583153347732</v>
      </c>
      <c r="J224" s="100">
        <f t="shared" si="144"/>
        <v>-0.26423200859291085</v>
      </c>
      <c r="K224" s="100">
        <f t="shared" si="144"/>
        <v>-0.26831896551724138</v>
      </c>
      <c r="L224" s="100">
        <f t="shared" si="144"/>
        <v>-0.26423200859291085</v>
      </c>
      <c r="M224" s="100">
        <f t="shared" si="144"/>
        <v>-0.27518959913326113</v>
      </c>
      <c r="N224" s="100">
        <f t="shared" si="144"/>
        <v>-0.36860465116279068</v>
      </c>
      <c r="O224" s="100">
        <f t="shared" si="144"/>
        <v>-0.36860465116279068</v>
      </c>
      <c r="P224" s="100">
        <f t="shared" si="144"/>
        <v>-0.36860465116279068</v>
      </c>
      <c r="Q224" s="100">
        <f t="shared" si="144"/>
        <v>-0.36860465116279068</v>
      </c>
      <c r="R224" s="100">
        <f t="shared" si="144"/>
        <v>-0.28213507625272333</v>
      </c>
      <c r="S224" s="100">
        <f t="shared" si="144"/>
        <v>-0.28213507625272333</v>
      </c>
      <c r="T224" s="100">
        <f t="shared" si="144"/>
        <v>-0.27518959913326113</v>
      </c>
      <c r="U224" s="100">
        <f t="shared" si="144"/>
        <v>-0.26968716289104638</v>
      </c>
      <c r="V224" s="100">
        <f t="shared" si="144"/>
        <v>-0.28493449781659391</v>
      </c>
      <c r="W224" s="100">
        <f t="shared" si="144"/>
        <v>-0.28213507625272333</v>
      </c>
    </row>
    <row r="225" spans="1:23" s="36" customFormat="1" x14ac:dyDescent="0.3">
      <c r="A225" s="406"/>
      <c r="B225" s="97" t="s">
        <v>205</v>
      </c>
      <c r="C225" s="98"/>
      <c r="D225" s="100">
        <f t="shared" si="141"/>
        <v>-0.26968716289104638</v>
      </c>
      <c r="E225" s="100">
        <f t="shared" si="141"/>
        <v>-0.24814422057264052</v>
      </c>
      <c r="F225" s="100">
        <f t="shared" ref="F225:W225" si="145">+F221/F217</f>
        <v>-0.24287222808870115</v>
      </c>
      <c r="G225" s="100">
        <f t="shared" si="145"/>
        <v>-0.25212765957446809</v>
      </c>
      <c r="H225" s="100">
        <f t="shared" si="145"/>
        <v>-0.26152197213290462</v>
      </c>
      <c r="I225" s="100">
        <f t="shared" si="145"/>
        <v>-0.25747863247863245</v>
      </c>
      <c r="J225" s="100">
        <f t="shared" si="145"/>
        <v>-0.25079702444208291</v>
      </c>
      <c r="K225" s="100">
        <f t="shared" si="145"/>
        <v>-0.25479744136460553</v>
      </c>
      <c r="L225" s="100">
        <f t="shared" si="145"/>
        <v>-0.25079702444208291</v>
      </c>
      <c r="M225" s="100">
        <f t="shared" si="145"/>
        <v>-0.26152197213290462</v>
      </c>
      <c r="N225" s="100">
        <f t="shared" si="145"/>
        <v>-0.35287356321839081</v>
      </c>
      <c r="O225" s="100">
        <f t="shared" si="145"/>
        <v>-0.35287356321839081</v>
      </c>
      <c r="P225" s="100">
        <f t="shared" si="145"/>
        <v>-0.35287356321839081</v>
      </c>
      <c r="Q225" s="100">
        <f t="shared" si="145"/>
        <v>-0.35287356321839081</v>
      </c>
      <c r="R225" s="100">
        <f t="shared" si="145"/>
        <v>-0.26831896551724138</v>
      </c>
      <c r="S225" s="100">
        <f t="shared" si="145"/>
        <v>-0.26831896551724138</v>
      </c>
      <c r="T225" s="100">
        <f t="shared" si="145"/>
        <v>-0.26152197213290462</v>
      </c>
      <c r="U225" s="100">
        <f t="shared" si="145"/>
        <v>-0.25613660618996797</v>
      </c>
      <c r="V225" s="100">
        <f t="shared" si="145"/>
        <v>-0.2710583153347732</v>
      </c>
      <c r="W225" s="100">
        <f t="shared" si="145"/>
        <v>-0.26831896551724138</v>
      </c>
    </row>
    <row r="226" spans="1:23" s="36" customFormat="1" ht="21" thickBot="1" x14ac:dyDescent="0.35">
      <c r="A226" s="406"/>
      <c r="B226" s="103"/>
      <c r="C226" s="103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</row>
    <row r="227" spans="1:23" s="19" customFormat="1" ht="24" thickBot="1" x14ac:dyDescent="0.4">
      <c r="A227" s="19" t="s">
        <v>262</v>
      </c>
      <c r="B227" s="345" t="s">
        <v>30</v>
      </c>
      <c r="C227" s="68"/>
      <c r="D227" s="17" t="s">
        <v>5</v>
      </c>
      <c r="E227" s="18" t="s">
        <v>6</v>
      </c>
      <c r="F227" s="18" t="s">
        <v>7</v>
      </c>
      <c r="G227" s="18" t="s">
        <v>8</v>
      </c>
      <c r="H227" s="18" t="s">
        <v>9</v>
      </c>
      <c r="I227" s="18" t="s">
        <v>10</v>
      </c>
      <c r="J227" s="18" t="s">
        <v>11</v>
      </c>
      <c r="K227" s="18" t="s">
        <v>12</v>
      </c>
      <c r="L227" s="18" t="s">
        <v>13</v>
      </c>
      <c r="M227" s="18" t="s">
        <v>14</v>
      </c>
      <c r="N227" s="18" t="s">
        <v>15</v>
      </c>
      <c r="O227" s="18" t="s">
        <v>16</v>
      </c>
      <c r="P227" s="18" t="s">
        <v>17</v>
      </c>
      <c r="Q227" s="18" t="s">
        <v>18</v>
      </c>
      <c r="R227" s="18" t="s">
        <v>19</v>
      </c>
      <c r="S227" s="18" t="s">
        <v>20</v>
      </c>
      <c r="T227" s="18" t="s">
        <v>21</v>
      </c>
      <c r="U227" s="18" t="s">
        <v>22</v>
      </c>
      <c r="V227" s="18" t="s">
        <v>23</v>
      </c>
      <c r="W227" s="18" t="s">
        <v>166</v>
      </c>
    </row>
    <row r="228" spans="1:23" x14ac:dyDescent="0.3">
      <c r="A228" s="19" t="s">
        <v>263</v>
      </c>
      <c r="B228" s="54" t="s">
        <v>50</v>
      </c>
      <c r="C228" s="55"/>
      <c r="D228" s="20">
        <v>27</v>
      </c>
      <c r="E228" s="21">
        <f>D228</f>
        <v>27</v>
      </c>
      <c r="F228" s="21">
        <f t="shared" ref="F228:W228" si="146">E228</f>
        <v>27</v>
      </c>
      <c r="G228" s="21">
        <f t="shared" si="146"/>
        <v>27</v>
      </c>
      <c r="H228" s="21">
        <f t="shared" si="146"/>
        <v>27</v>
      </c>
      <c r="I228" s="21">
        <f>G228</f>
        <v>27</v>
      </c>
      <c r="J228" s="21">
        <f t="shared" si="146"/>
        <v>27</v>
      </c>
      <c r="K228" s="21">
        <f t="shared" si="146"/>
        <v>27</v>
      </c>
      <c r="L228" s="21">
        <f t="shared" si="146"/>
        <v>27</v>
      </c>
      <c r="M228" s="21">
        <f t="shared" si="146"/>
        <v>27</v>
      </c>
      <c r="N228" s="21">
        <f t="shared" si="146"/>
        <v>27</v>
      </c>
      <c r="O228" s="21">
        <f t="shared" si="146"/>
        <v>27</v>
      </c>
      <c r="P228" s="21">
        <f t="shared" si="146"/>
        <v>27</v>
      </c>
      <c r="Q228" s="21">
        <f t="shared" si="146"/>
        <v>27</v>
      </c>
      <c r="R228" s="21">
        <f t="shared" si="146"/>
        <v>27</v>
      </c>
      <c r="S228" s="21">
        <f t="shared" si="146"/>
        <v>27</v>
      </c>
      <c r="T228" s="21">
        <f t="shared" si="146"/>
        <v>27</v>
      </c>
      <c r="U228" s="21">
        <f t="shared" si="146"/>
        <v>27</v>
      </c>
      <c r="V228" s="21">
        <f t="shared" si="146"/>
        <v>27</v>
      </c>
      <c r="W228" s="21">
        <f t="shared" si="146"/>
        <v>27</v>
      </c>
    </row>
    <row r="229" spans="1:23" ht="23" x14ac:dyDescent="0.35">
      <c r="A229" s="19" t="s">
        <v>264</v>
      </c>
      <c r="B229" s="340" t="s">
        <v>51</v>
      </c>
      <c r="C229" s="341"/>
      <c r="D229" s="343"/>
      <c r="E229" s="342"/>
      <c r="F229" s="342"/>
      <c r="G229" s="342"/>
      <c r="H229" s="342"/>
      <c r="I229" s="342"/>
      <c r="J229" s="342"/>
      <c r="K229" s="342"/>
      <c r="L229" s="342"/>
      <c r="M229" s="342"/>
      <c r="N229" s="342"/>
      <c r="O229" s="342"/>
      <c r="P229" s="342"/>
      <c r="Q229" s="342"/>
      <c r="R229" s="342"/>
      <c r="S229" s="342"/>
      <c r="T229" s="342"/>
      <c r="U229" s="342"/>
      <c r="V229" s="342"/>
      <c r="W229" s="342"/>
    </row>
    <row r="230" spans="1:23" x14ac:dyDescent="0.3">
      <c r="A230" s="19" t="s">
        <v>265</v>
      </c>
      <c r="B230" s="54"/>
      <c r="C230" s="55"/>
      <c r="D230" s="20">
        <f t="shared" ref="D230:V230" si="147">D228*(1-D229)</f>
        <v>27</v>
      </c>
      <c r="E230" s="20">
        <f>E228*(1-E229)</f>
        <v>27</v>
      </c>
      <c r="F230" s="20">
        <f t="shared" si="147"/>
        <v>27</v>
      </c>
      <c r="G230" s="20">
        <f t="shared" si="147"/>
        <v>27</v>
      </c>
      <c r="H230" s="20">
        <f t="shared" si="147"/>
        <v>27</v>
      </c>
      <c r="I230" s="20">
        <f t="shared" si="147"/>
        <v>27</v>
      </c>
      <c r="J230" s="20">
        <f t="shared" si="147"/>
        <v>27</v>
      </c>
      <c r="K230" s="20">
        <f t="shared" si="147"/>
        <v>27</v>
      </c>
      <c r="L230" s="20">
        <f t="shared" si="147"/>
        <v>27</v>
      </c>
      <c r="M230" s="20">
        <f t="shared" si="147"/>
        <v>27</v>
      </c>
      <c r="N230" s="20">
        <f t="shared" si="147"/>
        <v>27</v>
      </c>
      <c r="O230" s="20">
        <f t="shared" si="147"/>
        <v>27</v>
      </c>
      <c r="P230" s="20">
        <f t="shared" si="147"/>
        <v>27</v>
      </c>
      <c r="Q230" s="20">
        <f t="shared" si="147"/>
        <v>27</v>
      </c>
      <c r="R230" s="20">
        <f t="shared" si="147"/>
        <v>27</v>
      </c>
      <c r="S230" s="20">
        <f t="shared" si="147"/>
        <v>27</v>
      </c>
      <c r="T230" s="20">
        <f t="shared" si="147"/>
        <v>27</v>
      </c>
      <c r="U230" s="20">
        <f t="shared" si="147"/>
        <v>27</v>
      </c>
      <c r="V230" s="20">
        <f t="shared" si="147"/>
        <v>27</v>
      </c>
      <c r="W230" s="20">
        <f>W228*(1-W229)</f>
        <v>27</v>
      </c>
    </row>
    <row r="231" spans="1:23" x14ac:dyDescent="0.3">
      <c r="A231" s="19" t="s">
        <v>266</v>
      </c>
      <c r="B231" s="54" t="s">
        <v>51</v>
      </c>
      <c r="C231" s="56">
        <v>0</v>
      </c>
      <c r="D231" s="20">
        <f t="shared" ref="D231:W231" si="148">D230*$C231</f>
        <v>0</v>
      </c>
      <c r="E231" s="20">
        <f t="shared" si="148"/>
        <v>0</v>
      </c>
      <c r="F231" s="20">
        <f t="shared" si="148"/>
        <v>0</v>
      </c>
      <c r="G231" s="20">
        <f t="shared" si="148"/>
        <v>0</v>
      </c>
      <c r="H231" s="20">
        <f t="shared" si="148"/>
        <v>0</v>
      </c>
      <c r="I231" s="20">
        <f t="shared" si="148"/>
        <v>0</v>
      </c>
      <c r="J231" s="20">
        <f t="shared" si="148"/>
        <v>0</v>
      </c>
      <c r="K231" s="20">
        <f t="shared" si="148"/>
        <v>0</v>
      </c>
      <c r="L231" s="20">
        <f t="shared" si="148"/>
        <v>0</v>
      </c>
      <c r="M231" s="20">
        <f t="shared" si="148"/>
        <v>0</v>
      </c>
      <c r="N231" s="20">
        <f t="shared" si="148"/>
        <v>0</v>
      </c>
      <c r="O231" s="20">
        <f t="shared" si="148"/>
        <v>0</v>
      </c>
      <c r="P231" s="20">
        <f t="shared" si="148"/>
        <v>0</v>
      </c>
      <c r="Q231" s="20">
        <f t="shared" si="148"/>
        <v>0</v>
      </c>
      <c r="R231" s="20">
        <f t="shared" si="148"/>
        <v>0</v>
      </c>
      <c r="S231" s="20">
        <f t="shared" si="148"/>
        <v>0</v>
      </c>
      <c r="T231" s="20">
        <f t="shared" si="148"/>
        <v>0</v>
      </c>
      <c r="U231" s="20">
        <f t="shared" si="148"/>
        <v>0</v>
      </c>
      <c r="V231" s="20">
        <f t="shared" si="148"/>
        <v>0</v>
      </c>
      <c r="W231" s="20">
        <f t="shared" si="148"/>
        <v>0</v>
      </c>
    </row>
    <row r="232" spans="1:23" x14ac:dyDescent="0.3">
      <c r="A232" s="19" t="s">
        <v>267</v>
      </c>
      <c r="B232" s="54" t="s">
        <v>67</v>
      </c>
      <c r="C232" s="55"/>
      <c r="D232" s="20">
        <f t="shared" ref="D232:W232" si="149">D230-D231</f>
        <v>27</v>
      </c>
      <c r="E232" s="20">
        <f t="shared" si="149"/>
        <v>27</v>
      </c>
      <c r="F232" s="20">
        <f t="shared" si="149"/>
        <v>27</v>
      </c>
      <c r="G232" s="20">
        <f t="shared" si="149"/>
        <v>27</v>
      </c>
      <c r="H232" s="20">
        <f t="shared" si="149"/>
        <v>27</v>
      </c>
      <c r="I232" s="20">
        <f t="shared" si="149"/>
        <v>27</v>
      </c>
      <c r="J232" s="20">
        <f t="shared" si="149"/>
        <v>27</v>
      </c>
      <c r="K232" s="20">
        <f t="shared" si="149"/>
        <v>27</v>
      </c>
      <c r="L232" s="20">
        <f t="shared" si="149"/>
        <v>27</v>
      </c>
      <c r="M232" s="20">
        <f t="shared" si="149"/>
        <v>27</v>
      </c>
      <c r="N232" s="20">
        <f t="shared" si="149"/>
        <v>27</v>
      </c>
      <c r="O232" s="20">
        <f t="shared" si="149"/>
        <v>27</v>
      </c>
      <c r="P232" s="20">
        <f t="shared" si="149"/>
        <v>27</v>
      </c>
      <c r="Q232" s="20">
        <f t="shared" si="149"/>
        <v>27</v>
      </c>
      <c r="R232" s="20">
        <f t="shared" si="149"/>
        <v>27</v>
      </c>
      <c r="S232" s="20">
        <f t="shared" si="149"/>
        <v>27</v>
      </c>
      <c r="T232" s="20">
        <f t="shared" si="149"/>
        <v>27</v>
      </c>
      <c r="U232" s="20">
        <f t="shared" si="149"/>
        <v>27</v>
      </c>
      <c r="V232" s="20">
        <f t="shared" si="149"/>
        <v>27</v>
      </c>
      <c r="W232" s="20">
        <f t="shared" si="149"/>
        <v>27</v>
      </c>
    </row>
    <row r="233" spans="1:23" x14ac:dyDescent="0.3">
      <c r="A233" s="19" t="s">
        <v>268</v>
      </c>
      <c r="B233" s="54" t="s">
        <v>66</v>
      </c>
      <c r="C233" s="56">
        <v>7.0000000000000007E-2</v>
      </c>
      <c r="D233" s="20">
        <f t="shared" ref="D233:W233" si="150">D232*$C233</f>
        <v>1.8900000000000001</v>
      </c>
      <c r="E233" s="20">
        <f t="shared" si="150"/>
        <v>1.8900000000000001</v>
      </c>
      <c r="F233" s="20">
        <f t="shared" si="150"/>
        <v>1.8900000000000001</v>
      </c>
      <c r="G233" s="20">
        <f t="shared" si="150"/>
        <v>1.8900000000000001</v>
      </c>
      <c r="H233" s="20">
        <f t="shared" si="150"/>
        <v>1.8900000000000001</v>
      </c>
      <c r="I233" s="20">
        <f t="shared" si="150"/>
        <v>1.8900000000000001</v>
      </c>
      <c r="J233" s="20">
        <f t="shared" si="150"/>
        <v>1.8900000000000001</v>
      </c>
      <c r="K233" s="20">
        <f t="shared" si="150"/>
        <v>1.8900000000000001</v>
      </c>
      <c r="L233" s="20">
        <f t="shared" si="150"/>
        <v>1.8900000000000001</v>
      </c>
      <c r="M233" s="20">
        <f t="shared" si="150"/>
        <v>1.8900000000000001</v>
      </c>
      <c r="N233" s="20">
        <f t="shared" si="150"/>
        <v>1.8900000000000001</v>
      </c>
      <c r="O233" s="20">
        <f t="shared" si="150"/>
        <v>1.8900000000000001</v>
      </c>
      <c r="P233" s="20">
        <f t="shared" si="150"/>
        <v>1.8900000000000001</v>
      </c>
      <c r="Q233" s="20">
        <f t="shared" si="150"/>
        <v>1.8900000000000001</v>
      </c>
      <c r="R233" s="20">
        <f t="shared" si="150"/>
        <v>1.8900000000000001</v>
      </c>
      <c r="S233" s="20">
        <f t="shared" si="150"/>
        <v>1.8900000000000001</v>
      </c>
      <c r="T233" s="20">
        <f t="shared" si="150"/>
        <v>1.8900000000000001</v>
      </c>
      <c r="U233" s="20">
        <f t="shared" si="150"/>
        <v>1.8900000000000001</v>
      </c>
      <c r="V233" s="20">
        <f t="shared" si="150"/>
        <v>1.8900000000000001</v>
      </c>
      <c r="W233" s="20">
        <f t="shared" si="150"/>
        <v>1.8900000000000001</v>
      </c>
    </row>
    <row r="234" spans="1:23" x14ac:dyDescent="0.3">
      <c r="A234" s="19" t="s">
        <v>269</v>
      </c>
      <c r="B234" s="54" t="s">
        <v>68</v>
      </c>
      <c r="C234" s="55"/>
      <c r="D234" s="20">
        <f>D232+D233</f>
        <v>28.89</v>
      </c>
      <c r="E234" s="20">
        <f>E232+E233</f>
        <v>28.89</v>
      </c>
      <c r="F234" s="20">
        <f t="shared" ref="F234:V234" si="151">F232+F233</f>
        <v>28.89</v>
      </c>
      <c r="G234" s="20">
        <f t="shared" si="151"/>
        <v>28.89</v>
      </c>
      <c r="H234" s="20">
        <f t="shared" si="151"/>
        <v>28.89</v>
      </c>
      <c r="I234" s="20">
        <f t="shared" si="151"/>
        <v>28.89</v>
      </c>
      <c r="J234" s="20">
        <f t="shared" si="151"/>
        <v>28.89</v>
      </c>
      <c r="K234" s="20">
        <f t="shared" si="151"/>
        <v>28.89</v>
      </c>
      <c r="L234" s="20">
        <f t="shared" si="151"/>
        <v>28.89</v>
      </c>
      <c r="M234" s="20">
        <f t="shared" si="151"/>
        <v>28.89</v>
      </c>
      <c r="N234" s="20">
        <f t="shared" si="151"/>
        <v>28.89</v>
      </c>
      <c r="O234" s="20">
        <f t="shared" si="151"/>
        <v>28.89</v>
      </c>
      <c r="P234" s="20">
        <f t="shared" si="151"/>
        <v>28.89</v>
      </c>
      <c r="Q234" s="20">
        <f t="shared" si="151"/>
        <v>28.89</v>
      </c>
      <c r="R234" s="20">
        <f t="shared" si="151"/>
        <v>28.89</v>
      </c>
      <c r="S234" s="20">
        <f t="shared" si="151"/>
        <v>28.89</v>
      </c>
      <c r="T234" s="20">
        <f t="shared" si="151"/>
        <v>28.89</v>
      </c>
      <c r="U234" s="20">
        <f t="shared" si="151"/>
        <v>28.89</v>
      </c>
      <c r="V234" s="20">
        <f t="shared" si="151"/>
        <v>28.89</v>
      </c>
      <c r="W234" s="20">
        <f>W232+W233</f>
        <v>28.89</v>
      </c>
    </row>
    <row r="235" spans="1:23" ht="23" x14ac:dyDescent="0.35">
      <c r="A235" s="19" t="s">
        <v>270</v>
      </c>
      <c r="B235" s="357" t="s">
        <v>52</v>
      </c>
      <c r="C235" s="358"/>
      <c r="D235" s="381"/>
      <c r="E235" s="381"/>
      <c r="F235" s="381"/>
      <c r="G235" s="381"/>
      <c r="H235" s="381"/>
      <c r="I235" s="381"/>
      <c r="J235" s="381"/>
      <c r="K235" s="381"/>
      <c r="L235" s="381"/>
      <c r="M235" s="381"/>
      <c r="N235" s="381"/>
      <c r="O235" s="381"/>
      <c r="P235" s="381"/>
      <c r="Q235" s="381"/>
      <c r="R235" s="381"/>
      <c r="S235" s="381"/>
      <c r="T235" s="381"/>
      <c r="U235" s="381"/>
      <c r="V235" s="381"/>
      <c r="W235" s="381"/>
    </row>
    <row r="236" spans="1:23" x14ac:dyDescent="0.3">
      <c r="A236" s="19" t="s">
        <v>271</v>
      </c>
      <c r="B236" s="57" t="s">
        <v>53</v>
      </c>
      <c r="C236" s="58"/>
      <c r="D236" s="25">
        <f>SUM(D234:D235)</f>
        <v>28.89</v>
      </c>
      <c r="E236" s="26">
        <f>SUM(E234:E235)</f>
        <v>28.89</v>
      </c>
      <c r="F236" s="26">
        <f t="shared" ref="F236:V236" si="152">SUM(F234:F235)</f>
        <v>28.89</v>
      </c>
      <c r="G236" s="26">
        <f t="shared" si="152"/>
        <v>28.89</v>
      </c>
      <c r="H236" s="26">
        <f t="shared" si="152"/>
        <v>28.89</v>
      </c>
      <c r="I236" s="26">
        <f t="shared" si="152"/>
        <v>28.89</v>
      </c>
      <c r="J236" s="26">
        <f t="shared" si="152"/>
        <v>28.89</v>
      </c>
      <c r="K236" s="26">
        <f t="shared" si="152"/>
        <v>28.89</v>
      </c>
      <c r="L236" s="26">
        <f t="shared" si="152"/>
        <v>28.89</v>
      </c>
      <c r="M236" s="26">
        <f t="shared" si="152"/>
        <v>28.89</v>
      </c>
      <c r="N236" s="26">
        <f t="shared" si="152"/>
        <v>28.89</v>
      </c>
      <c r="O236" s="26">
        <f t="shared" si="152"/>
        <v>28.89</v>
      </c>
      <c r="P236" s="26">
        <f t="shared" si="152"/>
        <v>28.89</v>
      </c>
      <c r="Q236" s="26">
        <f t="shared" si="152"/>
        <v>28.89</v>
      </c>
      <c r="R236" s="26">
        <f t="shared" si="152"/>
        <v>28.89</v>
      </c>
      <c r="S236" s="26">
        <f t="shared" si="152"/>
        <v>28.89</v>
      </c>
      <c r="T236" s="26">
        <f t="shared" si="152"/>
        <v>28.89</v>
      </c>
      <c r="U236" s="26">
        <f t="shared" si="152"/>
        <v>28.89</v>
      </c>
      <c r="V236" s="26">
        <f t="shared" si="152"/>
        <v>28.89</v>
      </c>
      <c r="W236" s="26">
        <f>SUM(W234:W235)</f>
        <v>28.89</v>
      </c>
    </row>
    <row r="237" spans="1:23" ht="23" x14ac:dyDescent="0.35">
      <c r="A237" s="19" t="s">
        <v>272</v>
      </c>
      <c r="B237" s="349" t="s">
        <v>54</v>
      </c>
      <c r="C237" s="350"/>
      <c r="D237" s="351"/>
      <c r="E237" s="351"/>
      <c r="F237" s="351"/>
      <c r="G237" s="351"/>
      <c r="H237" s="351"/>
      <c r="I237" s="351"/>
      <c r="J237" s="351"/>
      <c r="K237" s="351"/>
      <c r="L237" s="351"/>
      <c r="M237" s="351"/>
      <c r="N237" s="351"/>
      <c r="O237" s="351"/>
      <c r="P237" s="351"/>
      <c r="Q237" s="351"/>
      <c r="R237" s="351"/>
      <c r="S237" s="351"/>
      <c r="T237" s="351"/>
      <c r="U237" s="351"/>
      <c r="V237" s="351"/>
      <c r="W237" s="351"/>
    </row>
    <row r="238" spans="1:23" ht="23" x14ac:dyDescent="0.35">
      <c r="A238" s="19" t="s">
        <v>273</v>
      </c>
      <c r="B238" s="353" t="s">
        <v>55</v>
      </c>
      <c r="C238" s="354"/>
      <c r="D238" s="355">
        <f>D236</f>
        <v>28.89</v>
      </c>
      <c r="E238" s="356">
        <f t="shared" ref="E238:W238" si="153">E236</f>
        <v>28.89</v>
      </c>
      <c r="F238" s="356">
        <f t="shared" si="153"/>
        <v>28.89</v>
      </c>
      <c r="G238" s="356">
        <f t="shared" si="153"/>
        <v>28.89</v>
      </c>
      <c r="H238" s="356">
        <f t="shared" si="153"/>
        <v>28.89</v>
      </c>
      <c r="I238" s="356">
        <f t="shared" si="153"/>
        <v>28.89</v>
      </c>
      <c r="J238" s="356">
        <f t="shared" si="153"/>
        <v>28.89</v>
      </c>
      <c r="K238" s="356">
        <f t="shared" si="153"/>
        <v>28.89</v>
      </c>
      <c r="L238" s="356">
        <f t="shared" si="153"/>
        <v>28.89</v>
      </c>
      <c r="M238" s="356">
        <f t="shared" si="153"/>
        <v>28.89</v>
      </c>
      <c r="N238" s="356">
        <f t="shared" si="153"/>
        <v>28.89</v>
      </c>
      <c r="O238" s="356">
        <f t="shared" si="153"/>
        <v>28.89</v>
      </c>
      <c r="P238" s="356">
        <f t="shared" si="153"/>
        <v>28.89</v>
      </c>
      <c r="Q238" s="356">
        <f t="shared" si="153"/>
        <v>28.89</v>
      </c>
      <c r="R238" s="356">
        <f t="shared" si="153"/>
        <v>28.89</v>
      </c>
      <c r="S238" s="356">
        <f t="shared" si="153"/>
        <v>28.89</v>
      </c>
      <c r="T238" s="356">
        <f t="shared" si="153"/>
        <v>28.89</v>
      </c>
      <c r="U238" s="356">
        <f t="shared" si="153"/>
        <v>28.89</v>
      </c>
      <c r="V238" s="356">
        <f t="shared" si="153"/>
        <v>28.89</v>
      </c>
      <c r="W238" s="356">
        <f t="shared" si="153"/>
        <v>28.89</v>
      </c>
    </row>
    <row r="239" spans="1:23" x14ac:dyDescent="0.3">
      <c r="A239" s="19" t="s">
        <v>274</v>
      </c>
      <c r="B239" s="171" t="s">
        <v>194</v>
      </c>
      <c r="C239" s="55"/>
      <c r="D239" s="20">
        <v>20.902295999999996</v>
      </c>
      <c r="E239" s="21">
        <v>22.267906</v>
      </c>
      <c r="F239" s="21">
        <v>22.267906</v>
      </c>
      <c r="G239" s="21">
        <v>22.267906</v>
      </c>
      <c r="H239" s="21">
        <v>22.267906</v>
      </c>
      <c r="I239" s="21">
        <v>21.751662</v>
      </c>
      <c r="J239" s="21">
        <v>21.751662</v>
      </c>
      <c r="K239" s="21">
        <v>21.751662</v>
      </c>
      <c r="L239" s="21">
        <v>21.751662</v>
      </c>
      <c r="M239" s="21">
        <v>21.751662</v>
      </c>
      <c r="N239" s="21">
        <v>21.252295999999998</v>
      </c>
      <c r="O239" s="21">
        <v>21.252295999999998</v>
      </c>
      <c r="P239" s="21">
        <v>21.252295999999998</v>
      </c>
      <c r="Q239" s="21">
        <v>21.252295999999998</v>
      </c>
      <c r="R239" s="21">
        <v>22.101662000000001</v>
      </c>
      <c r="S239" s="21">
        <v>22.101662000000001</v>
      </c>
      <c r="T239" s="21">
        <v>22.267906</v>
      </c>
      <c r="U239" s="21">
        <v>22.267906</v>
      </c>
      <c r="V239" s="21">
        <v>22.167905999999999</v>
      </c>
      <c r="W239" s="21">
        <v>22.101662000000001</v>
      </c>
    </row>
    <row r="240" spans="1:23" s="51" customFormat="1" x14ac:dyDescent="0.3">
      <c r="A240" s="407" t="s">
        <v>275</v>
      </c>
      <c r="B240" s="61" t="s">
        <v>195</v>
      </c>
      <c r="C240" s="62"/>
      <c r="D240" s="28">
        <v>22</v>
      </c>
      <c r="E240" s="28">
        <v>23</v>
      </c>
      <c r="F240" s="28">
        <v>23</v>
      </c>
      <c r="G240" s="28">
        <v>23</v>
      </c>
      <c r="H240" s="28">
        <v>23</v>
      </c>
      <c r="I240" s="28">
        <v>23</v>
      </c>
      <c r="J240" s="28">
        <v>23</v>
      </c>
      <c r="K240" s="28">
        <v>23</v>
      </c>
      <c r="L240" s="28">
        <v>23</v>
      </c>
      <c r="M240" s="28">
        <v>23</v>
      </c>
      <c r="N240" s="28">
        <v>22</v>
      </c>
      <c r="O240" s="28">
        <v>22</v>
      </c>
      <c r="P240" s="28">
        <v>22</v>
      </c>
      <c r="Q240" s="28">
        <v>22</v>
      </c>
      <c r="R240" s="28">
        <v>23</v>
      </c>
      <c r="S240" s="28">
        <v>23</v>
      </c>
      <c r="T240" s="28">
        <v>23</v>
      </c>
      <c r="U240" s="28">
        <v>23</v>
      </c>
      <c r="V240" s="28">
        <v>23</v>
      </c>
      <c r="W240" s="28">
        <v>23</v>
      </c>
    </row>
    <row r="241" spans="1:23" s="51" customFormat="1" x14ac:dyDescent="0.3">
      <c r="A241" s="407" t="s">
        <v>276</v>
      </c>
      <c r="B241" s="61" t="s">
        <v>196</v>
      </c>
      <c r="C241" s="62"/>
      <c r="D241" s="28">
        <v>23</v>
      </c>
      <c r="E241" s="28">
        <v>24</v>
      </c>
      <c r="F241" s="28">
        <v>24</v>
      </c>
      <c r="G241" s="28">
        <v>24</v>
      </c>
      <c r="H241" s="28">
        <v>24</v>
      </c>
      <c r="I241" s="28">
        <v>24</v>
      </c>
      <c r="J241" s="28">
        <v>24</v>
      </c>
      <c r="K241" s="28">
        <v>24</v>
      </c>
      <c r="L241" s="28">
        <v>24</v>
      </c>
      <c r="M241" s="28">
        <v>24</v>
      </c>
      <c r="N241" s="28">
        <v>23</v>
      </c>
      <c r="O241" s="28">
        <v>23</v>
      </c>
      <c r="P241" s="28">
        <v>23</v>
      </c>
      <c r="Q241" s="28">
        <v>23</v>
      </c>
      <c r="R241" s="28">
        <v>24</v>
      </c>
      <c r="S241" s="28">
        <v>24</v>
      </c>
      <c r="T241" s="28">
        <v>24</v>
      </c>
      <c r="U241" s="28">
        <v>24</v>
      </c>
      <c r="V241" s="28">
        <v>24</v>
      </c>
      <c r="W241" s="28">
        <v>24</v>
      </c>
    </row>
    <row r="242" spans="1:23" s="51" customFormat="1" x14ac:dyDescent="0.3">
      <c r="A242" s="407" t="s">
        <v>277</v>
      </c>
      <c r="B242" s="61" t="s">
        <v>197</v>
      </c>
      <c r="C242" s="62"/>
      <c r="D242" s="28">
        <v>24</v>
      </c>
      <c r="E242" s="28">
        <v>25</v>
      </c>
      <c r="F242" s="28">
        <v>25</v>
      </c>
      <c r="G242" s="28">
        <v>25</v>
      </c>
      <c r="H242" s="28">
        <v>25</v>
      </c>
      <c r="I242" s="28">
        <v>25</v>
      </c>
      <c r="J242" s="28">
        <v>25</v>
      </c>
      <c r="K242" s="28">
        <v>25</v>
      </c>
      <c r="L242" s="28">
        <v>25</v>
      </c>
      <c r="M242" s="28">
        <v>25</v>
      </c>
      <c r="N242" s="28">
        <v>24</v>
      </c>
      <c r="O242" s="28">
        <v>24</v>
      </c>
      <c r="P242" s="28">
        <v>24</v>
      </c>
      <c r="Q242" s="28">
        <v>24</v>
      </c>
      <c r="R242" s="28">
        <v>25</v>
      </c>
      <c r="S242" s="28">
        <v>25</v>
      </c>
      <c r="T242" s="28">
        <v>25</v>
      </c>
      <c r="U242" s="28">
        <v>25</v>
      </c>
      <c r="V242" s="28">
        <v>25</v>
      </c>
      <c r="W242" s="28">
        <v>25</v>
      </c>
    </row>
    <row r="243" spans="1:23" s="30" customFormat="1" x14ac:dyDescent="0.3">
      <c r="A243" s="404" t="s">
        <v>278</v>
      </c>
      <c r="B243" s="63" t="s">
        <v>198</v>
      </c>
      <c r="C243" s="62"/>
      <c r="D243" s="31">
        <f t="shared" ref="D243:E246" si="154">+D239-D$238</f>
        <v>-7.9877040000000044</v>
      </c>
      <c r="E243" s="31">
        <f t="shared" si="154"/>
        <v>-6.6220940000000006</v>
      </c>
      <c r="F243" s="31">
        <f t="shared" ref="F243:W243" si="155">+F239-F$238</f>
        <v>-6.6220940000000006</v>
      </c>
      <c r="G243" s="31">
        <f t="shared" si="155"/>
        <v>-6.6220940000000006</v>
      </c>
      <c r="H243" s="31">
        <f t="shared" si="155"/>
        <v>-6.6220940000000006</v>
      </c>
      <c r="I243" s="31">
        <f t="shared" si="155"/>
        <v>-7.138338000000001</v>
      </c>
      <c r="J243" s="31">
        <f t="shared" si="155"/>
        <v>-7.138338000000001</v>
      </c>
      <c r="K243" s="31">
        <f t="shared" si="155"/>
        <v>-7.138338000000001</v>
      </c>
      <c r="L243" s="31">
        <f t="shared" si="155"/>
        <v>-7.138338000000001</v>
      </c>
      <c r="M243" s="31">
        <f t="shared" si="155"/>
        <v>-7.138338000000001</v>
      </c>
      <c r="N243" s="31">
        <f t="shared" si="155"/>
        <v>-7.6377040000000029</v>
      </c>
      <c r="O243" s="31">
        <f t="shared" si="155"/>
        <v>-7.6377040000000029</v>
      </c>
      <c r="P243" s="31">
        <f t="shared" si="155"/>
        <v>-7.6377040000000029</v>
      </c>
      <c r="Q243" s="31">
        <f t="shared" si="155"/>
        <v>-7.6377040000000029</v>
      </c>
      <c r="R243" s="31">
        <f t="shared" si="155"/>
        <v>-6.7883379999999995</v>
      </c>
      <c r="S243" s="31">
        <f t="shared" si="155"/>
        <v>-6.7883379999999995</v>
      </c>
      <c r="T243" s="31">
        <f t="shared" si="155"/>
        <v>-6.6220940000000006</v>
      </c>
      <c r="U243" s="31">
        <f t="shared" si="155"/>
        <v>-6.6220940000000006</v>
      </c>
      <c r="V243" s="31">
        <f t="shared" si="155"/>
        <v>-6.722094000000002</v>
      </c>
      <c r="W243" s="31">
        <f t="shared" si="155"/>
        <v>-6.7883379999999995</v>
      </c>
    </row>
    <row r="244" spans="1:23" s="33" customFormat="1" x14ac:dyDescent="0.3">
      <c r="A244" s="405"/>
      <c r="B244" s="63" t="s">
        <v>199</v>
      </c>
      <c r="C244" s="64"/>
      <c r="D244" s="31">
        <f t="shared" si="154"/>
        <v>-6.8900000000000006</v>
      </c>
      <c r="E244" s="32">
        <f t="shared" si="154"/>
        <v>-5.8900000000000006</v>
      </c>
      <c r="F244" s="32">
        <f t="shared" ref="F244:W244" si="156">+F240-F$238</f>
        <v>-5.8900000000000006</v>
      </c>
      <c r="G244" s="32">
        <f t="shared" si="156"/>
        <v>-5.8900000000000006</v>
      </c>
      <c r="H244" s="32">
        <f t="shared" si="156"/>
        <v>-5.8900000000000006</v>
      </c>
      <c r="I244" s="32">
        <f t="shared" si="156"/>
        <v>-5.8900000000000006</v>
      </c>
      <c r="J244" s="32">
        <f t="shared" si="156"/>
        <v>-5.8900000000000006</v>
      </c>
      <c r="K244" s="32">
        <f t="shared" si="156"/>
        <v>-5.8900000000000006</v>
      </c>
      <c r="L244" s="32">
        <f t="shared" si="156"/>
        <v>-5.8900000000000006</v>
      </c>
      <c r="M244" s="32">
        <f t="shared" si="156"/>
        <v>-5.8900000000000006</v>
      </c>
      <c r="N244" s="32">
        <f t="shared" si="156"/>
        <v>-6.8900000000000006</v>
      </c>
      <c r="O244" s="32">
        <f t="shared" si="156"/>
        <v>-6.8900000000000006</v>
      </c>
      <c r="P244" s="32">
        <f t="shared" si="156"/>
        <v>-6.8900000000000006</v>
      </c>
      <c r="Q244" s="32">
        <f t="shared" si="156"/>
        <v>-6.8900000000000006</v>
      </c>
      <c r="R244" s="32">
        <f t="shared" si="156"/>
        <v>-5.8900000000000006</v>
      </c>
      <c r="S244" s="32">
        <f t="shared" si="156"/>
        <v>-5.8900000000000006</v>
      </c>
      <c r="T244" s="32">
        <f t="shared" si="156"/>
        <v>-5.8900000000000006</v>
      </c>
      <c r="U244" s="32">
        <f t="shared" si="156"/>
        <v>-5.8900000000000006</v>
      </c>
      <c r="V244" s="32">
        <f t="shared" si="156"/>
        <v>-5.8900000000000006</v>
      </c>
      <c r="W244" s="32">
        <f t="shared" si="156"/>
        <v>-5.8900000000000006</v>
      </c>
    </row>
    <row r="245" spans="1:23" s="33" customFormat="1" x14ac:dyDescent="0.3">
      <c r="A245" s="405"/>
      <c r="B245" s="63" t="s">
        <v>200</v>
      </c>
      <c r="C245" s="64"/>
      <c r="D245" s="31">
        <f t="shared" si="154"/>
        <v>-5.8900000000000006</v>
      </c>
      <c r="E245" s="32">
        <f t="shared" si="154"/>
        <v>-4.8900000000000006</v>
      </c>
      <c r="F245" s="32">
        <f t="shared" ref="F245:W245" si="157">+F241-F$238</f>
        <v>-4.8900000000000006</v>
      </c>
      <c r="G245" s="32">
        <f t="shared" si="157"/>
        <v>-4.8900000000000006</v>
      </c>
      <c r="H245" s="32">
        <f t="shared" si="157"/>
        <v>-4.8900000000000006</v>
      </c>
      <c r="I245" s="32">
        <f t="shared" si="157"/>
        <v>-4.8900000000000006</v>
      </c>
      <c r="J245" s="32">
        <f t="shared" si="157"/>
        <v>-4.8900000000000006</v>
      </c>
      <c r="K245" s="32">
        <f t="shared" si="157"/>
        <v>-4.8900000000000006</v>
      </c>
      <c r="L245" s="32">
        <f t="shared" si="157"/>
        <v>-4.8900000000000006</v>
      </c>
      <c r="M245" s="32">
        <f t="shared" si="157"/>
        <v>-4.8900000000000006</v>
      </c>
      <c r="N245" s="32">
        <f t="shared" si="157"/>
        <v>-5.8900000000000006</v>
      </c>
      <c r="O245" s="32">
        <f t="shared" si="157"/>
        <v>-5.8900000000000006</v>
      </c>
      <c r="P245" s="32">
        <f t="shared" si="157"/>
        <v>-5.8900000000000006</v>
      </c>
      <c r="Q245" s="32">
        <f t="shared" si="157"/>
        <v>-5.8900000000000006</v>
      </c>
      <c r="R245" s="32">
        <f t="shared" si="157"/>
        <v>-4.8900000000000006</v>
      </c>
      <c r="S245" s="32">
        <f t="shared" si="157"/>
        <v>-4.8900000000000006</v>
      </c>
      <c r="T245" s="32">
        <f t="shared" si="157"/>
        <v>-4.8900000000000006</v>
      </c>
      <c r="U245" s="32">
        <f t="shared" si="157"/>
        <v>-4.8900000000000006</v>
      </c>
      <c r="V245" s="32">
        <f t="shared" si="157"/>
        <v>-4.8900000000000006</v>
      </c>
      <c r="W245" s="32">
        <f t="shared" si="157"/>
        <v>-4.8900000000000006</v>
      </c>
    </row>
    <row r="246" spans="1:23" s="33" customFormat="1" x14ac:dyDescent="0.3">
      <c r="A246" s="405"/>
      <c r="B246" s="63" t="s">
        <v>201</v>
      </c>
      <c r="C246" s="64"/>
      <c r="D246" s="31">
        <f t="shared" si="154"/>
        <v>-4.8900000000000006</v>
      </c>
      <c r="E246" s="32">
        <f t="shared" si="154"/>
        <v>-3.8900000000000006</v>
      </c>
      <c r="F246" s="32">
        <f t="shared" ref="F246:W246" si="158">+F242-F$238</f>
        <v>-3.8900000000000006</v>
      </c>
      <c r="G246" s="32">
        <f t="shared" si="158"/>
        <v>-3.8900000000000006</v>
      </c>
      <c r="H246" s="32">
        <f t="shared" si="158"/>
        <v>-3.8900000000000006</v>
      </c>
      <c r="I246" s="32">
        <f t="shared" si="158"/>
        <v>-3.8900000000000006</v>
      </c>
      <c r="J246" s="32">
        <f t="shared" si="158"/>
        <v>-3.8900000000000006</v>
      </c>
      <c r="K246" s="32">
        <f t="shared" si="158"/>
        <v>-3.8900000000000006</v>
      </c>
      <c r="L246" s="32">
        <f t="shared" si="158"/>
        <v>-3.8900000000000006</v>
      </c>
      <c r="M246" s="32">
        <f t="shared" si="158"/>
        <v>-3.8900000000000006</v>
      </c>
      <c r="N246" s="32">
        <f t="shared" si="158"/>
        <v>-4.8900000000000006</v>
      </c>
      <c r="O246" s="32">
        <f t="shared" si="158"/>
        <v>-4.8900000000000006</v>
      </c>
      <c r="P246" s="32">
        <f t="shared" si="158"/>
        <v>-4.8900000000000006</v>
      </c>
      <c r="Q246" s="32">
        <f t="shared" si="158"/>
        <v>-4.8900000000000006</v>
      </c>
      <c r="R246" s="32">
        <f t="shared" si="158"/>
        <v>-3.8900000000000006</v>
      </c>
      <c r="S246" s="32">
        <f t="shared" si="158"/>
        <v>-3.8900000000000006</v>
      </c>
      <c r="T246" s="32">
        <f t="shared" si="158"/>
        <v>-3.8900000000000006</v>
      </c>
      <c r="U246" s="32">
        <f t="shared" si="158"/>
        <v>-3.8900000000000006</v>
      </c>
      <c r="V246" s="32">
        <f t="shared" si="158"/>
        <v>-3.8900000000000006</v>
      </c>
      <c r="W246" s="32">
        <f t="shared" si="158"/>
        <v>-3.8900000000000006</v>
      </c>
    </row>
    <row r="247" spans="1:23" x14ac:dyDescent="0.3">
      <c r="B247" s="97" t="s">
        <v>202</v>
      </c>
      <c r="C247" s="98"/>
      <c r="D247" s="105">
        <f t="shared" ref="D247:E250" si="159">+D243/D239</f>
        <v>-0.38214481318224591</v>
      </c>
      <c r="E247" s="99">
        <f t="shared" si="159"/>
        <v>-0.29738287919843026</v>
      </c>
      <c r="F247" s="99">
        <f t="shared" ref="F247:W247" si="160">+F243/F239</f>
        <v>-0.29738287919843026</v>
      </c>
      <c r="G247" s="99">
        <f t="shared" si="160"/>
        <v>-0.29738287919843026</v>
      </c>
      <c r="H247" s="99">
        <f t="shared" si="160"/>
        <v>-0.29738287919843026</v>
      </c>
      <c r="I247" s="99">
        <f t="shared" si="160"/>
        <v>-0.32817437122735732</v>
      </c>
      <c r="J247" s="99">
        <f t="shared" si="160"/>
        <v>-0.32817437122735732</v>
      </c>
      <c r="K247" s="99">
        <f t="shared" si="160"/>
        <v>-0.32817437122735732</v>
      </c>
      <c r="L247" s="99">
        <f t="shared" si="160"/>
        <v>-0.32817437122735732</v>
      </c>
      <c r="M247" s="99">
        <f t="shared" si="160"/>
        <v>-0.32817437122735732</v>
      </c>
      <c r="N247" s="99">
        <f t="shared" si="160"/>
        <v>-0.35938253448003943</v>
      </c>
      <c r="O247" s="99">
        <f t="shared" si="160"/>
        <v>-0.35938253448003943</v>
      </c>
      <c r="P247" s="99">
        <f t="shared" si="160"/>
        <v>-0.35938253448003943</v>
      </c>
      <c r="Q247" s="99">
        <f t="shared" si="160"/>
        <v>-0.35938253448003943</v>
      </c>
      <c r="R247" s="99">
        <f t="shared" si="160"/>
        <v>-0.3071415172306951</v>
      </c>
      <c r="S247" s="99">
        <f t="shared" si="160"/>
        <v>-0.3071415172306951</v>
      </c>
      <c r="T247" s="99">
        <f t="shared" si="160"/>
        <v>-0.29738287919843026</v>
      </c>
      <c r="U247" s="99">
        <f t="shared" si="160"/>
        <v>-0.29738287919843026</v>
      </c>
      <c r="V247" s="99">
        <f t="shared" si="160"/>
        <v>-0.30323540707904495</v>
      </c>
      <c r="W247" s="99">
        <f t="shared" si="160"/>
        <v>-0.3071415172306951</v>
      </c>
    </row>
    <row r="248" spans="1:23" s="36" customFormat="1" x14ac:dyDescent="0.3">
      <c r="A248" s="406"/>
      <c r="B248" s="97" t="s">
        <v>203</v>
      </c>
      <c r="C248" s="98"/>
      <c r="D248" s="105">
        <f t="shared" si="159"/>
        <v>-0.31318181818181823</v>
      </c>
      <c r="E248" s="99">
        <f t="shared" si="159"/>
        <v>-0.25608695652173913</v>
      </c>
      <c r="F248" s="99">
        <f t="shared" ref="F248:W248" si="161">+F244/F240</f>
        <v>-0.25608695652173913</v>
      </c>
      <c r="G248" s="99">
        <f t="shared" si="161"/>
        <v>-0.25608695652173913</v>
      </c>
      <c r="H248" s="99">
        <f t="shared" si="161"/>
        <v>-0.25608695652173913</v>
      </c>
      <c r="I248" s="99">
        <f t="shared" si="161"/>
        <v>-0.25608695652173913</v>
      </c>
      <c r="J248" s="99">
        <f t="shared" si="161"/>
        <v>-0.25608695652173913</v>
      </c>
      <c r="K248" s="99">
        <f t="shared" si="161"/>
        <v>-0.25608695652173913</v>
      </c>
      <c r="L248" s="99">
        <f t="shared" si="161"/>
        <v>-0.25608695652173913</v>
      </c>
      <c r="M248" s="99">
        <f t="shared" si="161"/>
        <v>-0.25608695652173913</v>
      </c>
      <c r="N248" s="99">
        <f t="shared" si="161"/>
        <v>-0.31318181818181823</v>
      </c>
      <c r="O248" s="99">
        <f t="shared" si="161"/>
        <v>-0.31318181818181823</v>
      </c>
      <c r="P248" s="99">
        <f t="shared" si="161"/>
        <v>-0.31318181818181823</v>
      </c>
      <c r="Q248" s="99">
        <f t="shared" si="161"/>
        <v>-0.31318181818181823</v>
      </c>
      <c r="R248" s="99">
        <f t="shared" si="161"/>
        <v>-0.25608695652173913</v>
      </c>
      <c r="S248" s="99">
        <f t="shared" si="161"/>
        <v>-0.25608695652173913</v>
      </c>
      <c r="T248" s="99">
        <f t="shared" si="161"/>
        <v>-0.25608695652173913</v>
      </c>
      <c r="U248" s="99">
        <f t="shared" si="161"/>
        <v>-0.25608695652173913</v>
      </c>
      <c r="V248" s="99">
        <f t="shared" si="161"/>
        <v>-0.25608695652173913</v>
      </c>
      <c r="W248" s="99">
        <f t="shared" si="161"/>
        <v>-0.25608695652173913</v>
      </c>
    </row>
    <row r="249" spans="1:23" s="36" customFormat="1" x14ac:dyDescent="0.3">
      <c r="A249" s="406"/>
      <c r="B249" s="97" t="s">
        <v>204</v>
      </c>
      <c r="C249" s="98"/>
      <c r="D249" s="105">
        <f t="shared" si="159"/>
        <v>-0.25608695652173913</v>
      </c>
      <c r="E249" s="99">
        <f t="shared" si="159"/>
        <v>-0.20375000000000001</v>
      </c>
      <c r="F249" s="99">
        <f t="shared" ref="F249:W249" si="162">+F245/F241</f>
        <v>-0.20375000000000001</v>
      </c>
      <c r="G249" s="99">
        <f t="shared" si="162"/>
        <v>-0.20375000000000001</v>
      </c>
      <c r="H249" s="99">
        <f t="shared" si="162"/>
        <v>-0.20375000000000001</v>
      </c>
      <c r="I249" s="99">
        <f t="shared" si="162"/>
        <v>-0.20375000000000001</v>
      </c>
      <c r="J249" s="99">
        <f t="shared" si="162"/>
        <v>-0.20375000000000001</v>
      </c>
      <c r="K249" s="99">
        <f t="shared" si="162"/>
        <v>-0.20375000000000001</v>
      </c>
      <c r="L249" s="99">
        <f t="shared" si="162"/>
        <v>-0.20375000000000001</v>
      </c>
      <c r="M249" s="99">
        <f t="shared" si="162"/>
        <v>-0.20375000000000001</v>
      </c>
      <c r="N249" s="99">
        <f t="shared" si="162"/>
        <v>-0.25608695652173913</v>
      </c>
      <c r="O249" s="99">
        <f t="shared" si="162"/>
        <v>-0.25608695652173913</v>
      </c>
      <c r="P249" s="99">
        <f t="shared" si="162"/>
        <v>-0.25608695652173913</v>
      </c>
      <c r="Q249" s="99">
        <f t="shared" si="162"/>
        <v>-0.25608695652173913</v>
      </c>
      <c r="R249" s="99">
        <f t="shared" si="162"/>
        <v>-0.20375000000000001</v>
      </c>
      <c r="S249" s="99">
        <f t="shared" si="162"/>
        <v>-0.20375000000000001</v>
      </c>
      <c r="T249" s="99">
        <f t="shared" si="162"/>
        <v>-0.20375000000000001</v>
      </c>
      <c r="U249" s="99">
        <f t="shared" si="162"/>
        <v>-0.20375000000000001</v>
      </c>
      <c r="V249" s="99">
        <f t="shared" si="162"/>
        <v>-0.20375000000000001</v>
      </c>
      <c r="W249" s="99">
        <f t="shared" si="162"/>
        <v>-0.20375000000000001</v>
      </c>
    </row>
    <row r="250" spans="1:23" s="36" customFormat="1" x14ac:dyDescent="0.3">
      <c r="A250" s="406"/>
      <c r="B250" s="97" t="s">
        <v>205</v>
      </c>
      <c r="C250" s="98"/>
      <c r="D250" s="105">
        <f t="shared" si="159"/>
        <v>-0.20375000000000001</v>
      </c>
      <c r="E250" s="99">
        <f t="shared" si="159"/>
        <v>-0.15560000000000002</v>
      </c>
      <c r="F250" s="99">
        <f t="shared" ref="F250:W250" si="163">+F246/F242</f>
        <v>-0.15560000000000002</v>
      </c>
      <c r="G250" s="99">
        <f t="shared" si="163"/>
        <v>-0.15560000000000002</v>
      </c>
      <c r="H250" s="99">
        <f t="shared" si="163"/>
        <v>-0.15560000000000002</v>
      </c>
      <c r="I250" s="99">
        <f t="shared" si="163"/>
        <v>-0.15560000000000002</v>
      </c>
      <c r="J250" s="99">
        <f t="shared" si="163"/>
        <v>-0.15560000000000002</v>
      </c>
      <c r="K250" s="99">
        <f t="shared" si="163"/>
        <v>-0.15560000000000002</v>
      </c>
      <c r="L250" s="99">
        <f t="shared" si="163"/>
        <v>-0.15560000000000002</v>
      </c>
      <c r="M250" s="99">
        <f t="shared" si="163"/>
        <v>-0.15560000000000002</v>
      </c>
      <c r="N250" s="99">
        <f t="shared" si="163"/>
        <v>-0.20375000000000001</v>
      </c>
      <c r="O250" s="99">
        <f t="shared" si="163"/>
        <v>-0.20375000000000001</v>
      </c>
      <c r="P250" s="99">
        <f t="shared" si="163"/>
        <v>-0.20375000000000001</v>
      </c>
      <c r="Q250" s="99">
        <f t="shared" si="163"/>
        <v>-0.20375000000000001</v>
      </c>
      <c r="R250" s="99">
        <f t="shared" si="163"/>
        <v>-0.15560000000000002</v>
      </c>
      <c r="S250" s="99">
        <f t="shared" si="163"/>
        <v>-0.15560000000000002</v>
      </c>
      <c r="T250" s="99">
        <f t="shared" si="163"/>
        <v>-0.15560000000000002</v>
      </c>
      <c r="U250" s="99">
        <f t="shared" si="163"/>
        <v>-0.15560000000000002</v>
      </c>
      <c r="V250" s="99">
        <f t="shared" si="163"/>
        <v>-0.15560000000000002</v>
      </c>
      <c r="W250" s="99">
        <f t="shared" si="163"/>
        <v>-0.15560000000000002</v>
      </c>
    </row>
    <row r="251" spans="1:23" ht="21" thickBot="1" x14ac:dyDescent="0.35"/>
    <row r="252" spans="1:23" s="19" customFormat="1" ht="24" thickBot="1" x14ac:dyDescent="0.4">
      <c r="A252" s="19" t="s">
        <v>279</v>
      </c>
      <c r="B252" s="345" t="s">
        <v>31</v>
      </c>
      <c r="C252" s="68"/>
      <c r="D252" s="17" t="s">
        <v>5</v>
      </c>
      <c r="E252" s="18" t="s">
        <v>6</v>
      </c>
      <c r="F252" s="18" t="s">
        <v>7</v>
      </c>
      <c r="G252" s="18" t="s">
        <v>8</v>
      </c>
      <c r="H252" s="18" t="s">
        <v>9</v>
      </c>
      <c r="I252" s="18" t="s">
        <v>10</v>
      </c>
      <c r="J252" s="18" t="s">
        <v>11</v>
      </c>
      <c r="K252" s="18" t="s">
        <v>12</v>
      </c>
      <c r="L252" s="18" t="s">
        <v>13</v>
      </c>
      <c r="M252" s="18" t="s">
        <v>14</v>
      </c>
      <c r="N252" s="18" t="s">
        <v>15</v>
      </c>
      <c r="O252" s="18" t="s">
        <v>16</v>
      </c>
      <c r="P252" s="18" t="s">
        <v>17</v>
      </c>
      <c r="Q252" s="18" t="s">
        <v>18</v>
      </c>
      <c r="R252" s="18" t="s">
        <v>19</v>
      </c>
      <c r="S252" s="18" t="s">
        <v>20</v>
      </c>
      <c r="T252" s="18" t="s">
        <v>21</v>
      </c>
      <c r="U252" s="18" t="s">
        <v>22</v>
      </c>
      <c r="V252" s="18" t="s">
        <v>23</v>
      </c>
      <c r="W252" s="18" t="s">
        <v>166</v>
      </c>
    </row>
    <row r="253" spans="1:23" x14ac:dyDescent="0.3">
      <c r="A253" s="19" t="s">
        <v>280</v>
      </c>
      <c r="B253" s="54" t="s">
        <v>50</v>
      </c>
      <c r="C253" s="55"/>
      <c r="D253" s="20">
        <v>26</v>
      </c>
      <c r="E253" s="21">
        <f>D253</f>
        <v>26</v>
      </c>
      <c r="F253" s="21">
        <f t="shared" ref="F253:H253" si="164">E253</f>
        <v>26</v>
      </c>
      <c r="G253" s="21">
        <f t="shared" si="164"/>
        <v>26</v>
      </c>
      <c r="H253" s="21">
        <f t="shared" si="164"/>
        <v>26</v>
      </c>
      <c r="I253" s="21">
        <f>G253</f>
        <v>26</v>
      </c>
      <c r="J253" s="21">
        <f t="shared" ref="J253:W253" si="165">I253</f>
        <v>26</v>
      </c>
      <c r="K253" s="21">
        <f t="shared" si="165"/>
        <v>26</v>
      </c>
      <c r="L253" s="21">
        <f t="shared" si="165"/>
        <v>26</v>
      </c>
      <c r="M253" s="21">
        <f t="shared" si="165"/>
        <v>26</v>
      </c>
      <c r="N253" s="21">
        <f t="shared" si="165"/>
        <v>26</v>
      </c>
      <c r="O253" s="21">
        <f t="shared" si="165"/>
        <v>26</v>
      </c>
      <c r="P253" s="21">
        <f t="shared" si="165"/>
        <v>26</v>
      </c>
      <c r="Q253" s="21">
        <f t="shared" si="165"/>
        <v>26</v>
      </c>
      <c r="R253" s="21">
        <f t="shared" si="165"/>
        <v>26</v>
      </c>
      <c r="S253" s="21">
        <f t="shared" si="165"/>
        <v>26</v>
      </c>
      <c r="T253" s="21">
        <f t="shared" si="165"/>
        <v>26</v>
      </c>
      <c r="U253" s="21">
        <f t="shared" si="165"/>
        <v>26</v>
      </c>
      <c r="V253" s="21">
        <f t="shared" si="165"/>
        <v>26</v>
      </c>
      <c r="W253" s="21">
        <f t="shared" si="165"/>
        <v>26</v>
      </c>
    </row>
    <row r="254" spans="1:23" ht="23" x14ac:dyDescent="0.35">
      <c r="B254" s="340" t="s">
        <v>51</v>
      </c>
      <c r="C254" s="341"/>
      <c r="D254" s="364"/>
      <c r="E254" s="342"/>
      <c r="F254" s="342"/>
      <c r="G254" s="342"/>
      <c r="H254" s="342"/>
      <c r="I254" s="342"/>
      <c r="J254" s="342"/>
      <c r="K254" s="342"/>
      <c r="L254" s="342"/>
      <c r="M254" s="342"/>
      <c r="N254" s="342"/>
      <c r="O254" s="342"/>
      <c r="P254" s="342"/>
      <c r="Q254" s="342"/>
      <c r="R254" s="342"/>
      <c r="S254" s="342"/>
      <c r="T254" s="342"/>
      <c r="U254" s="342"/>
      <c r="V254" s="342"/>
      <c r="W254" s="342"/>
    </row>
    <row r="255" spans="1:23" x14ac:dyDescent="0.3">
      <c r="B255" s="54"/>
      <c r="C255" s="55"/>
      <c r="D255" s="20">
        <f t="shared" ref="D255:V255" si="166">D253*(1-D254)</f>
        <v>26</v>
      </c>
      <c r="E255" s="20">
        <f t="shared" si="166"/>
        <v>26</v>
      </c>
      <c r="F255" s="20">
        <f t="shared" si="166"/>
        <v>26</v>
      </c>
      <c r="G255" s="20">
        <f t="shared" si="166"/>
        <v>26</v>
      </c>
      <c r="H255" s="20">
        <f t="shared" si="166"/>
        <v>26</v>
      </c>
      <c r="I255" s="20">
        <f t="shared" si="166"/>
        <v>26</v>
      </c>
      <c r="J255" s="20">
        <f t="shared" si="166"/>
        <v>26</v>
      </c>
      <c r="K255" s="20">
        <f t="shared" si="166"/>
        <v>26</v>
      </c>
      <c r="L255" s="20">
        <f t="shared" si="166"/>
        <v>26</v>
      </c>
      <c r="M255" s="20">
        <f t="shared" si="166"/>
        <v>26</v>
      </c>
      <c r="N255" s="20">
        <f t="shared" si="166"/>
        <v>26</v>
      </c>
      <c r="O255" s="20">
        <f t="shared" si="166"/>
        <v>26</v>
      </c>
      <c r="P255" s="20">
        <f t="shared" si="166"/>
        <v>26</v>
      </c>
      <c r="Q255" s="288">
        <f t="shared" si="166"/>
        <v>26</v>
      </c>
      <c r="R255" s="20">
        <f t="shared" si="166"/>
        <v>26</v>
      </c>
      <c r="S255" s="20">
        <f t="shared" si="166"/>
        <v>26</v>
      </c>
      <c r="T255" s="20">
        <f t="shared" si="166"/>
        <v>26</v>
      </c>
      <c r="U255" s="20">
        <f t="shared" si="166"/>
        <v>26</v>
      </c>
      <c r="V255" s="20">
        <f t="shared" si="166"/>
        <v>26</v>
      </c>
      <c r="W255" s="20">
        <f>W253*(1-W254)</f>
        <v>26</v>
      </c>
    </row>
    <row r="256" spans="1:23" x14ac:dyDescent="0.3">
      <c r="B256" s="54" t="s">
        <v>51</v>
      </c>
      <c r="C256" s="56">
        <v>0</v>
      </c>
      <c r="D256" s="20">
        <f t="shared" ref="D256:W256" si="167">D255*$C256</f>
        <v>0</v>
      </c>
      <c r="E256" s="20">
        <f t="shared" si="167"/>
        <v>0</v>
      </c>
      <c r="F256" s="20">
        <f t="shared" si="167"/>
        <v>0</v>
      </c>
      <c r="G256" s="20">
        <f t="shared" si="167"/>
        <v>0</v>
      </c>
      <c r="H256" s="20">
        <f t="shared" si="167"/>
        <v>0</v>
      </c>
      <c r="I256" s="20">
        <f t="shared" si="167"/>
        <v>0</v>
      </c>
      <c r="J256" s="20">
        <f t="shared" si="167"/>
        <v>0</v>
      </c>
      <c r="K256" s="20">
        <f t="shared" si="167"/>
        <v>0</v>
      </c>
      <c r="L256" s="20">
        <f t="shared" si="167"/>
        <v>0</v>
      </c>
      <c r="M256" s="20">
        <f t="shared" si="167"/>
        <v>0</v>
      </c>
      <c r="N256" s="20">
        <f t="shared" si="167"/>
        <v>0</v>
      </c>
      <c r="O256" s="20">
        <f t="shared" si="167"/>
        <v>0</v>
      </c>
      <c r="P256" s="20">
        <f t="shared" si="167"/>
        <v>0</v>
      </c>
      <c r="Q256" s="20">
        <f t="shared" si="167"/>
        <v>0</v>
      </c>
      <c r="R256" s="20">
        <f t="shared" si="167"/>
        <v>0</v>
      </c>
      <c r="S256" s="20">
        <f t="shared" si="167"/>
        <v>0</v>
      </c>
      <c r="T256" s="20">
        <f t="shared" si="167"/>
        <v>0</v>
      </c>
      <c r="U256" s="20">
        <f t="shared" si="167"/>
        <v>0</v>
      </c>
      <c r="V256" s="20">
        <f t="shared" si="167"/>
        <v>0</v>
      </c>
      <c r="W256" s="20">
        <f t="shared" si="167"/>
        <v>0</v>
      </c>
    </row>
    <row r="257" spans="1:23" x14ac:dyDescent="0.3">
      <c r="B257" s="54" t="s">
        <v>67</v>
      </c>
      <c r="C257" s="55"/>
      <c r="D257" s="20">
        <f t="shared" ref="D257:W257" si="168">D255-D256</f>
        <v>26</v>
      </c>
      <c r="E257" s="20">
        <f t="shared" si="168"/>
        <v>26</v>
      </c>
      <c r="F257" s="20">
        <f t="shared" si="168"/>
        <v>26</v>
      </c>
      <c r="G257" s="20">
        <f t="shared" si="168"/>
        <v>26</v>
      </c>
      <c r="H257" s="20">
        <f t="shared" si="168"/>
        <v>26</v>
      </c>
      <c r="I257" s="20">
        <f t="shared" si="168"/>
        <v>26</v>
      </c>
      <c r="J257" s="20">
        <f t="shared" si="168"/>
        <v>26</v>
      </c>
      <c r="K257" s="20">
        <f t="shared" si="168"/>
        <v>26</v>
      </c>
      <c r="L257" s="20">
        <f t="shared" si="168"/>
        <v>26</v>
      </c>
      <c r="M257" s="20">
        <f t="shared" si="168"/>
        <v>26</v>
      </c>
      <c r="N257" s="20">
        <f t="shared" si="168"/>
        <v>26</v>
      </c>
      <c r="O257" s="20">
        <f t="shared" si="168"/>
        <v>26</v>
      </c>
      <c r="P257" s="20">
        <f t="shared" si="168"/>
        <v>26</v>
      </c>
      <c r="Q257" s="20">
        <f t="shared" si="168"/>
        <v>26</v>
      </c>
      <c r="R257" s="20">
        <f t="shared" si="168"/>
        <v>26</v>
      </c>
      <c r="S257" s="20">
        <f t="shared" si="168"/>
        <v>26</v>
      </c>
      <c r="T257" s="20">
        <f t="shared" si="168"/>
        <v>26</v>
      </c>
      <c r="U257" s="20">
        <f t="shared" si="168"/>
        <v>26</v>
      </c>
      <c r="V257" s="20">
        <f t="shared" si="168"/>
        <v>26</v>
      </c>
      <c r="W257" s="20">
        <f t="shared" si="168"/>
        <v>26</v>
      </c>
    </row>
    <row r="258" spans="1:23" x14ac:dyDescent="0.3">
      <c r="B258" s="54" t="s">
        <v>66</v>
      </c>
      <c r="C258" s="56">
        <v>7.0000000000000007E-2</v>
      </c>
      <c r="D258" s="20">
        <f t="shared" ref="D258:W258" si="169">D257*$C258</f>
        <v>1.8200000000000003</v>
      </c>
      <c r="E258" s="20">
        <f t="shared" si="169"/>
        <v>1.8200000000000003</v>
      </c>
      <c r="F258" s="20">
        <f t="shared" si="169"/>
        <v>1.8200000000000003</v>
      </c>
      <c r="G258" s="20">
        <f t="shared" si="169"/>
        <v>1.8200000000000003</v>
      </c>
      <c r="H258" s="20">
        <f t="shared" si="169"/>
        <v>1.8200000000000003</v>
      </c>
      <c r="I258" s="20">
        <f t="shared" si="169"/>
        <v>1.8200000000000003</v>
      </c>
      <c r="J258" s="20">
        <f t="shared" si="169"/>
        <v>1.8200000000000003</v>
      </c>
      <c r="K258" s="20">
        <f t="shared" si="169"/>
        <v>1.8200000000000003</v>
      </c>
      <c r="L258" s="20">
        <f t="shared" si="169"/>
        <v>1.8200000000000003</v>
      </c>
      <c r="M258" s="20">
        <f t="shared" si="169"/>
        <v>1.8200000000000003</v>
      </c>
      <c r="N258" s="20">
        <f t="shared" si="169"/>
        <v>1.8200000000000003</v>
      </c>
      <c r="O258" s="20">
        <f t="shared" si="169"/>
        <v>1.8200000000000003</v>
      </c>
      <c r="P258" s="20">
        <f t="shared" si="169"/>
        <v>1.8200000000000003</v>
      </c>
      <c r="Q258" s="20">
        <f t="shared" si="169"/>
        <v>1.8200000000000003</v>
      </c>
      <c r="R258" s="20">
        <f t="shared" si="169"/>
        <v>1.8200000000000003</v>
      </c>
      <c r="S258" s="20">
        <f t="shared" si="169"/>
        <v>1.8200000000000003</v>
      </c>
      <c r="T258" s="20">
        <f t="shared" si="169"/>
        <v>1.8200000000000003</v>
      </c>
      <c r="U258" s="20">
        <f t="shared" si="169"/>
        <v>1.8200000000000003</v>
      </c>
      <c r="V258" s="20">
        <f t="shared" si="169"/>
        <v>1.8200000000000003</v>
      </c>
      <c r="W258" s="20">
        <f t="shared" si="169"/>
        <v>1.8200000000000003</v>
      </c>
    </row>
    <row r="259" spans="1:23" x14ac:dyDescent="0.3">
      <c r="B259" s="54" t="s">
        <v>68</v>
      </c>
      <c r="C259" s="55"/>
      <c r="D259" s="20">
        <f>D257+D258</f>
        <v>27.82</v>
      </c>
      <c r="E259" s="20">
        <f t="shared" ref="E259:V259" si="170">E257+E258</f>
        <v>27.82</v>
      </c>
      <c r="F259" s="20">
        <f t="shared" si="170"/>
        <v>27.82</v>
      </c>
      <c r="G259" s="20">
        <f t="shared" si="170"/>
        <v>27.82</v>
      </c>
      <c r="H259" s="20">
        <f t="shared" si="170"/>
        <v>27.82</v>
      </c>
      <c r="I259" s="20">
        <f t="shared" si="170"/>
        <v>27.82</v>
      </c>
      <c r="J259" s="20">
        <f t="shared" si="170"/>
        <v>27.82</v>
      </c>
      <c r="K259" s="20">
        <f t="shared" si="170"/>
        <v>27.82</v>
      </c>
      <c r="L259" s="20">
        <f t="shared" si="170"/>
        <v>27.82</v>
      </c>
      <c r="M259" s="20">
        <f t="shared" si="170"/>
        <v>27.82</v>
      </c>
      <c r="N259" s="20">
        <f t="shared" si="170"/>
        <v>27.82</v>
      </c>
      <c r="O259" s="20">
        <f t="shared" si="170"/>
        <v>27.82</v>
      </c>
      <c r="P259" s="20">
        <f t="shared" si="170"/>
        <v>27.82</v>
      </c>
      <c r="Q259" s="20">
        <f t="shared" si="170"/>
        <v>27.82</v>
      </c>
      <c r="R259" s="20">
        <f t="shared" si="170"/>
        <v>27.82</v>
      </c>
      <c r="S259" s="20">
        <f t="shared" si="170"/>
        <v>27.82</v>
      </c>
      <c r="T259" s="20">
        <f t="shared" si="170"/>
        <v>27.82</v>
      </c>
      <c r="U259" s="20">
        <f t="shared" si="170"/>
        <v>27.82</v>
      </c>
      <c r="V259" s="20">
        <f t="shared" si="170"/>
        <v>27.82</v>
      </c>
      <c r="W259" s="20">
        <f>W257+W258</f>
        <v>27.82</v>
      </c>
    </row>
    <row r="260" spans="1:23" ht="23" x14ac:dyDescent="0.35">
      <c r="B260" s="357" t="s">
        <v>52</v>
      </c>
      <c r="C260" s="358"/>
      <c r="D260" s="381"/>
      <c r="E260" s="381"/>
      <c r="F260" s="381"/>
      <c r="G260" s="381"/>
      <c r="H260" s="381"/>
      <c r="I260" s="381"/>
      <c r="J260" s="381"/>
      <c r="K260" s="381"/>
      <c r="L260" s="381"/>
      <c r="M260" s="381"/>
      <c r="N260" s="381"/>
      <c r="O260" s="381"/>
      <c r="P260" s="381"/>
      <c r="Q260" s="381"/>
      <c r="R260" s="381"/>
      <c r="S260" s="381"/>
      <c r="T260" s="381"/>
      <c r="U260" s="381"/>
      <c r="V260" s="381"/>
      <c r="W260" s="381"/>
    </row>
    <row r="261" spans="1:23" x14ac:dyDescent="0.3">
      <c r="B261" s="57" t="s">
        <v>53</v>
      </c>
      <c r="C261" s="58"/>
      <c r="D261" s="25">
        <f>SUM(D259:D260)</f>
        <v>27.82</v>
      </c>
      <c r="E261" s="26">
        <f t="shared" ref="E261:V261" si="171">SUM(E259:E260)</f>
        <v>27.82</v>
      </c>
      <c r="F261" s="26">
        <f t="shared" si="171"/>
        <v>27.82</v>
      </c>
      <c r="G261" s="26">
        <f t="shared" si="171"/>
        <v>27.82</v>
      </c>
      <c r="H261" s="26">
        <f t="shared" si="171"/>
        <v>27.82</v>
      </c>
      <c r="I261" s="26">
        <f t="shared" si="171"/>
        <v>27.82</v>
      </c>
      <c r="J261" s="26">
        <f t="shared" si="171"/>
        <v>27.82</v>
      </c>
      <c r="K261" s="26">
        <f t="shared" si="171"/>
        <v>27.82</v>
      </c>
      <c r="L261" s="26">
        <f t="shared" si="171"/>
        <v>27.82</v>
      </c>
      <c r="M261" s="26">
        <f t="shared" si="171"/>
        <v>27.82</v>
      </c>
      <c r="N261" s="26">
        <f t="shared" si="171"/>
        <v>27.82</v>
      </c>
      <c r="O261" s="26">
        <f t="shared" si="171"/>
        <v>27.82</v>
      </c>
      <c r="P261" s="26">
        <f t="shared" si="171"/>
        <v>27.82</v>
      </c>
      <c r="Q261" s="26">
        <f t="shared" si="171"/>
        <v>27.82</v>
      </c>
      <c r="R261" s="26">
        <f t="shared" si="171"/>
        <v>27.82</v>
      </c>
      <c r="S261" s="26">
        <f t="shared" si="171"/>
        <v>27.82</v>
      </c>
      <c r="T261" s="26">
        <f t="shared" si="171"/>
        <v>27.82</v>
      </c>
      <c r="U261" s="26">
        <f t="shared" si="171"/>
        <v>27.82</v>
      </c>
      <c r="V261" s="26">
        <f t="shared" si="171"/>
        <v>27.82</v>
      </c>
      <c r="W261" s="26">
        <f>SUM(W259:W260)</f>
        <v>27.82</v>
      </c>
    </row>
    <row r="262" spans="1:23" ht="23" x14ac:dyDescent="0.35">
      <c r="B262" s="336" t="s">
        <v>54</v>
      </c>
      <c r="C262" s="337"/>
      <c r="D262" s="338"/>
      <c r="E262" s="338"/>
      <c r="F262" s="338"/>
      <c r="G262" s="338"/>
      <c r="H262" s="338"/>
      <c r="I262" s="338"/>
      <c r="J262" s="338"/>
      <c r="K262" s="338"/>
      <c r="L262" s="338"/>
      <c r="M262" s="338"/>
      <c r="N262" s="338"/>
      <c r="O262" s="338"/>
      <c r="P262" s="338"/>
      <c r="Q262" s="338"/>
      <c r="R262" s="338"/>
      <c r="S262" s="338"/>
      <c r="T262" s="338"/>
      <c r="U262" s="338"/>
      <c r="V262" s="338"/>
      <c r="W262" s="338"/>
    </row>
    <row r="263" spans="1:23" ht="23" x14ac:dyDescent="0.35">
      <c r="B263" s="353" t="s">
        <v>55</v>
      </c>
      <c r="C263" s="354"/>
      <c r="D263" s="355">
        <f>D261</f>
        <v>27.82</v>
      </c>
      <c r="E263" s="356">
        <f t="shared" ref="E263:W263" si="172">E261</f>
        <v>27.82</v>
      </c>
      <c r="F263" s="356">
        <f t="shared" si="172"/>
        <v>27.82</v>
      </c>
      <c r="G263" s="356">
        <f t="shared" si="172"/>
        <v>27.82</v>
      </c>
      <c r="H263" s="356">
        <f t="shared" si="172"/>
        <v>27.82</v>
      </c>
      <c r="I263" s="356">
        <f t="shared" si="172"/>
        <v>27.82</v>
      </c>
      <c r="J263" s="356">
        <f t="shared" si="172"/>
        <v>27.82</v>
      </c>
      <c r="K263" s="356">
        <f t="shared" si="172"/>
        <v>27.82</v>
      </c>
      <c r="L263" s="356">
        <f t="shared" si="172"/>
        <v>27.82</v>
      </c>
      <c r="M263" s="356">
        <f t="shared" si="172"/>
        <v>27.82</v>
      </c>
      <c r="N263" s="356">
        <f t="shared" si="172"/>
        <v>27.82</v>
      </c>
      <c r="O263" s="356">
        <f t="shared" si="172"/>
        <v>27.82</v>
      </c>
      <c r="P263" s="356">
        <f t="shared" si="172"/>
        <v>27.82</v>
      </c>
      <c r="Q263" s="356">
        <f t="shared" si="172"/>
        <v>27.82</v>
      </c>
      <c r="R263" s="356">
        <f t="shared" si="172"/>
        <v>27.82</v>
      </c>
      <c r="S263" s="356">
        <f t="shared" si="172"/>
        <v>27.82</v>
      </c>
      <c r="T263" s="356">
        <f t="shared" si="172"/>
        <v>27.82</v>
      </c>
      <c r="U263" s="356">
        <f t="shared" si="172"/>
        <v>27.82</v>
      </c>
      <c r="V263" s="356">
        <f t="shared" si="172"/>
        <v>27.82</v>
      </c>
      <c r="W263" s="356">
        <f t="shared" si="172"/>
        <v>27.82</v>
      </c>
    </row>
    <row r="264" spans="1:23" x14ac:dyDescent="0.3">
      <c r="B264" s="171" t="s">
        <v>194</v>
      </c>
      <c r="C264" s="55"/>
      <c r="D264" s="20">
        <v>20.189247999999999</v>
      </c>
      <c r="E264" s="21">
        <v>19.866611999999996</v>
      </c>
      <c r="F264" s="21">
        <v>19.866611999999996</v>
      </c>
      <c r="G264" s="21">
        <v>19.866611999999996</v>
      </c>
      <c r="H264" s="21">
        <v>19.866611999999996</v>
      </c>
      <c r="I264" s="21">
        <v>19.916611999999994</v>
      </c>
      <c r="J264" s="21">
        <v>19.916611999999994</v>
      </c>
      <c r="K264" s="21">
        <v>19.916611999999994</v>
      </c>
      <c r="L264" s="21">
        <v>19.916611999999994</v>
      </c>
      <c r="M264" s="21">
        <v>19.916611999999994</v>
      </c>
      <c r="N264" s="21">
        <v>19.721340000000001</v>
      </c>
      <c r="O264" s="21">
        <v>19.721340000000001</v>
      </c>
      <c r="P264" s="21">
        <v>19.721340000000001</v>
      </c>
      <c r="Q264" s="21">
        <v>19.721340000000001</v>
      </c>
      <c r="R264" s="21">
        <v>19.585021999999999</v>
      </c>
      <c r="S264" s="21">
        <v>19.585021999999999</v>
      </c>
      <c r="T264" s="21">
        <v>21.502428000000002</v>
      </c>
      <c r="U264" s="21">
        <v>21.502428000000002</v>
      </c>
      <c r="V264" s="21">
        <v>21.402428</v>
      </c>
      <c r="W264" s="21">
        <v>19.585021999999999</v>
      </c>
    </row>
    <row r="265" spans="1:23" s="51" customFormat="1" x14ac:dyDescent="0.3">
      <c r="A265" s="407"/>
      <c r="B265" s="61" t="s">
        <v>195</v>
      </c>
      <c r="C265" s="62"/>
      <c r="D265" s="28">
        <v>21</v>
      </c>
      <c r="E265" s="28">
        <v>21</v>
      </c>
      <c r="F265" s="28">
        <v>21</v>
      </c>
      <c r="G265" s="28">
        <v>21</v>
      </c>
      <c r="H265" s="28">
        <v>21</v>
      </c>
      <c r="I265" s="28">
        <v>21</v>
      </c>
      <c r="J265" s="28">
        <v>21</v>
      </c>
      <c r="K265" s="28">
        <v>21</v>
      </c>
      <c r="L265" s="28">
        <v>21</v>
      </c>
      <c r="M265" s="28">
        <v>21</v>
      </c>
      <c r="N265" s="28">
        <v>21</v>
      </c>
      <c r="O265" s="28">
        <v>21</v>
      </c>
      <c r="P265" s="28">
        <v>21</v>
      </c>
      <c r="Q265" s="28">
        <v>21</v>
      </c>
      <c r="R265" s="28">
        <v>21</v>
      </c>
      <c r="S265" s="28">
        <v>21</v>
      </c>
      <c r="T265" s="28">
        <v>23</v>
      </c>
      <c r="U265" s="28">
        <v>23</v>
      </c>
      <c r="V265" s="28">
        <v>22</v>
      </c>
      <c r="W265" s="28">
        <v>21</v>
      </c>
    </row>
    <row r="266" spans="1:23" s="51" customFormat="1" x14ac:dyDescent="0.3">
      <c r="A266" s="407"/>
      <c r="B266" s="61" t="s">
        <v>196</v>
      </c>
      <c r="C266" s="62"/>
      <c r="D266" s="28">
        <v>22</v>
      </c>
      <c r="E266" s="28">
        <v>22</v>
      </c>
      <c r="F266" s="28">
        <v>22</v>
      </c>
      <c r="G266" s="28">
        <v>22</v>
      </c>
      <c r="H266" s="28">
        <v>22</v>
      </c>
      <c r="I266" s="28">
        <v>22</v>
      </c>
      <c r="J266" s="28">
        <v>22</v>
      </c>
      <c r="K266" s="28">
        <v>22</v>
      </c>
      <c r="L266" s="28">
        <v>22</v>
      </c>
      <c r="M266" s="28">
        <v>22</v>
      </c>
      <c r="N266" s="28">
        <v>22</v>
      </c>
      <c r="O266" s="28">
        <v>22</v>
      </c>
      <c r="P266" s="28">
        <v>22</v>
      </c>
      <c r="Q266" s="28">
        <v>22</v>
      </c>
      <c r="R266" s="28">
        <v>22</v>
      </c>
      <c r="S266" s="28">
        <v>22</v>
      </c>
      <c r="T266" s="28">
        <v>24</v>
      </c>
      <c r="U266" s="28">
        <v>24</v>
      </c>
      <c r="V266" s="28">
        <v>23</v>
      </c>
      <c r="W266" s="28">
        <v>22</v>
      </c>
    </row>
    <row r="267" spans="1:23" s="51" customFormat="1" x14ac:dyDescent="0.3">
      <c r="A267" s="407"/>
      <c r="B267" s="61" t="s">
        <v>197</v>
      </c>
      <c r="C267" s="62"/>
      <c r="D267" s="28">
        <v>23</v>
      </c>
      <c r="E267" s="28">
        <v>23</v>
      </c>
      <c r="F267" s="28">
        <v>23</v>
      </c>
      <c r="G267" s="28">
        <v>23</v>
      </c>
      <c r="H267" s="28">
        <v>23</v>
      </c>
      <c r="I267" s="28">
        <v>23</v>
      </c>
      <c r="J267" s="28">
        <v>23</v>
      </c>
      <c r="K267" s="28">
        <v>23</v>
      </c>
      <c r="L267" s="28">
        <v>23</v>
      </c>
      <c r="M267" s="28">
        <v>23</v>
      </c>
      <c r="N267" s="28">
        <v>23</v>
      </c>
      <c r="O267" s="28">
        <v>23</v>
      </c>
      <c r="P267" s="28">
        <v>23</v>
      </c>
      <c r="Q267" s="28">
        <v>23</v>
      </c>
      <c r="R267" s="28">
        <v>23</v>
      </c>
      <c r="S267" s="28">
        <v>23</v>
      </c>
      <c r="T267" s="28">
        <v>25</v>
      </c>
      <c r="U267" s="28">
        <v>25</v>
      </c>
      <c r="V267" s="28">
        <v>24</v>
      </c>
      <c r="W267" s="28">
        <v>23</v>
      </c>
    </row>
    <row r="268" spans="1:23" s="51" customFormat="1" x14ac:dyDescent="0.3">
      <c r="A268" s="407"/>
      <c r="B268" s="63" t="s">
        <v>198</v>
      </c>
      <c r="C268" s="64"/>
      <c r="D268" s="31">
        <f t="shared" ref="D268:E271" si="173">+D264-D$263</f>
        <v>-7.6307520000000011</v>
      </c>
      <c r="E268" s="32">
        <f t="shared" si="173"/>
        <v>-7.9533880000000039</v>
      </c>
      <c r="F268" s="32">
        <f t="shared" ref="F268:W268" si="174">+F264-F$263</f>
        <v>-7.9533880000000039</v>
      </c>
      <c r="G268" s="32">
        <f t="shared" si="174"/>
        <v>-7.9533880000000039</v>
      </c>
      <c r="H268" s="32">
        <f t="shared" si="174"/>
        <v>-7.9533880000000039</v>
      </c>
      <c r="I268" s="32">
        <f t="shared" si="174"/>
        <v>-7.9033880000000067</v>
      </c>
      <c r="J268" s="32">
        <f t="shared" si="174"/>
        <v>-7.9033880000000067</v>
      </c>
      <c r="K268" s="32">
        <f t="shared" si="174"/>
        <v>-7.9033880000000067</v>
      </c>
      <c r="L268" s="32">
        <f t="shared" si="174"/>
        <v>-7.9033880000000067</v>
      </c>
      <c r="M268" s="32">
        <f t="shared" si="174"/>
        <v>-7.9033880000000067</v>
      </c>
      <c r="N268" s="32">
        <f t="shared" si="174"/>
        <v>-8.0986599999999989</v>
      </c>
      <c r="O268" s="32">
        <f t="shared" si="174"/>
        <v>-8.0986599999999989</v>
      </c>
      <c r="P268" s="32">
        <f t="shared" si="174"/>
        <v>-8.0986599999999989</v>
      </c>
      <c r="Q268" s="32">
        <f t="shared" si="174"/>
        <v>-8.0986599999999989</v>
      </c>
      <c r="R268" s="32">
        <f t="shared" si="174"/>
        <v>-8.2349780000000017</v>
      </c>
      <c r="S268" s="32">
        <f t="shared" si="174"/>
        <v>-8.2349780000000017</v>
      </c>
      <c r="T268" s="32">
        <f t="shared" si="174"/>
        <v>-6.3175719999999984</v>
      </c>
      <c r="U268" s="32">
        <f t="shared" si="174"/>
        <v>-6.3175719999999984</v>
      </c>
      <c r="V268" s="32">
        <f t="shared" si="174"/>
        <v>-6.4175719999999998</v>
      </c>
      <c r="W268" s="32">
        <f t="shared" si="174"/>
        <v>-8.2349780000000017</v>
      </c>
    </row>
    <row r="269" spans="1:23" s="33" customFormat="1" x14ac:dyDescent="0.3">
      <c r="A269" s="405"/>
      <c r="B269" s="63" t="s">
        <v>199</v>
      </c>
      <c r="C269" s="64"/>
      <c r="D269" s="31">
        <f t="shared" si="173"/>
        <v>-6.82</v>
      </c>
      <c r="E269" s="32">
        <f t="shared" si="173"/>
        <v>-6.82</v>
      </c>
      <c r="F269" s="32">
        <f t="shared" ref="F269:W269" si="175">+F265-F$263</f>
        <v>-6.82</v>
      </c>
      <c r="G269" s="32">
        <f t="shared" si="175"/>
        <v>-6.82</v>
      </c>
      <c r="H269" s="32">
        <f t="shared" si="175"/>
        <v>-6.82</v>
      </c>
      <c r="I269" s="32">
        <f t="shared" si="175"/>
        <v>-6.82</v>
      </c>
      <c r="J269" s="32">
        <f t="shared" si="175"/>
        <v>-6.82</v>
      </c>
      <c r="K269" s="32">
        <f t="shared" si="175"/>
        <v>-6.82</v>
      </c>
      <c r="L269" s="32">
        <f t="shared" si="175"/>
        <v>-6.82</v>
      </c>
      <c r="M269" s="32">
        <f t="shared" si="175"/>
        <v>-6.82</v>
      </c>
      <c r="N269" s="32">
        <f t="shared" si="175"/>
        <v>-6.82</v>
      </c>
      <c r="O269" s="32">
        <f t="shared" si="175"/>
        <v>-6.82</v>
      </c>
      <c r="P269" s="32">
        <f t="shared" si="175"/>
        <v>-6.82</v>
      </c>
      <c r="Q269" s="32">
        <f t="shared" si="175"/>
        <v>-6.82</v>
      </c>
      <c r="R269" s="32">
        <f t="shared" si="175"/>
        <v>-6.82</v>
      </c>
      <c r="S269" s="32">
        <f t="shared" si="175"/>
        <v>-6.82</v>
      </c>
      <c r="T269" s="32">
        <f t="shared" si="175"/>
        <v>-4.82</v>
      </c>
      <c r="U269" s="32">
        <f t="shared" si="175"/>
        <v>-4.82</v>
      </c>
      <c r="V269" s="32">
        <f t="shared" si="175"/>
        <v>-5.82</v>
      </c>
      <c r="W269" s="32">
        <f t="shared" si="175"/>
        <v>-6.82</v>
      </c>
    </row>
    <row r="270" spans="1:23" s="33" customFormat="1" x14ac:dyDescent="0.3">
      <c r="A270" s="405"/>
      <c r="B270" s="63" t="s">
        <v>200</v>
      </c>
      <c r="C270" s="64"/>
      <c r="D270" s="31">
        <f t="shared" si="173"/>
        <v>-5.82</v>
      </c>
      <c r="E270" s="32">
        <f t="shared" si="173"/>
        <v>-5.82</v>
      </c>
      <c r="F270" s="32">
        <f t="shared" ref="F270:W270" si="176">+F266-F$263</f>
        <v>-5.82</v>
      </c>
      <c r="G270" s="32">
        <f t="shared" si="176"/>
        <v>-5.82</v>
      </c>
      <c r="H270" s="32">
        <f t="shared" si="176"/>
        <v>-5.82</v>
      </c>
      <c r="I270" s="32">
        <f t="shared" si="176"/>
        <v>-5.82</v>
      </c>
      <c r="J270" s="32">
        <f t="shared" si="176"/>
        <v>-5.82</v>
      </c>
      <c r="K270" s="32">
        <f t="shared" si="176"/>
        <v>-5.82</v>
      </c>
      <c r="L270" s="32">
        <f t="shared" si="176"/>
        <v>-5.82</v>
      </c>
      <c r="M270" s="32">
        <f t="shared" si="176"/>
        <v>-5.82</v>
      </c>
      <c r="N270" s="32">
        <f t="shared" si="176"/>
        <v>-5.82</v>
      </c>
      <c r="O270" s="32">
        <f t="shared" si="176"/>
        <v>-5.82</v>
      </c>
      <c r="P270" s="32">
        <f t="shared" si="176"/>
        <v>-5.82</v>
      </c>
      <c r="Q270" s="32">
        <f t="shared" si="176"/>
        <v>-5.82</v>
      </c>
      <c r="R270" s="32">
        <f t="shared" si="176"/>
        <v>-5.82</v>
      </c>
      <c r="S270" s="32">
        <f t="shared" si="176"/>
        <v>-5.82</v>
      </c>
      <c r="T270" s="32">
        <f t="shared" si="176"/>
        <v>-3.8200000000000003</v>
      </c>
      <c r="U270" s="32">
        <f t="shared" si="176"/>
        <v>-3.8200000000000003</v>
      </c>
      <c r="V270" s="32">
        <f t="shared" si="176"/>
        <v>-4.82</v>
      </c>
      <c r="W270" s="32">
        <f t="shared" si="176"/>
        <v>-5.82</v>
      </c>
    </row>
    <row r="271" spans="1:23" x14ac:dyDescent="0.3">
      <c r="B271" s="63" t="s">
        <v>201</v>
      </c>
      <c r="C271" s="64"/>
      <c r="D271" s="31">
        <f t="shared" si="173"/>
        <v>-4.82</v>
      </c>
      <c r="E271" s="32">
        <f t="shared" si="173"/>
        <v>-4.82</v>
      </c>
      <c r="F271" s="34">
        <f t="shared" ref="F271:W271" si="177">+F267-F$263</f>
        <v>-4.82</v>
      </c>
      <c r="G271" s="34">
        <f t="shared" si="177"/>
        <v>-4.82</v>
      </c>
      <c r="H271" s="34">
        <f t="shared" si="177"/>
        <v>-4.82</v>
      </c>
      <c r="I271" s="34">
        <f t="shared" si="177"/>
        <v>-4.82</v>
      </c>
      <c r="J271" s="34">
        <f t="shared" si="177"/>
        <v>-4.82</v>
      </c>
      <c r="K271" s="34">
        <f t="shared" si="177"/>
        <v>-4.82</v>
      </c>
      <c r="L271" s="34">
        <f t="shared" si="177"/>
        <v>-4.82</v>
      </c>
      <c r="M271" s="34">
        <f t="shared" si="177"/>
        <v>-4.82</v>
      </c>
      <c r="N271" s="34">
        <f t="shared" si="177"/>
        <v>-4.82</v>
      </c>
      <c r="O271" s="34">
        <f t="shared" si="177"/>
        <v>-4.82</v>
      </c>
      <c r="P271" s="34">
        <f t="shared" si="177"/>
        <v>-4.82</v>
      </c>
      <c r="Q271" s="34">
        <f t="shared" si="177"/>
        <v>-4.82</v>
      </c>
      <c r="R271" s="34">
        <f t="shared" si="177"/>
        <v>-4.82</v>
      </c>
      <c r="S271" s="34">
        <f t="shared" si="177"/>
        <v>-4.82</v>
      </c>
      <c r="T271" s="34">
        <f t="shared" si="177"/>
        <v>-2.8200000000000003</v>
      </c>
      <c r="U271" s="34">
        <f t="shared" si="177"/>
        <v>-2.8200000000000003</v>
      </c>
      <c r="V271" s="34">
        <f t="shared" si="177"/>
        <v>-3.8200000000000003</v>
      </c>
      <c r="W271" s="34">
        <f t="shared" si="177"/>
        <v>-4.82</v>
      </c>
    </row>
    <row r="272" spans="1:23" x14ac:dyDescent="0.3">
      <c r="B272" s="97" t="s">
        <v>202</v>
      </c>
      <c r="C272" s="98"/>
      <c r="D272" s="99">
        <f t="shared" ref="D272:E275" si="178">+D268/D264</f>
        <v>-0.37796118012914603</v>
      </c>
      <c r="E272" s="99">
        <f t="shared" si="178"/>
        <v>-0.40033942375277703</v>
      </c>
      <c r="F272" s="99">
        <f t="shared" ref="F272:W272" si="179">+F268/F264</f>
        <v>-0.40033942375277703</v>
      </c>
      <c r="G272" s="99">
        <f t="shared" si="179"/>
        <v>-0.40033942375277703</v>
      </c>
      <c r="H272" s="99">
        <f t="shared" si="179"/>
        <v>-0.40033942375277703</v>
      </c>
      <c r="I272" s="99">
        <f t="shared" si="179"/>
        <v>-0.39682391764221792</v>
      </c>
      <c r="J272" s="99">
        <f t="shared" si="179"/>
        <v>-0.39682391764221792</v>
      </c>
      <c r="K272" s="99">
        <f t="shared" si="179"/>
        <v>-0.39682391764221792</v>
      </c>
      <c r="L272" s="99">
        <f t="shared" si="179"/>
        <v>-0.39682391764221792</v>
      </c>
      <c r="M272" s="99">
        <f t="shared" si="179"/>
        <v>-0.39682391764221792</v>
      </c>
      <c r="N272" s="99">
        <f t="shared" si="179"/>
        <v>-0.41065465125594908</v>
      </c>
      <c r="O272" s="99">
        <f t="shared" si="179"/>
        <v>-0.41065465125594908</v>
      </c>
      <c r="P272" s="99">
        <f t="shared" si="179"/>
        <v>-0.41065465125594908</v>
      </c>
      <c r="Q272" s="99">
        <f t="shared" si="179"/>
        <v>-0.41065465125594908</v>
      </c>
      <c r="R272" s="99">
        <f t="shared" si="179"/>
        <v>-0.42047325757407894</v>
      </c>
      <c r="S272" s="99">
        <f t="shared" si="179"/>
        <v>-0.42047325757407894</v>
      </c>
      <c r="T272" s="99">
        <f t="shared" si="179"/>
        <v>-0.29380737840396431</v>
      </c>
      <c r="U272" s="99">
        <f t="shared" si="179"/>
        <v>-0.29380737840396431</v>
      </c>
      <c r="V272" s="99">
        <f t="shared" si="179"/>
        <v>-0.29985252140551527</v>
      </c>
      <c r="W272" s="99">
        <f t="shared" si="179"/>
        <v>-0.42047325757407894</v>
      </c>
    </row>
    <row r="273" spans="1:23" s="36" customFormat="1" x14ac:dyDescent="0.3">
      <c r="A273" s="406"/>
      <c r="B273" s="97" t="s">
        <v>203</v>
      </c>
      <c r="C273" s="98"/>
      <c r="D273" s="99">
        <f t="shared" si="178"/>
        <v>-0.32476190476190475</v>
      </c>
      <c r="E273" s="99">
        <f t="shared" si="178"/>
        <v>-0.32476190476190475</v>
      </c>
      <c r="F273" s="99">
        <f t="shared" ref="F273:W273" si="180">+F269/F265</f>
        <v>-0.32476190476190475</v>
      </c>
      <c r="G273" s="99">
        <f t="shared" si="180"/>
        <v>-0.32476190476190475</v>
      </c>
      <c r="H273" s="99">
        <f t="shared" si="180"/>
        <v>-0.32476190476190475</v>
      </c>
      <c r="I273" s="99">
        <f t="shared" si="180"/>
        <v>-0.32476190476190475</v>
      </c>
      <c r="J273" s="99">
        <f t="shared" si="180"/>
        <v>-0.32476190476190475</v>
      </c>
      <c r="K273" s="99">
        <f t="shared" si="180"/>
        <v>-0.32476190476190475</v>
      </c>
      <c r="L273" s="99">
        <f t="shared" si="180"/>
        <v>-0.32476190476190475</v>
      </c>
      <c r="M273" s="99">
        <f t="shared" si="180"/>
        <v>-0.32476190476190475</v>
      </c>
      <c r="N273" s="99">
        <f t="shared" si="180"/>
        <v>-0.32476190476190475</v>
      </c>
      <c r="O273" s="99">
        <f t="shared" si="180"/>
        <v>-0.32476190476190475</v>
      </c>
      <c r="P273" s="99">
        <f t="shared" si="180"/>
        <v>-0.32476190476190475</v>
      </c>
      <c r="Q273" s="99">
        <f t="shared" si="180"/>
        <v>-0.32476190476190475</v>
      </c>
      <c r="R273" s="99">
        <f t="shared" si="180"/>
        <v>-0.32476190476190475</v>
      </c>
      <c r="S273" s="99">
        <f t="shared" si="180"/>
        <v>-0.32476190476190475</v>
      </c>
      <c r="T273" s="99">
        <f t="shared" si="180"/>
        <v>-0.20956521739130435</v>
      </c>
      <c r="U273" s="99">
        <f t="shared" si="180"/>
        <v>-0.20956521739130435</v>
      </c>
      <c r="V273" s="99">
        <f t="shared" si="180"/>
        <v>-0.26454545454545458</v>
      </c>
      <c r="W273" s="99">
        <f t="shared" si="180"/>
        <v>-0.32476190476190475</v>
      </c>
    </row>
    <row r="274" spans="1:23" s="36" customFormat="1" x14ac:dyDescent="0.3">
      <c r="A274" s="406"/>
      <c r="B274" s="97" t="s">
        <v>204</v>
      </c>
      <c r="C274" s="98"/>
      <c r="D274" s="99">
        <f t="shared" si="178"/>
        <v>-0.26454545454545458</v>
      </c>
      <c r="E274" s="99">
        <f t="shared" si="178"/>
        <v>-0.26454545454545458</v>
      </c>
      <c r="F274" s="99">
        <f t="shared" ref="F274:W274" si="181">+F270/F266</f>
        <v>-0.26454545454545458</v>
      </c>
      <c r="G274" s="99">
        <f t="shared" si="181"/>
        <v>-0.26454545454545458</v>
      </c>
      <c r="H274" s="99">
        <f t="shared" si="181"/>
        <v>-0.26454545454545458</v>
      </c>
      <c r="I274" s="99">
        <f t="shared" si="181"/>
        <v>-0.26454545454545458</v>
      </c>
      <c r="J274" s="99">
        <f t="shared" si="181"/>
        <v>-0.26454545454545458</v>
      </c>
      <c r="K274" s="99">
        <f t="shared" si="181"/>
        <v>-0.26454545454545458</v>
      </c>
      <c r="L274" s="99">
        <f t="shared" si="181"/>
        <v>-0.26454545454545458</v>
      </c>
      <c r="M274" s="99">
        <f t="shared" si="181"/>
        <v>-0.26454545454545458</v>
      </c>
      <c r="N274" s="99">
        <f t="shared" si="181"/>
        <v>-0.26454545454545458</v>
      </c>
      <c r="O274" s="99">
        <f t="shared" si="181"/>
        <v>-0.26454545454545458</v>
      </c>
      <c r="P274" s="99">
        <f t="shared" si="181"/>
        <v>-0.26454545454545458</v>
      </c>
      <c r="Q274" s="99">
        <f t="shared" si="181"/>
        <v>-0.26454545454545458</v>
      </c>
      <c r="R274" s="99">
        <f t="shared" si="181"/>
        <v>-0.26454545454545458</v>
      </c>
      <c r="S274" s="99">
        <f t="shared" si="181"/>
        <v>-0.26454545454545458</v>
      </c>
      <c r="T274" s="99">
        <f t="shared" si="181"/>
        <v>-0.15916666666666668</v>
      </c>
      <c r="U274" s="99">
        <f t="shared" si="181"/>
        <v>-0.15916666666666668</v>
      </c>
      <c r="V274" s="99">
        <f t="shared" si="181"/>
        <v>-0.20956521739130435</v>
      </c>
      <c r="W274" s="99">
        <f t="shared" si="181"/>
        <v>-0.26454545454545458</v>
      </c>
    </row>
    <row r="275" spans="1:23" s="36" customFormat="1" x14ac:dyDescent="0.3">
      <c r="A275" s="406"/>
      <c r="B275" s="97" t="s">
        <v>205</v>
      </c>
      <c r="C275" s="98"/>
      <c r="D275" s="99">
        <f t="shared" si="178"/>
        <v>-0.20956521739130435</v>
      </c>
      <c r="E275" s="99">
        <f t="shared" si="178"/>
        <v>-0.20956521739130435</v>
      </c>
      <c r="F275" s="99">
        <f t="shared" ref="F275:W275" si="182">+F271/F267</f>
        <v>-0.20956521739130435</v>
      </c>
      <c r="G275" s="99">
        <f t="shared" si="182"/>
        <v>-0.20956521739130435</v>
      </c>
      <c r="H275" s="99">
        <f t="shared" si="182"/>
        <v>-0.20956521739130435</v>
      </c>
      <c r="I275" s="99">
        <f t="shared" si="182"/>
        <v>-0.20956521739130435</v>
      </c>
      <c r="J275" s="99">
        <f t="shared" si="182"/>
        <v>-0.20956521739130435</v>
      </c>
      <c r="K275" s="99">
        <f t="shared" si="182"/>
        <v>-0.20956521739130435</v>
      </c>
      <c r="L275" s="99">
        <f t="shared" si="182"/>
        <v>-0.20956521739130435</v>
      </c>
      <c r="M275" s="99">
        <f t="shared" si="182"/>
        <v>-0.20956521739130435</v>
      </c>
      <c r="N275" s="99">
        <f t="shared" si="182"/>
        <v>-0.20956521739130435</v>
      </c>
      <c r="O275" s="99">
        <f t="shared" si="182"/>
        <v>-0.20956521739130435</v>
      </c>
      <c r="P275" s="99">
        <f t="shared" si="182"/>
        <v>-0.20956521739130435</v>
      </c>
      <c r="Q275" s="99">
        <f t="shared" si="182"/>
        <v>-0.20956521739130435</v>
      </c>
      <c r="R275" s="99">
        <f t="shared" si="182"/>
        <v>-0.20956521739130435</v>
      </c>
      <c r="S275" s="99">
        <f t="shared" si="182"/>
        <v>-0.20956521739130435</v>
      </c>
      <c r="T275" s="99">
        <f t="shared" si="182"/>
        <v>-0.11280000000000001</v>
      </c>
      <c r="U275" s="99">
        <f t="shared" si="182"/>
        <v>-0.11280000000000001</v>
      </c>
      <c r="V275" s="99">
        <f t="shared" si="182"/>
        <v>-0.15916666666666668</v>
      </c>
      <c r="W275" s="99">
        <f t="shared" si="182"/>
        <v>-0.20956521739130435</v>
      </c>
    </row>
    <row r="276" spans="1:23" ht="21" thickBot="1" x14ac:dyDescent="0.35"/>
    <row r="277" spans="1:23" s="19" customFormat="1" ht="24" thickBot="1" x14ac:dyDescent="0.4">
      <c r="A277" s="19" t="s">
        <v>281</v>
      </c>
      <c r="B277" s="362" t="s">
        <v>232</v>
      </c>
      <c r="C277" s="68"/>
      <c r="D277" s="17" t="s">
        <v>5</v>
      </c>
      <c r="E277" s="18" t="s">
        <v>6</v>
      </c>
      <c r="F277" s="18" t="s">
        <v>7</v>
      </c>
      <c r="G277" s="18" t="s">
        <v>8</v>
      </c>
      <c r="H277" s="18" t="s">
        <v>9</v>
      </c>
      <c r="I277" s="18" t="s">
        <v>10</v>
      </c>
      <c r="J277" s="18" t="s">
        <v>11</v>
      </c>
      <c r="K277" s="18" t="s">
        <v>12</v>
      </c>
      <c r="L277" s="18" t="s">
        <v>13</v>
      </c>
      <c r="M277" s="18" t="s">
        <v>14</v>
      </c>
      <c r="N277" s="18" t="s">
        <v>15</v>
      </c>
      <c r="O277" s="18" t="s">
        <v>16</v>
      </c>
      <c r="P277" s="18" t="s">
        <v>17</v>
      </c>
      <c r="Q277" s="18" t="s">
        <v>18</v>
      </c>
      <c r="R277" s="18" t="s">
        <v>19</v>
      </c>
      <c r="S277" s="18" t="s">
        <v>20</v>
      </c>
      <c r="T277" s="18" t="s">
        <v>21</v>
      </c>
      <c r="U277" s="18" t="s">
        <v>22</v>
      </c>
      <c r="V277" s="18" t="s">
        <v>23</v>
      </c>
      <c r="W277" s="18" t="s">
        <v>166</v>
      </c>
    </row>
    <row r="278" spans="1:23" x14ac:dyDescent="0.3">
      <c r="A278" s="19" t="s">
        <v>282</v>
      </c>
      <c r="B278" s="54" t="s">
        <v>50</v>
      </c>
      <c r="C278" s="55"/>
      <c r="D278" s="20">
        <v>31</v>
      </c>
      <c r="E278" s="21">
        <f>D278</f>
        <v>31</v>
      </c>
      <c r="F278" s="21">
        <f>E278</f>
        <v>31</v>
      </c>
      <c r="G278" s="21">
        <f>F278</f>
        <v>31</v>
      </c>
      <c r="H278" s="21">
        <f>G278</f>
        <v>31</v>
      </c>
      <c r="I278" s="21">
        <f>G278</f>
        <v>31</v>
      </c>
      <c r="J278" s="21">
        <f t="shared" ref="J278:W278" si="183">I278</f>
        <v>31</v>
      </c>
      <c r="K278" s="21">
        <f t="shared" si="183"/>
        <v>31</v>
      </c>
      <c r="L278" s="21">
        <f t="shared" si="183"/>
        <v>31</v>
      </c>
      <c r="M278" s="21">
        <f t="shared" si="183"/>
        <v>31</v>
      </c>
      <c r="N278" s="21">
        <f t="shared" si="183"/>
        <v>31</v>
      </c>
      <c r="O278" s="21">
        <f t="shared" si="183"/>
        <v>31</v>
      </c>
      <c r="P278" s="21">
        <f t="shared" si="183"/>
        <v>31</v>
      </c>
      <c r="Q278" s="21">
        <f t="shared" si="183"/>
        <v>31</v>
      </c>
      <c r="R278" s="21">
        <f t="shared" si="183"/>
        <v>31</v>
      </c>
      <c r="S278" s="21">
        <f t="shared" si="183"/>
        <v>31</v>
      </c>
      <c r="T278" s="21">
        <f t="shared" si="183"/>
        <v>31</v>
      </c>
      <c r="U278" s="21">
        <f t="shared" si="183"/>
        <v>31</v>
      </c>
      <c r="V278" s="21">
        <f t="shared" si="183"/>
        <v>31</v>
      </c>
      <c r="W278" s="21">
        <f t="shared" si="183"/>
        <v>31</v>
      </c>
    </row>
    <row r="279" spans="1:23" ht="23" x14ac:dyDescent="0.35">
      <c r="B279" s="340" t="s">
        <v>51</v>
      </c>
      <c r="C279" s="341"/>
      <c r="D279" s="364"/>
      <c r="E279" s="342"/>
      <c r="F279" s="342"/>
      <c r="G279" s="342"/>
      <c r="H279" s="342"/>
      <c r="I279" s="342"/>
      <c r="J279" s="342"/>
      <c r="K279" s="342"/>
      <c r="L279" s="342"/>
      <c r="M279" s="342"/>
      <c r="N279" s="342"/>
      <c r="O279" s="342"/>
      <c r="P279" s="342"/>
      <c r="Q279" s="342"/>
      <c r="R279" s="342"/>
      <c r="S279" s="342"/>
      <c r="T279" s="342"/>
      <c r="U279" s="342"/>
      <c r="V279" s="342"/>
      <c r="W279" s="342"/>
    </row>
    <row r="280" spans="1:23" x14ac:dyDescent="0.3">
      <c r="B280" s="54"/>
      <c r="C280" s="55"/>
      <c r="D280" s="20">
        <f t="shared" ref="D280:W280" si="184">D278*(1-D279)</f>
        <v>31</v>
      </c>
      <c r="E280" s="20">
        <f t="shared" si="184"/>
        <v>31</v>
      </c>
      <c r="F280" s="20">
        <f t="shared" si="184"/>
        <v>31</v>
      </c>
      <c r="G280" s="20">
        <f t="shared" si="184"/>
        <v>31</v>
      </c>
      <c r="H280" s="20">
        <f t="shared" si="184"/>
        <v>31</v>
      </c>
      <c r="I280" s="20">
        <f t="shared" si="184"/>
        <v>31</v>
      </c>
      <c r="J280" s="20">
        <f t="shared" si="184"/>
        <v>31</v>
      </c>
      <c r="K280" s="20">
        <f t="shared" si="184"/>
        <v>31</v>
      </c>
      <c r="L280" s="20">
        <f t="shared" si="184"/>
        <v>31</v>
      </c>
      <c r="M280" s="20">
        <f t="shared" si="184"/>
        <v>31</v>
      </c>
      <c r="N280" s="20">
        <f t="shared" si="184"/>
        <v>31</v>
      </c>
      <c r="O280" s="20">
        <f t="shared" si="184"/>
        <v>31</v>
      </c>
      <c r="P280" s="20">
        <f t="shared" si="184"/>
        <v>31</v>
      </c>
      <c r="Q280" s="288">
        <f t="shared" si="184"/>
        <v>31</v>
      </c>
      <c r="R280" s="20">
        <f t="shared" si="184"/>
        <v>31</v>
      </c>
      <c r="S280" s="20">
        <f t="shared" si="184"/>
        <v>31</v>
      </c>
      <c r="T280" s="20">
        <f t="shared" si="184"/>
        <v>31</v>
      </c>
      <c r="U280" s="20">
        <f t="shared" si="184"/>
        <v>31</v>
      </c>
      <c r="V280" s="20">
        <f t="shared" si="184"/>
        <v>31</v>
      </c>
      <c r="W280" s="20">
        <f t="shared" si="184"/>
        <v>31</v>
      </c>
    </row>
    <row r="281" spans="1:23" x14ac:dyDescent="0.3">
      <c r="B281" s="54" t="s">
        <v>51</v>
      </c>
      <c r="C281" s="56">
        <v>0</v>
      </c>
      <c r="D281" s="20">
        <f>D280*$C281</f>
        <v>0</v>
      </c>
      <c r="E281" s="20">
        <f t="shared" ref="E281:W281" si="185">E280*$C281</f>
        <v>0</v>
      </c>
      <c r="F281" s="20">
        <f t="shared" si="185"/>
        <v>0</v>
      </c>
      <c r="G281" s="20">
        <f t="shared" si="185"/>
        <v>0</v>
      </c>
      <c r="H281" s="20">
        <f t="shared" si="185"/>
        <v>0</v>
      </c>
      <c r="I281" s="20">
        <f t="shared" si="185"/>
        <v>0</v>
      </c>
      <c r="J281" s="20">
        <f t="shared" si="185"/>
        <v>0</v>
      </c>
      <c r="K281" s="20">
        <f t="shared" si="185"/>
        <v>0</v>
      </c>
      <c r="L281" s="20">
        <f t="shared" si="185"/>
        <v>0</v>
      </c>
      <c r="M281" s="20">
        <f t="shared" si="185"/>
        <v>0</v>
      </c>
      <c r="N281" s="20">
        <f t="shared" si="185"/>
        <v>0</v>
      </c>
      <c r="O281" s="20">
        <f t="shared" si="185"/>
        <v>0</v>
      </c>
      <c r="P281" s="20">
        <f t="shared" si="185"/>
        <v>0</v>
      </c>
      <c r="Q281" s="20">
        <f t="shared" si="185"/>
        <v>0</v>
      </c>
      <c r="R281" s="20">
        <f t="shared" si="185"/>
        <v>0</v>
      </c>
      <c r="S281" s="20">
        <f t="shared" si="185"/>
        <v>0</v>
      </c>
      <c r="T281" s="20">
        <f t="shared" si="185"/>
        <v>0</v>
      </c>
      <c r="U281" s="20">
        <f t="shared" si="185"/>
        <v>0</v>
      </c>
      <c r="V281" s="20">
        <f t="shared" si="185"/>
        <v>0</v>
      </c>
      <c r="W281" s="20">
        <f t="shared" si="185"/>
        <v>0</v>
      </c>
    </row>
    <row r="282" spans="1:23" x14ac:dyDescent="0.3">
      <c r="B282" s="54" t="s">
        <v>67</v>
      </c>
      <c r="C282" s="55"/>
      <c r="D282" s="20">
        <f>D280-D281</f>
        <v>31</v>
      </c>
      <c r="E282" s="20">
        <f t="shared" ref="E282:W282" si="186">E280-E281</f>
        <v>31</v>
      </c>
      <c r="F282" s="20">
        <f t="shared" si="186"/>
        <v>31</v>
      </c>
      <c r="G282" s="20">
        <f t="shared" si="186"/>
        <v>31</v>
      </c>
      <c r="H282" s="20">
        <f t="shared" si="186"/>
        <v>31</v>
      </c>
      <c r="I282" s="20">
        <f t="shared" si="186"/>
        <v>31</v>
      </c>
      <c r="J282" s="20">
        <f t="shared" si="186"/>
        <v>31</v>
      </c>
      <c r="K282" s="20">
        <f t="shared" si="186"/>
        <v>31</v>
      </c>
      <c r="L282" s="20">
        <f t="shared" si="186"/>
        <v>31</v>
      </c>
      <c r="M282" s="20">
        <f t="shared" si="186"/>
        <v>31</v>
      </c>
      <c r="N282" s="20">
        <f t="shared" si="186"/>
        <v>31</v>
      </c>
      <c r="O282" s="20">
        <f t="shared" si="186"/>
        <v>31</v>
      </c>
      <c r="P282" s="20">
        <f t="shared" si="186"/>
        <v>31</v>
      </c>
      <c r="Q282" s="20">
        <f t="shared" si="186"/>
        <v>31</v>
      </c>
      <c r="R282" s="20">
        <f t="shared" si="186"/>
        <v>31</v>
      </c>
      <c r="S282" s="20">
        <f t="shared" si="186"/>
        <v>31</v>
      </c>
      <c r="T282" s="20">
        <f t="shared" si="186"/>
        <v>31</v>
      </c>
      <c r="U282" s="20">
        <f t="shared" si="186"/>
        <v>31</v>
      </c>
      <c r="V282" s="20">
        <f t="shared" si="186"/>
        <v>31</v>
      </c>
      <c r="W282" s="20">
        <f t="shared" si="186"/>
        <v>31</v>
      </c>
    </row>
    <row r="283" spans="1:23" x14ac:dyDescent="0.3">
      <c r="B283" s="54" t="s">
        <v>66</v>
      </c>
      <c r="C283" s="56">
        <v>7.0000000000000007E-2</v>
      </c>
      <c r="D283" s="20">
        <f>D282*$C283</f>
        <v>2.1700000000000004</v>
      </c>
      <c r="E283" s="20">
        <f t="shared" ref="E283:W283" si="187">E282*$C283</f>
        <v>2.1700000000000004</v>
      </c>
      <c r="F283" s="20">
        <f t="shared" si="187"/>
        <v>2.1700000000000004</v>
      </c>
      <c r="G283" s="20">
        <f t="shared" si="187"/>
        <v>2.1700000000000004</v>
      </c>
      <c r="H283" s="20">
        <f t="shared" si="187"/>
        <v>2.1700000000000004</v>
      </c>
      <c r="I283" s="20">
        <f t="shared" si="187"/>
        <v>2.1700000000000004</v>
      </c>
      <c r="J283" s="20">
        <f t="shared" si="187"/>
        <v>2.1700000000000004</v>
      </c>
      <c r="K283" s="20">
        <f t="shared" si="187"/>
        <v>2.1700000000000004</v>
      </c>
      <c r="L283" s="20">
        <f t="shared" si="187"/>
        <v>2.1700000000000004</v>
      </c>
      <c r="M283" s="20">
        <f t="shared" si="187"/>
        <v>2.1700000000000004</v>
      </c>
      <c r="N283" s="20">
        <f t="shared" si="187"/>
        <v>2.1700000000000004</v>
      </c>
      <c r="O283" s="20">
        <f t="shared" si="187"/>
        <v>2.1700000000000004</v>
      </c>
      <c r="P283" s="20">
        <f t="shared" si="187"/>
        <v>2.1700000000000004</v>
      </c>
      <c r="Q283" s="20">
        <f t="shared" si="187"/>
        <v>2.1700000000000004</v>
      </c>
      <c r="R283" s="20">
        <f t="shared" si="187"/>
        <v>2.1700000000000004</v>
      </c>
      <c r="S283" s="20">
        <f t="shared" si="187"/>
        <v>2.1700000000000004</v>
      </c>
      <c r="T283" s="20">
        <f t="shared" si="187"/>
        <v>2.1700000000000004</v>
      </c>
      <c r="U283" s="20">
        <f t="shared" si="187"/>
        <v>2.1700000000000004</v>
      </c>
      <c r="V283" s="20">
        <f t="shared" si="187"/>
        <v>2.1700000000000004</v>
      </c>
      <c r="W283" s="20">
        <f t="shared" si="187"/>
        <v>2.1700000000000004</v>
      </c>
    </row>
    <row r="284" spans="1:23" x14ac:dyDescent="0.3">
      <c r="B284" s="54" t="s">
        <v>68</v>
      </c>
      <c r="C284" s="55"/>
      <c r="D284" s="20">
        <f>D282+D283</f>
        <v>33.17</v>
      </c>
      <c r="E284" s="20">
        <f t="shared" ref="E284:W284" si="188">E282+E283</f>
        <v>33.17</v>
      </c>
      <c r="F284" s="20">
        <f t="shared" si="188"/>
        <v>33.17</v>
      </c>
      <c r="G284" s="20">
        <f t="shared" si="188"/>
        <v>33.17</v>
      </c>
      <c r="H284" s="20">
        <f t="shared" si="188"/>
        <v>33.17</v>
      </c>
      <c r="I284" s="20">
        <f t="shared" si="188"/>
        <v>33.17</v>
      </c>
      <c r="J284" s="20">
        <f t="shared" si="188"/>
        <v>33.17</v>
      </c>
      <c r="K284" s="20">
        <f t="shared" si="188"/>
        <v>33.17</v>
      </c>
      <c r="L284" s="20">
        <f t="shared" si="188"/>
        <v>33.17</v>
      </c>
      <c r="M284" s="20">
        <f t="shared" si="188"/>
        <v>33.17</v>
      </c>
      <c r="N284" s="20">
        <f t="shared" si="188"/>
        <v>33.17</v>
      </c>
      <c r="O284" s="20">
        <f t="shared" si="188"/>
        <v>33.17</v>
      </c>
      <c r="P284" s="20">
        <f t="shared" si="188"/>
        <v>33.17</v>
      </c>
      <c r="Q284" s="20">
        <f t="shared" si="188"/>
        <v>33.17</v>
      </c>
      <c r="R284" s="20">
        <f t="shared" si="188"/>
        <v>33.17</v>
      </c>
      <c r="S284" s="20">
        <f t="shared" si="188"/>
        <v>33.17</v>
      </c>
      <c r="T284" s="20">
        <f t="shared" si="188"/>
        <v>33.17</v>
      </c>
      <c r="U284" s="20">
        <f t="shared" si="188"/>
        <v>33.17</v>
      </c>
      <c r="V284" s="20">
        <f t="shared" si="188"/>
        <v>33.17</v>
      </c>
      <c r="W284" s="20">
        <f t="shared" si="188"/>
        <v>33.17</v>
      </c>
    </row>
    <row r="285" spans="1:23" ht="23" x14ac:dyDescent="0.35">
      <c r="B285" s="357" t="s">
        <v>52</v>
      </c>
      <c r="C285" s="358"/>
      <c r="D285" s="381"/>
      <c r="E285" s="381"/>
      <c r="F285" s="381"/>
      <c r="G285" s="381"/>
      <c r="H285" s="381"/>
      <c r="I285" s="381"/>
      <c r="J285" s="381"/>
      <c r="K285" s="381"/>
      <c r="L285" s="381"/>
      <c r="M285" s="381"/>
      <c r="N285" s="381"/>
      <c r="O285" s="381"/>
      <c r="P285" s="381"/>
      <c r="Q285" s="381"/>
      <c r="R285" s="381"/>
      <c r="S285" s="381"/>
      <c r="T285" s="381"/>
      <c r="U285" s="381"/>
      <c r="V285" s="381"/>
      <c r="W285" s="381"/>
    </row>
    <row r="286" spans="1:23" x14ac:dyDescent="0.3">
      <c r="B286" s="57" t="s">
        <v>53</v>
      </c>
      <c r="C286" s="58"/>
      <c r="D286" s="25">
        <f>SUM(D284:D285)</f>
        <v>33.17</v>
      </c>
      <c r="E286" s="26">
        <f t="shared" ref="E286:W286" si="189">SUM(E284:E285)</f>
        <v>33.17</v>
      </c>
      <c r="F286" s="26">
        <f t="shared" si="189"/>
        <v>33.17</v>
      </c>
      <c r="G286" s="26">
        <f t="shared" si="189"/>
        <v>33.17</v>
      </c>
      <c r="H286" s="26">
        <f t="shared" si="189"/>
        <v>33.17</v>
      </c>
      <c r="I286" s="26">
        <f t="shared" si="189"/>
        <v>33.17</v>
      </c>
      <c r="J286" s="26">
        <f t="shared" si="189"/>
        <v>33.17</v>
      </c>
      <c r="K286" s="26">
        <f t="shared" si="189"/>
        <v>33.17</v>
      </c>
      <c r="L286" s="26">
        <f t="shared" si="189"/>
        <v>33.17</v>
      </c>
      <c r="M286" s="26">
        <f t="shared" si="189"/>
        <v>33.17</v>
      </c>
      <c r="N286" s="26">
        <f t="shared" si="189"/>
        <v>33.17</v>
      </c>
      <c r="O286" s="26">
        <f t="shared" si="189"/>
        <v>33.17</v>
      </c>
      <c r="P286" s="26">
        <f t="shared" si="189"/>
        <v>33.17</v>
      </c>
      <c r="Q286" s="26">
        <f t="shared" si="189"/>
        <v>33.17</v>
      </c>
      <c r="R286" s="26">
        <f t="shared" si="189"/>
        <v>33.17</v>
      </c>
      <c r="S286" s="26">
        <f t="shared" si="189"/>
        <v>33.17</v>
      </c>
      <c r="T286" s="26">
        <f t="shared" si="189"/>
        <v>33.17</v>
      </c>
      <c r="U286" s="26">
        <f t="shared" si="189"/>
        <v>33.17</v>
      </c>
      <c r="V286" s="26">
        <f t="shared" si="189"/>
        <v>33.17</v>
      </c>
      <c r="W286" s="26">
        <f t="shared" si="189"/>
        <v>33.17</v>
      </c>
    </row>
    <row r="287" spans="1:23" ht="23" x14ac:dyDescent="0.35">
      <c r="B287" s="336" t="s">
        <v>54</v>
      </c>
      <c r="C287" s="337"/>
      <c r="D287" s="338"/>
      <c r="E287" s="338"/>
      <c r="F287" s="338"/>
      <c r="G287" s="338"/>
      <c r="H287" s="338"/>
      <c r="I287" s="338"/>
      <c r="J287" s="338"/>
      <c r="K287" s="338"/>
      <c r="L287" s="338"/>
      <c r="M287" s="338"/>
      <c r="N287" s="338"/>
      <c r="O287" s="338"/>
      <c r="P287" s="338"/>
      <c r="Q287" s="338"/>
      <c r="R287" s="338"/>
      <c r="S287" s="338"/>
      <c r="T287" s="338"/>
      <c r="U287" s="338"/>
      <c r="V287" s="338"/>
      <c r="W287" s="338"/>
    </row>
    <row r="288" spans="1:23" ht="23" x14ac:dyDescent="0.35">
      <c r="B288" s="353" t="s">
        <v>55</v>
      </c>
      <c r="C288" s="354"/>
      <c r="D288" s="355">
        <f>D286</f>
        <v>33.17</v>
      </c>
      <c r="E288" s="356">
        <f t="shared" ref="E288:W288" si="190">E286</f>
        <v>33.17</v>
      </c>
      <c r="F288" s="356">
        <f t="shared" si="190"/>
        <v>33.17</v>
      </c>
      <c r="G288" s="356">
        <f t="shared" si="190"/>
        <v>33.17</v>
      </c>
      <c r="H288" s="356">
        <f t="shared" si="190"/>
        <v>33.17</v>
      </c>
      <c r="I288" s="356">
        <f t="shared" si="190"/>
        <v>33.17</v>
      </c>
      <c r="J288" s="356">
        <f t="shared" si="190"/>
        <v>33.17</v>
      </c>
      <c r="K288" s="356">
        <f t="shared" si="190"/>
        <v>33.17</v>
      </c>
      <c r="L288" s="356">
        <f t="shared" si="190"/>
        <v>33.17</v>
      </c>
      <c r="M288" s="356">
        <f t="shared" si="190"/>
        <v>33.17</v>
      </c>
      <c r="N288" s="356">
        <f t="shared" si="190"/>
        <v>33.17</v>
      </c>
      <c r="O288" s="356">
        <f t="shared" si="190"/>
        <v>33.17</v>
      </c>
      <c r="P288" s="356">
        <f t="shared" si="190"/>
        <v>33.17</v>
      </c>
      <c r="Q288" s="356">
        <f t="shared" si="190"/>
        <v>33.17</v>
      </c>
      <c r="R288" s="356">
        <f t="shared" si="190"/>
        <v>33.17</v>
      </c>
      <c r="S288" s="356">
        <f t="shared" si="190"/>
        <v>33.17</v>
      </c>
      <c r="T288" s="356">
        <f t="shared" si="190"/>
        <v>33.17</v>
      </c>
      <c r="U288" s="356">
        <f t="shared" si="190"/>
        <v>33.17</v>
      </c>
      <c r="V288" s="356">
        <f t="shared" si="190"/>
        <v>33.17</v>
      </c>
      <c r="W288" s="356">
        <f t="shared" si="190"/>
        <v>33.17</v>
      </c>
    </row>
    <row r="289" spans="1:23" x14ac:dyDescent="0.3">
      <c r="B289" s="171" t="s">
        <v>194</v>
      </c>
      <c r="C289" s="55"/>
      <c r="D289" s="20">
        <v>23.754487999999995</v>
      </c>
      <c r="E289" s="21">
        <v>25.329818</v>
      </c>
      <c r="F289" s="21">
        <v>25.329818</v>
      </c>
      <c r="G289" s="21">
        <v>25.329818</v>
      </c>
      <c r="H289" s="21">
        <v>25.329818</v>
      </c>
      <c r="I289" s="21">
        <v>24.729685999999994</v>
      </c>
      <c r="J289" s="21">
        <v>24.729685999999994</v>
      </c>
      <c r="K289" s="21">
        <v>24.729685999999994</v>
      </c>
      <c r="L289" s="21">
        <v>24.729685999999994</v>
      </c>
      <c r="M289" s="21">
        <v>24.729685999999994</v>
      </c>
      <c r="N289" s="21">
        <v>24.104487999999996</v>
      </c>
      <c r="O289" s="21">
        <v>24.104487999999996</v>
      </c>
      <c r="P289" s="21">
        <v>24.104487999999996</v>
      </c>
      <c r="Q289" s="21">
        <v>24.104487999999996</v>
      </c>
      <c r="R289" s="21">
        <v>25.079685999999995</v>
      </c>
      <c r="S289" s="21">
        <v>25.079685999999995</v>
      </c>
      <c r="T289" s="21">
        <v>25.329818</v>
      </c>
      <c r="U289" s="21">
        <v>25.329818</v>
      </c>
      <c r="V289" s="21">
        <v>25.229817999999998</v>
      </c>
      <c r="W289" s="21">
        <v>25.079685999999995</v>
      </c>
    </row>
    <row r="290" spans="1:23" s="51" customFormat="1" x14ac:dyDescent="0.3">
      <c r="A290" s="407"/>
      <c r="B290" s="61" t="s">
        <v>195</v>
      </c>
      <c r="C290" s="62"/>
      <c r="D290" s="28">
        <v>25</v>
      </c>
      <c r="E290" s="28">
        <v>26</v>
      </c>
      <c r="F290" s="28">
        <v>26</v>
      </c>
      <c r="G290" s="28">
        <v>26</v>
      </c>
      <c r="H290" s="28">
        <v>26</v>
      </c>
      <c r="I290" s="28">
        <v>26</v>
      </c>
      <c r="J290" s="28">
        <v>26</v>
      </c>
      <c r="K290" s="28">
        <v>26</v>
      </c>
      <c r="L290" s="28">
        <v>26</v>
      </c>
      <c r="M290" s="28">
        <v>26</v>
      </c>
      <c r="N290" s="28">
        <v>25</v>
      </c>
      <c r="O290" s="28">
        <v>25</v>
      </c>
      <c r="P290" s="28">
        <v>25</v>
      </c>
      <c r="Q290" s="28">
        <v>25</v>
      </c>
      <c r="R290" s="28">
        <v>26</v>
      </c>
      <c r="S290" s="28">
        <v>26</v>
      </c>
      <c r="T290" s="28">
        <v>26</v>
      </c>
      <c r="U290" s="28">
        <v>26</v>
      </c>
      <c r="V290" s="28">
        <v>26</v>
      </c>
      <c r="W290" s="28">
        <v>26</v>
      </c>
    </row>
    <row r="291" spans="1:23" s="51" customFormat="1" x14ac:dyDescent="0.3">
      <c r="A291" s="407"/>
      <c r="B291" s="61" t="s">
        <v>196</v>
      </c>
      <c r="C291" s="62"/>
      <c r="D291" s="28">
        <v>26</v>
      </c>
      <c r="E291" s="28">
        <v>27</v>
      </c>
      <c r="F291" s="28">
        <v>27</v>
      </c>
      <c r="G291" s="28">
        <v>27</v>
      </c>
      <c r="H291" s="28">
        <v>27</v>
      </c>
      <c r="I291" s="28">
        <v>27</v>
      </c>
      <c r="J291" s="28">
        <v>27</v>
      </c>
      <c r="K291" s="28">
        <v>27</v>
      </c>
      <c r="L291" s="28">
        <v>27</v>
      </c>
      <c r="M291" s="28">
        <v>27</v>
      </c>
      <c r="N291" s="28">
        <v>26</v>
      </c>
      <c r="O291" s="28">
        <v>26</v>
      </c>
      <c r="P291" s="28">
        <v>26</v>
      </c>
      <c r="Q291" s="28">
        <v>26</v>
      </c>
      <c r="R291" s="28">
        <v>27</v>
      </c>
      <c r="S291" s="28">
        <v>27</v>
      </c>
      <c r="T291" s="28">
        <v>27</v>
      </c>
      <c r="U291" s="28">
        <v>27</v>
      </c>
      <c r="V291" s="28">
        <v>27</v>
      </c>
      <c r="W291" s="28">
        <v>27</v>
      </c>
    </row>
    <row r="292" spans="1:23" s="51" customFormat="1" x14ac:dyDescent="0.3">
      <c r="A292" s="407"/>
      <c r="B292" s="61" t="s">
        <v>197</v>
      </c>
      <c r="C292" s="62"/>
      <c r="D292" s="28">
        <v>27</v>
      </c>
      <c r="E292" s="28">
        <v>28</v>
      </c>
      <c r="F292" s="28">
        <v>28</v>
      </c>
      <c r="G292" s="28">
        <v>28</v>
      </c>
      <c r="H292" s="28">
        <v>28</v>
      </c>
      <c r="I292" s="28">
        <v>28</v>
      </c>
      <c r="J292" s="28">
        <v>28</v>
      </c>
      <c r="K292" s="28">
        <v>28</v>
      </c>
      <c r="L292" s="28">
        <v>28</v>
      </c>
      <c r="M292" s="28">
        <v>28</v>
      </c>
      <c r="N292" s="28">
        <v>27</v>
      </c>
      <c r="O292" s="28">
        <v>27</v>
      </c>
      <c r="P292" s="28">
        <v>27</v>
      </c>
      <c r="Q292" s="28">
        <v>27</v>
      </c>
      <c r="R292" s="28">
        <v>28</v>
      </c>
      <c r="S292" s="28">
        <v>28</v>
      </c>
      <c r="T292" s="28">
        <v>28</v>
      </c>
      <c r="U292" s="28">
        <v>28</v>
      </c>
      <c r="V292" s="28">
        <v>28</v>
      </c>
      <c r="W292" s="28">
        <v>28</v>
      </c>
    </row>
    <row r="293" spans="1:23" s="30" customFormat="1" x14ac:dyDescent="0.3">
      <c r="A293" s="404"/>
      <c r="B293" s="63" t="s">
        <v>198</v>
      </c>
      <c r="C293" s="62"/>
      <c r="D293" s="31">
        <f t="shared" ref="D293:E296" si="191">+D289-D$288</f>
        <v>-9.4155120000000068</v>
      </c>
      <c r="E293" s="31">
        <f t="shared" si="191"/>
        <v>-7.8401820000000022</v>
      </c>
      <c r="F293" s="31">
        <f t="shared" ref="F293:W293" si="192">+F289-F$288</f>
        <v>-7.8401820000000022</v>
      </c>
      <c r="G293" s="31">
        <f t="shared" si="192"/>
        <v>-7.8401820000000022</v>
      </c>
      <c r="H293" s="31">
        <f t="shared" si="192"/>
        <v>-7.8401820000000022</v>
      </c>
      <c r="I293" s="31">
        <f t="shared" si="192"/>
        <v>-8.4403140000000079</v>
      </c>
      <c r="J293" s="31">
        <f t="shared" si="192"/>
        <v>-8.4403140000000079</v>
      </c>
      <c r="K293" s="31">
        <f t="shared" si="192"/>
        <v>-8.4403140000000079</v>
      </c>
      <c r="L293" s="31">
        <f t="shared" si="192"/>
        <v>-8.4403140000000079</v>
      </c>
      <c r="M293" s="31">
        <f t="shared" si="192"/>
        <v>-8.4403140000000079</v>
      </c>
      <c r="N293" s="31">
        <f t="shared" si="192"/>
        <v>-9.0655120000000053</v>
      </c>
      <c r="O293" s="31">
        <f t="shared" si="192"/>
        <v>-9.0655120000000053</v>
      </c>
      <c r="P293" s="31">
        <f t="shared" si="192"/>
        <v>-9.0655120000000053</v>
      </c>
      <c r="Q293" s="31">
        <f t="shared" si="192"/>
        <v>-9.0655120000000053</v>
      </c>
      <c r="R293" s="31">
        <f t="shared" si="192"/>
        <v>-8.0903140000000064</v>
      </c>
      <c r="S293" s="31">
        <f t="shared" si="192"/>
        <v>-8.0903140000000064</v>
      </c>
      <c r="T293" s="31">
        <f t="shared" si="192"/>
        <v>-7.8401820000000022</v>
      </c>
      <c r="U293" s="31">
        <f t="shared" si="192"/>
        <v>-7.8401820000000022</v>
      </c>
      <c r="V293" s="31">
        <f t="shared" si="192"/>
        <v>-7.9401820000000036</v>
      </c>
      <c r="W293" s="31">
        <f t="shared" si="192"/>
        <v>-8.0903140000000064</v>
      </c>
    </row>
    <row r="294" spans="1:23" s="33" customFormat="1" x14ac:dyDescent="0.3">
      <c r="A294" s="405"/>
      <c r="B294" s="63" t="s">
        <v>199</v>
      </c>
      <c r="C294" s="64"/>
      <c r="D294" s="31">
        <f t="shared" si="191"/>
        <v>-8.1700000000000017</v>
      </c>
      <c r="E294" s="32">
        <f t="shared" si="191"/>
        <v>-7.1700000000000017</v>
      </c>
      <c r="F294" s="32">
        <f t="shared" ref="F294:W294" si="193">+F290-F$288</f>
        <v>-7.1700000000000017</v>
      </c>
      <c r="G294" s="32">
        <f t="shared" si="193"/>
        <v>-7.1700000000000017</v>
      </c>
      <c r="H294" s="32">
        <f t="shared" si="193"/>
        <v>-7.1700000000000017</v>
      </c>
      <c r="I294" s="32">
        <f t="shared" si="193"/>
        <v>-7.1700000000000017</v>
      </c>
      <c r="J294" s="32">
        <f t="shared" si="193"/>
        <v>-7.1700000000000017</v>
      </c>
      <c r="K294" s="32">
        <f t="shared" si="193"/>
        <v>-7.1700000000000017</v>
      </c>
      <c r="L294" s="32">
        <f t="shared" si="193"/>
        <v>-7.1700000000000017</v>
      </c>
      <c r="M294" s="32">
        <f t="shared" si="193"/>
        <v>-7.1700000000000017</v>
      </c>
      <c r="N294" s="32">
        <f t="shared" si="193"/>
        <v>-8.1700000000000017</v>
      </c>
      <c r="O294" s="32">
        <f t="shared" si="193"/>
        <v>-8.1700000000000017</v>
      </c>
      <c r="P294" s="32">
        <f t="shared" si="193"/>
        <v>-8.1700000000000017</v>
      </c>
      <c r="Q294" s="32">
        <f t="shared" si="193"/>
        <v>-8.1700000000000017</v>
      </c>
      <c r="R294" s="32">
        <f t="shared" si="193"/>
        <v>-7.1700000000000017</v>
      </c>
      <c r="S294" s="32">
        <f t="shared" si="193"/>
        <v>-7.1700000000000017</v>
      </c>
      <c r="T294" s="32">
        <f t="shared" si="193"/>
        <v>-7.1700000000000017</v>
      </c>
      <c r="U294" s="32">
        <f t="shared" si="193"/>
        <v>-7.1700000000000017</v>
      </c>
      <c r="V294" s="32">
        <f t="shared" si="193"/>
        <v>-7.1700000000000017</v>
      </c>
      <c r="W294" s="32">
        <f t="shared" si="193"/>
        <v>-7.1700000000000017</v>
      </c>
    </row>
    <row r="295" spans="1:23" s="33" customFormat="1" x14ac:dyDescent="0.3">
      <c r="A295" s="405"/>
      <c r="B295" s="63" t="s">
        <v>200</v>
      </c>
      <c r="C295" s="64"/>
      <c r="D295" s="31">
        <f t="shared" si="191"/>
        <v>-7.1700000000000017</v>
      </c>
      <c r="E295" s="32">
        <f t="shared" si="191"/>
        <v>-6.1700000000000017</v>
      </c>
      <c r="F295" s="32">
        <f t="shared" ref="F295:W295" si="194">+F291-F$288</f>
        <v>-6.1700000000000017</v>
      </c>
      <c r="G295" s="32">
        <f t="shared" si="194"/>
        <v>-6.1700000000000017</v>
      </c>
      <c r="H295" s="32">
        <f t="shared" si="194"/>
        <v>-6.1700000000000017</v>
      </c>
      <c r="I295" s="32">
        <f t="shared" si="194"/>
        <v>-6.1700000000000017</v>
      </c>
      <c r="J295" s="32">
        <f t="shared" si="194"/>
        <v>-6.1700000000000017</v>
      </c>
      <c r="K295" s="32">
        <f t="shared" si="194"/>
        <v>-6.1700000000000017</v>
      </c>
      <c r="L295" s="32">
        <f t="shared" si="194"/>
        <v>-6.1700000000000017</v>
      </c>
      <c r="M295" s="32">
        <f t="shared" si="194"/>
        <v>-6.1700000000000017</v>
      </c>
      <c r="N295" s="32">
        <f t="shared" si="194"/>
        <v>-7.1700000000000017</v>
      </c>
      <c r="O295" s="32">
        <f t="shared" si="194"/>
        <v>-7.1700000000000017</v>
      </c>
      <c r="P295" s="32">
        <f t="shared" si="194"/>
        <v>-7.1700000000000017</v>
      </c>
      <c r="Q295" s="32">
        <f t="shared" si="194"/>
        <v>-7.1700000000000017</v>
      </c>
      <c r="R295" s="32">
        <f t="shared" si="194"/>
        <v>-6.1700000000000017</v>
      </c>
      <c r="S295" s="32">
        <f t="shared" si="194"/>
        <v>-6.1700000000000017</v>
      </c>
      <c r="T295" s="32">
        <f t="shared" si="194"/>
        <v>-6.1700000000000017</v>
      </c>
      <c r="U295" s="32">
        <f t="shared" si="194"/>
        <v>-6.1700000000000017</v>
      </c>
      <c r="V295" s="32">
        <f t="shared" si="194"/>
        <v>-6.1700000000000017</v>
      </c>
      <c r="W295" s="32">
        <f t="shared" si="194"/>
        <v>-6.1700000000000017</v>
      </c>
    </row>
    <row r="296" spans="1:23" s="33" customFormat="1" x14ac:dyDescent="0.3">
      <c r="A296" s="405"/>
      <c r="B296" s="63" t="s">
        <v>201</v>
      </c>
      <c r="C296" s="64"/>
      <c r="D296" s="31">
        <f t="shared" si="191"/>
        <v>-6.1700000000000017</v>
      </c>
      <c r="E296" s="32">
        <f t="shared" si="191"/>
        <v>-5.1700000000000017</v>
      </c>
      <c r="F296" s="32">
        <f t="shared" ref="F296:W296" si="195">+F292-F$288</f>
        <v>-5.1700000000000017</v>
      </c>
      <c r="G296" s="32">
        <f t="shared" si="195"/>
        <v>-5.1700000000000017</v>
      </c>
      <c r="H296" s="32">
        <f t="shared" si="195"/>
        <v>-5.1700000000000017</v>
      </c>
      <c r="I296" s="32">
        <f t="shared" si="195"/>
        <v>-5.1700000000000017</v>
      </c>
      <c r="J296" s="32">
        <f t="shared" si="195"/>
        <v>-5.1700000000000017</v>
      </c>
      <c r="K296" s="32">
        <f t="shared" si="195"/>
        <v>-5.1700000000000017</v>
      </c>
      <c r="L296" s="32">
        <f t="shared" si="195"/>
        <v>-5.1700000000000017</v>
      </c>
      <c r="M296" s="32">
        <f t="shared" si="195"/>
        <v>-5.1700000000000017</v>
      </c>
      <c r="N296" s="32">
        <f t="shared" si="195"/>
        <v>-6.1700000000000017</v>
      </c>
      <c r="O296" s="32">
        <f t="shared" si="195"/>
        <v>-6.1700000000000017</v>
      </c>
      <c r="P296" s="32">
        <f t="shared" si="195"/>
        <v>-6.1700000000000017</v>
      </c>
      <c r="Q296" s="32">
        <f t="shared" si="195"/>
        <v>-6.1700000000000017</v>
      </c>
      <c r="R296" s="32">
        <f t="shared" si="195"/>
        <v>-5.1700000000000017</v>
      </c>
      <c r="S296" s="32">
        <f t="shared" si="195"/>
        <v>-5.1700000000000017</v>
      </c>
      <c r="T296" s="32">
        <f t="shared" si="195"/>
        <v>-5.1700000000000017</v>
      </c>
      <c r="U296" s="32">
        <f t="shared" si="195"/>
        <v>-5.1700000000000017</v>
      </c>
      <c r="V296" s="32">
        <f t="shared" si="195"/>
        <v>-5.1700000000000017</v>
      </c>
      <c r="W296" s="32">
        <f t="shared" si="195"/>
        <v>-5.1700000000000017</v>
      </c>
    </row>
    <row r="297" spans="1:23" x14ac:dyDescent="0.3">
      <c r="B297" s="97" t="s">
        <v>202</v>
      </c>
      <c r="C297" s="98"/>
      <c r="D297" s="99">
        <f t="shared" ref="D297:E300" si="196">+D293/D289</f>
        <v>-0.39636770954608697</v>
      </c>
      <c r="E297" s="99">
        <f t="shared" si="196"/>
        <v>-0.30952381892361019</v>
      </c>
      <c r="F297" s="99">
        <f t="shared" ref="F297:W297" si="197">+F293/F289</f>
        <v>-0.30952381892361019</v>
      </c>
      <c r="G297" s="99">
        <f t="shared" si="197"/>
        <v>-0.30952381892361019</v>
      </c>
      <c r="H297" s="99">
        <f t="shared" si="197"/>
        <v>-0.30952381892361019</v>
      </c>
      <c r="I297" s="99">
        <f t="shared" si="197"/>
        <v>-0.34130291828210069</v>
      </c>
      <c r="J297" s="99">
        <f t="shared" si="197"/>
        <v>-0.34130291828210069</v>
      </c>
      <c r="K297" s="99">
        <f t="shared" si="197"/>
        <v>-0.34130291828210069</v>
      </c>
      <c r="L297" s="99">
        <f t="shared" si="197"/>
        <v>-0.34130291828210069</v>
      </c>
      <c r="M297" s="99">
        <f t="shared" si="197"/>
        <v>-0.34130291828210069</v>
      </c>
      <c r="N297" s="99">
        <f t="shared" si="197"/>
        <v>-0.37609228621657537</v>
      </c>
      <c r="O297" s="99">
        <f t="shared" si="197"/>
        <v>-0.37609228621657537</v>
      </c>
      <c r="P297" s="99">
        <f t="shared" si="197"/>
        <v>-0.37609228621657537</v>
      </c>
      <c r="Q297" s="99">
        <f t="shared" si="197"/>
        <v>-0.37609228621657537</v>
      </c>
      <c r="R297" s="99">
        <f t="shared" si="197"/>
        <v>-0.32258434176568274</v>
      </c>
      <c r="S297" s="99">
        <f t="shared" si="197"/>
        <v>-0.32258434176568274</v>
      </c>
      <c r="T297" s="99">
        <f t="shared" si="197"/>
        <v>-0.30952381892361019</v>
      </c>
      <c r="U297" s="99">
        <f t="shared" si="197"/>
        <v>-0.30952381892361019</v>
      </c>
      <c r="V297" s="99">
        <f t="shared" si="197"/>
        <v>-0.31471420047500953</v>
      </c>
      <c r="W297" s="99">
        <f t="shared" si="197"/>
        <v>-0.32258434176568274</v>
      </c>
    </row>
    <row r="298" spans="1:23" s="36" customFormat="1" x14ac:dyDescent="0.3">
      <c r="A298" s="406"/>
      <c r="B298" s="97" t="s">
        <v>203</v>
      </c>
      <c r="C298" s="98"/>
      <c r="D298" s="99">
        <f t="shared" si="196"/>
        <v>-0.32680000000000009</v>
      </c>
      <c r="E298" s="99">
        <f t="shared" si="196"/>
        <v>-0.27576923076923082</v>
      </c>
      <c r="F298" s="99">
        <f t="shared" ref="F298:W298" si="198">+F294/F290</f>
        <v>-0.27576923076923082</v>
      </c>
      <c r="G298" s="99">
        <f t="shared" si="198"/>
        <v>-0.27576923076923082</v>
      </c>
      <c r="H298" s="99">
        <f t="shared" si="198"/>
        <v>-0.27576923076923082</v>
      </c>
      <c r="I298" s="99">
        <f t="shared" si="198"/>
        <v>-0.27576923076923082</v>
      </c>
      <c r="J298" s="99">
        <f t="shared" si="198"/>
        <v>-0.27576923076923082</v>
      </c>
      <c r="K298" s="99">
        <f t="shared" si="198"/>
        <v>-0.27576923076923082</v>
      </c>
      <c r="L298" s="99">
        <f t="shared" si="198"/>
        <v>-0.27576923076923082</v>
      </c>
      <c r="M298" s="99">
        <f t="shared" si="198"/>
        <v>-0.27576923076923082</v>
      </c>
      <c r="N298" s="99">
        <f t="shared" si="198"/>
        <v>-0.32680000000000009</v>
      </c>
      <c r="O298" s="99">
        <f t="shared" si="198"/>
        <v>-0.32680000000000009</v>
      </c>
      <c r="P298" s="99">
        <f t="shared" si="198"/>
        <v>-0.32680000000000009</v>
      </c>
      <c r="Q298" s="99">
        <f t="shared" si="198"/>
        <v>-0.32680000000000009</v>
      </c>
      <c r="R298" s="99">
        <f t="shared" si="198"/>
        <v>-0.27576923076923082</v>
      </c>
      <c r="S298" s="99">
        <f t="shared" si="198"/>
        <v>-0.27576923076923082</v>
      </c>
      <c r="T298" s="99">
        <f t="shared" si="198"/>
        <v>-0.27576923076923082</v>
      </c>
      <c r="U298" s="99">
        <f t="shared" si="198"/>
        <v>-0.27576923076923082</v>
      </c>
      <c r="V298" s="99">
        <f t="shared" si="198"/>
        <v>-0.27576923076923082</v>
      </c>
      <c r="W298" s="99">
        <f t="shared" si="198"/>
        <v>-0.27576923076923082</v>
      </c>
    </row>
    <row r="299" spans="1:23" s="36" customFormat="1" x14ac:dyDescent="0.3">
      <c r="A299" s="406"/>
      <c r="B299" s="97" t="s">
        <v>204</v>
      </c>
      <c r="C299" s="98"/>
      <c r="D299" s="99">
        <f t="shared" si="196"/>
        <v>-0.27576923076923082</v>
      </c>
      <c r="E299" s="99">
        <f t="shared" si="196"/>
        <v>-0.22851851851851859</v>
      </c>
      <c r="F299" s="99">
        <f t="shared" ref="F299:W299" si="199">+F295/F291</f>
        <v>-0.22851851851851859</v>
      </c>
      <c r="G299" s="99">
        <f t="shared" si="199"/>
        <v>-0.22851851851851859</v>
      </c>
      <c r="H299" s="99">
        <f t="shared" si="199"/>
        <v>-0.22851851851851859</v>
      </c>
      <c r="I299" s="99">
        <f t="shared" si="199"/>
        <v>-0.22851851851851859</v>
      </c>
      <c r="J299" s="99">
        <f t="shared" si="199"/>
        <v>-0.22851851851851859</v>
      </c>
      <c r="K299" s="99">
        <f t="shared" si="199"/>
        <v>-0.22851851851851859</v>
      </c>
      <c r="L299" s="99">
        <f t="shared" si="199"/>
        <v>-0.22851851851851859</v>
      </c>
      <c r="M299" s="99">
        <f t="shared" si="199"/>
        <v>-0.22851851851851859</v>
      </c>
      <c r="N299" s="99">
        <f t="shared" si="199"/>
        <v>-0.27576923076923082</v>
      </c>
      <c r="O299" s="99">
        <f t="shared" si="199"/>
        <v>-0.27576923076923082</v>
      </c>
      <c r="P299" s="99">
        <f t="shared" si="199"/>
        <v>-0.27576923076923082</v>
      </c>
      <c r="Q299" s="99">
        <f t="shared" si="199"/>
        <v>-0.27576923076923082</v>
      </c>
      <c r="R299" s="99">
        <f t="shared" si="199"/>
        <v>-0.22851851851851859</v>
      </c>
      <c r="S299" s="99">
        <f t="shared" si="199"/>
        <v>-0.22851851851851859</v>
      </c>
      <c r="T299" s="99">
        <f t="shared" si="199"/>
        <v>-0.22851851851851859</v>
      </c>
      <c r="U299" s="99">
        <f t="shared" si="199"/>
        <v>-0.22851851851851859</v>
      </c>
      <c r="V299" s="99">
        <f t="shared" si="199"/>
        <v>-0.22851851851851859</v>
      </c>
      <c r="W299" s="99">
        <f t="shared" si="199"/>
        <v>-0.22851851851851859</v>
      </c>
    </row>
    <row r="300" spans="1:23" s="36" customFormat="1" ht="21" thickBot="1" x14ac:dyDescent="0.35">
      <c r="A300" s="406"/>
      <c r="B300" s="97" t="s">
        <v>205</v>
      </c>
      <c r="C300" s="98"/>
      <c r="D300" s="99">
        <f t="shared" si="196"/>
        <v>-0.22851851851851859</v>
      </c>
      <c r="E300" s="99">
        <f t="shared" si="196"/>
        <v>-0.18464285714285719</v>
      </c>
      <c r="F300" s="99">
        <f t="shared" ref="F300:W300" si="200">+F296/F292</f>
        <v>-0.18464285714285719</v>
      </c>
      <c r="G300" s="99">
        <f t="shared" si="200"/>
        <v>-0.18464285714285719</v>
      </c>
      <c r="H300" s="99">
        <f t="shared" si="200"/>
        <v>-0.18464285714285719</v>
      </c>
      <c r="I300" s="99">
        <f t="shared" si="200"/>
        <v>-0.18464285714285719</v>
      </c>
      <c r="J300" s="99">
        <f t="shared" si="200"/>
        <v>-0.18464285714285719</v>
      </c>
      <c r="K300" s="99">
        <f t="shared" si="200"/>
        <v>-0.18464285714285719</v>
      </c>
      <c r="L300" s="99">
        <f t="shared" si="200"/>
        <v>-0.18464285714285719</v>
      </c>
      <c r="M300" s="99">
        <f t="shared" si="200"/>
        <v>-0.18464285714285719</v>
      </c>
      <c r="N300" s="99">
        <f t="shared" si="200"/>
        <v>-0.22851851851851859</v>
      </c>
      <c r="O300" s="99">
        <f t="shared" si="200"/>
        <v>-0.22851851851851859</v>
      </c>
      <c r="P300" s="99">
        <f t="shared" si="200"/>
        <v>-0.22851851851851859</v>
      </c>
      <c r="Q300" s="99">
        <f t="shared" si="200"/>
        <v>-0.22851851851851859</v>
      </c>
      <c r="R300" s="99">
        <f t="shared" si="200"/>
        <v>-0.18464285714285719</v>
      </c>
      <c r="S300" s="99">
        <f t="shared" si="200"/>
        <v>-0.18464285714285719</v>
      </c>
      <c r="T300" s="99">
        <f t="shared" si="200"/>
        <v>-0.18464285714285719</v>
      </c>
      <c r="U300" s="99">
        <f t="shared" si="200"/>
        <v>-0.18464285714285719</v>
      </c>
      <c r="V300" s="99">
        <f t="shared" si="200"/>
        <v>-0.18464285714285719</v>
      </c>
      <c r="W300" s="99">
        <f t="shared" si="200"/>
        <v>-0.18464285714285719</v>
      </c>
    </row>
    <row r="301" spans="1:23" s="19" customFormat="1" ht="24" thickBot="1" x14ac:dyDescent="0.4">
      <c r="A301" s="19" t="s">
        <v>283</v>
      </c>
      <c r="B301" s="345" t="s">
        <v>206</v>
      </c>
      <c r="C301" s="68"/>
      <c r="D301" s="17" t="s">
        <v>5</v>
      </c>
      <c r="E301" s="18" t="s">
        <v>6</v>
      </c>
      <c r="F301" s="18" t="s">
        <v>7</v>
      </c>
      <c r="G301" s="18" t="s">
        <v>8</v>
      </c>
      <c r="H301" s="18" t="s">
        <v>9</v>
      </c>
      <c r="I301" s="18" t="s">
        <v>10</v>
      </c>
      <c r="J301" s="18" t="s">
        <v>11</v>
      </c>
      <c r="K301" s="18" t="s">
        <v>12</v>
      </c>
      <c r="L301" s="18" t="s">
        <v>13</v>
      </c>
      <c r="M301" s="18" t="s">
        <v>14</v>
      </c>
      <c r="N301" s="18" t="s">
        <v>15</v>
      </c>
      <c r="O301" s="18" t="s">
        <v>16</v>
      </c>
      <c r="P301" s="18" t="s">
        <v>17</v>
      </c>
      <c r="Q301" s="18" t="s">
        <v>18</v>
      </c>
      <c r="R301" s="18" t="s">
        <v>19</v>
      </c>
      <c r="S301" s="18" t="s">
        <v>20</v>
      </c>
      <c r="T301" s="18" t="s">
        <v>21</v>
      </c>
      <c r="U301" s="18" t="s">
        <v>22</v>
      </c>
      <c r="V301" s="18" t="s">
        <v>23</v>
      </c>
      <c r="W301" s="18" t="s">
        <v>166</v>
      </c>
    </row>
    <row r="302" spans="1:23" x14ac:dyDescent="0.3">
      <c r="B302" s="54" t="s">
        <v>50</v>
      </c>
      <c r="C302" s="55"/>
      <c r="D302" s="20">
        <v>40</v>
      </c>
      <c r="E302" s="21">
        <f>D302</f>
        <v>40</v>
      </c>
      <c r="F302" s="21">
        <f t="shared" ref="F302:H302" si="201">E302</f>
        <v>40</v>
      </c>
      <c r="G302" s="21">
        <f t="shared" si="201"/>
        <v>40</v>
      </c>
      <c r="H302" s="21">
        <f t="shared" si="201"/>
        <v>40</v>
      </c>
      <c r="I302" s="21">
        <f>G302</f>
        <v>40</v>
      </c>
      <c r="J302" s="21">
        <f t="shared" ref="J302:W302" si="202">I302</f>
        <v>40</v>
      </c>
      <c r="K302" s="21">
        <f t="shared" si="202"/>
        <v>40</v>
      </c>
      <c r="L302" s="21">
        <f t="shared" si="202"/>
        <v>40</v>
      </c>
      <c r="M302" s="21">
        <f t="shared" si="202"/>
        <v>40</v>
      </c>
      <c r="N302" s="21">
        <f t="shared" si="202"/>
        <v>40</v>
      </c>
      <c r="O302" s="21">
        <f t="shared" si="202"/>
        <v>40</v>
      </c>
      <c r="P302" s="21">
        <f t="shared" si="202"/>
        <v>40</v>
      </c>
      <c r="Q302" s="21">
        <f t="shared" si="202"/>
        <v>40</v>
      </c>
      <c r="R302" s="21">
        <f t="shared" si="202"/>
        <v>40</v>
      </c>
      <c r="S302" s="21">
        <f t="shared" si="202"/>
        <v>40</v>
      </c>
      <c r="T302" s="21">
        <f t="shared" si="202"/>
        <v>40</v>
      </c>
      <c r="U302" s="21">
        <f t="shared" si="202"/>
        <v>40</v>
      </c>
      <c r="V302" s="21">
        <f t="shared" si="202"/>
        <v>40</v>
      </c>
      <c r="W302" s="21">
        <f t="shared" si="202"/>
        <v>40</v>
      </c>
    </row>
    <row r="303" spans="1:23" ht="23" x14ac:dyDescent="0.35">
      <c r="B303" s="340" t="s">
        <v>51</v>
      </c>
      <c r="C303" s="341"/>
      <c r="D303" s="342"/>
      <c r="E303" s="342"/>
      <c r="F303" s="342"/>
      <c r="G303" s="342"/>
      <c r="H303" s="342"/>
      <c r="I303" s="342"/>
      <c r="J303" s="342"/>
      <c r="K303" s="342"/>
      <c r="L303" s="342"/>
      <c r="M303" s="342"/>
      <c r="N303" s="342"/>
      <c r="O303" s="342"/>
      <c r="P303" s="342"/>
      <c r="Q303" s="342"/>
      <c r="R303" s="342"/>
      <c r="S303" s="342"/>
      <c r="T303" s="363"/>
      <c r="U303" s="363"/>
      <c r="V303" s="363"/>
      <c r="W303" s="342"/>
    </row>
    <row r="304" spans="1:23" x14ac:dyDescent="0.3">
      <c r="B304" s="54"/>
      <c r="C304" s="55"/>
      <c r="D304" s="20">
        <f t="shared" ref="D304:V304" si="203">D302*(1-D303)</f>
        <v>40</v>
      </c>
      <c r="E304" s="20">
        <f t="shared" si="203"/>
        <v>40</v>
      </c>
      <c r="F304" s="20">
        <f t="shared" si="203"/>
        <v>40</v>
      </c>
      <c r="G304" s="20">
        <f t="shared" si="203"/>
        <v>40</v>
      </c>
      <c r="H304" s="20">
        <f t="shared" si="203"/>
        <v>40</v>
      </c>
      <c r="I304" s="20">
        <f t="shared" si="203"/>
        <v>40</v>
      </c>
      <c r="J304" s="20">
        <f t="shared" si="203"/>
        <v>40</v>
      </c>
      <c r="K304" s="20">
        <f t="shared" si="203"/>
        <v>40</v>
      </c>
      <c r="L304" s="20">
        <f t="shared" si="203"/>
        <v>40</v>
      </c>
      <c r="M304" s="20">
        <f t="shared" si="203"/>
        <v>40</v>
      </c>
      <c r="N304" s="20">
        <f t="shared" si="203"/>
        <v>40</v>
      </c>
      <c r="O304" s="20">
        <f t="shared" si="203"/>
        <v>40</v>
      </c>
      <c r="P304" s="20">
        <f t="shared" si="203"/>
        <v>40</v>
      </c>
      <c r="Q304" s="20">
        <f t="shared" si="203"/>
        <v>40</v>
      </c>
      <c r="R304" s="20">
        <f t="shared" si="203"/>
        <v>40</v>
      </c>
      <c r="S304" s="20">
        <f t="shared" si="203"/>
        <v>40</v>
      </c>
      <c r="T304" s="20">
        <f t="shared" si="203"/>
        <v>40</v>
      </c>
      <c r="U304" s="20">
        <f t="shared" si="203"/>
        <v>40</v>
      </c>
      <c r="V304" s="20">
        <f t="shared" si="203"/>
        <v>40</v>
      </c>
      <c r="W304" s="20">
        <f>W302*(1-W303)</f>
        <v>40</v>
      </c>
    </row>
    <row r="305" spans="1:23" x14ac:dyDescent="0.3">
      <c r="B305" s="54" t="s">
        <v>51</v>
      </c>
      <c r="C305" s="56">
        <v>0</v>
      </c>
      <c r="D305" s="20">
        <f t="shared" ref="D305:W305" si="204">D304*$C305</f>
        <v>0</v>
      </c>
      <c r="E305" s="20">
        <f t="shared" si="204"/>
        <v>0</v>
      </c>
      <c r="F305" s="20">
        <f t="shared" si="204"/>
        <v>0</v>
      </c>
      <c r="G305" s="20">
        <f t="shared" si="204"/>
        <v>0</v>
      </c>
      <c r="H305" s="20">
        <f t="shared" si="204"/>
        <v>0</v>
      </c>
      <c r="I305" s="20">
        <f t="shared" si="204"/>
        <v>0</v>
      </c>
      <c r="J305" s="20">
        <f t="shared" si="204"/>
        <v>0</v>
      </c>
      <c r="K305" s="20">
        <f t="shared" si="204"/>
        <v>0</v>
      </c>
      <c r="L305" s="20">
        <f t="shared" si="204"/>
        <v>0</v>
      </c>
      <c r="M305" s="20">
        <f t="shared" si="204"/>
        <v>0</v>
      </c>
      <c r="N305" s="20">
        <f t="shared" si="204"/>
        <v>0</v>
      </c>
      <c r="O305" s="20">
        <f t="shared" si="204"/>
        <v>0</v>
      </c>
      <c r="P305" s="20">
        <f t="shared" si="204"/>
        <v>0</v>
      </c>
      <c r="Q305" s="20">
        <f t="shared" si="204"/>
        <v>0</v>
      </c>
      <c r="R305" s="20">
        <f t="shared" si="204"/>
        <v>0</v>
      </c>
      <c r="S305" s="20">
        <f t="shared" si="204"/>
        <v>0</v>
      </c>
      <c r="T305" s="20">
        <f t="shared" si="204"/>
        <v>0</v>
      </c>
      <c r="U305" s="20">
        <f t="shared" si="204"/>
        <v>0</v>
      </c>
      <c r="V305" s="20">
        <f t="shared" si="204"/>
        <v>0</v>
      </c>
      <c r="W305" s="20">
        <f t="shared" si="204"/>
        <v>0</v>
      </c>
    </row>
    <row r="306" spans="1:23" x14ac:dyDescent="0.3">
      <c r="B306" s="54" t="s">
        <v>67</v>
      </c>
      <c r="C306" s="55"/>
      <c r="D306" s="20">
        <f t="shared" ref="D306:W306" si="205">D304-D305</f>
        <v>40</v>
      </c>
      <c r="E306" s="20">
        <f t="shared" si="205"/>
        <v>40</v>
      </c>
      <c r="F306" s="20">
        <f t="shared" si="205"/>
        <v>40</v>
      </c>
      <c r="G306" s="20">
        <f t="shared" si="205"/>
        <v>40</v>
      </c>
      <c r="H306" s="20">
        <f t="shared" si="205"/>
        <v>40</v>
      </c>
      <c r="I306" s="20">
        <f t="shared" si="205"/>
        <v>40</v>
      </c>
      <c r="J306" s="20">
        <f t="shared" si="205"/>
        <v>40</v>
      </c>
      <c r="K306" s="20">
        <f t="shared" si="205"/>
        <v>40</v>
      </c>
      <c r="L306" s="20">
        <f t="shared" si="205"/>
        <v>40</v>
      </c>
      <c r="M306" s="20">
        <f t="shared" si="205"/>
        <v>40</v>
      </c>
      <c r="N306" s="20">
        <f t="shared" si="205"/>
        <v>40</v>
      </c>
      <c r="O306" s="20">
        <f t="shared" si="205"/>
        <v>40</v>
      </c>
      <c r="P306" s="20">
        <f t="shared" si="205"/>
        <v>40</v>
      </c>
      <c r="Q306" s="20">
        <f t="shared" si="205"/>
        <v>40</v>
      </c>
      <c r="R306" s="20">
        <f t="shared" si="205"/>
        <v>40</v>
      </c>
      <c r="S306" s="20">
        <f t="shared" si="205"/>
        <v>40</v>
      </c>
      <c r="T306" s="20">
        <f t="shared" si="205"/>
        <v>40</v>
      </c>
      <c r="U306" s="20">
        <f t="shared" si="205"/>
        <v>40</v>
      </c>
      <c r="V306" s="20">
        <f t="shared" si="205"/>
        <v>40</v>
      </c>
      <c r="W306" s="20">
        <f t="shared" si="205"/>
        <v>40</v>
      </c>
    </row>
    <row r="307" spans="1:23" x14ac:dyDescent="0.3">
      <c r="B307" s="54" t="s">
        <v>66</v>
      </c>
      <c r="C307" s="56">
        <v>7.0000000000000007E-2</v>
      </c>
      <c r="D307" s="20">
        <f t="shared" ref="D307:W307" si="206">D306*$C307</f>
        <v>2.8000000000000003</v>
      </c>
      <c r="E307" s="20">
        <f t="shared" si="206"/>
        <v>2.8000000000000003</v>
      </c>
      <c r="F307" s="20">
        <f t="shared" si="206"/>
        <v>2.8000000000000003</v>
      </c>
      <c r="G307" s="20">
        <f t="shared" si="206"/>
        <v>2.8000000000000003</v>
      </c>
      <c r="H307" s="20">
        <f t="shared" si="206"/>
        <v>2.8000000000000003</v>
      </c>
      <c r="I307" s="20">
        <f t="shared" si="206"/>
        <v>2.8000000000000003</v>
      </c>
      <c r="J307" s="20">
        <f t="shared" si="206"/>
        <v>2.8000000000000003</v>
      </c>
      <c r="K307" s="20">
        <f t="shared" si="206"/>
        <v>2.8000000000000003</v>
      </c>
      <c r="L307" s="20">
        <f t="shared" si="206"/>
        <v>2.8000000000000003</v>
      </c>
      <c r="M307" s="20">
        <f t="shared" si="206"/>
        <v>2.8000000000000003</v>
      </c>
      <c r="N307" s="20">
        <f t="shared" si="206"/>
        <v>2.8000000000000003</v>
      </c>
      <c r="O307" s="20">
        <f t="shared" si="206"/>
        <v>2.8000000000000003</v>
      </c>
      <c r="P307" s="20">
        <f t="shared" si="206"/>
        <v>2.8000000000000003</v>
      </c>
      <c r="Q307" s="20">
        <f t="shared" si="206"/>
        <v>2.8000000000000003</v>
      </c>
      <c r="R307" s="20">
        <f t="shared" si="206"/>
        <v>2.8000000000000003</v>
      </c>
      <c r="S307" s="20">
        <f t="shared" si="206"/>
        <v>2.8000000000000003</v>
      </c>
      <c r="T307" s="20">
        <f t="shared" si="206"/>
        <v>2.8000000000000003</v>
      </c>
      <c r="U307" s="20">
        <f t="shared" si="206"/>
        <v>2.8000000000000003</v>
      </c>
      <c r="V307" s="20">
        <f t="shared" si="206"/>
        <v>2.8000000000000003</v>
      </c>
      <c r="W307" s="20">
        <f t="shared" si="206"/>
        <v>2.8000000000000003</v>
      </c>
    </row>
    <row r="308" spans="1:23" x14ac:dyDescent="0.3">
      <c r="B308" s="54" t="s">
        <v>68</v>
      </c>
      <c r="C308" s="55"/>
      <c r="D308" s="20">
        <f>D306+D307</f>
        <v>42.8</v>
      </c>
      <c r="E308" s="20">
        <f t="shared" ref="E308:V308" si="207">E306+E307</f>
        <v>42.8</v>
      </c>
      <c r="F308" s="20">
        <f t="shared" si="207"/>
        <v>42.8</v>
      </c>
      <c r="G308" s="20">
        <f t="shared" si="207"/>
        <v>42.8</v>
      </c>
      <c r="H308" s="20">
        <f t="shared" si="207"/>
        <v>42.8</v>
      </c>
      <c r="I308" s="20">
        <f t="shared" si="207"/>
        <v>42.8</v>
      </c>
      <c r="J308" s="20">
        <f t="shared" si="207"/>
        <v>42.8</v>
      </c>
      <c r="K308" s="20">
        <f t="shared" si="207"/>
        <v>42.8</v>
      </c>
      <c r="L308" s="20">
        <f t="shared" si="207"/>
        <v>42.8</v>
      </c>
      <c r="M308" s="20">
        <f t="shared" si="207"/>
        <v>42.8</v>
      </c>
      <c r="N308" s="20">
        <f t="shared" si="207"/>
        <v>42.8</v>
      </c>
      <c r="O308" s="20">
        <f t="shared" si="207"/>
        <v>42.8</v>
      </c>
      <c r="P308" s="20">
        <f t="shared" si="207"/>
        <v>42.8</v>
      </c>
      <c r="Q308" s="20">
        <f t="shared" si="207"/>
        <v>42.8</v>
      </c>
      <c r="R308" s="20">
        <f t="shared" si="207"/>
        <v>42.8</v>
      </c>
      <c r="S308" s="20">
        <f t="shared" si="207"/>
        <v>42.8</v>
      </c>
      <c r="T308" s="20">
        <f t="shared" si="207"/>
        <v>42.8</v>
      </c>
      <c r="U308" s="20">
        <f t="shared" si="207"/>
        <v>42.8</v>
      </c>
      <c r="V308" s="20">
        <f t="shared" si="207"/>
        <v>42.8</v>
      </c>
      <c r="W308" s="20">
        <f>W306+W307</f>
        <v>42.8</v>
      </c>
    </row>
    <row r="309" spans="1:23" ht="23" x14ac:dyDescent="0.35">
      <c r="B309" s="357" t="s">
        <v>52</v>
      </c>
      <c r="C309" s="358"/>
      <c r="D309" s="381"/>
      <c r="E309" s="381"/>
      <c r="F309" s="381"/>
      <c r="G309" s="381"/>
      <c r="H309" s="381"/>
      <c r="I309" s="381"/>
      <c r="J309" s="381"/>
      <c r="K309" s="381"/>
      <c r="L309" s="381"/>
      <c r="M309" s="381"/>
      <c r="N309" s="381"/>
      <c r="O309" s="381"/>
      <c r="P309" s="381"/>
      <c r="Q309" s="381"/>
      <c r="R309" s="381"/>
      <c r="S309" s="381"/>
      <c r="T309" s="381"/>
      <c r="U309" s="381"/>
      <c r="V309" s="381"/>
      <c r="W309" s="381"/>
    </row>
    <row r="310" spans="1:23" x14ac:dyDescent="0.3">
      <c r="B310" s="57" t="s">
        <v>53</v>
      </c>
      <c r="C310" s="58"/>
      <c r="D310" s="25">
        <f>SUM(D308:D309)</f>
        <v>42.8</v>
      </c>
      <c r="E310" s="26">
        <f t="shared" ref="E310:V310" si="208">SUM(E308:E309)</f>
        <v>42.8</v>
      </c>
      <c r="F310" s="26">
        <f t="shared" si="208"/>
        <v>42.8</v>
      </c>
      <c r="G310" s="26">
        <f t="shared" si="208"/>
        <v>42.8</v>
      </c>
      <c r="H310" s="26">
        <f t="shared" si="208"/>
        <v>42.8</v>
      </c>
      <c r="I310" s="26">
        <f t="shared" si="208"/>
        <v>42.8</v>
      </c>
      <c r="J310" s="26">
        <f t="shared" si="208"/>
        <v>42.8</v>
      </c>
      <c r="K310" s="26">
        <f t="shared" si="208"/>
        <v>42.8</v>
      </c>
      <c r="L310" s="26">
        <f t="shared" si="208"/>
        <v>42.8</v>
      </c>
      <c r="M310" s="26">
        <f t="shared" si="208"/>
        <v>42.8</v>
      </c>
      <c r="N310" s="26">
        <f t="shared" si="208"/>
        <v>42.8</v>
      </c>
      <c r="O310" s="26">
        <f t="shared" si="208"/>
        <v>42.8</v>
      </c>
      <c r="P310" s="26">
        <f t="shared" si="208"/>
        <v>42.8</v>
      </c>
      <c r="Q310" s="26">
        <f t="shared" si="208"/>
        <v>42.8</v>
      </c>
      <c r="R310" s="26">
        <f t="shared" si="208"/>
        <v>42.8</v>
      </c>
      <c r="S310" s="26">
        <f t="shared" si="208"/>
        <v>42.8</v>
      </c>
      <c r="T310" s="26">
        <f t="shared" si="208"/>
        <v>42.8</v>
      </c>
      <c r="U310" s="26">
        <f t="shared" si="208"/>
        <v>42.8</v>
      </c>
      <c r="V310" s="26">
        <f t="shared" si="208"/>
        <v>42.8</v>
      </c>
      <c r="W310" s="26">
        <f>SUM(W308:W309)</f>
        <v>42.8</v>
      </c>
    </row>
    <row r="311" spans="1:23" ht="23" x14ac:dyDescent="0.35">
      <c r="B311" s="336" t="s">
        <v>54</v>
      </c>
      <c r="C311" s="337"/>
      <c r="D311" s="338"/>
      <c r="E311" s="338"/>
      <c r="F311" s="338"/>
      <c r="G311" s="338"/>
      <c r="H311" s="338"/>
      <c r="I311" s="338"/>
      <c r="J311" s="338"/>
      <c r="K311" s="338"/>
      <c r="L311" s="338"/>
      <c r="M311" s="338"/>
      <c r="N311" s="338"/>
      <c r="O311" s="338"/>
      <c r="P311" s="338"/>
      <c r="Q311" s="338"/>
      <c r="R311" s="338"/>
      <c r="S311" s="338"/>
      <c r="T311" s="338"/>
      <c r="U311" s="338"/>
      <c r="V311" s="338"/>
      <c r="W311" s="338"/>
    </row>
    <row r="312" spans="1:23" ht="23" x14ac:dyDescent="0.35">
      <c r="B312" s="353" t="s">
        <v>55</v>
      </c>
      <c r="C312" s="354"/>
      <c r="D312" s="355">
        <f>D310</f>
        <v>42.8</v>
      </c>
      <c r="E312" s="356">
        <f t="shared" ref="E312:W312" si="209">E310</f>
        <v>42.8</v>
      </c>
      <c r="F312" s="356">
        <f t="shared" si="209"/>
        <v>42.8</v>
      </c>
      <c r="G312" s="356">
        <f t="shared" si="209"/>
        <v>42.8</v>
      </c>
      <c r="H312" s="356">
        <f t="shared" si="209"/>
        <v>42.8</v>
      </c>
      <c r="I312" s="356">
        <f t="shared" si="209"/>
        <v>42.8</v>
      </c>
      <c r="J312" s="356">
        <f t="shared" si="209"/>
        <v>42.8</v>
      </c>
      <c r="K312" s="356">
        <f t="shared" si="209"/>
        <v>42.8</v>
      </c>
      <c r="L312" s="356">
        <f t="shared" si="209"/>
        <v>42.8</v>
      </c>
      <c r="M312" s="356">
        <f t="shared" si="209"/>
        <v>42.8</v>
      </c>
      <c r="N312" s="356">
        <f t="shared" si="209"/>
        <v>42.8</v>
      </c>
      <c r="O312" s="356">
        <f t="shared" si="209"/>
        <v>42.8</v>
      </c>
      <c r="P312" s="356">
        <f t="shared" si="209"/>
        <v>42.8</v>
      </c>
      <c r="Q312" s="356">
        <f t="shared" si="209"/>
        <v>42.8</v>
      </c>
      <c r="R312" s="356">
        <f t="shared" si="209"/>
        <v>42.8</v>
      </c>
      <c r="S312" s="356">
        <f t="shared" si="209"/>
        <v>42.8</v>
      </c>
      <c r="T312" s="356">
        <f t="shared" si="209"/>
        <v>42.8</v>
      </c>
      <c r="U312" s="356">
        <f t="shared" si="209"/>
        <v>42.8</v>
      </c>
      <c r="V312" s="356">
        <f t="shared" si="209"/>
        <v>42.8</v>
      </c>
      <c r="W312" s="356">
        <f t="shared" si="209"/>
        <v>42.8</v>
      </c>
    </row>
    <row r="313" spans="1:23" x14ac:dyDescent="0.3">
      <c r="B313" s="171" t="s">
        <v>194</v>
      </c>
      <c r="C313" s="55"/>
      <c r="D313" s="20">
        <v>23</v>
      </c>
      <c r="E313" s="21">
        <v>23</v>
      </c>
      <c r="F313" s="21">
        <v>23</v>
      </c>
      <c r="G313" s="21">
        <v>23</v>
      </c>
      <c r="H313" s="21">
        <v>23</v>
      </c>
      <c r="I313" s="21">
        <v>23</v>
      </c>
      <c r="J313" s="21">
        <v>23</v>
      </c>
      <c r="K313" s="21">
        <v>23</v>
      </c>
      <c r="L313" s="21">
        <v>23</v>
      </c>
      <c r="M313" s="21">
        <v>23</v>
      </c>
      <c r="N313" s="21">
        <v>23</v>
      </c>
      <c r="O313" s="21">
        <v>23</v>
      </c>
      <c r="P313" s="21">
        <v>23</v>
      </c>
      <c r="Q313" s="21">
        <v>23</v>
      </c>
      <c r="R313" s="21">
        <v>23</v>
      </c>
      <c r="S313" s="21">
        <v>23</v>
      </c>
      <c r="T313" s="21">
        <v>26</v>
      </c>
      <c r="U313" s="21">
        <v>26</v>
      </c>
      <c r="V313" s="21">
        <v>25</v>
      </c>
      <c r="W313" s="21">
        <v>23</v>
      </c>
    </row>
    <row r="314" spans="1:23" s="51" customFormat="1" x14ac:dyDescent="0.3">
      <c r="A314" s="407"/>
      <c r="B314" s="61" t="s">
        <v>195</v>
      </c>
      <c r="C314" s="62"/>
      <c r="D314" s="28">
        <v>24</v>
      </c>
      <c r="E314" s="29">
        <v>24</v>
      </c>
      <c r="F314" s="29">
        <v>24</v>
      </c>
      <c r="G314" s="29">
        <v>24</v>
      </c>
      <c r="H314" s="29">
        <v>24</v>
      </c>
      <c r="I314" s="29">
        <v>24</v>
      </c>
      <c r="J314" s="29">
        <v>24</v>
      </c>
      <c r="K314" s="29">
        <v>24</v>
      </c>
      <c r="L314" s="29">
        <v>24</v>
      </c>
      <c r="M314" s="29">
        <v>24</v>
      </c>
      <c r="N314" s="29">
        <v>24</v>
      </c>
      <c r="O314" s="29">
        <v>24</v>
      </c>
      <c r="P314" s="29">
        <v>24</v>
      </c>
      <c r="Q314" s="29">
        <v>24</v>
      </c>
      <c r="R314" s="29">
        <v>24</v>
      </c>
      <c r="S314" s="29">
        <v>24</v>
      </c>
      <c r="T314" s="29">
        <v>27</v>
      </c>
      <c r="U314" s="29">
        <v>27</v>
      </c>
      <c r="V314" s="29">
        <v>26</v>
      </c>
      <c r="W314" s="29">
        <v>24</v>
      </c>
    </row>
    <row r="315" spans="1:23" s="51" customFormat="1" x14ac:dyDescent="0.3">
      <c r="A315" s="407"/>
      <c r="B315" s="61" t="s">
        <v>196</v>
      </c>
      <c r="C315" s="62"/>
      <c r="D315" s="28">
        <v>25</v>
      </c>
      <c r="E315" s="29">
        <v>25</v>
      </c>
      <c r="F315" s="29">
        <v>25</v>
      </c>
      <c r="G315" s="29">
        <v>25</v>
      </c>
      <c r="H315" s="29">
        <v>25</v>
      </c>
      <c r="I315" s="29">
        <v>25</v>
      </c>
      <c r="J315" s="29">
        <v>25</v>
      </c>
      <c r="K315" s="29">
        <v>25</v>
      </c>
      <c r="L315" s="29">
        <v>25</v>
      </c>
      <c r="M315" s="29">
        <v>25</v>
      </c>
      <c r="N315" s="29">
        <v>25</v>
      </c>
      <c r="O315" s="29">
        <v>25</v>
      </c>
      <c r="P315" s="29">
        <v>25</v>
      </c>
      <c r="Q315" s="29">
        <v>25</v>
      </c>
      <c r="R315" s="29">
        <v>25</v>
      </c>
      <c r="S315" s="29">
        <v>25</v>
      </c>
      <c r="T315" s="29">
        <v>28</v>
      </c>
      <c r="U315" s="29">
        <v>28</v>
      </c>
      <c r="V315" s="29">
        <v>27</v>
      </c>
      <c r="W315" s="29">
        <v>25</v>
      </c>
    </row>
    <row r="316" spans="1:23" s="51" customFormat="1" x14ac:dyDescent="0.3">
      <c r="A316" s="407"/>
      <c r="B316" s="61" t="s">
        <v>197</v>
      </c>
      <c r="C316" s="62"/>
      <c r="D316" s="28">
        <v>26</v>
      </c>
      <c r="E316" s="29">
        <v>26</v>
      </c>
      <c r="F316" s="29">
        <v>26</v>
      </c>
      <c r="G316" s="29">
        <v>26</v>
      </c>
      <c r="H316" s="29">
        <v>26</v>
      </c>
      <c r="I316" s="29">
        <v>26</v>
      </c>
      <c r="J316" s="29">
        <v>26</v>
      </c>
      <c r="K316" s="29">
        <v>26</v>
      </c>
      <c r="L316" s="29">
        <v>26</v>
      </c>
      <c r="M316" s="29">
        <v>26</v>
      </c>
      <c r="N316" s="29">
        <v>26</v>
      </c>
      <c r="O316" s="29">
        <v>26</v>
      </c>
      <c r="P316" s="29">
        <v>26</v>
      </c>
      <c r="Q316" s="29">
        <v>26</v>
      </c>
      <c r="R316" s="29">
        <v>26</v>
      </c>
      <c r="S316" s="29">
        <v>26</v>
      </c>
      <c r="T316" s="29">
        <v>29</v>
      </c>
      <c r="U316" s="29">
        <v>29</v>
      </c>
      <c r="V316" s="29">
        <v>28</v>
      </c>
      <c r="W316" s="29">
        <v>26</v>
      </c>
    </row>
    <row r="317" spans="1:23" s="30" customFormat="1" x14ac:dyDescent="0.3">
      <c r="A317" s="404"/>
      <c r="B317" s="63" t="s">
        <v>198</v>
      </c>
      <c r="C317" s="62"/>
      <c r="D317" s="31">
        <f t="shared" ref="D317:E320" si="210">+D313-D$312</f>
        <v>-19.799999999999997</v>
      </c>
      <c r="E317" s="32">
        <f t="shared" si="210"/>
        <v>-19.799999999999997</v>
      </c>
      <c r="F317" s="32">
        <f t="shared" ref="F317:W317" si="211">+F313-F$312</f>
        <v>-19.799999999999997</v>
      </c>
      <c r="G317" s="32">
        <f t="shared" si="211"/>
        <v>-19.799999999999997</v>
      </c>
      <c r="H317" s="32">
        <f t="shared" si="211"/>
        <v>-19.799999999999997</v>
      </c>
      <c r="I317" s="32">
        <f t="shared" si="211"/>
        <v>-19.799999999999997</v>
      </c>
      <c r="J317" s="32">
        <f t="shared" si="211"/>
        <v>-19.799999999999997</v>
      </c>
      <c r="K317" s="32">
        <f t="shared" si="211"/>
        <v>-19.799999999999997</v>
      </c>
      <c r="L317" s="32">
        <f t="shared" si="211"/>
        <v>-19.799999999999997</v>
      </c>
      <c r="M317" s="32">
        <f t="shared" si="211"/>
        <v>-19.799999999999997</v>
      </c>
      <c r="N317" s="32">
        <f t="shared" si="211"/>
        <v>-19.799999999999997</v>
      </c>
      <c r="O317" s="32">
        <f t="shared" si="211"/>
        <v>-19.799999999999997</v>
      </c>
      <c r="P317" s="32">
        <f t="shared" si="211"/>
        <v>-19.799999999999997</v>
      </c>
      <c r="Q317" s="32">
        <f t="shared" si="211"/>
        <v>-19.799999999999997</v>
      </c>
      <c r="R317" s="32">
        <f t="shared" si="211"/>
        <v>-19.799999999999997</v>
      </c>
      <c r="S317" s="32">
        <f t="shared" si="211"/>
        <v>-19.799999999999997</v>
      </c>
      <c r="T317" s="32">
        <f t="shared" si="211"/>
        <v>-16.799999999999997</v>
      </c>
      <c r="U317" s="32">
        <f t="shared" si="211"/>
        <v>-16.799999999999997</v>
      </c>
      <c r="V317" s="32">
        <f t="shared" si="211"/>
        <v>-17.799999999999997</v>
      </c>
      <c r="W317" s="32">
        <f t="shared" si="211"/>
        <v>-19.799999999999997</v>
      </c>
    </row>
    <row r="318" spans="1:23" s="33" customFormat="1" x14ac:dyDescent="0.3">
      <c r="A318" s="405"/>
      <c r="B318" s="63" t="s">
        <v>199</v>
      </c>
      <c r="C318" s="64"/>
      <c r="D318" s="31">
        <f t="shared" si="210"/>
        <v>-18.799999999999997</v>
      </c>
      <c r="E318" s="32">
        <f t="shared" si="210"/>
        <v>-18.799999999999997</v>
      </c>
      <c r="F318" s="32">
        <f t="shared" ref="F318:W318" si="212">+F314-F$312</f>
        <v>-18.799999999999997</v>
      </c>
      <c r="G318" s="32">
        <f t="shared" si="212"/>
        <v>-18.799999999999997</v>
      </c>
      <c r="H318" s="32">
        <f t="shared" si="212"/>
        <v>-18.799999999999997</v>
      </c>
      <c r="I318" s="32">
        <f t="shared" si="212"/>
        <v>-18.799999999999997</v>
      </c>
      <c r="J318" s="32">
        <f t="shared" si="212"/>
        <v>-18.799999999999997</v>
      </c>
      <c r="K318" s="32">
        <f t="shared" si="212"/>
        <v>-18.799999999999997</v>
      </c>
      <c r="L318" s="32">
        <f t="shared" si="212"/>
        <v>-18.799999999999997</v>
      </c>
      <c r="M318" s="32">
        <f t="shared" si="212"/>
        <v>-18.799999999999997</v>
      </c>
      <c r="N318" s="32">
        <f t="shared" si="212"/>
        <v>-18.799999999999997</v>
      </c>
      <c r="O318" s="32">
        <f t="shared" si="212"/>
        <v>-18.799999999999997</v>
      </c>
      <c r="P318" s="32">
        <f t="shared" si="212"/>
        <v>-18.799999999999997</v>
      </c>
      <c r="Q318" s="32">
        <f t="shared" si="212"/>
        <v>-18.799999999999997</v>
      </c>
      <c r="R318" s="32">
        <f t="shared" si="212"/>
        <v>-18.799999999999997</v>
      </c>
      <c r="S318" s="32">
        <f t="shared" si="212"/>
        <v>-18.799999999999997</v>
      </c>
      <c r="T318" s="32">
        <f t="shared" si="212"/>
        <v>-15.799999999999997</v>
      </c>
      <c r="U318" s="32">
        <f t="shared" si="212"/>
        <v>-15.799999999999997</v>
      </c>
      <c r="V318" s="32">
        <f t="shared" si="212"/>
        <v>-16.799999999999997</v>
      </c>
      <c r="W318" s="32">
        <f t="shared" si="212"/>
        <v>-18.799999999999997</v>
      </c>
    </row>
    <row r="319" spans="1:23" s="33" customFormat="1" x14ac:dyDescent="0.3">
      <c r="A319" s="405"/>
      <c r="B319" s="63" t="s">
        <v>200</v>
      </c>
      <c r="C319" s="64"/>
      <c r="D319" s="31">
        <f t="shared" si="210"/>
        <v>-17.799999999999997</v>
      </c>
      <c r="E319" s="32">
        <f t="shared" si="210"/>
        <v>-17.799999999999997</v>
      </c>
      <c r="F319" s="32">
        <f t="shared" ref="F319:W319" si="213">+F315-F$312</f>
        <v>-17.799999999999997</v>
      </c>
      <c r="G319" s="32">
        <f t="shared" si="213"/>
        <v>-17.799999999999997</v>
      </c>
      <c r="H319" s="32">
        <f t="shared" si="213"/>
        <v>-17.799999999999997</v>
      </c>
      <c r="I319" s="32">
        <f t="shared" si="213"/>
        <v>-17.799999999999997</v>
      </c>
      <c r="J319" s="32">
        <f t="shared" si="213"/>
        <v>-17.799999999999997</v>
      </c>
      <c r="K319" s="32">
        <f t="shared" si="213"/>
        <v>-17.799999999999997</v>
      </c>
      <c r="L319" s="32">
        <f t="shared" si="213"/>
        <v>-17.799999999999997</v>
      </c>
      <c r="M319" s="32">
        <f t="shared" si="213"/>
        <v>-17.799999999999997</v>
      </c>
      <c r="N319" s="32">
        <f t="shared" si="213"/>
        <v>-17.799999999999997</v>
      </c>
      <c r="O319" s="32">
        <f t="shared" si="213"/>
        <v>-17.799999999999997</v>
      </c>
      <c r="P319" s="32">
        <f t="shared" si="213"/>
        <v>-17.799999999999997</v>
      </c>
      <c r="Q319" s="32">
        <f t="shared" si="213"/>
        <v>-17.799999999999997</v>
      </c>
      <c r="R319" s="32">
        <f t="shared" si="213"/>
        <v>-17.799999999999997</v>
      </c>
      <c r="S319" s="32">
        <f t="shared" si="213"/>
        <v>-17.799999999999997</v>
      </c>
      <c r="T319" s="32">
        <f t="shared" si="213"/>
        <v>-14.799999999999997</v>
      </c>
      <c r="U319" s="32">
        <f t="shared" si="213"/>
        <v>-14.799999999999997</v>
      </c>
      <c r="V319" s="32">
        <f t="shared" si="213"/>
        <v>-15.799999999999997</v>
      </c>
      <c r="W319" s="32">
        <f t="shared" si="213"/>
        <v>-17.799999999999997</v>
      </c>
    </row>
    <row r="320" spans="1:23" s="33" customFormat="1" x14ac:dyDescent="0.3">
      <c r="A320" s="405"/>
      <c r="B320" s="63" t="s">
        <v>201</v>
      </c>
      <c r="C320" s="64"/>
      <c r="D320" s="31">
        <f t="shared" si="210"/>
        <v>-16.799999999999997</v>
      </c>
      <c r="E320" s="32">
        <f t="shared" si="210"/>
        <v>-16.799999999999997</v>
      </c>
      <c r="F320" s="32">
        <f t="shared" ref="F320:W320" si="214">+F316-F$312</f>
        <v>-16.799999999999997</v>
      </c>
      <c r="G320" s="32">
        <f t="shared" si="214"/>
        <v>-16.799999999999997</v>
      </c>
      <c r="H320" s="32">
        <f t="shared" si="214"/>
        <v>-16.799999999999997</v>
      </c>
      <c r="I320" s="32">
        <f t="shared" si="214"/>
        <v>-16.799999999999997</v>
      </c>
      <c r="J320" s="32">
        <f t="shared" si="214"/>
        <v>-16.799999999999997</v>
      </c>
      <c r="K320" s="32">
        <f t="shared" si="214"/>
        <v>-16.799999999999997</v>
      </c>
      <c r="L320" s="32">
        <f t="shared" si="214"/>
        <v>-16.799999999999997</v>
      </c>
      <c r="M320" s="32">
        <f t="shared" si="214"/>
        <v>-16.799999999999997</v>
      </c>
      <c r="N320" s="32">
        <f t="shared" si="214"/>
        <v>-16.799999999999997</v>
      </c>
      <c r="O320" s="32">
        <f t="shared" si="214"/>
        <v>-16.799999999999997</v>
      </c>
      <c r="P320" s="32">
        <f t="shared" si="214"/>
        <v>-16.799999999999997</v>
      </c>
      <c r="Q320" s="32">
        <f t="shared" si="214"/>
        <v>-16.799999999999997</v>
      </c>
      <c r="R320" s="32">
        <f t="shared" si="214"/>
        <v>-16.799999999999997</v>
      </c>
      <c r="S320" s="32">
        <f t="shared" si="214"/>
        <v>-16.799999999999997</v>
      </c>
      <c r="T320" s="32">
        <f t="shared" si="214"/>
        <v>-13.799999999999997</v>
      </c>
      <c r="U320" s="32">
        <f t="shared" si="214"/>
        <v>-13.799999999999997</v>
      </c>
      <c r="V320" s="32">
        <f t="shared" si="214"/>
        <v>-14.799999999999997</v>
      </c>
      <c r="W320" s="32">
        <f t="shared" si="214"/>
        <v>-16.799999999999997</v>
      </c>
    </row>
    <row r="321" spans="1:23" x14ac:dyDescent="0.3">
      <c r="B321" s="97" t="s">
        <v>202</v>
      </c>
      <c r="C321" s="98"/>
      <c r="D321" s="99">
        <f t="shared" ref="D321:E324" si="215">+D317/D313</f>
        <v>-0.86086956521739122</v>
      </c>
      <c r="E321" s="99">
        <f t="shared" si="215"/>
        <v>-0.86086956521739122</v>
      </c>
      <c r="F321" s="99">
        <f t="shared" ref="F321:W321" si="216">+F317/F313</f>
        <v>-0.86086956521739122</v>
      </c>
      <c r="G321" s="99">
        <f t="shared" si="216"/>
        <v>-0.86086956521739122</v>
      </c>
      <c r="H321" s="99">
        <f t="shared" si="216"/>
        <v>-0.86086956521739122</v>
      </c>
      <c r="I321" s="99">
        <f t="shared" si="216"/>
        <v>-0.86086956521739122</v>
      </c>
      <c r="J321" s="99">
        <f t="shared" si="216"/>
        <v>-0.86086956521739122</v>
      </c>
      <c r="K321" s="99">
        <f t="shared" si="216"/>
        <v>-0.86086956521739122</v>
      </c>
      <c r="L321" s="99">
        <f t="shared" si="216"/>
        <v>-0.86086956521739122</v>
      </c>
      <c r="M321" s="99">
        <f t="shared" si="216"/>
        <v>-0.86086956521739122</v>
      </c>
      <c r="N321" s="99">
        <f t="shared" si="216"/>
        <v>-0.86086956521739122</v>
      </c>
      <c r="O321" s="99">
        <f t="shared" si="216"/>
        <v>-0.86086956521739122</v>
      </c>
      <c r="P321" s="99">
        <f t="shared" si="216"/>
        <v>-0.86086956521739122</v>
      </c>
      <c r="Q321" s="99">
        <f t="shared" si="216"/>
        <v>-0.86086956521739122</v>
      </c>
      <c r="R321" s="99">
        <f t="shared" si="216"/>
        <v>-0.86086956521739122</v>
      </c>
      <c r="S321" s="99">
        <f t="shared" si="216"/>
        <v>-0.86086956521739122</v>
      </c>
      <c r="T321" s="99">
        <f t="shared" si="216"/>
        <v>-0.64615384615384608</v>
      </c>
      <c r="U321" s="99">
        <f t="shared" si="216"/>
        <v>-0.64615384615384608</v>
      </c>
      <c r="V321" s="99">
        <f t="shared" si="216"/>
        <v>-0.71199999999999986</v>
      </c>
      <c r="W321" s="99">
        <f t="shared" si="216"/>
        <v>-0.86086956521739122</v>
      </c>
    </row>
    <row r="322" spans="1:23" s="36" customFormat="1" x14ac:dyDescent="0.3">
      <c r="A322" s="406"/>
      <c r="B322" s="97" t="s">
        <v>203</v>
      </c>
      <c r="C322" s="98"/>
      <c r="D322" s="99">
        <f t="shared" si="215"/>
        <v>-0.78333333333333321</v>
      </c>
      <c r="E322" s="99">
        <f t="shared" si="215"/>
        <v>-0.78333333333333321</v>
      </c>
      <c r="F322" s="99">
        <f t="shared" ref="F322:W322" si="217">+F318/F314</f>
        <v>-0.78333333333333321</v>
      </c>
      <c r="G322" s="99">
        <f t="shared" si="217"/>
        <v>-0.78333333333333321</v>
      </c>
      <c r="H322" s="99">
        <f t="shared" si="217"/>
        <v>-0.78333333333333321</v>
      </c>
      <c r="I322" s="99">
        <f t="shared" si="217"/>
        <v>-0.78333333333333321</v>
      </c>
      <c r="J322" s="99">
        <f t="shared" si="217"/>
        <v>-0.78333333333333321</v>
      </c>
      <c r="K322" s="99">
        <f t="shared" si="217"/>
        <v>-0.78333333333333321</v>
      </c>
      <c r="L322" s="99">
        <f t="shared" si="217"/>
        <v>-0.78333333333333321</v>
      </c>
      <c r="M322" s="99">
        <f t="shared" si="217"/>
        <v>-0.78333333333333321</v>
      </c>
      <c r="N322" s="99">
        <f t="shared" si="217"/>
        <v>-0.78333333333333321</v>
      </c>
      <c r="O322" s="99">
        <f t="shared" si="217"/>
        <v>-0.78333333333333321</v>
      </c>
      <c r="P322" s="99">
        <f t="shared" si="217"/>
        <v>-0.78333333333333321</v>
      </c>
      <c r="Q322" s="99">
        <f t="shared" si="217"/>
        <v>-0.78333333333333321</v>
      </c>
      <c r="R322" s="99">
        <f t="shared" si="217"/>
        <v>-0.78333333333333321</v>
      </c>
      <c r="S322" s="99">
        <f t="shared" si="217"/>
        <v>-0.78333333333333321</v>
      </c>
      <c r="T322" s="99">
        <f t="shared" si="217"/>
        <v>-0.58518518518518503</v>
      </c>
      <c r="U322" s="99">
        <f t="shared" si="217"/>
        <v>-0.58518518518518503</v>
      </c>
      <c r="V322" s="99">
        <f t="shared" si="217"/>
        <v>-0.64615384615384608</v>
      </c>
      <c r="W322" s="99">
        <f t="shared" si="217"/>
        <v>-0.78333333333333321</v>
      </c>
    </row>
    <row r="323" spans="1:23" s="36" customFormat="1" x14ac:dyDescent="0.3">
      <c r="A323" s="406"/>
      <c r="B323" s="97" t="s">
        <v>204</v>
      </c>
      <c r="C323" s="98"/>
      <c r="D323" s="99">
        <f t="shared" si="215"/>
        <v>-0.71199999999999986</v>
      </c>
      <c r="E323" s="99">
        <f t="shared" si="215"/>
        <v>-0.71199999999999986</v>
      </c>
      <c r="F323" s="99">
        <f t="shared" ref="F323:W323" si="218">+F319/F315</f>
        <v>-0.71199999999999986</v>
      </c>
      <c r="G323" s="99">
        <f t="shared" si="218"/>
        <v>-0.71199999999999986</v>
      </c>
      <c r="H323" s="99">
        <f t="shared" si="218"/>
        <v>-0.71199999999999986</v>
      </c>
      <c r="I323" s="99">
        <f t="shared" si="218"/>
        <v>-0.71199999999999986</v>
      </c>
      <c r="J323" s="99">
        <f t="shared" si="218"/>
        <v>-0.71199999999999986</v>
      </c>
      <c r="K323" s="99">
        <f t="shared" si="218"/>
        <v>-0.71199999999999986</v>
      </c>
      <c r="L323" s="99">
        <f t="shared" si="218"/>
        <v>-0.71199999999999986</v>
      </c>
      <c r="M323" s="99">
        <f t="shared" si="218"/>
        <v>-0.71199999999999986</v>
      </c>
      <c r="N323" s="99">
        <f t="shared" si="218"/>
        <v>-0.71199999999999986</v>
      </c>
      <c r="O323" s="99">
        <f t="shared" si="218"/>
        <v>-0.71199999999999986</v>
      </c>
      <c r="P323" s="99">
        <f t="shared" si="218"/>
        <v>-0.71199999999999986</v>
      </c>
      <c r="Q323" s="99">
        <f t="shared" si="218"/>
        <v>-0.71199999999999986</v>
      </c>
      <c r="R323" s="99">
        <f t="shared" si="218"/>
        <v>-0.71199999999999986</v>
      </c>
      <c r="S323" s="99">
        <f t="shared" si="218"/>
        <v>-0.71199999999999986</v>
      </c>
      <c r="T323" s="99">
        <f t="shared" si="218"/>
        <v>-0.52857142857142847</v>
      </c>
      <c r="U323" s="99">
        <f t="shared" si="218"/>
        <v>-0.52857142857142847</v>
      </c>
      <c r="V323" s="99">
        <f t="shared" si="218"/>
        <v>-0.58518518518518503</v>
      </c>
      <c r="W323" s="99">
        <f t="shared" si="218"/>
        <v>-0.71199999999999986</v>
      </c>
    </row>
    <row r="324" spans="1:23" s="36" customFormat="1" x14ac:dyDescent="0.3">
      <c r="A324" s="406"/>
      <c r="B324" s="97" t="s">
        <v>205</v>
      </c>
      <c r="C324" s="98"/>
      <c r="D324" s="99">
        <f t="shared" si="215"/>
        <v>-0.64615384615384608</v>
      </c>
      <c r="E324" s="99">
        <f t="shared" si="215"/>
        <v>-0.64615384615384608</v>
      </c>
      <c r="F324" s="99">
        <f t="shared" ref="F324:W324" si="219">+F320/F316</f>
        <v>-0.64615384615384608</v>
      </c>
      <c r="G324" s="99">
        <f t="shared" si="219"/>
        <v>-0.64615384615384608</v>
      </c>
      <c r="H324" s="99">
        <f t="shared" si="219"/>
        <v>-0.64615384615384608</v>
      </c>
      <c r="I324" s="99">
        <f t="shared" si="219"/>
        <v>-0.64615384615384608</v>
      </c>
      <c r="J324" s="99">
        <f t="shared" si="219"/>
        <v>-0.64615384615384608</v>
      </c>
      <c r="K324" s="99">
        <f t="shared" si="219"/>
        <v>-0.64615384615384608</v>
      </c>
      <c r="L324" s="99">
        <f t="shared" si="219"/>
        <v>-0.64615384615384608</v>
      </c>
      <c r="M324" s="99">
        <f t="shared" si="219"/>
        <v>-0.64615384615384608</v>
      </c>
      <c r="N324" s="99">
        <f t="shared" si="219"/>
        <v>-0.64615384615384608</v>
      </c>
      <c r="O324" s="99">
        <f t="shared" si="219"/>
        <v>-0.64615384615384608</v>
      </c>
      <c r="P324" s="99">
        <f t="shared" si="219"/>
        <v>-0.64615384615384608</v>
      </c>
      <c r="Q324" s="99">
        <f t="shared" si="219"/>
        <v>-0.64615384615384608</v>
      </c>
      <c r="R324" s="99">
        <f t="shared" si="219"/>
        <v>-0.64615384615384608</v>
      </c>
      <c r="S324" s="99">
        <f t="shared" si="219"/>
        <v>-0.64615384615384608</v>
      </c>
      <c r="T324" s="99">
        <f t="shared" si="219"/>
        <v>-0.47586206896551714</v>
      </c>
      <c r="U324" s="99">
        <f t="shared" si="219"/>
        <v>-0.47586206896551714</v>
      </c>
      <c r="V324" s="99">
        <f t="shared" si="219"/>
        <v>-0.52857142857142847</v>
      </c>
      <c r="W324" s="99">
        <f t="shared" si="219"/>
        <v>-0.64615384615384608</v>
      </c>
    </row>
    <row r="325" spans="1:23" ht="21" thickBot="1" x14ac:dyDescent="0.35"/>
    <row r="326" spans="1:23" s="19" customFormat="1" ht="24" thickBot="1" x14ac:dyDescent="0.4">
      <c r="A326" s="19" t="s">
        <v>284</v>
      </c>
      <c r="B326" s="345" t="s">
        <v>207</v>
      </c>
      <c r="C326" s="68"/>
      <c r="D326" s="17" t="s">
        <v>5</v>
      </c>
      <c r="E326" s="18" t="s">
        <v>6</v>
      </c>
      <c r="F326" s="18" t="s">
        <v>7</v>
      </c>
      <c r="G326" s="18" t="s">
        <v>8</v>
      </c>
      <c r="H326" s="18" t="s">
        <v>9</v>
      </c>
      <c r="I326" s="18" t="s">
        <v>10</v>
      </c>
      <c r="J326" s="18" t="s">
        <v>11</v>
      </c>
      <c r="K326" s="18" t="s">
        <v>12</v>
      </c>
      <c r="L326" s="18" t="s">
        <v>13</v>
      </c>
      <c r="M326" s="18" t="s">
        <v>14</v>
      </c>
      <c r="N326" s="18" t="s">
        <v>15</v>
      </c>
      <c r="O326" s="18" t="s">
        <v>16</v>
      </c>
      <c r="P326" s="18" t="s">
        <v>17</v>
      </c>
      <c r="Q326" s="18" t="s">
        <v>18</v>
      </c>
      <c r="R326" s="18" t="s">
        <v>19</v>
      </c>
      <c r="S326" s="18" t="s">
        <v>20</v>
      </c>
      <c r="T326" s="18" t="s">
        <v>21</v>
      </c>
      <c r="U326" s="18" t="s">
        <v>22</v>
      </c>
      <c r="V326" s="18" t="s">
        <v>23</v>
      </c>
      <c r="W326" s="18" t="s">
        <v>166</v>
      </c>
    </row>
    <row r="327" spans="1:23" x14ac:dyDescent="0.3">
      <c r="B327" s="54" t="s">
        <v>50</v>
      </c>
      <c r="C327" s="55"/>
      <c r="D327" s="20">
        <v>81</v>
      </c>
      <c r="E327" s="21">
        <f>D327</f>
        <v>81</v>
      </c>
      <c r="F327" s="21">
        <f>E327</f>
        <v>81</v>
      </c>
      <c r="G327" s="21">
        <f>F327</f>
        <v>81</v>
      </c>
      <c r="H327" s="21">
        <f>G327</f>
        <v>81</v>
      </c>
      <c r="I327" s="21">
        <f>G327</f>
        <v>81</v>
      </c>
      <c r="J327" s="21">
        <f t="shared" ref="J327:W327" si="220">I327</f>
        <v>81</v>
      </c>
      <c r="K327" s="21">
        <f t="shared" si="220"/>
        <v>81</v>
      </c>
      <c r="L327" s="21">
        <f t="shared" si="220"/>
        <v>81</v>
      </c>
      <c r="M327" s="21">
        <f t="shared" si="220"/>
        <v>81</v>
      </c>
      <c r="N327" s="21">
        <f t="shared" si="220"/>
        <v>81</v>
      </c>
      <c r="O327" s="21">
        <f t="shared" si="220"/>
        <v>81</v>
      </c>
      <c r="P327" s="21">
        <f t="shared" si="220"/>
        <v>81</v>
      </c>
      <c r="Q327" s="21">
        <f t="shared" si="220"/>
        <v>81</v>
      </c>
      <c r="R327" s="21">
        <f t="shared" si="220"/>
        <v>81</v>
      </c>
      <c r="S327" s="21">
        <f t="shared" si="220"/>
        <v>81</v>
      </c>
      <c r="T327" s="21">
        <f t="shared" si="220"/>
        <v>81</v>
      </c>
      <c r="U327" s="21">
        <f t="shared" si="220"/>
        <v>81</v>
      </c>
      <c r="V327" s="21">
        <f t="shared" si="220"/>
        <v>81</v>
      </c>
      <c r="W327" s="21">
        <f t="shared" si="220"/>
        <v>81</v>
      </c>
    </row>
    <row r="328" spans="1:23" ht="23" x14ac:dyDescent="0.35">
      <c r="B328" s="340" t="s">
        <v>51</v>
      </c>
      <c r="C328" s="341"/>
      <c r="D328" s="342"/>
      <c r="E328" s="342"/>
      <c r="F328" s="342"/>
      <c r="G328" s="342"/>
      <c r="H328" s="342"/>
      <c r="I328" s="342"/>
      <c r="J328" s="342"/>
      <c r="K328" s="342"/>
      <c r="L328" s="342"/>
      <c r="M328" s="342"/>
      <c r="N328" s="342"/>
      <c r="O328" s="342"/>
      <c r="P328" s="342"/>
      <c r="Q328" s="342"/>
      <c r="R328" s="342"/>
      <c r="S328" s="342"/>
      <c r="T328" s="363"/>
      <c r="U328" s="363"/>
      <c r="V328" s="363"/>
      <c r="W328" s="342"/>
    </row>
    <row r="329" spans="1:23" x14ac:dyDescent="0.3">
      <c r="B329" s="54"/>
      <c r="C329" s="55"/>
      <c r="D329" s="20">
        <f t="shared" ref="D329:V329" si="221">D327*(1-D328)</f>
        <v>81</v>
      </c>
      <c r="E329" s="20">
        <f t="shared" si="221"/>
        <v>81</v>
      </c>
      <c r="F329" s="20">
        <f t="shared" si="221"/>
        <v>81</v>
      </c>
      <c r="G329" s="20">
        <f t="shared" si="221"/>
        <v>81</v>
      </c>
      <c r="H329" s="20">
        <f t="shared" si="221"/>
        <v>81</v>
      </c>
      <c r="I329" s="20">
        <f t="shared" si="221"/>
        <v>81</v>
      </c>
      <c r="J329" s="20">
        <f t="shared" si="221"/>
        <v>81</v>
      </c>
      <c r="K329" s="20">
        <f t="shared" si="221"/>
        <v>81</v>
      </c>
      <c r="L329" s="20">
        <f t="shared" si="221"/>
        <v>81</v>
      </c>
      <c r="M329" s="20">
        <f t="shared" si="221"/>
        <v>81</v>
      </c>
      <c r="N329" s="20">
        <f t="shared" si="221"/>
        <v>81</v>
      </c>
      <c r="O329" s="20">
        <f t="shared" si="221"/>
        <v>81</v>
      </c>
      <c r="P329" s="20">
        <f t="shared" si="221"/>
        <v>81</v>
      </c>
      <c r="Q329" s="20">
        <f t="shared" si="221"/>
        <v>81</v>
      </c>
      <c r="R329" s="20">
        <f t="shared" si="221"/>
        <v>81</v>
      </c>
      <c r="S329" s="20">
        <f t="shared" si="221"/>
        <v>81</v>
      </c>
      <c r="T329" s="20">
        <f t="shared" si="221"/>
        <v>81</v>
      </c>
      <c r="U329" s="20">
        <f t="shared" si="221"/>
        <v>81</v>
      </c>
      <c r="V329" s="20">
        <f t="shared" si="221"/>
        <v>81</v>
      </c>
      <c r="W329" s="20">
        <f>W327*(1-W328)</f>
        <v>81</v>
      </c>
    </row>
    <row r="330" spans="1:23" x14ac:dyDescent="0.3">
      <c r="B330" s="54" t="s">
        <v>51</v>
      </c>
      <c r="C330" s="56">
        <v>0</v>
      </c>
      <c r="D330" s="20">
        <f t="shared" ref="D330:W330" si="222">D329*$C330</f>
        <v>0</v>
      </c>
      <c r="E330" s="20">
        <f t="shared" si="222"/>
        <v>0</v>
      </c>
      <c r="F330" s="20">
        <f t="shared" si="222"/>
        <v>0</v>
      </c>
      <c r="G330" s="20">
        <f t="shared" si="222"/>
        <v>0</v>
      </c>
      <c r="H330" s="20">
        <f t="shared" si="222"/>
        <v>0</v>
      </c>
      <c r="I330" s="20">
        <f t="shared" si="222"/>
        <v>0</v>
      </c>
      <c r="J330" s="20">
        <f t="shared" si="222"/>
        <v>0</v>
      </c>
      <c r="K330" s="20">
        <f t="shared" si="222"/>
        <v>0</v>
      </c>
      <c r="L330" s="20">
        <f t="shared" si="222"/>
        <v>0</v>
      </c>
      <c r="M330" s="20">
        <f t="shared" si="222"/>
        <v>0</v>
      </c>
      <c r="N330" s="20">
        <f t="shared" si="222"/>
        <v>0</v>
      </c>
      <c r="O330" s="20">
        <f t="shared" si="222"/>
        <v>0</v>
      </c>
      <c r="P330" s="20">
        <f t="shared" si="222"/>
        <v>0</v>
      </c>
      <c r="Q330" s="20">
        <f t="shared" si="222"/>
        <v>0</v>
      </c>
      <c r="R330" s="20">
        <f t="shared" si="222"/>
        <v>0</v>
      </c>
      <c r="S330" s="20">
        <f t="shared" si="222"/>
        <v>0</v>
      </c>
      <c r="T330" s="20">
        <f t="shared" si="222"/>
        <v>0</v>
      </c>
      <c r="U330" s="20">
        <f t="shared" si="222"/>
        <v>0</v>
      </c>
      <c r="V330" s="20">
        <f t="shared" si="222"/>
        <v>0</v>
      </c>
      <c r="W330" s="20">
        <f t="shared" si="222"/>
        <v>0</v>
      </c>
    </row>
    <row r="331" spans="1:23" x14ac:dyDescent="0.3">
      <c r="B331" s="54" t="s">
        <v>67</v>
      </c>
      <c r="C331" s="55"/>
      <c r="D331" s="20">
        <f t="shared" ref="D331:W331" si="223">D329-D330</f>
        <v>81</v>
      </c>
      <c r="E331" s="20">
        <f t="shared" si="223"/>
        <v>81</v>
      </c>
      <c r="F331" s="20">
        <f t="shared" si="223"/>
        <v>81</v>
      </c>
      <c r="G331" s="20">
        <f t="shared" si="223"/>
        <v>81</v>
      </c>
      <c r="H331" s="20">
        <f t="shared" si="223"/>
        <v>81</v>
      </c>
      <c r="I331" s="20">
        <f t="shared" si="223"/>
        <v>81</v>
      </c>
      <c r="J331" s="20">
        <f t="shared" si="223"/>
        <v>81</v>
      </c>
      <c r="K331" s="20">
        <f t="shared" si="223"/>
        <v>81</v>
      </c>
      <c r="L331" s="20">
        <f t="shared" si="223"/>
        <v>81</v>
      </c>
      <c r="M331" s="20">
        <f t="shared" si="223"/>
        <v>81</v>
      </c>
      <c r="N331" s="20">
        <f t="shared" si="223"/>
        <v>81</v>
      </c>
      <c r="O331" s="20">
        <f t="shared" si="223"/>
        <v>81</v>
      </c>
      <c r="P331" s="20">
        <f t="shared" si="223"/>
        <v>81</v>
      </c>
      <c r="Q331" s="20">
        <f t="shared" si="223"/>
        <v>81</v>
      </c>
      <c r="R331" s="20">
        <f t="shared" si="223"/>
        <v>81</v>
      </c>
      <c r="S331" s="20">
        <f t="shared" si="223"/>
        <v>81</v>
      </c>
      <c r="T331" s="20">
        <f t="shared" si="223"/>
        <v>81</v>
      </c>
      <c r="U331" s="20">
        <f t="shared" si="223"/>
        <v>81</v>
      </c>
      <c r="V331" s="20">
        <f t="shared" si="223"/>
        <v>81</v>
      </c>
      <c r="W331" s="20">
        <f t="shared" si="223"/>
        <v>81</v>
      </c>
    </row>
    <row r="332" spans="1:23" x14ac:dyDescent="0.3">
      <c r="B332" s="54" t="s">
        <v>66</v>
      </c>
      <c r="C332" s="56">
        <v>7.0000000000000007E-2</v>
      </c>
      <c r="D332" s="20">
        <f t="shared" ref="D332:W332" si="224">D331*$C332</f>
        <v>5.6700000000000008</v>
      </c>
      <c r="E332" s="20">
        <f t="shared" si="224"/>
        <v>5.6700000000000008</v>
      </c>
      <c r="F332" s="20">
        <f t="shared" si="224"/>
        <v>5.6700000000000008</v>
      </c>
      <c r="G332" s="20">
        <f t="shared" si="224"/>
        <v>5.6700000000000008</v>
      </c>
      <c r="H332" s="20">
        <f t="shared" si="224"/>
        <v>5.6700000000000008</v>
      </c>
      <c r="I332" s="20">
        <f t="shared" si="224"/>
        <v>5.6700000000000008</v>
      </c>
      <c r="J332" s="20">
        <f t="shared" si="224"/>
        <v>5.6700000000000008</v>
      </c>
      <c r="K332" s="20">
        <f t="shared" si="224"/>
        <v>5.6700000000000008</v>
      </c>
      <c r="L332" s="20">
        <f t="shared" si="224"/>
        <v>5.6700000000000008</v>
      </c>
      <c r="M332" s="20">
        <f t="shared" si="224"/>
        <v>5.6700000000000008</v>
      </c>
      <c r="N332" s="20">
        <f t="shared" si="224"/>
        <v>5.6700000000000008</v>
      </c>
      <c r="O332" s="20">
        <f t="shared" si="224"/>
        <v>5.6700000000000008</v>
      </c>
      <c r="P332" s="20">
        <f t="shared" si="224"/>
        <v>5.6700000000000008</v>
      </c>
      <c r="Q332" s="20">
        <f t="shared" si="224"/>
        <v>5.6700000000000008</v>
      </c>
      <c r="R332" s="20">
        <f t="shared" si="224"/>
        <v>5.6700000000000008</v>
      </c>
      <c r="S332" s="20">
        <f t="shared" si="224"/>
        <v>5.6700000000000008</v>
      </c>
      <c r="T332" s="20">
        <f t="shared" si="224"/>
        <v>5.6700000000000008</v>
      </c>
      <c r="U332" s="20">
        <f t="shared" si="224"/>
        <v>5.6700000000000008</v>
      </c>
      <c r="V332" s="20">
        <f t="shared" si="224"/>
        <v>5.6700000000000008</v>
      </c>
      <c r="W332" s="20">
        <f t="shared" si="224"/>
        <v>5.6700000000000008</v>
      </c>
    </row>
    <row r="333" spans="1:23" x14ac:dyDescent="0.3">
      <c r="B333" s="54" t="s">
        <v>68</v>
      </c>
      <c r="C333" s="55"/>
      <c r="D333" s="20">
        <f>D331+D332</f>
        <v>86.67</v>
      </c>
      <c r="E333" s="20">
        <f t="shared" ref="E333:V333" si="225">E331+E332</f>
        <v>86.67</v>
      </c>
      <c r="F333" s="20">
        <f t="shared" si="225"/>
        <v>86.67</v>
      </c>
      <c r="G333" s="20">
        <f t="shared" si="225"/>
        <v>86.67</v>
      </c>
      <c r="H333" s="20">
        <f t="shared" si="225"/>
        <v>86.67</v>
      </c>
      <c r="I333" s="20">
        <f t="shared" si="225"/>
        <v>86.67</v>
      </c>
      <c r="J333" s="20">
        <f t="shared" si="225"/>
        <v>86.67</v>
      </c>
      <c r="K333" s="20">
        <f t="shared" si="225"/>
        <v>86.67</v>
      </c>
      <c r="L333" s="20">
        <f t="shared" si="225"/>
        <v>86.67</v>
      </c>
      <c r="M333" s="20">
        <f t="shared" si="225"/>
        <v>86.67</v>
      </c>
      <c r="N333" s="20">
        <f t="shared" si="225"/>
        <v>86.67</v>
      </c>
      <c r="O333" s="20">
        <f t="shared" si="225"/>
        <v>86.67</v>
      </c>
      <c r="P333" s="20">
        <f t="shared" si="225"/>
        <v>86.67</v>
      </c>
      <c r="Q333" s="20">
        <f t="shared" si="225"/>
        <v>86.67</v>
      </c>
      <c r="R333" s="20">
        <f t="shared" si="225"/>
        <v>86.67</v>
      </c>
      <c r="S333" s="20">
        <f t="shared" si="225"/>
        <v>86.67</v>
      </c>
      <c r="T333" s="20">
        <f t="shared" si="225"/>
        <v>86.67</v>
      </c>
      <c r="U333" s="20">
        <f t="shared" si="225"/>
        <v>86.67</v>
      </c>
      <c r="V333" s="20">
        <f t="shared" si="225"/>
        <v>86.67</v>
      </c>
      <c r="W333" s="20">
        <f>W331+W332</f>
        <v>86.67</v>
      </c>
    </row>
    <row r="334" spans="1:23" ht="23" x14ac:dyDescent="0.35">
      <c r="B334" s="357" t="s">
        <v>52</v>
      </c>
      <c r="C334" s="358"/>
      <c r="D334" s="381"/>
      <c r="E334" s="381"/>
      <c r="F334" s="381"/>
      <c r="G334" s="381"/>
      <c r="H334" s="381"/>
      <c r="I334" s="381"/>
      <c r="J334" s="381"/>
      <c r="K334" s="381"/>
      <c r="L334" s="381"/>
      <c r="M334" s="381"/>
      <c r="N334" s="381"/>
      <c r="O334" s="381"/>
      <c r="P334" s="381"/>
      <c r="Q334" s="381"/>
      <c r="R334" s="381"/>
      <c r="S334" s="381"/>
      <c r="T334" s="381"/>
      <c r="U334" s="381"/>
      <c r="V334" s="381"/>
      <c r="W334" s="381"/>
    </row>
    <row r="335" spans="1:23" x14ac:dyDescent="0.3">
      <c r="B335" s="57" t="s">
        <v>53</v>
      </c>
      <c r="C335" s="58"/>
      <c r="D335" s="25">
        <f>SUM(D333:D334)</f>
        <v>86.67</v>
      </c>
      <c r="E335" s="26">
        <f t="shared" ref="E335:V335" si="226">SUM(E333:E334)</f>
        <v>86.67</v>
      </c>
      <c r="F335" s="26">
        <f t="shared" si="226"/>
        <v>86.67</v>
      </c>
      <c r="G335" s="26">
        <f t="shared" si="226"/>
        <v>86.67</v>
      </c>
      <c r="H335" s="26">
        <f t="shared" si="226"/>
        <v>86.67</v>
      </c>
      <c r="I335" s="26">
        <f t="shared" si="226"/>
        <v>86.67</v>
      </c>
      <c r="J335" s="26">
        <f t="shared" si="226"/>
        <v>86.67</v>
      </c>
      <c r="K335" s="26">
        <f t="shared" si="226"/>
        <v>86.67</v>
      </c>
      <c r="L335" s="26">
        <f t="shared" si="226"/>
        <v>86.67</v>
      </c>
      <c r="M335" s="26">
        <f t="shared" si="226"/>
        <v>86.67</v>
      </c>
      <c r="N335" s="26">
        <f t="shared" si="226"/>
        <v>86.67</v>
      </c>
      <c r="O335" s="26">
        <f t="shared" si="226"/>
        <v>86.67</v>
      </c>
      <c r="P335" s="26">
        <f t="shared" si="226"/>
        <v>86.67</v>
      </c>
      <c r="Q335" s="26">
        <f t="shared" si="226"/>
        <v>86.67</v>
      </c>
      <c r="R335" s="26">
        <f t="shared" si="226"/>
        <v>86.67</v>
      </c>
      <c r="S335" s="26">
        <f t="shared" si="226"/>
        <v>86.67</v>
      </c>
      <c r="T335" s="26">
        <f t="shared" si="226"/>
        <v>86.67</v>
      </c>
      <c r="U335" s="26">
        <f t="shared" si="226"/>
        <v>86.67</v>
      </c>
      <c r="V335" s="26">
        <f t="shared" si="226"/>
        <v>86.67</v>
      </c>
      <c r="W335" s="26">
        <f>SUM(W333:W334)</f>
        <v>86.67</v>
      </c>
    </row>
    <row r="336" spans="1:23" x14ac:dyDescent="0.3">
      <c r="B336" s="331" t="s">
        <v>54</v>
      </c>
      <c r="C336" s="332"/>
      <c r="D336" s="333"/>
      <c r="E336" s="333"/>
      <c r="F336" s="333"/>
      <c r="G336" s="333"/>
      <c r="H336" s="333"/>
      <c r="I336" s="333"/>
      <c r="J336" s="333"/>
      <c r="K336" s="333"/>
      <c r="L336" s="333"/>
      <c r="M336" s="333"/>
      <c r="N336" s="333"/>
      <c r="O336" s="333"/>
      <c r="P336" s="333"/>
      <c r="Q336" s="333"/>
      <c r="R336" s="333"/>
      <c r="S336" s="333"/>
      <c r="T336" s="333"/>
      <c r="U336" s="333"/>
      <c r="V336" s="333"/>
      <c r="W336" s="333"/>
    </row>
    <row r="337" spans="1:23" ht="23" x14ac:dyDescent="0.35">
      <c r="B337" s="353" t="s">
        <v>55</v>
      </c>
      <c r="C337" s="354"/>
      <c r="D337" s="355">
        <f>D335</f>
        <v>86.67</v>
      </c>
      <c r="E337" s="356">
        <f t="shared" ref="E337:W337" si="227">E335</f>
        <v>86.67</v>
      </c>
      <c r="F337" s="356">
        <f t="shared" si="227"/>
        <v>86.67</v>
      </c>
      <c r="G337" s="356">
        <f t="shared" si="227"/>
        <v>86.67</v>
      </c>
      <c r="H337" s="356">
        <f t="shared" si="227"/>
        <v>86.67</v>
      </c>
      <c r="I337" s="356">
        <f t="shared" si="227"/>
        <v>86.67</v>
      </c>
      <c r="J337" s="356">
        <f t="shared" si="227"/>
        <v>86.67</v>
      </c>
      <c r="K337" s="356">
        <f t="shared" si="227"/>
        <v>86.67</v>
      </c>
      <c r="L337" s="356">
        <f t="shared" si="227"/>
        <v>86.67</v>
      </c>
      <c r="M337" s="356">
        <f t="shared" si="227"/>
        <v>86.67</v>
      </c>
      <c r="N337" s="356">
        <f t="shared" si="227"/>
        <v>86.67</v>
      </c>
      <c r="O337" s="356">
        <f t="shared" si="227"/>
        <v>86.67</v>
      </c>
      <c r="P337" s="356">
        <f t="shared" si="227"/>
        <v>86.67</v>
      </c>
      <c r="Q337" s="356">
        <f t="shared" si="227"/>
        <v>86.67</v>
      </c>
      <c r="R337" s="356">
        <f t="shared" si="227"/>
        <v>86.67</v>
      </c>
      <c r="S337" s="356">
        <f t="shared" si="227"/>
        <v>86.67</v>
      </c>
      <c r="T337" s="356">
        <f t="shared" si="227"/>
        <v>86.67</v>
      </c>
      <c r="U337" s="356">
        <f t="shared" si="227"/>
        <v>86.67</v>
      </c>
      <c r="V337" s="356">
        <f t="shared" si="227"/>
        <v>86.67</v>
      </c>
      <c r="W337" s="356">
        <f t="shared" si="227"/>
        <v>86.67</v>
      </c>
    </row>
    <row r="338" spans="1:23" x14ac:dyDescent="0.3">
      <c r="B338" s="171" t="s">
        <v>194</v>
      </c>
      <c r="C338" s="55"/>
      <c r="D338" s="20">
        <v>46</v>
      </c>
      <c r="E338" s="21">
        <v>46</v>
      </c>
      <c r="F338" s="21">
        <v>46</v>
      </c>
      <c r="G338" s="21">
        <v>46</v>
      </c>
      <c r="H338" s="21">
        <v>46</v>
      </c>
      <c r="I338" s="21">
        <v>46</v>
      </c>
      <c r="J338" s="21">
        <v>46</v>
      </c>
      <c r="K338" s="21">
        <v>46</v>
      </c>
      <c r="L338" s="21">
        <v>46</v>
      </c>
      <c r="M338" s="21">
        <v>46</v>
      </c>
      <c r="N338" s="21">
        <v>47</v>
      </c>
      <c r="O338" s="21">
        <v>47</v>
      </c>
      <c r="P338" s="21">
        <v>47</v>
      </c>
      <c r="Q338" s="21">
        <v>47</v>
      </c>
      <c r="R338" s="21">
        <v>47</v>
      </c>
      <c r="S338" s="21">
        <v>47</v>
      </c>
      <c r="T338" s="21">
        <v>52</v>
      </c>
      <c r="U338" s="21">
        <v>52</v>
      </c>
      <c r="V338" s="21">
        <v>52</v>
      </c>
      <c r="W338" s="21">
        <v>47</v>
      </c>
    </row>
    <row r="339" spans="1:23" s="51" customFormat="1" x14ac:dyDescent="0.3">
      <c r="A339" s="407"/>
      <c r="B339" s="61" t="s">
        <v>195</v>
      </c>
      <c r="C339" s="62"/>
      <c r="D339" s="28">
        <v>47</v>
      </c>
      <c r="E339" s="29">
        <v>47</v>
      </c>
      <c r="F339" s="29">
        <v>47</v>
      </c>
      <c r="G339" s="29">
        <v>47</v>
      </c>
      <c r="H339" s="29">
        <v>47</v>
      </c>
      <c r="I339" s="29">
        <v>47</v>
      </c>
      <c r="J339" s="29">
        <v>47</v>
      </c>
      <c r="K339" s="29">
        <v>47</v>
      </c>
      <c r="L339" s="29">
        <v>47</v>
      </c>
      <c r="M339" s="29">
        <v>47</v>
      </c>
      <c r="N339" s="29">
        <v>48</v>
      </c>
      <c r="O339" s="29">
        <v>48</v>
      </c>
      <c r="P339" s="29">
        <v>48</v>
      </c>
      <c r="Q339" s="29">
        <v>48</v>
      </c>
      <c r="R339" s="29">
        <v>48</v>
      </c>
      <c r="S339" s="29">
        <v>48</v>
      </c>
      <c r="T339" s="29">
        <v>53</v>
      </c>
      <c r="U339" s="29">
        <v>53</v>
      </c>
      <c r="V339" s="29">
        <v>53</v>
      </c>
      <c r="W339" s="29">
        <v>48</v>
      </c>
    </row>
    <row r="340" spans="1:23" s="51" customFormat="1" x14ac:dyDescent="0.3">
      <c r="A340" s="407"/>
      <c r="B340" s="61" t="s">
        <v>196</v>
      </c>
      <c r="C340" s="62"/>
      <c r="D340" s="28">
        <v>48</v>
      </c>
      <c r="E340" s="29">
        <v>48</v>
      </c>
      <c r="F340" s="29">
        <v>48</v>
      </c>
      <c r="G340" s="29">
        <v>48</v>
      </c>
      <c r="H340" s="29">
        <v>48</v>
      </c>
      <c r="I340" s="29">
        <v>48</v>
      </c>
      <c r="J340" s="29">
        <v>48</v>
      </c>
      <c r="K340" s="29">
        <v>48</v>
      </c>
      <c r="L340" s="29">
        <v>48</v>
      </c>
      <c r="M340" s="29">
        <v>48</v>
      </c>
      <c r="N340" s="29">
        <v>49</v>
      </c>
      <c r="O340" s="29">
        <v>49</v>
      </c>
      <c r="P340" s="29">
        <v>49</v>
      </c>
      <c r="Q340" s="29">
        <v>49</v>
      </c>
      <c r="R340" s="29">
        <v>49</v>
      </c>
      <c r="S340" s="29">
        <v>49</v>
      </c>
      <c r="T340" s="29">
        <v>54</v>
      </c>
      <c r="U340" s="29">
        <v>54</v>
      </c>
      <c r="V340" s="29">
        <v>54</v>
      </c>
      <c r="W340" s="29">
        <v>49</v>
      </c>
    </row>
    <row r="341" spans="1:23" s="51" customFormat="1" x14ac:dyDescent="0.3">
      <c r="A341" s="407"/>
      <c r="B341" s="61" t="s">
        <v>197</v>
      </c>
      <c r="C341" s="62"/>
      <c r="D341" s="28">
        <v>50</v>
      </c>
      <c r="E341" s="29">
        <v>50</v>
      </c>
      <c r="F341" s="29">
        <v>50</v>
      </c>
      <c r="G341" s="29">
        <v>50</v>
      </c>
      <c r="H341" s="29">
        <v>50</v>
      </c>
      <c r="I341" s="29">
        <v>50</v>
      </c>
      <c r="J341" s="29">
        <v>50</v>
      </c>
      <c r="K341" s="29">
        <v>50</v>
      </c>
      <c r="L341" s="29">
        <v>50</v>
      </c>
      <c r="M341" s="29">
        <v>50</v>
      </c>
      <c r="N341" s="29">
        <v>51</v>
      </c>
      <c r="O341" s="29">
        <v>51</v>
      </c>
      <c r="P341" s="29">
        <v>51</v>
      </c>
      <c r="Q341" s="29">
        <v>51</v>
      </c>
      <c r="R341" s="29">
        <v>51</v>
      </c>
      <c r="S341" s="29">
        <v>51</v>
      </c>
      <c r="T341" s="29">
        <v>56</v>
      </c>
      <c r="U341" s="29">
        <v>56</v>
      </c>
      <c r="V341" s="29">
        <v>56</v>
      </c>
      <c r="W341" s="29">
        <v>51</v>
      </c>
    </row>
    <row r="342" spans="1:23" s="30" customFormat="1" x14ac:dyDescent="0.3">
      <c r="A342" s="404"/>
      <c r="B342" s="63" t="s">
        <v>198</v>
      </c>
      <c r="C342" s="62"/>
      <c r="D342" s="31">
        <f t="shared" ref="D342:E345" si="228">+D338-D$337</f>
        <v>-40.67</v>
      </c>
      <c r="E342" s="32">
        <f t="shared" si="228"/>
        <v>-40.67</v>
      </c>
      <c r="F342" s="32">
        <f t="shared" ref="F342:W342" si="229">+F338-F$337</f>
        <v>-40.67</v>
      </c>
      <c r="G342" s="32">
        <f t="shared" si="229"/>
        <v>-40.67</v>
      </c>
      <c r="H342" s="32">
        <f t="shared" si="229"/>
        <v>-40.67</v>
      </c>
      <c r="I342" s="32">
        <f t="shared" si="229"/>
        <v>-40.67</v>
      </c>
      <c r="J342" s="32">
        <f t="shared" si="229"/>
        <v>-40.67</v>
      </c>
      <c r="K342" s="32">
        <f t="shared" si="229"/>
        <v>-40.67</v>
      </c>
      <c r="L342" s="32">
        <f t="shared" si="229"/>
        <v>-40.67</v>
      </c>
      <c r="M342" s="32">
        <f t="shared" si="229"/>
        <v>-40.67</v>
      </c>
      <c r="N342" s="32">
        <f t="shared" si="229"/>
        <v>-39.67</v>
      </c>
      <c r="O342" s="32">
        <f t="shared" si="229"/>
        <v>-39.67</v>
      </c>
      <c r="P342" s="32">
        <f t="shared" si="229"/>
        <v>-39.67</v>
      </c>
      <c r="Q342" s="32">
        <f t="shared" si="229"/>
        <v>-39.67</v>
      </c>
      <c r="R342" s="32">
        <f t="shared" si="229"/>
        <v>-39.67</v>
      </c>
      <c r="S342" s="32">
        <f t="shared" si="229"/>
        <v>-39.67</v>
      </c>
      <c r="T342" s="32">
        <f t="shared" si="229"/>
        <v>-34.67</v>
      </c>
      <c r="U342" s="32">
        <f t="shared" si="229"/>
        <v>-34.67</v>
      </c>
      <c r="V342" s="32">
        <f t="shared" si="229"/>
        <v>-34.67</v>
      </c>
      <c r="W342" s="32">
        <f t="shared" si="229"/>
        <v>-39.67</v>
      </c>
    </row>
    <row r="343" spans="1:23" s="33" customFormat="1" x14ac:dyDescent="0.3">
      <c r="A343" s="405"/>
      <c r="B343" s="63" t="s">
        <v>199</v>
      </c>
      <c r="C343" s="64"/>
      <c r="D343" s="31">
        <f t="shared" si="228"/>
        <v>-39.67</v>
      </c>
      <c r="E343" s="32">
        <f t="shared" si="228"/>
        <v>-39.67</v>
      </c>
      <c r="F343" s="32">
        <f t="shared" ref="F343:W343" si="230">+F339-F$337</f>
        <v>-39.67</v>
      </c>
      <c r="G343" s="32">
        <f t="shared" si="230"/>
        <v>-39.67</v>
      </c>
      <c r="H343" s="32">
        <f t="shared" si="230"/>
        <v>-39.67</v>
      </c>
      <c r="I343" s="32">
        <f t="shared" si="230"/>
        <v>-39.67</v>
      </c>
      <c r="J343" s="32">
        <f t="shared" si="230"/>
        <v>-39.67</v>
      </c>
      <c r="K343" s="32">
        <f t="shared" si="230"/>
        <v>-39.67</v>
      </c>
      <c r="L343" s="32">
        <f t="shared" si="230"/>
        <v>-39.67</v>
      </c>
      <c r="M343" s="32">
        <f t="shared" si="230"/>
        <v>-39.67</v>
      </c>
      <c r="N343" s="32">
        <f t="shared" si="230"/>
        <v>-38.67</v>
      </c>
      <c r="O343" s="32">
        <f t="shared" si="230"/>
        <v>-38.67</v>
      </c>
      <c r="P343" s="32">
        <f t="shared" si="230"/>
        <v>-38.67</v>
      </c>
      <c r="Q343" s="32">
        <f t="shared" si="230"/>
        <v>-38.67</v>
      </c>
      <c r="R343" s="32">
        <f t="shared" si="230"/>
        <v>-38.67</v>
      </c>
      <c r="S343" s="32">
        <f t="shared" si="230"/>
        <v>-38.67</v>
      </c>
      <c r="T343" s="32">
        <f t="shared" si="230"/>
        <v>-33.67</v>
      </c>
      <c r="U343" s="32">
        <f t="shared" si="230"/>
        <v>-33.67</v>
      </c>
      <c r="V343" s="32">
        <f t="shared" si="230"/>
        <v>-33.67</v>
      </c>
      <c r="W343" s="32">
        <f t="shared" si="230"/>
        <v>-38.67</v>
      </c>
    </row>
    <row r="344" spans="1:23" s="33" customFormat="1" x14ac:dyDescent="0.3">
      <c r="A344" s="405"/>
      <c r="B344" s="63" t="s">
        <v>200</v>
      </c>
      <c r="C344" s="64"/>
      <c r="D344" s="31">
        <f t="shared" si="228"/>
        <v>-38.67</v>
      </c>
      <c r="E344" s="32">
        <f t="shared" si="228"/>
        <v>-38.67</v>
      </c>
      <c r="F344" s="32">
        <f t="shared" ref="F344:W344" si="231">+F340-F$337</f>
        <v>-38.67</v>
      </c>
      <c r="G344" s="32">
        <f t="shared" si="231"/>
        <v>-38.67</v>
      </c>
      <c r="H344" s="32">
        <f t="shared" si="231"/>
        <v>-38.67</v>
      </c>
      <c r="I344" s="32">
        <f t="shared" si="231"/>
        <v>-38.67</v>
      </c>
      <c r="J344" s="32">
        <f t="shared" si="231"/>
        <v>-38.67</v>
      </c>
      <c r="K344" s="32">
        <f t="shared" si="231"/>
        <v>-38.67</v>
      </c>
      <c r="L344" s="32">
        <f t="shared" si="231"/>
        <v>-38.67</v>
      </c>
      <c r="M344" s="32">
        <f t="shared" si="231"/>
        <v>-38.67</v>
      </c>
      <c r="N344" s="32">
        <f t="shared" si="231"/>
        <v>-37.67</v>
      </c>
      <c r="O344" s="32">
        <f t="shared" si="231"/>
        <v>-37.67</v>
      </c>
      <c r="P344" s="32">
        <f t="shared" si="231"/>
        <v>-37.67</v>
      </c>
      <c r="Q344" s="32">
        <f t="shared" si="231"/>
        <v>-37.67</v>
      </c>
      <c r="R344" s="32">
        <f t="shared" si="231"/>
        <v>-37.67</v>
      </c>
      <c r="S344" s="32">
        <f t="shared" si="231"/>
        <v>-37.67</v>
      </c>
      <c r="T344" s="32">
        <f t="shared" si="231"/>
        <v>-32.67</v>
      </c>
      <c r="U344" s="32">
        <f t="shared" si="231"/>
        <v>-32.67</v>
      </c>
      <c r="V344" s="32">
        <f t="shared" si="231"/>
        <v>-32.67</v>
      </c>
      <c r="W344" s="32">
        <f t="shared" si="231"/>
        <v>-37.67</v>
      </c>
    </row>
    <row r="345" spans="1:23" s="33" customFormat="1" x14ac:dyDescent="0.3">
      <c r="A345" s="405"/>
      <c r="B345" s="63" t="s">
        <v>201</v>
      </c>
      <c r="C345" s="64"/>
      <c r="D345" s="31">
        <f t="shared" si="228"/>
        <v>-36.67</v>
      </c>
      <c r="E345" s="32">
        <f t="shared" si="228"/>
        <v>-36.67</v>
      </c>
      <c r="F345" s="32">
        <f t="shared" ref="F345:W345" si="232">+F341-F$337</f>
        <v>-36.67</v>
      </c>
      <c r="G345" s="32">
        <f t="shared" si="232"/>
        <v>-36.67</v>
      </c>
      <c r="H345" s="32">
        <f t="shared" si="232"/>
        <v>-36.67</v>
      </c>
      <c r="I345" s="32">
        <f t="shared" si="232"/>
        <v>-36.67</v>
      </c>
      <c r="J345" s="32">
        <f t="shared" si="232"/>
        <v>-36.67</v>
      </c>
      <c r="K345" s="32">
        <f t="shared" si="232"/>
        <v>-36.67</v>
      </c>
      <c r="L345" s="32">
        <f t="shared" si="232"/>
        <v>-36.67</v>
      </c>
      <c r="M345" s="32">
        <f t="shared" si="232"/>
        <v>-36.67</v>
      </c>
      <c r="N345" s="32">
        <f t="shared" si="232"/>
        <v>-35.67</v>
      </c>
      <c r="O345" s="32">
        <f t="shared" si="232"/>
        <v>-35.67</v>
      </c>
      <c r="P345" s="32">
        <f t="shared" si="232"/>
        <v>-35.67</v>
      </c>
      <c r="Q345" s="32">
        <f t="shared" si="232"/>
        <v>-35.67</v>
      </c>
      <c r="R345" s="32">
        <f t="shared" si="232"/>
        <v>-35.67</v>
      </c>
      <c r="S345" s="32">
        <f t="shared" si="232"/>
        <v>-35.67</v>
      </c>
      <c r="T345" s="32">
        <f t="shared" si="232"/>
        <v>-30.67</v>
      </c>
      <c r="U345" s="32">
        <f t="shared" si="232"/>
        <v>-30.67</v>
      </c>
      <c r="V345" s="32">
        <f t="shared" si="232"/>
        <v>-30.67</v>
      </c>
      <c r="W345" s="32">
        <f t="shared" si="232"/>
        <v>-35.67</v>
      </c>
    </row>
    <row r="346" spans="1:23" x14ac:dyDescent="0.3">
      <c r="B346" s="97" t="s">
        <v>202</v>
      </c>
      <c r="C346" s="98"/>
      <c r="D346" s="99">
        <f t="shared" ref="D346:E349" si="233">+D342/D338</f>
        <v>-0.88413043478260878</v>
      </c>
      <c r="E346" s="99">
        <f t="shared" si="233"/>
        <v>-0.88413043478260878</v>
      </c>
      <c r="F346" s="99">
        <f t="shared" ref="F346:W346" si="234">+F342/F338</f>
        <v>-0.88413043478260878</v>
      </c>
      <c r="G346" s="99">
        <f t="shared" si="234"/>
        <v>-0.88413043478260878</v>
      </c>
      <c r="H346" s="99">
        <f t="shared" si="234"/>
        <v>-0.88413043478260878</v>
      </c>
      <c r="I346" s="99">
        <f t="shared" si="234"/>
        <v>-0.88413043478260878</v>
      </c>
      <c r="J346" s="99">
        <f t="shared" si="234"/>
        <v>-0.88413043478260878</v>
      </c>
      <c r="K346" s="99">
        <f t="shared" si="234"/>
        <v>-0.88413043478260878</v>
      </c>
      <c r="L346" s="99">
        <f t="shared" si="234"/>
        <v>-0.88413043478260878</v>
      </c>
      <c r="M346" s="99">
        <f t="shared" si="234"/>
        <v>-0.88413043478260878</v>
      </c>
      <c r="N346" s="99">
        <f t="shared" si="234"/>
        <v>-0.84404255319148935</v>
      </c>
      <c r="O346" s="99">
        <f t="shared" si="234"/>
        <v>-0.84404255319148935</v>
      </c>
      <c r="P346" s="99">
        <f t="shared" si="234"/>
        <v>-0.84404255319148935</v>
      </c>
      <c r="Q346" s="99">
        <f t="shared" si="234"/>
        <v>-0.84404255319148935</v>
      </c>
      <c r="R346" s="99">
        <f t="shared" si="234"/>
        <v>-0.84404255319148935</v>
      </c>
      <c r="S346" s="99">
        <f t="shared" si="234"/>
        <v>-0.84404255319148935</v>
      </c>
      <c r="T346" s="99">
        <f t="shared" si="234"/>
        <v>-0.66673076923076924</v>
      </c>
      <c r="U346" s="99">
        <f t="shared" si="234"/>
        <v>-0.66673076923076924</v>
      </c>
      <c r="V346" s="99">
        <f t="shared" si="234"/>
        <v>-0.66673076923076924</v>
      </c>
      <c r="W346" s="99">
        <f t="shared" si="234"/>
        <v>-0.84404255319148935</v>
      </c>
    </row>
    <row r="347" spans="1:23" s="36" customFormat="1" ht="20.25" customHeight="1" x14ac:dyDescent="0.3">
      <c r="A347" s="406"/>
      <c r="B347" s="97" t="s">
        <v>203</v>
      </c>
      <c r="C347" s="98"/>
      <c r="D347" s="99">
        <f t="shared" si="233"/>
        <v>-0.84404255319148935</v>
      </c>
      <c r="E347" s="99">
        <f t="shared" si="233"/>
        <v>-0.84404255319148935</v>
      </c>
      <c r="F347" s="99">
        <f t="shared" ref="F347:W347" si="235">+F343/F339</f>
        <v>-0.84404255319148935</v>
      </c>
      <c r="G347" s="99">
        <f t="shared" si="235"/>
        <v>-0.84404255319148935</v>
      </c>
      <c r="H347" s="99">
        <f t="shared" si="235"/>
        <v>-0.84404255319148935</v>
      </c>
      <c r="I347" s="99">
        <f t="shared" si="235"/>
        <v>-0.84404255319148935</v>
      </c>
      <c r="J347" s="99">
        <f t="shared" si="235"/>
        <v>-0.84404255319148935</v>
      </c>
      <c r="K347" s="99">
        <f t="shared" si="235"/>
        <v>-0.84404255319148935</v>
      </c>
      <c r="L347" s="99">
        <f t="shared" si="235"/>
        <v>-0.84404255319148935</v>
      </c>
      <c r="M347" s="99">
        <f t="shared" si="235"/>
        <v>-0.84404255319148935</v>
      </c>
      <c r="N347" s="99">
        <f t="shared" si="235"/>
        <v>-0.80562500000000004</v>
      </c>
      <c r="O347" s="99">
        <f t="shared" si="235"/>
        <v>-0.80562500000000004</v>
      </c>
      <c r="P347" s="99">
        <f t="shared" si="235"/>
        <v>-0.80562500000000004</v>
      </c>
      <c r="Q347" s="99">
        <f t="shared" si="235"/>
        <v>-0.80562500000000004</v>
      </c>
      <c r="R347" s="99">
        <f t="shared" si="235"/>
        <v>-0.80562500000000004</v>
      </c>
      <c r="S347" s="99">
        <f t="shared" si="235"/>
        <v>-0.80562500000000004</v>
      </c>
      <c r="T347" s="99">
        <f t="shared" si="235"/>
        <v>-0.6352830188679246</v>
      </c>
      <c r="U347" s="99">
        <f t="shared" si="235"/>
        <v>-0.6352830188679246</v>
      </c>
      <c r="V347" s="99">
        <f t="shared" si="235"/>
        <v>-0.6352830188679246</v>
      </c>
      <c r="W347" s="99">
        <f t="shared" si="235"/>
        <v>-0.80562500000000004</v>
      </c>
    </row>
    <row r="348" spans="1:23" s="36" customFormat="1" ht="20.25" customHeight="1" x14ac:dyDescent="0.3">
      <c r="A348" s="406"/>
      <c r="B348" s="97" t="s">
        <v>204</v>
      </c>
      <c r="C348" s="98"/>
      <c r="D348" s="99">
        <f t="shared" si="233"/>
        <v>-0.80562500000000004</v>
      </c>
      <c r="E348" s="99">
        <f t="shared" si="233"/>
        <v>-0.80562500000000004</v>
      </c>
      <c r="F348" s="99">
        <f t="shared" ref="F348:W348" si="236">+F344/F340</f>
        <v>-0.80562500000000004</v>
      </c>
      <c r="G348" s="99">
        <f t="shared" si="236"/>
        <v>-0.80562500000000004</v>
      </c>
      <c r="H348" s="99">
        <f t="shared" si="236"/>
        <v>-0.80562500000000004</v>
      </c>
      <c r="I348" s="99">
        <f t="shared" si="236"/>
        <v>-0.80562500000000004</v>
      </c>
      <c r="J348" s="99">
        <f t="shared" si="236"/>
        <v>-0.80562500000000004</v>
      </c>
      <c r="K348" s="99">
        <f t="shared" si="236"/>
        <v>-0.80562500000000004</v>
      </c>
      <c r="L348" s="99">
        <f t="shared" si="236"/>
        <v>-0.80562500000000004</v>
      </c>
      <c r="M348" s="99">
        <f t="shared" si="236"/>
        <v>-0.80562500000000004</v>
      </c>
      <c r="N348" s="99">
        <f t="shared" si="236"/>
        <v>-0.76877551020408164</v>
      </c>
      <c r="O348" s="99">
        <f t="shared" si="236"/>
        <v>-0.76877551020408164</v>
      </c>
      <c r="P348" s="99">
        <f t="shared" si="236"/>
        <v>-0.76877551020408164</v>
      </c>
      <c r="Q348" s="99">
        <f t="shared" si="236"/>
        <v>-0.76877551020408164</v>
      </c>
      <c r="R348" s="99">
        <f t="shared" si="236"/>
        <v>-0.76877551020408164</v>
      </c>
      <c r="S348" s="99">
        <f t="shared" si="236"/>
        <v>-0.76877551020408164</v>
      </c>
      <c r="T348" s="99">
        <f t="shared" si="236"/>
        <v>-0.60499999999999998</v>
      </c>
      <c r="U348" s="99">
        <f t="shared" si="236"/>
        <v>-0.60499999999999998</v>
      </c>
      <c r="V348" s="99">
        <f t="shared" si="236"/>
        <v>-0.60499999999999998</v>
      </c>
      <c r="W348" s="99">
        <f t="shared" si="236"/>
        <v>-0.76877551020408164</v>
      </c>
    </row>
    <row r="349" spans="1:23" s="36" customFormat="1" ht="20.25" customHeight="1" x14ac:dyDescent="0.3">
      <c r="A349" s="406"/>
      <c r="B349" s="97" t="s">
        <v>205</v>
      </c>
      <c r="C349" s="98"/>
      <c r="D349" s="99">
        <f t="shared" si="233"/>
        <v>-0.73340000000000005</v>
      </c>
      <c r="E349" s="99">
        <f t="shared" si="233"/>
        <v>-0.73340000000000005</v>
      </c>
      <c r="F349" s="99">
        <f t="shared" ref="F349:W349" si="237">+F345/F341</f>
        <v>-0.73340000000000005</v>
      </c>
      <c r="G349" s="99">
        <f t="shared" si="237"/>
        <v>-0.73340000000000005</v>
      </c>
      <c r="H349" s="99">
        <f t="shared" si="237"/>
        <v>-0.73340000000000005</v>
      </c>
      <c r="I349" s="99">
        <f t="shared" si="237"/>
        <v>-0.73340000000000005</v>
      </c>
      <c r="J349" s="99">
        <f t="shared" si="237"/>
        <v>-0.73340000000000005</v>
      </c>
      <c r="K349" s="99">
        <f t="shared" si="237"/>
        <v>-0.73340000000000005</v>
      </c>
      <c r="L349" s="99">
        <f t="shared" si="237"/>
        <v>-0.73340000000000005</v>
      </c>
      <c r="M349" s="99">
        <f t="shared" si="237"/>
        <v>-0.73340000000000005</v>
      </c>
      <c r="N349" s="99">
        <f t="shared" si="237"/>
        <v>-0.6994117647058824</v>
      </c>
      <c r="O349" s="99">
        <f t="shared" si="237"/>
        <v>-0.6994117647058824</v>
      </c>
      <c r="P349" s="99">
        <f t="shared" si="237"/>
        <v>-0.6994117647058824</v>
      </c>
      <c r="Q349" s="99">
        <f t="shared" si="237"/>
        <v>-0.6994117647058824</v>
      </c>
      <c r="R349" s="99">
        <f t="shared" si="237"/>
        <v>-0.6994117647058824</v>
      </c>
      <c r="S349" s="99">
        <f t="shared" si="237"/>
        <v>-0.6994117647058824</v>
      </c>
      <c r="T349" s="99">
        <f t="shared" si="237"/>
        <v>-0.54767857142857146</v>
      </c>
      <c r="U349" s="99">
        <f t="shared" si="237"/>
        <v>-0.54767857142857146</v>
      </c>
      <c r="V349" s="99">
        <f t="shared" si="237"/>
        <v>-0.54767857142857146</v>
      </c>
      <c r="W349" s="99">
        <f t="shared" si="237"/>
        <v>-0.6994117647058824</v>
      </c>
    </row>
    <row r="350" spans="1:23" ht="21" thickBot="1" x14ac:dyDescent="0.35"/>
    <row r="351" spans="1:23" s="19" customFormat="1" ht="24" thickBot="1" x14ac:dyDescent="0.4">
      <c r="A351" s="19" t="s">
        <v>285</v>
      </c>
      <c r="B351" s="362" t="s">
        <v>208</v>
      </c>
      <c r="C351" s="68"/>
      <c r="D351" s="17" t="s">
        <v>5</v>
      </c>
      <c r="E351" s="18" t="s">
        <v>6</v>
      </c>
      <c r="F351" s="18" t="s">
        <v>7</v>
      </c>
      <c r="G351" s="18" t="s">
        <v>8</v>
      </c>
      <c r="H351" s="18" t="s">
        <v>9</v>
      </c>
      <c r="I351" s="18" t="s">
        <v>10</v>
      </c>
      <c r="J351" s="18" t="s">
        <v>11</v>
      </c>
      <c r="K351" s="18" t="s">
        <v>12</v>
      </c>
      <c r="L351" s="18" t="s">
        <v>13</v>
      </c>
      <c r="M351" s="18" t="s">
        <v>14</v>
      </c>
      <c r="N351" s="18" t="s">
        <v>15</v>
      </c>
      <c r="O351" s="18" t="s">
        <v>16</v>
      </c>
      <c r="P351" s="18" t="s">
        <v>17</v>
      </c>
      <c r="Q351" s="18" t="s">
        <v>18</v>
      </c>
      <c r="R351" s="18" t="s">
        <v>19</v>
      </c>
      <c r="S351" s="18" t="s">
        <v>20</v>
      </c>
      <c r="T351" s="18" t="s">
        <v>21</v>
      </c>
      <c r="U351" s="18" t="s">
        <v>22</v>
      </c>
      <c r="V351" s="18" t="s">
        <v>23</v>
      </c>
      <c r="W351" s="18" t="s">
        <v>166</v>
      </c>
    </row>
    <row r="352" spans="1:23" x14ac:dyDescent="0.3">
      <c r="B352" s="54" t="s">
        <v>50</v>
      </c>
      <c r="C352" s="55"/>
      <c r="D352" s="20">
        <v>50</v>
      </c>
      <c r="E352" s="20">
        <v>50</v>
      </c>
      <c r="F352" s="20">
        <v>50</v>
      </c>
      <c r="G352" s="20">
        <v>50</v>
      </c>
      <c r="H352" s="20">
        <v>50</v>
      </c>
      <c r="I352" s="20">
        <v>50</v>
      </c>
      <c r="J352" s="20">
        <v>50</v>
      </c>
      <c r="K352" s="20">
        <v>50</v>
      </c>
      <c r="L352" s="20">
        <v>50</v>
      </c>
      <c r="M352" s="20">
        <v>50</v>
      </c>
      <c r="N352" s="20">
        <v>50</v>
      </c>
      <c r="O352" s="20">
        <v>50</v>
      </c>
      <c r="P352" s="20">
        <v>50</v>
      </c>
      <c r="Q352" s="20">
        <v>50</v>
      </c>
      <c r="R352" s="20">
        <v>50</v>
      </c>
      <c r="S352" s="20">
        <v>50</v>
      </c>
      <c r="T352" s="20">
        <v>50</v>
      </c>
      <c r="U352" s="20">
        <v>50</v>
      </c>
      <c r="V352" s="20">
        <v>50</v>
      </c>
      <c r="W352" s="20">
        <v>50</v>
      </c>
    </row>
    <row r="353" spans="1:23" ht="23" x14ac:dyDescent="0.35">
      <c r="B353" s="340" t="s">
        <v>51</v>
      </c>
      <c r="C353" s="341"/>
      <c r="D353" s="342"/>
      <c r="E353" s="342"/>
      <c r="F353" s="342"/>
      <c r="G353" s="342"/>
      <c r="H353" s="342"/>
      <c r="I353" s="343"/>
      <c r="J353" s="343"/>
      <c r="K353" s="343"/>
      <c r="L353" s="343"/>
      <c r="M353" s="343"/>
      <c r="N353" s="342"/>
      <c r="O353" s="342"/>
      <c r="P353" s="342"/>
      <c r="Q353" s="342"/>
      <c r="R353" s="343"/>
      <c r="S353" s="343"/>
      <c r="T353" s="365"/>
      <c r="U353" s="365"/>
      <c r="V353" s="365"/>
      <c r="W353" s="343"/>
    </row>
    <row r="354" spans="1:23" x14ac:dyDescent="0.3">
      <c r="B354" s="54"/>
      <c r="C354" s="55"/>
      <c r="D354" s="20">
        <f t="shared" ref="D354:V354" si="238">D352*(1-D353)</f>
        <v>50</v>
      </c>
      <c r="E354" s="20">
        <f t="shared" si="238"/>
        <v>50</v>
      </c>
      <c r="F354" s="20">
        <f t="shared" si="238"/>
        <v>50</v>
      </c>
      <c r="G354" s="20">
        <f t="shared" si="238"/>
        <v>50</v>
      </c>
      <c r="H354" s="20">
        <f t="shared" si="238"/>
        <v>50</v>
      </c>
      <c r="I354" s="20">
        <f t="shared" si="238"/>
        <v>50</v>
      </c>
      <c r="J354" s="20">
        <f t="shared" si="238"/>
        <v>50</v>
      </c>
      <c r="K354" s="20">
        <f t="shared" si="238"/>
        <v>50</v>
      </c>
      <c r="L354" s="20">
        <f t="shared" si="238"/>
        <v>50</v>
      </c>
      <c r="M354" s="20">
        <f t="shared" si="238"/>
        <v>50</v>
      </c>
      <c r="N354" s="20">
        <f t="shared" si="238"/>
        <v>50</v>
      </c>
      <c r="O354" s="20">
        <f t="shared" si="238"/>
        <v>50</v>
      </c>
      <c r="P354" s="20">
        <f t="shared" si="238"/>
        <v>50</v>
      </c>
      <c r="Q354" s="20">
        <f t="shared" si="238"/>
        <v>50</v>
      </c>
      <c r="R354" s="20">
        <f t="shared" si="238"/>
        <v>50</v>
      </c>
      <c r="S354" s="20">
        <f t="shared" si="238"/>
        <v>50</v>
      </c>
      <c r="T354" s="20">
        <f t="shared" si="238"/>
        <v>50</v>
      </c>
      <c r="U354" s="20">
        <f t="shared" si="238"/>
        <v>50</v>
      </c>
      <c r="V354" s="20">
        <f t="shared" si="238"/>
        <v>50</v>
      </c>
      <c r="W354" s="20">
        <f>W352*(1-W353)</f>
        <v>50</v>
      </c>
    </row>
    <row r="355" spans="1:23" x14ac:dyDescent="0.3">
      <c r="B355" s="54" t="s">
        <v>51</v>
      </c>
      <c r="C355" s="56">
        <v>0</v>
      </c>
      <c r="D355" s="20">
        <f t="shared" ref="D355:W355" si="239">D354*$C355</f>
        <v>0</v>
      </c>
      <c r="E355" s="20">
        <f t="shared" si="239"/>
        <v>0</v>
      </c>
      <c r="F355" s="20">
        <f t="shared" si="239"/>
        <v>0</v>
      </c>
      <c r="G355" s="20">
        <f t="shared" si="239"/>
        <v>0</v>
      </c>
      <c r="H355" s="20">
        <f t="shared" si="239"/>
        <v>0</v>
      </c>
      <c r="I355" s="20">
        <f t="shared" si="239"/>
        <v>0</v>
      </c>
      <c r="J355" s="20">
        <f t="shared" si="239"/>
        <v>0</v>
      </c>
      <c r="K355" s="20">
        <f t="shared" si="239"/>
        <v>0</v>
      </c>
      <c r="L355" s="20">
        <f t="shared" si="239"/>
        <v>0</v>
      </c>
      <c r="M355" s="20">
        <f t="shared" si="239"/>
        <v>0</v>
      </c>
      <c r="N355" s="20">
        <f t="shared" si="239"/>
        <v>0</v>
      </c>
      <c r="O355" s="20">
        <f t="shared" si="239"/>
        <v>0</v>
      </c>
      <c r="P355" s="20">
        <f t="shared" si="239"/>
        <v>0</v>
      </c>
      <c r="Q355" s="20">
        <f t="shared" si="239"/>
        <v>0</v>
      </c>
      <c r="R355" s="20">
        <f t="shared" si="239"/>
        <v>0</v>
      </c>
      <c r="S355" s="20">
        <f t="shared" si="239"/>
        <v>0</v>
      </c>
      <c r="T355" s="20">
        <f t="shared" si="239"/>
        <v>0</v>
      </c>
      <c r="U355" s="20">
        <f t="shared" si="239"/>
        <v>0</v>
      </c>
      <c r="V355" s="20">
        <f t="shared" si="239"/>
        <v>0</v>
      </c>
      <c r="W355" s="20">
        <f t="shared" si="239"/>
        <v>0</v>
      </c>
    </row>
    <row r="356" spans="1:23" x14ac:dyDescent="0.3">
      <c r="B356" s="54" t="s">
        <v>67</v>
      </c>
      <c r="C356" s="55"/>
      <c r="D356" s="20">
        <f t="shared" ref="D356:W356" si="240">D354-D355</f>
        <v>50</v>
      </c>
      <c r="E356" s="20">
        <f t="shared" si="240"/>
        <v>50</v>
      </c>
      <c r="F356" s="20">
        <f t="shared" si="240"/>
        <v>50</v>
      </c>
      <c r="G356" s="20">
        <f t="shared" si="240"/>
        <v>50</v>
      </c>
      <c r="H356" s="20">
        <f t="shared" si="240"/>
        <v>50</v>
      </c>
      <c r="I356" s="20">
        <f t="shared" si="240"/>
        <v>50</v>
      </c>
      <c r="J356" s="20">
        <f t="shared" si="240"/>
        <v>50</v>
      </c>
      <c r="K356" s="20">
        <f t="shared" si="240"/>
        <v>50</v>
      </c>
      <c r="L356" s="20">
        <f t="shared" si="240"/>
        <v>50</v>
      </c>
      <c r="M356" s="20">
        <f t="shared" si="240"/>
        <v>50</v>
      </c>
      <c r="N356" s="20">
        <f t="shared" si="240"/>
        <v>50</v>
      </c>
      <c r="O356" s="20">
        <f t="shared" si="240"/>
        <v>50</v>
      </c>
      <c r="P356" s="20">
        <f t="shared" si="240"/>
        <v>50</v>
      </c>
      <c r="Q356" s="20">
        <f t="shared" si="240"/>
        <v>50</v>
      </c>
      <c r="R356" s="20">
        <f t="shared" si="240"/>
        <v>50</v>
      </c>
      <c r="S356" s="20">
        <f t="shared" si="240"/>
        <v>50</v>
      </c>
      <c r="T356" s="20">
        <f t="shared" si="240"/>
        <v>50</v>
      </c>
      <c r="U356" s="20">
        <f t="shared" si="240"/>
        <v>50</v>
      </c>
      <c r="V356" s="20">
        <f t="shared" si="240"/>
        <v>50</v>
      </c>
      <c r="W356" s="20">
        <f t="shared" si="240"/>
        <v>50</v>
      </c>
    </row>
    <row r="357" spans="1:23" x14ac:dyDescent="0.3">
      <c r="B357" s="54" t="s">
        <v>66</v>
      </c>
      <c r="C357" s="56">
        <v>7.0000000000000007E-2</v>
      </c>
      <c r="D357" s="20">
        <f t="shared" ref="D357:W357" si="241">D356*$C357</f>
        <v>3.5000000000000004</v>
      </c>
      <c r="E357" s="20">
        <f t="shared" si="241"/>
        <v>3.5000000000000004</v>
      </c>
      <c r="F357" s="20">
        <f t="shared" si="241"/>
        <v>3.5000000000000004</v>
      </c>
      <c r="G357" s="20">
        <f t="shared" si="241"/>
        <v>3.5000000000000004</v>
      </c>
      <c r="H357" s="20">
        <f t="shared" si="241"/>
        <v>3.5000000000000004</v>
      </c>
      <c r="I357" s="20">
        <f t="shared" si="241"/>
        <v>3.5000000000000004</v>
      </c>
      <c r="J357" s="20">
        <f t="shared" si="241"/>
        <v>3.5000000000000004</v>
      </c>
      <c r="K357" s="20">
        <f t="shared" si="241"/>
        <v>3.5000000000000004</v>
      </c>
      <c r="L357" s="20">
        <f t="shared" si="241"/>
        <v>3.5000000000000004</v>
      </c>
      <c r="M357" s="20">
        <f t="shared" si="241"/>
        <v>3.5000000000000004</v>
      </c>
      <c r="N357" s="20">
        <f t="shared" si="241"/>
        <v>3.5000000000000004</v>
      </c>
      <c r="O357" s="20">
        <f t="shared" si="241"/>
        <v>3.5000000000000004</v>
      </c>
      <c r="P357" s="20">
        <f t="shared" si="241"/>
        <v>3.5000000000000004</v>
      </c>
      <c r="Q357" s="20">
        <f t="shared" si="241"/>
        <v>3.5000000000000004</v>
      </c>
      <c r="R357" s="20">
        <f t="shared" si="241"/>
        <v>3.5000000000000004</v>
      </c>
      <c r="S357" s="20">
        <f t="shared" si="241"/>
        <v>3.5000000000000004</v>
      </c>
      <c r="T357" s="20">
        <f t="shared" si="241"/>
        <v>3.5000000000000004</v>
      </c>
      <c r="U357" s="20">
        <f t="shared" si="241"/>
        <v>3.5000000000000004</v>
      </c>
      <c r="V357" s="20">
        <f t="shared" si="241"/>
        <v>3.5000000000000004</v>
      </c>
      <c r="W357" s="20">
        <f t="shared" si="241"/>
        <v>3.5000000000000004</v>
      </c>
    </row>
    <row r="358" spans="1:23" x14ac:dyDescent="0.3">
      <c r="B358" s="54" t="s">
        <v>68</v>
      </c>
      <c r="C358" s="55"/>
      <c r="D358" s="20">
        <f>D356+D357</f>
        <v>53.5</v>
      </c>
      <c r="E358" s="20">
        <f t="shared" ref="E358:V358" si="242">E356+E357</f>
        <v>53.5</v>
      </c>
      <c r="F358" s="20">
        <f t="shared" si="242"/>
        <v>53.5</v>
      </c>
      <c r="G358" s="20">
        <f t="shared" si="242"/>
        <v>53.5</v>
      </c>
      <c r="H358" s="20">
        <f t="shared" si="242"/>
        <v>53.5</v>
      </c>
      <c r="I358" s="20">
        <f t="shared" si="242"/>
        <v>53.5</v>
      </c>
      <c r="J358" s="20">
        <f t="shared" si="242"/>
        <v>53.5</v>
      </c>
      <c r="K358" s="20">
        <f t="shared" si="242"/>
        <v>53.5</v>
      </c>
      <c r="L358" s="20">
        <f t="shared" si="242"/>
        <v>53.5</v>
      </c>
      <c r="M358" s="20">
        <f t="shared" si="242"/>
        <v>53.5</v>
      </c>
      <c r="N358" s="20">
        <f t="shared" si="242"/>
        <v>53.5</v>
      </c>
      <c r="O358" s="20">
        <f t="shared" si="242"/>
        <v>53.5</v>
      </c>
      <c r="P358" s="20">
        <f t="shared" si="242"/>
        <v>53.5</v>
      </c>
      <c r="Q358" s="20">
        <f t="shared" si="242"/>
        <v>53.5</v>
      </c>
      <c r="R358" s="20">
        <f t="shared" si="242"/>
        <v>53.5</v>
      </c>
      <c r="S358" s="20">
        <f t="shared" si="242"/>
        <v>53.5</v>
      </c>
      <c r="T358" s="20">
        <f t="shared" si="242"/>
        <v>53.5</v>
      </c>
      <c r="U358" s="20">
        <f t="shared" si="242"/>
        <v>53.5</v>
      </c>
      <c r="V358" s="20">
        <f t="shared" si="242"/>
        <v>53.5</v>
      </c>
      <c r="W358" s="20">
        <f>W356+W357</f>
        <v>53.5</v>
      </c>
    </row>
    <row r="359" spans="1:23" ht="23" x14ac:dyDescent="0.35">
      <c r="B359" s="357" t="s">
        <v>52</v>
      </c>
      <c r="C359" s="358"/>
      <c r="D359" s="381"/>
      <c r="E359" s="381"/>
      <c r="F359" s="381"/>
      <c r="G359" s="381"/>
      <c r="H359" s="381"/>
      <c r="I359" s="381"/>
      <c r="J359" s="381"/>
      <c r="K359" s="381"/>
      <c r="L359" s="381"/>
      <c r="M359" s="381"/>
      <c r="N359" s="381"/>
      <c r="O359" s="381"/>
      <c r="P359" s="381"/>
      <c r="Q359" s="381"/>
      <c r="R359" s="381"/>
      <c r="S359" s="381"/>
      <c r="T359" s="381"/>
      <c r="U359" s="381"/>
      <c r="V359" s="381"/>
      <c r="W359" s="381"/>
    </row>
    <row r="360" spans="1:23" x14ac:dyDescent="0.3">
      <c r="B360" s="57" t="s">
        <v>53</v>
      </c>
      <c r="C360" s="58"/>
      <c r="D360" s="25">
        <f>SUM(D358:D359)</f>
        <v>53.5</v>
      </c>
      <c r="E360" s="26">
        <f t="shared" ref="E360:V360" si="243">SUM(E358:E359)</f>
        <v>53.5</v>
      </c>
      <c r="F360" s="26">
        <f t="shared" si="243"/>
        <v>53.5</v>
      </c>
      <c r="G360" s="26">
        <f t="shared" si="243"/>
        <v>53.5</v>
      </c>
      <c r="H360" s="26">
        <f t="shared" si="243"/>
        <v>53.5</v>
      </c>
      <c r="I360" s="26">
        <f t="shared" si="243"/>
        <v>53.5</v>
      </c>
      <c r="J360" s="26">
        <f t="shared" si="243"/>
        <v>53.5</v>
      </c>
      <c r="K360" s="26">
        <f t="shared" si="243"/>
        <v>53.5</v>
      </c>
      <c r="L360" s="26">
        <f t="shared" si="243"/>
        <v>53.5</v>
      </c>
      <c r="M360" s="26">
        <f t="shared" si="243"/>
        <v>53.5</v>
      </c>
      <c r="N360" s="26">
        <f t="shared" si="243"/>
        <v>53.5</v>
      </c>
      <c r="O360" s="26">
        <f t="shared" si="243"/>
        <v>53.5</v>
      </c>
      <c r="P360" s="26">
        <f t="shared" si="243"/>
        <v>53.5</v>
      </c>
      <c r="Q360" s="26">
        <f t="shared" si="243"/>
        <v>53.5</v>
      </c>
      <c r="R360" s="26">
        <f t="shared" si="243"/>
        <v>53.5</v>
      </c>
      <c r="S360" s="26">
        <f t="shared" si="243"/>
        <v>53.5</v>
      </c>
      <c r="T360" s="26">
        <f t="shared" si="243"/>
        <v>53.5</v>
      </c>
      <c r="U360" s="26">
        <f t="shared" si="243"/>
        <v>53.5</v>
      </c>
      <c r="V360" s="26">
        <f t="shared" si="243"/>
        <v>53.5</v>
      </c>
      <c r="W360" s="26">
        <f>SUM(W358:W359)</f>
        <v>53.5</v>
      </c>
    </row>
    <row r="361" spans="1:23" ht="23" x14ac:dyDescent="0.35">
      <c r="B361" s="336" t="s">
        <v>54</v>
      </c>
      <c r="C361" s="337"/>
      <c r="D361" s="338"/>
      <c r="E361" s="338"/>
      <c r="F361" s="338"/>
      <c r="G361" s="338"/>
      <c r="H361" s="338"/>
      <c r="I361" s="338"/>
      <c r="J361" s="338"/>
      <c r="K361" s="338"/>
      <c r="L361" s="338"/>
      <c r="M361" s="338"/>
      <c r="N361" s="338"/>
      <c r="O361" s="338"/>
      <c r="P361" s="338"/>
      <c r="Q361" s="338"/>
      <c r="R361" s="338"/>
      <c r="S361" s="338"/>
      <c r="T361" s="338"/>
      <c r="U361" s="338"/>
      <c r="V361" s="338"/>
      <c r="W361" s="338"/>
    </row>
    <row r="362" spans="1:23" ht="23" x14ac:dyDescent="0.35">
      <c r="B362" s="353" t="s">
        <v>55</v>
      </c>
      <c r="C362" s="354"/>
      <c r="D362" s="355">
        <f>D360</f>
        <v>53.5</v>
      </c>
      <c r="E362" s="356">
        <f t="shared" ref="E362:W362" si="244">E360</f>
        <v>53.5</v>
      </c>
      <c r="F362" s="356">
        <f t="shared" si="244"/>
        <v>53.5</v>
      </c>
      <c r="G362" s="356">
        <f t="shared" si="244"/>
        <v>53.5</v>
      </c>
      <c r="H362" s="356">
        <f t="shared" si="244"/>
        <v>53.5</v>
      </c>
      <c r="I362" s="356">
        <f t="shared" si="244"/>
        <v>53.5</v>
      </c>
      <c r="J362" s="356">
        <f t="shared" si="244"/>
        <v>53.5</v>
      </c>
      <c r="K362" s="356">
        <f t="shared" si="244"/>
        <v>53.5</v>
      </c>
      <c r="L362" s="356">
        <f t="shared" si="244"/>
        <v>53.5</v>
      </c>
      <c r="M362" s="356">
        <f t="shared" si="244"/>
        <v>53.5</v>
      </c>
      <c r="N362" s="356">
        <f t="shared" si="244"/>
        <v>53.5</v>
      </c>
      <c r="O362" s="356">
        <f t="shared" si="244"/>
        <v>53.5</v>
      </c>
      <c r="P362" s="356">
        <f t="shared" si="244"/>
        <v>53.5</v>
      </c>
      <c r="Q362" s="356">
        <f t="shared" si="244"/>
        <v>53.5</v>
      </c>
      <c r="R362" s="356">
        <f t="shared" si="244"/>
        <v>53.5</v>
      </c>
      <c r="S362" s="356">
        <f t="shared" si="244"/>
        <v>53.5</v>
      </c>
      <c r="T362" s="356">
        <f t="shared" si="244"/>
        <v>53.5</v>
      </c>
      <c r="U362" s="356">
        <f t="shared" si="244"/>
        <v>53.5</v>
      </c>
      <c r="V362" s="356">
        <f t="shared" si="244"/>
        <v>53.5</v>
      </c>
      <c r="W362" s="356">
        <f t="shared" si="244"/>
        <v>53.5</v>
      </c>
    </row>
    <row r="363" spans="1:23" x14ac:dyDescent="0.3">
      <c r="B363" s="171" t="s">
        <v>194</v>
      </c>
      <c r="C363" s="55"/>
      <c r="D363" s="20">
        <v>28</v>
      </c>
      <c r="E363" s="21">
        <v>28</v>
      </c>
      <c r="F363" s="21">
        <v>28</v>
      </c>
      <c r="G363" s="21">
        <v>28</v>
      </c>
      <c r="H363" s="21">
        <v>28</v>
      </c>
      <c r="I363" s="21">
        <v>28</v>
      </c>
      <c r="J363" s="21">
        <v>28</v>
      </c>
      <c r="K363" s="21">
        <v>28</v>
      </c>
      <c r="L363" s="21">
        <v>28</v>
      </c>
      <c r="M363" s="21">
        <v>28</v>
      </c>
      <c r="N363" s="21">
        <v>28</v>
      </c>
      <c r="O363" s="21">
        <v>28</v>
      </c>
      <c r="P363" s="21">
        <v>28</v>
      </c>
      <c r="Q363" s="21">
        <v>28</v>
      </c>
      <c r="R363" s="21">
        <v>28</v>
      </c>
      <c r="S363" s="21">
        <v>28</v>
      </c>
      <c r="T363" s="21">
        <v>31</v>
      </c>
      <c r="U363" s="21">
        <v>32</v>
      </c>
      <c r="V363" s="21">
        <v>31</v>
      </c>
      <c r="W363" s="21">
        <v>28</v>
      </c>
    </row>
    <row r="364" spans="1:23" s="51" customFormat="1" x14ac:dyDescent="0.3">
      <c r="A364" s="407"/>
      <c r="B364" s="61" t="s">
        <v>195</v>
      </c>
      <c r="C364" s="62"/>
      <c r="D364" s="28">
        <v>29</v>
      </c>
      <c r="E364" s="28">
        <v>29</v>
      </c>
      <c r="F364" s="28">
        <v>29</v>
      </c>
      <c r="G364" s="28">
        <v>29</v>
      </c>
      <c r="H364" s="28">
        <v>29</v>
      </c>
      <c r="I364" s="28">
        <v>29</v>
      </c>
      <c r="J364" s="28">
        <v>29</v>
      </c>
      <c r="K364" s="28">
        <v>29</v>
      </c>
      <c r="L364" s="28">
        <v>29</v>
      </c>
      <c r="M364" s="28">
        <v>29</v>
      </c>
      <c r="N364" s="28">
        <v>29</v>
      </c>
      <c r="O364" s="28">
        <v>29</v>
      </c>
      <c r="P364" s="28">
        <v>29</v>
      </c>
      <c r="Q364" s="28">
        <v>29</v>
      </c>
      <c r="R364" s="28">
        <v>29</v>
      </c>
      <c r="S364" s="28">
        <v>29</v>
      </c>
      <c r="T364" s="28">
        <v>32</v>
      </c>
      <c r="U364" s="28">
        <v>33</v>
      </c>
      <c r="V364" s="28">
        <v>32</v>
      </c>
      <c r="W364" s="28">
        <v>29</v>
      </c>
    </row>
    <row r="365" spans="1:23" s="51" customFormat="1" x14ac:dyDescent="0.3">
      <c r="A365" s="407"/>
      <c r="B365" s="61" t="s">
        <v>196</v>
      </c>
      <c r="C365" s="62"/>
      <c r="D365" s="28">
        <v>31</v>
      </c>
      <c r="E365" s="28">
        <v>31</v>
      </c>
      <c r="F365" s="28">
        <v>31</v>
      </c>
      <c r="G365" s="28">
        <v>31</v>
      </c>
      <c r="H365" s="28">
        <v>31</v>
      </c>
      <c r="I365" s="28">
        <v>31</v>
      </c>
      <c r="J365" s="28">
        <v>31</v>
      </c>
      <c r="K365" s="28">
        <v>31</v>
      </c>
      <c r="L365" s="28">
        <v>31</v>
      </c>
      <c r="M365" s="28">
        <v>31</v>
      </c>
      <c r="N365" s="28">
        <v>31</v>
      </c>
      <c r="O365" s="28">
        <v>31</v>
      </c>
      <c r="P365" s="28">
        <v>31</v>
      </c>
      <c r="Q365" s="28">
        <v>31</v>
      </c>
      <c r="R365" s="28">
        <v>31</v>
      </c>
      <c r="S365" s="28">
        <v>31</v>
      </c>
      <c r="T365" s="28">
        <v>34</v>
      </c>
      <c r="U365" s="28">
        <v>35</v>
      </c>
      <c r="V365" s="28">
        <v>34</v>
      </c>
      <c r="W365" s="28">
        <v>31</v>
      </c>
    </row>
    <row r="366" spans="1:23" s="51" customFormat="1" x14ac:dyDescent="0.3">
      <c r="A366" s="407"/>
      <c r="B366" s="61" t="s">
        <v>197</v>
      </c>
      <c r="C366" s="62"/>
      <c r="D366" s="96">
        <v>32</v>
      </c>
      <c r="E366" s="96">
        <v>32</v>
      </c>
      <c r="F366" s="96">
        <v>32</v>
      </c>
      <c r="G366" s="96">
        <v>32</v>
      </c>
      <c r="H366" s="96">
        <v>32</v>
      </c>
      <c r="I366" s="96">
        <v>32</v>
      </c>
      <c r="J366" s="96">
        <v>32</v>
      </c>
      <c r="K366" s="96">
        <v>32</v>
      </c>
      <c r="L366" s="96">
        <v>32</v>
      </c>
      <c r="M366" s="96">
        <v>32</v>
      </c>
      <c r="N366" s="96">
        <v>32</v>
      </c>
      <c r="O366" s="96">
        <v>32</v>
      </c>
      <c r="P366" s="96">
        <v>32</v>
      </c>
      <c r="Q366" s="96">
        <v>32</v>
      </c>
      <c r="R366" s="96">
        <v>32</v>
      </c>
      <c r="S366" s="96">
        <v>32</v>
      </c>
      <c r="T366" s="96">
        <v>35</v>
      </c>
      <c r="U366" s="96">
        <v>36</v>
      </c>
      <c r="V366" s="96">
        <v>35</v>
      </c>
      <c r="W366" s="96">
        <v>32</v>
      </c>
    </row>
    <row r="367" spans="1:23" s="30" customFormat="1" x14ac:dyDescent="0.3">
      <c r="A367" s="404"/>
      <c r="B367" s="63" t="s">
        <v>198</v>
      </c>
      <c r="C367" s="62"/>
      <c r="D367" s="31">
        <f t="shared" ref="D367:E370" si="245">+D363-D$362</f>
        <v>-25.5</v>
      </c>
      <c r="E367" s="31">
        <f t="shared" si="245"/>
        <v>-25.5</v>
      </c>
      <c r="F367" s="31">
        <f t="shared" ref="F367:W367" si="246">+F363-F$362</f>
        <v>-25.5</v>
      </c>
      <c r="G367" s="31">
        <f t="shared" si="246"/>
        <v>-25.5</v>
      </c>
      <c r="H367" s="31">
        <f t="shared" si="246"/>
        <v>-25.5</v>
      </c>
      <c r="I367" s="31">
        <f t="shared" si="246"/>
        <v>-25.5</v>
      </c>
      <c r="J367" s="31">
        <f t="shared" si="246"/>
        <v>-25.5</v>
      </c>
      <c r="K367" s="31">
        <f t="shared" si="246"/>
        <v>-25.5</v>
      </c>
      <c r="L367" s="31">
        <f t="shared" si="246"/>
        <v>-25.5</v>
      </c>
      <c r="M367" s="31">
        <f t="shared" si="246"/>
        <v>-25.5</v>
      </c>
      <c r="N367" s="31">
        <f t="shared" si="246"/>
        <v>-25.5</v>
      </c>
      <c r="O367" s="31">
        <f t="shared" si="246"/>
        <v>-25.5</v>
      </c>
      <c r="P367" s="31">
        <f t="shared" si="246"/>
        <v>-25.5</v>
      </c>
      <c r="Q367" s="31">
        <f t="shared" si="246"/>
        <v>-25.5</v>
      </c>
      <c r="R367" s="31">
        <f t="shared" si="246"/>
        <v>-25.5</v>
      </c>
      <c r="S367" s="31">
        <f t="shared" si="246"/>
        <v>-25.5</v>
      </c>
      <c r="T367" s="31">
        <f t="shared" si="246"/>
        <v>-22.5</v>
      </c>
      <c r="U367" s="31">
        <f t="shared" si="246"/>
        <v>-21.5</v>
      </c>
      <c r="V367" s="31">
        <f t="shared" si="246"/>
        <v>-22.5</v>
      </c>
      <c r="W367" s="31">
        <f t="shared" si="246"/>
        <v>-25.5</v>
      </c>
    </row>
    <row r="368" spans="1:23" s="33" customFormat="1" x14ac:dyDescent="0.3">
      <c r="A368" s="405"/>
      <c r="B368" s="63" t="s">
        <v>199</v>
      </c>
      <c r="C368" s="64"/>
      <c r="D368" s="31">
        <f t="shared" si="245"/>
        <v>-24.5</v>
      </c>
      <c r="E368" s="32">
        <f t="shared" si="245"/>
        <v>-24.5</v>
      </c>
      <c r="F368" s="32">
        <f t="shared" ref="F368:W368" si="247">+F364-F$362</f>
        <v>-24.5</v>
      </c>
      <c r="G368" s="32">
        <f t="shared" si="247"/>
        <v>-24.5</v>
      </c>
      <c r="H368" s="32">
        <f t="shared" si="247"/>
        <v>-24.5</v>
      </c>
      <c r="I368" s="32">
        <f t="shared" si="247"/>
        <v>-24.5</v>
      </c>
      <c r="J368" s="32">
        <f t="shared" si="247"/>
        <v>-24.5</v>
      </c>
      <c r="K368" s="32">
        <f t="shared" si="247"/>
        <v>-24.5</v>
      </c>
      <c r="L368" s="32">
        <f t="shared" si="247"/>
        <v>-24.5</v>
      </c>
      <c r="M368" s="32">
        <f t="shared" si="247"/>
        <v>-24.5</v>
      </c>
      <c r="N368" s="32">
        <f t="shared" si="247"/>
        <v>-24.5</v>
      </c>
      <c r="O368" s="32">
        <f t="shared" si="247"/>
        <v>-24.5</v>
      </c>
      <c r="P368" s="32">
        <f t="shared" si="247"/>
        <v>-24.5</v>
      </c>
      <c r="Q368" s="32">
        <f t="shared" si="247"/>
        <v>-24.5</v>
      </c>
      <c r="R368" s="32">
        <f t="shared" si="247"/>
        <v>-24.5</v>
      </c>
      <c r="S368" s="32">
        <f t="shared" si="247"/>
        <v>-24.5</v>
      </c>
      <c r="T368" s="32">
        <f t="shared" si="247"/>
        <v>-21.5</v>
      </c>
      <c r="U368" s="32">
        <f t="shared" si="247"/>
        <v>-20.5</v>
      </c>
      <c r="V368" s="32">
        <f t="shared" si="247"/>
        <v>-21.5</v>
      </c>
      <c r="W368" s="32">
        <f t="shared" si="247"/>
        <v>-24.5</v>
      </c>
    </row>
    <row r="369" spans="1:23" s="33" customFormat="1" x14ac:dyDescent="0.3">
      <c r="A369" s="405"/>
      <c r="B369" s="63" t="s">
        <v>200</v>
      </c>
      <c r="C369" s="64"/>
      <c r="D369" s="31">
        <f t="shared" si="245"/>
        <v>-22.5</v>
      </c>
      <c r="E369" s="32">
        <f t="shared" si="245"/>
        <v>-22.5</v>
      </c>
      <c r="F369" s="32">
        <f t="shared" ref="F369:W369" si="248">+F365-F$362</f>
        <v>-22.5</v>
      </c>
      <c r="G369" s="32">
        <f t="shared" si="248"/>
        <v>-22.5</v>
      </c>
      <c r="H369" s="32">
        <f t="shared" si="248"/>
        <v>-22.5</v>
      </c>
      <c r="I369" s="32">
        <f t="shared" si="248"/>
        <v>-22.5</v>
      </c>
      <c r="J369" s="32">
        <f t="shared" si="248"/>
        <v>-22.5</v>
      </c>
      <c r="K369" s="32">
        <f t="shared" si="248"/>
        <v>-22.5</v>
      </c>
      <c r="L369" s="32">
        <f t="shared" si="248"/>
        <v>-22.5</v>
      </c>
      <c r="M369" s="32">
        <f t="shared" si="248"/>
        <v>-22.5</v>
      </c>
      <c r="N369" s="32">
        <f t="shared" si="248"/>
        <v>-22.5</v>
      </c>
      <c r="O369" s="32">
        <f t="shared" si="248"/>
        <v>-22.5</v>
      </c>
      <c r="P369" s="32">
        <f t="shared" si="248"/>
        <v>-22.5</v>
      </c>
      <c r="Q369" s="32">
        <f t="shared" si="248"/>
        <v>-22.5</v>
      </c>
      <c r="R369" s="32">
        <f t="shared" si="248"/>
        <v>-22.5</v>
      </c>
      <c r="S369" s="32">
        <f t="shared" si="248"/>
        <v>-22.5</v>
      </c>
      <c r="T369" s="32">
        <f t="shared" si="248"/>
        <v>-19.5</v>
      </c>
      <c r="U369" s="32">
        <f t="shared" si="248"/>
        <v>-18.5</v>
      </c>
      <c r="V369" s="32">
        <f t="shared" si="248"/>
        <v>-19.5</v>
      </c>
      <c r="W369" s="32">
        <f t="shared" si="248"/>
        <v>-22.5</v>
      </c>
    </row>
    <row r="370" spans="1:23" s="33" customFormat="1" x14ac:dyDescent="0.3">
      <c r="A370" s="405"/>
      <c r="B370" s="63" t="s">
        <v>201</v>
      </c>
      <c r="C370" s="64"/>
      <c r="D370" s="31">
        <f t="shared" si="245"/>
        <v>-21.5</v>
      </c>
      <c r="E370" s="32">
        <f t="shared" si="245"/>
        <v>-21.5</v>
      </c>
      <c r="F370" s="32">
        <f t="shared" ref="F370:W370" si="249">+F366-F$362</f>
        <v>-21.5</v>
      </c>
      <c r="G370" s="32">
        <f t="shared" si="249"/>
        <v>-21.5</v>
      </c>
      <c r="H370" s="32">
        <f t="shared" si="249"/>
        <v>-21.5</v>
      </c>
      <c r="I370" s="32">
        <f t="shared" si="249"/>
        <v>-21.5</v>
      </c>
      <c r="J370" s="32">
        <f t="shared" si="249"/>
        <v>-21.5</v>
      </c>
      <c r="K370" s="32">
        <f t="shared" si="249"/>
        <v>-21.5</v>
      </c>
      <c r="L370" s="32">
        <f t="shared" si="249"/>
        <v>-21.5</v>
      </c>
      <c r="M370" s="32">
        <f t="shared" si="249"/>
        <v>-21.5</v>
      </c>
      <c r="N370" s="32">
        <f t="shared" si="249"/>
        <v>-21.5</v>
      </c>
      <c r="O370" s="32">
        <f t="shared" si="249"/>
        <v>-21.5</v>
      </c>
      <c r="P370" s="32">
        <f t="shared" si="249"/>
        <v>-21.5</v>
      </c>
      <c r="Q370" s="32">
        <f t="shared" si="249"/>
        <v>-21.5</v>
      </c>
      <c r="R370" s="32">
        <f t="shared" si="249"/>
        <v>-21.5</v>
      </c>
      <c r="S370" s="32">
        <f t="shared" si="249"/>
        <v>-21.5</v>
      </c>
      <c r="T370" s="32">
        <f t="shared" si="249"/>
        <v>-18.5</v>
      </c>
      <c r="U370" s="32">
        <f t="shared" si="249"/>
        <v>-17.5</v>
      </c>
      <c r="V370" s="32">
        <f t="shared" si="249"/>
        <v>-18.5</v>
      </c>
      <c r="W370" s="32">
        <f t="shared" si="249"/>
        <v>-21.5</v>
      </c>
    </row>
    <row r="371" spans="1:23" x14ac:dyDescent="0.3">
      <c r="B371" s="97" t="s">
        <v>202</v>
      </c>
      <c r="C371" s="98"/>
      <c r="D371" s="99">
        <f t="shared" ref="D371:E374" si="250">+D367/D363</f>
        <v>-0.9107142857142857</v>
      </c>
      <c r="E371" s="99">
        <f t="shared" si="250"/>
        <v>-0.9107142857142857</v>
      </c>
      <c r="F371" s="99">
        <f t="shared" ref="F371:W371" si="251">+F367/F363</f>
        <v>-0.9107142857142857</v>
      </c>
      <c r="G371" s="99">
        <f t="shared" si="251"/>
        <v>-0.9107142857142857</v>
      </c>
      <c r="H371" s="99">
        <f t="shared" si="251"/>
        <v>-0.9107142857142857</v>
      </c>
      <c r="I371" s="99">
        <f t="shared" si="251"/>
        <v>-0.9107142857142857</v>
      </c>
      <c r="J371" s="99">
        <f t="shared" si="251"/>
        <v>-0.9107142857142857</v>
      </c>
      <c r="K371" s="99">
        <f t="shared" si="251"/>
        <v>-0.9107142857142857</v>
      </c>
      <c r="L371" s="99">
        <f t="shared" si="251"/>
        <v>-0.9107142857142857</v>
      </c>
      <c r="M371" s="99">
        <f t="shared" si="251"/>
        <v>-0.9107142857142857</v>
      </c>
      <c r="N371" s="99">
        <f t="shared" si="251"/>
        <v>-0.9107142857142857</v>
      </c>
      <c r="O371" s="99">
        <f t="shared" si="251"/>
        <v>-0.9107142857142857</v>
      </c>
      <c r="P371" s="99">
        <f t="shared" si="251"/>
        <v>-0.9107142857142857</v>
      </c>
      <c r="Q371" s="99">
        <f t="shared" si="251"/>
        <v>-0.9107142857142857</v>
      </c>
      <c r="R371" s="99">
        <f t="shared" si="251"/>
        <v>-0.9107142857142857</v>
      </c>
      <c r="S371" s="99">
        <f t="shared" si="251"/>
        <v>-0.9107142857142857</v>
      </c>
      <c r="T371" s="99">
        <f t="shared" si="251"/>
        <v>-0.72580645161290325</v>
      </c>
      <c r="U371" s="99">
        <f t="shared" si="251"/>
        <v>-0.671875</v>
      </c>
      <c r="V371" s="99">
        <f t="shared" si="251"/>
        <v>-0.72580645161290325</v>
      </c>
      <c r="W371" s="99">
        <f t="shared" si="251"/>
        <v>-0.9107142857142857</v>
      </c>
    </row>
    <row r="372" spans="1:23" s="36" customFormat="1" x14ac:dyDescent="0.3">
      <c r="A372" s="406"/>
      <c r="B372" s="97" t="s">
        <v>203</v>
      </c>
      <c r="C372" s="98"/>
      <c r="D372" s="99">
        <f t="shared" si="250"/>
        <v>-0.84482758620689657</v>
      </c>
      <c r="E372" s="99">
        <f t="shared" si="250"/>
        <v>-0.84482758620689657</v>
      </c>
      <c r="F372" s="99">
        <f t="shared" ref="F372:W372" si="252">+F368/F364</f>
        <v>-0.84482758620689657</v>
      </c>
      <c r="G372" s="99">
        <f t="shared" si="252"/>
        <v>-0.84482758620689657</v>
      </c>
      <c r="H372" s="99">
        <f t="shared" si="252"/>
        <v>-0.84482758620689657</v>
      </c>
      <c r="I372" s="99">
        <f t="shared" si="252"/>
        <v>-0.84482758620689657</v>
      </c>
      <c r="J372" s="99">
        <f t="shared" si="252"/>
        <v>-0.84482758620689657</v>
      </c>
      <c r="K372" s="99">
        <f t="shared" si="252"/>
        <v>-0.84482758620689657</v>
      </c>
      <c r="L372" s="99">
        <f t="shared" si="252"/>
        <v>-0.84482758620689657</v>
      </c>
      <c r="M372" s="99">
        <f t="shared" si="252"/>
        <v>-0.84482758620689657</v>
      </c>
      <c r="N372" s="99">
        <f t="shared" si="252"/>
        <v>-0.84482758620689657</v>
      </c>
      <c r="O372" s="99">
        <f t="shared" si="252"/>
        <v>-0.84482758620689657</v>
      </c>
      <c r="P372" s="99">
        <f t="shared" si="252"/>
        <v>-0.84482758620689657</v>
      </c>
      <c r="Q372" s="99">
        <f t="shared" si="252"/>
        <v>-0.84482758620689657</v>
      </c>
      <c r="R372" s="99">
        <f t="shared" si="252"/>
        <v>-0.84482758620689657</v>
      </c>
      <c r="S372" s="99">
        <f t="shared" si="252"/>
        <v>-0.84482758620689657</v>
      </c>
      <c r="T372" s="99">
        <f t="shared" si="252"/>
        <v>-0.671875</v>
      </c>
      <c r="U372" s="99">
        <f t="shared" si="252"/>
        <v>-0.62121212121212122</v>
      </c>
      <c r="V372" s="99">
        <f t="shared" si="252"/>
        <v>-0.671875</v>
      </c>
      <c r="W372" s="99">
        <f t="shared" si="252"/>
        <v>-0.84482758620689657</v>
      </c>
    </row>
    <row r="373" spans="1:23" s="36" customFormat="1" x14ac:dyDescent="0.3">
      <c r="A373" s="406"/>
      <c r="B373" s="97" t="s">
        <v>204</v>
      </c>
      <c r="C373" s="98"/>
      <c r="D373" s="99">
        <f t="shared" si="250"/>
        <v>-0.72580645161290325</v>
      </c>
      <c r="E373" s="99">
        <f t="shared" si="250"/>
        <v>-0.72580645161290325</v>
      </c>
      <c r="F373" s="99">
        <f t="shared" ref="F373:W373" si="253">+F369/F365</f>
        <v>-0.72580645161290325</v>
      </c>
      <c r="G373" s="99">
        <f t="shared" si="253"/>
        <v>-0.72580645161290325</v>
      </c>
      <c r="H373" s="99">
        <f t="shared" si="253"/>
        <v>-0.72580645161290325</v>
      </c>
      <c r="I373" s="99">
        <f t="shared" si="253"/>
        <v>-0.72580645161290325</v>
      </c>
      <c r="J373" s="99">
        <f t="shared" si="253"/>
        <v>-0.72580645161290325</v>
      </c>
      <c r="K373" s="99">
        <f t="shared" si="253"/>
        <v>-0.72580645161290325</v>
      </c>
      <c r="L373" s="99">
        <f t="shared" si="253"/>
        <v>-0.72580645161290325</v>
      </c>
      <c r="M373" s="99">
        <f t="shared" si="253"/>
        <v>-0.72580645161290325</v>
      </c>
      <c r="N373" s="99">
        <f t="shared" si="253"/>
        <v>-0.72580645161290325</v>
      </c>
      <c r="O373" s="99">
        <f t="shared" si="253"/>
        <v>-0.72580645161290325</v>
      </c>
      <c r="P373" s="99">
        <f t="shared" si="253"/>
        <v>-0.72580645161290325</v>
      </c>
      <c r="Q373" s="99">
        <f t="shared" si="253"/>
        <v>-0.72580645161290325</v>
      </c>
      <c r="R373" s="99">
        <f t="shared" si="253"/>
        <v>-0.72580645161290325</v>
      </c>
      <c r="S373" s="99">
        <f t="shared" si="253"/>
        <v>-0.72580645161290325</v>
      </c>
      <c r="T373" s="99">
        <f t="shared" si="253"/>
        <v>-0.57352941176470584</v>
      </c>
      <c r="U373" s="99">
        <f t="shared" si="253"/>
        <v>-0.52857142857142858</v>
      </c>
      <c r="V373" s="99">
        <f t="shared" si="253"/>
        <v>-0.57352941176470584</v>
      </c>
      <c r="W373" s="99">
        <f t="shared" si="253"/>
        <v>-0.72580645161290325</v>
      </c>
    </row>
    <row r="374" spans="1:23" s="36" customFormat="1" x14ac:dyDescent="0.3">
      <c r="A374" s="406"/>
      <c r="B374" s="97" t="s">
        <v>205</v>
      </c>
      <c r="C374" s="98"/>
      <c r="D374" s="99">
        <f t="shared" si="250"/>
        <v>-0.671875</v>
      </c>
      <c r="E374" s="99">
        <f t="shared" si="250"/>
        <v>-0.671875</v>
      </c>
      <c r="F374" s="99">
        <f t="shared" ref="F374:W374" si="254">+F370/F366</f>
        <v>-0.671875</v>
      </c>
      <c r="G374" s="99">
        <f t="shared" si="254"/>
        <v>-0.671875</v>
      </c>
      <c r="H374" s="99">
        <f t="shared" si="254"/>
        <v>-0.671875</v>
      </c>
      <c r="I374" s="99">
        <f t="shared" si="254"/>
        <v>-0.671875</v>
      </c>
      <c r="J374" s="99">
        <f t="shared" si="254"/>
        <v>-0.671875</v>
      </c>
      <c r="K374" s="99">
        <f t="shared" si="254"/>
        <v>-0.671875</v>
      </c>
      <c r="L374" s="99">
        <f t="shared" si="254"/>
        <v>-0.671875</v>
      </c>
      <c r="M374" s="99">
        <f t="shared" si="254"/>
        <v>-0.671875</v>
      </c>
      <c r="N374" s="99">
        <f t="shared" si="254"/>
        <v>-0.671875</v>
      </c>
      <c r="O374" s="99">
        <f t="shared" si="254"/>
        <v>-0.671875</v>
      </c>
      <c r="P374" s="99">
        <f t="shared" si="254"/>
        <v>-0.671875</v>
      </c>
      <c r="Q374" s="99">
        <f t="shared" si="254"/>
        <v>-0.671875</v>
      </c>
      <c r="R374" s="99">
        <f t="shared" si="254"/>
        <v>-0.671875</v>
      </c>
      <c r="S374" s="99">
        <f t="shared" si="254"/>
        <v>-0.671875</v>
      </c>
      <c r="T374" s="99">
        <f t="shared" si="254"/>
        <v>-0.52857142857142858</v>
      </c>
      <c r="U374" s="99">
        <f t="shared" si="254"/>
        <v>-0.4861111111111111</v>
      </c>
      <c r="V374" s="99">
        <f t="shared" si="254"/>
        <v>-0.52857142857142858</v>
      </c>
      <c r="W374" s="99">
        <f t="shared" si="254"/>
        <v>-0.671875</v>
      </c>
    </row>
    <row r="375" spans="1:23" ht="21" thickBot="1" x14ac:dyDescent="0.35"/>
    <row r="376" spans="1:23" s="19" customFormat="1" ht="24" thickBot="1" x14ac:dyDescent="0.4">
      <c r="A376" s="19" t="s">
        <v>286</v>
      </c>
      <c r="B376" s="362" t="s">
        <v>98</v>
      </c>
      <c r="C376" s="68"/>
      <c r="D376" s="17" t="s">
        <v>5</v>
      </c>
      <c r="E376" s="18" t="s">
        <v>6</v>
      </c>
      <c r="F376" s="18" t="s">
        <v>7</v>
      </c>
      <c r="G376" s="18" t="s">
        <v>8</v>
      </c>
      <c r="H376" s="18" t="s">
        <v>9</v>
      </c>
      <c r="I376" s="18" t="s">
        <v>10</v>
      </c>
      <c r="J376" s="18" t="s">
        <v>11</v>
      </c>
      <c r="K376" s="18" t="s">
        <v>12</v>
      </c>
      <c r="L376" s="18" t="s">
        <v>13</v>
      </c>
      <c r="M376" s="18" t="s">
        <v>14</v>
      </c>
      <c r="N376" s="18" t="s">
        <v>15</v>
      </c>
      <c r="O376" s="18" t="s">
        <v>16</v>
      </c>
      <c r="P376" s="18" t="s">
        <v>17</v>
      </c>
      <c r="Q376" s="18" t="s">
        <v>18</v>
      </c>
      <c r="R376" s="18" t="s">
        <v>19</v>
      </c>
      <c r="S376" s="18" t="s">
        <v>20</v>
      </c>
      <c r="T376" s="18" t="s">
        <v>21</v>
      </c>
      <c r="U376" s="18" t="s">
        <v>22</v>
      </c>
      <c r="V376" s="18" t="s">
        <v>23</v>
      </c>
      <c r="W376" s="18" t="s">
        <v>166</v>
      </c>
    </row>
    <row r="377" spans="1:23" x14ac:dyDescent="0.3">
      <c r="B377" s="54" t="s">
        <v>50</v>
      </c>
      <c r="C377" s="55"/>
      <c r="D377" s="20">
        <v>101</v>
      </c>
      <c r="E377" s="20">
        <v>101</v>
      </c>
      <c r="F377" s="20">
        <v>101</v>
      </c>
      <c r="G377" s="20">
        <v>101</v>
      </c>
      <c r="H377" s="20">
        <v>101</v>
      </c>
      <c r="I377" s="20">
        <v>101</v>
      </c>
      <c r="J377" s="20">
        <v>101</v>
      </c>
      <c r="K377" s="20">
        <v>101</v>
      </c>
      <c r="L377" s="20">
        <v>101</v>
      </c>
      <c r="M377" s="20">
        <v>101</v>
      </c>
      <c r="N377" s="20">
        <v>101</v>
      </c>
      <c r="O377" s="20">
        <v>101</v>
      </c>
      <c r="P377" s="20">
        <v>101</v>
      </c>
      <c r="Q377" s="20">
        <v>101</v>
      </c>
      <c r="R377" s="20">
        <v>101</v>
      </c>
      <c r="S377" s="20">
        <v>101</v>
      </c>
      <c r="T377" s="20">
        <v>101</v>
      </c>
      <c r="U377" s="20">
        <v>101</v>
      </c>
      <c r="V377" s="20">
        <v>101</v>
      </c>
      <c r="W377" s="20">
        <v>101</v>
      </c>
    </row>
    <row r="378" spans="1:23" ht="23" x14ac:dyDescent="0.35">
      <c r="B378" s="340" t="s">
        <v>51</v>
      </c>
      <c r="C378" s="341"/>
      <c r="D378" s="342"/>
      <c r="E378" s="342"/>
      <c r="F378" s="342"/>
      <c r="G378" s="342"/>
      <c r="H378" s="342"/>
      <c r="I378" s="343"/>
      <c r="J378" s="343"/>
      <c r="K378" s="343"/>
      <c r="L378" s="343"/>
      <c r="M378" s="343"/>
      <c r="N378" s="342"/>
      <c r="O378" s="342"/>
      <c r="P378" s="342"/>
      <c r="Q378" s="342"/>
      <c r="R378" s="343"/>
      <c r="S378" s="343"/>
      <c r="T378" s="365"/>
      <c r="U378" s="365"/>
      <c r="V378" s="365"/>
      <c r="W378" s="343"/>
    </row>
    <row r="379" spans="1:23" x14ac:dyDescent="0.3">
      <c r="B379" s="54"/>
      <c r="C379" s="55"/>
      <c r="D379" s="20">
        <f t="shared" ref="D379:V379" si="255">D377*(1-D378)</f>
        <v>101</v>
      </c>
      <c r="E379" s="20">
        <f t="shared" si="255"/>
        <v>101</v>
      </c>
      <c r="F379" s="20">
        <f t="shared" si="255"/>
        <v>101</v>
      </c>
      <c r="G379" s="20">
        <f t="shared" si="255"/>
        <v>101</v>
      </c>
      <c r="H379" s="20">
        <f t="shared" si="255"/>
        <v>101</v>
      </c>
      <c r="I379" s="20">
        <f t="shared" si="255"/>
        <v>101</v>
      </c>
      <c r="J379" s="20">
        <f t="shared" si="255"/>
        <v>101</v>
      </c>
      <c r="K379" s="20">
        <f t="shared" si="255"/>
        <v>101</v>
      </c>
      <c r="L379" s="20">
        <f t="shared" si="255"/>
        <v>101</v>
      </c>
      <c r="M379" s="20">
        <f t="shared" si="255"/>
        <v>101</v>
      </c>
      <c r="N379" s="20">
        <f t="shared" si="255"/>
        <v>101</v>
      </c>
      <c r="O379" s="20">
        <f t="shared" si="255"/>
        <v>101</v>
      </c>
      <c r="P379" s="20">
        <f t="shared" si="255"/>
        <v>101</v>
      </c>
      <c r="Q379" s="20">
        <f t="shared" si="255"/>
        <v>101</v>
      </c>
      <c r="R379" s="20">
        <f t="shared" si="255"/>
        <v>101</v>
      </c>
      <c r="S379" s="20">
        <f t="shared" si="255"/>
        <v>101</v>
      </c>
      <c r="T379" s="20">
        <f t="shared" si="255"/>
        <v>101</v>
      </c>
      <c r="U379" s="20">
        <f t="shared" si="255"/>
        <v>101</v>
      </c>
      <c r="V379" s="20">
        <f t="shared" si="255"/>
        <v>101</v>
      </c>
      <c r="W379" s="20">
        <f>W377*(1-W378)</f>
        <v>101</v>
      </c>
    </row>
    <row r="380" spans="1:23" x14ac:dyDescent="0.3">
      <c r="B380" s="54" t="s">
        <v>51</v>
      </c>
      <c r="C380" s="56">
        <v>0</v>
      </c>
      <c r="D380" s="20">
        <f t="shared" ref="D380:W380" si="256">D379*$C380</f>
        <v>0</v>
      </c>
      <c r="E380" s="20">
        <f t="shared" si="256"/>
        <v>0</v>
      </c>
      <c r="F380" s="20">
        <f t="shared" si="256"/>
        <v>0</v>
      </c>
      <c r="G380" s="20">
        <f t="shared" si="256"/>
        <v>0</v>
      </c>
      <c r="H380" s="20">
        <f t="shared" si="256"/>
        <v>0</v>
      </c>
      <c r="I380" s="20">
        <f t="shared" si="256"/>
        <v>0</v>
      </c>
      <c r="J380" s="20">
        <f t="shared" si="256"/>
        <v>0</v>
      </c>
      <c r="K380" s="20">
        <f t="shared" si="256"/>
        <v>0</v>
      </c>
      <c r="L380" s="20">
        <f t="shared" si="256"/>
        <v>0</v>
      </c>
      <c r="M380" s="20">
        <f t="shared" si="256"/>
        <v>0</v>
      </c>
      <c r="N380" s="20">
        <f t="shared" si="256"/>
        <v>0</v>
      </c>
      <c r="O380" s="20">
        <f t="shared" si="256"/>
        <v>0</v>
      </c>
      <c r="P380" s="20">
        <f t="shared" si="256"/>
        <v>0</v>
      </c>
      <c r="Q380" s="20">
        <f t="shared" si="256"/>
        <v>0</v>
      </c>
      <c r="R380" s="20">
        <f t="shared" si="256"/>
        <v>0</v>
      </c>
      <c r="S380" s="20">
        <f t="shared" si="256"/>
        <v>0</v>
      </c>
      <c r="T380" s="20">
        <f t="shared" si="256"/>
        <v>0</v>
      </c>
      <c r="U380" s="20">
        <f t="shared" si="256"/>
        <v>0</v>
      </c>
      <c r="V380" s="20">
        <f t="shared" si="256"/>
        <v>0</v>
      </c>
      <c r="W380" s="20">
        <f t="shared" si="256"/>
        <v>0</v>
      </c>
    </row>
    <row r="381" spans="1:23" x14ac:dyDescent="0.3">
      <c r="B381" s="54" t="s">
        <v>67</v>
      </c>
      <c r="C381" s="55"/>
      <c r="D381" s="20">
        <f t="shared" ref="D381:W381" si="257">D379-D380</f>
        <v>101</v>
      </c>
      <c r="E381" s="20">
        <f t="shared" si="257"/>
        <v>101</v>
      </c>
      <c r="F381" s="20">
        <f t="shared" si="257"/>
        <v>101</v>
      </c>
      <c r="G381" s="20">
        <f t="shared" si="257"/>
        <v>101</v>
      </c>
      <c r="H381" s="20">
        <f t="shared" si="257"/>
        <v>101</v>
      </c>
      <c r="I381" s="20">
        <f t="shared" si="257"/>
        <v>101</v>
      </c>
      <c r="J381" s="20">
        <f t="shared" si="257"/>
        <v>101</v>
      </c>
      <c r="K381" s="20">
        <f t="shared" si="257"/>
        <v>101</v>
      </c>
      <c r="L381" s="20">
        <f t="shared" si="257"/>
        <v>101</v>
      </c>
      <c r="M381" s="20">
        <f t="shared" si="257"/>
        <v>101</v>
      </c>
      <c r="N381" s="20">
        <f t="shared" si="257"/>
        <v>101</v>
      </c>
      <c r="O381" s="20">
        <f t="shared" si="257"/>
        <v>101</v>
      </c>
      <c r="P381" s="20">
        <f t="shared" si="257"/>
        <v>101</v>
      </c>
      <c r="Q381" s="20">
        <f t="shared" si="257"/>
        <v>101</v>
      </c>
      <c r="R381" s="20">
        <f t="shared" si="257"/>
        <v>101</v>
      </c>
      <c r="S381" s="20">
        <f t="shared" si="257"/>
        <v>101</v>
      </c>
      <c r="T381" s="20">
        <f t="shared" si="257"/>
        <v>101</v>
      </c>
      <c r="U381" s="20">
        <f t="shared" si="257"/>
        <v>101</v>
      </c>
      <c r="V381" s="20">
        <f t="shared" si="257"/>
        <v>101</v>
      </c>
      <c r="W381" s="20">
        <f t="shared" si="257"/>
        <v>101</v>
      </c>
    </row>
    <row r="382" spans="1:23" x14ac:dyDescent="0.3">
      <c r="B382" s="54" t="s">
        <v>66</v>
      </c>
      <c r="C382" s="56">
        <v>7.0000000000000007E-2</v>
      </c>
      <c r="D382" s="20">
        <f t="shared" ref="D382:W382" si="258">D381*$C382</f>
        <v>7.07</v>
      </c>
      <c r="E382" s="20">
        <f t="shared" si="258"/>
        <v>7.07</v>
      </c>
      <c r="F382" s="20">
        <f t="shared" si="258"/>
        <v>7.07</v>
      </c>
      <c r="G382" s="20">
        <f t="shared" si="258"/>
        <v>7.07</v>
      </c>
      <c r="H382" s="20">
        <f t="shared" si="258"/>
        <v>7.07</v>
      </c>
      <c r="I382" s="20">
        <f t="shared" si="258"/>
        <v>7.07</v>
      </c>
      <c r="J382" s="20">
        <f t="shared" si="258"/>
        <v>7.07</v>
      </c>
      <c r="K382" s="20">
        <f t="shared" si="258"/>
        <v>7.07</v>
      </c>
      <c r="L382" s="20">
        <f t="shared" si="258"/>
        <v>7.07</v>
      </c>
      <c r="M382" s="20">
        <f t="shared" si="258"/>
        <v>7.07</v>
      </c>
      <c r="N382" s="20">
        <f t="shared" si="258"/>
        <v>7.07</v>
      </c>
      <c r="O382" s="20">
        <f t="shared" si="258"/>
        <v>7.07</v>
      </c>
      <c r="P382" s="20">
        <f t="shared" si="258"/>
        <v>7.07</v>
      </c>
      <c r="Q382" s="20">
        <f t="shared" si="258"/>
        <v>7.07</v>
      </c>
      <c r="R382" s="20">
        <f t="shared" si="258"/>
        <v>7.07</v>
      </c>
      <c r="S382" s="20">
        <f t="shared" si="258"/>
        <v>7.07</v>
      </c>
      <c r="T382" s="20">
        <f t="shared" si="258"/>
        <v>7.07</v>
      </c>
      <c r="U382" s="20">
        <f t="shared" si="258"/>
        <v>7.07</v>
      </c>
      <c r="V382" s="20">
        <f t="shared" si="258"/>
        <v>7.07</v>
      </c>
      <c r="W382" s="20">
        <f t="shared" si="258"/>
        <v>7.07</v>
      </c>
    </row>
    <row r="383" spans="1:23" x14ac:dyDescent="0.3">
      <c r="B383" s="54" t="s">
        <v>68</v>
      </c>
      <c r="C383" s="55"/>
      <c r="D383" s="20">
        <f>D381+D382</f>
        <v>108.07</v>
      </c>
      <c r="E383" s="20">
        <f t="shared" ref="E383:V383" si="259">E381+E382</f>
        <v>108.07</v>
      </c>
      <c r="F383" s="20">
        <f t="shared" si="259"/>
        <v>108.07</v>
      </c>
      <c r="G383" s="20">
        <f t="shared" si="259"/>
        <v>108.07</v>
      </c>
      <c r="H383" s="20">
        <f t="shared" si="259"/>
        <v>108.07</v>
      </c>
      <c r="I383" s="20">
        <f t="shared" si="259"/>
        <v>108.07</v>
      </c>
      <c r="J383" s="20">
        <f t="shared" si="259"/>
        <v>108.07</v>
      </c>
      <c r="K383" s="20">
        <f t="shared" si="259"/>
        <v>108.07</v>
      </c>
      <c r="L383" s="20">
        <f t="shared" si="259"/>
        <v>108.07</v>
      </c>
      <c r="M383" s="20">
        <f t="shared" si="259"/>
        <v>108.07</v>
      </c>
      <c r="N383" s="20">
        <f t="shared" si="259"/>
        <v>108.07</v>
      </c>
      <c r="O383" s="20">
        <f t="shared" si="259"/>
        <v>108.07</v>
      </c>
      <c r="P383" s="20">
        <f t="shared" si="259"/>
        <v>108.07</v>
      </c>
      <c r="Q383" s="20">
        <f t="shared" si="259"/>
        <v>108.07</v>
      </c>
      <c r="R383" s="20">
        <f t="shared" si="259"/>
        <v>108.07</v>
      </c>
      <c r="S383" s="20">
        <f t="shared" si="259"/>
        <v>108.07</v>
      </c>
      <c r="T383" s="20">
        <f t="shared" si="259"/>
        <v>108.07</v>
      </c>
      <c r="U383" s="20">
        <f t="shared" si="259"/>
        <v>108.07</v>
      </c>
      <c r="V383" s="20">
        <f t="shared" si="259"/>
        <v>108.07</v>
      </c>
      <c r="W383" s="20">
        <f>W381+W382</f>
        <v>108.07</v>
      </c>
    </row>
    <row r="384" spans="1:23" ht="23" x14ac:dyDescent="0.35">
      <c r="B384" s="357" t="s">
        <v>52</v>
      </c>
      <c r="C384" s="358"/>
      <c r="D384" s="381"/>
      <c r="E384" s="381"/>
      <c r="F384" s="381"/>
      <c r="G384" s="381"/>
      <c r="H384" s="381"/>
      <c r="I384" s="381"/>
      <c r="J384" s="381"/>
      <c r="K384" s="381"/>
      <c r="L384" s="381"/>
      <c r="M384" s="381"/>
      <c r="N384" s="381"/>
      <c r="O384" s="381"/>
      <c r="P384" s="381"/>
      <c r="Q384" s="381"/>
      <c r="R384" s="381"/>
      <c r="S384" s="381"/>
      <c r="T384" s="381"/>
      <c r="U384" s="381"/>
      <c r="V384" s="381"/>
      <c r="W384" s="381"/>
    </row>
    <row r="385" spans="1:23" x14ac:dyDescent="0.3">
      <c r="B385" s="57" t="s">
        <v>53</v>
      </c>
      <c r="C385" s="58"/>
      <c r="D385" s="25">
        <f>SUM(D383:D384)</f>
        <v>108.07</v>
      </c>
      <c r="E385" s="26">
        <f>SUM(E383:E384)</f>
        <v>108.07</v>
      </c>
      <c r="F385" s="26">
        <f t="shared" ref="F385:V385" si="260">SUM(F383:F384)</f>
        <v>108.07</v>
      </c>
      <c r="G385" s="26">
        <f t="shared" si="260"/>
        <v>108.07</v>
      </c>
      <c r="H385" s="26">
        <f t="shared" si="260"/>
        <v>108.07</v>
      </c>
      <c r="I385" s="26">
        <f t="shared" si="260"/>
        <v>108.07</v>
      </c>
      <c r="J385" s="26">
        <f t="shared" si="260"/>
        <v>108.07</v>
      </c>
      <c r="K385" s="26">
        <f t="shared" si="260"/>
        <v>108.07</v>
      </c>
      <c r="L385" s="26">
        <f t="shared" si="260"/>
        <v>108.07</v>
      </c>
      <c r="M385" s="26">
        <f t="shared" si="260"/>
        <v>108.07</v>
      </c>
      <c r="N385" s="26">
        <f t="shared" si="260"/>
        <v>108.07</v>
      </c>
      <c r="O385" s="26">
        <f t="shared" si="260"/>
        <v>108.07</v>
      </c>
      <c r="P385" s="26">
        <f t="shared" si="260"/>
        <v>108.07</v>
      </c>
      <c r="Q385" s="26">
        <f t="shared" si="260"/>
        <v>108.07</v>
      </c>
      <c r="R385" s="26">
        <f t="shared" si="260"/>
        <v>108.07</v>
      </c>
      <c r="S385" s="26">
        <f t="shared" si="260"/>
        <v>108.07</v>
      </c>
      <c r="T385" s="26">
        <f t="shared" si="260"/>
        <v>108.07</v>
      </c>
      <c r="U385" s="26">
        <f t="shared" si="260"/>
        <v>108.07</v>
      </c>
      <c r="V385" s="26">
        <f t="shared" si="260"/>
        <v>108.07</v>
      </c>
      <c r="W385" s="26">
        <f>SUM(W383:W384)</f>
        <v>108.07</v>
      </c>
    </row>
    <row r="386" spans="1:23" ht="23" x14ac:dyDescent="0.35">
      <c r="B386" s="336" t="s">
        <v>54</v>
      </c>
      <c r="C386" s="337"/>
      <c r="D386" s="338"/>
      <c r="E386" s="338"/>
      <c r="F386" s="338"/>
      <c r="G386" s="338"/>
      <c r="H386" s="338"/>
      <c r="I386" s="338"/>
      <c r="J386" s="338"/>
      <c r="K386" s="338"/>
      <c r="L386" s="338"/>
      <c r="M386" s="338"/>
      <c r="N386" s="338"/>
      <c r="O386" s="338"/>
      <c r="P386" s="338"/>
      <c r="Q386" s="338"/>
      <c r="R386" s="338"/>
      <c r="S386" s="338"/>
      <c r="T386" s="338"/>
      <c r="U386" s="338"/>
      <c r="V386" s="338"/>
      <c r="W386" s="338"/>
    </row>
    <row r="387" spans="1:23" ht="23" x14ac:dyDescent="0.35">
      <c r="B387" s="353" t="s">
        <v>55</v>
      </c>
      <c r="C387" s="354"/>
      <c r="D387" s="355">
        <f>D385</f>
        <v>108.07</v>
      </c>
      <c r="E387" s="356">
        <f>SUM(E385:E386)</f>
        <v>108.07</v>
      </c>
      <c r="F387" s="356">
        <f t="shared" ref="F387:V387" si="261">SUM(F385:F386)</f>
        <v>108.07</v>
      </c>
      <c r="G387" s="356">
        <f t="shared" si="261"/>
        <v>108.07</v>
      </c>
      <c r="H387" s="356">
        <f t="shared" si="261"/>
        <v>108.07</v>
      </c>
      <c r="I387" s="356">
        <f t="shared" si="261"/>
        <v>108.07</v>
      </c>
      <c r="J387" s="356">
        <f t="shared" si="261"/>
        <v>108.07</v>
      </c>
      <c r="K387" s="356">
        <f t="shared" si="261"/>
        <v>108.07</v>
      </c>
      <c r="L387" s="356">
        <f t="shared" si="261"/>
        <v>108.07</v>
      </c>
      <c r="M387" s="356">
        <f t="shared" si="261"/>
        <v>108.07</v>
      </c>
      <c r="N387" s="356">
        <f t="shared" si="261"/>
        <v>108.07</v>
      </c>
      <c r="O387" s="356">
        <f t="shared" si="261"/>
        <v>108.07</v>
      </c>
      <c r="P387" s="356">
        <f t="shared" si="261"/>
        <v>108.07</v>
      </c>
      <c r="Q387" s="356">
        <f t="shared" si="261"/>
        <v>108.07</v>
      </c>
      <c r="R387" s="356">
        <f t="shared" si="261"/>
        <v>108.07</v>
      </c>
      <c r="S387" s="356">
        <f t="shared" si="261"/>
        <v>108.07</v>
      </c>
      <c r="T387" s="356">
        <f t="shared" si="261"/>
        <v>108.07</v>
      </c>
      <c r="U387" s="356">
        <f t="shared" si="261"/>
        <v>108.07</v>
      </c>
      <c r="V387" s="356">
        <f t="shared" si="261"/>
        <v>108.07</v>
      </c>
      <c r="W387" s="356">
        <f>SUM(W385:W386)</f>
        <v>108.07</v>
      </c>
    </row>
    <row r="388" spans="1:23" x14ac:dyDescent="0.3">
      <c r="B388" s="171" t="s">
        <v>194</v>
      </c>
      <c r="C388" s="55"/>
      <c r="D388" s="20">
        <v>57</v>
      </c>
      <c r="E388" s="21">
        <v>57</v>
      </c>
      <c r="F388" s="21">
        <v>57</v>
      </c>
      <c r="G388" s="21">
        <v>57</v>
      </c>
      <c r="H388" s="21">
        <v>57</v>
      </c>
      <c r="I388" s="21">
        <v>57</v>
      </c>
      <c r="J388" s="21">
        <v>57</v>
      </c>
      <c r="K388" s="21">
        <v>57</v>
      </c>
      <c r="L388" s="21">
        <v>57</v>
      </c>
      <c r="M388" s="21">
        <v>57</v>
      </c>
      <c r="N388" s="21">
        <v>58</v>
      </c>
      <c r="O388" s="21">
        <v>58</v>
      </c>
      <c r="P388" s="21">
        <v>58</v>
      </c>
      <c r="Q388" s="21">
        <v>58</v>
      </c>
      <c r="R388" s="21">
        <v>58</v>
      </c>
      <c r="S388" s="21">
        <v>58</v>
      </c>
      <c r="T388" s="21">
        <v>64</v>
      </c>
      <c r="U388" s="21">
        <v>64</v>
      </c>
      <c r="V388" s="21">
        <v>64</v>
      </c>
      <c r="W388" s="21">
        <v>58</v>
      </c>
    </row>
    <row r="389" spans="1:23" s="51" customFormat="1" x14ac:dyDescent="0.3">
      <c r="A389" s="407"/>
      <c r="B389" s="61" t="s">
        <v>195</v>
      </c>
      <c r="C389" s="62"/>
      <c r="D389" s="28">
        <v>58</v>
      </c>
      <c r="E389" s="28">
        <v>58</v>
      </c>
      <c r="F389" s="28">
        <v>58</v>
      </c>
      <c r="G389" s="28">
        <v>58</v>
      </c>
      <c r="H389" s="28">
        <v>58</v>
      </c>
      <c r="I389" s="28">
        <v>58</v>
      </c>
      <c r="J389" s="28">
        <v>58</v>
      </c>
      <c r="K389" s="28">
        <v>58</v>
      </c>
      <c r="L389" s="28">
        <v>58</v>
      </c>
      <c r="M389" s="28">
        <v>58</v>
      </c>
      <c r="N389" s="28">
        <v>59</v>
      </c>
      <c r="O389" s="28">
        <v>59</v>
      </c>
      <c r="P389" s="28">
        <v>59</v>
      </c>
      <c r="Q389" s="28">
        <v>59</v>
      </c>
      <c r="R389" s="28">
        <v>59</v>
      </c>
      <c r="S389" s="28">
        <v>59</v>
      </c>
      <c r="T389" s="28">
        <v>65</v>
      </c>
      <c r="U389" s="28">
        <v>65</v>
      </c>
      <c r="V389" s="28">
        <v>65</v>
      </c>
      <c r="W389" s="28">
        <v>59</v>
      </c>
    </row>
    <row r="390" spans="1:23" s="51" customFormat="1" x14ac:dyDescent="0.3">
      <c r="A390" s="407"/>
      <c r="B390" s="61" t="s">
        <v>196</v>
      </c>
      <c r="C390" s="62"/>
      <c r="D390" s="28">
        <v>59</v>
      </c>
      <c r="E390" s="28">
        <v>59</v>
      </c>
      <c r="F390" s="28">
        <v>59</v>
      </c>
      <c r="G390" s="28">
        <v>59</v>
      </c>
      <c r="H390" s="28">
        <v>59</v>
      </c>
      <c r="I390" s="28">
        <v>59</v>
      </c>
      <c r="J390" s="28">
        <v>59</v>
      </c>
      <c r="K390" s="28">
        <v>59</v>
      </c>
      <c r="L390" s="28">
        <v>59</v>
      </c>
      <c r="M390" s="28">
        <v>59</v>
      </c>
      <c r="N390" s="28">
        <v>60</v>
      </c>
      <c r="O390" s="28">
        <v>60</v>
      </c>
      <c r="P390" s="28">
        <v>60</v>
      </c>
      <c r="Q390" s="28">
        <v>60</v>
      </c>
      <c r="R390" s="28">
        <v>60</v>
      </c>
      <c r="S390" s="28">
        <v>60</v>
      </c>
      <c r="T390" s="28">
        <v>66</v>
      </c>
      <c r="U390" s="28">
        <v>66</v>
      </c>
      <c r="V390" s="28">
        <v>66</v>
      </c>
      <c r="W390" s="28">
        <v>60</v>
      </c>
    </row>
    <row r="391" spans="1:23" s="51" customFormat="1" x14ac:dyDescent="0.3">
      <c r="A391" s="407"/>
      <c r="B391" s="61" t="s">
        <v>197</v>
      </c>
      <c r="C391" s="62"/>
      <c r="D391" s="28">
        <v>61</v>
      </c>
      <c r="E391" s="28">
        <v>61</v>
      </c>
      <c r="F391" s="28">
        <v>61</v>
      </c>
      <c r="G391" s="28">
        <v>61</v>
      </c>
      <c r="H391" s="28">
        <v>61</v>
      </c>
      <c r="I391" s="28">
        <v>61</v>
      </c>
      <c r="J391" s="28">
        <v>61</v>
      </c>
      <c r="K391" s="28">
        <v>61</v>
      </c>
      <c r="L391" s="28">
        <v>61</v>
      </c>
      <c r="M391" s="28">
        <v>61</v>
      </c>
      <c r="N391" s="28">
        <v>62</v>
      </c>
      <c r="O391" s="28">
        <v>62</v>
      </c>
      <c r="P391" s="28">
        <v>62</v>
      </c>
      <c r="Q391" s="28">
        <v>62</v>
      </c>
      <c r="R391" s="28">
        <v>62</v>
      </c>
      <c r="S391" s="28">
        <v>62</v>
      </c>
      <c r="T391" s="28">
        <v>68</v>
      </c>
      <c r="U391" s="28">
        <v>68</v>
      </c>
      <c r="V391" s="28">
        <v>68</v>
      </c>
      <c r="W391" s="28">
        <v>62</v>
      </c>
    </row>
    <row r="392" spans="1:23" s="30" customFormat="1" x14ac:dyDescent="0.3">
      <c r="A392" s="404"/>
      <c r="B392" s="63" t="s">
        <v>198</v>
      </c>
      <c r="C392" s="62"/>
      <c r="D392" s="31">
        <f t="shared" ref="D392:E395" si="262">+D388-D$387</f>
        <v>-51.069999999999993</v>
      </c>
      <c r="E392" s="31">
        <f t="shared" si="262"/>
        <v>-51.069999999999993</v>
      </c>
      <c r="F392" s="31">
        <f t="shared" ref="F392:W392" si="263">+F388-F$387</f>
        <v>-51.069999999999993</v>
      </c>
      <c r="G392" s="31">
        <f t="shared" si="263"/>
        <v>-51.069999999999993</v>
      </c>
      <c r="H392" s="31">
        <f t="shared" si="263"/>
        <v>-51.069999999999993</v>
      </c>
      <c r="I392" s="31">
        <f t="shared" si="263"/>
        <v>-51.069999999999993</v>
      </c>
      <c r="J392" s="31">
        <f t="shared" si="263"/>
        <v>-51.069999999999993</v>
      </c>
      <c r="K392" s="31">
        <f t="shared" si="263"/>
        <v>-51.069999999999993</v>
      </c>
      <c r="L392" s="31">
        <f t="shared" si="263"/>
        <v>-51.069999999999993</v>
      </c>
      <c r="M392" s="31">
        <f t="shared" si="263"/>
        <v>-51.069999999999993</v>
      </c>
      <c r="N392" s="31">
        <f t="shared" si="263"/>
        <v>-50.069999999999993</v>
      </c>
      <c r="O392" s="31">
        <f t="shared" si="263"/>
        <v>-50.069999999999993</v>
      </c>
      <c r="P392" s="31">
        <f t="shared" si="263"/>
        <v>-50.069999999999993</v>
      </c>
      <c r="Q392" s="31">
        <f t="shared" si="263"/>
        <v>-50.069999999999993</v>
      </c>
      <c r="R392" s="31">
        <f t="shared" si="263"/>
        <v>-50.069999999999993</v>
      </c>
      <c r="S392" s="31">
        <f t="shared" si="263"/>
        <v>-50.069999999999993</v>
      </c>
      <c r="T392" s="31">
        <f t="shared" si="263"/>
        <v>-44.069999999999993</v>
      </c>
      <c r="U392" s="31">
        <f t="shared" si="263"/>
        <v>-44.069999999999993</v>
      </c>
      <c r="V392" s="31">
        <f t="shared" si="263"/>
        <v>-44.069999999999993</v>
      </c>
      <c r="W392" s="31">
        <f t="shared" si="263"/>
        <v>-50.069999999999993</v>
      </c>
    </row>
    <row r="393" spans="1:23" s="33" customFormat="1" x14ac:dyDescent="0.3">
      <c r="A393" s="405"/>
      <c r="B393" s="63" t="s">
        <v>199</v>
      </c>
      <c r="C393" s="64"/>
      <c r="D393" s="31">
        <f t="shared" si="262"/>
        <v>-50.069999999999993</v>
      </c>
      <c r="E393" s="31">
        <f t="shared" si="262"/>
        <v>-50.069999999999993</v>
      </c>
      <c r="F393" s="31">
        <f t="shared" ref="F393:W393" si="264">+F389-F$387</f>
        <v>-50.069999999999993</v>
      </c>
      <c r="G393" s="31">
        <f t="shared" si="264"/>
        <v>-50.069999999999993</v>
      </c>
      <c r="H393" s="31">
        <f t="shared" si="264"/>
        <v>-50.069999999999993</v>
      </c>
      <c r="I393" s="31">
        <f t="shared" si="264"/>
        <v>-50.069999999999993</v>
      </c>
      <c r="J393" s="31">
        <f t="shared" si="264"/>
        <v>-50.069999999999993</v>
      </c>
      <c r="K393" s="31">
        <f t="shared" si="264"/>
        <v>-50.069999999999993</v>
      </c>
      <c r="L393" s="31">
        <f t="shared" si="264"/>
        <v>-50.069999999999993</v>
      </c>
      <c r="M393" s="31">
        <f t="shared" si="264"/>
        <v>-50.069999999999993</v>
      </c>
      <c r="N393" s="31">
        <f t="shared" si="264"/>
        <v>-49.069999999999993</v>
      </c>
      <c r="O393" s="31">
        <f t="shared" si="264"/>
        <v>-49.069999999999993</v>
      </c>
      <c r="P393" s="31">
        <f t="shared" si="264"/>
        <v>-49.069999999999993</v>
      </c>
      <c r="Q393" s="31">
        <f t="shared" si="264"/>
        <v>-49.069999999999993</v>
      </c>
      <c r="R393" s="31">
        <f t="shared" si="264"/>
        <v>-49.069999999999993</v>
      </c>
      <c r="S393" s="31">
        <f t="shared" si="264"/>
        <v>-49.069999999999993</v>
      </c>
      <c r="T393" s="31">
        <f t="shared" si="264"/>
        <v>-43.069999999999993</v>
      </c>
      <c r="U393" s="31">
        <f t="shared" si="264"/>
        <v>-43.069999999999993</v>
      </c>
      <c r="V393" s="31">
        <f t="shared" si="264"/>
        <v>-43.069999999999993</v>
      </c>
      <c r="W393" s="31">
        <f t="shared" si="264"/>
        <v>-49.069999999999993</v>
      </c>
    </row>
    <row r="394" spans="1:23" s="33" customFormat="1" x14ac:dyDescent="0.3">
      <c r="A394" s="405"/>
      <c r="B394" s="63" t="s">
        <v>200</v>
      </c>
      <c r="C394" s="64"/>
      <c r="D394" s="31">
        <f t="shared" si="262"/>
        <v>-49.069999999999993</v>
      </c>
      <c r="E394" s="31">
        <f t="shared" si="262"/>
        <v>-49.069999999999993</v>
      </c>
      <c r="F394" s="31">
        <f t="shared" ref="F394:W394" si="265">+F390-F$387</f>
        <v>-49.069999999999993</v>
      </c>
      <c r="G394" s="31">
        <f t="shared" si="265"/>
        <v>-49.069999999999993</v>
      </c>
      <c r="H394" s="31">
        <f t="shared" si="265"/>
        <v>-49.069999999999993</v>
      </c>
      <c r="I394" s="31">
        <f t="shared" si="265"/>
        <v>-49.069999999999993</v>
      </c>
      <c r="J394" s="31">
        <f t="shared" si="265"/>
        <v>-49.069999999999993</v>
      </c>
      <c r="K394" s="31">
        <f t="shared" si="265"/>
        <v>-49.069999999999993</v>
      </c>
      <c r="L394" s="31">
        <f t="shared" si="265"/>
        <v>-49.069999999999993</v>
      </c>
      <c r="M394" s="31">
        <f t="shared" si="265"/>
        <v>-49.069999999999993</v>
      </c>
      <c r="N394" s="31">
        <f t="shared" si="265"/>
        <v>-48.069999999999993</v>
      </c>
      <c r="O394" s="31">
        <f t="shared" si="265"/>
        <v>-48.069999999999993</v>
      </c>
      <c r="P394" s="31">
        <f t="shared" si="265"/>
        <v>-48.069999999999993</v>
      </c>
      <c r="Q394" s="31">
        <f t="shared" si="265"/>
        <v>-48.069999999999993</v>
      </c>
      <c r="R394" s="31">
        <f t="shared" si="265"/>
        <v>-48.069999999999993</v>
      </c>
      <c r="S394" s="31">
        <f t="shared" si="265"/>
        <v>-48.069999999999993</v>
      </c>
      <c r="T394" s="31">
        <f t="shared" si="265"/>
        <v>-42.069999999999993</v>
      </c>
      <c r="U394" s="31">
        <f t="shared" si="265"/>
        <v>-42.069999999999993</v>
      </c>
      <c r="V394" s="31">
        <f t="shared" si="265"/>
        <v>-42.069999999999993</v>
      </c>
      <c r="W394" s="31">
        <f t="shared" si="265"/>
        <v>-48.069999999999993</v>
      </c>
    </row>
    <row r="395" spans="1:23" s="33" customFormat="1" x14ac:dyDescent="0.3">
      <c r="A395" s="405"/>
      <c r="B395" s="63" t="s">
        <v>201</v>
      </c>
      <c r="C395" s="64"/>
      <c r="D395" s="31">
        <f t="shared" si="262"/>
        <v>-47.069999999999993</v>
      </c>
      <c r="E395" s="31">
        <f t="shared" si="262"/>
        <v>-47.069999999999993</v>
      </c>
      <c r="F395" s="31">
        <f t="shared" ref="F395:W395" si="266">+F391-F$387</f>
        <v>-47.069999999999993</v>
      </c>
      <c r="G395" s="31">
        <f t="shared" si="266"/>
        <v>-47.069999999999993</v>
      </c>
      <c r="H395" s="31">
        <f t="shared" si="266"/>
        <v>-47.069999999999993</v>
      </c>
      <c r="I395" s="31">
        <f t="shared" si="266"/>
        <v>-47.069999999999993</v>
      </c>
      <c r="J395" s="31">
        <f t="shared" si="266"/>
        <v>-47.069999999999993</v>
      </c>
      <c r="K395" s="31">
        <f t="shared" si="266"/>
        <v>-47.069999999999993</v>
      </c>
      <c r="L395" s="31">
        <f t="shared" si="266"/>
        <v>-47.069999999999993</v>
      </c>
      <c r="M395" s="31">
        <f t="shared" si="266"/>
        <v>-47.069999999999993</v>
      </c>
      <c r="N395" s="31">
        <f t="shared" si="266"/>
        <v>-46.069999999999993</v>
      </c>
      <c r="O395" s="31">
        <f t="shared" si="266"/>
        <v>-46.069999999999993</v>
      </c>
      <c r="P395" s="31">
        <f t="shared" si="266"/>
        <v>-46.069999999999993</v>
      </c>
      <c r="Q395" s="31">
        <f t="shared" si="266"/>
        <v>-46.069999999999993</v>
      </c>
      <c r="R395" s="31">
        <f t="shared" si="266"/>
        <v>-46.069999999999993</v>
      </c>
      <c r="S395" s="31">
        <f t="shared" si="266"/>
        <v>-46.069999999999993</v>
      </c>
      <c r="T395" s="31">
        <f t="shared" si="266"/>
        <v>-40.069999999999993</v>
      </c>
      <c r="U395" s="31">
        <f t="shared" si="266"/>
        <v>-40.069999999999993</v>
      </c>
      <c r="V395" s="31">
        <f t="shared" si="266"/>
        <v>-40.069999999999993</v>
      </c>
      <c r="W395" s="31">
        <f t="shared" si="266"/>
        <v>-46.069999999999993</v>
      </c>
    </row>
    <row r="396" spans="1:23" x14ac:dyDescent="0.3">
      <c r="B396" s="97" t="s">
        <v>202</v>
      </c>
      <c r="C396" s="98"/>
      <c r="D396" s="99">
        <f t="shared" ref="D396:E399" si="267">+D392/D388</f>
        <v>-0.89596491228070163</v>
      </c>
      <c r="E396" s="99">
        <f t="shared" si="267"/>
        <v>-0.89596491228070163</v>
      </c>
      <c r="F396" s="99">
        <f t="shared" ref="F396:W396" si="268">+F392/F388</f>
        <v>-0.89596491228070163</v>
      </c>
      <c r="G396" s="99">
        <f t="shared" si="268"/>
        <v>-0.89596491228070163</v>
      </c>
      <c r="H396" s="99">
        <f t="shared" si="268"/>
        <v>-0.89596491228070163</v>
      </c>
      <c r="I396" s="99">
        <f t="shared" si="268"/>
        <v>-0.89596491228070163</v>
      </c>
      <c r="J396" s="99">
        <f t="shared" si="268"/>
        <v>-0.89596491228070163</v>
      </c>
      <c r="K396" s="99">
        <f t="shared" si="268"/>
        <v>-0.89596491228070163</v>
      </c>
      <c r="L396" s="99">
        <f t="shared" si="268"/>
        <v>-0.89596491228070163</v>
      </c>
      <c r="M396" s="99">
        <f t="shared" si="268"/>
        <v>-0.89596491228070163</v>
      </c>
      <c r="N396" s="99">
        <f t="shared" si="268"/>
        <v>-0.86327586206896545</v>
      </c>
      <c r="O396" s="99">
        <f t="shared" si="268"/>
        <v>-0.86327586206896545</v>
      </c>
      <c r="P396" s="99">
        <f t="shared" si="268"/>
        <v>-0.86327586206896545</v>
      </c>
      <c r="Q396" s="99">
        <f t="shared" si="268"/>
        <v>-0.86327586206896545</v>
      </c>
      <c r="R396" s="99">
        <f t="shared" si="268"/>
        <v>-0.86327586206896545</v>
      </c>
      <c r="S396" s="99">
        <f t="shared" si="268"/>
        <v>-0.86327586206896545</v>
      </c>
      <c r="T396" s="99">
        <f t="shared" si="268"/>
        <v>-0.68859374999999989</v>
      </c>
      <c r="U396" s="99">
        <f t="shared" si="268"/>
        <v>-0.68859374999999989</v>
      </c>
      <c r="V396" s="99">
        <f t="shared" si="268"/>
        <v>-0.68859374999999989</v>
      </c>
      <c r="W396" s="99">
        <f t="shared" si="268"/>
        <v>-0.86327586206896545</v>
      </c>
    </row>
    <row r="397" spans="1:23" s="36" customFormat="1" x14ac:dyDescent="0.3">
      <c r="A397" s="406"/>
      <c r="B397" s="97" t="s">
        <v>203</v>
      </c>
      <c r="C397" s="98"/>
      <c r="D397" s="99">
        <f t="shared" si="267"/>
        <v>-0.86327586206896545</v>
      </c>
      <c r="E397" s="99">
        <f t="shared" si="267"/>
        <v>-0.86327586206896545</v>
      </c>
      <c r="F397" s="99">
        <f t="shared" ref="F397:W397" si="269">+F393/F389</f>
        <v>-0.86327586206896545</v>
      </c>
      <c r="G397" s="99">
        <f t="shared" si="269"/>
        <v>-0.86327586206896545</v>
      </c>
      <c r="H397" s="99">
        <f t="shared" si="269"/>
        <v>-0.86327586206896545</v>
      </c>
      <c r="I397" s="99">
        <f t="shared" si="269"/>
        <v>-0.86327586206896545</v>
      </c>
      <c r="J397" s="99">
        <f t="shared" si="269"/>
        <v>-0.86327586206896545</v>
      </c>
      <c r="K397" s="99">
        <f t="shared" si="269"/>
        <v>-0.86327586206896545</v>
      </c>
      <c r="L397" s="99">
        <f t="shared" si="269"/>
        <v>-0.86327586206896545</v>
      </c>
      <c r="M397" s="99">
        <f t="shared" si="269"/>
        <v>-0.86327586206896545</v>
      </c>
      <c r="N397" s="99">
        <f t="shared" si="269"/>
        <v>-0.83169491525423722</v>
      </c>
      <c r="O397" s="99">
        <f t="shared" si="269"/>
        <v>-0.83169491525423722</v>
      </c>
      <c r="P397" s="99">
        <f t="shared" si="269"/>
        <v>-0.83169491525423722</v>
      </c>
      <c r="Q397" s="99">
        <f t="shared" si="269"/>
        <v>-0.83169491525423722</v>
      </c>
      <c r="R397" s="99">
        <f t="shared" si="269"/>
        <v>-0.83169491525423722</v>
      </c>
      <c r="S397" s="99">
        <f t="shared" si="269"/>
        <v>-0.83169491525423722</v>
      </c>
      <c r="T397" s="99">
        <f t="shared" si="269"/>
        <v>-0.6626153846153845</v>
      </c>
      <c r="U397" s="99">
        <f t="shared" si="269"/>
        <v>-0.6626153846153845</v>
      </c>
      <c r="V397" s="99">
        <f t="shared" si="269"/>
        <v>-0.6626153846153845</v>
      </c>
      <c r="W397" s="99">
        <f t="shared" si="269"/>
        <v>-0.83169491525423722</v>
      </c>
    </row>
    <row r="398" spans="1:23" s="36" customFormat="1" x14ac:dyDescent="0.3">
      <c r="A398" s="406"/>
      <c r="B398" s="97" t="s">
        <v>204</v>
      </c>
      <c r="C398" s="98"/>
      <c r="D398" s="99">
        <f t="shared" si="267"/>
        <v>-0.83169491525423722</v>
      </c>
      <c r="E398" s="99">
        <f t="shared" si="267"/>
        <v>-0.83169491525423722</v>
      </c>
      <c r="F398" s="99">
        <f t="shared" ref="F398:W398" si="270">+F394/F390</f>
        <v>-0.83169491525423722</v>
      </c>
      <c r="G398" s="99">
        <f t="shared" si="270"/>
        <v>-0.83169491525423722</v>
      </c>
      <c r="H398" s="99">
        <f t="shared" si="270"/>
        <v>-0.83169491525423722</v>
      </c>
      <c r="I398" s="99">
        <f t="shared" si="270"/>
        <v>-0.83169491525423722</v>
      </c>
      <c r="J398" s="99">
        <f t="shared" si="270"/>
        <v>-0.83169491525423722</v>
      </c>
      <c r="K398" s="99">
        <f t="shared" si="270"/>
        <v>-0.83169491525423722</v>
      </c>
      <c r="L398" s="99">
        <f t="shared" si="270"/>
        <v>-0.83169491525423722</v>
      </c>
      <c r="M398" s="99">
        <f t="shared" si="270"/>
        <v>-0.83169491525423722</v>
      </c>
      <c r="N398" s="99">
        <f t="shared" si="270"/>
        <v>-0.80116666666666658</v>
      </c>
      <c r="O398" s="99">
        <f t="shared" si="270"/>
        <v>-0.80116666666666658</v>
      </c>
      <c r="P398" s="99">
        <f t="shared" si="270"/>
        <v>-0.80116666666666658</v>
      </c>
      <c r="Q398" s="99">
        <f t="shared" si="270"/>
        <v>-0.80116666666666658</v>
      </c>
      <c r="R398" s="99">
        <f t="shared" si="270"/>
        <v>-0.80116666666666658</v>
      </c>
      <c r="S398" s="99">
        <f t="shared" si="270"/>
        <v>-0.80116666666666658</v>
      </c>
      <c r="T398" s="99">
        <f t="shared" si="270"/>
        <v>-0.63742424242424234</v>
      </c>
      <c r="U398" s="99">
        <f t="shared" si="270"/>
        <v>-0.63742424242424234</v>
      </c>
      <c r="V398" s="99">
        <f t="shared" si="270"/>
        <v>-0.63742424242424234</v>
      </c>
      <c r="W398" s="99">
        <f t="shared" si="270"/>
        <v>-0.80116666666666658</v>
      </c>
    </row>
    <row r="399" spans="1:23" s="36" customFormat="1" x14ac:dyDescent="0.3">
      <c r="A399" s="406"/>
      <c r="B399" s="97" t="s">
        <v>205</v>
      </c>
      <c r="C399" s="98"/>
      <c r="D399" s="99">
        <f t="shared" si="267"/>
        <v>-0.77163934426229497</v>
      </c>
      <c r="E399" s="99">
        <f t="shared" si="267"/>
        <v>-0.77163934426229497</v>
      </c>
      <c r="F399" s="99">
        <f t="shared" ref="F399:W399" si="271">+F395/F391</f>
        <v>-0.77163934426229497</v>
      </c>
      <c r="G399" s="99">
        <f t="shared" si="271"/>
        <v>-0.77163934426229497</v>
      </c>
      <c r="H399" s="99">
        <f t="shared" si="271"/>
        <v>-0.77163934426229497</v>
      </c>
      <c r="I399" s="99">
        <f t="shared" si="271"/>
        <v>-0.77163934426229497</v>
      </c>
      <c r="J399" s="99">
        <f t="shared" si="271"/>
        <v>-0.77163934426229497</v>
      </c>
      <c r="K399" s="99">
        <f t="shared" si="271"/>
        <v>-0.77163934426229497</v>
      </c>
      <c r="L399" s="99">
        <f t="shared" si="271"/>
        <v>-0.77163934426229497</v>
      </c>
      <c r="M399" s="99">
        <f t="shared" si="271"/>
        <v>-0.77163934426229497</v>
      </c>
      <c r="N399" s="99">
        <f t="shared" si="271"/>
        <v>-0.74306451612903213</v>
      </c>
      <c r="O399" s="99">
        <f t="shared" si="271"/>
        <v>-0.74306451612903213</v>
      </c>
      <c r="P399" s="99">
        <f t="shared" si="271"/>
        <v>-0.74306451612903213</v>
      </c>
      <c r="Q399" s="99">
        <f t="shared" si="271"/>
        <v>-0.74306451612903213</v>
      </c>
      <c r="R399" s="99">
        <f t="shared" si="271"/>
        <v>-0.74306451612903213</v>
      </c>
      <c r="S399" s="99">
        <f t="shared" si="271"/>
        <v>-0.74306451612903213</v>
      </c>
      <c r="T399" s="99">
        <f t="shared" si="271"/>
        <v>-0.5892647058823528</v>
      </c>
      <c r="U399" s="99">
        <f t="shared" si="271"/>
        <v>-0.5892647058823528</v>
      </c>
      <c r="V399" s="99">
        <f t="shared" si="271"/>
        <v>-0.5892647058823528</v>
      </c>
      <c r="W399" s="99">
        <f t="shared" si="271"/>
        <v>-0.74306451612903213</v>
      </c>
    </row>
    <row r="400" spans="1:23" ht="21" thickBot="1" x14ac:dyDescent="0.35"/>
    <row r="401" spans="1:23" s="19" customFormat="1" ht="24" thickBot="1" x14ac:dyDescent="0.4">
      <c r="A401" s="19" t="s">
        <v>287</v>
      </c>
      <c r="B401" s="345" t="s">
        <v>84</v>
      </c>
      <c r="C401" s="68"/>
      <c r="D401" s="17" t="s">
        <v>5</v>
      </c>
      <c r="E401" s="18" t="s">
        <v>6</v>
      </c>
      <c r="F401" s="18" t="s">
        <v>7</v>
      </c>
      <c r="G401" s="18" t="s">
        <v>8</v>
      </c>
      <c r="H401" s="18" t="s">
        <v>9</v>
      </c>
      <c r="I401" s="18" t="s">
        <v>10</v>
      </c>
      <c r="J401" s="18" t="s">
        <v>11</v>
      </c>
      <c r="K401" s="18" t="s">
        <v>12</v>
      </c>
      <c r="L401" s="18" t="s">
        <v>13</v>
      </c>
      <c r="M401" s="18" t="s">
        <v>14</v>
      </c>
      <c r="N401" s="18" t="s">
        <v>15</v>
      </c>
      <c r="O401" s="18" t="s">
        <v>16</v>
      </c>
      <c r="P401" s="18" t="s">
        <v>17</v>
      </c>
      <c r="Q401" s="18" t="s">
        <v>18</v>
      </c>
      <c r="R401" s="18" t="s">
        <v>19</v>
      </c>
      <c r="S401" s="18" t="s">
        <v>20</v>
      </c>
      <c r="T401" s="18" t="s">
        <v>21</v>
      </c>
      <c r="U401" s="18" t="s">
        <v>22</v>
      </c>
      <c r="V401" s="18" t="s">
        <v>23</v>
      </c>
      <c r="W401" s="18" t="s">
        <v>166</v>
      </c>
    </row>
    <row r="402" spans="1:23" s="33" customFormat="1" x14ac:dyDescent="0.3">
      <c r="A402" s="405"/>
      <c r="B402" s="63" t="s">
        <v>50</v>
      </c>
      <c r="C402" s="64"/>
      <c r="D402" s="31">
        <v>310</v>
      </c>
      <c r="E402" s="31">
        <v>310</v>
      </c>
      <c r="F402" s="31">
        <v>310</v>
      </c>
      <c r="G402" s="31">
        <v>310</v>
      </c>
      <c r="H402" s="31">
        <v>310</v>
      </c>
      <c r="I402" s="31">
        <v>310</v>
      </c>
      <c r="J402" s="31">
        <v>310</v>
      </c>
      <c r="K402" s="31">
        <v>310</v>
      </c>
      <c r="L402" s="31">
        <v>310</v>
      </c>
      <c r="M402" s="31">
        <v>310</v>
      </c>
      <c r="N402" s="31">
        <v>310</v>
      </c>
      <c r="O402" s="31">
        <v>310</v>
      </c>
      <c r="P402" s="31">
        <v>310</v>
      </c>
      <c r="Q402" s="31">
        <v>310</v>
      </c>
      <c r="R402" s="31">
        <v>310</v>
      </c>
      <c r="S402" s="31">
        <v>310</v>
      </c>
      <c r="T402" s="31">
        <v>310</v>
      </c>
      <c r="U402" s="31">
        <v>310</v>
      </c>
      <c r="V402" s="31">
        <v>310</v>
      </c>
      <c r="W402" s="31">
        <v>310</v>
      </c>
    </row>
    <row r="403" spans="1:23" ht="23" x14ac:dyDescent="0.35">
      <c r="B403" s="340" t="s">
        <v>51</v>
      </c>
      <c r="C403" s="341"/>
      <c r="D403" s="363"/>
      <c r="E403" s="363"/>
      <c r="F403" s="363"/>
      <c r="G403" s="363"/>
      <c r="H403" s="363"/>
      <c r="I403" s="363"/>
      <c r="J403" s="363"/>
      <c r="K403" s="363"/>
      <c r="L403" s="363"/>
      <c r="M403" s="363"/>
      <c r="N403" s="363"/>
      <c r="O403" s="363"/>
      <c r="P403" s="363"/>
      <c r="Q403" s="363"/>
      <c r="R403" s="363"/>
      <c r="S403" s="363"/>
      <c r="T403" s="363"/>
      <c r="U403" s="363"/>
      <c r="V403" s="363"/>
      <c r="W403" s="363"/>
    </row>
    <row r="404" spans="1:23" x14ac:dyDescent="0.3">
      <c r="B404" s="54"/>
      <c r="C404" s="55"/>
      <c r="D404" s="20">
        <f t="shared" ref="D404:V404" si="272">D402*(1-D403)</f>
        <v>310</v>
      </c>
      <c r="E404" s="20">
        <f t="shared" si="272"/>
        <v>310</v>
      </c>
      <c r="F404" s="20">
        <f t="shared" si="272"/>
        <v>310</v>
      </c>
      <c r="G404" s="20">
        <f t="shared" si="272"/>
        <v>310</v>
      </c>
      <c r="H404" s="20">
        <f t="shared" si="272"/>
        <v>310</v>
      </c>
      <c r="I404" s="20">
        <f t="shared" si="272"/>
        <v>310</v>
      </c>
      <c r="J404" s="20">
        <f t="shared" si="272"/>
        <v>310</v>
      </c>
      <c r="K404" s="20">
        <f t="shared" si="272"/>
        <v>310</v>
      </c>
      <c r="L404" s="20">
        <f t="shared" si="272"/>
        <v>310</v>
      </c>
      <c r="M404" s="20">
        <f t="shared" si="272"/>
        <v>310</v>
      </c>
      <c r="N404" s="20">
        <f t="shared" si="272"/>
        <v>310</v>
      </c>
      <c r="O404" s="20">
        <f t="shared" si="272"/>
        <v>310</v>
      </c>
      <c r="P404" s="20">
        <f t="shared" si="272"/>
        <v>310</v>
      </c>
      <c r="Q404" s="20">
        <f t="shared" si="272"/>
        <v>310</v>
      </c>
      <c r="R404" s="20">
        <f t="shared" si="272"/>
        <v>310</v>
      </c>
      <c r="S404" s="20">
        <f t="shared" si="272"/>
        <v>310</v>
      </c>
      <c r="T404" s="20">
        <f t="shared" si="272"/>
        <v>310</v>
      </c>
      <c r="U404" s="20">
        <f t="shared" si="272"/>
        <v>310</v>
      </c>
      <c r="V404" s="20">
        <f t="shared" si="272"/>
        <v>310</v>
      </c>
      <c r="W404" s="20">
        <f>W402*(1-W403)</f>
        <v>310</v>
      </c>
    </row>
    <row r="405" spans="1:23" x14ac:dyDescent="0.3">
      <c r="B405" s="54" t="s">
        <v>51</v>
      </c>
      <c r="C405" s="56">
        <v>0</v>
      </c>
      <c r="D405" s="20">
        <f t="shared" ref="D405:W405" si="273">D404*$C405</f>
        <v>0</v>
      </c>
      <c r="E405" s="20">
        <f t="shared" si="273"/>
        <v>0</v>
      </c>
      <c r="F405" s="20">
        <f t="shared" si="273"/>
        <v>0</v>
      </c>
      <c r="G405" s="20">
        <f t="shared" si="273"/>
        <v>0</v>
      </c>
      <c r="H405" s="20">
        <f t="shared" si="273"/>
        <v>0</v>
      </c>
      <c r="I405" s="20">
        <f t="shared" si="273"/>
        <v>0</v>
      </c>
      <c r="J405" s="20">
        <f t="shared" si="273"/>
        <v>0</v>
      </c>
      <c r="K405" s="20">
        <f t="shared" si="273"/>
        <v>0</v>
      </c>
      <c r="L405" s="20">
        <f t="shared" si="273"/>
        <v>0</v>
      </c>
      <c r="M405" s="20">
        <f t="shared" si="273"/>
        <v>0</v>
      </c>
      <c r="N405" s="20">
        <f t="shared" si="273"/>
        <v>0</v>
      </c>
      <c r="O405" s="20">
        <f t="shared" si="273"/>
        <v>0</v>
      </c>
      <c r="P405" s="20">
        <f t="shared" si="273"/>
        <v>0</v>
      </c>
      <c r="Q405" s="20">
        <f t="shared" si="273"/>
        <v>0</v>
      </c>
      <c r="R405" s="20">
        <f t="shared" si="273"/>
        <v>0</v>
      </c>
      <c r="S405" s="20">
        <f t="shared" si="273"/>
        <v>0</v>
      </c>
      <c r="T405" s="20">
        <f t="shared" si="273"/>
        <v>0</v>
      </c>
      <c r="U405" s="20">
        <f t="shared" si="273"/>
        <v>0</v>
      </c>
      <c r="V405" s="20">
        <f t="shared" si="273"/>
        <v>0</v>
      </c>
      <c r="W405" s="20">
        <f t="shared" si="273"/>
        <v>0</v>
      </c>
    </row>
    <row r="406" spans="1:23" x14ac:dyDescent="0.3">
      <c r="B406" s="54" t="s">
        <v>67</v>
      </c>
      <c r="C406" s="55"/>
      <c r="D406" s="20">
        <f t="shared" ref="D406:W406" si="274">D404-D405</f>
        <v>310</v>
      </c>
      <c r="E406" s="20">
        <f t="shared" si="274"/>
        <v>310</v>
      </c>
      <c r="F406" s="20">
        <f t="shared" si="274"/>
        <v>310</v>
      </c>
      <c r="G406" s="20">
        <f t="shared" si="274"/>
        <v>310</v>
      </c>
      <c r="H406" s="20">
        <f t="shared" si="274"/>
        <v>310</v>
      </c>
      <c r="I406" s="20">
        <f t="shared" si="274"/>
        <v>310</v>
      </c>
      <c r="J406" s="20">
        <f t="shared" si="274"/>
        <v>310</v>
      </c>
      <c r="K406" s="20">
        <f t="shared" si="274"/>
        <v>310</v>
      </c>
      <c r="L406" s="20">
        <f t="shared" si="274"/>
        <v>310</v>
      </c>
      <c r="M406" s="20">
        <f t="shared" si="274"/>
        <v>310</v>
      </c>
      <c r="N406" s="20">
        <f t="shared" si="274"/>
        <v>310</v>
      </c>
      <c r="O406" s="20">
        <f t="shared" si="274"/>
        <v>310</v>
      </c>
      <c r="P406" s="20">
        <f t="shared" si="274"/>
        <v>310</v>
      </c>
      <c r="Q406" s="20">
        <f t="shared" si="274"/>
        <v>310</v>
      </c>
      <c r="R406" s="20">
        <f t="shared" si="274"/>
        <v>310</v>
      </c>
      <c r="S406" s="20">
        <f t="shared" si="274"/>
        <v>310</v>
      </c>
      <c r="T406" s="20">
        <f t="shared" si="274"/>
        <v>310</v>
      </c>
      <c r="U406" s="20">
        <f t="shared" si="274"/>
        <v>310</v>
      </c>
      <c r="V406" s="20">
        <f t="shared" si="274"/>
        <v>310</v>
      </c>
      <c r="W406" s="20">
        <f t="shared" si="274"/>
        <v>310</v>
      </c>
    </row>
    <row r="407" spans="1:23" x14ac:dyDescent="0.3">
      <c r="B407" s="54" t="s">
        <v>66</v>
      </c>
      <c r="C407" s="56">
        <v>7.0000000000000007E-2</v>
      </c>
      <c r="D407" s="20">
        <f t="shared" ref="D407:W407" si="275">D406*$C407</f>
        <v>21.700000000000003</v>
      </c>
      <c r="E407" s="20">
        <f t="shared" si="275"/>
        <v>21.700000000000003</v>
      </c>
      <c r="F407" s="20">
        <f t="shared" si="275"/>
        <v>21.700000000000003</v>
      </c>
      <c r="G407" s="20">
        <f t="shared" si="275"/>
        <v>21.700000000000003</v>
      </c>
      <c r="H407" s="20">
        <f t="shared" si="275"/>
        <v>21.700000000000003</v>
      </c>
      <c r="I407" s="20">
        <f t="shared" si="275"/>
        <v>21.700000000000003</v>
      </c>
      <c r="J407" s="20">
        <f t="shared" si="275"/>
        <v>21.700000000000003</v>
      </c>
      <c r="K407" s="20">
        <f t="shared" si="275"/>
        <v>21.700000000000003</v>
      </c>
      <c r="L407" s="20">
        <f t="shared" si="275"/>
        <v>21.700000000000003</v>
      </c>
      <c r="M407" s="20">
        <f t="shared" si="275"/>
        <v>21.700000000000003</v>
      </c>
      <c r="N407" s="20">
        <f t="shared" si="275"/>
        <v>21.700000000000003</v>
      </c>
      <c r="O407" s="20">
        <f t="shared" si="275"/>
        <v>21.700000000000003</v>
      </c>
      <c r="P407" s="20">
        <f t="shared" si="275"/>
        <v>21.700000000000003</v>
      </c>
      <c r="Q407" s="20">
        <f t="shared" si="275"/>
        <v>21.700000000000003</v>
      </c>
      <c r="R407" s="20">
        <f t="shared" si="275"/>
        <v>21.700000000000003</v>
      </c>
      <c r="S407" s="20">
        <f t="shared" si="275"/>
        <v>21.700000000000003</v>
      </c>
      <c r="T407" s="20">
        <f t="shared" si="275"/>
        <v>21.700000000000003</v>
      </c>
      <c r="U407" s="20">
        <f t="shared" si="275"/>
        <v>21.700000000000003</v>
      </c>
      <c r="V407" s="20">
        <f t="shared" si="275"/>
        <v>21.700000000000003</v>
      </c>
      <c r="W407" s="20">
        <f t="shared" si="275"/>
        <v>21.700000000000003</v>
      </c>
    </row>
    <row r="408" spans="1:23" x14ac:dyDescent="0.3">
      <c r="B408" s="54" t="s">
        <v>68</v>
      </c>
      <c r="C408" s="55"/>
      <c r="D408" s="20">
        <f>D406+D407</f>
        <v>331.7</v>
      </c>
      <c r="E408" s="20">
        <f t="shared" ref="E408:V408" si="276">E406+E407</f>
        <v>331.7</v>
      </c>
      <c r="F408" s="20">
        <f t="shared" si="276"/>
        <v>331.7</v>
      </c>
      <c r="G408" s="20">
        <f t="shared" si="276"/>
        <v>331.7</v>
      </c>
      <c r="H408" s="20">
        <f t="shared" si="276"/>
        <v>331.7</v>
      </c>
      <c r="I408" s="20">
        <f t="shared" si="276"/>
        <v>331.7</v>
      </c>
      <c r="J408" s="20">
        <f t="shared" si="276"/>
        <v>331.7</v>
      </c>
      <c r="K408" s="20">
        <f t="shared" si="276"/>
        <v>331.7</v>
      </c>
      <c r="L408" s="20">
        <f t="shared" si="276"/>
        <v>331.7</v>
      </c>
      <c r="M408" s="20">
        <f t="shared" si="276"/>
        <v>331.7</v>
      </c>
      <c r="N408" s="20">
        <f t="shared" si="276"/>
        <v>331.7</v>
      </c>
      <c r="O408" s="20">
        <f t="shared" si="276"/>
        <v>331.7</v>
      </c>
      <c r="P408" s="20">
        <f t="shared" si="276"/>
        <v>331.7</v>
      </c>
      <c r="Q408" s="20">
        <f t="shared" si="276"/>
        <v>331.7</v>
      </c>
      <c r="R408" s="20">
        <f t="shared" si="276"/>
        <v>331.7</v>
      </c>
      <c r="S408" s="20">
        <f t="shared" si="276"/>
        <v>331.7</v>
      </c>
      <c r="T408" s="20">
        <f t="shared" si="276"/>
        <v>331.7</v>
      </c>
      <c r="U408" s="20">
        <f t="shared" si="276"/>
        <v>331.7</v>
      </c>
      <c r="V408" s="20">
        <f t="shared" si="276"/>
        <v>331.7</v>
      </c>
      <c r="W408" s="20">
        <f>W406+W407</f>
        <v>331.7</v>
      </c>
    </row>
    <row r="409" spans="1:23" ht="23" x14ac:dyDescent="0.35">
      <c r="B409" s="357" t="s">
        <v>52</v>
      </c>
      <c r="C409" s="352"/>
      <c r="D409" s="381"/>
      <c r="E409" s="381"/>
      <c r="F409" s="381"/>
      <c r="G409" s="381"/>
      <c r="H409" s="381"/>
      <c r="I409" s="381"/>
      <c r="J409" s="381"/>
      <c r="K409" s="381"/>
      <c r="L409" s="381"/>
      <c r="M409" s="381"/>
      <c r="N409" s="381"/>
      <c r="O409" s="381"/>
      <c r="P409" s="381"/>
      <c r="Q409" s="381"/>
      <c r="R409" s="381"/>
      <c r="S409" s="381"/>
      <c r="T409" s="381"/>
      <c r="U409" s="381"/>
      <c r="V409" s="381"/>
      <c r="W409" s="381"/>
    </row>
    <row r="410" spans="1:23" x14ac:dyDescent="0.3">
      <c r="B410" s="57" t="s">
        <v>53</v>
      </c>
      <c r="C410" s="58"/>
      <c r="D410" s="25">
        <f>SUM(D408:D409)</f>
        <v>331.7</v>
      </c>
      <c r="E410" s="26">
        <f t="shared" ref="E410:V410" si="277">SUM(E408:E409)</f>
        <v>331.7</v>
      </c>
      <c r="F410" s="26">
        <f t="shared" si="277"/>
        <v>331.7</v>
      </c>
      <c r="G410" s="26">
        <f t="shared" si="277"/>
        <v>331.7</v>
      </c>
      <c r="H410" s="26">
        <f t="shared" si="277"/>
        <v>331.7</v>
      </c>
      <c r="I410" s="26">
        <f t="shared" si="277"/>
        <v>331.7</v>
      </c>
      <c r="J410" s="26">
        <f t="shared" si="277"/>
        <v>331.7</v>
      </c>
      <c r="K410" s="26">
        <f t="shared" si="277"/>
        <v>331.7</v>
      </c>
      <c r="L410" s="26">
        <f t="shared" si="277"/>
        <v>331.7</v>
      </c>
      <c r="M410" s="26">
        <f t="shared" si="277"/>
        <v>331.7</v>
      </c>
      <c r="N410" s="26">
        <f t="shared" si="277"/>
        <v>331.7</v>
      </c>
      <c r="O410" s="26">
        <f t="shared" si="277"/>
        <v>331.7</v>
      </c>
      <c r="P410" s="26">
        <f t="shared" si="277"/>
        <v>331.7</v>
      </c>
      <c r="Q410" s="26">
        <f t="shared" si="277"/>
        <v>331.7</v>
      </c>
      <c r="R410" s="26">
        <f t="shared" si="277"/>
        <v>331.7</v>
      </c>
      <c r="S410" s="26">
        <f t="shared" si="277"/>
        <v>331.7</v>
      </c>
      <c r="T410" s="26">
        <f t="shared" si="277"/>
        <v>331.7</v>
      </c>
      <c r="U410" s="26">
        <f t="shared" si="277"/>
        <v>331.7</v>
      </c>
      <c r="V410" s="26">
        <f t="shared" si="277"/>
        <v>331.7</v>
      </c>
      <c r="W410" s="26">
        <f>SUM(W408:W409)</f>
        <v>331.7</v>
      </c>
    </row>
    <row r="411" spans="1:23" ht="23" x14ac:dyDescent="0.35">
      <c r="B411" s="336" t="s">
        <v>54</v>
      </c>
      <c r="C411" s="337"/>
      <c r="D411" s="338"/>
      <c r="E411" s="338"/>
      <c r="F411" s="338"/>
      <c r="G411" s="338"/>
      <c r="H411" s="338"/>
      <c r="I411" s="338"/>
      <c r="J411" s="338"/>
      <c r="K411" s="338"/>
      <c r="L411" s="338"/>
      <c r="M411" s="338"/>
      <c r="N411" s="338"/>
      <c r="O411" s="338"/>
      <c r="P411" s="338"/>
      <c r="Q411" s="338"/>
      <c r="R411" s="338"/>
      <c r="S411" s="338"/>
      <c r="T411" s="338"/>
      <c r="U411" s="338"/>
      <c r="V411" s="338"/>
      <c r="W411" s="338"/>
    </row>
    <row r="412" spans="1:23" ht="23" x14ac:dyDescent="0.35">
      <c r="B412" s="353" t="s">
        <v>55</v>
      </c>
      <c r="C412" s="354"/>
      <c r="D412" s="355">
        <f>D410</f>
        <v>331.7</v>
      </c>
      <c r="E412" s="356">
        <f t="shared" ref="E412:W412" si="278">E410</f>
        <v>331.7</v>
      </c>
      <c r="F412" s="356">
        <f t="shared" si="278"/>
        <v>331.7</v>
      </c>
      <c r="G412" s="356">
        <f t="shared" si="278"/>
        <v>331.7</v>
      </c>
      <c r="H412" s="356">
        <f t="shared" si="278"/>
        <v>331.7</v>
      </c>
      <c r="I412" s="356">
        <f t="shared" si="278"/>
        <v>331.7</v>
      </c>
      <c r="J412" s="356">
        <f t="shared" si="278"/>
        <v>331.7</v>
      </c>
      <c r="K412" s="356">
        <f t="shared" si="278"/>
        <v>331.7</v>
      </c>
      <c r="L412" s="356">
        <f t="shared" si="278"/>
        <v>331.7</v>
      </c>
      <c r="M412" s="356">
        <f t="shared" si="278"/>
        <v>331.7</v>
      </c>
      <c r="N412" s="356">
        <f t="shared" si="278"/>
        <v>331.7</v>
      </c>
      <c r="O412" s="356">
        <f t="shared" si="278"/>
        <v>331.7</v>
      </c>
      <c r="P412" s="356">
        <f t="shared" si="278"/>
        <v>331.7</v>
      </c>
      <c r="Q412" s="356">
        <f t="shared" si="278"/>
        <v>331.7</v>
      </c>
      <c r="R412" s="356">
        <f t="shared" si="278"/>
        <v>331.7</v>
      </c>
      <c r="S412" s="356">
        <f t="shared" si="278"/>
        <v>331.7</v>
      </c>
      <c r="T412" s="356">
        <f t="shared" si="278"/>
        <v>331.7</v>
      </c>
      <c r="U412" s="356">
        <f t="shared" si="278"/>
        <v>331.7</v>
      </c>
      <c r="V412" s="356">
        <f t="shared" si="278"/>
        <v>331.7</v>
      </c>
      <c r="W412" s="356">
        <f t="shared" si="278"/>
        <v>331.7</v>
      </c>
    </row>
    <row r="413" spans="1:23" x14ac:dyDescent="0.3">
      <c r="B413" s="171" t="s">
        <v>194</v>
      </c>
      <c r="C413" s="55"/>
      <c r="D413" s="20">
        <v>189</v>
      </c>
      <c r="E413" s="21">
        <v>189</v>
      </c>
      <c r="F413" s="21">
        <v>189</v>
      </c>
      <c r="G413" s="21">
        <v>189</v>
      </c>
      <c r="H413" s="21">
        <v>189</v>
      </c>
      <c r="I413" s="21">
        <v>173</v>
      </c>
      <c r="J413" s="21">
        <v>173</v>
      </c>
      <c r="K413" s="21">
        <v>173</v>
      </c>
      <c r="L413" s="21">
        <v>173</v>
      </c>
      <c r="M413" s="21">
        <v>173</v>
      </c>
      <c r="N413" s="21">
        <v>190</v>
      </c>
      <c r="O413" s="21">
        <v>190</v>
      </c>
      <c r="P413" s="21">
        <v>190</v>
      </c>
      <c r="Q413" s="21">
        <v>190</v>
      </c>
      <c r="R413" s="21">
        <v>190</v>
      </c>
      <c r="S413" s="21">
        <v>190</v>
      </c>
      <c r="T413" s="21">
        <v>189</v>
      </c>
      <c r="U413" s="21">
        <v>189</v>
      </c>
      <c r="V413" s="21">
        <v>188</v>
      </c>
      <c r="W413" s="21">
        <v>190</v>
      </c>
    </row>
    <row r="414" spans="1:23" s="51" customFormat="1" x14ac:dyDescent="0.3">
      <c r="A414" s="407"/>
      <c r="B414" s="61" t="s">
        <v>195</v>
      </c>
      <c r="C414" s="62"/>
      <c r="D414" s="28">
        <v>190</v>
      </c>
      <c r="E414" s="28">
        <v>190</v>
      </c>
      <c r="F414" s="28">
        <v>190</v>
      </c>
      <c r="G414" s="28">
        <v>190</v>
      </c>
      <c r="H414" s="28">
        <v>190</v>
      </c>
      <c r="I414" s="28">
        <v>174</v>
      </c>
      <c r="J414" s="28">
        <v>174</v>
      </c>
      <c r="K414" s="28">
        <v>174</v>
      </c>
      <c r="L414" s="28">
        <v>174</v>
      </c>
      <c r="M414" s="28">
        <v>174</v>
      </c>
      <c r="N414" s="28">
        <v>191</v>
      </c>
      <c r="O414" s="28">
        <v>191</v>
      </c>
      <c r="P414" s="28">
        <v>191</v>
      </c>
      <c r="Q414" s="28">
        <v>191</v>
      </c>
      <c r="R414" s="28">
        <v>191</v>
      </c>
      <c r="S414" s="28">
        <v>191</v>
      </c>
      <c r="T414" s="28">
        <v>190</v>
      </c>
      <c r="U414" s="28">
        <v>190</v>
      </c>
      <c r="V414" s="28">
        <v>189</v>
      </c>
      <c r="W414" s="28">
        <v>191</v>
      </c>
    </row>
    <row r="415" spans="1:23" s="51" customFormat="1" x14ac:dyDescent="0.3">
      <c r="A415" s="407"/>
      <c r="B415" s="61" t="s">
        <v>196</v>
      </c>
      <c r="C415" s="62"/>
      <c r="D415" s="28">
        <v>195</v>
      </c>
      <c r="E415" s="28">
        <v>195</v>
      </c>
      <c r="F415" s="28">
        <v>195</v>
      </c>
      <c r="G415" s="28">
        <v>195</v>
      </c>
      <c r="H415" s="28">
        <v>195</v>
      </c>
      <c r="I415" s="28">
        <v>179</v>
      </c>
      <c r="J415" s="28">
        <v>179</v>
      </c>
      <c r="K415" s="28">
        <v>179</v>
      </c>
      <c r="L415" s="28">
        <v>179</v>
      </c>
      <c r="M415" s="28">
        <v>179</v>
      </c>
      <c r="N415" s="28">
        <v>196</v>
      </c>
      <c r="O415" s="28">
        <v>196</v>
      </c>
      <c r="P415" s="28">
        <v>196</v>
      </c>
      <c r="Q415" s="28">
        <v>196</v>
      </c>
      <c r="R415" s="28">
        <v>196</v>
      </c>
      <c r="S415" s="28">
        <v>196</v>
      </c>
      <c r="T415" s="28">
        <v>195</v>
      </c>
      <c r="U415" s="28">
        <v>195</v>
      </c>
      <c r="V415" s="28">
        <v>194</v>
      </c>
      <c r="W415" s="28">
        <v>196</v>
      </c>
    </row>
    <row r="416" spans="1:23" s="51" customFormat="1" x14ac:dyDescent="0.3">
      <c r="A416" s="407"/>
      <c r="B416" s="61" t="s">
        <v>197</v>
      </c>
      <c r="C416" s="62"/>
      <c r="D416" s="28">
        <v>200</v>
      </c>
      <c r="E416" s="28">
        <v>200</v>
      </c>
      <c r="F416" s="28">
        <v>200</v>
      </c>
      <c r="G416" s="28">
        <v>200</v>
      </c>
      <c r="H416" s="28">
        <v>200</v>
      </c>
      <c r="I416" s="28">
        <v>184</v>
      </c>
      <c r="J416" s="28">
        <v>184</v>
      </c>
      <c r="K416" s="28">
        <v>184</v>
      </c>
      <c r="L416" s="28">
        <v>184</v>
      </c>
      <c r="M416" s="28">
        <v>184</v>
      </c>
      <c r="N416" s="28">
        <v>201</v>
      </c>
      <c r="O416" s="28">
        <v>201</v>
      </c>
      <c r="P416" s="28">
        <v>201</v>
      </c>
      <c r="Q416" s="28">
        <v>201</v>
      </c>
      <c r="R416" s="28">
        <v>201</v>
      </c>
      <c r="S416" s="28">
        <v>201</v>
      </c>
      <c r="T416" s="28">
        <v>200</v>
      </c>
      <c r="U416" s="28">
        <v>200</v>
      </c>
      <c r="V416" s="28">
        <v>199</v>
      </c>
      <c r="W416" s="28">
        <v>201</v>
      </c>
    </row>
    <row r="417" spans="1:23" s="30" customFormat="1" x14ac:dyDescent="0.3">
      <c r="A417" s="404"/>
      <c r="B417" s="63" t="s">
        <v>198</v>
      </c>
      <c r="C417" s="62"/>
      <c r="D417" s="31">
        <f>+D413-D$412</f>
        <v>-142.69999999999999</v>
      </c>
      <c r="E417" s="31">
        <f t="shared" ref="D417:E420" si="279">+E413-E$412</f>
        <v>-142.69999999999999</v>
      </c>
      <c r="F417" s="31">
        <f t="shared" ref="F417:W417" si="280">+F413-F$412</f>
        <v>-142.69999999999999</v>
      </c>
      <c r="G417" s="31">
        <f t="shared" si="280"/>
        <v>-142.69999999999999</v>
      </c>
      <c r="H417" s="31">
        <f t="shared" si="280"/>
        <v>-142.69999999999999</v>
      </c>
      <c r="I417" s="31">
        <f t="shared" si="280"/>
        <v>-158.69999999999999</v>
      </c>
      <c r="J417" s="31">
        <f t="shared" si="280"/>
        <v>-158.69999999999999</v>
      </c>
      <c r="K417" s="31">
        <f t="shared" si="280"/>
        <v>-158.69999999999999</v>
      </c>
      <c r="L417" s="31">
        <f t="shared" si="280"/>
        <v>-158.69999999999999</v>
      </c>
      <c r="M417" s="31">
        <f t="shared" si="280"/>
        <v>-158.69999999999999</v>
      </c>
      <c r="N417" s="31">
        <f t="shared" si="280"/>
        <v>-141.69999999999999</v>
      </c>
      <c r="O417" s="31">
        <f t="shared" si="280"/>
        <v>-141.69999999999999</v>
      </c>
      <c r="P417" s="31">
        <f t="shared" si="280"/>
        <v>-141.69999999999999</v>
      </c>
      <c r="Q417" s="31">
        <f t="shared" si="280"/>
        <v>-141.69999999999999</v>
      </c>
      <c r="R417" s="31">
        <f t="shared" si="280"/>
        <v>-141.69999999999999</v>
      </c>
      <c r="S417" s="31">
        <f t="shared" si="280"/>
        <v>-141.69999999999999</v>
      </c>
      <c r="T417" s="31">
        <f t="shared" si="280"/>
        <v>-142.69999999999999</v>
      </c>
      <c r="U417" s="31">
        <f t="shared" si="280"/>
        <v>-142.69999999999999</v>
      </c>
      <c r="V417" s="31">
        <f t="shared" si="280"/>
        <v>-143.69999999999999</v>
      </c>
      <c r="W417" s="31">
        <f t="shared" si="280"/>
        <v>-141.69999999999999</v>
      </c>
    </row>
    <row r="418" spans="1:23" s="33" customFormat="1" x14ac:dyDescent="0.3">
      <c r="A418" s="405"/>
      <c r="B418" s="63" t="s">
        <v>199</v>
      </c>
      <c r="C418" s="64"/>
      <c r="D418" s="31">
        <f t="shared" si="279"/>
        <v>-141.69999999999999</v>
      </c>
      <c r="E418" s="32">
        <f t="shared" si="279"/>
        <v>-141.69999999999999</v>
      </c>
      <c r="F418" s="32">
        <f t="shared" ref="F418:W418" si="281">+F414-F$412</f>
        <v>-141.69999999999999</v>
      </c>
      <c r="G418" s="32">
        <f t="shared" si="281"/>
        <v>-141.69999999999999</v>
      </c>
      <c r="H418" s="32">
        <f t="shared" si="281"/>
        <v>-141.69999999999999</v>
      </c>
      <c r="I418" s="32">
        <f t="shared" si="281"/>
        <v>-157.69999999999999</v>
      </c>
      <c r="J418" s="32">
        <f t="shared" si="281"/>
        <v>-157.69999999999999</v>
      </c>
      <c r="K418" s="32">
        <f t="shared" si="281"/>
        <v>-157.69999999999999</v>
      </c>
      <c r="L418" s="32">
        <f t="shared" si="281"/>
        <v>-157.69999999999999</v>
      </c>
      <c r="M418" s="32">
        <f t="shared" si="281"/>
        <v>-157.69999999999999</v>
      </c>
      <c r="N418" s="32">
        <f t="shared" si="281"/>
        <v>-140.69999999999999</v>
      </c>
      <c r="O418" s="32">
        <f t="shared" si="281"/>
        <v>-140.69999999999999</v>
      </c>
      <c r="P418" s="32">
        <f t="shared" si="281"/>
        <v>-140.69999999999999</v>
      </c>
      <c r="Q418" s="32">
        <f t="shared" si="281"/>
        <v>-140.69999999999999</v>
      </c>
      <c r="R418" s="32">
        <f t="shared" si="281"/>
        <v>-140.69999999999999</v>
      </c>
      <c r="S418" s="32">
        <f t="shared" si="281"/>
        <v>-140.69999999999999</v>
      </c>
      <c r="T418" s="32">
        <f t="shared" si="281"/>
        <v>-141.69999999999999</v>
      </c>
      <c r="U418" s="32">
        <f t="shared" si="281"/>
        <v>-141.69999999999999</v>
      </c>
      <c r="V418" s="32">
        <f t="shared" si="281"/>
        <v>-142.69999999999999</v>
      </c>
      <c r="W418" s="32">
        <f t="shared" si="281"/>
        <v>-140.69999999999999</v>
      </c>
    </row>
    <row r="419" spans="1:23" s="33" customFormat="1" x14ac:dyDescent="0.3">
      <c r="A419" s="405"/>
      <c r="B419" s="63" t="s">
        <v>200</v>
      </c>
      <c r="C419" s="64"/>
      <c r="D419" s="31">
        <f t="shared" si="279"/>
        <v>-136.69999999999999</v>
      </c>
      <c r="E419" s="32">
        <f t="shared" si="279"/>
        <v>-136.69999999999999</v>
      </c>
      <c r="F419" s="32">
        <f t="shared" ref="F419:W419" si="282">+F415-F$412</f>
        <v>-136.69999999999999</v>
      </c>
      <c r="G419" s="32">
        <f t="shared" si="282"/>
        <v>-136.69999999999999</v>
      </c>
      <c r="H419" s="32">
        <f t="shared" si="282"/>
        <v>-136.69999999999999</v>
      </c>
      <c r="I419" s="32">
        <f t="shared" si="282"/>
        <v>-152.69999999999999</v>
      </c>
      <c r="J419" s="32">
        <f t="shared" si="282"/>
        <v>-152.69999999999999</v>
      </c>
      <c r="K419" s="32">
        <f t="shared" si="282"/>
        <v>-152.69999999999999</v>
      </c>
      <c r="L419" s="32">
        <f t="shared" si="282"/>
        <v>-152.69999999999999</v>
      </c>
      <c r="M419" s="32">
        <f t="shared" si="282"/>
        <v>-152.69999999999999</v>
      </c>
      <c r="N419" s="32">
        <f t="shared" si="282"/>
        <v>-135.69999999999999</v>
      </c>
      <c r="O419" s="32">
        <f t="shared" si="282"/>
        <v>-135.69999999999999</v>
      </c>
      <c r="P419" s="32">
        <f t="shared" si="282"/>
        <v>-135.69999999999999</v>
      </c>
      <c r="Q419" s="32">
        <f t="shared" si="282"/>
        <v>-135.69999999999999</v>
      </c>
      <c r="R419" s="32">
        <f t="shared" si="282"/>
        <v>-135.69999999999999</v>
      </c>
      <c r="S419" s="32">
        <f t="shared" si="282"/>
        <v>-135.69999999999999</v>
      </c>
      <c r="T419" s="32">
        <f t="shared" si="282"/>
        <v>-136.69999999999999</v>
      </c>
      <c r="U419" s="32">
        <f t="shared" si="282"/>
        <v>-136.69999999999999</v>
      </c>
      <c r="V419" s="32">
        <f t="shared" si="282"/>
        <v>-137.69999999999999</v>
      </c>
      <c r="W419" s="32">
        <f t="shared" si="282"/>
        <v>-135.69999999999999</v>
      </c>
    </row>
    <row r="420" spans="1:23" s="33" customFormat="1" x14ac:dyDescent="0.3">
      <c r="A420" s="405"/>
      <c r="B420" s="63" t="s">
        <v>201</v>
      </c>
      <c r="C420" s="64"/>
      <c r="D420" s="31">
        <f t="shared" si="279"/>
        <v>-131.69999999999999</v>
      </c>
      <c r="E420" s="32">
        <f t="shared" si="279"/>
        <v>-131.69999999999999</v>
      </c>
      <c r="F420" s="32">
        <f t="shared" ref="F420:W420" si="283">+F416-F$412</f>
        <v>-131.69999999999999</v>
      </c>
      <c r="G420" s="32">
        <f t="shared" si="283"/>
        <v>-131.69999999999999</v>
      </c>
      <c r="H420" s="32">
        <f t="shared" si="283"/>
        <v>-131.69999999999999</v>
      </c>
      <c r="I420" s="32">
        <f t="shared" si="283"/>
        <v>-147.69999999999999</v>
      </c>
      <c r="J420" s="32">
        <f t="shared" si="283"/>
        <v>-147.69999999999999</v>
      </c>
      <c r="K420" s="32">
        <f t="shared" si="283"/>
        <v>-147.69999999999999</v>
      </c>
      <c r="L420" s="32">
        <f t="shared" si="283"/>
        <v>-147.69999999999999</v>
      </c>
      <c r="M420" s="32">
        <f t="shared" si="283"/>
        <v>-147.69999999999999</v>
      </c>
      <c r="N420" s="32">
        <f t="shared" si="283"/>
        <v>-130.69999999999999</v>
      </c>
      <c r="O420" s="32">
        <f t="shared" si="283"/>
        <v>-130.69999999999999</v>
      </c>
      <c r="P420" s="32">
        <f t="shared" si="283"/>
        <v>-130.69999999999999</v>
      </c>
      <c r="Q420" s="32">
        <f t="shared" si="283"/>
        <v>-130.69999999999999</v>
      </c>
      <c r="R420" s="32">
        <f t="shared" si="283"/>
        <v>-130.69999999999999</v>
      </c>
      <c r="S420" s="32">
        <f t="shared" si="283"/>
        <v>-130.69999999999999</v>
      </c>
      <c r="T420" s="32">
        <f t="shared" si="283"/>
        <v>-131.69999999999999</v>
      </c>
      <c r="U420" s="32">
        <f t="shared" si="283"/>
        <v>-131.69999999999999</v>
      </c>
      <c r="V420" s="32">
        <f t="shared" si="283"/>
        <v>-132.69999999999999</v>
      </c>
      <c r="W420" s="32">
        <f t="shared" si="283"/>
        <v>-130.69999999999999</v>
      </c>
    </row>
    <row r="421" spans="1:23" x14ac:dyDescent="0.3">
      <c r="B421" s="97" t="s">
        <v>202</v>
      </c>
      <c r="C421" s="98"/>
      <c r="D421" s="99">
        <f t="shared" ref="D421:E424" si="284">D417/D413</f>
        <v>-0.75502645502645493</v>
      </c>
      <c r="E421" s="99">
        <f t="shared" si="284"/>
        <v>-0.75502645502645493</v>
      </c>
      <c r="F421" s="99">
        <f t="shared" ref="F421:W421" si="285">F417/F413</f>
        <v>-0.75502645502645493</v>
      </c>
      <c r="G421" s="99">
        <f t="shared" si="285"/>
        <v>-0.75502645502645493</v>
      </c>
      <c r="H421" s="99">
        <f t="shared" si="285"/>
        <v>-0.75502645502645493</v>
      </c>
      <c r="I421" s="99">
        <f t="shared" si="285"/>
        <v>-0.9173410404624277</v>
      </c>
      <c r="J421" s="99">
        <f t="shared" si="285"/>
        <v>-0.9173410404624277</v>
      </c>
      <c r="K421" s="99">
        <f t="shared" si="285"/>
        <v>-0.9173410404624277</v>
      </c>
      <c r="L421" s="99">
        <f t="shared" si="285"/>
        <v>-0.9173410404624277</v>
      </c>
      <c r="M421" s="99">
        <f t="shared" si="285"/>
        <v>-0.9173410404624277</v>
      </c>
      <c r="N421" s="99">
        <f t="shared" si="285"/>
        <v>-0.74578947368421045</v>
      </c>
      <c r="O421" s="99">
        <f t="shared" si="285"/>
        <v>-0.74578947368421045</v>
      </c>
      <c r="P421" s="99">
        <f t="shared" si="285"/>
        <v>-0.74578947368421045</v>
      </c>
      <c r="Q421" s="99">
        <f t="shared" si="285"/>
        <v>-0.74578947368421045</v>
      </c>
      <c r="R421" s="99">
        <f t="shared" si="285"/>
        <v>-0.74578947368421045</v>
      </c>
      <c r="S421" s="99">
        <f t="shared" si="285"/>
        <v>-0.74578947368421045</v>
      </c>
      <c r="T421" s="99">
        <f t="shared" si="285"/>
        <v>-0.75502645502645493</v>
      </c>
      <c r="U421" s="99">
        <f t="shared" si="285"/>
        <v>-0.75502645502645493</v>
      </c>
      <c r="V421" s="99">
        <f t="shared" si="285"/>
        <v>-0.76436170212765953</v>
      </c>
      <c r="W421" s="99">
        <f t="shared" si="285"/>
        <v>-0.74578947368421045</v>
      </c>
    </row>
    <row r="422" spans="1:23" s="36" customFormat="1" x14ac:dyDescent="0.3">
      <c r="A422" s="406"/>
      <c r="B422" s="97" t="s">
        <v>203</v>
      </c>
      <c r="C422" s="98"/>
      <c r="D422" s="99">
        <f t="shared" si="284"/>
        <v>-0.74578947368421045</v>
      </c>
      <c r="E422" s="99">
        <f t="shared" si="284"/>
        <v>-0.74578947368421045</v>
      </c>
      <c r="F422" s="99">
        <f t="shared" ref="F422:W422" si="286">F418/F414</f>
        <v>-0.74578947368421045</v>
      </c>
      <c r="G422" s="99">
        <f t="shared" si="286"/>
        <v>-0.74578947368421045</v>
      </c>
      <c r="H422" s="99">
        <f t="shared" si="286"/>
        <v>-0.74578947368421045</v>
      </c>
      <c r="I422" s="99">
        <f t="shared" si="286"/>
        <v>-0.90632183908045971</v>
      </c>
      <c r="J422" s="99">
        <f t="shared" si="286"/>
        <v>-0.90632183908045971</v>
      </c>
      <c r="K422" s="99">
        <f t="shared" si="286"/>
        <v>-0.90632183908045971</v>
      </c>
      <c r="L422" s="99">
        <f t="shared" si="286"/>
        <v>-0.90632183908045971</v>
      </c>
      <c r="M422" s="99">
        <f t="shared" si="286"/>
        <v>-0.90632183908045971</v>
      </c>
      <c r="N422" s="99">
        <f t="shared" si="286"/>
        <v>-0.7366492146596858</v>
      </c>
      <c r="O422" s="99">
        <f t="shared" si="286"/>
        <v>-0.7366492146596858</v>
      </c>
      <c r="P422" s="99">
        <f t="shared" si="286"/>
        <v>-0.7366492146596858</v>
      </c>
      <c r="Q422" s="99">
        <f t="shared" si="286"/>
        <v>-0.7366492146596858</v>
      </c>
      <c r="R422" s="99">
        <f t="shared" si="286"/>
        <v>-0.7366492146596858</v>
      </c>
      <c r="S422" s="99">
        <f t="shared" si="286"/>
        <v>-0.7366492146596858</v>
      </c>
      <c r="T422" s="99">
        <f t="shared" si="286"/>
        <v>-0.74578947368421045</v>
      </c>
      <c r="U422" s="99">
        <f t="shared" si="286"/>
        <v>-0.74578947368421045</v>
      </c>
      <c r="V422" s="99">
        <f t="shared" si="286"/>
        <v>-0.75502645502645493</v>
      </c>
      <c r="W422" s="99">
        <f t="shared" si="286"/>
        <v>-0.7366492146596858</v>
      </c>
    </row>
    <row r="423" spans="1:23" s="36" customFormat="1" x14ac:dyDescent="0.3">
      <c r="A423" s="406"/>
      <c r="B423" s="97" t="s">
        <v>204</v>
      </c>
      <c r="C423" s="98"/>
      <c r="D423" s="99">
        <f t="shared" si="284"/>
        <v>-0.70102564102564102</v>
      </c>
      <c r="E423" s="99">
        <f t="shared" si="284"/>
        <v>-0.70102564102564102</v>
      </c>
      <c r="F423" s="99">
        <f t="shared" ref="F423:W423" si="287">F419/F415</f>
        <v>-0.70102564102564102</v>
      </c>
      <c r="G423" s="99">
        <f t="shared" si="287"/>
        <v>-0.70102564102564102</v>
      </c>
      <c r="H423" s="99">
        <f t="shared" si="287"/>
        <v>-0.70102564102564102</v>
      </c>
      <c r="I423" s="99">
        <f t="shared" si="287"/>
        <v>-0.85307262569832398</v>
      </c>
      <c r="J423" s="99">
        <f t="shared" si="287"/>
        <v>-0.85307262569832398</v>
      </c>
      <c r="K423" s="99">
        <f t="shared" si="287"/>
        <v>-0.85307262569832398</v>
      </c>
      <c r="L423" s="99">
        <f t="shared" si="287"/>
        <v>-0.85307262569832398</v>
      </c>
      <c r="M423" s="99">
        <f t="shared" si="287"/>
        <v>-0.85307262569832398</v>
      </c>
      <c r="N423" s="99">
        <f t="shared" si="287"/>
        <v>-0.69234693877551012</v>
      </c>
      <c r="O423" s="99">
        <f t="shared" si="287"/>
        <v>-0.69234693877551012</v>
      </c>
      <c r="P423" s="99">
        <f t="shared" si="287"/>
        <v>-0.69234693877551012</v>
      </c>
      <c r="Q423" s="99">
        <f t="shared" si="287"/>
        <v>-0.69234693877551012</v>
      </c>
      <c r="R423" s="99">
        <f t="shared" si="287"/>
        <v>-0.69234693877551012</v>
      </c>
      <c r="S423" s="99">
        <f t="shared" si="287"/>
        <v>-0.69234693877551012</v>
      </c>
      <c r="T423" s="99">
        <f t="shared" si="287"/>
        <v>-0.70102564102564102</v>
      </c>
      <c r="U423" s="99">
        <f t="shared" si="287"/>
        <v>-0.70102564102564102</v>
      </c>
      <c r="V423" s="99">
        <f t="shared" si="287"/>
        <v>-0.70979381443298961</v>
      </c>
      <c r="W423" s="99">
        <f t="shared" si="287"/>
        <v>-0.69234693877551012</v>
      </c>
    </row>
    <row r="424" spans="1:23" s="36" customFormat="1" x14ac:dyDescent="0.3">
      <c r="A424" s="406"/>
      <c r="B424" s="97" t="s">
        <v>205</v>
      </c>
      <c r="C424" s="98"/>
      <c r="D424" s="99">
        <f t="shared" si="284"/>
        <v>-0.65849999999999997</v>
      </c>
      <c r="E424" s="99">
        <f t="shared" si="284"/>
        <v>-0.65849999999999997</v>
      </c>
      <c r="F424" s="99">
        <f t="shared" ref="F424:W424" si="288">F420/F416</f>
        <v>-0.65849999999999997</v>
      </c>
      <c r="G424" s="99">
        <f t="shared" si="288"/>
        <v>-0.65849999999999997</v>
      </c>
      <c r="H424" s="99">
        <f t="shared" si="288"/>
        <v>-0.65849999999999997</v>
      </c>
      <c r="I424" s="99">
        <f t="shared" si="288"/>
        <v>-0.80271739130434772</v>
      </c>
      <c r="J424" s="99">
        <f t="shared" si="288"/>
        <v>-0.80271739130434772</v>
      </c>
      <c r="K424" s="99">
        <f t="shared" si="288"/>
        <v>-0.80271739130434772</v>
      </c>
      <c r="L424" s="99">
        <f t="shared" si="288"/>
        <v>-0.80271739130434772</v>
      </c>
      <c r="M424" s="99">
        <f t="shared" si="288"/>
        <v>-0.80271739130434772</v>
      </c>
      <c r="N424" s="99">
        <f t="shared" si="288"/>
        <v>-0.65024875621890543</v>
      </c>
      <c r="O424" s="99">
        <f t="shared" si="288"/>
        <v>-0.65024875621890543</v>
      </c>
      <c r="P424" s="99">
        <f t="shared" si="288"/>
        <v>-0.65024875621890543</v>
      </c>
      <c r="Q424" s="99">
        <f t="shared" si="288"/>
        <v>-0.65024875621890543</v>
      </c>
      <c r="R424" s="99">
        <f t="shared" si="288"/>
        <v>-0.65024875621890543</v>
      </c>
      <c r="S424" s="99">
        <f t="shared" si="288"/>
        <v>-0.65024875621890543</v>
      </c>
      <c r="T424" s="99">
        <f t="shared" si="288"/>
        <v>-0.65849999999999997</v>
      </c>
      <c r="U424" s="99">
        <f t="shared" si="288"/>
        <v>-0.65849999999999997</v>
      </c>
      <c r="V424" s="99">
        <f t="shared" si="288"/>
        <v>-0.66683417085427132</v>
      </c>
      <c r="W424" s="99">
        <f t="shared" si="288"/>
        <v>-0.65024875621890543</v>
      </c>
    </row>
    <row r="425" spans="1:23" ht="21" thickBot="1" x14ac:dyDescent="0.35"/>
    <row r="426" spans="1:23" s="19" customFormat="1" ht="24" thickBot="1" x14ac:dyDescent="0.4">
      <c r="A426" s="19" t="s">
        <v>288</v>
      </c>
      <c r="B426" s="345" t="s">
        <v>85</v>
      </c>
      <c r="C426" s="68"/>
      <c r="D426" s="17" t="s">
        <v>5</v>
      </c>
      <c r="E426" s="18" t="s">
        <v>6</v>
      </c>
      <c r="F426" s="18" t="s">
        <v>7</v>
      </c>
      <c r="G426" s="18" t="s">
        <v>8</v>
      </c>
      <c r="H426" s="18" t="s">
        <v>9</v>
      </c>
      <c r="I426" s="18" t="s">
        <v>10</v>
      </c>
      <c r="J426" s="18" t="s">
        <v>11</v>
      </c>
      <c r="K426" s="18" t="s">
        <v>12</v>
      </c>
      <c r="L426" s="18" t="s">
        <v>13</v>
      </c>
      <c r="M426" s="18" t="s">
        <v>14</v>
      </c>
      <c r="N426" s="18" t="s">
        <v>15</v>
      </c>
      <c r="O426" s="18" t="s">
        <v>16</v>
      </c>
      <c r="P426" s="18" t="s">
        <v>17</v>
      </c>
      <c r="Q426" s="18" t="s">
        <v>18</v>
      </c>
      <c r="R426" s="18" t="s">
        <v>19</v>
      </c>
      <c r="S426" s="18" t="s">
        <v>20</v>
      </c>
      <c r="T426" s="18" t="s">
        <v>21</v>
      </c>
      <c r="U426" s="18" t="s">
        <v>22</v>
      </c>
      <c r="V426" s="18" t="s">
        <v>23</v>
      </c>
      <c r="W426" s="18" t="s">
        <v>166</v>
      </c>
    </row>
    <row r="427" spans="1:23" s="33" customFormat="1" x14ac:dyDescent="0.3">
      <c r="A427" s="405"/>
      <c r="B427" s="63" t="s">
        <v>50</v>
      </c>
      <c r="C427" s="64"/>
      <c r="D427" s="31">
        <v>420</v>
      </c>
      <c r="E427" s="34">
        <v>420</v>
      </c>
      <c r="F427" s="34">
        <v>420</v>
      </c>
      <c r="G427" s="34">
        <v>420</v>
      </c>
      <c r="H427" s="34">
        <v>420</v>
      </c>
      <c r="I427" s="34">
        <v>420</v>
      </c>
      <c r="J427" s="34">
        <v>420</v>
      </c>
      <c r="K427" s="34">
        <v>420</v>
      </c>
      <c r="L427" s="34">
        <v>420</v>
      </c>
      <c r="M427" s="34">
        <v>420</v>
      </c>
      <c r="N427" s="34">
        <v>420</v>
      </c>
      <c r="O427" s="34">
        <v>420</v>
      </c>
      <c r="P427" s="34">
        <v>420</v>
      </c>
      <c r="Q427" s="34">
        <v>420</v>
      </c>
      <c r="R427" s="34">
        <v>420</v>
      </c>
      <c r="S427" s="34">
        <v>420</v>
      </c>
      <c r="T427" s="34">
        <v>420</v>
      </c>
      <c r="U427" s="34">
        <v>420</v>
      </c>
      <c r="V427" s="34">
        <v>420</v>
      </c>
      <c r="W427" s="34">
        <v>420</v>
      </c>
    </row>
    <row r="428" spans="1:23" ht="23" x14ac:dyDescent="0.35">
      <c r="B428" s="340" t="s">
        <v>51</v>
      </c>
      <c r="C428" s="341"/>
      <c r="D428" s="363"/>
      <c r="E428" s="363"/>
      <c r="F428" s="363"/>
      <c r="G428" s="363"/>
      <c r="H428" s="363"/>
      <c r="I428" s="363"/>
      <c r="J428" s="363"/>
      <c r="K428" s="363"/>
      <c r="L428" s="363"/>
      <c r="M428" s="363"/>
      <c r="N428" s="363"/>
      <c r="O428" s="363"/>
      <c r="P428" s="363"/>
      <c r="Q428" s="363"/>
      <c r="R428" s="363"/>
      <c r="S428" s="363"/>
      <c r="T428" s="363"/>
      <c r="U428" s="363"/>
      <c r="V428" s="363"/>
      <c r="W428" s="363"/>
    </row>
    <row r="429" spans="1:23" x14ac:dyDescent="0.3">
      <c r="B429" s="54"/>
      <c r="C429" s="55"/>
      <c r="D429" s="20">
        <f t="shared" ref="D429:V429" si="289">D427*(1-D428)</f>
        <v>420</v>
      </c>
      <c r="E429" s="20">
        <f t="shared" si="289"/>
        <v>420</v>
      </c>
      <c r="F429" s="20">
        <f t="shared" si="289"/>
        <v>420</v>
      </c>
      <c r="G429" s="20">
        <f t="shared" si="289"/>
        <v>420</v>
      </c>
      <c r="H429" s="20">
        <f t="shared" si="289"/>
        <v>420</v>
      </c>
      <c r="I429" s="20">
        <f t="shared" si="289"/>
        <v>420</v>
      </c>
      <c r="J429" s="20">
        <f t="shared" si="289"/>
        <v>420</v>
      </c>
      <c r="K429" s="20">
        <f t="shared" si="289"/>
        <v>420</v>
      </c>
      <c r="L429" s="20">
        <f t="shared" si="289"/>
        <v>420</v>
      </c>
      <c r="M429" s="20">
        <f t="shared" si="289"/>
        <v>420</v>
      </c>
      <c r="N429" s="20">
        <f t="shared" si="289"/>
        <v>420</v>
      </c>
      <c r="O429" s="20">
        <f t="shared" si="289"/>
        <v>420</v>
      </c>
      <c r="P429" s="20">
        <f t="shared" si="289"/>
        <v>420</v>
      </c>
      <c r="Q429" s="20">
        <f t="shared" si="289"/>
        <v>420</v>
      </c>
      <c r="R429" s="20">
        <f t="shared" si="289"/>
        <v>420</v>
      </c>
      <c r="S429" s="20">
        <f t="shared" si="289"/>
        <v>420</v>
      </c>
      <c r="T429" s="20">
        <f t="shared" si="289"/>
        <v>420</v>
      </c>
      <c r="U429" s="20">
        <f t="shared" si="289"/>
        <v>420</v>
      </c>
      <c r="V429" s="20">
        <f t="shared" si="289"/>
        <v>420</v>
      </c>
      <c r="W429" s="20">
        <f>W427*(1-W428)</f>
        <v>420</v>
      </c>
    </row>
    <row r="430" spans="1:23" x14ac:dyDescent="0.3">
      <c r="B430" s="54" t="s">
        <v>51</v>
      </c>
      <c r="C430" s="56">
        <v>0</v>
      </c>
      <c r="D430" s="20">
        <f>D429*$C430</f>
        <v>0</v>
      </c>
      <c r="E430" s="20">
        <f t="shared" ref="E430:V430" si="290">E429*$C430</f>
        <v>0</v>
      </c>
      <c r="F430" s="20">
        <f t="shared" si="290"/>
        <v>0</v>
      </c>
      <c r="G430" s="20">
        <f t="shared" si="290"/>
        <v>0</v>
      </c>
      <c r="H430" s="20">
        <f t="shared" si="290"/>
        <v>0</v>
      </c>
      <c r="I430" s="20">
        <f t="shared" si="290"/>
        <v>0</v>
      </c>
      <c r="J430" s="20">
        <f t="shared" si="290"/>
        <v>0</v>
      </c>
      <c r="K430" s="20">
        <f t="shared" si="290"/>
        <v>0</v>
      </c>
      <c r="L430" s="20">
        <f t="shared" si="290"/>
        <v>0</v>
      </c>
      <c r="M430" s="20">
        <f t="shared" si="290"/>
        <v>0</v>
      </c>
      <c r="N430" s="20">
        <f t="shared" si="290"/>
        <v>0</v>
      </c>
      <c r="O430" s="20">
        <f t="shared" si="290"/>
        <v>0</v>
      </c>
      <c r="P430" s="20">
        <f t="shared" si="290"/>
        <v>0</v>
      </c>
      <c r="Q430" s="20">
        <f t="shared" si="290"/>
        <v>0</v>
      </c>
      <c r="R430" s="20">
        <f t="shared" si="290"/>
        <v>0</v>
      </c>
      <c r="S430" s="20">
        <f t="shared" si="290"/>
        <v>0</v>
      </c>
      <c r="T430" s="20">
        <f t="shared" si="290"/>
        <v>0</v>
      </c>
      <c r="U430" s="20">
        <f t="shared" si="290"/>
        <v>0</v>
      </c>
      <c r="V430" s="20">
        <f t="shared" si="290"/>
        <v>0</v>
      </c>
      <c r="W430" s="20">
        <f>W429*$C430</f>
        <v>0</v>
      </c>
    </row>
    <row r="431" spans="1:23" x14ac:dyDescent="0.3">
      <c r="B431" s="54" t="s">
        <v>67</v>
      </c>
      <c r="C431" s="55"/>
      <c r="D431" s="20">
        <f>D429-D430</f>
        <v>420</v>
      </c>
      <c r="E431" s="20">
        <f t="shared" ref="E431:V431" si="291">E429-E430</f>
        <v>420</v>
      </c>
      <c r="F431" s="20">
        <f t="shared" si="291"/>
        <v>420</v>
      </c>
      <c r="G431" s="20">
        <f t="shared" si="291"/>
        <v>420</v>
      </c>
      <c r="H431" s="20">
        <f t="shared" si="291"/>
        <v>420</v>
      </c>
      <c r="I431" s="20">
        <f t="shared" si="291"/>
        <v>420</v>
      </c>
      <c r="J431" s="20">
        <f t="shared" si="291"/>
        <v>420</v>
      </c>
      <c r="K431" s="20">
        <f t="shared" si="291"/>
        <v>420</v>
      </c>
      <c r="L431" s="20">
        <f t="shared" si="291"/>
        <v>420</v>
      </c>
      <c r="M431" s="20">
        <f t="shared" si="291"/>
        <v>420</v>
      </c>
      <c r="N431" s="20">
        <f t="shared" si="291"/>
        <v>420</v>
      </c>
      <c r="O431" s="20">
        <f t="shared" si="291"/>
        <v>420</v>
      </c>
      <c r="P431" s="20">
        <f t="shared" si="291"/>
        <v>420</v>
      </c>
      <c r="Q431" s="20">
        <f t="shared" si="291"/>
        <v>420</v>
      </c>
      <c r="R431" s="20">
        <f t="shared" si="291"/>
        <v>420</v>
      </c>
      <c r="S431" s="20">
        <f t="shared" si="291"/>
        <v>420</v>
      </c>
      <c r="T431" s="20">
        <f t="shared" si="291"/>
        <v>420</v>
      </c>
      <c r="U431" s="20">
        <f t="shared" si="291"/>
        <v>420</v>
      </c>
      <c r="V431" s="20">
        <f t="shared" si="291"/>
        <v>420</v>
      </c>
      <c r="W431" s="20">
        <f>W429-W430</f>
        <v>420</v>
      </c>
    </row>
    <row r="432" spans="1:23" x14ac:dyDescent="0.3">
      <c r="B432" s="54" t="s">
        <v>66</v>
      </c>
      <c r="C432" s="56">
        <v>7.0000000000000007E-2</v>
      </c>
      <c r="D432" s="20">
        <f>D431*$C432</f>
        <v>29.400000000000002</v>
      </c>
      <c r="E432" s="20">
        <f t="shared" ref="E432:V432" si="292">E431*$C432</f>
        <v>29.400000000000002</v>
      </c>
      <c r="F432" s="20">
        <f t="shared" si="292"/>
        <v>29.400000000000002</v>
      </c>
      <c r="G432" s="20">
        <f t="shared" si="292"/>
        <v>29.400000000000002</v>
      </c>
      <c r="H432" s="20">
        <f t="shared" si="292"/>
        <v>29.400000000000002</v>
      </c>
      <c r="I432" s="20">
        <f t="shared" si="292"/>
        <v>29.400000000000002</v>
      </c>
      <c r="J432" s="20">
        <f t="shared" si="292"/>
        <v>29.400000000000002</v>
      </c>
      <c r="K432" s="20">
        <f t="shared" si="292"/>
        <v>29.400000000000002</v>
      </c>
      <c r="L432" s="20">
        <f t="shared" si="292"/>
        <v>29.400000000000002</v>
      </c>
      <c r="M432" s="20">
        <f t="shared" si="292"/>
        <v>29.400000000000002</v>
      </c>
      <c r="N432" s="20">
        <f t="shared" si="292"/>
        <v>29.400000000000002</v>
      </c>
      <c r="O432" s="20">
        <f t="shared" si="292"/>
        <v>29.400000000000002</v>
      </c>
      <c r="P432" s="20">
        <f t="shared" si="292"/>
        <v>29.400000000000002</v>
      </c>
      <c r="Q432" s="20">
        <f t="shared" si="292"/>
        <v>29.400000000000002</v>
      </c>
      <c r="R432" s="20">
        <f t="shared" si="292"/>
        <v>29.400000000000002</v>
      </c>
      <c r="S432" s="20">
        <f t="shared" si="292"/>
        <v>29.400000000000002</v>
      </c>
      <c r="T432" s="20">
        <f t="shared" si="292"/>
        <v>29.400000000000002</v>
      </c>
      <c r="U432" s="20">
        <f t="shared" si="292"/>
        <v>29.400000000000002</v>
      </c>
      <c r="V432" s="20">
        <f t="shared" si="292"/>
        <v>29.400000000000002</v>
      </c>
      <c r="W432" s="20">
        <f>W431*$C432</f>
        <v>29.400000000000002</v>
      </c>
    </row>
    <row r="433" spans="1:23" x14ac:dyDescent="0.3">
      <c r="B433" s="54" t="s">
        <v>68</v>
      </c>
      <c r="C433" s="55"/>
      <c r="D433" s="20">
        <f>D431+D432</f>
        <v>449.4</v>
      </c>
      <c r="E433" s="20">
        <f t="shared" ref="E433:V433" si="293">E431+E432</f>
        <v>449.4</v>
      </c>
      <c r="F433" s="20">
        <f t="shared" si="293"/>
        <v>449.4</v>
      </c>
      <c r="G433" s="20">
        <f t="shared" si="293"/>
        <v>449.4</v>
      </c>
      <c r="H433" s="20">
        <f t="shared" si="293"/>
        <v>449.4</v>
      </c>
      <c r="I433" s="20">
        <f t="shared" si="293"/>
        <v>449.4</v>
      </c>
      <c r="J433" s="20">
        <f t="shared" si="293"/>
        <v>449.4</v>
      </c>
      <c r="K433" s="20">
        <f t="shared" si="293"/>
        <v>449.4</v>
      </c>
      <c r="L433" s="20">
        <f t="shared" si="293"/>
        <v>449.4</v>
      </c>
      <c r="M433" s="20">
        <f t="shared" si="293"/>
        <v>449.4</v>
      </c>
      <c r="N433" s="20">
        <f t="shared" si="293"/>
        <v>449.4</v>
      </c>
      <c r="O433" s="20">
        <f t="shared" si="293"/>
        <v>449.4</v>
      </c>
      <c r="P433" s="20">
        <f t="shared" si="293"/>
        <v>449.4</v>
      </c>
      <c r="Q433" s="20">
        <f t="shared" si="293"/>
        <v>449.4</v>
      </c>
      <c r="R433" s="20">
        <f t="shared" si="293"/>
        <v>449.4</v>
      </c>
      <c r="S433" s="20">
        <f t="shared" si="293"/>
        <v>449.4</v>
      </c>
      <c r="T433" s="20">
        <f t="shared" si="293"/>
        <v>449.4</v>
      </c>
      <c r="U433" s="20">
        <f t="shared" si="293"/>
        <v>449.4</v>
      </c>
      <c r="V433" s="20">
        <f t="shared" si="293"/>
        <v>449.4</v>
      </c>
      <c r="W433" s="20">
        <f>W431+W432</f>
        <v>449.4</v>
      </c>
    </row>
    <row r="434" spans="1:23" ht="23" x14ac:dyDescent="0.35">
      <c r="B434" s="357" t="s">
        <v>52</v>
      </c>
      <c r="C434" s="358"/>
      <c r="D434" s="381"/>
      <c r="E434" s="381"/>
      <c r="F434" s="381"/>
      <c r="G434" s="381"/>
      <c r="H434" s="381"/>
      <c r="I434" s="381"/>
      <c r="J434" s="381"/>
      <c r="K434" s="381"/>
      <c r="L434" s="381"/>
      <c r="M434" s="381"/>
      <c r="N434" s="381"/>
      <c r="O434" s="381"/>
      <c r="P434" s="381"/>
      <c r="Q434" s="381"/>
      <c r="R434" s="381"/>
      <c r="S434" s="381"/>
      <c r="T434" s="381"/>
      <c r="U434" s="381"/>
      <c r="V434" s="381"/>
      <c r="W434" s="381"/>
    </row>
    <row r="435" spans="1:23" x14ac:dyDescent="0.3">
      <c r="B435" s="57" t="s">
        <v>53</v>
      </c>
      <c r="C435" s="58"/>
      <c r="D435" s="25">
        <f>SUM(D433:D434)</f>
        <v>449.4</v>
      </c>
      <c r="E435" s="26">
        <f t="shared" ref="E435:V435" si="294">SUM(E433:E434)</f>
        <v>449.4</v>
      </c>
      <c r="F435" s="26">
        <f t="shared" si="294"/>
        <v>449.4</v>
      </c>
      <c r="G435" s="26">
        <f t="shared" si="294"/>
        <v>449.4</v>
      </c>
      <c r="H435" s="26">
        <f t="shared" si="294"/>
        <v>449.4</v>
      </c>
      <c r="I435" s="26">
        <f t="shared" si="294"/>
        <v>449.4</v>
      </c>
      <c r="J435" s="26">
        <f t="shared" si="294"/>
        <v>449.4</v>
      </c>
      <c r="K435" s="26">
        <f t="shared" si="294"/>
        <v>449.4</v>
      </c>
      <c r="L435" s="26">
        <f t="shared" si="294"/>
        <v>449.4</v>
      </c>
      <c r="M435" s="26">
        <f t="shared" si="294"/>
        <v>449.4</v>
      </c>
      <c r="N435" s="26">
        <f t="shared" si="294"/>
        <v>449.4</v>
      </c>
      <c r="O435" s="26">
        <f t="shared" si="294"/>
        <v>449.4</v>
      </c>
      <c r="P435" s="26">
        <f t="shared" si="294"/>
        <v>449.4</v>
      </c>
      <c r="Q435" s="26">
        <f t="shared" si="294"/>
        <v>449.4</v>
      </c>
      <c r="R435" s="26">
        <f t="shared" si="294"/>
        <v>449.4</v>
      </c>
      <c r="S435" s="26">
        <f t="shared" si="294"/>
        <v>449.4</v>
      </c>
      <c r="T435" s="26">
        <f t="shared" si="294"/>
        <v>449.4</v>
      </c>
      <c r="U435" s="26">
        <f t="shared" si="294"/>
        <v>449.4</v>
      </c>
      <c r="V435" s="26">
        <f t="shared" si="294"/>
        <v>449.4</v>
      </c>
      <c r="W435" s="26">
        <f>SUM(W433:W434)</f>
        <v>449.4</v>
      </c>
    </row>
    <row r="436" spans="1:23" ht="23" x14ac:dyDescent="0.35">
      <c r="B436" s="336" t="s">
        <v>54</v>
      </c>
      <c r="C436" s="337"/>
      <c r="D436" s="338"/>
      <c r="E436" s="338"/>
      <c r="F436" s="338"/>
      <c r="G436" s="338"/>
      <c r="H436" s="338"/>
      <c r="I436" s="338"/>
      <c r="J436" s="338"/>
      <c r="K436" s="338"/>
      <c r="L436" s="338"/>
      <c r="M436" s="338"/>
      <c r="N436" s="338"/>
      <c r="O436" s="338"/>
      <c r="P436" s="338"/>
      <c r="Q436" s="338"/>
      <c r="R436" s="338"/>
      <c r="S436" s="338"/>
      <c r="T436" s="338"/>
      <c r="U436" s="338"/>
      <c r="V436" s="338"/>
      <c r="W436" s="338"/>
    </row>
    <row r="437" spans="1:23" ht="23" x14ac:dyDescent="0.35">
      <c r="B437" s="353" t="s">
        <v>55</v>
      </c>
      <c r="C437" s="354"/>
      <c r="D437" s="355">
        <f>D435</f>
        <v>449.4</v>
      </c>
      <c r="E437" s="356">
        <f t="shared" ref="E437:W437" si="295">E435</f>
        <v>449.4</v>
      </c>
      <c r="F437" s="356">
        <f t="shared" si="295"/>
        <v>449.4</v>
      </c>
      <c r="G437" s="356">
        <f t="shared" si="295"/>
        <v>449.4</v>
      </c>
      <c r="H437" s="356">
        <f t="shared" si="295"/>
        <v>449.4</v>
      </c>
      <c r="I437" s="356">
        <f t="shared" si="295"/>
        <v>449.4</v>
      </c>
      <c r="J437" s="356">
        <f t="shared" si="295"/>
        <v>449.4</v>
      </c>
      <c r="K437" s="356">
        <f t="shared" si="295"/>
        <v>449.4</v>
      </c>
      <c r="L437" s="356">
        <f t="shared" si="295"/>
        <v>449.4</v>
      </c>
      <c r="M437" s="356">
        <f t="shared" si="295"/>
        <v>449.4</v>
      </c>
      <c r="N437" s="356">
        <f t="shared" si="295"/>
        <v>449.4</v>
      </c>
      <c r="O437" s="356">
        <f t="shared" si="295"/>
        <v>449.4</v>
      </c>
      <c r="P437" s="356">
        <f t="shared" si="295"/>
        <v>449.4</v>
      </c>
      <c r="Q437" s="356">
        <f t="shared" si="295"/>
        <v>449.4</v>
      </c>
      <c r="R437" s="356">
        <f t="shared" si="295"/>
        <v>449.4</v>
      </c>
      <c r="S437" s="356">
        <f t="shared" si="295"/>
        <v>449.4</v>
      </c>
      <c r="T437" s="356">
        <f t="shared" si="295"/>
        <v>449.4</v>
      </c>
      <c r="U437" s="356">
        <f t="shared" si="295"/>
        <v>449.4</v>
      </c>
      <c r="V437" s="356">
        <f t="shared" si="295"/>
        <v>449.4</v>
      </c>
      <c r="W437" s="356">
        <f t="shared" si="295"/>
        <v>449.4</v>
      </c>
    </row>
    <row r="438" spans="1:23" x14ac:dyDescent="0.3">
      <c r="B438" s="171" t="s">
        <v>194</v>
      </c>
      <c r="C438" s="55"/>
      <c r="D438" s="20">
        <v>260</v>
      </c>
      <c r="E438" s="21">
        <v>260</v>
      </c>
      <c r="F438" s="21">
        <v>260</v>
      </c>
      <c r="G438" s="21">
        <v>260</v>
      </c>
      <c r="H438" s="21">
        <v>260</v>
      </c>
      <c r="I438" s="21">
        <v>238</v>
      </c>
      <c r="J438" s="21">
        <v>238</v>
      </c>
      <c r="K438" s="21">
        <v>238</v>
      </c>
      <c r="L438" s="21">
        <v>238</v>
      </c>
      <c r="M438" s="21">
        <v>238</v>
      </c>
      <c r="N438" s="21">
        <v>263</v>
      </c>
      <c r="O438" s="21">
        <v>263</v>
      </c>
      <c r="P438" s="21">
        <v>263</v>
      </c>
      <c r="Q438" s="21">
        <v>263</v>
      </c>
      <c r="R438" s="21">
        <v>263</v>
      </c>
      <c r="S438" s="21">
        <v>263</v>
      </c>
      <c r="T438" s="21">
        <v>259</v>
      </c>
      <c r="U438" s="21">
        <v>260</v>
      </c>
      <c r="V438" s="21">
        <v>259</v>
      </c>
      <c r="W438" s="21">
        <v>263</v>
      </c>
    </row>
    <row r="439" spans="1:23" s="51" customFormat="1" x14ac:dyDescent="0.3">
      <c r="A439" s="407"/>
      <c r="B439" s="61" t="s">
        <v>195</v>
      </c>
      <c r="C439" s="62"/>
      <c r="D439" s="28">
        <v>262</v>
      </c>
      <c r="E439" s="28">
        <v>262</v>
      </c>
      <c r="F439" s="28">
        <v>262</v>
      </c>
      <c r="G439" s="28">
        <v>262</v>
      </c>
      <c r="H439" s="28">
        <v>262</v>
      </c>
      <c r="I439" s="28">
        <v>240</v>
      </c>
      <c r="J439" s="28">
        <v>240</v>
      </c>
      <c r="K439" s="28">
        <v>240</v>
      </c>
      <c r="L439" s="28">
        <v>240</v>
      </c>
      <c r="M439" s="28">
        <v>240</v>
      </c>
      <c r="N439" s="28">
        <v>265</v>
      </c>
      <c r="O439" s="28">
        <v>265</v>
      </c>
      <c r="P439" s="28">
        <v>265</v>
      </c>
      <c r="Q439" s="28">
        <v>265</v>
      </c>
      <c r="R439" s="28">
        <v>265</v>
      </c>
      <c r="S439" s="28">
        <v>265</v>
      </c>
      <c r="T439" s="28">
        <v>261</v>
      </c>
      <c r="U439" s="28">
        <v>262</v>
      </c>
      <c r="V439" s="28">
        <v>261</v>
      </c>
      <c r="W439" s="28">
        <v>265</v>
      </c>
    </row>
    <row r="440" spans="1:23" s="51" customFormat="1" x14ac:dyDescent="0.3">
      <c r="A440" s="407"/>
      <c r="B440" s="61" t="s">
        <v>196</v>
      </c>
      <c r="C440" s="62"/>
      <c r="D440" s="28">
        <v>264</v>
      </c>
      <c r="E440" s="28">
        <v>264</v>
      </c>
      <c r="F440" s="28">
        <v>264</v>
      </c>
      <c r="G440" s="28">
        <v>264</v>
      </c>
      <c r="H440" s="28">
        <v>264</v>
      </c>
      <c r="I440" s="28">
        <v>242</v>
      </c>
      <c r="J440" s="28">
        <v>242</v>
      </c>
      <c r="K440" s="28">
        <v>242</v>
      </c>
      <c r="L440" s="28">
        <v>242</v>
      </c>
      <c r="M440" s="28">
        <v>242</v>
      </c>
      <c r="N440" s="28">
        <v>267</v>
      </c>
      <c r="O440" s="28">
        <v>267</v>
      </c>
      <c r="P440" s="28">
        <v>267</v>
      </c>
      <c r="Q440" s="28">
        <v>267</v>
      </c>
      <c r="R440" s="28">
        <v>267</v>
      </c>
      <c r="S440" s="28">
        <v>267</v>
      </c>
      <c r="T440" s="28">
        <v>263</v>
      </c>
      <c r="U440" s="28">
        <v>264</v>
      </c>
      <c r="V440" s="28">
        <v>263</v>
      </c>
      <c r="W440" s="28">
        <v>267</v>
      </c>
    </row>
    <row r="441" spans="1:23" s="51" customFormat="1" x14ac:dyDescent="0.3">
      <c r="A441" s="407"/>
      <c r="B441" s="61" t="s">
        <v>197</v>
      </c>
      <c r="C441" s="62"/>
      <c r="D441" s="28">
        <v>266</v>
      </c>
      <c r="E441" s="28">
        <v>266</v>
      </c>
      <c r="F441" s="28">
        <v>266</v>
      </c>
      <c r="G441" s="28">
        <v>266</v>
      </c>
      <c r="H441" s="28">
        <v>266</v>
      </c>
      <c r="I441" s="28">
        <v>244</v>
      </c>
      <c r="J441" s="28">
        <v>244</v>
      </c>
      <c r="K441" s="28">
        <v>244</v>
      </c>
      <c r="L441" s="28">
        <v>244</v>
      </c>
      <c r="M441" s="28">
        <v>244</v>
      </c>
      <c r="N441" s="28">
        <v>269</v>
      </c>
      <c r="O441" s="28">
        <v>269</v>
      </c>
      <c r="P441" s="28">
        <v>269</v>
      </c>
      <c r="Q441" s="28">
        <v>269</v>
      </c>
      <c r="R441" s="28">
        <v>269</v>
      </c>
      <c r="S441" s="28">
        <v>269</v>
      </c>
      <c r="T441" s="28">
        <v>265</v>
      </c>
      <c r="U441" s="28">
        <v>266</v>
      </c>
      <c r="V441" s="28">
        <v>265</v>
      </c>
      <c r="W441" s="28">
        <v>269</v>
      </c>
    </row>
    <row r="442" spans="1:23" s="30" customFormat="1" x14ac:dyDescent="0.3">
      <c r="A442" s="404"/>
      <c r="B442" s="63" t="s">
        <v>198</v>
      </c>
      <c r="C442" s="62"/>
      <c r="D442" s="31">
        <f t="shared" ref="D442:E445" si="296">+D438-D$437</f>
        <v>-189.39999999999998</v>
      </c>
      <c r="E442" s="31">
        <f t="shared" si="296"/>
        <v>-189.39999999999998</v>
      </c>
      <c r="F442" s="31">
        <f t="shared" ref="F442:W442" si="297">+F438-F$437</f>
        <v>-189.39999999999998</v>
      </c>
      <c r="G442" s="31">
        <f t="shared" si="297"/>
        <v>-189.39999999999998</v>
      </c>
      <c r="H442" s="31">
        <f t="shared" si="297"/>
        <v>-189.39999999999998</v>
      </c>
      <c r="I442" s="31">
        <f t="shared" si="297"/>
        <v>-211.39999999999998</v>
      </c>
      <c r="J442" s="31">
        <f t="shared" si="297"/>
        <v>-211.39999999999998</v>
      </c>
      <c r="K442" s="31">
        <f t="shared" si="297"/>
        <v>-211.39999999999998</v>
      </c>
      <c r="L442" s="31">
        <f t="shared" si="297"/>
        <v>-211.39999999999998</v>
      </c>
      <c r="M442" s="31">
        <f t="shared" si="297"/>
        <v>-211.39999999999998</v>
      </c>
      <c r="N442" s="31">
        <f t="shared" si="297"/>
        <v>-186.39999999999998</v>
      </c>
      <c r="O442" s="31">
        <f t="shared" si="297"/>
        <v>-186.39999999999998</v>
      </c>
      <c r="P442" s="31">
        <f t="shared" si="297"/>
        <v>-186.39999999999998</v>
      </c>
      <c r="Q442" s="31">
        <f t="shared" si="297"/>
        <v>-186.39999999999998</v>
      </c>
      <c r="R442" s="31">
        <f t="shared" si="297"/>
        <v>-186.39999999999998</v>
      </c>
      <c r="S442" s="31">
        <f t="shared" si="297"/>
        <v>-186.39999999999998</v>
      </c>
      <c r="T442" s="31">
        <f t="shared" si="297"/>
        <v>-190.39999999999998</v>
      </c>
      <c r="U442" s="31">
        <f t="shared" si="297"/>
        <v>-189.39999999999998</v>
      </c>
      <c r="V442" s="31">
        <f t="shared" si="297"/>
        <v>-190.39999999999998</v>
      </c>
      <c r="W442" s="31">
        <f t="shared" si="297"/>
        <v>-186.39999999999998</v>
      </c>
    </row>
    <row r="443" spans="1:23" s="33" customFormat="1" x14ac:dyDescent="0.3">
      <c r="A443" s="405"/>
      <c r="B443" s="63" t="s">
        <v>199</v>
      </c>
      <c r="C443" s="64"/>
      <c r="D443" s="31">
        <f t="shared" si="296"/>
        <v>-187.39999999999998</v>
      </c>
      <c r="E443" s="31">
        <f t="shared" si="296"/>
        <v>-187.39999999999998</v>
      </c>
      <c r="F443" s="31">
        <f t="shared" ref="F443:W443" si="298">+F439-F$437</f>
        <v>-187.39999999999998</v>
      </c>
      <c r="G443" s="31">
        <f t="shared" si="298"/>
        <v>-187.39999999999998</v>
      </c>
      <c r="H443" s="31">
        <f t="shared" si="298"/>
        <v>-187.39999999999998</v>
      </c>
      <c r="I443" s="31">
        <f t="shared" si="298"/>
        <v>-209.39999999999998</v>
      </c>
      <c r="J443" s="31">
        <f t="shared" si="298"/>
        <v>-209.39999999999998</v>
      </c>
      <c r="K443" s="31">
        <f t="shared" si="298"/>
        <v>-209.39999999999998</v>
      </c>
      <c r="L443" s="31">
        <f t="shared" si="298"/>
        <v>-209.39999999999998</v>
      </c>
      <c r="M443" s="31">
        <f t="shared" si="298"/>
        <v>-209.39999999999998</v>
      </c>
      <c r="N443" s="31">
        <f t="shared" si="298"/>
        <v>-184.39999999999998</v>
      </c>
      <c r="O443" s="31">
        <f t="shared" si="298"/>
        <v>-184.39999999999998</v>
      </c>
      <c r="P443" s="31">
        <f t="shared" si="298"/>
        <v>-184.39999999999998</v>
      </c>
      <c r="Q443" s="31">
        <f t="shared" si="298"/>
        <v>-184.39999999999998</v>
      </c>
      <c r="R443" s="31">
        <f t="shared" si="298"/>
        <v>-184.39999999999998</v>
      </c>
      <c r="S443" s="31">
        <f t="shared" si="298"/>
        <v>-184.39999999999998</v>
      </c>
      <c r="T443" s="31">
        <f t="shared" si="298"/>
        <v>-188.39999999999998</v>
      </c>
      <c r="U443" s="31">
        <f t="shared" si="298"/>
        <v>-187.39999999999998</v>
      </c>
      <c r="V443" s="31">
        <f t="shared" si="298"/>
        <v>-188.39999999999998</v>
      </c>
      <c r="W443" s="31">
        <f t="shared" si="298"/>
        <v>-184.39999999999998</v>
      </c>
    </row>
    <row r="444" spans="1:23" s="33" customFormat="1" x14ac:dyDescent="0.3">
      <c r="A444" s="405"/>
      <c r="B444" s="63" t="s">
        <v>200</v>
      </c>
      <c r="C444" s="64"/>
      <c r="D444" s="31">
        <f t="shared" si="296"/>
        <v>-185.39999999999998</v>
      </c>
      <c r="E444" s="31">
        <f t="shared" si="296"/>
        <v>-185.39999999999998</v>
      </c>
      <c r="F444" s="31">
        <f t="shared" ref="F444:W444" si="299">+F440-F$437</f>
        <v>-185.39999999999998</v>
      </c>
      <c r="G444" s="31">
        <f t="shared" si="299"/>
        <v>-185.39999999999998</v>
      </c>
      <c r="H444" s="31">
        <f t="shared" si="299"/>
        <v>-185.39999999999998</v>
      </c>
      <c r="I444" s="31">
        <f t="shared" si="299"/>
        <v>-207.39999999999998</v>
      </c>
      <c r="J444" s="31">
        <f t="shared" si="299"/>
        <v>-207.39999999999998</v>
      </c>
      <c r="K444" s="31">
        <f t="shared" si="299"/>
        <v>-207.39999999999998</v>
      </c>
      <c r="L444" s="31">
        <f t="shared" si="299"/>
        <v>-207.39999999999998</v>
      </c>
      <c r="M444" s="31">
        <f t="shared" si="299"/>
        <v>-207.39999999999998</v>
      </c>
      <c r="N444" s="31">
        <f t="shared" si="299"/>
        <v>-182.39999999999998</v>
      </c>
      <c r="O444" s="31">
        <f t="shared" si="299"/>
        <v>-182.39999999999998</v>
      </c>
      <c r="P444" s="31">
        <f t="shared" si="299"/>
        <v>-182.39999999999998</v>
      </c>
      <c r="Q444" s="31">
        <f t="shared" si="299"/>
        <v>-182.39999999999998</v>
      </c>
      <c r="R444" s="31">
        <f t="shared" si="299"/>
        <v>-182.39999999999998</v>
      </c>
      <c r="S444" s="31">
        <f t="shared" si="299"/>
        <v>-182.39999999999998</v>
      </c>
      <c r="T444" s="31">
        <f t="shared" si="299"/>
        <v>-186.39999999999998</v>
      </c>
      <c r="U444" s="31">
        <f t="shared" si="299"/>
        <v>-185.39999999999998</v>
      </c>
      <c r="V444" s="31">
        <f t="shared" si="299"/>
        <v>-186.39999999999998</v>
      </c>
      <c r="W444" s="31">
        <f t="shared" si="299"/>
        <v>-182.39999999999998</v>
      </c>
    </row>
    <row r="445" spans="1:23" s="33" customFormat="1" x14ac:dyDescent="0.3">
      <c r="A445" s="405"/>
      <c r="B445" s="63" t="s">
        <v>201</v>
      </c>
      <c r="C445" s="64"/>
      <c r="D445" s="31">
        <f t="shared" si="296"/>
        <v>-183.39999999999998</v>
      </c>
      <c r="E445" s="31">
        <f t="shared" si="296"/>
        <v>-183.39999999999998</v>
      </c>
      <c r="F445" s="31">
        <f t="shared" ref="F445:W445" si="300">+F441-F$437</f>
        <v>-183.39999999999998</v>
      </c>
      <c r="G445" s="31">
        <f t="shared" si="300"/>
        <v>-183.39999999999998</v>
      </c>
      <c r="H445" s="31">
        <f t="shared" si="300"/>
        <v>-183.39999999999998</v>
      </c>
      <c r="I445" s="31">
        <f t="shared" si="300"/>
        <v>-205.39999999999998</v>
      </c>
      <c r="J445" s="31">
        <f t="shared" si="300"/>
        <v>-205.39999999999998</v>
      </c>
      <c r="K445" s="31">
        <f t="shared" si="300"/>
        <v>-205.39999999999998</v>
      </c>
      <c r="L445" s="31">
        <f t="shared" si="300"/>
        <v>-205.39999999999998</v>
      </c>
      <c r="M445" s="31">
        <f t="shared" si="300"/>
        <v>-205.39999999999998</v>
      </c>
      <c r="N445" s="31">
        <f t="shared" si="300"/>
        <v>-180.39999999999998</v>
      </c>
      <c r="O445" s="31">
        <f t="shared" si="300"/>
        <v>-180.39999999999998</v>
      </c>
      <c r="P445" s="31">
        <f t="shared" si="300"/>
        <v>-180.39999999999998</v>
      </c>
      <c r="Q445" s="31">
        <f t="shared" si="300"/>
        <v>-180.39999999999998</v>
      </c>
      <c r="R445" s="31">
        <f t="shared" si="300"/>
        <v>-180.39999999999998</v>
      </c>
      <c r="S445" s="31">
        <f t="shared" si="300"/>
        <v>-180.39999999999998</v>
      </c>
      <c r="T445" s="31">
        <f t="shared" si="300"/>
        <v>-184.39999999999998</v>
      </c>
      <c r="U445" s="31">
        <f t="shared" si="300"/>
        <v>-183.39999999999998</v>
      </c>
      <c r="V445" s="31">
        <f t="shared" si="300"/>
        <v>-184.39999999999998</v>
      </c>
      <c r="W445" s="31">
        <f t="shared" si="300"/>
        <v>-180.39999999999998</v>
      </c>
    </row>
    <row r="446" spans="1:23" x14ac:dyDescent="0.3">
      <c r="B446" s="97" t="s">
        <v>202</v>
      </c>
      <c r="C446" s="98"/>
      <c r="D446" s="99">
        <f t="shared" ref="D446:E449" si="301">D442/D438</f>
        <v>-0.72846153846153838</v>
      </c>
      <c r="E446" s="99">
        <f t="shared" si="301"/>
        <v>-0.72846153846153838</v>
      </c>
      <c r="F446" s="99">
        <f t="shared" ref="F446:W446" si="302">F442/F438</f>
        <v>-0.72846153846153838</v>
      </c>
      <c r="G446" s="99">
        <f t="shared" si="302"/>
        <v>-0.72846153846153838</v>
      </c>
      <c r="H446" s="99">
        <f t="shared" si="302"/>
        <v>-0.72846153846153838</v>
      </c>
      <c r="I446" s="99">
        <f t="shared" si="302"/>
        <v>-0.88823529411764701</v>
      </c>
      <c r="J446" s="99">
        <f t="shared" si="302"/>
        <v>-0.88823529411764701</v>
      </c>
      <c r="K446" s="99">
        <f t="shared" si="302"/>
        <v>-0.88823529411764701</v>
      </c>
      <c r="L446" s="99">
        <f t="shared" si="302"/>
        <v>-0.88823529411764701</v>
      </c>
      <c r="M446" s="99">
        <f t="shared" si="302"/>
        <v>-0.88823529411764701</v>
      </c>
      <c r="N446" s="99">
        <f t="shared" si="302"/>
        <v>-0.7087452471482889</v>
      </c>
      <c r="O446" s="99">
        <f t="shared" si="302"/>
        <v>-0.7087452471482889</v>
      </c>
      <c r="P446" s="99">
        <f t="shared" si="302"/>
        <v>-0.7087452471482889</v>
      </c>
      <c r="Q446" s="99">
        <f t="shared" si="302"/>
        <v>-0.7087452471482889</v>
      </c>
      <c r="R446" s="99">
        <f t="shared" si="302"/>
        <v>-0.7087452471482889</v>
      </c>
      <c r="S446" s="99">
        <f t="shared" si="302"/>
        <v>-0.7087452471482889</v>
      </c>
      <c r="T446" s="99">
        <f t="shared" si="302"/>
        <v>-0.73513513513513506</v>
      </c>
      <c r="U446" s="99">
        <f t="shared" si="302"/>
        <v>-0.72846153846153838</v>
      </c>
      <c r="V446" s="99">
        <f t="shared" si="302"/>
        <v>-0.73513513513513506</v>
      </c>
      <c r="W446" s="99">
        <f t="shared" si="302"/>
        <v>-0.7087452471482889</v>
      </c>
    </row>
    <row r="447" spans="1:23" s="36" customFormat="1" x14ac:dyDescent="0.3">
      <c r="A447" s="406"/>
      <c r="B447" s="97" t="s">
        <v>203</v>
      </c>
      <c r="C447" s="98"/>
      <c r="D447" s="99">
        <f t="shared" si="301"/>
        <v>-0.71526717557251895</v>
      </c>
      <c r="E447" s="99">
        <f t="shared" si="301"/>
        <v>-0.71526717557251895</v>
      </c>
      <c r="F447" s="99">
        <f t="shared" ref="F447:W447" si="303">F443/F439</f>
        <v>-0.71526717557251895</v>
      </c>
      <c r="G447" s="99">
        <f t="shared" si="303"/>
        <v>-0.71526717557251895</v>
      </c>
      <c r="H447" s="99">
        <f t="shared" si="303"/>
        <v>-0.71526717557251895</v>
      </c>
      <c r="I447" s="99">
        <f t="shared" si="303"/>
        <v>-0.87249999999999994</v>
      </c>
      <c r="J447" s="99">
        <f t="shared" si="303"/>
        <v>-0.87249999999999994</v>
      </c>
      <c r="K447" s="99">
        <f t="shared" si="303"/>
        <v>-0.87249999999999994</v>
      </c>
      <c r="L447" s="99">
        <f t="shared" si="303"/>
        <v>-0.87249999999999994</v>
      </c>
      <c r="M447" s="99">
        <f t="shared" si="303"/>
        <v>-0.87249999999999994</v>
      </c>
      <c r="N447" s="99">
        <f t="shared" si="303"/>
        <v>-0.6958490566037735</v>
      </c>
      <c r="O447" s="99">
        <f t="shared" si="303"/>
        <v>-0.6958490566037735</v>
      </c>
      <c r="P447" s="99">
        <f t="shared" si="303"/>
        <v>-0.6958490566037735</v>
      </c>
      <c r="Q447" s="99">
        <f t="shared" si="303"/>
        <v>-0.6958490566037735</v>
      </c>
      <c r="R447" s="99">
        <f t="shared" si="303"/>
        <v>-0.6958490566037735</v>
      </c>
      <c r="S447" s="99">
        <f t="shared" si="303"/>
        <v>-0.6958490566037735</v>
      </c>
      <c r="T447" s="99">
        <f t="shared" si="303"/>
        <v>-0.72183908045977008</v>
      </c>
      <c r="U447" s="99">
        <f t="shared" si="303"/>
        <v>-0.71526717557251895</v>
      </c>
      <c r="V447" s="99">
        <f t="shared" si="303"/>
        <v>-0.72183908045977008</v>
      </c>
      <c r="W447" s="99">
        <f t="shared" si="303"/>
        <v>-0.6958490566037735</v>
      </c>
    </row>
    <row r="448" spans="1:23" s="36" customFormat="1" x14ac:dyDescent="0.3">
      <c r="A448" s="406"/>
      <c r="B448" s="97" t="s">
        <v>204</v>
      </c>
      <c r="C448" s="98"/>
      <c r="D448" s="99">
        <f t="shared" si="301"/>
        <v>-0.70227272727272716</v>
      </c>
      <c r="E448" s="99">
        <f t="shared" si="301"/>
        <v>-0.70227272727272716</v>
      </c>
      <c r="F448" s="99">
        <f t="shared" ref="F448:W448" si="304">F444/F440</f>
        <v>-0.70227272727272716</v>
      </c>
      <c r="G448" s="99">
        <f t="shared" si="304"/>
        <v>-0.70227272727272716</v>
      </c>
      <c r="H448" s="99">
        <f t="shared" si="304"/>
        <v>-0.70227272727272716</v>
      </c>
      <c r="I448" s="99">
        <f t="shared" si="304"/>
        <v>-0.85702479338842963</v>
      </c>
      <c r="J448" s="99">
        <f t="shared" si="304"/>
        <v>-0.85702479338842963</v>
      </c>
      <c r="K448" s="99">
        <f t="shared" si="304"/>
        <v>-0.85702479338842963</v>
      </c>
      <c r="L448" s="99">
        <f t="shared" si="304"/>
        <v>-0.85702479338842963</v>
      </c>
      <c r="M448" s="99">
        <f t="shared" si="304"/>
        <v>-0.85702479338842963</v>
      </c>
      <c r="N448" s="99">
        <f t="shared" si="304"/>
        <v>-0.68314606741573025</v>
      </c>
      <c r="O448" s="99">
        <f t="shared" si="304"/>
        <v>-0.68314606741573025</v>
      </c>
      <c r="P448" s="99">
        <f t="shared" si="304"/>
        <v>-0.68314606741573025</v>
      </c>
      <c r="Q448" s="99">
        <f t="shared" si="304"/>
        <v>-0.68314606741573025</v>
      </c>
      <c r="R448" s="99">
        <f t="shared" si="304"/>
        <v>-0.68314606741573025</v>
      </c>
      <c r="S448" s="99">
        <f t="shared" si="304"/>
        <v>-0.68314606741573025</v>
      </c>
      <c r="T448" s="99">
        <f t="shared" si="304"/>
        <v>-0.7087452471482889</v>
      </c>
      <c r="U448" s="99">
        <f t="shared" si="304"/>
        <v>-0.70227272727272716</v>
      </c>
      <c r="V448" s="99">
        <f t="shared" si="304"/>
        <v>-0.7087452471482889</v>
      </c>
      <c r="W448" s="99">
        <f t="shared" si="304"/>
        <v>-0.68314606741573025</v>
      </c>
    </row>
    <row r="449" spans="1:23" s="36" customFormat="1" x14ac:dyDescent="0.3">
      <c r="A449" s="406"/>
      <c r="B449" s="97" t="s">
        <v>205</v>
      </c>
      <c r="C449" s="98"/>
      <c r="D449" s="99">
        <f t="shared" si="301"/>
        <v>-0.68947368421052624</v>
      </c>
      <c r="E449" s="99">
        <f t="shared" si="301"/>
        <v>-0.68947368421052624</v>
      </c>
      <c r="F449" s="99">
        <f t="shared" ref="F449:W449" si="305">F445/F441</f>
        <v>-0.68947368421052624</v>
      </c>
      <c r="G449" s="99">
        <f t="shared" si="305"/>
        <v>-0.68947368421052624</v>
      </c>
      <c r="H449" s="99">
        <f t="shared" si="305"/>
        <v>-0.68947368421052624</v>
      </c>
      <c r="I449" s="99">
        <f t="shared" si="305"/>
        <v>-0.84180327868852445</v>
      </c>
      <c r="J449" s="99">
        <f t="shared" si="305"/>
        <v>-0.84180327868852445</v>
      </c>
      <c r="K449" s="99">
        <f t="shared" si="305"/>
        <v>-0.84180327868852445</v>
      </c>
      <c r="L449" s="99">
        <f t="shared" si="305"/>
        <v>-0.84180327868852445</v>
      </c>
      <c r="M449" s="99">
        <f t="shared" si="305"/>
        <v>-0.84180327868852445</v>
      </c>
      <c r="N449" s="99">
        <f t="shared" si="305"/>
        <v>-0.67063197026022292</v>
      </c>
      <c r="O449" s="99">
        <f t="shared" si="305"/>
        <v>-0.67063197026022292</v>
      </c>
      <c r="P449" s="99">
        <f t="shared" si="305"/>
        <v>-0.67063197026022292</v>
      </c>
      <c r="Q449" s="99">
        <f t="shared" si="305"/>
        <v>-0.67063197026022292</v>
      </c>
      <c r="R449" s="99">
        <f t="shared" si="305"/>
        <v>-0.67063197026022292</v>
      </c>
      <c r="S449" s="99">
        <f t="shared" si="305"/>
        <v>-0.67063197026022292</v>
      </c>
      <c r="T449" s="99">
        <f t="shared" si="305"/>
        <v>-0.6958490566037735</v>
      </c>
      <c r="U449" s="99">
        <f t="shared" si="305"/>
        <v>-0.68947368421052624</v>
      </c>
      <c r="V449" s="99">
        <f t="shared" si="305"/>
        <v>-0.6958490566037735</v>
      </c>
      <c r="W449" s="99">
        <f t="shared" si="305"/>
        <v>-0.67063197026022292</v>
      </c>
    </row>
    <row r="450" spans="1:23" ht="21" thickBot="1" x14ac:dyDescent="0.35"/>
    <row r="451" spans="1:23" s="19" customFormat="1" ht="24" thickBot="1" x14ac:dyDescent="0.4">
      <c r="A451" s="19" t="s">
        <v>289</v>
      </c>
      <c r="B451" s="345" t="s">
        <v>86</v>
      </c>
      <c r="C451" s="68"/>
      <c r="D451" s="17" t="s">
        <v>5</v>
      </c>
      <c r="E451" s="18" t="s">
        <v>6</v>
      </c>
      <c r="F451" s="18" t="s">
        <v>7</v>
      </c>
      <c r="G451" s="18" t="s">
        <v>8</v>
      </c>
      <c r="H451" s="18" t="s">
        <v>9</v>
      </c>
      <c r="I451" s="18" t="s">
        <v>10</v>
      </c>
      <c r="J451" s="18" t="s">
        <v>11</v>
      </c>
      <c r="K451" s="18" t="s">
        <v>12</v>
      </c>
      <c r="L451" s="18" t="s">
        <v>13</v>
      </c>
      <c r="M451" s="18" t="s">
        <v>14</v>
      </c>
      <c r="N451" s="18" t="s">
        <v>15</v>
      </c>
      <c r="O451" s="18" t="s">
        <v>16</v>
      </c>
      <c r="P451" s="18" t="s">
        <v>17</v>
      </c>
      <c r="Q451" s="18" t="s">
        <v>18</v>
      </c>
      <c r="R451" s="18" t="s">
        <v>19</v>
      </c>
      <c r="S451" s="18" t="s">
        <v>20</v>
      </c>
      <c r="T451" s="18" t="s">
        <v>21</v>
      </c>
      <c r="U451" s="18" t="s">
        <v>22</v>
      </c>
      <c r="V451" s="18" t="s">
        <v>23</v>
      </c>
      <c r="W451" s="18" t="s">
        <v>166</v>
      </c>
    </row>
    <row r="452" spans="1:23" s="33" customFormat="1" x14ac:dyDescent="0.3">
      <c r="A452" s="405"/>
      <c r="B452" s="63" t="s">
        <v>50</v>
      </c>
      <c r="C452" s="64"/>
      <c r="D452" s="31">
        <v>520</v>
      </c>
      <c r="E452" s="31">
        <v>520</v>
      </c>
      <c r="F452" s="31">
        <v>520</v>
      </c>
      <c r="G452" s="31">
        <v>520</v>
      </c>
      <c r="H452" s="31">
        <v>520</v>
      </c>
      <c r="I452" s="31">
        <v>520</v>
      </c>
      <c r="J452" s="31">
        <v>520</v>
      </c>
      <c r="K452" s="31">
        <v>520</v>
      </c>
      <c r="L452" s="31">
        <v>520</v>
      </c>
      <c r="M452" s="31">
        <v>520</v>
      </c>
      <c r="N452" s="31">
        <v>520</v>
      </c>
      <c r="O452" s="31">
        <v>520</v>
      </c>
      <c r="P452" s="31">
        <v>520</v>
      </c>
      <c r="Q452" s="31">
        <v>520</v>
      </c>
      <c r="R452" s="31">
        <v>520</v>
      </c>
      <c r="S452" s="31">
        <v>520</v>
      </c>
      <c r="T452" s="31">
        <v>520</v>
      </c>
      <c r="U452" s="31">
        <v>520</v>
      </c>
      <c r="V452" s="31">
        <v>520</v>
      </c>
      <c r="W452" s="31">
        <v>520</v>
      </c>
    </row>
    <row r="453" spans="1:23" ht="23" x14ac:dyDescent="0.35">
      <c r="B453" s="340" t="s">
        <v>51</v>
      </c>
      <c r="C453" s="341"/>
      <c r="D453" s="363"/>
      <c r="E453" s="363"/>
      <c r="F453" s="363"/>
      <c r="G453" s="363"/>
      <c r="H453" s="363"/>
      <c r="I453" s="363"/>
      <c r="J453" s="363"/>
      <c r="K453" s="363"/>
      <c r="L453" s="363"/>
      <c r="M453" s="363"/>
      <c r="N453" s="363"/>
      <c r="O453" s="363"/>
      <c r="P453" s="363"/>
      <c r="Q453" s="363"/>
      <c r="R453" s="363"/>
      <c r="S453" s="363"/>
      <c r="T453" s="363"/>
      <c r="U453" s="363"/>
      <c r="V453" s="363"/>
      <c r="W453" s="363"/>
    </row>
    <row r="454" spans="1:23" x14ac:dyDescent="0.3">
      <c r="B454" s="54"/>
      <c r="C454" s="55"/>
      <c r="D454" s="20">
        <f t="shared" ref="D454:V454" si="306">D452*(1-D453)</f>
        <v>520</v>
      </c>
      <c r="E454" s="20">
        <f t="shared" si="306"/>
        <v>520</v>
      </c>
      <c r="F454" s="20">
        <f t="shared" si="306"/>
        <v>520</v>
      </c>
      <c r="G454" s="20">
        <f t="shared" si="306"/>
        <v>520</v>
      </c>
      <c r="H454" s="20">
        <f t="shared" si="306"/>
        <v>520</v>
      </c>
      <c r="I454" s="20">
        <f t="shared" si="306"/>
        <v>520</v>
      </c>
      <c r="J454" s="20">
        <f t="shared" si="306"/>
        <v>520</v>
      </c>
      <c r="K454" s="20">
        <f t="shared" si="306"/>
        <v>520</v>
      </c>
      <c r="L454" s="20">
        <f t="shared" si="306"/>
        <v>520</v>
      </c>
      <c r="M454" s="20">
        <f t="shared" si="306"/>
        <v>520</v>
      </c>
      <c r="N454" s="20">
        <f t="shared" si="306"/>
        <v>520</v>
      </c>
      <c r="O454" s="20">
        <f t="shared" si="306"/>
        <v>520</v>
      </c>
      <c r="P454" s="20">
        <f t="shared" si="306"/>
        <v>520</v>
      </c>
      <c r="Q454" s="20">
        <f t="shared" si="306"/>
        <v>520</v>
      </c>
      <c r="R454" s="20">
        <f t="shared" si="306"/>
        <v>520</v>
      </c>
      <c r="S454" s="20">
        <f t="shared" si="306"/>
        <v>520</v>
      </c>
      <c r="T454" s="20">
        <f t="shared" si="306"/>
        <v>520</v>
      </c>
      <c r="U454" s="20">
        <f t="shared" si="306"/>
        <v>520</v>
      </c>
      <c r="V454" s="20">
        <f t="shared" si="306"/>
        <v>520</v>
      </c>
      <c r="W454" s="20">
        <f>W452*(1-W453)</f>
        <v>520</v>
      </c>
    </row>
    <row r="455" spans="1:23" x14ac:dyDescent="0.3">
      <c r="B455" s="54" t="s">
        <v>51</v>
      </c>
      <c r="C455" s="56">
        <v>0</v>
      </c>
      <c r="D455" s="20">
        <f>D454*$C455</f>
        <v>0</v>
      </c>
      <c r="E455" s="20">
        <f t="shared" ref="E455:V455" si="307">E454*$C455</f>
        <v>0</v>
      </c>
      <c r="F455" s="20">
        <f t="shared" si="307"/>
        <v>0</v>
      </c>
      <c r="G455" s="20">
        <f t="shared" si="307"/>
        <v>0</v>
      </c>
      <c r="H455" s="20">
        <f t="shared" si="307"/>
        <v>0</v>
      </c>
      <c r="I455" s="20">
        <f t="shared" si="307"/>
        <v>0</v>
      </c>
      <c r="J455" s="20">
        <f t="shared" si="307"/>
        <v>0</v>
      </c>
      <c r="K455" s="20">
        <f t="shared" si="307"/>
        <v>0</v>
      </c>
      <c r="L455" s="20">
        <f t="shared" si="307"/>
        <v>0</v>
      </c>
      <c r="M455" s="20">
        <f t="shared" si="307"/>
        <v>0</v>
      </c>
      <c r="N455" s="20">
        <f t="shared" si="307"/>
        <v>0</v>
      </c>
      <c r="O455" s="20">
        <f t="shared" si="307"/>
        <v>0</v>
      </c>
      <c r="P455" s="20">
        <f t="shared" si="307"/>
        <v>0</v>
      </c>
      <c r="Q455" s="20">
        <f t="shared" si="307"/>
        <v>0</v>
      </c>
      <c r="R455" s="20">
        <f t="shared" si="307"/>
        <v>0</v>
      </c>
      <c r="S455" s="20">
        <f t="shared" si="307"/>
        <v>0</v>
      </c>
      <c r="T455" s="20">
        <f t="shared" si="307"/>
        <v>0</v>
      </c>
      <c r="U455" s="20">
        <f t="shared" si="307"/>
        <v>0</v>
      </c>
      <c r="V455" s="20">
        <f t="shared" si="307"/>
        <v>0</v>
      </c>
      <c r="W455" s="20">
        <f>W454*$C455</f>
        <v>0</v>
      </c>
    </row>
    <row r="456" spans="1:23" x14ac:dyDescent="0.3">
      <c r="B456" s="54" t="s">
        <v>67</v>
      </c>
      <c r="C456" s="55"/>
      <c r="D456" s="20">
        <f>D454-D455</f>
        <v>520</v>
      </c>
      <c r="E456" s="20">
        <f t="shared" ref="E456:V456" si="308">E454-E455</f>
        <v>520</v>
      </c>
      <c r="F456" s="20">
        <f t="shared" si="308"/>
        <v>520</v>
      </c>
      <c r="G456" s="20">
        <f t="shared" si="308"/>
        <v>520</v>
      </c>
      <c r="H456" s="20">
        <f t="shared" si="308"/>
        <v>520</v>
      </c>
      <c r="I456" s="20">
        <f t="shared" si="308"/>
        <v>520</v>
      </c>
      <c r="J456" s="20">
        <f t="shared" si="308"/>
        <v>520</v>
      </c>
      <c r="K456" s="20">
        <f t="shared" si="308"/>
        <v>520</v>
      </c>
      <c r="L456" s="20">
        <f t="shared" si="308"/>
        <v>520</v>
      </c>
      <c r="M456" s="20">
        <f t="shared" si="308"/>
        <v>520</v>
      </c>
      <c r="N456" s="20">
        <f t="shared" si="308"/>
        <v>520</v>
      </c>
      <c r="O456" s="20">
        <f t="shared" si="308"/>
        <v>520</v>
      </c>
      <c r="P456" s="20">
        <f t="shared" si="308"/>
        <v>520</v>
      </c>
      <c r="Q456" s="20">
        <f t="shared" si="308"/>
        <v>520</v>
      </c>
      <c r="R456" s="20">
        <f t="shared" si="308"/>
        <v>520</v>
      </c>
      <c r="S456" s="20">
        <f t="shared" si="308"/>
        <v>520</v>
      </c>
      <c r="T456" s="20">
        <f t="shared" si="308"/>
        <v>520</v>
      </c>
      <c r="U456" s="20">
        <f t="shared" si="308"/>
        <v>520</v>
      </c>
      <c r="V456" s="20">
        <f t="shared" si="308"/>
        <v>520</v>
      </c>
      <c r="W456" s="20">
        <f>W454-W455</f>
        <v>520</v>
      </c>
    </row>
    <row r="457" spans="1:23" x14ac:dyDescent="0.3">
      <c r="B457" s="54" t="s">
        <v>66</v>
      </c>
      <c r="C457" s="56">
        <v>7.0000000000000007E-2</v>
      </c>
      <c r="D457" s="20">
        <f>D456*$C457</f>
        <v>36.400000000000006</v>
      </c>
      <c r="E457" s="20">
        <f t="shared" ref="E457:V457" si="309">E456*$C457</f>
        <v>36.400000000000006</v>
      </c>
      <c r="F457" s="20">
        <f t="shared" si="309"/>
        <v>36.400000000000006</v>
      </c>
      <c r="G457" s="20">
        <f t="shared" si="309"/>
        <v>36.400000000000006</v>
      </c>
      <c r="H457" s="20">
        <f t="shared" si="309"/>
        <v>36.400000000000006</v>
      </c>
      <c r="I457" s="20">
        <f t="shared" si="309"/>
        <v>36.400000000000006</v>
      </c>
      <c r="J457" s="20">
        <f t="shared" si="309"/>
        <v>36.400000000000006</v>
      </c>
      <c r="K457" s="20">
        <f t="shared" si="309"/>
        <v>36.400000000000006</v>
      </c>
      <c r="L457" s="20">
        <f t="shared" si="309"/>
        <v>36.400000000000006</v>
      </c>
      <c r="M457" s="20">
        <f t="shared" si="309"/>
        <v>36.400000000000006</v>
      </c>
      <c r="N457" s="20">
        <f t="shared" si="309"/>
        <v>36.400000000000006</v>
      </c>
      <c r="O457" s="20">
        <f t="shared" si="309"/>
        <v>36.400000000000006</v>
      </c>
      <c r="P457" s="20">
        <f t="shared" si="309"/>
        <v>36.400000000000006</v>
      </c>
      <c r="Q457" s="20">
        <f t="shared" si="309"/>
        <v>36.400000000000006</v>
      </c>
      <c r="R457" s="20">
        <f t="shared" si="309"/>
        <v>36.400000000000006</v>
      </c>
      <c r="S457" s="20">
        <f t="shared" si="309"/>
        <v>36.400000000000006</v>
      </c>
      <c r="T457" s="20">
        <f t="shared" si="309"/>
        <v>36.400000000000006</v>
      </c>
      <c r="U457" s="20">
        <f t="shared" si="309"/>
        <v>36.400000000000006</v>
      </c>
      <c r="V457" s="20">
        <f t="shared" si="309"/>
        <v>36.400000000000006</v>
      </c>
      <c r="W457" s="20">
        <f>W456*$C457</f>
        <v>36.400000000000006</v>
      </c>
    </row>
    <row r="458" spans="1:23" x14ac:dyDescent="0.3">
      <c r="B458" s="54" t="s">
        <v>68</v>
      </c>
      <c r="C458" s="55"/>
      <c r="D458" s="20">
        <f>D456+D457</f>
        <v>556.4</v>
      </c>
      <c r="E458" s="20">
        <f t="shared" ref="E458:V458" si="310">E456+E457</f>
        <v>556.4</v>
      </c>
      <c r="F458" s="20">
        <f t="shared" si="310"/>
        <v>556.4</v>
      </c>
      <c r="G458" s="20">
        <f t="shared" si="310"/>
        <v>556.4</v>
      </c>
      <c r="H458" s="20">
        <f t="shared" si="310"/>
        <v>556.4</v>
      </c>
      <c r="I458" s="20">
        <f t="shared" si="310"/>
        <v>556.4</v>
      </c>
      <c r="J458" s="20">
        <f t="shared" si="310"/>
        <v>556.4</v>
      </c>
      <c r="K458" s="20">
        <f t="shared" si="310"/>
        <v>556.4</v>
      </c>
      <c r="L458" s="20">
        <f t="shared" si="310"/>
        <v>556.4</v>
      </c>
      <c r="M458" s="20">
        <f t="shared" si="310"/>
        <v>556.4</v>
      </c>
      <c r="N458" s="20">
        <f t="shared" si="310"/>
        <v>556.4</v>
      </c>
      <c r="O458" s="20">
        <f t="shared" si="310"/>
        <v>556.4</v>
      </c>
      <c r="P458" s="20">
        <f t="shared" si="310"/>
        <v>556.4</v>
      </c>
      <c r="Q458" s="20">
        <f t="shared" si="310"/>
        <v>556.4</v>
      </c>
      <c r="R458" s="20">
        <f t="shared" si="310"/>
        <v>556.4</v>
      </c>
      <c r="S458" s="20">
        <f t="shared" si="310"/>
        <v>556.4</v>
      </c>
      <c r="T458" s="20">
        <f t="shared" si="310"/>
        <v>556.4</v>
      </c>
      <c r="U458" s="20">
        <f t="shared" si="310"/>
        <v>556.4</v>
      </c>
      <c r="V458" s="20">
        <f t="shared" si="310"/>
        <v>556.4</v>
      </c>
      <c r="W458" s="20">
        <f>W456+W457</f>
        <v>556.4</v>
      </c>
    </row>
    <row r="459" spans="1:23" ht="23" x14ac:dyDescent="0.35">
      <c r="B459" s="357" t="s">
        <v>52</v>
      </c>
      <c r="C459" s="358"/>
      <c r="D459" s="381"/>
      <c r="E459" s="381"/>
      <c r="F459" s="381"/>
      <c r="G459" s="381"/>
      <c r="H459" s="381"/>
      <c r="I459" s="381"/>
      <c r="J459" s="381"/>
      <c r="K459" s="381"/>
      <c r="L459" s="381"/>
      <c r="M459" s="381"/>
      <c r="N459" s="381"/>
      <c r="O459" s="381"/>
      <c r="P459" s="381"/>
      <c r="Q459" s="381"/>
      <c r="R459" s="381"/>
      <c r="S459" s="381"/>
      <c r="T459" s="381"/>
      <c r="U459" s="381"/>
      <c r="V459" s="381"/>
      <c r="W459" s="381"/>
    </row>
    <row r="460" spans="1:23" x14ac:dyDescent="0.3">
      <c r="B460" s="57" t="s">
        <v>53</v>
      </c>
      <c r="C460" s="58"/>
      <c r="D460" s="25">
        <f>SUM(D458:D459)</f>
        <v>556.4</v>
      </c>
      <c r="E460" s="26">
        <f t="shared" ref="E460:V460" si="311">SUM(E458:E459)</f>
        <v>556.4</v>
      </c>
      <c r="F460" s="26">
        <f t="shared" si="311"/>
        <v>556.4</v>
      </c>
      <c r="G460" s="26">
        <f t="shared" si="311"/>
        <v>556.4</v>
      </c>
      <c r="H460" s="26">
        <f t="shared" si="311"/>
        <v>556.4</v>
      </c>
      <c r="I460" s="26">
        <f t="shared" si="311"/>
        <v>556.4</v>
      </c>
      <c r="J460" s="26">
        <f t="shared" si="311"/>
        <v>556.4</v>
      </c>
      <c r="K460" s="26">
        <f t="shared" si="311"/>
        <v>556.4</v>
      </c>
      <c r="L460" s="26">
        <f t="shared" si="311"/>
        <v>556.4</v>
      </c>
      <c r="M460" s="26">
        <f t="shared" si="311"/>
        <v>556.4</v>
      </c>
      <c r="N460" s="26">
        <f t="shared" si="311"/>
        <v>556.4</v>
      </c>
      <c r="O460" s="26">
        <f t="shared" si="311"/>
        <v>556.4</v>
      </c>
      <c r="P460" s="26">
        <f t="shared" si="311"/>
        <v>556.4</v>
      </c>
      <c r="Q460" s="26">
        <f t="shared" si="311"/>
        <v>556.4</v>
      </c>
      <c r="R460" s="26">
        <f t="shared" si="311"/>
        <v>556.4</v>
      </c>
      <c r="S460" s="26">
        <f t="shared" si="311"/>
        <v>556.4</v>
      </c>
      <c r="T460" s="26">
        <f t="shared" si="311"/>
        <v>556.4</v>
      </c>
      <c r="U460" s="26">
        <f t="shared" si="311"/>
        <v>556.4</v>
      </c>
      <c r="V460" s="26">
        <f t="shared" si="311"/>
        <v>556.4</v>
      </c>
      <c r="W460" s="26">
        <f>SUM(W458:W459)</f>
        <v>556.4</v>
      </c>
    </row>
    <row r="461" spans="1:23" ht="23" x14ac:dyDescent="0.35">
      <c r="B461" s="336" t="s">
        <v>54</v>
      </c>
      <c r="C461" s="337"/>
      <c r="D461" s="338"/>
      <c r="E461" s="338"/>
      <c r="F461" s="338"/>
      <c r="G461" s="338"/>
      <c r="H461" s="338"/>
      <c r="I461" s="338"/>
      <c r="J461" s="338"/>
      <c r="K461" s="338"/>
      <c r="L461" s="338"/>
      <c r="M461" s="338"/>
      <c r="N461" s="338"/>
      <c r="O461" s="338"/>
      <c r="P461" s="338"/>
      <c r="Q461" s="338"/>
      <c r="R461" s="338"/>
      <c r="S461" s="338"/>
      <c r="T461" s="338"/>
      <c r="U461" s="338"/>
      <c r="V461" s="338"/>
      <c r="W461" s="333"/>
    </row>
    <row r="462" spans="1:23" ht="23" x14ac:dyDescent="0.35">
      <c r="B462" s="353" t="s">
        <v>55</v>
      </c>
      <c r="C462" s="354"/>
      <c r="D462" s="355">
        <f>D460</f>
        <v>556.4</v>
      </c>
      <c r="E462" s="356">
        <f t="shared" ref="E462:W462" si="312">E460</f>
        <v>556.4</v>
      </c>
      <c r="F462" s="356">
        <f t="shared" si="312"/>
        <v>556.4</v>
      </c>
      <c r="G462" s="356">
        <f t="shared" si="312"/>
        <v>556.4</v>
      </c>
      <c r="H462" s="356">
        <f t="shared" si="312"/>
        <v>556.4</v>
      </c>
      <c r="I462" s="356">
        <f t="shared" si="312"/>
        <v>556.4</v>
      </c>
      <c r="J462" s="356">
        <f t="shared" si="312"/>
        <v>556.4</v>
      </c>
      <c r="K462" s="356">
        <f t="shared" si="312"/>
        <v>556.4</v>
      </c>
      <c r="L462" s="356">
        <f t="shared" si="312"/>
        <v>556.4</v>
      </c>
      <c r="M462" s="356">
        <f t="shared" si="312"/>
        <v>556.4</v>
      </c>
      <c r="N462" s="356">
        <f t="shared" si="312"/>
        <v>556.4</v>
      </c>
      <c r="O462" s="356">
        <f t="shared" si="312"/>
        <v>556.4</v>
      </c>
      <c r="P462" s="356">
        <f t="shared" si="312"/>
        <v>556.4</v>
      </c>
      <c r="Q462" s="356">
        <f t="shared" si="312"/>
        <v>556.4</v>
      </c>
      <c r="R462" s="356">
        <f t="shared" si="312"/>
        <v>556.4</v>
      </c>
      <c r="S462" s="356">
        <f t="shared" si="312"/>
        <v>556.4</v>
      </c>
      <c r="T462" s="356">
        <f t="shared" si="312"/>
        <v>556.4</v>
      </c>
      <c r="U462" s="356">
        <f t="shared" si="312"/>
        <v>556.4</v>
      </c>
      <c r="V462" s="356">
        <f t="shared" si="312"/>
        <v>556.4</v>
      </c>
      <c r="W462" s="356">
        <f t="shared" si="312"/>
        <v>556.4</v>
      </c>
    </row>
    <row r="463" spans="1:23" x14ac:dyDescent="0.3">
      <c r="B463" s="171" t="s">
        <v>194</v>
      </c>
      <c r="C463" s="55"/>
      <c r="D463" s="20">
        <v>319</v>
      </c>
      <c r="E463" s="21">
        <v>320</v>
      </c>
      <c r="F463" s="21">
        <v>320</v>
      </c>
      <c r="G463" s="21">
        <v>320</v>
      </c>
      <c r="H463" s="21">
        <v>320</v>
      </c>
      <c r="I463" s="21">
        <v>293</v>
      </c>
      <c r="J463" s="21">
        <v>293</v>
      </c>
      <c r="K463" s="21">
        <v>293</v>
      </c>
      <c r="L463" s="21">
        <v>293</v>
      </c>
      <c r="M463" s="21">
        <v>293</v>
      </c>
      <c r="N463" s="21">
        <v>322</v>
      </c>
      <c r="O463" s="21">
        <v>322</v>
      </c>
      <c r="P463" s="21">
        <v>322</v>
      </c>
      <c r="Q463" s="21">
        <v>322</v>
      </c>
      <c r="R463" s="21">
        <v>322</v>
      </c>
      <c r="S463" s="21">
        <v>322</v>
      </c>
      <c r="T463" s="21">
        <v>319</v>
      </c>
      <c r="U463" s="21">
        <v>320</v>
      </c>
      <c r="V463" s="21">
        <v>318</v>
      </c>
      <c r="W463" s="21">
        <v>322</v>
      </c>
    </row>
    <row r="464" spans="1:23" s="51" customFormat="1" x14ac:dyDescent="0.3">
      <c r="A464" s="407"/>
      <c r="B464" s="61" t="s">
        <v>195</v>
      </c>
      <c r="C464" s="62"/>
      <c r="D464" s="28">
        <v>321</v>
      </c>
      <c r="E464" s="28">
        <v>322</v>
      </c>
      <c r="F464" s="28">
        <v>322</v>
      </c>
      <c r="G464" s="28">
        <v>322</v>
      </c>
      <c r="H464" s="28">
        <v>322</v>
      </c>
      <c r="I464" s="28">
        <v>295</v>
      </c>
      <c r="J464" s="28">
        <v>295</v>
      </c>
      <c r="K464" s="28">
        <v>295</v>
      </c>
      <c r="L464" s="28">
        <v>295</v>
      </c>
      <c r="M464" s="28">
        <v>295</v>
      </c>
      <c r="N464" s="28">
        <v>324</v>
      </c>
      <c r="O464" s="28">
        <v>324</v>
      </c>
      <c r="P464" s="28">
        <v>324</v>
      </c>
      <c r="Q464" s="28">
        <v>324</v>
      </c>
      <c r="R464" s="28">
        <v>324</v>
      </c>
      <c r="S464" s="28">
        <v>324</v>
      </c>
      <c r="T464" s="28">
        <v>321</v>
      </c>
      <c r="U464" s="28">
        <v>322</v>
      </c>
      <c r="V464" s="28">
        <v>320</v>
      </c>
      <c r="W464" s="28">
        <v>324</v>
      </c>
    </row>
    <row r="465" spans="1:23" s="51" customFormat="1" x14ac:dyDescent="0.3">
      <c r="A465" s="407"/>
      <c r="B465" s="61" t="s">
        <v>196</v>
      </c>
      <c r="C465" s="62"/>
      <c r="D465" s="28">
        <v>323</v>
      </c>
      <c r="E465" s="28">
        <v>324</v>
      </c>
      <c r="F465" s="28">
        <v>324</v>
      </c>
      <c r="G465" s="28">
        <v>324</v>
      </c>
      <c r="H465" s="28">
        <v>324</v>
      </c>
      <c r="I465" s="28">
        <v>297</v>
      </c>
      <c r="J465" s="28">
        <v>297</v>
      </c>
      <c r="K465" s="28">
        <v>297</v>
      </c>
      <c r="L465" s="28">
        <v>297</v>
      </c>
      <c r="M465" s="28">
        <v>297</v>
      </c>
      <c r="N465" s="28">
        <v>326</v>
      </c>
      <c r="O465" s="28">
        <v>326</v>
      </c>
      <c r="P465" s="28">
        <v>326</v>
      </c>
      <c r="Q465" s="28">
        <v>326</v>
      </c>
      <c r="R465" s="28">
        <v>326</v>
      </c>
      <c r="S465" s="28">
        <v>326</v>
      </c>
      <c r="T465" s="28">
        <v>323</v>
      </c>
      <c r="U465" s="28">
        <v>324</v>
      </c>
      <c r="V465" s="28">
        <v>322</v>
      </c>
      <c r="W465" s="28">
        <v>326</v>
      </c>
    </row>
    <row r="466" spans="1:23" s="51" customFormat="1" x14ac:dyDescent="0.3">
      <c r="A466" s="407"/>
      <c r="B466" s="61" t="s">
        <v>197</v>
      </c>
      <c r="C466" s="62"/>
      <c r="D466" s="28">
        <v>325</v>
      </c>
      <c r="E466" s="28">
        <v>326</v>
      </c>
      <c r="F466" s="28">
        <v>326</v>
      </c>
      <c r="G466" s="28">
        <v>326</v>
      </c>
      <c r="H466" s="28">
        <v>326</v>
      </c>
      <c r="I466" s="28">
        <v>299</v>
      </c>
      <c r="J466" s="28">
        <v>299</v>
      </c>
      <c r="K466" s="28">
        <v>299</v>
      </c>
      <c r="L466" s="28">
        <v>299</v>
      </c>
      <c r="M466" s="28">
        <v>299</v>
      </c>
      <c r="N466" s="28">
        <v>328</v>
      </c>
      <c r="O466" s="28">
        <v>328</v>
      </c>
      <c r="P466" s="28">
        <v>328</v>
      </c>
      <c r="Q466" s="28">
        <v>328</v>
      </c>
      <c r="R466" s="28">
        <v>328</v>
      </c>
      <c r="S466" s="28">
        <v>328</v>
      </c>
      <c r="T466" s="28">
        <v>325</v>
      </c>
      <c r="U466" s="28">
        <v>326</v>
      </c>
      <c r="V466" s="28">
        <v>324</v>
      </c>
      <c r="W466" s="28">
        <v>328</v>
      </c>
    </row>
    <row r="467" spans="1:23" s="30" customFormat="1" x14ac:dyDescent="0.3">
      <c r="A467" s="404"/>
      <c r="B467" s="63" t="s">
        <v>198</v>
      </c>
      <c r="C467" s="62"/>
      <c r="D467" s="31">
        <f t="shared" ref="D467:E470" si="313">+D463-D$462</f>
        <v>-237.39999999999998</v>
      </c>
      <c r="E467" s="31">
        <f t="shared" si="313"/>
        <v>-236.39999999999998</v>
      </c>
      <c r="F467" s="31">
        <f t="shared" ref="F467:W467" si="314">+F463-F$462</f>
        <v>-236.39999999999998</v>
      </c>
      <c r="G467" s="31">
        <f t="shared" si="314"/>
        <v>-236.39999999999998</v>
      </c>
      <c r="H467" s="31">
        <f t="shared" si="314"/>
        <v>-236.39999999999998</v>
      </c>
      <c r="I467" s="31">
        <f t="shared" si="314"/>
        <v>-263.39999999999998</v>
      </c>
      <c r="J467" s="31">
        <f t="shared" si="314"/>
        <v>-263.39999999999998</v>
      </c>
      <c r="K467" s="31">
        <f t="shared" si="314"/>
        <v>-263.39999999999998</v>
      </c>
      <c r="L467" s="31">
        <f t="shared" si="314"/>
        <v>-263.39999999999998</v>
      </c>
      <c r="M467" s="31">
        <f t="shared" si="314"/>
        <v>-263.39999999999998</v>
      </c>
      <c r="N467" s="31">
        <f t="shared" si="314"/>
        <v>-234.39999999999998</v>
      </c>
      <c r="O467" s="31">
        <f t="shared" si="314"/>
        <v>-234.39999999999998</v>
      </c>
      <c r="P467" s="31">
        <f t="shared" si="314"/>
        <v>-234.39999999999998</v>
      </c>
      <c r="Q467" s="31">
        <f t="shared" si="314"/>
        <v>-234.39999999999998</v>
      </c>
      <c r="R467" s="31">
        <f t="shared" si="314"/>
        <v>-234.39999999999998</v>
      </c>
      <c r="S467" s="31">
        <f t="shared" si="314"/>
        <v>-234.39999999999998</v>
      </c>
      <c r="T467" s="31">
        <f t="shared" si="314"/>
        <v>-237.39999999999998</v>
      </c>
      <c r="U467" s="31">
        <f t="shared" si="314"/>
        <v>-236.39999999999998</v>
      </c>
      <c r="V467" s="31">
        <f t="shared" si="314"/>
        <v>-238.39999999999998</v>
      </c>
      <c r="W467" s="31">
        <f t="shared" si="314"/>
        <v>-234.39999999999998</v>
      </c>
    </row>
    <row r="468" spans="1:23" s="33" customFormat="1" x14ac:dyDescent="0.3">
      <c r="A468" s="405"/>
      <c r="B468" s="63" t="s">
        <v>199</v>
      </c>
      <c r="C468" s="64"/>
      <c r="D468" s="31">
        <f t="shared" si="313"/>
        <v>-235.39999999999998</v>
      </c>
      <c r="E468" s="31">
        <f t="shared" si="313"/>
        <v>-234.39999999999998</v>
      </c>
      <c r="F468" s="31">
        <f t="shared" ref="F468:W468" si="315">+F464-F$462</f>
        <v>-234.39999999999998</v>
      </c>
      <c r="G468" s="31">
        <f t="shared" si="315"/>
        <v>-234.39999999999998</v>
      </c>
      <c r="H468" s="31">
        <f t="shared" si="315"/>
        <v>-234.39999999999998</v>
      </c>
      <c r="I468" s="31">
        <f t="shared" si="315"/>
        <v>-261.39999999999998</v>
      </c>
      <c r="J468" s="31">
        <f t="shared" si="315"/>
        <v>-261.39999999999998</v>
      </c>
      <c r="K468" s="31">
        <f t="shared" si="315"/>
        <v>-261.39999999999998</v>
      </c>
      <c r="L468" s="31">
        <f t="shared" si="315"/>
        <v>-261.39999999999998</v>
      </c>
      <c r="M468" s="31">
        <f t="shared" si="315"/>
        <v>-261.39999999999998</v>
      </c>
      <c r="N468" s="31">
        <f t="shared" si="315"/>
        <v>-232.39999999999998</v>
      </c>
      <c r="O468" s="31">
        <f t="shared" si="315"/>
        <v>-232.39999999999998</v>
      </c>
      <c r="P468" s="31">
        <f t="shared" si="315"/>
        <v>-232.39999999999998</v>
      </c>
      <c r="Q468" s="31">
        <f t="shared" si="315"/>
        <v>-232.39999999999998</v>
      </c>
      <c r="R468" s="31">
        <f t="shared" si="315"/>
        <v>-232.39999999999998</v>
      </c>
      <c r="S468" s="31">
        <f t="shared" si="315"/>
        <v>-232.39999999999998</v>
      </c>
      <c r="T468" s="31">
        <f t="shared" si="315"/>
        <v>-235.39999999999998</v>
      </c>
      <c r="U468" s="31">
        <f t="shared" si="315"/>
        <v>-234.39999999999998</v>
      </c>
      <c r="V468" s="31">
        <f t="shared" si="315"/>
        <v>-236.39999999999998</v>
      </c>
      <c r="W468" s="31">
        <f t="shared" si="315"/>
        <v>-232.39999999999998</v>
      </c>
    </row>
    <row r="469" spans="1:23" s="33" customFormat="1" x14ac:dyDescent="0.3">
      <c r="A469" s="405"/>
      <c r="B469" s="63" t="s">
        <v>200</v>
      </c>
      <c r="C469" s="64"/>
      <c r="D469" s="31">
        <f t="shared" si="313"/>
        <v>-233.39999999999998</v>
      </c>
      <c r="E469" s="31">
        <f t="shared" si="313"/>
        <v>-232.39999999999998</v>
      </c>
      <c r="F469" s="31">
        <f t="shared" ref="F469:W469" si="316">+F465-F$462</f>
        <v>-232.39999999999998</v>
      </c>
      <c r="G469" s="31">
        <f t="shared" si="316"/>
        <v>-232.39999999999998</v>
      </c>
      <c r="H469" s="31">
        <f t="shared" si="316"/>
        <v>-232.39999999999998</v>
      </c>
      <c r="I469" s="31">
        <f t="shared" si="316"/>
        <v>-259.39999999999998</v>
      </c>
      <c r="J469" s="31">
        <f t="shared" si="316"/>
        <v>-259.39999999999998</v>
      </c>
      <c r="K469" s="31">
        <f t="shared" si="316"/>
        <v>-259.39999999999998</v>
      </c>
      <c r="L469" s="31">
        <f t="shared" si="316"/>
        <v>-259.39999999999998</v>
      </c>
      <c r="M469" s="31">
        <f t="shared" si="316"/>
        <v>-259.39999999999998</v>
      </c>
      <c r="N469" s="31">
        <f t="shared" si="316"/>
        <v>-230.39999999999998</v>
      </c>
      <c r="O469" s="31">
        <f t="shared" si="316"/>
        <v>-230.39999999999998</v>
      </c>
      <c r="P469" s="31">
        <f t="shared" si="316"/>
        <v>-230.39999999999998</v>
      </c>
      <c r="Q469" s="31">
        <f t="shared" si="316"/>
        <v>-230.39999999999998</v>
      </c>
      <c r="R469" s="31">
        <f t="shared" si="316"/>
        <v>-230.39999999999998</v>
      </c>
      <c r="S469" s="31">
        <f t="shared" si="316"/>
        <v>-230.39999999999998</v>
      </c>
      <c r="T469" s="31">
        <f t="shared" si="316"/>
        <v>-233.39999999999998</v>
      </c>
      <c r="U469" s="31">
        <f t="shared" si="316"/>
        <v>-232.39999999999998</v>
      </c>
      <c r="V469" s="31">
        <f t="shared" si="316"/>
        <v>-234.39999999999998</v>
      </c>
      <c r="W469" s="31">
        <f t="shared" si="316"/>
        <v>-230.39999999999998</v>
      </c>
    </row>
    <row r="470" spans="1:23" s="33" customFormat="1" x14ac:dyDescent="0.3">
      <c r="A470" s="405"/>
      <c r="B470" s="63" t="s">
        <v>201</v>
      </c>
      <c r="C470" s="64"/>
      <c r="D470" s="31">
        <f t="shared" si="313"/>
        <v>-231.39999999999998</v>
      </c>
      <c r="E470" s="31">
        <f t="shared" si="313"/>
        <v>-230.39999999999998</v>
      </c>
      <c r="F470" s="31">
        <f t="shared" ref="F470:W470" si="317">+F466-F$462</f>
        <v>-230.39999999999998</v>
      </c>
      <c r="G470" s="31">
        <f t="shared" si="317"/>
        <v>-230.39999999999998</v>
      </c>
      <c r="H470" s="31">
        <f t="shared" si="317"/>
        <v>-230.39999999999998</v>
      </c>
      <c r="I470" s="31">
        <f t="shared" si="317"/>
        <v>-257.39999999999998</v>
      </c>
      <c r="J470" s="31">
        <f t="shared" si="317"/>
        <v>-257.39999999999998</v>
      </c>
      <c r="K470" s="31">
        <f t="shared" si="317"/>
        <v>-257.39999999999998</v>
      </c>
      <c r="L470" s="31">
        <f t="shared" si="317"/>
        <v>-257.39999999999998</v>
      </c>
      <c r="M470" s="31">
        <f t="shared" si="317"/>
        <v>-257.39999999999998</v>
      </c>
      <c r="N470" s="31">
        <f t="shared" si="317"/>
        <v>-228.39999999999998</v>
      </c>
      <c r="O470" s="31">
        <f t="shared" si="317"/>
        <v>-228.39999999999998</v>
      </c>
      <c r="P470" s="31">
        <f t="shared" si="317"/>
        <v>-228.39999999999998</v>
      </c>
      <c r="Q470" s="31">
        <f t="shared" si="317"/>
        <v>-228.39999999999998</v>
      </c>
      <c r="R470" s="31">
        <f t="shared" si="317"/>
        <v>-228.39999999999998</v>
      </c>
      <c r="S470" s="31">
        <f t="shared" si="317"/>
        <v>-228.39999999999998</v>
      </c>
      <c r="T470" s="31">
        <f t="shared" si="317"/>
        <v>-231.39999999999998</v>
      </c>
      <c r="U470" s="31">
        <f t="shared" si="317"/>
        <v>-230.39999999999998</v>
      </c>
      <c r="V470" s="31">
        <f t="shared" si="317"/>
        <v>-232.39999999999998</v>
      </c>
      <c r="W470" s="31">
        <f t="shared" si="317"/>
        <v>-228.39999999999998</v>
      </c>
    </row>
    <row r="471" spans="1:23" x14ac:dyDescent="0.3">
      <c r="B471" s="97" t="s">
        <v>202</v>
      </c>
      <c r="C471" s="98"/>
      <c r="D471" s="99">
        <f t="shared" ref="D471:E474" si="318">D467/D463</f>
        <v>-0.7442006269592476</v>
      </c>
      <c r="E471" s="99">
        <f t="shared" si="318"/>
        <v>-0.73874999999999991</v>
      </c>
      <c r="F471" s="99">
        <f t="shared" ref="F471:W471" si="319">F467/F463</f>
        <v>-0.73874999999999991</v>
      </c>
      <c r="G471" s="99">
        <f t="shared" si="319"/>
        <v>-0.73874999999999991</v>
      </c>
      <c r="H471" s="99">
        <f t="shared" si="319"/>
        <v>-0.73874999999999991</v>
      </c>
      <c r="I471" s="99">
        <f t="shared" si="319"/>
        <v>-0.89897610921501703</v>
      </c>
      <c r="J471" s="99">
        <f t="shared" si="319"/>
        <v>-0.89897610921501703</v>
      </c>
      <c r="K471" s="99">
        <f t="shared" si="319"/>
        <v>-0.89897610921501703</v>
      </c>
      <c r="L471" s="99">
        <f t="shared" si="319"/>
        <v>-0.89897610921501703</v>
      </c>
      <c r="M471" s="99">
        <f t="shared" si="319"/>
        <v>-0.89897610921501703</v>
      </c>
      <c r="N471" s="99">
        <f t="shared" si="319"/>
        <v>-0.72795031055900616</v>
      </c>
      <c r="O471" s="99">
        <f t="shared" si="319"/>
        <v>-0.72795031055900616</v>
      </c>
      <c r="P471" s="99">
        <f t="shared" si="319"/>
        <v>-0.72795031055900616</v>
      </c>
      <c r="Q471" s="99">
        <f t="shared" si="319"/>
        <v>-0.72795031055900616</v>
      </c>
      <c r="R471" s="99">
        <f t="shared" si="319"/>
        <v>-0.72795031055900616</v>
      </c>
      <c r="S471" s="99">
        <f t="shared" si="319"/>
        <v>-0.72795031055900616</v>
      </c>
      <c r="T471" s="99">
        <f t="shared" si="319"/>
        <v>-0.7442006269592476</v>
      </c>
      <c r="U471" s="99">
        <f t="shared" si="319"/>
        <v>-0.73874999999999991</v>
      </c>
      <c r="V471" s="99">
        <f t="shared" si="319"/>
        <v>-0.74968553459119491</v>
      </c>
      <c r="W471" s="99">
        <f t="shared" si="319"/>
        <v>-0.72795031055900616</v>
      </c>
    </row>
    <row r="472" spans="1:23" s="36" customFormat="1" x14ac:dyDescent="0.3">
      <c r="A472" s="406"/>
      <c r="B472" s="97" t="s">
        <v>203</v>
      </c>
      <c r="C472" s="98"/>
      <c r="D472" s="99">
        <f t="shared" si="318"/>
        <v>-0.73333333333333328</v>
      </c>
      <c r="E472" s="99">
        <f t="shared" si="318"/>
        <v>-0.72795031055900616</v>
      </c>
      <c r="F472" s="99">
        <f t="shared" ref="F472:W472" si="320">F468/F464</f>
        <v>-0.72795031055900616</v>
      </c>
      <c r="G472" s="99">
        <f t="shared" si="320"/>
        <v>-0.72795031055900616</v>
      </c>
      <c r="H472" s="99">
        <f t="shared" si="320"/>
        <v>-0.72795031055900616</v>
      </c>
      <c r="I472" s="99">
        <f t="shared" si="320"/>
        <v>-0.88610169491525415</v>
      </c>
      <c r="J472" s="99">
        <f t="shared" si="320"/>
        <v>-0.88610169491525415</v>
      </c>
      <c r="K472" s="99">
        <f t="shared" si="320"/>
        <v>-0.88610169491525415</v>
      </c>
      <c r="L472" s="99">
        <f t="shared" si="320"/>
        <v>-0.88610169491525415</v>
      </c>
      <c r="M472" s="99">
        <f t="shared" si="320"/>
        <v>-0.88610169491525415</v>
      </c>
      <c r="N472" s="99">
        <f t="shared" si="320"/>
        <v>-0.71728395061728389</v>
      </c>
      <c r="O472" s="99">
        <f t="shared" si="320"/>
        <v>-0.71728395061728389</v>
      </c>
      <c r="P472" s="99">
        <f t="shared" si="320"/>
        <v>-0.71728395061728389</v>
      </c>
      <c r="Q472" s="99">
        <f t="shared" si="320"/>
        <v>-0.71728395061728389</v>
      </c>
      <c r="R472" s="99">
        <f t="shared" si="320"/>
        <v>-0.71728395061728389</v>
      </c>
      <c r="S472" s="99">
        <f t="shared" si="320"/>
        <v>-0.71728395061728389</v>
      </c>
      <c r="T472" s="99">
        <f t="shared" si="320"/>
        <v>-0.73333333333333328</v>
      </c>
      <c r="U472" s="99">
        <f t="shared" si="320"/>
        <v>-0.72795031055900616</v>
      </c>
      <c r="V472" s="99">
        <f t="shared" si="320"/>
        <v>-0.73874999999999991</v>
      </c>
      <c r="W472" s="99">
        <f t="shared" si="320"/>
        <v>-0.71728395061728389</v>
      </c>
    </row>
    <row r="473" spans="1:23" s="36" customFormat="1" x14ac:dyDescent="0.3">
      <c r="A473" s="406"/>
      <c r="B473" s="97" t="s">
        <v>204</v>
      </c>
      <c r="C473" s="98"/>
      <c r="D473" s="99">
        <f t="shared" si="318"/>
        <v>-0.72260061919504637</v>
      </c>
      <c r="E473" s="99">
        <f t="shared" si="318"/>
        <v>-0.71728395061728389</v>
      </c>
      <c r="F473" s="99">
        <f t="shared" ref="F473:W473" si="321">F469/F465</f>
        <v>-0.71728395061728389</v>
      </c>
      <c r="G473" s="99">
        <f t="shared" si="321"/>
        <v>-0.71728395061728389</v>
      </c>
      <c r="H473" s="99">
        <f t="shared" si="321"/>
        <v>-0.71728395061728389</v>
      </c>
      <c r="I473" s="99">
        <f t="shared" si="321"/>
        <v>-0.87340067340067329</v>
      </c>
      <c r="J473" s="99">
        <f t="shared" si="321"/>
        <v>-0.87340067340067329</v>
      </c>
      <c r="K473" s="99">
        <f t="shared" si="321"/>
        <v>-0.87340067340067329</v>
      </c>
      <c r="L473" s="99">
        <f t="shared" si="321"/>
        <v>-0.87340067340067329</v>
      </c>
      <c r="M473" s="99">
        <f t="shared" si="321"/>
        <v>-0.87340067340067329</v>
      </c>
      <c r="N473" s="99">
        <f t="shared" si="321"/>
        <v>-0.70674846625766863</v>
      </c>
      <c r="O473" s="99">
        <f t="shared" si="321"/>
        <v>-0.70674846625766863</v>
      </c>
      <c r="P473" s="99">
        <f t="shared" si="321"/>
        <v>-0.70674846625766863</v>
      </c>
      <c r="Q473" s="99">
        <f t="shared" si="321"/>
        <v>-0.70674846625766863</v>
      </c>
      <c r="R473" s="99">
        <f t="shared" si="321"/>
        <v>-0.70674846625766863</v>
      </c>
      <c r="S473" s="99">
        <f t="shared" si="321"/>
        <v>-0.70674846625766863</v>
      </c>
      <c r="T473" s="99">
        <f t="shared" si="321"/>
        <v>-0.72260061919504637</v>
      </c>
      <c r="U473" s="99">
        <f t="shared" si="321"/>
        <v>-0.71728395061728389</v>
      </c>
      <c r="V473" s="99">
        <f t="shared" si="321"/>
        <v>-0.72795031055900616</v>
      </c>
      <c r="W473" s="99">
        <f t="shared" si="321"/>
        <v>-0.70674846625766863</v>
      </c>
    </row>
    <row r="474" spans="1:23" s="36" customFormat="1" x14ac:dyDescent="0.3">
      <c r="A474" s="406"/>
      <c r="B474" s="97" t="s">
        <v>205</v>
      </c>
      <c r="C474" s="98"/>
      <c r="D474" s="99">
        <f t="shared" si="318"/>
        <v>-0.71199999999999997</v>
      </c>
      <c r="E474" s="99">
        <f t="shared" si="318"/>
        <v>-0.70674846625766863</v>
      </c>
      <c r="F474" s="99">
        <f t="shared" ref="F474:W474" si="322">F470/F466</f>
        <v>-0.70674846625766863</v>
      </c>
      <c r="G474" s="99">
        <f t="shared" si="322"/>
        <v>-0.70674846625766863</v>
      </c>
      <c r="H474" s="99">
        <f t="shared" si="322"/>
        <v>-0.70674846625766863</v>
      </c>
      <c r="I474" s="99">
        <f t="shared" si="322"/>
        <v>-0.86086956521739122</v>
      </c>
      <c r="J474" s="99">
        <f t="shared" si="322"/>
        <v>-0.86086956521739122</v>
      </c>
      <c r="K474" s="99">
        <f t="shared" si="322"/>
        <v>-0.86086956521739122</v>
      </c>
      <c r="L474" s="99">
        <f t="shared" si="322"/>
        <v>-0.86086956521739122</v>
      </c>
      <c r="M474" s="99">
        <f t="shared" si="322"/>
        <v>-0.86086956521739122</v>
      </c>
      <c r="N474" s="99">
        <f t="shared" si="322"/>
        <v>-0.6963414634146341</v>
      </c>
      <c r="O474" s="99">
        <f t="shared" si="322"/>
        <v>-0.6963414634146341</v>
      </c>
      <c r="P474" s="99">
        <f t="shared" si="322"/>
        <v>-0.6963414634146341</v>
      </c>
      <c r="Q474" s="99">
        <f t="shared" si="322"/>
        <v>-0.6963414634146341</v>
      </c>
      <c r="R474" s="99">
        <f t="shared" si="322"/>
        <v>-0.6963414634146341</v>
      </c>
      <c r="S474" s="99">
        <f t="shared" si="322"/>
        <v>-0.6963414634146341</v>
      </c>
      <c r="T474" s="99">
        <f t="shared" si="322"/>
        <v>-0.71199999999999997</v>
      </c>
      <c r="U474" s="99">
        <f t="shared" si="322"/>
        <v>-0.70674846625766863</v>
      </c>
      <c r="V474" s="99">
        <f t="shared" si="322"/>
        <v>-0.71728395061728389</v>
      </c>
      <c r="W474" s="99">
        <f t="shared" si="322"/>
        <v>-0.6963414634146341</v>
      </c>
    </row>
    <row r="475" spans="1:23" ht="21" thickBot="1" x14ac:dyDescent="0.35"/>
    <row r="476" spans="1:23" s="19" customFormat="1" ht="24" thickBot="1" x14ac:dyDescent="0.4">
      <c r="A476" s="19" t="s">
        <v>290</v>
      </c>
      <c r="B476" s="345" t="s">
        <v>87</v>
      </c>
      <c r="C476" s="68"/>
      <c r="D476" s="17" t="s">
        <v>5</v>
      </c>
      <c r="E476" s="18" t="s">
        <v>6</v>
      </c>
      <c r="F476" s="18" t="s">
        <v>7</v>
      </c>
      <c r="G476" s="18" t="s">
        <v>8</v>
      </c>
      <c r="H476" s="18" t="s">
        <v>9</v>
      </c>
      <c r="I476" s="18" t="s">
        <v>10</v>
      </c>
      <c r="J476" s="18" t="s">
        <v>11</v>
      </c>
      <c r="K476" s="18" t="s">
        <v>12</v>
      </c>
      <c r="L476" s="18" t="s">
        <v>13</v>
      </c>
      <c r="M476" s="18" t="s">
        <v>14</v>
      </c>
      <c r="N476" s="18" t="s">
        <v>15</v>
      </c>
      <c r="O476" s="18" t="s">
        <v>16</v>
      </c>
      <c r="P476" s="18" t="s">
        <v>17</v>
      </c>
      <c r="Q476" s="18" t="s">
        <v>18</v>
      </c>
      <c r="R476" s="18" t="s">
        <v>19</v>
      </c>
      <c r="S476" s="18" t="s">
        <v>20</v>
      </c>
      <c r="T476" s="18" t="s">
        <v>21</v>
      </c>
      <c r="U476" s="18" t="s">
        <v>22</v>
      </c>
      <c r="V476" s="18" t="s">
        <v>23</v>
      </c>
      <c r="W476" s="18" t="s">
        <v>166</v>
      </c>
    </row>
    <row r="477" spans="1:23" x14ac:dyDescent="0.3">
      <c r="B477" s="54" t="s">
        <v>50</v>
      </c>
      <c r="C477" s="55"/>
      <c r="D477" s="20">
        <v>1250</v>
      </c>
      <c r="E477" s="20">
        <v>1250</v>
      </c>
      <c r="F477" s="20">
        <v>1250</v>
      </c>
      <c r="G477" s="20">
        <v>1250</v>
      </c>
      <c r="H477" s="20">
        <v>1250</v>
      </c>
      <c r="I477" s="20">
        <v>1250</v>
      </c>
      <c r="J477" s="20">
        <v>1250</v>
      </c>
      <c r="K477" s="20">
        <v>1250</v>
      </c>
      <c r="L477" s="20">
        <v>1250</v>
      </c>
      <c r="M477" s="20">
        <v>1250</v>
      </c>
      <c r="N477" s="20">
        <v>1250</v>
      </c>
      <c r="O477" s="20">
        <v>1250</v>
      </c>
      <c r="P477" s="20">
        <v>1250</v>
      </c>
      <c r="Q477" s="20">
        <v>1250</v>
      </c>
      <c r="R477" s="20">
        <v>1250</v>
      </c>
      <c r="S477" s="20">
        <v>1250</v>
      </c>
      <c r="T477" s="20">
        <v>1250</v>
      </c>
      <c r="U477" s="20">
        <v>1250</v>
      </c>
      <c r="V477" s="20">
        <v>1250</v>
      </c>
      <c r="W477" s="20">
        <v>1250</v>
      </c>
    </row>
    <row r="478" spans="1:23" ht="23" x14ac:dyDescent="0.35">
      <c r="B478" s="340" t="s">
        <v>51</v>
      </c>
      <c r="C478" s="341"/>
      <c r="D478" s="363"/>
      <c r="E478" s="363"/>
      <c r="F478" s="363"/>
      <c r="G478" s="363"/>
      <c r="H478" s="363"/>
      <c r="I478" s="363"/>
      <c r="J478" s="363"/>
      <c r="K478" s="363"/>
      <c r="L478" s="363"/>
      <c r="M478" s="363"/>
      <c r="N478" s="363"/>
      <c r="O478" s="363"/>
      <c r="P478" s="363"/>
      <c r="Q478" s="363"/>
      <c r="R478" s="363"/>
      <c r="S478" s="363"/>
      <c r="T478" s="363"/>
      <c r="U478" s="363"/>
      <c r="V478" s="363"/>
      <c r="W478" s="363"/>
    </row>
    <row r="479" spans="1:23" x14ac:dyDescent="0.3">
      <c r="B479" s="54"/>
      <c r="C479" s="55"/>
      <c r="D479" s="20">
        <f t="shared" ref="D479:V479" si="323">D477*(1-D478)</f>
        <v>1250</v>
      </c>
      <c r="E479" s="20">
        <f t="shared" si="323"/>
        <v>1250</v>
      </c>
      <c r="F479" s="20">
        <f t="shared" si="323"/>
        <v>1250</v>
      </c>
      <c r="G479" s="20">
        <f t="shared" si="323"/>
        <v>1250</v>
      </c>
      <c r="H479" s="20">
        <f t="shared" si="323"/>
        <v>1250</v>
      </c>
      <c r="I479" s="20">
        <f t="shared" si="323"/>
        <v>1250</v>
      </c>
      <c r="J479" s="20">
        <f t="shared" si="323"/>
        <v>1250</v>
      </c>
      <c r="K479" s="20">
        <f t="shared" si="323"/>
        <v>1250</v>
      </c>
      <c r="L479" s="20">
        <f t="shared" si="323"/>
        <v>1250</v>
      </c>
      <c r="M479" s="20">
        <f t="shared" si="323"/>
        <v>1250</v>
      </c>
      <c r="N479" s="20">
        <f t="shared" si="323"/>
        <v>1250</v>
      </c>
      <c r="O479" s="20">
        <f t="shared" si="323"/>
        <v>1250</v>
      </c>
      <c r="P479" s="20">
        <f t="shared" si="323"/>
        <v>1250</v>
      </c>
      <c r="Q479" s="20">
        <f t="shared" si="323"/>
        <v>1250</v>
      </c>
      <c r="R479" s="20">
        <f t="shared" si="323"/>
        <v>1250</v>
      </c>
      <c r="S479" s="20">
        <f t="shared" si="323"/>
        <v>1250</v>
      </c>
      <c r="T479" s="20">
        <f t="shared" si="323"/>
        <v>1250</v>
      </c>
      <c r="U479" s="20">
        <f t="shared" si="323"/>
        <v>1250</v>
      </c>
      <c r="V479" s="20">
        <f t="shared" si="323"/>
        <v>1250</v>
      </c>
      <c r="W479" s="20">
        <f>W477*(1-W478)</f>
        <v>1250</v>
      </c>
    </row>
    <row r="480" spans="1:23" x14ac:dyDescent="0.3">
      <c r="B480" s="54" t="s">
        <v>51</v>
      </c>
      <c r="C480" s="56">
        <v>0</v>
      </c>
      <c r="D480" s="20">
        <f>D479*$C480</f>
        <v>0</v>
      </c>
      <c r="E480" s="20">
        <f t="shared" ref="E480:V480" si="324">E479*$C480</f>
        <v>0</v>
      </c>
      <c r="F480" s="20">
        <f t="shared" si="324"/>
        <v>0</v>
      </c>
      <c r="G480" s="20">
        <f t="shared" si="324"/>
        <v>0</v>
      </c>
      <c r="H480" s="20">
        <f t="shared" si="324"/>
        <v>0</v>
      </c>
      <c r="I480" s="20">
        <f t="shared" si="324"/>
        <v>0</v>
      </c>
      <c r="J480" s="20">
        <f t="shared" si="324"/>
        <v>0</v>
      </c>
      <c r="K480" s="20">
        <f t="shared" si="324"/>
        <v>0</v>
      </c>
      <c r="L480" s="20">
        <f t="shared" si="324"/>
        <v>0</v>
      </c>
      <c r="M480" s="20">
        <f t="shared" si="324"/>
        <v>0</v>
      </c>
      <c r="N480" s="20">
        <f t="shared" si="324"/>
        <v>0</v>
      </c>
      <c r="O480" s="20">
        <f t="shared" si="324"/>
        <v>0</v>
      </c>
      <c r="P480" s="20">
        <f t="shared" si="324"/>
        <v>0</v>
      </c>
      <c r="Q480" s="20">
        <f t="shared" si="324"/>
        <v>0</v>
      </c>
      <c r="R480" s="20">
        <f t="shared" si="324"/>
        <v>0</v>
      </c>
      <c r="S480" s="20">
        <f t="shared" si="324"/>
        <v>0</v>
      </c>
      <c r="T480" s="20">
        <f t="shared" si="324"/>
        <v>0</v>
      </c>
      <c r="U480" s="20">
        <f t="shared" si="324"/>
        <v>0</v>
      </c>
      <c r="V480" s="20">
        <f t="shared" si="324"/>
        <v>0</v>
      </c>
      <c r="W480" s="20">
        <f>W479*$C480</f>
        <v>0</v>
      </c>
    </row>
    <row r="481" spans="1:23" x14ac:dyDescent="0.3">
      <c r="B481" s="54" t="s">
        <v>67</v>
      </c>
      <c r="C481" s="55"/>
      <c r="D481" s="20">
        <f>D479-D480</f>
        <v>1250</v>
      </c>
      <c r="E481" s="20">
        <f t="shared" ref="E481:V481" si="325">E479-E480</f>
        <v>1250</v>
      </c>
      <c r="F481" s="20">
        <f t="shared" si="325"/>
        <v>1250</v>
      </c>
      <c r="G481" s="20">
        <f t="shared" si="325"/>
        <v>1250</v>
      </c>
      <c r="H481" s="20">
        <f t="shared" si="325"/>
        <v>1250</v>
      </c>
      <c r="I481" s="20">
        <f t="shared" si="325"/>
        <v>1250</v>
      </c>
      <c r="J481" s="20">
        <f t="shared" si="325"/>
        <v>1250</v>
      </c>
      <c r="K481" s="20">
        <f t="shared" si="325"/>
        <v>1250</v>
      </c>
      <c r="L481" s="20">
        <f t="shared" si="325"/>
        <v>1250</v>
      </c>
      <c r="M481" s="20">
        <f t="shared" si="325"/>
        <v>1250</v>
      </c>
      <c r="N481" s="20">
        <f t="shared" si="325"/>
        <v>1250</v>
      </c>
      <c r="O481" s="20">
        <f t="shared" si="325"/>
        <v>1250</v>
      </c>
      <c r="P481" s="20">
        <f t="shared" si="325"/>
        <v>1250</v>
      </c>
      <c r="Q481" s="20">
        <f t="shared" si="325"/>
        <v>1250</v>
      </c>
      <c r="R481" s="20">
        <f t="shared" si="325"/>
        <v>1250</v>
      </c>
      <c r="S481" s="20">
        <f t="shared" si="325"/>
        <v>1250</v>
      </c>
      <c r="T481" s="20">
        <f t="shared" si="325"/>
        <v>1250</v>
      </c>
      <c r="U481" s="20">
        <f t="shared" si="325"/>
        <v>1250</v>
      </c>
      <c r="V481" s="20">
        <f t="shared" si="325"/>
        <v>1250</v>
      </c>
      <c r="W481" s="20">
        <f>W479-W480</f>
        <v>1250</v>
      </c>
    </row>
    <row r="482" spans="1:23" x14ac:dyDescent="0.3">
      <c r="B482" s="54" t="s">
        <v>66</v>
      </c>
      <c r="C482" s="56">
        <v>7.0000000000000007E-2</v>
      </c>
      <c r="D482" s="20">
        <f>D481*$C482</f>
        <v>87.500000000000014</v>
      </c>
      <c r="E482" s="20">
        <f t="shared" ref="E482:V482" si="326">E481*$C482</f>
        <v>87.500000000000014</v>
      </c>
      <c r="F482" s="20">
        <f t="shared" si="326"/>
        <v>87.500000000000014</v>
      </c>
      <c r="G482" s="20">
        <f t="shared" si="326"/>
        <v>87.500000000000014</v>
      </c>
      <c r="H482" s="20">
        <f t="shared" si="326"/>
        <v>87.500000000000014</v>
      </c>
      <c r="I482" s="20">
        <f t="shared" si="326"/>
        <v>87.500000000000014</v>
      </c>
      <c r="J482" s="20">
        <f t="shared" si="326"/>
        <v>87.500000000000014</v>
      </c>
      <c r="K482" s="20">
        <f t="shared" si="326"/>
        <v>87.500000000000014</v>
      </c>
      <c r="L482" s="20">
        <f t="shared" si="326"/>
        <v>87.500000000000014</v>
      </c>
      <c r="M482" s="20">
        <f t="shared" si="326"/>
        <v>87.500000000000014</v>
      </c>
      <c r="N482" s="20">
        <f t="shared" si="326"/>
        <v>87.500000000000014</v>
      </c>
      <c r="O482" s="20">
        <f t="shared" si="326"/>
        <v>87.500000000000014</v>
      </c>
      <c r="P482" s="20">
        <f t="shared" si="326"/>
        <v>87.500000000000014</v>
      </c>
      <c r="Q482" s="20">
        <f t="shared" si="326"/>
        <v>87.500000000000014</v>
      </c>
      <c r="R482" s="20">
        <f t="shared" si="326"/>
        <v>87.500000000000014</v>
      </c>
      <c r="S482" s="20">
        <f t="shared" si="326"/>
        <v>87.500000000000014</v>
      </c>
      <c r="T482" s="20">
        <f t="shared" si="326"/>
        <v>87.500000000000014</v>
      </c>
      <c r="U482" s="20">
        <f t="shared" si="326"/>
        <v>87.500000000000014</v>
      </c>
      <c r="V482" s="20">
        <f t="shared" si="326"/>
        <v>87.500000000000014</v>
      </c>
      <c r="W482" s="20">
        <f>W481*$C482</f>
        <v>87.500000000000014</v>
      </c>
    </row>
    <row r="483" spans="1:23" x14ac:dyDescent="0.3">
      <c r="B483" s="54" t="s">
        <v>68</v>
      </c>
      <c r="C483" s="55"/>
      <c r="D483" s="20">
        <f>D481+D482</f>
        <v>1337.5</v>
      </c>
      <c r="E483" s="20">
        <f t="shared" ref="E483:V483" si="327">E481+E482</f>
        <v>1337.5</v>
      </c>
      <c r="F483" s="20">
        <f t="shared" si="327"/>
        <v>1337.5</v>
      </c>
      <c r="G483" s="20">
        <f t="shared" si="327"/>
        <v>1337.5</v>
      </c>
      <c r="H483" s="20">
        <f t="shared" si="327"/>
        <v>1337.5</v>
      </c>
      <c r="I483" s="20">
        <f t="shared" si="327"/>
        <v>1337.5</v>
      </c>
      <c r="J483" s="20">
        <f t="shared" si="327"/>
        <v>1337.5</v>
      </c>
      <c r="K483" s="20">
        <f t="shared" si="327"/>
        <v>1337.5</v>
      </c>
      <c r="L483" s="20">
        <f t="shared" si="327"/>
        <v>1337.5</v>
      </c>
      <c r="M483" s="20">
        <f t="shared" si="327"/>
        <v>1337.5</v>
      </c>
      <c r="N483" s="20">
        <f t="shared" si="327"/>
        <v>1337.5</v>
      </c>
      <c r="O483" s="20">
        <f t="shared" si="327"/>
        <v>1337.5</v>
      </c>
      <c r="P483" s="20">
        <f t="shared" si="327"/>
        <v>1337.5</v>
      </c>
      <c r="Q483" s="20">
        <f t="shared" si="327"/>
        <v>1337.5</v>
      </c>
      <c r="R483" s="20">
        <f t="shared" si="327"/>
        <v>1337.5</v>
      </c>
      <c r="S483" s="20">
        <f t="shared" si="327"/>
        <v>1337.5</v>
      </c>
      <c r="T483" s="20">
        <f t="shared" si="327"/>
        <v>1337.5</v>
      </c>
      <c r="U483" s="20">
        <f t="shared" si="327"/>
        <v>1337.5</v>
      </c>
      <c r="V483" s="20">
        <f t="shared" si="327"/>
        <v>1337.5</v>
      </c>
      <c r="W483" s="20">
        <f>W481+W482</f>
        <v>1337.5</v>
      </c>
    </row>
    <row r="484" spans="1:23" ht="23" x14ac:dyDescent="0.35">
      <c r="B484" s="357" t="s">
        <v>52</v>
      </c>
      <c r="C484" s="358"/>
      <c r="D484" s="381"/>
      <c r="E484" s="381"/>
      <c r="F484" s="381"/>
      <c r="G484" s="381"/>
      <c r="H484" s="381"/>
      <c r="I484" s="381"/>
      <c r="J484" s="381"/>
      <c r="K484" s="381"/>
      <c r="L484" s="381"/>
      <c r="M484" s="381"/>
      <c r="N484" s="381"/>
      <c r="O484" s="381"/>
      <c r="P484" s="381"/>
      <c r="Q484" s="381"/>
      <c r="R484" s="381"/>
      <c r="S484" s="381"/>
      <c r="T484" s="381"/>
      <c r="U484" s="381"/>
      <c r="V484" s="381"/>
      <c r="W484" s="381"/>
    </row>
    <row r="485" spans="1:23" x14ac:dyDescent="0.3">
      <c r="B485" s="57" t="s">
        <v>53</v>
      </c>
      <c r="C485" s="58"/>
      <c r="D485" s="25">
        <f>SUM(D483:D484)</f>
        <v>1337.5</v>
      </c>
      <c r="E485" s="26">
        <f t="shared" ref="E485:V485" si="328">SUM(E483:E484)</f>
        <v>1337.5</v>
      </c>
      <c r="F485" s="26">
        <f t="shared" si="328"/>
        <v>1337.5</v>
      </c>
      <c r="G485" s="26">
        <f t="shared" si="328"/>
        <v>1337.5</v>
      </c>
      <c r="H485" s="26">
        <f t="shared" si="328"/>
        <v>1337.5</v>
      </c>
      <c r="I485" s="26">
        <f t="shared" si="328"/>
        <v>1337.5</v>
      </c>
      <c r="J485" s="26">
        <f t="shared" si="328"/>
        <v>1337.5</v>
      </c>
      <c r="K485" s="26">
        <f t="shared" si="328"/>
        <v>1337.5</v>
      </c>
      <c r="L485" s="26">
        <f t="shared" si="328"/>
        <v>1337.5</v>
      </c>
      <c r="M485" s="26">
        <f t="shared" si="328"/>
        <v>1337.5</v>
      </c>
      <c r="N485" s="26">
        <f t="shared" si="328"/>
        <v>1337.5</v>
      </c>
      <c r="O485" s="26">
        <f t="shared" si="328"/>
        <v>1337.5</v>
      </c>
      <c r="P485" s="26">
        <f t="shared" si="328"/>
        <v>1337.5</v>
      </c>
      <c r="Q485" s="26">
        <f t="shared" si="328"/>
        <v>1337.5</v>
      </c>
      <c r="R485" s="26">
        <f t="shared" si="328"/>
        <v>1337.5</v>
      </c>
      <c r="S485" s="26">
        <f t="shared" si="328"/>
        <v>1337.5</v>
      </c>
      <c r="T485" s="26">
        <f t="shared" si="328"/>
        <v>1337.5</v>
      </c>
      <c r="U485" s="26">
        <f t="shared" si="328"/>
        <v>1337.5</v>
      </c>
      <c r="V485" s="26">
        <f t="shared" si="328"/>
        <v>1337.5</v>
      </c>
      <c r="W485" s="26">
        <f>SUM(W483:W484)</f>
        <v>1337.5</v>
      </c>
    </row>
    <row r="486" spans="1:23" ht="23" x14ac:dyDescent="0.35">
      <c r="B486" s="336" t="s">
        <v>54</v>
      </c>
      <c r="C486" s="337"/>
      <c r="D486" s="338"/>
      <c r="E486" s="338"/>
      <c r="F486" s="338"/>
      <c r="G486" s="338"/>
      <c r="H486" s="338"/>
      <c r="I486" s="338"/>
      <c r="J486" s="338"/>
      <c r="K486" s="338"/>
      <c r="L486" s="338"/>
      <c r="M486" s="338"/>
      <c r="N486" s="338"/>
      <c r="O486" s="338"/>
      <c r="P486" s="338"/>
      <c r="Q486" s="338"/>
      <c r="R486" s="338"/>
      <c r="S486" s="338"/>
      <c r="T486" s="338"/>
      <c r="U486" s="338"/>
      <c r="V486" s="338"/>
      <c r="W486" s="338"/>
    </row>
    <row r="487" spans="1:23" ht="23" x14ac:dyDescent="0.35">
      <c r="B487" s="353" t="s">
        <v>55</v>
      </c>
      <c r="C487" s="354"/>
      <c r="D487" s="355">
        <f>D485</f>
        <v>1337.5</v>
      </c>
      <c r="E487" s="356">
        <f t="shared" ref="E487:W487" si="329">E485</f>
        <v>1337.5</v>
      </c>
      <c r="F487" s="356">
        <f t="shared" si="329"/>
        <v>1337.5</v>
      </c>
      <c r="G487" s="356">
        <f t="shared" si="329"/>
        <v>1337.5</v>
      </c>
      <c r="H487" s="356">
        <f t="shared" si="329"/>
        <v>1337.5</v>
      </c>
      <c r="I487" s="356">
        <f t="shared" si="329"/>
        <v>1337.5</v>
      </c>
      <c r="J487" s="356">
        <f t="shared" si="329"/>
        <v>1337.5</v>
      </c>
      <c r="K487" s="356">
        <f t="shared" si="329"/>
        <v>1337.5</v>
      </c>
      <c r="L487" s="356">
        <f t="shared" si="329"/>
        <v>1337.5</v>
      </c>
      <c r="M487" s="356">
        <f t="shared" si="329"/>
        <v>1337.5</v>
      </c>
      <c r="N487" s="356">
        <f t="shared" si="329"/>
        <v>1337.5</v>
      </c>
      <c r="O487" s="356">
        <f t="shared" si="329"/>
        <v>1337.5</v>
      </c>
      <c r="P487" s="356">
        <f t="shared" si="329"/>
        <v>1337.5</v>
      </c>
      <c r="Q487" s="356">
        <f t="shared" si="329"/>
        <v>1337.5</v>
      </c>
      <c r="R487" s="356">
        <f t="shared" si="329"/>
        <v>1337.5</v>
      </c>
      <c r="S487" s="356">
        <f t="shared" si="329"/>
        <v>1337.5</v>
      </c>
      <c r="T487" s="356">
        <f t="shared" si="329"/>
        <v>1337.5</v>
      </c>
      <c r="U487" s="356">
        <f t="shared" si="329"/>
        <v>1337.5</v>
      </c>
      <c r="V487" s="356">
        <f t="shared" si="329"/>
        <v>1337.5</v>
      </c>
      <c r="W487" s="356">
        <f t="shared" si="329"/>
        <v>1337.5</v>
      </c>
    </row>
    <row r="488" spans="1:23" x14ac:dyDescent="0.3">
      <c r="B488" s="171" t="s">
        <v>194</v>
      </c>
      <c r="C488" s="55"/>
      <c r="D488" s="181">
        <v>771</v>
      </c>
      <c r="E488" s="282">
        <v>771</v>
      </c>
      <c r="F488" s="282">
        <v>771</v>
      </c>
      <c r="G488" s="282">
        <v>771</v>
      </c>
      <c r="H488" s="282">
        <v>771</v>
      </c>
      <c r="I488" s="282">
        <v>706</v>
      </c>
      <c r="J488" s="282">
        <v>706</v>
      </c>
      <c r="K488" s="282">
        <v>706</v>
      </c>
      <c r="L488" s="282">
        <v>706</v>
      </c>
      <c r="M488" s="282">
        <v>706</v>
      </c>
      <c r="N488" s="282">
        <v>776</v>
      </c>
      <c r="O488" s="282">
        <v>776</v>
      </c>
      <c r="P488" s="282">
        <v>776</v>
      </c>
      <c r="Q488" s="282">
        <v>776</v>
      </c>
      <c r="R488" s="282">
        <v>776</v>
      </c>
      <c r="S488" s="282">
        <v>776</v>
      </c>
      <c r="T488" s="282">
        <v>770</v>
      </c>
      <c r="U488" s="282">
        <v>771</v>
      </c>
      <c r="V488" s="282">
        <v>769</v>
      </c>
      <c r="W488" s="282">
        <v>776</v>
      </c>
    </row>
    <row r="489" spans="1:23" s="51" customFormat="1" x14ac:dyDescent="0.3">
      <c r="A489" s="407"/>
      <c r="B489" s="61" t="s">
        <v>195</v>
      </c>
      <c r="C489" s="62"/>
      <c r="D489" s="283">
        <v>773</v>
      </c>
      <c r="E489" s="283">
        <v>773</v>
      </c>
      <c r="F489" s="283">
        <v>773</v>
      </c>
      <c r="G489" s="283">
        <v>773</v>
      </c>
      <c r="H489" s="283">
        <v>773</v>
      </c>
      <c r="I489" s="283">
        <v>708</v>
      </c>
      <c r="J489" s="283">
        <v>708</v>
      </c>
      <c r="K489" s="283">
        <v>708</v>
      </c>
      <c r="L489" s="283">
        <v>708</v>
      </c>
      <c r="M489" s="283">
        <v>708</v>
      </c>
      <c r="N489" s="283">
        <v>778</v>
      </c>
      <c r="O489" s="283">
        <v>778</v>
      </c>
      <c r="P489" s="283">
        <v>778</v>
      </c>
      <c r="Q489" s="283">
        <v>778</v>
      </c>
      <c r="R489" s="283">
        <v>778</v>
      </c>
      <c r="S489" s="283">
        <v>778</v>
      </c>
      <c r="T489" s="283">
        <v>772</v>
      </c>
      <c r="U489" s="283">
        <v>773</v>
      </c>
      <c r="V489" s="283">
        <v>771</v>
      </c>
      <c r="W489" s="283">
        <v>778</v>
      </c>
    </row>
    <row r="490" spans="1:23" s="51" customFormat="1" x14ac:dyDescent="0.3">
      <c r="A490" s="407"/>
      <c r="B490" s="61" t="s">
        <v>196</v>
      </c>
      <c r="C490" s="62"/>
      <c r="D490" s="283">
        <v>778</v>
      </c>
      <c r="E490" s="283">
        <v>778</v>
      </c>
      <c r="F490" s="283">
        <v>778</v>
      </c>
      <c r="G490" s="283">
        <v>778</v>
      </c>
      <c r="H490" s="283">
        <v>778</v>
      </c>
      <c r="I490" s="283">
        <v>713</v>
      </c>
      <c r="J490" s="283">
        <v>713</v>
      </c>
      <c r="K490" s="283">
        <v>713</v>
      </c>
      <c r="L490" s="283">
        <v>713</v>
      </c>
      <c r="M490" s="283">
        <v>713</v>
      </c>
      <c r="N490" s="283">
        <v>783</v>
      </c>
      <c r="O490" s="283">
        <v>783</v>
      </c>
      <c r="P490" s="283">
        <v>783</v>
      </c>
      <c r="Q490" s="283">
        <v>783</v>
      </c>
      <c r="R490" s="283">
        <v>783</v>
      </c>
      <c r="S490" s="283">
        <v>783</v>
      </c>
      <c r="T490" s="283">
        <v>777</v>
      </c>
      <c r="U490" s="283">
        <v>778</v>
      </c>
      <c r="V490" s="283">
        <v>776</v>
      </c>
      <c r="W490" s="283">
        <v>783</v>
      </c>
    </row>
    <row r="491" spans="1:23" s="51" customFormat="1" x14ac:dyDescent="0.3">
      <c r="A491" s="407"/>
      <c r="B491" s="61" t="s">
        <v>197</v>
      </c>
      <c r="C491" s="62"/>
      <c r="D491" s="283">
        <v>783</v>
      </c>
      <c r="E491" s="283">
        <v>783</v>
      </c>
      <c r="F491" s="283">
        <v>783</v>
      </c>
      <c r="G491" s="283">
        <v>783</v>
      </c>
      <c r="H491" s="283">
        <v>783</v>
      </c>
      <c r="I491" s="283">
        <v>718</v>
      </c>
      <c r="J491" s="283">
        <v>718</v>
      </c>
      <c r="K491" s="283">
        <v>718</v>
      </c>
      <c r="L491" s="283">
        <v>718</v>
      </c>
      <c r="M491" s="283">
        <v>718</v>
      </c>
      <c r="N491" s="283">
        <v>788</v>
      </c>
      <c r="O491" s="283">
        <v>788</v>
      </c>
      <c r="P491" s="283">
        <v>788</v>
      </c>
      <c r="Q491" s="283">
        <v>788</v>
      </c>
      <c r="R491" s="283">
        <v>788</v>
      </c>
      <c r="S491" s="283">
        <v>788</v>
      </c>
      <c r="T491" s="283">
        <v>782</v>
      </c>
      <c r="U491" s="283">
        <v>783</v>
      </c>
      <c r="V491" s="283">
        <v>781</v>
      </c>
      <c r="W491" s="283">
        <v>788</v>
      </c>
    </row>
    <row r="492" spans="1:23" s="30" customFormat="1" x14ac:dyDescent="0.3">
      <c r="A492" s="404"/>
      <c r="B492" s="63" t="s">
        <v>198</v>
      </c>
      <c r="C492" s="62"/>
      <c r="D492" s="31">
        <v>48.087499999999977</v>
      </c>
      <c r="E492" s="31">
        <f>+E488-E$487</f>
        <v>-566.5</v>
      </c>
      <c r="F492" s="31">
        <f t="shared" ref="F492:W492" si="330">+F488-F$487</f>
        <v>-566.5</v>
      </c>
      <c r="G492" s="31">
        <f t="shared" si="330"/>
        <v>-566.5</v>
      </c>
      <c r="H492" s="31">
        <f t="shared" si="330"/>
        <v>-566.5</v>
      </c>
      <c r="I492" s="31">
        <f t="shared" si="330"/>
        <v>-631.5</v>
      </c>
      <c r="J492" s="31">
        <f t="shared" si="330"/>
        <v>-631.5</v>
      </c>
      <c r="K492" s="31">
        <f t="shared" si="330"/>
        <v>-631.5</v>
      </c>
      <c r="L492" s="31">
        <f t="shared" si="330"/>
        <v>-631.5</v>
      </c>
      <c r="M492" s="31">
        <f t="shared" si="330"/>
        <v>-631.5</v>
      </c>
      <c r="N492" s="31">
        <f t="shared" si="330"/>
        <v>-561.5</v>
      </c>
      <c r="O492" s="31">
        <f t="shared" si="330"/>
        <v>-561.5</v>
      </c>
      <c r="P492" s="31">
        <f t="shared" si="330"/>
        <v>-561.5</v>
      </c>
      <c r="Q492" s="31">
        <f t="shared" si="330"/>
        <v>-561.5</v>
      </c>
      <c r="R492" s="31">
        <f t="shared" si="330"/>
        <v>-561.5</v>
      </c>
      <c r="S492" s="31">
        <f t="shared" si="330"/>
        <v>-561.5</v>
      </c>
      <c r="T492" s="31">
        <f t="shared" si="330"/>
        <v>-567.5</v>
      </c>
      <c r="U492" s="31">
        <f t="shared" si="330"/>
        <v>-566.5</v>
      </c>
      <c r="V492" s="31">
        <f t="shared" si="330"/>
        <v>-568.5</v>
      </c>
      <c r="W492" s="31">
        <f t="shared" si="330"/>
        <v>-561.5</v>
      </c>
    </row>
    <row r="493" spans="1:23" s="33" customFormat="1" x14ac:dyDescent="0.3">
      <c r="A493" s="405"/>
      <c r="B493" s="63" t="s">
        <v>199</v>
      </c>
      <c r="C493" s="64"/>
      <c r="D493" s="31">
        <v>50.087499999999977</v>
      </c>
      <c r="E493" s="31">
        <f>+E489-E$487</f>
        <v>-564.5</v>
      </c>
      <c r="F493" s="31">
        <f t="shared" ref="F493:W493" si="331">+F489-F$487</f>
        <v>-564.5</v>
      </c>
      <c r="G493" s="31">
        <f t="shared" si="331"/>
        <v>-564.5</v>
      </c>
      <c r="H493" s="31">
        <f t="shared" si="331"/>
        <v>-564.5</v>
      </c>
      <c r="I493" s="31">
        <f t="shared" si="331"/>
        <v>-629.5</v>
      </c>
      <c r="J493" s="31">
        <f t="shared" si="331"/>
        <v>-629.5</v>
      </c>
      <c r="K493" s="31">
        <f t="shared" si="331"/>
        <v>-629.5</v>
      </c>
      <c r="L493" s="31">
        <f t="shared" si="331"/>
        <v>-629.5</v>
      </c>
      <c r="M493" s="31">
        <f t="shared" si="331"/>
        <v>-629.5</v>
      </c>
      <c r="N493" s="31">
        <f t="shared" si="331"/>
        <v>-559.5</v>
      </c>
      <c r="O493" s="31">
        <f t="shared" si="331"/>
        <v>-559.5</v>
      </c>
      <c r="P493" s="31">
        <f t="shared" si="331"/>
        <v>-559.5</v>
      </c>
      <c r="Q493" s="31">
        <f t="shared" si="331"/>
        <v>-559.5</v>
      </c>
      <c r="R493" s="31">
        <f t="shared" si="331"/>
        <v>-559.5</v>
      </c>
      <c r="S493" s="31">
        <f t="shared" si="331"/>
        <v>-559.5</v>
      </c>
      <c r="T493" s="31">
        <f t="shared" si="331"/>
        <v>-565.5</v>
      </c>
      <c r="U493" s="31">
        <f t="shared" si="331"/>
        <v>-564.5</v>
      </c>
      <c r="V493" s="31">
        <f t="shared" si="331"/>
        <v>-566.5</v>
      </c>
      <c r="W493" s="31">
        <f t="shared" si="331"/>
        <v>-559.5</v>
      </c>
    </row>
    <row r="494" spans="1:23" s="33" customFormat="1" x14ac:dyDescent="0.3">
      <c r="A494" s="405"/>
      <c r="B494" s="63" t="s">
        <v>200</v>
      </c>
      <c r="C494" s="64"/>
      <c r="D494" s="31">
        <v>55.087499999999977</v>
      </c>
      <c r="E494" s="31">
        <f>+E490-E$487</f>
        <v>-559.5</v>
      </c>
      <c r="F494" s="31">
        <f t="shared" ref="F494:W494" si="332">+F490-F$487</f>
        <v>-559.5</v>
      </c>
      <c r="G494" s="31">
        <f t="shared" si="332"/>
        <v>-559.5</v>
      </c>
      <c r="H494" s="31">
        <f t="shared" si="332"/>
        <v>-559.5</v>
      </c>
      <c r="I494" s="31">
        <f t="shared" si="332"/>
        <v>-624.5</v>
      </c>
      <c r="J494" s="31">
        <f t="shared" si="332"/>
        <v>-624.5</v>
      </c>
      <c r="K494" s="31">
        <f t="shared" si="332"/>
        <v>-624.5</v>
      </c>
      <c r="L494" s="31">
        <f t="shared" si="332"/>
        <v>-624.5</v>
      </c>
      <c r="M494" s="31">
        <f t="shared" si="332"/>
        <v>-624.5</v>
      </c>
      <c r="N494" s="31">
        <f t="shared" si="332"/>
        <v>-554.5</v>
      </c>
      <c r="O494" s="31">
        <f t="shared" si="332"/>
        <v>-554.5</v>
      </c>
      <c r="P494" s="31">
        <f t="shared" si="332"/>
        <v>-554.5</v>
      </c>
      <c r="Q494" s="31">
        <f t="shared" si="332"/>
        <v>-554.5</v>
      </c>
      <c r="R494" s="31">
        <f t="shared" si="332"/>
        <v>-554.5</v>
      </c>
      <c r="S494" s="31">
        <f t="shared" si="332"/>
        <v>-554.5</v>
      </c>
      <c r="T494" s="31">
        <f t="shared" si="332"/>
        <v>-560.5</v>
      </c>
      <c r="U494" s="31">
        <f t="shared" si="332"/>
        <v>-559.5</v>
      </c>
      <c r="V494" s="31">
        <f t="shared" si="332"/>
        <v>-561.5</v>
      </c>
      <c r="W494" s="31">
        <f t="shared" si="332"/>
        <v>-554.5</v>
      </c>
    </row>
    <row r="495" spans="1:23" s="33" customFormat="1" x14ac:dyDescent="0.3">
      <c r="A495" s="405"/>
      <c r="B495" s="63" t="s">
        <v>201</v>
      </c>
      <c r="C495" s="64"/>
      <c r="D495" s="31">
        <v>60.087499999999977</v>
      </c>
      <c r="E495" s="31">
        <f>+E491-E$487</f>
        <v>-554.5</v>
      </c>
      <c r="F495" s="31">
        <f t="shared" ref="F495:W495" si="333">+F491-F$487</f>
        <v>-554.5</v>
      </c>
      <c r="G495" s="31">
        <f t="shared" si="333"/>
        <v>-554.5</v>
      </c>
      <c r="H495" s="31">
        <f t="shared" si="333"/>
        <v>-554.5</v>
      </c>
      <c r="I495" s="31">
        <f t="shared" si="333"/>
        <v>-619.5</v>
      </c>
      <c r="J495" s="31">
        <f t="shared" si="333"/>
        <v>-619.5</v>
      </c>
      <c r="K495" s="31">
        <f t="shared" si="333"/>
        <v>-619.5</v>
      </c>
      <c r="L495" s="31">
        <f t="shared" si="333"/>
        <v>-619.5</v>
      </c>
      <c r="M495" s="31">
        <f t="shared" si="333"/>
        <v>-619.5</v>
      </c>
      <c r="N495" s="31">
        <f t="shared" si="333"/>
        <v>-549.5</v>
      </c>
      <c r="O495" s="31">
        <f t="shared" si="333"/>
        <v>-549.5</v>
      </c>
      <c r="P495" s="31">
        <f t="shared" si="333"/>
        <v>-549.5</v>
      </c>
      <c r="Q495" s="31">
        <f t="shared" si="333"/>
        <v>-549.5</v>
      </c>
      <c r="R495" s="31">
        <f t="shared" si="333"/>
        <v>-549.5</v>
      </c>
      <c r="S495" s="31">
        <f t="shared" si="333"/>
        <v>-549.5</v>
      </c>
      <c r="T495" s="31">
        <f t="shared" si="333"/>
        <v>-555.5</v>
      </c>
      <c r="U495" s="31">
        <f t="shared" si="333"/>
        <v>-554.5</v>
      </c>
      <c r="V495" s="31">
        <f t="shared" si="333"/>
        <v>-556.5</v>
      </c>
      <c r="W495" s="31">
        <f t="shared" si="333"/>
        <v>-549.5</v>
      </c>
    </row>
    <row r="496" spans="1:23" x14ac:dyDescent="0.3">
      <c r="B496" s="97" t="s">
        <v>202</v>
      </c>
      <c r="C496" s="98"/>
      <c r="D496" s="99">
        <v>6.2370298313878053E-2</v>
      </c>
      <c r="E496" s="99">
        <f>E492/E488</f>
        <v>-0.7347600518806745</v>
      </c>
      <c r="F496" s="99">
        <f t="shared" ref="F496:W496" si="334">F492/F488</f>
        <v>-0.7347600518806745</v>
      </c>
      <c r="G496" s="99">
        <f t="shared" si="334"/>
        <v>-0.7347600518806745</v>
      </c>
      <c r="H496" s="99">
        <f t="shared" si="334"/>
        <v>-0.7347600518806745</v>
      </c>
      <c r="I496" s="99">
        <f t="shared" si="334"/>
        <v>-0.89447592067988668</v>
      </c>
      <c r="J496" s="99">
        <f t="shared" si="334"/>
        <v>-0.89447592067988668</v>
      </c>
      <c r="K496" s="99">
        <f t="shared" si="334"/>
        <v>-0.89447592067988668</v>
      </c>
      <c r="L496" s="99">
        <f t="shared" si="334"/>
        <v>-0.89447592067988668</v>
      </c>
      <c r="M496" s="99">
        <f t="shared" si="334"/>
        <v>-0.89447592067988668</v>
      </c>
      <c r="N496" s="99">
        <f t="shared" si="334"/>
        <v>-0.72358247422680411</v>
      </c>
      <c r="O496" s="99">
        <f t="shared" si="334"/>
        <v>-0.72358247422680411</v>
      </c>
      <c r="P496" s="99">
        <f t="shared" si="334"/>
        <v>-0.72358247422680411</v>
      </c>
      <c r="Q496" s="99">
        <f t="shared" si="334"/>
        <v>-0.72358247422680411</v>
      </c>
      <c r="R496" s="99">
        <f t="shared" si="334"/>
        <v>-0.72358247422680411</v>
      </c>
      <c r="S496" s="99">
        <f t="shared" si="334"/>
        <v>-0.72358247422680411</v>
      </c>
      <c r="T496" s="99">
        <f t="shared" si="334"/>
        <v>-0.73701298701298701</v>
      </c>
      <c r="U496" s="99">
        <f t="shared" si="334"/>
        <v>-0.7347600518806745</v>
      </c>
      <c r="V496" s="99">
        <f t="shared" si="334"/>
        <v>-0.73927178153446038</v>
      </c>
      <c r="W496" s="100">
        <f t="shared" si="334"/>
        <v>-0.72358247422680411</v>
      </c>
    </row>
    <row r="497" spans="1:23" s="36" customFormat="1" x14ac:dyDescent="0.3">
      <c r="A497" s="406"/>
      <c r="B497" s="97" t="s">
        <v>203</v>
      </c>
      <c r="C497" s="98"/>
      <c r="D497" s="99">
        <v>6.4796248382923638E-2</v>
      </c>
      <c r="E497" s="99">
        <f>E493/E489</f>
        <v>-0.73027166882276839</v>
      </c>
      <c r="F497" s="99">
        <f t="shared" ref="F497:W497" si="335">F493/F489</f>
        <v>-0.73027166882276839</v>
      </c>
      <c r="G497" s="99">
        <f t="shared" si="335"/>
        <v>-0.73027166882276839</v>
      </c>
      <c r="H497" s="99">
        <f t="shared" si="335"/>
        <v>-0.73027166882276839</v>
      </c>
      <c r="I497" s="99">
        <f t="shared" si="335"/>
        <v>-0.88912429378531077</v>
      </c>
      <c r="J497" s="99">
        <f t="shared" si="335"/>
        <v>-0.88912429378531077</v>
      </c>
      <c r="K497" s="99">
        <f t="shared" si="335"/>
        <v>-0.88912429378531077</v>
      </c>
      <c r="L497" s="99">
        <f t="shared" si="335"/>
        <v>-0.88912429378531077</v>
      </c>
      <c r="M497" s="99">
        <f t="shared" si="335"/>
        <v>-0.88912429378531077</v>
      </c>
      <c r="N497" s="99">
        <f t="shared" si="335"/>
        <v>-0.71915167095115684</v>
      </c>
      <c r="O497" s="99">
        <f t="shared" si="335"/>
        <v>-0.71915167095115684</v>
      </c>
      <c r="P497" s="99">
        <f t="shared" si="335"/>
        <v>-0.71915167095115684</v>
      </c>
      <c r="Q497" s="99">
        <f t="shared" si="335"/>
        <v>-0.71915167095115684</v>
      </c>
      <c r="R497" s="99">
        <f t="shared" si="335"/>
        <v>-0.71915167095115684</v>
      </c>
      <c r="S497" s="99">
        <f t="shared" si="335"/>
        <v>-0.71915167095115684</v>
      </c>
      <c r="T497" s="99">
        <f t="shared" si="335"/>
        <v>-0.7325129533678757</v>
      </c>
      <c r="U497" s="99">
        <f t="shared" si="335"/>
        <v>-0.73027166882276839</v>
      </c>
      <c r="V497" s="99">
        <f t="shared" si="335"/>
        <v>-0.7347600518806745</v>
      </c>
      <c r="W497" s="100">
        <f t="shared" si="335"/>
        <v>-0.71915167095115684</v>
      </c>
    </row>
    <row r="498" spans="1:23" s="36" customFormat="1" x14ac:dyDescent="0.3">
      <c r="A498" s="406"/>
      <c r="B498" s="97" t="s">
        <v>204</v>
      </c>
      <c r="C498" s="98"/>
      <c r="D498" s="99">
        <v>7.0806555269922855E-2</v>
      </c>
      <c r="E498" s="99">
        <f>E494/E490</f>
        <v>-0.71915167095115684</v>
      </c>
      <c r="F498" s="99">
        <f t="shared" ref="F498:W498" si="336">F494/F490</f>
        <v>-0.71915167095115684</v>
      </c>
      <c r="G498" s="99">
        <f t="shared" si="336"/>
        <v>-0.71915167095115684</v>
      </c>
      <c r="H498" s="99">
        <f t="shared" si="336"/>
        <v>-0.71915167095115684</v>
      </c>
      <c r="I498" s="99">
        <f t="shared" si="336"/>
        <v>-0.87587657784011219</v>
      </c>
      <c r="J498" s="99">
        <f t="shared" si="336"/>
        <v>-0.87587657784011219</v>
      </c>
      <c r="K498" s="99">
        <f t="shared" si="336"/>
        <v>-0.87587657784011219</v>
      </c>
      <c r="L498" s="99">
        <f t="shared" si="336"/>
        <v>-0.87587657784011219</v>
      </c>
      <c r="M498" s="99">
        <f t="shared" si="336"/>
        <v>-0.87587657784011219</v>
      </c>
      <c r="N498" s="99">
        <f t="shared" si="336"/>
        <v>-0.70817369093231164</v>
      </c>
      <c r="O498" s="99">
        <f t="shared" si="336"/>
        <v>-0.70817369093231164</v>
      </c>
      <c r="P498" s="99">
        <f t="shared" si="336"/>
        <v>-0.70817369093231164</v>
      </c>
      <c r="Q498" s="99">
        <f t="shared" si="336"/>
        <v>-0.70817369093231164</v>
      </c>
      <c r="R498" s="99">
        <f t="shared" si="336"/>
        <v>-0.70817369093231164</v>
      </c>
      <c r="S498" s="99">
        <f t="shared" si="336"/>
        <v>-0.70817369093231164</v>
      </c>
      <c r="T498" s="99">
        <f t="shared" si="336"/>
        <v>-0.7213642213642214</v>
      </c>
      <c r="U498" s="99">
        <f t="shared" si="336"/>
        <v>-0.71915167095115684</v>
      </c>
      <c r="V498" s="99">
        <f t="shared" si="336"/>
        <v>-0.72358247422680411</v>
      </c>
      <c r="W498" s="100">
        <f t="shared" si="336"/>
        <v>-0.70817369093231164</v>
      </c>
    </row>
    <row r="499" spans="1:23" s="36" customFormat="1" x14ac:dyDescent="0.3">
      <c r="A499" s="406"/>
      <c r="B499" s="97" t="s">
        <v>205</v>
      </c>
      <c r="C499" s="98"/>
      <c r="D499" s="99">
        <v>7.6740102171136623E-2</v>
      </c>
      <c r="E499" s="99">
        <f>E495/E491</f>
        <v>-0.70817369093231164</v>
      </c>
      <c r="F499" s="99">
        <f t="shared" ref="F499:W499" si="337">F495/F491</f>
        <v>-0.70817369093231164</v>
      </c>
      <c r="G499" s="99">
        <f t="shared" si="337"/>
        <v>-0.70817369093231164</v>
      </c>
      <c r="H499" s="99">
        <f t="shared" si="337"/>
        <v>-0.70817369093231164</v>
      </c>
      <c r="I499" s="99">
        <f t="shared" si="337"/>
        <v>-0.86281337047353757</v>
      </c>
      <c r="J499" s="99">
        <f t="shared" si="337"/>
        <v>-0.86281337047353757</v>
      </c>
      <c r="K499" s="99">
        <f t="shared" si="337"/>
        <v>-0.86281337047353757</v>
      </c>
      <c r="L499" s="99">
        <f t="shared" si="337"/>
        <v>-0.86281337047353757</v>
      </c>
      <c r="M499" s="99">
        <f t="shared" si="337"/>
        <v>-0.86281337047353757</v>
      </c>
      <c r="N499" s="99">
        <f t="shared" si="337"/>
        <v>-0.69733502538071068</v>
      </c>
      <c r="O499" s="99">
        <f t="shared" si="337"/>
        <v>-0.69733502538071068</v>
      </c>
      <c r="P499" s="99">
        <f t="shared" si="337"/>
        <v>-0.69733502538071068</v>
      </c>
      <c r="Q499" s="99">
        <f t="shared" si="337"/>
        <v>-0.69733502538071068</v>
      </c>
      <c r="R499" s="99">
        <f t="shared" si="337"/>
        <v>-0.69733502538071068</v>
      </c>
      <c r="S499" s="99">
        <f t="shared" si="337"/>
        <v>-0.69733502538071068</v>
      </c>
      <c r="T499" s="99">
        <f t="shared" si="337"/>
        <v>-0.71035805626598469</v>
      </c>
      <c r="U499" s="99">
        <f t="shared" si="337"/>
        <v>-0.70817369093231164</v>
      </c>
      <c r="V499" s="99">
        <f t="shared" si="337"/>
        <v>-0.71254801536491674</v>
      </c>
      <c r="W499" s="100">
        <f t="shared" si="337"/>
        <v>-0.69733502538071068</v>
      </c>
    </row>
    <row r="500" spans="1:23" ht="21" thickBot="1" x14ac:dyDescent="0.35"/>
    <row r="501" spans="1:23" s="19" customFormat="1" ht="24" thickBot="1" x14ac:dyDescent="0.4">
      <c r="A501" s="19" t="s">
        <v>291</v>
      </c>
      <c r="B501" s="362" t="s">
        <v>88</v>
      </c>
      <c r="C501" s="68"/>
      <c r="D501" s="17" t="s">
        <v>5</v>
      </c>
      <c r="E501" s="18" t="s">
        <v>6</v>
      </c>
      <c r="F501" s="18" t="s">
        <v>7</v>
      </c>
      <c r="G501" s="18" t="s">
        <v>8</v>
      </c>
      <c r="H501" s="18" t="s">
        <v>9</v>
      </c>
      <c r="I501" s="18" t="s">
        <v>10</v>
      </c>
      <c r="J501" s="18" t="s">
        <v>11</v>
      </c>
      <c r="K501" s="18" t="s">
        <v>12</v>
      </c>
      <c r="L501" s="18" t="s">
        <v>13</v>
      </c>
      <c r="M501" s="18" t="s">
        <v>14</v>
      </c>
      <c r="N501" s="18" t="s">
        <v>15</v>
      </c>
      <c r="O501" s="18" t="s">
        <v>16</v>
      </c>
      <c r="P501" s="18" t="s">
        <v>17</v>
      </c>
      <c r="Q501" s="18" t="s">
        <v>18</v>
      </c>
      <c r="R501" s="18" t="s">
        <v>19</v>
      </c>
      <c r="S501" s="18" t="s">
        <v>20</v>
      </c>
      <c r="T501" s="18" t="s">
        <v>21</v>
      </c>
      <c r="U501" s="18" t="s">
        <v>22</v>
      </c>
      <c r="V501" s="18" t="s">
        <v>23</v>
      </c>
      <c r="W501" s="18" t="s">
        <v>166</v>
      </c>
    </row>
    <row r="502" spans="1:23" s="33" customFormat="1" x14ac:dyDescent="0.3">
      <c r="A502" s="405"/>
      <c r="B502" s="63" t="s">
        <v>50</v>
      </c>
      <c r="C502" s="64"/>
      <c r="D502" s="31">
        <v>410</v>
      </c>
      <c r="E502" s="31">
        <v>410</v>
      </c>
      <c r="F502" s="31">
        <v>410</v>
      </c>
      <c r="G502" s="31">
        <v>410</v>
      </c>
      <c r="H502" s="31">
        <v>410</v>
      </c>
      <c r="I502" s="31">
        <v>410</v>
      </c>
      <c r="J502" s="31">
        <v>410</v>
      </c>
      <c r="K502" s="31">
        <v>410</v>
      </c>
      <c r="L502" s="31">
        <v>410</v>
      </c>
      <c r="M502" s="31">
        <v>410</v>
      </c>
      <c r="N502" s="31">
        <v>410</v>
      </c>
      <c r="O502" s="31">
        <v>410</v>
      </c>
      <c r="P502" s="31">
        <v>410</v>
      </c>
      <c r="Q502" s="31">
        <v>410</v>
      </c>
      <c r="R502" s="31">
        <v>410</v>
      </c>
      <c r="S502" s="31">
        <v>410</v>
      </c>
      <c r="T502" s="31">
        <v>410</v>
      </c>
      <c r="U502" s="31">
        <v>410</v>
      </c>
      <c r="V502" s="31">
        <v>410</v>
      </c>
      <c r="W502" s="31">
        <v>410</v>
      </c>
    </row>
    <row r="503" spans="1:23" ht="23" x14ac:dyDescent="0.35">
      <c r="B503" s="340" t="s">
        <v>51</v>
      </c>
      <c r="C503" s="341"/>
      <c r="D503" s="363"/>
      <c r="E503" s="363"/>
      <c r="F503" s="363"/>
      <c r="G503" s="363"/>
      <c r="H503" s="363"/>
      <c r="I503" s="363"/>
      <c r="J503" s="363"/>
      <c r="K503" s="363"/>
      <c r="L503" s="363"/>
      <c r="M503" s="363"/>
      <c r="N503" s="363"/>
      <c r="O503" s="363"/>
      <c r="P503" s="363"/>
      <c r="Q503" s="363"/>
      <c r="R503" s="363"/>
      <c r="S503" s="363"/>
      <c r="T503" s="363"/>
      <c r="U503" s="363"/>
      <c r="V503" s="363"/>
      <c r="W503" s="363"/>
    </row>
    <row r="504" spans="1:23" x14ac:dyDescent="0.3">
      <c r="B504" s="54"/>
      <c r="C504" s="55"/>
      <c r="D504" s="20">
        <f t="shared" ref="D504:V504" si="338">D502*(1-D503)</f>
        <v>410</v>
      </c>
      <c r="E504" s="20">
        <f t="shared" si="338"/>
        <v>410</v>
      </c>
      <c r="F504" s="20">
        <f t="shared" si="338"/>
        <v>410</v>
      </c>
      <c r="G504" s="20">
        <f t="shared" si="338"/>
        <v>410</v>
      </c>
      <c r="H504" s="20">
        <f t="shared" si="338"/>
        <v>410</v>
      </c>
      <c r="I504" s="20">
        <f t="shared" si="338"/>
        <v>410</v>
      </c>
      <c r="J504" s="20">
        <f t="shared" si="338"/>
        <v>410</v>
      </c>
      <c r="K504" s="20">
        <f t="shared" si="338"/>
        <v>410</v>
      </c>
      <c r="L504" s="20">
        <f t="shared" si="338"/>
        <v>410</v>
      </c>
      <c r="M504" s="20">
        <f t="shared" si="338"/>
        <v>410</v>
      </c>
      <c r="N504" s="20">
        <f t="shared" si="338"/>
        <v>410</v>
      </c>
      <c r="O504" s="20">
        <f t="shared" si="338"/>
        <v>410</v>
      </c>
      <c r="P504" s="20">
        <f t="shared" si="338"/>
        <v>410</v>
      </c>
      <c r="Q504" s="20">
        <f t="shared" si="338"/>
        <v>410</v>
      </c>
      <c r="R504" s="20">
        <f t="shared" si="338"/>
        <v>410</v>
      </c>
      <c r="S504" s="20">
        <f t="shared" si="338"/>
        <v>410</v>
      </c>
      <c r="T504" s="20">
        <f t="shared" si="338"/>
        <v>410</v>
      </c>
      <c r="U504" s="20">
        <f t="shared" si="338"/>
        <v>410</v>
      </c>
      <c r="V504" s="20">
        <f t="shared" si="338"/>
        <v>410</v>
      </c>
      <c r="W504" s="20">
        <f>W502*(1-W503)</f>
        <v>410</v>
      </c>
    </row>
    <row r="505" spans="1:23" x14ac:dyDescent="0.3">
      <c r="B505" s="54" t="s">
        <v>51</v>
      </c>
      <c r="C505" s="56">
        <v>0</v>
      </c>
      <c r="D505" s="20">
        <f>D504*$C505</f>
        <v>0</v>
      </c>
      <c r="E505" s="20">
        <f t="shared" ref="E505:V505" si="339">E504*$C505</f>
        <v>0</v>
      </c>
      <c r="F505" s="20">
        <f t="shared" si="339"/>
        <v>0</v>
      </c>
      <c r="G505" s="20">
        <f t="shared" si="339"/>
        <v>0</v>
      </c>
      <c r="H505" s="20">
        <f t="shared" si="339"/>
        <v>0</v>
      </c>
      <c r="I505" s="20">
        <f t="shared" si="339"/>
        <v>0</v>
      </c>
      <c r="J505" s="20">
        <f t="shared" si="339"/>
        <v>0</v>
      </c>
      <c r="K505" s="20">
        <f t="shared" si="339"/>
        <v>0</v>
      </c>
      <c r="L505" s="20">
        <f t="shared" si="339"/>
        <v>0</v>
      </c>
      <c r="M505" s="20">
        <f t="shared" si="339"/>
        <v>0</v>
      </c>
      <c r="N505" s="20">
        <f t="shared" si="339"/>
        <v>0</v>
      </c>
      <c r="O505" s="20">
        <f t="shared" si="339"/>
        <v>0</v>
      </c>
      <c r="P505" s="20">
        <f t="shared" si="339"/>
        <v>0</v>
      </c>
      <c r="Q505" s="20">
        <f t="shared" si="339"/>
        <v>0</v>
      </c>
      <c r="R505" s="20">
        <f t="shared" si="339"/>
        <v>0</v>
      </c>
      <c r="S505" s="20">
        <f t="shared" si="339"/>
        <v>0</v>
      </c>
      <c r="T505" s="20">
        <f t="shared" si="339"/>
        <v>0</v>
      </c>
      <c r="U505" s="20">
        <f t="shared" si="339"/>
        <v>0</v>
      </c>
      <c r="V505" s="20">
        <f t="shared" si="339"/>
        <v>0</v>
      </c>
      <c r="W505" s="20">
        <f>W504*$C505</f>
        <v>0</v>
      </c>
    </row>
    <row r="506" spans="1:23" x14ac:dyDescent="0.3">
      <c r="B506" s="54" t="s">
        <v>67</v>
      </c>
      <c r="C506" s="55"/>
      <c r="D506" s="20">
        <f>D504-D505</f>
        <v>410</v>
      </c>
      <c r="E506" s="20">
        <f t="shared" ref="E506:V506" si="340">E504-E505</f>
        <v>410</v>
      </c>
      <c r="F506" s="20">
        <f t="shared" si="340"/>
        <v>410</v>
      </c>
      <c r="G506" s="20">
        <f t="shared" si="340"/>
        <v>410</v>
      </c>
      <c r="H506" s="20">
        <f t="shared" si="340"/>
        <v>410</v>
      </c>
      <c r="I506" s="20">
        <f t="shared" si="340"/>
        <v>410</v>
      </c>
      <c r="J506" s="20">
        <f t="shared" si="340"/>
        <v>410</v>
      </c>
      <c r="K506" s="20">
        <f t="shared" si="340"/>
        <v>410</v>
      </c>
      <c r="L506" s="20">
        <f t="shared" si="340"/>
        <v>410</v>
      </c>
      <c r="M506" s="20">
        <f t="shared" si="340"/>
        <v>410</v>
      </c>
      <c r="N506" s="20">
        <f t="shared" si="340"/>
        <v>410</v>
      </c>
      <c r="O506" s="20">
        <f t="shared" si="340"/>
        <v>410</v>
      </c>
      <c r="P506" s="20">
        <f t="shared" si="340"/>
        <v>410</v>
      </c>
      <c r="Q506" s="20">
        <f t="shared" si="340"/>
        <v>410</v>
      </c>
      <c r="R506" s="20">
        <f t="shared" si="340"/>
        <v>410</v>
      </c>
      <c r="S506" s="20">
        <f t="shared" si="340"/>
        <v>410</v>
      </c>
      <c r="T506" s="20">
        <f t="shared" si="340"/>
        <v>410</v>
      </c>
      <c r="U506" s="20">
        <f t="shared" si="340"/>
        <v>410</v>
      </c>
      <c r="V506" s="20">
        <f t="shared" si="340"/>
        <v>410</v>
      </c>
      <c r="W506" s="20">
        <f>W504-W505</f>
        <v>410</v>
      </c>
    </row>
    <row r="507" spans="1:23" x14ac:dyDescent="0.3">
      <c r="B507" s="54" t="s">
        <v>66</v>
      </c>
      <c r="C507" s="56">
        <v>7.0000000000000007E-2</v>
      </c>
      <c r="D507" s="20">
        <f>D506*$C507</f>
        <v>28.700000000000003</v>
      </c>
      <c r="E507" s="20">
        <f t="shared" ref="E507:V507" si="341">E506*$C507</f>
        <v>28.700000000000003</v>
      </c>
      <c r="F507" s="20">
        <f t="shared" si="341"/>
        <v>28.700000000000003</v>
      </c>
      <c r="G507" s="20">
        <f t="shared" si="341"/>
        <v>28.700000000000003</v>
      </c>
      <c r="H507" s="20">
        <f t="shared" si="341"/>
        <v>28.700000000000003</v>
      </c>
      <c r="I507" s="20">
        <f t="shared" si="341"/>
        <v>28.700000000000003</v>
      </c>
      <c r="J507" s="20">
        <f t="shared" si="341"/>
        <v>28.700000000000003</v>
      </c>
      <c r="K507" s="20">
        <f t="shared" si="341"/>
        <v>28.700000000000003</v>
      </c>
      <c r="L507" s="20">
        <f t="shared" si="341"/>
        <v>28.700000000000003</v>
      </c>
      <c r="M507" s="20">
        <f t="shared" si="341"/>
        <v>28.700000000000003</v>
      </c>
      <c r="N507" s="20">
        <f t="shared" si="341"/>
        <v>28.700000000000003</v>
      </c>
      <c r="O507" s="20">
        <f t="shared" si="341"/>
        <v>28.700000000000003</v>
      </c>
      <c r="P507" s="20">
        <f t="shared" si="341"/>
        <v>28.700000000000003</v>
      </c>
      <c r="Q507" s="20">
        <f t="shared" si="341"/>
        <v>28.700000000000003</v>
      </c>
      <c r="R507" s="20">
        <f t="shared" si="341"/>
        <v>28.700000000000003</v>
      </c>
      <c r="S507" s="20">
        <f t="shared" si="341"/>
        <v>28.700000000000003</v>
      </c>
      <c r="T507" s="20">
        <f t="shared" si="341"/>
        <v>28.700000000000003</v>
      </c>
      <c r="U507" s="20">
        <f t="shared" si="341"/>
        <v>28.700000000000003</v>
      </c>
      <c r="V507" s="20">
        <f t="shared" si="341"/>
        <v>28.700000000000003</v>
      </c>
      <c r="W507" s="20">
        <f>W506*$C507</f>
        <v>28.700000000000003</v>
      </c>
    </row>
    <row r="508" spans="1:23" x14ac:dyDescent="0.3">
      <c r="B508" s="54" t="s">
        <v>68</v>
      </c>
      <c r="C508" s="55"/>
      <c r="D508" s="20">
        <f>D506+D507</f>
        <v>438.7</v>
      </c>
      <c r="E508" s="20">
        <f t="shared" ref="E508:V508" si="342">E506+E507</f>
        <v>438.7</v>
      </c>
      <c r="F508" s="20">
        <f t="shared" si="342"/>
        <v>438.7</v>
      </c>
      <c r="G508" s="20">
        <f t="shared" si="342"/>
        <v>438.7</v>
      </c>
      <c r="H508" s="20">
        <f t="shared" si="342"/>
        <v>438.7</v>
      </c>
      <c r="I508" s="20">
        <f t="shared" si="342"/>
        <v>438.7</v>
      </c>
      <c r="J508" s="20">
        <f t="shared" si="342"/>
        <v>438.7</v>
      </c>
      <c r="K508" s="20">
        <f t="shared" si="342"/>
        <v>438.7</v>
      </c>
      <c r="L508" s="20">
        <f t="shared" si="342"/>
        <v>438.7</v>
      </c>
      <c r="M508" s="20">
        <f t="shared" si="342"/>
        <v>438.7</v>
      </c>
      <c r="N508" s="20">
        <f t="shared" si="342"/>
        <v>438.7</v>
      </c>
      <c r="O508" s="20">
        <f t="shared" si="342"/>
        <v>438.7</v>
      </c>
      <c r="P508" s="20">
        <f t="shared" si="342"/>
        <v>438.7</v>
      </c>
      <c r="Q508" s="20">
        <f t="shared" si="342"/>
        <v>438.7</v>
      </c>
      <c r="R508" s="20">
        <f t="shared" si="342"/>
        <v>438.7</v>
      </c>
      <c r="S508" s="20">
        <f t="shared" si="342"/>
        <v>438.7</v>
      </c>
      <c r="T508" s="20">
        <f t="shared" si="342"/>
        <v>438.7</v>
      </c>
      <c r="U508" s="20">
        <f t="shared" si="342"/>
        <v>438.7</v>
      </c>
      <c r="V508" s="20">
        <f t="shared" si="342"/>
        <v>438.7</v>
      </c>
      <c r="W508" s="20">
        <f>W506+W507</f>
        <v>438.7</v>
      </c>
    </row>
    <row r="509" spans="1:23" ht="23" x14ac:dyDescent="0.35">
      <c r="B509" s="357" t="s">
        <v>52</v>
      </c>
      <c r="C509" s="358"/>
      <c r="D509" s="381"/>
      <c r="E509" s="381"/>
      <c r="F509" s="381"/>
      <c r="G509" s="381"/>
      <c r="H509" s="381"/>
      <c r="I509" s="381"/>
      <c r="J509" s="381"/>
      <c r="K509" s="381"/>
      <c r="L509" s="381"/>
      <c r="M509" s="381"/>
      <c r="N509" s="381"/>
      <c r="O509" s="381"/>
      <c r="P509" s="381"/>
      <c r="Q509" s="381"/>
      <c r="R509" s="381"/>
      <c r="S509" s="381"/>
      <c r="T509" s="381"/>
      <c r="U509" s="381"/>
      <c r="V509" s="381"/>
      <c r="W509" s="381"/>
    </row>
    <row r="510" spans="1:23" x14ac:dyDescent="0.3">
      <c r="B510" s="57" t="s">
        <v>53</v>
      </c>
      <c r="C510" s="58"/>
      <c r="D510" s="25">
        <f>SUM(D508:D509)</f>
        <v>438.7</v>
      </c>
      <c r="E510" s="26">
        <f t="shared" ref="E510:V510" si="343">SUM(E508:E509)</f>
        <v>438.7</v>
      </c>
      <c r="F510" s="26">
        <f t="shared" si="343"/>
        <v>438.7</v>
      </c>
      <c r="G510" s="26">
        <f t="shared" si="343"/>
        <v>438.7</v>
      </c>
      <c r="H510" s="26">
        <f t="shared" si="343"/>
        <v>438.7</v>
      </c>
      <c r="I510" s="26">
        <f t="shared" si="343"/>
        <v>438.7</v>
      </c>
      <c r="J510" s="26">
        <f t="shared" si="343"/>
        <v>438.7</v>
      </c>
      <c r="K510" s="26">
        <f t="shared" si="343"/>
        <v>438.7</v>
      </c>
      <c r="L510" s="26">
        <f t="shared" si="343"/>
        <v>438.7</v>
      </c>
      <c r="M510" s="26">
        <f t="shared" si="343"/>
        <v>438.7</v>
      </c>
      <c r="N510" s="26">
        <f t="shared" si="343"/>
        <v>438.7</v>
      </c>
      <c r="O510" s="26">
        <f t="shared" si="343"/>
        <v>438.7</v>
      </c>
      <c r="P510" s="26">
        <f t="shared" si="343"/>
        <v>438.7</v>
      </c>
      <c r="Q510" s="26">
        <f t="shared" si="343"/>
        <v>438.7</v>
      </c>
      <c r="R510" s="26">
        <f t="shared" si="343"/>
        <v>438.7</v>
      </c>
      <c r="S510" s="26">
        <f t="shared" si="343"/>
        <v>438.7</v>
      </c>
      <c r="T510" s="26">
        <f t="shared" si="343"/>
        <v>438.7</v>
      </c>
      <c r="U510" s="26">
        <f t="shared" si="343"/>
        <v>438.7</v>
      </c>
      <c r="V510" s="26">
        <f t="shared" si="343"/>
        <v>438.7</v>
      </c>
      <c r="W510" s="26">
        <f>SUM(W508:W509)</f>
        <v>438.7</v>
      </c>
    </row>
    <row r="511" spans="1:23" ht="23" x14ac:dyDescent="0.35">
      <c r="B511" s="336" t="s">
        <v>54</v>
      </c>
      <c r="C511" s="337"/>
      <c r="D511" s="338"/>
      <c r="E511" s="338"/>
      <c r="F511" s="338"/>
      <c r="G511" s="338"/>
      <c r="H511" s="338"/>
      <c r="I511" s="338"/>
      <c r="J511" s="338"/>
      <c r="K511" s="338"/>
      <c r="L511" s="338"/>
      <c r="M511" s="338"/>
      <c r="N511" s="338"/>
      <c r="O511" s="338"/>
      <c r="P511" s="338"/>
      <c r="Q511" s="338"/>
      <c r="R511" s="338"/>
      <c r="S511" s="338"/>
      <c r="T511" s="338"/>
      <c r="U511" s="338"/>
      <c r="V511" s="338"/>
      <c r="W511" s="338"/>
    </row>
    <row r="512" spans="1:23" ht="23" x14ac:dyDescent="0.35">
      <c r="B512" s="353" t="s">
        <v>55</v>
      </c>
      <c r="C512" s="354"/>
      <c r="D512" s="355">
        <f>D510</f>
        <v>438.7</v>
      </c>
      <c r="E512" s="356">
        <f t="shared" ref="E512:W512" si="344">E510</f>
        <v>438.7</v>
      </c>
      <c r="F512" s="356">
        <f t="shared" si="344"/>
        <v>438.7</v>
      </c>
      <c r="G512" s="356">
        <f t="shared" si="344"/>
        <v>438.7</v>
      </c>
      <c r="H512" s="356">
        <f t="shared" si="344"/>
        <v>438.7</v>
      </c>
      <c r="I512" s="356">
        <f t="shared" si="344"/>
        <v>438.7</v>
      </c>
      <c r="J512" s="356">
        <f t="shared" si="344"/>
        <v>438.7</v>
      </c>
      <c r="K512" s="356">
        <f t="shared" si="344"/>
        <v>438.7</v>
      </c>
      <c r="L512" s="356">
        <f t="shared" si="344"/>
        <v>438.7</v>
      </c>
      <c r="M512" s="356">
        <f t="shared" si="344"/>
        <v>438.7</v>
      </c>
      <c r="N512" s="356">
        <f t="shared" si="344"/>
        <v>438.7</v>
      </c>
      <c r="O512" s="356">
        <f t="shared" si="344"/>
        <v>438.7</v>
      </c>
      <c r="P512" s="356">
        <f t="shared" si="344"/>
        <v>438.7</v>
      </c>
      <c r="Q512" s="356">
        <f t="shared" si="344"/>
        <v>438.7</v>
      </c>
      <c r="R512" s="356">
        <f t="shared" si="344"/>
        <v>438.7</v>
      </c>
      <c r="S512" s="356">
        <f t="shared" si="344"/>
        <v>438.7</v>
      </c>
      <c r="T512" s="356">
        <f t="shared" si="344"/>
        <v>438.7</v>
      </c>
      <c r="U512" s="356">
        <f t="shared" si="344"/>
        <v>438.7</v>
      </c>
      <c r="V512" s="356">
        <f t="shared" si="344"/>
        <v>438.7</v>
      </c>
      <c r="W512" s="356">
        <f t="shared" si="344"/>
        <v>438.7</v>
      </c>
    </row>
    <row r="513" spans="1:23" x14ac:dyDescent="0.3">
      <c r="B513" s="171" t="s">
        <v>194</v>
      </c>
      <c r="C513" s="55"/>
      <c r="D513" s="20">
        <v>257</v>
      </c>
      <c r="E513" s="21">
        <v>257</v>
      </c>
      <c r="F513" s="21">
        <v>257</v>
      </c>
      <c r="G513" s="21">
        <v>257</v>
      </c>
      <c r="H513" s="21">
        <v>257</v>
      </c>
      <c r="I513" s="21">
        <v>236</v>
      </c>
      <c r="J513" s="21">
        <v>236</v>
      </c>
      <c r="K513" s="21">
        <v>236</v>
      </c>
      <c r="L513" s="21">
        <v>236</v>
      </c>
      <c r="M513" s="21">
        <v>236</v>
      </c>
      <c r="N513" s="21">
        <v>259</v>
      </c>
      <c r="O513" s="21">
        <v>259</v>
      </c>
      <c r="P513" s="21">
        <v>259</v>
      </c>
      <c r="Q513" s="21">
        <v>259</v>
      </c>
      <c r="R513" s="21">
        <v>259</v>
      </c>
      <c r="S513" s="21">
        <v>259</v>
      </c>
      <c r="T513" s="21">
        <v>257</v>
      </c>
      <c r="U513" s="21">
        <v>257</v>
      </c>
      <c r="V513" s="21">
        <v>257</v>
      </c>
      <c r="W513" s="21">
        <v>259</v>
      </c>
    </row>
    <row r="514" spans="1:23" s="51" customFormat="1" x14ac:dyDescent="0.3">
      <c r="A514" s="407"/>
      <c r="B514" s="61" t="s">
        <v>195</v>
      </c>
      <c r="C514" s="62"/>
      <c r="D514" s="28">
        <v>259</v>
      </c>
      <c r="E514" s="28">
        <v>259</v>
      </c>
      <c r="F514" s="28">
        <v>259</v>
      </c>
      <c r="G514" s="28">
        <v>259</v>
      </c>
      <c r="H514" s="28">
        <v>259</v>
      </c>
      <c r="I514" s="28">
        <v>238</v>
      </c>
      <c r="J514" s="28">
        <v>238</v>
      </c>
      <c r="K514" s="28">
        <v>238</v>
      </c>
      <c r="L514" s="28">
        <v>238</v>
      </c>
      <c r="M514" s="28">
        <v>238</v>
      </c>
      <c r="N514" s="28">
        <v>261</v>
      </c>
      <c r="O514" s="28">
        <v>261</v>
      </c>
      <c r="P514" s="28">
        <v>261</v>
      </c>
      <c r="Q514" s="28">
        <v>261</v>
      </c>
      <c r="R514" s="28">
        <v>261</v>
      </c>
      <c r="S514" s="28">
        <v>261</v>
      </c>
      <c r="T514" s="28">
        <v>259</v>
      </c>
      <c r="U514" s="28">
        <v>259</v>
      </c>
      <c r="V514" s="28">
        <v>259</v>
      </c>
      <c r="W514" s="28">
        <v>261</v>
      </c>
    </row>
    <row r="515" spans="1:23" s="51" customFormat="1" x14ac:dyDescent="0.3">
      <c r="A515" s="407"/>
      <c r="B515" s="61" t="s">
        <v>196</v>
      </c>
      <c r="C515" s="62"/>
      <c r="D515" s="28">
        <v>262</v>
      </c>
      <c r="E515" s="28">
        <v>262</v>
      </c>
      <c r="F515" s="28">
        <v>262</v>
      </c>
      <c r="G515" s="28">
        <v>262</v>
      </c>
      <c r="H515" s="28">
        <v>262</v>
      </c>
      <c r="I515" s="28">
        <v>241</v>
      </c>
      <c r="J515" s="28">
        <v>241</v>
      </c>
      <c r="K515" s="28">
        <v>241</v>
      </c>
      <c r="L515" s="28">
        <v>241</v>
      </c>
      <c r="M515" s="28">
        <v>241</v>
      </c>
      <c r="N515" s="28">
        <v>264</v>
      </c>
      <c r="O515" s="28">
        <v>264</v>
      </c>
      <c r="P515" s="28">
        <v>264</v>
      </c>
      <c r="Q515" s="28">
        <v>264</v>
      </c>
      <c r="R515" s="28">
        <v>264</v>
      </c>
      <c r="S515" s="28">
        <v>264</v>
      </c>
      <c r="T515" s="28">
        <v>262</v>
      </c>
      <c r="U515" s="28">
        <v>262</v>
      </c>
      <c r="V515" s="28">
        <v>262</v>
      </c>
      <c r="W515" s="28">
        <v>264</v>
      </c>
    </row>
    <row r="516" spans="1:23" s="51" customFormat="1" x14ac:dyDescent="0.3">
      <c r="A516" s="407"/>
      <c r="B516" s="61" t="s">
        <v>197</v>
      </c>
      <c r="C516" s="62"/>
      <c r="D516" s="28">
        <v>264</v>
      </c>
      <c r="E516" s="28">
        <v>264</v>
      </c>
      <c r="F516" s="28">
        <v>264</v>
      </c>
      <c r="G516" s="28">
        <v>264</v>
      </c>
      <c r="H516" s="28">
        <v>264</v>
      </c>
      <c r="I516" s="28">
        <v>243</v>
      </c>
      <c r="J516" s="28">
        <v>243</v>
      </c>
      <c r="K516" s="28">
        <v>243</v>
      </c>
      <c r="L516" s="28">
        <v>243</v>
      </c>
      <c r="M516" s="28">
        <v>243</v>
      </c>
      <c r="N516" s="28">
        <v>266</v>
      </c>
      <c r="O516" s="28">
        <v>266</v>
      </c>
      <c r="P516" s="28">
        <v>266</v>
      </c>
      <c r="Q516" s="28">
        <v>266</v>
      </c>
      <c r="R516" s="28">
        <v>266</v>
      </c>
      <c r="S516" s="28">
        <v>266</v>
      </c>
      <c r="T516" s="28">
        <v>264</v>
      </c>
      <c r="U516" s="28">
        <v>264</v>
      </c>
      <c r="V516" s="28">
        <v>264</v>
      </c>
      <c r="W516" s="28">
        <v>266</v>
      </c>
    </row>
    <row r="517" spans="1:23" s="30" customFormat="1" x14ac:dyDescent="0.3">
      <c r="A517" s="404"/>
      <c r="B517" s="63" t="s">
        <v>198</v>
      </c>
      <c r="C517" s="62"/>
      <c r="D517" s="31">
        <f t="shared" ref="D517:E520" si="345">+D513-D$512</f>
        <v>-181.7</v>
      </c>
      <c r="E517" s="31">
        <f t="shared" si="345"/>
        <v>-181.7</v>
      </c>
      <c r="F517" s="31">
        <f t="shared" ref="F517:W517" si="346">+F513-F$512</f>
        <v>-181.7</v>
      </c>
      <c r="G517" s="31">
        <f t="shared" si="346"/>
        <v>-181.7</v>
      </c>
      <c r="H517" s="31">
        <f t="shared" si="346"/>
        <v>-181.7</v>
      </c>
      <c r="I517" s="31">
        <f t="shared" si="346"/>
        <v>-202.7</v>
      </c>
      <c r="J517" s="31">
        <f t="shared" si="346"/>
        <v>-202.7</v>
      </c>
      <c r="K517" s="31">
        <f t="shared" si="346"/>
        <v>-202.7</v>
      </c>
      <c r="L517" s="31">
        <f t="shared" si="346"/>
        <v>-202.7</v>
      </c>
      <c r="M517" s="31">
        <f t="shared" si="346"/>
        <v>-202.7</v>
      </c>
      <c r="N517" s="31">
        <f t="shared" si="346"/>
        <v>-179.7</v>
      </c>
      <c r="O517" s="31">
        <f t="shared" si="346"/>
        <v>-179.7</v>
      </c>
      <c r="P517" s="31">
        <f t="shared" si="346"/>
        <v>-179.7</v>
      </c>
      <c r="Q517" s="31">
        <f t="shared" si="346"/>
        <v>-179.7</v>
      </c>
      <c r="R517" s="31">
        <f t="shared" si="346"/>
        <v>-179.7</v>
      </c>
      <c r="S517" s="31">
        <f t="shared" si="346"/>
        <v>-179.7</v>
      </c>
      <c r="T517" s="31">
        <f t="shared" si="346"/>
        <v>-181.7</v>
      </c>
      <c r="U517" s="31">
        <f t="shared" si="346"/>
        <v>-181.7</v>
      </c>
      <c r="V517" s="31">
        <f t="shared" si="346"/>
        <v>-181.7</v>
      </c>
      <c r="W517" s="31">
        <f t="shared" si="346"/>
        <v>-179.7</v>
      </c>
    </row>
    <row r="518" spans="1:23" s="33" customFormat="1" x14ac:dyDescent="0.3">
      <c r="A518" s="405"/>
      <c r="B518" s="63" t="s">
        <v>199</v>
      </c>
      <c r="C518" s="64"/>
      <c r="D518" s="31">
        <f t="shared" si="345"/>
        <v>-179.7</v>
      </c>
      <c r="E518" s="31">
        <f t="shared" si="345"/>
        <v>-179.7</v>
      </c>
      <c r="F518" s="31">
        <f t="shared" ref="F518:W518" si="347">+F514-F$512</f>
        <v>-179.7</v>
      </c>
      <c r="G518" s="31">
        <f t="shared" si="347"/>
        <v>-179.7</v>
      </c>
      <c r="H518" s="31">
        <f t="shared" si="347"/>
        <v>-179.7</v>
      </c>
      <c r="I518" s="31">
        <f t="shared" si="347"/>
        <v>-200.7</v>
      </c>
      <c r="J518" s="31">
        <f t="shared" si="347"/>
        <v>-200.7</v>
      </c>
      <c r="K518" s="31">
        <f t="shared" si="347"/>
        <v>-200.7</v>
      </c>
      <c r="L518" s="31">
        <f t="shared" si="347"/>
        <v>-200.7</v>
      </c>
      <c r="M518" s="31">
        <f t="shared" si="347"/>
        <v>-200.7</v>
      </c>
      <c r="N518" s="31">
        <f t="shared" si="347"/>
        <v>-177.7</v>
      </c>
      <c r="O518" s="31">
        <f t="shared" si="347"/>
        <v>-177.7</v>
      </c>
      <c r="P518" s="31">
        <f t="shared" si="347"/>
        <v>-177.7</v>
      </c>
      <c r="Q518" s="31">
        <f t="shared" si="347"/>
        <v>-177.7</v>
      </c>
      <c r="R518" s="31">
        <f t="shared" si="347"/>
        <v>-177.7</v>
      </c>
      <c r="S518" s="31">
        <f t="shared" si="347"/>
        <v>-177.7</v>
      </c>
      <c r="T518" s="31">
        <f t="shared" si="347"/>
        <v>-179.7</v>
      </c>
      <c r="U518" s="31">
        <f t="shared" si="347"/>
        <v>-179.7</v>
      </c>
      <c r="V518" s="31">
        <f t="shared" si="347"/>
        <v>-179.7</v>
      </c>
      <c r="W518" s="31">
        <f t="shared" si="347"/>
        <v>-177.7</v>
      </c>
    </row>
    <row r="519" spans="1:23" s="33" customFormat="1" x14ac:dyDescent="0.3">
      <c r="A519" s="405"/>
      <c r="B519" s="63" t="s">
        <v>200</v>
      </c>
      <c r="C519" s="64"/>
      <c r="D519" s="31">
        <f t="shared" si="345"/>
        <v>-176.7</v>
      </c>
      <c r="E519" s="31">
        <f t="shared" si="345"/>
        <v>-176.7</v>
      </c>
      <c r="F519" s="31">
        <f t="shared" ref="F519:W519" si="348">+F515-F$512</f>
        <v>-176.7</v>
      </c>
      <c r="G519" s="31">
        <f t="shared" si="348"/>
        <v>-176.7</v>
      </c>
      <c r="H519" s="31">
        <f t="shared" si="348"/>
        <v>-176.7</v>
      </c>
      <c r="I519" s="31">
        <f t="shared" si="348"/>
        <v>-197.7</v>
      </c>
      <c r="J519" s="31">
        <f t="shared" si="348"/>
        <v>-197.7</v>
      </c>
      <c r="K519" s="31">
        <f t="shared" si="348"/>
        <v>-197.7</v>
      </c>
      <c r="L519" s="31">
        <f t="shared" si="348"/>
        <v>-197.7</v>
      </c>
      <c r="M519" s="31">
        <f t="shared" si="348"/>
        <v>-197.7</v>
      </c>
      <c r="N519" s="31">
        <f t="shared" si="348"/>
        <v>-174.7</v>
      </c>
      <c r="O519" s="31">
        <f t="shared" si="348"/>
        <v>-174.7</v>
      </c>
      <c r="P519" s="31">
        <f t="shared" si="348"/>
        <v>-174.7</v>
      </c>
      <c r="Q519" s="31">
        <f t="shared" si="348"/>
        <v>-174.7</v>
      </c>
      <c r="R519" s="31">
        <f t="shared" si="348"/>
        <v>-174.7</v>
      </c>
      <c r="S519" s="31">
        <f t="shared" si="348"/>
        <v>-174.7</v>
      </c>
      <c r="T519" s="31">
        <f t="shared" si="348"/>
        <v>-176.7</v>
      </c>
      <c r="U519" s="31">
        <f t="shared" si="348"/>
        <v>-176.7</v>
      </c>
      <c r="V519" s="31">
        <f t="shared" si="348"/>
        <v>-176.7</v>
      </c>
      <c r="W519" s="31">
        <f t="shared" si="348"/>
        <v>-174.7</v>
      </c>
    </row>
    <row r="520" spans="1:23" s="33" customFormat="1" x14ac:dyDescent="0.3">
      <c r="A520" s="405"/>
      <c r="B520" s="63" t="s">
        <v>201</v>
      </c>
      <c r="C520" s="64"/>
      <c r="D520" s="31">
        <f t="shared" si="345"/>
        <v>-174.7</v>
      </c>
      <c r="E520" s="31">
        <f t="shared" si="345"/>
        <v>-174.7</v>
      </c>
      <c r="F520" s="31">
        <f t="shared" ref="F520:W520" si="349">+F516-F$512</f>
        <v>-174.7</v>
      </c>
      <c r="G520" s="31">
        <f t="shared" si="349"/>
        <v>-174.7</v>
      </c>
      <c r="H520" s="31">
        <f t="shared" si="349"/>
        <v>-174.7</v>
      </c>
      <c r="I520" s="31">
        <f t="shared" si="349"/>
        <v>-195.7</v>
      </c>
      <c r="J520" s="31">
        <f t="shared" si="349"/>
        <v>-195.7</v>
      </c>
      <c r="K520" s="31">
        <f t="shared" si="349"/>
        <v>-195.7</v>
      </c>
      <c r="L520" s="31">
        <f t="shared" si="349"/>
        <v>-195.7</v>
      </c>
      <c r="M520" s="31">
        <f t="shared" si="349"/>
        <v>-195.7</v>
      </c>
      <c r="N520" s="31">
        <f t="shared" si="349"/>
        <v>-172.7</v>
      </c>
      <c r="O520" s="31">
        <f t="shared" si="349"/>
        <v>-172.7</v>
      </c>
      <c r="P520" s="31">
        <f t="shared" si="349"/>
        <v>-172.7</v>
      </c>
      <c r="Q520" s="31">
        <f t="shared" si="349"/>
        <v>-172.7</v>
      </c>
      <c r="R520" s="31">
        <f t="shared" si="349"/>
        <v>-172.7</v>
      </c>
      <c r="S520" s="31">
        <f t="shared" si="349"/>
        <v>-172.7</v>
      </c>
      <c r="T520" s="31">
        <f t="shared" si="349"/>
        <v>-174.7</v>
      </c>
      <c r="U520" s="31">
        <f t="shared" si="349"/>
        <v>-174.7</v>
      </c>
      <c r="V520" s="31">
        <f t="shared" si="349"/>
        <v>-174.7</v>
      </c>
      <c r="W520" s="31">
        <f t="shared" si="349"/>
        <v>-172.7</v>
      </c>
    </row>
    <row r="521" spans="1:23" x14ac:dyDescent="0.3">
      <c r="B521" s="97" t="s">
        <v>202</v>
      </c>
      <c r="C521" s="98"/>
      <c r="D521" s="99">
        <f t="shared" ref="D521:E524" si="350">D517/D513</f>
        <v>-0.70700389105058359</v>
      </c>
      <c r="E521" s="99">
        <f t="shared" si="350"/>
        <v>-0.70700389105058359</v>
      </c>
      <c r="F521" s="99">
        <f t="shared" ref="F521:W521" si="351">F517/F513</f>
        <v>-0.70700389105058359</v>
      </c>
      <c r="G521" s="99">
        <f t="shared" si="351"/>
        <v>-0.70700389105058359</v>
      </c>
      <c r="H521" s="99">
        <f t="shared" si="351"/>
        <v>-0.70700389105058359</v>
      </c>
      <c r="I521" s="99">
        <f t="shared" si="351"/>
        <v>-0.85889830508474574</v>
      </c>
      <c r="J521" s="99">
        <f t="shared" si="351"/>
        <v>-0.85889830508474574</v>
      </c>
      <c r="K521" s="99">
        <f t="shared" si="351"/>
        <v>-0.85889830508474574</v>
      </c>
      <c r="L521" s="99">
        <f t="shared" si="351"/>
        <v>-0.85889830508474574</v>
      </c>
      <c r="M521" s="99">
        <f t="shared" si="351"/>
        <v>-0.85889830508474574</v>
      </c>
      <c r="N521" s="99">
        <f t="shared" si="351"/>
        <v>-0.69382239382239375</v>
      </c>
      <c r="O521" s="99">
        <f t="shared" si="351"/>
        <v>-0.69382239382239375</v>
      </c>
      <c r="P521" s="99">
        <f t="shared" si="351"/>
        <v>-0.69382239382239375</v>
      </c>
      <c r="Q521" s="99">
        <f t="shared" si="351"/>
        <v>-0.69382239382239375</v>
      </c>
      <c r="R521" s="99">
        <f t="shared" si="351"/>
        <v>-0.69382239382239375</v>
      </c>
      <c r="S521" s="99">
        <f t="shared" si="351"/>
        <v>-0.69382239382239375</v>
      </c>
      <c r="T521" s="99">
        <f t="shared" si="351"/>
        <v>-0.70700389105058359</v>
      </c>
      <c r="U521" s="99">
        <f t="shared" si="351"/>
        <v>-0.70700389105058359</v>
      </c>
      <c r="V521" s="99">
        <f t="shared" si="351"/>
        <v>-0.70700389105058359</v>
      </c>
      <c r="W521" s="99">
        <f t="shared" si="351"/>
        <v>-0.69382239382239375</v>
      </c>
    </row>
    <row r="522" spans="1:23" s="36" customFormat="1" x14ac:dyDescent="0.3">
      <c r="A522" s="406"/>
      <c r="B522" s="97" t="s">
        <v>203</v>
      </c>
      <c r="C522" s="98"/>
      <c r="D522" s="99">
        <f t="shared" si="350"/>
        <v>-0.69382239382239375</v>
      </c>
      <c r="E522" s="99">
        <f t="shared" si="350"/>
        <v>-0.69382239382239375</v>
      </c>
      <c r="F522" s="99">
        <f t="shared" ref="F522:W522" si="352">F518/F514</f>
        <v>-0.69382239382239375</v>
      </c>
      <c r="G522" s="99">
        <f t="shared" si="352"/>
        <v>-0.69382239382239375</v>
      </c>
      <c r="H522" s="99">
        <f t="shared" si="352"/>
        <v>-0.69382239382239375</v>
      </c>
      <c r="I522" s="99">
        <f t="shared" si="352"/>
        <v>-0.84327731092436975</v>
      </c>
      <c r="J522" s="99">
        <f t="shared" si="352"/>
        <v>-0.84327731092436975</v>
      </c>
      <c r="K522" s="99">
        <f t="shared" si="352"/>
        <v>-0.84327731092436975</v>
      </c>
      <c r="L522" s="99">
        <f t="shared" si="352"/>
        <v>-0.84327731092436975</v>
      </c>
      <c r="M522" s="99">
        <f t="shared" si="352"/>
        <v>-0.84327731092436975</v>
      </c>
      <c r="N522" s="99">
        <f t="shared" si="352"/>
        <v>-0.68084291187739454</v>
      </c>
      <c r="O522" s="99">
        <f t="shared" si="352"/>
        <v>-0.68084291187739454</v>
      </c>
      <c r="P522" s="99">
        <f t="shared" si="352"/>
        <v>-0.68084291187739454</v>
      </c>
      <c r="Q522" s="99">
        <f t="shared" si="352"/>
        <v>-0.68084291187739454</v>
      </c>
      <c r="R522" s="99">
        <f t="shared" si="352"/>
        <v>-0.68084291187739454</v>
      </c>
      <c r="S522" s="99">
        <f t="shared" si="352"/>
        <v>-0.68084291187739454</v>
      </c>
      <c r="T522" s="99">
        <f t="shared" si="352"/>
        <v>-0.69382239382239375</v>
      </c>
      <c r="U522" s="99">
        <f t="shared" si="352"/>
        <v>-0.69382239382239375</v>
      </c>
      <c r="V522" s="99">
        <f t="shared" si="352"/>
        <v>-0.69382239382239375</v>
      </c>
      <c r="W522" s="99">
        <f t="shared" si="352"/>
        <v>-0.68084291187739454</v>
      </c>
    </row>
    <row r="523" spans="1:23" s="36" customFormat="1" x14ac:dyDescent="0.3">
      <c r="A523" s="406"/>
      <c r="B523" s="97" t="s">
        <v>204</v>
      </c>
      <c r="C523" s="98"/>
      <c r="D523" s="99">
        <f t="shared" si="350"/>
        <v>-0.67442748091603044</v>
      </c>
      <c r="E523" s="99">
        <f t="shared" si="350"/>
        <v>-0.67442748091603044</v>
      </c>
      <c r="F523" s="99">
        <f t="shared" ref="F523:W523" si="353">F519/F515</f>
        <v>-0.67442748091603044</v>
      </c>
      <c r="G523" s="99">
        <f t="shared" si="353"/>
        <v>-0.67442748091603044</v>
      </c>
      <c r="H523" s="99">
        <f t="shared" si="353"/>
        <v>-0.67442748091603044</v>
      </c>
      <c r="I523" s="99">
        <f t="shared" si="353"/>
        <v>-0.82033195020746885</v>
      </c>
      <c r="J523" s="99">
        <f t="shared" si="353"/>
        <v>-0.82033195020746885</v>
      </c>
      <c r="K523" s="99">
        <f t="shared" si="353"/>
        <v>-0.82033195020746885</v>
      </c>
      <c r="L523" s="99">
        <f t="shared" si="353"/>
        <v>-0.82033195020746885</v>
      </c>
      <c r="M523" s="99">
        <f t="shared" si="353"/>
        <v>-0.82033195020746885</v>
      </c>
      <c r="N523" s="99">
        <f t="shared" si="353"/>
        <v>-0.66174242424242424</v>
      </c>
      <c r="O523" s="99">
        <f t="shared" si="353"/>
        <v>-0.66174242424242424</v>
      </c>
      <c r="P523" s="99">
        <f t="shared" si="353"/>
        <v>-0.66174242424242424</v>
      </c>
      <c r="Q523" s="99">
        <f t="shared" si="353"/>
        <v>-0.66174242424242424</v>
      </c>
      <c r="R523" s="99">
        <f t="shared" si="353"/>
        <v>-0.66174242424242424</v>
      </c>
      <c r="S523" s="99">
        <f t="shared" si="353"/>
        <v>-0.66174242424242424</v>
      </c>
      <c r="T523" s="99">
        <f t="shared" si="353"/>
        <v>-0.67442748091603044</v>
      </c>
      <c r="U523" s="99">
        <f t="shared" si="353"/>
        <v>-0.67442748091603044</v>
      </c>
      <c r="V523" s="99">
        <f t="shared" si="353"/>
        <v>-0.67442748091603044</v>
      </c>
      <c r="W523" s="99">
        <f t="shared" si="353"/>
        <v>-0.66174242424242424</v>
      </c>
    </row>
    <row r="524" spans="1:23" s="36" customFormat="1" x14ac:dyDescent="0.3">
      <c r="A524" s="406"/>
      <c r="B524" s="97" t="s">
        <v>205</v>
      </c>
      <c r="C524" s="98"/>
      <c r="D524" s="99">
        <f t="shared" si="350"/>
        <v>-0.66174242424242424</v>
      </c>
      <c r="E524" s="99">
        <f t="shared" si="350"/>
        <v>-0.66174242424242424</v>
      </c>
      <c r="F524" s="99">
        <f t="shared" ref="F524:W524" si="354">F520/F516</f>
        <v>-0.66174242424242424</v>
      </c>
      <c r="G524" s="99">
        <f t="shared" si="354"/>
        <v>-0.66174242424242424</v>
      </c>
      <c r="H524" s="99">
        <f t="shared" si="354"/>
        <v>-0.66174242424242424</v>
      </c>
      <c r="I524" s="99">
        <f t="shared" si="354"/>
        <v>-0.80534979423868303</v>
      </c>
      <c r="J524" s="99">
        <f t="shared" si="354"/>
        <v>-0.80534979423868303</v>
      </c>
      <c r="K524" s="99">
        <f t="shared" si="354"/>
        <v>-0.80534979423868303</v>
      </c>
      <c r="L524" s="99">
        <f t="shared" si="354"/>
        <v>-0.80534979423868303</v>
      </c>
      <c r="M524" s="99">
        <f t="shared" si="354"/>
        <v>-0.80534979423868303</v>
      </c>
      <c r="N524" s="99">
        <f t="shared" si="354"/>
        <v>-0.64924812030075185</v>
      </c>
      <c r="O524" s="99">
        <f t="shared" si="354"/>
        <v>-0.64924812030075185</v>
      </c>
      <c r="P524" s="99">
        <f t="shared" si="354"/>
        <v>-0.64924812030075185</v>
      </c>
      <c r="Q524" s="99">
        <f t="shared" si="354"/>
        <v>-0.64924812030075185</v>
      </c>
      <c r="R524" s="99">
        <f t="shared" si="354"/>
        <v>-0.64924812030075185</v>
      </c>
      <c r="S524" s="99">
        <f t="shared" si="354"/>
        <v>-0.64924812030075185</v>
      </c>
      <c r="T524" s="99">
        <f t="shared" si="354"/>
        <v>-0.66174242424242424</v>
      </c>
      <c r="U524" s="99">
        <f t="shared" si="354"/>
        <v>-0.66174242424242424</v>
      </c>
      <c r="V524" s="99">
        <f t="shared" si="354"/>
        <v>-0.66174242424242424</v>
      </c>
      <c r="W524" s="99">
        <f t="shared" si="354"/>
        <v>-0.64924812030075185</v>
      </c>
    </row>
    <row r="525" spans="1:23" ht="21" thickBot="1" x14ac:dyDescent="0.35"/>
    <row r="526" spans="1:23" s="19" customFormat="1" ht="24" thickBot="1" x14ac:dyDescent="0.4">
      <c r="A526" s="19" t="s">
        <v>292</v>
      </c>
      <c r="B526" s="362" t="s">
        <v>89</v>
      </c>
      <c r="C526" s="68"/>
      <c r="D526" s="17" t="s">
        <v>5</v>
      </c>
      <c r="E526" s="18" t="s">
        <v>6</v>
      </c>
      <c r="F526" s="18" t="s">
        <v>7</v>
      </c>
      <c r="G526" s="18" t="s">
        <v>8</v>
      </c>
      <c r="H526" s="18" t="s">
        <v>9</v>
      </c>
      <c r="I526" s="18" t="s">
        <v>10</v>
      </c>
      <c r="J526" s="18" t="s">
        <v>11</v>
      </c>
      <c r="K526" s="18" t="s">
        <v>12</v>
      </c>
      <c r="L526" s="18" t="s">
        <v>13</v>
      </c>
      <c r="M526" s="18" t="s">
        <v>14</v>
      </c>
      <c r="N526" s="18" t="s">
        <v>15</v>
      </c>
      <c r="O526" s="18" t="s">
        <v>16</v>
      </c>
      <c r="P526" s="18" t="s">
        <v>17</v>
      </c>
      <c r="Q526" s="18" t="s">
        <v>18</v>
      </c>
      <c r="R526" s="18" t="s">
        <v>19</v>
      </c>
      <c r="S526" s="18" t="s">
        <v>20</v>
      </c>
      <c r="T526" s="18" t="s">
        <v>21</v>
      </c>
      <c r="U526" s="18" t="s">
        <v>22</v>
      </c>
      <c r="V526" s="18" t="s">
        <v>23</v>
      </c>
      <c r="W526" s="18" t="s">
        <v>166</v>
      </c>
    </row>
    <row r="527" spans="1:23" s="33" customFormat="1" x14ac:dyDescent="0.3">
      <c r="A527" s="405"/>
      <c r="B527" s="63" t="s">
        <v>50</v>
      </c>
      <c r="C527" s="64"/>
      <c r="D527" s="31">
        <v>520</v>
      </c>
      <c r="E527" s="31">
        <v>520</v>
      </c>
      <c r="F527" s="31">
        <v>520</v>
      </c>
      <c r="G527" s="31">
        <v>520</v>
      </c>
      <c r="H527" s="31">
        <v>520</v>
      </c>
      <c r="I527" s="31">
        <v>520</v>
      </c>
      <c r="J527" s="31">
        <v>520</v>
      </c>
      <c r="K527" s="31">
        <v>520</v>
      </c>
      <c r="L527" s="31">
        <v>520</v>
      </c>
      <c r="M527" s="31">
        <v>520</v>
      </c>
      <c r="N527" s="31">
        <v>520</v>
      </c>
      <c r="O527" s="31">
        <v>520</v>
      </c>
      <c r="P527" s="31">
        <v>520</v>
      </c>
      <c r="Q527" s="31">
        <v>520</v>
      </c>
      <c r="R527" s="31">
        <v>520</v>
      </c>
      <c r="S527" s="31">
        <v>520</v>
      </c>
      <c r="T527" s="31">
        <v>520</v>
      </c>
      <c r="U527" s="31">
        <v>520</v>
      </c>
      <c r="V527" s="31">
        <v>520</v>
      </c>
      <c r="W527" s="31">
        <v>520</v>
      </c>
    </row>
    <row r="528" spans="1:23" ht="23" x14ac:dyDescent="0.35">
      <c r="B528" s="340" t="s">
        <v>51</v>
      </c>
      <c r="C528" s="341"/>
      <c r="D528" s="363"/>
      <c r="E528" s="363"/>
      <c r="F528" s="363"/>
      <c r="G528" s="363"/>
      <c r="H528" s="363"/>
      <c r="I528" s="363"/>
      <c r="J528" s="363"/>
      <c r="K528" s="363"/>
      <c r="L528" s="363"/>
      <c r="M528" s="363"/>
      <c r="N528" s="363"/>
      <c r="O528" s="363"/>
      <c r="P528" s="363"/>
      <c r="Q528" s="363"/>
      <c r="R528" s="363"/>
      <c r="S528" s="363"/>
      <c r="T528" s="363"/>
      <c r="U528" s="363"/>
      <c r="V528" s="363"/>
      <c r="W528" s="363"/>
    </row>
    <row r="529" spans="1:23" x14ac:dyDescent="0.3">
      <c r="B529" s="54"/>
      <c r="C529" s="55"/>
      <c r="D529" s="20">
        <f t="shared" ref="D529:V529" si="355">D527*(1-D528)</f>
        <v>520</v>
      </c>
      <c r="E529" s="20">
        <f t="shared" si="355"/>
        <v>520</v>
      </c>
      <c r="F529" s="20">
        <f t="shared" si="355"/>
        <v>520</v>
      </c>
      <c r="G529" s="20">
        <f t="shared" si="355"/>
        <v>520</v>
      </c>
      <c r="H529" s="20">
        <f t="shared" si="355"/>
        <v>520</v>
      </c>
      <c r="I529" s="20">
        <f t="shared" si="355"/>
        <v>520</v>
      </c>
      <c r="J529" s="20">
        <f t="shared" si="355"/>
        <v>520</v>
      </c>
      <c r="K529" s="20">
        <f t="shared" si="355"/>
        <v>520</v>
      </c>
      <c r="L529" s="20">
        <f t="shared" si="355"/>
        <v>520</v>
      </c>
      <c r="M529" s="20">
        <f t="shared" si="355"/>
        <v>520</v>
      </c>
      <c r="N529" s="20">
        <f t="shared" si="355"/>
        <v>520</v>
      </c>
      <c r="O529" s="20">
        <f t="shared" si="355"/>
        <v>520</v>
      </c>
      <c r="P529" s="20">
        <f t="shared" si="355"/>
        <v>520</v>
      </c>
      <c r="Q529" s="20">
        <f t="shared" si="355"/>
        <v>520</v>
      </c>
      <c r="R529" s="20">
        <f t="shared" si="355"/>
        <v>520</v>
      </c>
      <c r="S529" s="20">
        <f t="shared" si="355"/>
        <v>520</v>
      </c>
      <c r="T529" s="20">
        <f t="shared" si="355"/>
        <v>520</v>
      </c>
      <c r="U529" s="20">
        <f t="shared" si="355"/>
        <v>520</v>
      </c>
      <c r="V529" s="20">
        <f t="shared" si="355"/>
        <v>520</v>
      </c>
      <c r="W529" s="20">
        <f>W527*(1-W528)</f>
        <v>520</v>
      </c>
    </row>
    <row r="530" spans="1:23" x14ac:dyDescent="0.3">
      <c r="B530" s="54" t="s">
        <v>51</v>
      </c>
      <c r="C530" s="56">
        <v>0</v>
      </c>
      <c r="D530" s="20">
        <f>D529*$C530</f>
        <v>0</v>
      </c>
      <c r="E530" s="20">
        <f t="shared" ref="E530:V530" si="356">E529*$C530</f>
        <v>0</v>
      </c>
      <c r="F530" s="20">
        <f t="shared" si="356"/>
        <v>0</v>
      </c>
      <c r="G530" s="20">
        <f t="shared" si="356"/>
        <v>0</v>
      </c>
      <c r="H530" s="20">
        <f t="shared" si="356"/>
        <v>0</v>
      </c>
      <c r="I530" s="20">
        <f t="shared" si="356"/>
        <v>0</v>
      </c>
      <c r="J530" s="20">
        <f t="shared" si="356"/>
        <v>0</v>
      </c>
      <c r="K530" s="20">
        <f t="shared" si="356"/>
        <v>0</v>
      </c>
      <c r="L530" s="20">
        <f t="shared" si="356"/>
        <v>0</v>
      </c>
      <c r="M530" s="20">
        <f t="shared" si="356"/>
        <v>0</v>
      </c>
      <c r="N530" s="20">
        <f t="shared" si="356"/>
        <v>0</v>
      </c>
      <c r="O530" s="20">
        <f t="shared" si="356"/>
        <v>0</v>
      </c>
      <c r="P530" s="20">
        <f t="shared" si="356"/>
        <v>0</v>
      </c>
      <c r="Q530" s="20">
        <f t="shared" si="356"/>
        <v>0</v>
      </c>
      <c r="R530" s="20">
        <f t="shared" si="356"/>
        <v>0</v>
      </c>
      <c r="S530" s="20">
        <f t="shared" si="356"/>
        <v>0</v>
      </c>
      <c r="T530" s="20">
        <f t="shared" si="356"/>
        <v>0</v>
      </c>
      <c r="U530" s="20">
        <f t="shared" si="356"/>
        <v>0</v>
      </c>
      <c r="V530" s="20">
        <f t="shared" si="356"/>
        <v>0</v>
      </c>
      <c r="W530" s="20">
        <f>W529*$C530</f>
        <v>0</v>
      </c>
    </row>
    <row r="531" spans="1:23" x14ac:dyDescent="0.3">
      <c r="B531" s="54" t="s">
        <v>67</v>
      </c>
      <c r="C531" s="55"/>
      <c r="D531" s="20">
        <f>D529-D530</f>
        <v>520</v>
      </c>
      <c r="E531" s="20">
        <f t="shared" ref="E531:V531" si="357">E529-E530</f>
        <v>520</v>
      </c>
      <c r="F531" s="20">
        <f t="shared" si="357"/>
        <v>520</v>
      </c>
      <c r="G531" s="20">
        <f t="shared" si="357"/>
        <v>520</v>
      </c>
      <c r="H531" s="20">
        <f t="shared" si="357"/>
        <v>520</v>
      </c>
      <c r="I531" s="20">
        <f t="shared" si="357"/>
        <v>520</v>
      </c>
      <c r="J531" s="20">
        <f t="shared" si="357"/>
        <v>520</v>
      </c>
      <c r="K531" s="20">
        <f t="shared" si="357"/>
        <v>520</v>
      </c>
      <c r="L531" s="20">
        <f t="shared" si="357"/>
        <v>520</v>
      </c>
      <c r="M531" s="20">
        <f t="shared" si="357"/>
        <v>520</v>
      </c>
      <c r="N531" s="20">
        <f t="shared" si="357"/>
        <v>520</v>
      </c>
      <c r="O531" s="20">
        <f t="shared" si="357"/>
        <v>520</v>
      </c>
      <c r="P531" s="20">
        <f t="shared" si="357"/>
        <v>520</v>
      </c>
      <c r="Q531" s="20">
        <f t="shared" si="357"/>
        <v>520</v>
      </c>
      <c r="R531" s="20">
        <f t="shared" si="357"/>
        <v>520</v>
      </c>
      <c r="S531" s="20">
        <f t="shared" si="357"/>
        <v>520</v>
      </c>
      <c r="T531" s="20">
        <f t="shared" si="357"/>
        <v>520</v>
      </c>
      <c r="U531" s="20">
        <f t="shared" si="357"/>
        <v>520</v>
      </c>
      <c r="V531" s="20">
        <f t="shared" si="357"/>
        <v>520</v>
      </c>
      <c r="W531" s="20">
        <f>W529-W530</f>
        <v>520</v>
      </c>
    </row>
    <row r="532" spans="1:23" x14ac:dyDescent="0.3">
      <c r="B532" s="54" t="s">
        <v>66</v>
      </c>
      <c r="C532" s="56">
        <v>7.0000000000000007E-2</v>
      </c>
      <c r="D532" s="20">
        <f>D531*$C532</f>
        <v>36.400000000000006</v>
      </c>
      <c r="E532" s="20">
        <f t="shared" ref="E532:V532" si="358">E531*$C532</f>
        <v>36.400000000000006</v>
      </c>
      <c r="F532" s="20">
        <f t="shared" si="358"/>
        <v>36.400000000000006</v>
      </c>
      <c r="G532" s="20">
        <f t="shared" si="358"/>
        <v>36.400000000000006</v>
      </c>
      <c r="H532" s="20">
        <f t="shared" si="358"/>
        <v>36.400000000000006</v>
      </c>
      <c r="I532" s="20">
        <f t="shared" si="358"/>
        <v>36.400000000000006</v>
      </c>
      <c r="J532" s="20">
        <f t="shared" si="358"/>
        <v>36.400000000000006</v>
      </c>
      <c r="K532" s="20">
        <f t="shared" si="358"/>
        <v>36.400000000000006</v>
      </c>
      <c r="L532" s="20">
        <f t="shared" si="358"/>
        <v>36.400000000000006</v>
      </c>
      <c r="M532" s="20">
        <f t="shared" si="358"/>
        <v>36.400000000000006</v>
      </c>
      <c r="N532" s="20">
        <f t="shared" si="358"/>
        <v>36.400000000000006</v>
      </c>
      <c r="O532" s="20">
        <f t="shared" si="358"/>
        <v>36.400000000000006</v>
      </c>
      <c r="P532" s="20">
        <f t="shared" si="358"/>
        <v>36.400000000000006</v>
      </c>
      <c r="Q532" s="20">
        <f t="shared" si="358"/>
        <v>36.400000000000006</v>
      </c>
      <c r="R532" s="20">
        <f t="shared" si="358"/>
        <v>36.400000000000006</v>
      </c>
      <c r="S532" s="20">
        <f t="shared" si="358"/>
        <v>36.400000000000006</v>
      </c>
      <c r="T532" s="20">
        <f t="shared" si="358"/>
        <v>36.400000000000006</v>
      </c>
      <c r="U532" s="20">
        <f t="shared" si="358"/>
        <v>36.400000000000006</v>
      </c>
      <c r="V532" s="20">
        <f t="shared" si="358"/>
        <v>36.400000000000006</v>
      </c>
      <c r="W532" s="20">
        <f>W531*$C532</f>
        <v>36.400000000000006</v>
      </c>
    </row>
    <row r="533" spans="1:23" x14ac:dyDescent="0.3">
      <c r="B533" s="54" t="s">
        <v>68</v>
      </c>
      <c r="C533" s="55"/>
      <c r="D533" s="20">
        <f>D531+D532</f>
        <v>556.4</v>
      </c>
      <c r="E533" s="20">
        <f t="shared" ref="E533:V533" si="359">E531+E532</f>
        <v>556.4</v>
      </c>
      <c r="F533" s="20">
        <f t="shared" si="359"/>
        <v>556.4</v>
      </c>
      <c r="G533" s="20">
        <f t="shared" si="359"/>
        <v>556.4</v>
      </c>
      <c r="H533" s="20">
        <f t="shared" si="359"/>
        <v>556.4</v>
      </c>
      <c r="I533" s="20">
        <f t="shared" si="359"/>
        <v>556.4</v>
      </c>
      <c r="J533" s="20">
        <f t="shared" si="359"/>
        <v>556.4</v>
      </c>
      <c r="K533" s="20">
        <f t="shared" si="359"/>
        <v>556.4</v>
      </c>
      <c r="L533" s="20">
        <f t="shared" si="359"/>
        <v>556.4</v>
      </c>
      <c r="M533" s="20">
        <f t="shared" si="359"/>
        <v>556.4</v>
      </c>
      <c r="N533" s="20">
        <f t="shared" si="359"/>
        <v>556.4</v>
      </c>
      <c r="O533" s="20">
        <f t="shared" si="359"/>
        <v>556.4</v>
      </c>
      <c r="P533" s="20">
        <f t="shared" si="359"/>
        <v>556.4</v>
      </c>
      <c r="Q533" s="20">
        <f t="shared" si="359"/>
        <v>556.4</v>
      </c>
      <c r="R533" s="20">
        <f t="shared" si="359"/>
        <v>556.4</v>
      </c>
      <c r="S533" s="20">
        <f t="shared" si="359"/>
        <v>556.4</v>
      </c>
      <c r="T533" s="20">
        <f t="shared" si="359"/>
        <v>556.4</v>
      </c>
      <c r="U533" s="20">
        <f t="shared" si="359"/>
        <v>556.4</v>
      </c>
      <c r="V533" s="20">
        <f t="shared" si="359"/>
        <v>556.4</v>
      </c>
      <c r="W533" s="20">
        <f>W531+W532</f>
        <v>556.4</v>
      </c>
    </row>
    <row r="534" spans="1:23" ht="23" x14ac:dyDescent="0.35">
      <c r="B534" s="357" t="s">
        <v>52</v>
      </c>
      <c r="C534" s="358"/>
      <c r="D534" s="381"/>
      <c r="E534" s="381"/>
      <c r="F534" s="381"/>
      <c r="G534" s="381"/>
      <c r="H534" s="381"/>
      <c r="I534" s="381"/>
      <c r="J534" s="381"/>
      <c r="K534" s="381"/>
      <c r="L534" s="381"/>
      <c r="M534" s="381"/>
      <c r="N534" s="381"/>
      <c r="O534" s="381"/>
      <c r="P534" s="381"/>
      <c r="Q534" s="381"/>
      <c r="R534" s="381"/>
      <c r="S534" s="381"/>
      <c r="T534" s="381"/>
      <c r="U534" s="381"/>
      <c r="V534" s="381"/>
      <c r="W534" s="381"/>
    </row>
    <row r="535" spans="1:23" x14ac:dyDescent="0.3">
      <c r="B535" s="57" t="s">
        <v>53</v>
      </c>
      <c r="C535" s="58"/>
      <c r="D535" s="25">
        <f>SUM(D533:D534)</f>
        <v>556.4</v>
      </c>
      <c r="E535" s="26">
        <f t="shared" ref="E535:V535" si="360">SUM(E533:E534)</f>
        <v>556.4</v>
      </c>
      <c r="F535" s="26">
        <f t="shared" si="360"/>
        <v>556.4</v>
      </c>
      <c r="G535" s="26">
        <f t="shared" si="360"/>
        <v>556.4</v>
      </c>
      <c r="H535" s="26">
        <f t="shared" si="360"/>
        <v>556.4</v>
      </c>
      <c r="I535" s="26">
        <f t="shared" si="360"/>
        <v>556.4</v>
      </c>
      <c r="J535" s="26">
        <f t="shared" si="360"/>
        <v>556.4</v>
      </c>
      <c r="K535" s="26">
        <f t="shared" si="360"/>
        <v>556.4</v>
      </c>
      <c r="L535" s="26">
        <f t="shared" si="360"/>
        <v>556.4</v>
      </c>
      <c r="M535" s="26">
        <f t="shared" si="360"/>
        <v>556.4</v>
      </c>
      <c r="N535" s="26">
        <f t="shared" si="360"/>
        <v>556.4</v>
      </c>
      <c r="O535" s="26">
        <f t="shared" si="360"/>
        <v>556.4</v>
      </c>
      <c r="P535" s="26">
        <f t="shared" si="360"/>
        <v>556.4</v>
      </c>
      <c r="Q535" s="26">
        <f t="shared" si="360"/>
        <v>556.4</v>
      </c>
      <c r="R535" s="26">
        <f t="shared" si="360"/>
        <v>556.4</v>
      </c>
      <c r="S535" s="26">
        <f t="shared" si="360"/>
        <v>556.4</v>
      </c>
      <c r="T535" s="26">
        <f t="shared" si="360"/>
        <v>556.4</v>
      </c>
      <c r="U535" s="26">
        <f t="shared" si="360"/>
        <v>556.4</v>
      </c>
      <c r="V535" s="26">
        <f t="shared" si="360"/>
        <v>556.4</v>
      </c>
      <c r="W535" s="26">
        <f>SUM(W533:W534)</f>
        <v>556.4</v>
      </c>
    </row>
    <row r="536" spans="1:23" ht="23" x14ac:dyDescent="0.35">
      <c r="B536" s="336" t="s">
        <v>54</v>
      </c>
      <c r="C536" s="337"/>
      <c r="D536" s="338"/>
      <c r="E536" s="338"/>
      <c r="F536" s="338"/>
      <c r="G536" s="338"/>
      <c r="H536" s="338"/>
      <c r="I536" s="338"/>
      <c r="J536" s="338"/>
      <c r="K536" s="338"/>
      <c r="L536" s="338"/>
      <c r="M536" s="338"/>
      <c r="N536" s="338"/>
      <c r="O536" s="338"/>
      <c r="P536" s="338"/>
      <c r="Q536" s="338"/>
      <c r="R536" s="338"/>
      <c r="S536" s="338"/>
      <c r="T536" s="338"/>
      <c r="U536" s="338"/>
      <c r="V536" s="338"/>
      <c r="W536" s="338"/>
    </row>
    <row r="537" spans="1:23" ht="23" x14ac:dyDescent="0.35">
      <c r="B537" s="353" t="s">
        <v>55</v>
      </c>
      <c r="C537" s="354"/>
      <c r="D537" s="355">
        <f>D535</f>
        <v>556.4</v>
      </c>
      <c r="E537" s="356">
        <f t="shared" ref="E537:W537" si="361">E535</f>
        <v>556.4</v>
      </c>
      <c r="F537" s="356">
        <f t="shared" si="361"/>
        <v>556.4</v>
      </c>
      <c r="G537" s="356">
        <f t="shared" si="361"/>
        <v>556.4</v>
      </c>
      <c r="H537" s="356">
        <f t="shared" si="361"/>
        <v>556.4</v>
      </c>
      <c r="I537" s="356">
        <f t="shared" si="361"/>
        <v>556.4</v>
      </c>
      <c r="J537" s="356">
        <f t="shared" si="361"/>
        <v>556.4</v>
      </c>
      <c r="K537" s="356">
        <f t="shared" si="361"/>
        <v>556.4</v>
      </c>
      <c r="L537" s="356">
        <f t="shared" si="361"/>
        <v>556.4</v>
      </c>
      <c r="M537" s="356">
        <f t="shared" si="361"/>
        <v>556.4</v>
      </c>
      <c r="N537" s="356">
        <f t="shared" si="361"/>
        <v>556.4</v>
      </c>
      <c r="O537" s="356">
        <f t="shared" si="361"/>
        <v>556.4</v>
      </c>
      <c r="P537" s="356">
        <f t="shared" si="361"/>
        <v>556.4</v>
      </c>
      <c r="Q537" s="356">
        <f t="shared" si="361"/>
        <v>556.4</v>
      </c>
      <c r="R537" s="356">
        <f t="shared" si="361"/>
        <v>556.4</v>
      </c>
      <c r="S537" s="356">
        <f t="shared" si="361"/>
        <v>556.4</v>
      </c>
      <c r="T537" s="356">
        <f t="shared" si="361"/>
        <v>556.4</v>
      </c>
      <c r="U537" s="356">
        <f t="shared" si="361"/>
        <v>556.4</v>
      </c>
      <c r="V537" s="356">
        <f t="shared" si="361"/>
        <v>556.4</v>
      </c>
      <c r="W537" s="356">
        <f t="shared" si="361"/>
        <v>556.4</v>
      </c>
    </row>
    <row r="538" spans="1:23" x14ac:dyDescent="0.3">
      <c r="B538" s="171" t="s">
        <v>194</v>
      </c>
      <c r="C538" s="55"/>
      <c r="D538" s="181">
        <v>321</v>
      </c>
      <c r="E538" s="282">
        <v>322</v>
      </c>
      <c r="F538" s="282">
        <v>322</v>
      </c>
      <c r="G538" s="282">
        <v>322</v>
      </c>
      <c r="H538" s="282">
        <v>322</v>
      </c>
      <c r="I538" s="282">
        <v>295</v>
      </c>
      <c r="J538" s="282">
        <v>295</v>
      </c>
      <c r="K538" s="282">
        <v>295</v>
      </c>
      <c r="L538" s="282">
        <v>295</v>
      </c>
      <c r="M538" s="282">
        <v>295</v>
      </c>
      <c r="N538" s="282">
        <v>324</v>
      </c>
      <c r="O538" s="282">
        <v>324</v>
      </c>
      <c r="P538" s="282">
        <v>324</v>
      </c>
      <c r="Q538" s="282">
        <v>324</v>
      </c>
      <c r="R538" s="282">
        <v>324</v>
      </c>
      <c r="S538" s="282">
        <v>324</v>
      </c>
      <c r="T538" s="282">
        <v>321</v>
      </c>
      <c r="U538" s="282">
        <v>322</v>
      </c>
      <c r="V538" s="282">
        <v>320</v>
      </c>
      <c r="W538" s="282">
        <v>324</v>
      </c>
    </row>
    <row r="539" spans="1:23" s="51" customFormat="1" x14ac:dyDescent="0.3">
      <c r="A539" s="407"/>
      <c r="B539" s="61" t="s">
        <v>195</v>
      </c>
      <c r="C539" s="62"/>
      <c r="D539" s="283">
        <v>323</v>
      </c>
      <c r="E539" s="283">
        <v>324</v>
      </c>
      <c r="F539" s="283">
        <v>324</v>
      </c>
      <c r="G539" s="283">
        <v>324</v>
      </c>
      <c r="H539" s="283">
        <v>324</v>
      </c>
      <c r="I539" s="283">
        <v>297</v>
      </c>
      <c r="J539" s="283">
        <v>297</v>
      </c>
      <c r="K539" s="283">
        <v>297</v>
      </c>
      <c r="L539" s="283">
        <v>297</v>
      </c>
      <c r="M539" s="283">
        <v>297</v>
      </c>
      <c r="N539" s="283">
        <v>326</v>
      </c>
      <c r="O539" s="283">
        <v>326</v>
      </c>
      <c r="P539" s="283">
        <v>326</v>
      </c>
      <c r="Q539" s="283">
        <v>326</v>
      </c>
      <c r="R539" s="283">
        <v>326</v>
      </c>
      <c r="S539" s="283">
        <v>326</v>
      </c>
      <c r="T539" s="283">
        <v>323</v>
      </c>
      <c r="U539" s="283">
        <v>324</v>
      </c>
      <c r="V539" s="283">
        <v>322</v>
      </c>
      <c r="W539" s="283">
        <v>326</v>
      </c>
    </row>
    <row r="540" spans="1:23" s="51" customFormat="1" x14ac:dyDescent="0.3">
      <c r="A540" s="407"/>
      <c r="B540" s="61" t="s">
        <v>196</v>
      </c>
      <c r="C540" s="62"/>
      <c r="D540" s="283">
        <v>326</v>
      </c>
      <c r="E540" s="283">
        <v>327</v>
      </c>
      <c r="F540" s="283">
        <v>327</v>
      </c>
      <c r="G540" s="283">
        <v>327</v>
      </c>
      <c r="H540" s="283">
        <v>327</v>
      </c>
      <c r="I540" s="283">
        <v>300</v>
      </c>
      <c r="J540" s="283">
        <v>300</v>
      </c>
      <c r="K540" s="283">
        <v>300</v>
      </c>
      <c r="L540" s="283">
        <v>300</v>
      </c>
      <c r="M540" s="283">
        <v>300</v>
      </c>
      <c r="N540" s="283">
        <v>329</v>
      </c>
      <c r="O540" s="283">
        <v>329</v>
      </c>
      <c r="P540" s="283">
        <v>329</v>
      </c>
      <c r="Q540" s="283">
        <v>329</v>
      </c>
      <c r="R540" s="283">
        <v>329</v>
      </c>
      <c r="S540" s="283">
        <v>329</v>
      </c>
      <c r="T540" s="283">
        <v>326</v>
      </c>
      <c r="U540" s="283">
        <v>327</v>
      </c>
      <c r="V540" s="283">
        <v>325</v>
      </c>
      <c r="W540" s="283">
        <v>329</v>
      </c>
    </row>
    <row r="541" spans="1:23" s="51" customFormat="1" x14ac:dyDescent="0.3">
      <c r="A541" s="407"/>
      <c r="B541" s="61" t="s">
        <v>197</v>
      </c>
      <c r="C541" s="62"/>
      <c r="D541" s="283">
        <v>328</v>
      </c>
      <c r="E541" s="283">
        <v>329</v>
      </c>
      <c r="F541" s="283">
        <v>329</v>
      </c>
      <c r="G541" s="283">
        <v>329</v>
      </c>
      <c r="H541" s="283">
        <v>329</v>
      </c>
      <c r="I541" s="283">
        <v>302</v>
      </c>
      <c r="J541" s="283">
        <v>302</v>
      </c>
      <c r="K541" s="283">
        <v>302</v>
      </c>
      <c r="L541" s="283">
        <v>302</v>
      </c>
      <c r="M541" s="283">
        <v>302</v>
      </c>
      <c r="N541" s="283">
        <v>331</v>
      </c>
      <c r="O541" s="283">
        <v>331</v>
      </c>
      <c r="P541" s="283">
        <v>331</v>
      </c>
      <c r="Q541" s="283">
        <v>331</v>
      </c>
      <c r="R541" s="283">
        <v>331</v>
      </c>
      <c r="S541" s="283">
        <v>331</v>
      </c>
      <c r="T541" s="283">
        <v>328</v>
      </c>
      <c r="U541" s="283">
        <v>329</v>
      </c>
      <c r="V541" s="283">
        <v>327</v>
      </c>
      <c r="W541" s="283">
        <v>331</v>
      </c>
    </row>
    <row r="542" spans="1:23" s="30" customFormat="1" x14ac:dyDescent="0.3">
      <c r="A542" s="404"/>
      <c r="B542" s="63" t="s">
        <v>198</v>
      </c>
      <c r="C542" s="64"/>
      <c r="D542" s="31">
        <f t="shared" ref="D542:E545" si="362">+D538-D$537</f>
        <v>-235.39999999999998</v>
      </c>
      <c r="E542" s="31">
        <f t="shared" si="362"/>
        <v>-234.39999999999998</v>
      </c>
      <c r="F542" s="31">
        <f t="shared" ref="F542:W542" si="363">+F538-F$537</f>
        <v>-234.39999999999998</v>
      </c>
      <c r="G542" s="31">
        <f t="shared" si="363"/>
        <v>-234.39999999999998</v>
      </c>
      <c r="H542" s="31">
        <f t="shared" si="363"/>
        <v>-234.39999999999998</v>
      </c>
      <c r="I542" s="31">
        <f t="shared" si="363"/>
        <v>-261.39999999999998</v>
      </c>
      <c r="J542" s="31">
        <f t="shared" si="363"/>
        <v>-261.39999999999998</v>
      </c>
      <c r="K542" s="31">
        <f t="shared" si="363"/>
        <v>-261.39999999999998</v>
      </c>
      <c r="L542" s="31">
        <f t="shared" si="363"/>
        <v>-261.39999999999998</v>
      </c>
      <c r="M542" s="31">
        <f t="shared" si="363"/>
        <v>-261.39999999999998</v>
      </c>
      <c r="N542" s="31">
        <f t="shared" si="363"/>
        <v>-232.39999999999998</v>
      </c>
      <c r="O542" s="31">
        <f t="shared" si="363"/>
        <v>-232.39999999999998</v>
      </c>
      <c r="P542" s="31">
        <f t="shared" si="363"/>
        <v>-232.39999999999998</v>
      </c>
      <c r="Q542" s="31">
        <f t="shared" si="363"/>
        <v>-232.39999999999998</v>
      </c>
      <c r="R542" s="31">
        <f t="shared" si="363"/>
        <v>-232.39999999999998</v>
      </c>
      <c r="S542" s="31">
        <f t="shared" si="363"/>
        <v>-232.39999999999998</v>
      </c>
      <c r="T542" s="31">
        <f t="shared" si="363"/>
        <v>-235.39999999999998</v>
      </c>
      <c r="U542" s="31">
        <f t="shared" si="363"/>
        <v>-234.39999999999998</v>
      </c>
      <c r="V542" s="31">
        <f t="shared" si="363"/>
        <v>-236.39999999999998</v>
      </c>
      <c r="W542" s="31">
        <f t="shared" si="363"/>
        <v>-232.39999999999998</v>
      </c>
    </row>
    <row r="543" spans="1:23" s="33" customFormat="1" x14ac:dyDescent="0.3">
      <c r="A543" s="405"/>
      <c r="B543" s="63" t="s">
        <v>199</v>
      </c>
      <c r="C543" s="64"/>
      <c r="D543" s="31">
        <f t="shared" si="362"/>
        <v>-233.39999999999998</v>
      </c>
      <c r="E543" s="31">
        <f t="shared" si="362"/>
        <v>-232.39999999999998</v>
      </c>
      <c r="F543" s="31">
        <f t="shared" ref="F543:W543" si="364">+F539-F$537</f>
        <v>-232.39999999999998</v>
      </c>
      <c r="G543" s="31">
        <f t="shared" si="364"/>
        <v>-232.39999999999998</v>
      </c>
      <c r="H543" s="31">
        <f t="shared" si="364"/>
        <v>-232.39999999999998</v>
      </c>
      <c r="I543" s="31">
        <f t="shared" si="364"/>
        <v>-259.39999999999998</v>
      </c>
      <c r="J543" s="31">
        <f t="shared" si="364"/>
        <v>-259.39999999999998</v>
      </c>
      <c r="K543" s="31">
        <f t="shared" si="364"/>
        <v>-259.39999999999998</v>
      </c>
      <c r="L543" s="31">
        <f t="shared" si="364"/>
        <v>-259.39999999999998</v>
      </c>
      <c r="M543" s="31">
        <f t="shared" si="364"/>
        <v>-259.39999999999998</v>
      </c>
      <c r="N543" s="31">
        <f t="shared" si="364"/>
        <v>-230.39999999999998</v>
      </c>
      <c r="O543" s="31">
        <f t="shared" si="364"/>
        <v>-230.39999999999998</v>
      </c>
      <c r="P543" s="31">
        <f t="shared" si="364"/>
        <v>-230.39999999999998</v>
      </c>
      <c r="Q543" s="31">
        <f t="shared" si="364"/>
        <v>-230.39999999999998</v>
      </c>
      <c r="R543" s="31">
        <f t="shared" si="364"/>
        <v>-230.39999999999998</v>
      </c>
      <c r="S543" s="31">
        <f t="shared" si="364"/>
        <v>-230.39999999999998</v>
      </c>
      <c r="T543" s="31">
        <f t="shared" si="364"/>
        <v>-233.39999999999998</v>
      </c>
      <c r="U543" s="31">
        <f t="shared" si="364"/>
        <v>-232.39999999999998</v>
      </c>
      <c r="V543" s="31">
        <f t="shared" si="364"/>
        <v>-234.39999999999998</v>
      </c>
      <c r="W543" s="31">
        <f t="shared" si="364"/>
        <v>-230.39999999999998</v>
      </c>
    </row>
    <row r="544" spans="1:23" s="33" customFormat="1" x14ac:dyDescent="0.3">
      <c r="A544" s="405"/>
      <c r="B544" s="63" t="s">
        <v>200</v>
      </c>
      <c r="C544" s="64"/>
      <c r="D544" s="31">
        <f t="shared" si="362"/>
        <v>-230.39999999999998</v>
      </c>
      <c r="E544" s="31">
        <f t="shared" si="362"/>
        <v>-229.39999999999998</v>
      </c>
      <c r="F544" s="31">
        <f t="shared" ref="F544:W544" si="365">+F540-F$537</f>
        <v>-229.39999999999998</v>
      </c>
      <c r="G544" s="31">
        <f t="shared" si="365"/>
        <v>-229.39999999999998</v>
      </c>
      <c r="H544" s="31">
        <f t="shared" si="365"/>
        <v>-229.39999999999998</v>
      </c>
      <c r="I544" s="31">
        <f t="shared" si="365"/>
        <v>-256.39999999999998</v>
      </c>
      <c r="J544" s="31">
        <f t="shared" si="365"/>
        <v>-256.39999999999998</v>
      </c>
      <c r="K544" s="31">
        <f t="shared" si="365"/>
        <v>-256.39999999999998</v>
      </c>
      <c r="L544" s="31">
        <f t="shared" si="365"/>
        <v>-256.39999999999998</v>
      </c>
      <c r="M544" s="31">
        <f t="shared" si="365"/>
        <v>-256.39999999999998</v>
      </c>
      <c r="N544" s="31">
        <f t="shared" si="365"/>
        <v>-227.39999999999998</v>
      </c>
      <c r="O544" s="31">
        <f t="shared" si="365"/>
        <v>-227.39999999999998</v>
      </c>
      <c r="P544" s="31">
        <f t="shared" si="365"/>
        <v>-227.39999999999998</v>
      </c>
      <c r="Q544" s="31">
        <f t="shared" si="365"/>
        <v>-227.39999999999998</v>
      </c>
      <c r="R544" s="31">
        <f t="shared" si="365"/>
        <v>-227.39999999999998</v>
      </c>
      <c r="S544" s="31">
        <f t="shared" si="365"/>
        <v>-227.39999999999998</v>
      </c>
      <c r="T544" s="31">
        <f t="shared" si="365"/>
        <v>-230.39999999999998</v>
      </c>
      <c r="U544" s="31">
        <f t="shared" si="365"/>
        <v>-229.39999999999998</v>
      </c>
      <c r="V544" s="31">
        <f t="shared" si="365"/>
        <v>-231.39999999999998</v>
      </c>
      <c r="W544" s="31">
        <f t="shared" si="365"/>
        <v>-227.39999999999998</v>
      </c>
    </row>
    <row r="545" spans="1:23" s="33" customFormat="1" x14ac:dyDescent="0.3">
      <c r="A545" s="405"/>
      <c r="B545" s="63" t="s">
        <v>201</v>
      </c>
      <c r="C545" s="64"/>
      <c r="D545" s="31">
        <f t="shared" si="362"/>
        <v>-228.39999999999998</v>
      </c>
      <c r="E545" s="31">
        <f t="shared" si="362"/>
        <v>-227.39999999999998</v>
      </c>
      <c r="F545" s="31">
        <f t="shared" ref="F545:W545" si="366">+F541-F$537</f>
        <v>-227.39999999999998</v>
      </c>
      <c r="G545" s="31">
        <f t="shared" si="366"/>
        <v>-227.39999999999998</v>
      </c>
      <c r="H545" s="31">
        <f t="shared" si="366"/>
        <v>-227.39999999999998</v>
      </c>
      <c r="I545" s="31">
        <f t="shared" si="366"/>
        <v>-254.39999999999998</v>
      </c>
      <c r="J545" s="31">
        <f t="shared" si="366"/>
        <v>-254.39999999999998</v>
      </c>
      <c r="K545" s="31">
        <f t="shared" si="366"/>
        <v>-254.39999999999998</v>
      </c>
      <c r="L545" s="31">
        <f t="shared" si="366"/>
        <v>-254.39999999999998</v>
      </c>
      <c r="M545" s="31">
        <f t="shared" si="366"/>
        <v>-254.39999999999998</v>
      </c>
      <c r="N545" s="31">
        <f t="shared" si="366"/>
        <v>-225.39999999999998</v>
      </c>
      <c r="O545" s="31">
        <f t="shared" si="366"/>
        <v>-225.39999999999998</v>
      </c>
      <c r="P545" s="31">
        <f t="shared" si="366"/>
        <v>-225.39999999999998</v>
      </c>
      <c r="Q545" s="31">
        <f t="shared" si="366"/>
        <v>-225.39999999999998</v>
      </c>
      <c r="R545" s="31">
        <f t="shared" si="366"/>
        <v>-225.39999999999998</v>
      </c>
      <c r="S545" s="31">
        <f t="shared" si="366"/>
        <v>-225.39999999999998</v>
      </c>
      <c r="T545" s="31">
        <f t="shared" si="366"/>
        <v>-228.39999999999998</v>
      </c>
      <c r="U545" s="31">
        <f t="shared" si="366"/>
        <v>-227.39999999999998</v>
      </c>
      <c r="V545" s="31">
        <f t="shared" si="366"/>
        <v>-229.39999999999998</v>
      </c>
      <c r="W545" s="31">
        <f t="shared" si="366"/>
        <v>-225.39999999999998</v>
      </c>
    </row>
    <row r="546" spans="1:23" x14ac:dyDescent="0.3">
      <c r="B546" s="97" t="s">
        <v>202</v>
      </c>
      <c r="C546" s="98"/>
      <c r="D546" s="100">
        <f t="shared" ref="D546:E549" si="367">D542/D538</f>
        <v>-0.73333333333333328</v>
      </c>
      <c r="E546" s="100">
        <f t="shared" si="367"/>
        <v>-0.72795031055900616</v>
      </c>
      <c r="F546" s="100">
        <f t="shared" ref="F546:W546" si="368">F542/F538</f>
        <v>-0.72795031055900616</v>
      </c>
      <c r="G546" s="100">
        <f t="shared" si="368"/>
        <v>-0.72795031055900616</v>
      </c>
      <c r="H546" s="100">
        <f t="shared" si="368"/>
        <v>-0.72795031055900616</v>
      </c>
      <c r="I546" s="100">
        <f t="shared" si="368"/>
        <v>-0.88610169491525415</v>
      </c>
      <c r="J546" s="100">
        <f t="shared" si="368"/>
        <v>-0.88610169491525415</v>
      </c>
      <c r="K546" s="100">
        <f t="shared" si="368"/>
        <v>-0.88610169491525415</v>
      </c>
      <c r="L546" s="100">
        <f t="shared" si="368"/>
        <v>-0.88610169491525415</v>
      </c>
      <c r="M546" s="100">
        <f t="shared" si="368"/>
        <v>-0.88610169491525415</v>
      </c>
      <c r="N546" s="100">
        <f t="shared" si="368"/>
        <v>-0.71728395061728389</v>
      </c>
      <c r="O546" s="100">
        <f t="shared" si="368"/>
        <v>-0.71728395061728389</v>
      </c>
      <c r="P546" s="100">
        <f t="shared" si="368"/>
        <v>-0.71728395061728389</v>
      </c>
      <c r="Q546" s="100">
        <f t="shared" si="368"/>
        <v>-0.71728395061728389</v>
      </c>
      <c r="R546" s="100">
        <f t="shared" si="368"/>
        <v>-0.71728395061728389</v>
      </c>
      <c r="S546" s="100">
        <f t="shared" si="368"/>
        <v>-0.71728395061728389</v>
      </c>
      <c r="T546" s="100">
        <f t="shared" si="368"/>
        <v>-0.73333333333333328</v>
      </c>
      <c r="U546" s="100">
        <f t="shared" si="368"/>
        <v>-0.72795031055900616</v>
      </c>
      <c r="V546" s="100">
        <f t="shared" si="368"/>
        <v>-0.73874999999999991</v>
      </c>
      <c r="W546" s="100">
        <f t="shared" si="368"/>
        <v>-0.71728395061728389</v>
      </c>
    </row>
    <row r="547" spans="1:23" s="36" customFormat="1" x14ac:dyDescent="0.3">
      <c r="A547" s="406"/>
      <c r="B547" s="97" t="s">
        <v>203</v>
      </c>
      <c r="C547" s="98"/>
      <c r="D547" s="100">
        <f t="shared" si="367"/>
        <v>-0.72260061919504637</v>
      </c>
      <c r="E547" s="100">
        <f t="shared" si="367"/>
        <v>-0.71728395061728389</v>
      </c>
      <c r="F547" s="100">
        <f t="shared" ref="F547:W547" si="369">F543/F539</f>
        <v>-0.71728395061728389</v>
      </c>
      <c r="G547" s="100">
        <f t="shared" si="369"/>
        <v>-0.71728395061728389</v>
      </c>
      <c r="H547" s="100">
        <f t="shared" si="369"/>
        <v>-0.71728395061728389</v>
      </c>
      <c r="I547" s="100">
        <f t="shared" si="369"/>
        <v>-0.87340067340067329</v>
      </c>
      <c r="J547" s="100">
        <f t="shared" si="369"/>
        <v>-0.87340067340067329</v>
      </c>
      <c r="K547" s="100">
        <f t="shared" si="369"/>
        <v>-0.87340067340067329</v>
      </c>
      <c r="L547" s="100">
        <f t="shared" si="369"/>
        <v>-0.87340067340067329</v>
      </c>
      <c r="M547" s="100">
        <f t="shared" si="369"/>
        <v>-0.87340067340067329</v>
      </c>
      <c r="N547" s="100">
        <f t="shared" si="369"/>
        <v>-0.70674846625766863</v>
      </c>
      <c r="O547" s="100">
        <f t="shared" si="369"/>
        <v>-0.70674846625766863</v>
      </c>
      <c r="P547" s="100">
        <f t="shared" si="369"/>
        <v>-0.70674846625766863</v>
      </c>
      <c r="Q547" s="100">
        <f t="shared" si="369"/>
        <v>-0.70674846625766863</v>
      </c>
      <c r="R547" s="100">
        <f t="shared" si="369"/>
        <v>-0.70674846625766863</v>
      </c>
      <c r="S547" s="100">
        <f t="shared" si="369"/>
        <v>-0.70674846625766863</v>
      </c>
      <c r="T547" s="100">
        <f t="shared" si="369"/>
        <v>-0.72260061919504637</v>
      </c>
      <c r="U547" s="100">
        <f t="shared" si="369"/>
        <v>-0.71728395061728389</v>
      </c>
      <c r="V547" s="100">
        <f t="shared" si="369"/>
        <v>-0.72795031055900616</v>
      </c>
      <c r="W547" s="100">
        <f t="shared" si="369"/>
        <v>-0.70674846625766863</v>
      </c>
    </row>
    <row r="548" spans="1:23" s="36" customFormat="1" x14ac:dyDescent="0.3">
      <c r="A548" s="406"/>
      <c r="B548" s="97" t="s">
        <v>204</v>
      </c>
      <c r="C548" s="98"/>
      <c r="D548" s="100">
        <f t="shared" si="367"/>
        <v>-0.70674846625766863</v>
      </c>
      <c r="E548" s="100">
        <f t="shared" si="367"/>
        <v>-0.70152905198776749</v>
      </c>
      <c r="F548" s="100">
        <f t="shared" ref="F548:W548" si="370">F544/F540</f>
        <v>-0.70152905198776749</v>
      </c>
      <c r="G548" s="100">
        <f t="shared" si="370"/>
        <v>-0.70152905198776749</v>
      </c>
      <c r="H548" s="100">
        <f t="shared" si="370"/>
        <v>-0.70152905198776749</v>
      </c>
      <c r="I548" s="100">
        <f t="shared" si="370"/>
        <v>-0.85466666666666657</v>
      </c>
      <c r="J548" s="100">
        <f t="shared" si="370"/>
        <v>-0.85466666666666657</v>
      </c>
      <c r="K548" s="100">
        <f t="shared" si="370"/>
        <v>-0.85466666666666657</v>
      </c>
      <c r="L548" s="100">
        <f t="shared" si="370"/>
        <v>-0.85466666666666657</v>
      </c>
      <c r="M548" s="100">
        <f t="shared" si="370"/>
        <v>-0.85466666666666657</v>
      </c>
      <c r="N548" s="100">
        <f t="shared" si="370"/>
        <v>-0.69118541033434644</v>
      </c>
      <c r="O548" s="100">
        <f t="shared" si="370"/>
        <v>-0.69118541033434644</v>
      </c>
      <c r="P548" s="100">
        <f t="shared" si="370"/>
        <v>-0.69118541033434644</v>
      </c>
      <c r="Q548" s="100">
        <f t="shared" si="370"/>
        <v>-0.69118541033434644</v>
      </c>
      <c r="R548" s="100">
        <f t="shared" si="370"/>
        <v>-0.69118541033434644</v>
      </c>
      <c r="S548" s="100">
        <f t="shared" si="370"/>
        <v>-0.69118541033434644</v>
      </c>
      <c r="T548" s="100">
        <f t="shared" si="370"/>
        <v>-0.70674846625766863</v>
      </c>
      <c r="U548" s="100">
        <f t="shared" si="370"/>
        <v>-0.70152905198776749</v>
      </c>
      <c r="V548" s="100">
        <f t="shared" si="370"/>
        <v>-0.71199999999999997</v>
      </c>
      <c r="W548" s="100">
        <f t="shared" si="370"/>
        <v>-0.69118541033434644</v>
      </c>
    </row>
    <row r="549" spans="1:23" s="36" customFormat="1" x14ac:dyDescent="0.3">
      <c r="A549" s="406"/>
      <c r="B549" s="97" t="s">
        <v>205</v>
      </c>
      <c r="C549" s="98"/>
      <c r="D549" s="100">
        <f t="shared" si="367"/>
        <v>-0.6963414634146341</v>
      </c>
      <c r="E549" s="100">
        <f t="shared" si="367"/>
        <v>-0.69118541033434644</v>
      </c>
      <c r="F549" s="100">
        <f t="shared" ref="F549:W549" si="371">F545/F541</f>
        <v>-0.69118541033434644</v>
      </c>
      <c r="G549" s="100">
        <f t="shared" si="371"/>
        <v>-0.69118541033434644</v>
      </c>
      <c r="H549" s="100">
        <f t="shared" si="371"/>
        <v>-0.69118541033434644</v>
      </c>
      <c r="I549" s="100">
        <f t="shared" si="371"/>
        <v>-0.84238410596026481</v>
      </c>
      <c r="J549" s="100">
        <f t="shared" si="371"/>
        <v>-0.84238410596026481</v>
      </c>
      <c r="K549" s="100">
        <f t="shared" si="371"/>
        <v>-0.84238410596026481</v>
      </c>
      <c r="L549" s="100">
        <f t="shared" si="371"/>
        <v>-0.84238410596026481</v>
      </c>
      <c r="M549" s="100">
        <f t="shared" si="371"/>
        <v>-0.84238410596026481</v>
      </c>
      <c r="N549" s="100">
        <f t="shared" si="371"/>
        <v>-0.68096676737160111</v>
      </c>
      <c r="O549" s="100">
        <f t="shared" si="371"/>
        <v>-0.68096676737160111</v>
      </c>
      <c r="P549" s="100">
        <f t="shared" si="371"/>
        <v>-0.68096676737160111</v>
      </c>
      <c r="Q549" s="100">
        <f t="shared" si="371"/>
        <v>-0.68096676737160111</v>
      </c>
      <c r="R549" s="100">
        <f t="shared" si="371"/>
        <v>-0.68096676737160111</v>
      </c>
      <c r="S549" s="100">
        <f t="shared" si="371"/>
        <v>-0.68096676737160111</v>
      </c>
      <c r="T549" s="100">
        <f t="shared" si="371"/>
        <v>-0.6963414634146341</v>
      </c>
      <c r="U549" s="100">
        <f t="shared" si="371"/>
        <v>-0.69118541033434644</v>
      </c>
      <c r="V549" s="100">
        <f t="shared" si="371"/>
        <v>-0.70152905198776749</v>
      </c>
      <c r="W549" s="100">
        <f t="shared" si="371"/>
        <v>-0.68096676737160111</v>
      </c>
    </row>
    <row r="550" spans="1:23" ht="21" thickBot="1" x14ac:dyDescent="0.35"/>
    <row r="551" spans="1:23" s="19" customFormat="1" ht="24" thickBot="1" x14ac:dyDescent="0.4">
      <c r="A551" s="19" t="s">
        <v>293</v>
      </c>
      <c r="B551" s="362" t="s">
        <v>90</v>
      </c>
      <c r="C551" s="68"/>
      <c r="D551" s="17" t="s">
        <v>5</v>
      </c>
      <c r="E551" s="18" t="s">
        <v>6</v>
      </c>
      <c r="F551" s="18" t="s">
        <v>7</v>
      </c>
      <c r="G551" s="18" t="s">
        <v>8</v>
      </c>
      <c r="H551" s="18" t="s">
        <v>9</v>
      </c>
      <c r="I551" s="18" t="s">
        <v>10</v>
      </c>
      <c r="J551" s="18" t="s">
        <v>11</v>
      </c>
      <c r="K551" s="18" t="s">
        <v>12</v>
      </c>
      <c r="L551" s="18" t="s">
        <v>13</v>
      </c>
      <c r="M551" s="18" t="s">
        <v>14</v>
      </c>
      <c r="N551" s="18" t="s">
        <v>15</v>
      </c>
      <c r="O551" s="18" t="s">
        <v>16</v>
      </c>
      <c r="P551" s="18" t="s">
        <v>17</v>
      </c>
      <c r="Q551" s="18" t="s">
        <v>18</v>
      </c>
      <c r="R551" s="18" t="s">
        <v>19</v>
      </c>
      <c r="S551" s="18" t="s">
        <v>20</v>
      </c>
      <c r="T551" s="18" t="s">
        <v>21</v>
      </c>
      <c r="U551" s="18" t="s">
        <v>22</v>
      </c>
      <c r="V551" s="18" t="s">
        <v>23</v>
      </c>
      <c r="W551" s="18" t="s">
        <v>166</v>
      </c>
    </row>
    <row r="552" spans="1:23" s="33" customFormat="1" x14ac:dyDescent="0.3">
      <c r="A552" s="405"/>
      <c r="B552" s="63" t="s">
        <v>50</v>
      </c>
      <c r="C552" s="64"/>
      <c r="D552" s="31">
        <v>620</v>
      </c>
      <c r="E552" s="31">
        <v>620</v>
      </c>
      <c r="F552" s="31">
        <v>620</v>
      </c>
      <c r="G552" s="31">
        <v>620</v>
      </c>
      <c r="H552" s="31">
        <v>620</v>
      </c>
      <c r="I552" s="31">
        <v>620</v>
      </c>
      <c r="J552" s="31">
        <v>620</v>
      </c>
      <c r="K552" s="31">
        <v>620</v>
      </c>
      <c r="L552" s="31">
        <v>620</v>
      </c>
      <c r="M552" s="31">
        <v>620</v>
      </c>
      <c r="N552" s="31">
        <v>620</v>
      </c>
      <c r="O552" s="31">
        <v>620</v>
      </c>
      <c r="P552" s="31">
        <v>620</v>
      </c>
      <c r="Q552" s="31">
        <v>620</v>
      </c>
      <c r="R552" s="31">
        <v>620</v>
      </c>
      <c r="S552" s="31">
        <v>620</v>
      </c>
      <c r="T552" s="31">
        <v>620</v>
      </c>
      <c r="U552" s="31">
        <v>620</v>
      </c>
      <c r="V552" s="31">
        <v>620</v>
      </c>
      <c r="W552" s="31">
        <v>620</v>
      </c>
    </row>
    <row r="553" spans="1:23" ht="23" x14ac:dyDescent="0.35">
      <c r="B553" s="340" t="s">
        <v>51</v>
      </c>
      <c r="C553" s="341"/>
      <c r="D553" s="363"/>
      <c r="E553" s="363"/>
      <c r="F553" s="363"/>
      <c r="G553" s="363"/>
      <c r="H553" s="363"/>
      <c r="I553" s="363"/>
      <c r="J553" s="363"/>
      <c r="K553" s="363"/>
      <c r="L553" s="363"/>
      <c r="M553" s="363"/>
      <c r="N553" s="363"/>
      <c r="O553" s="363"/>
      <c r="P553" s="363"/>
      <c r="Q553" s="363"/>
      <c r="R553" s="363"/>
      <c r="S553" s="363"/>
      <c r="T553" s="363"/>
      <c r="U553" s="363"/>
      <c r="V553" s="363"/>
      <c r="W553" s="363"/>
    </row>
    <row r="554" spans="1:23" x14ac:dyDescent="0.3">
      <c r="B554" s="54"/>
      <c r="C554" s="55"/>
      <c r="D554" s="20">
        <f t="shared" ref="D554:V554" si="372">D552*(1-D553)</f>
        <v>620</v>
      </c>
      <c r="E554" s="20">
        <f t="shared" si="372"/>
        <v>620</v>
      </c>
      <c r="F554" s="20">
        <f t="shared" si="372"/>
        <v>620</v>
      </c>
      <c r="G554" s="20">
        <f t="shared" si="372"/>
        <v>620</v>
      </c>
      <c r="H554" s="20">
        <f t="shared" si="372"/>
        <v>620</v>
      </c>
      <c r="I554" s="20">
        <f t="shared" si="372"/>
        <v>620</v>
      </c>
      <c r="J554" s="20">
        <f t="shared" si="372"/>
        <v>620</v>
      </c>
      <c r="K554" s="20">
        <f t="shared" si="372"/>
        <v>620</v>
      </c>
      <c r="L554" s="20">
        <f t="shared" si="372"/>
        <v>620</v>
      </c>
      <c r="M554" s="20">
        <f t="shared" si="372"/>
        <v>620</v>
      </c>
      <c r="N554" s="20">
        <f t="shared" si="372"/>
        <v>620</v>
      </c>
      <c r="O554" s="20">
        <f t="shared" si="372"/>
        <v>620</v>
      </c>
      <c r="P554" s="20">
        <f t="shared" si="372"/>
        <v>620</v>
      </c>
      <c r="Q554" s="20">
        <f t="shared" si="372"/>
        <v>620</v>
      </c>
      <c r="R554" s="20">
        <f t="shared" si="372"/>
        <v>620</v>
      </c>
      <c r="S554" s="20">
        <f t="shared" si="372"/>
        <v>620</v>
      </c>
      <c r="T554" s="20">
        <f t="shared" si="372"/>
        <v>620</v>
      </c>
      <c r="U554" s="20">
        <f t="shared" si="372"/>
        <v>620</v>
      </c>
      <c r="V554" s="20">
        <f t="shared" si="372"/>
        <v>620</v>
      </c>
      <c r="W554" s="20">
        <f>W552*(1-W553)</f>
        <v>620</v>
      </c>
    </row>
    <row r="555" spans="1:23" x14ac:dyDescent="0.3">
      <c r="B555" s="54" t="s">
        <v>51</v>
      </c>
      <c r="C555" s="56">
        <v>0</v>
      </c>
      <c r="D555" s="20">
        <f>D554*$C555</f>
        <v>0</v>
      </c>
      <c r="E555" s="20">
        <f t="shared" ref="E555:V555" si="373">E554*$C555</f>
        <v>0</v>
      </c>
      <c r="F555" s="20">
        <f t="shared" si="373"/>
        <v>0</v>
      </c>
      <c r="G555" s="20">
        <f t="shared" si="373"/>
        <v>0</v>
      </c>
      <c r="H555" s="20">
        <f t="shared" si="373"/>
        <v>0</v>
      </c>
      <c r="I555" s="20">
        <f t="shared" si="373"/>
        <v>0</v>
      </c>
      <c r="J555" s="20">
        <f t="shared" si="373"/>
        <v>0</v>
      </c>
      <c r="K555" s="20">
        <f t="shared" si="373"/>
        <v>0</v>
      </c>
      <c r="L555" s="20">
        <f t="shared" si="373"/>
        <v>0</v>
      </c>
      <c r="M555" s="20">
        <f t="shared" si="373"/>
        <v>0</v>
      </c>
      <c r="N555" s="20">
        <f t="shared" si="373"/>
        <v>0</v>
      </c>
      <c r="O555" s="20">
        <f t="shared" si="373"/>
        <v>0</v>
      </c>
      <c r="P555" s="20">
        <f t="shared" si="373"/>
        <v>0</v>
      </c>
      <c r="Q555" s="20">
        <f t="shared" si="373"/>
        <v>0</v>
      </c>
      <c r="R555" s="20">
        <f t="shared" si="373"/>
        <v>0</v>
      </c>
      <c r="S555" s="20">
        <f t="shared" si="373"/>
        <v>0</v>
      </c>
      <c r="T555" s="20">
        <f t="shared" si="373"/>
        <v>0</v>
      </c>
      <c r="U555" s="20">
        <f t="shared" si="373"/>
        <v>0</v>
      </c>
      <c r="V555" s="20">
        <f t="shared" si="373"/>
        <v>0</v>
      </c>
      <c r="W555" s="20">
        <f>W554*$C555</f>
        <v>0</v>
      </c>
    </row>
    <row r="556" spans="1:23" x14ac:dyDescent="0.3">
      <c r="B556" s="54" t="s">
        <v>67</v>
      </c>
      <c r="C556" s="55"/>
      <c r="D556" s="20">
        <f>D554-D555</f>
        <v>620</v>
      </c>
      <c r="E556" s="20">
        <f t="shared" ref="E556:V556" si="374">E554-E555</f>
        <v>620</v>
      </c>
      <c r="F556" s="20">
        <f t="shared" si="374"/>
        <v>620</v>
      </c>
      <c r="G556" s="20">
        <f t="shared" si="374"/>
        <v>620</v>
      </c>
      <c r="H556" s="20">
        <f t="shared" si="374"/>
        <v>620</v>
      </c>
      <c r="I556" s="20">
        <f t="shared" si="374"/>
        <v>620</v>
      </c>
      <c r="J556" s="20">
        <f t="shared" si="374"/>
        <v>620</v>
      </c>
      <c r="K556" s="20">
        <f t="shared" si="374"/>
        <v>620</v>
      </c>
      <c r="L556" s="20">
        <f t="shared" si="374"/>
        <v>620</v>
      </c>
      <c r="M556" s="20">
        <f t="shared" si="374"/>
        <v>620</v>
      </c>
      <c r="N556" s="20">
        <f t="shared" si="374"/>
        <v>620</v>
      </c>
      <c r="O556" s="20">
        <f t="shared" si="374"/>
        <v>620</v>
      </c>
      <c r="P556" s="20">
        <f t="shared" si="374"/>
        <v>620</v>
      </c>
      <c r="Q556" s="20">
        <f t="shared" si="374"/>
        <v>620</v>
      </c>
      <c r="R556" s="20">
        <f t="shared" si="374"/>
        <v>620</v>
      </c>
      <c r="S556" s="20">
        <f t="shared" si="374"/>
        <v>620</v>
      </c>
      <c r="T556" s="20">
        <f t="shared" si="374"/>
        <v>620</v>
      </c>
      <c r="U556" s="20">
        <f t="shared" si="374"/>
        <v>620</v>
      </c>
      <c r="V556" s="20">
        <f t="shared" si="374"/>
        <v>620</v>
      </c>
      <c r="W556" s="20">
        <f>W554-W555</f>
        <v>620</v>
      </c>
    </row>
    <row r="557" spans="1:23" x14ac:dyDescent="0.3">
      <c r="B557" s="54" t="s">
        <v>66</v>
      </c>
      <c r="C557" s="56">
        <v>7.0000000000000007E-2</v>
      </c>
      <c r="D557" s="20">
        <f>D556*$C557</f>
        <v>43.400000000000006</v>
      </c>
      <c r="E557" s="20">
        <f t="shared" ref="E557:V557" si="375">E556*$C557</f>
        <v>43.400000000000006</v>
      </c>
      <c r="F557" s="20">
        <f t="shared" si="375"/>
        <v>43.400000000000006</v>
      </c>
      <c r="G557" s="20">
        <f t="shared" si="375"/>
        <v>43.400000000000006</v>
      </c>
      <c r="H557" s="20">
        <f t="shared" si="375"/>
        <v>43.400000000000006</v>
      </c>
      <c r="I557" s="20">
        <f t="shared" si="375"/>
        <v>43.400000000000006</v>
      </c>
      <c r="J557" s="20">
        <f t="shared" si="375"/>
        <v>43.400000000000006</v>
      </c>
      <c r="K557" s="20">
        <f t="shared" si="375"/>
        <v>43.400000000000006</v>
      </c>
      <c r="L557" s="20">
        <f t="shared" si="375"/>
        <v>43.400000000000006</v>
      </c>
      <c r="M557" s="20">
        <f t="shared" si="375"/>
        <v>43.400000000000006</v>
      </c>
      <c r="N557" s="20">
        <f t="shared" si="375"/>
        <v>43.400000000000006</v>
      </c>
      <c r="O557" s="20">
        <f t="shared" si="375"/>
        <v>43.400000000000006</v>
      </c>
      <c r="P557" s="20">
        <f t="shared" si="375"/>
        <v>43.400000000000006</v>
      </c>
      <c r="Q557" s="20">
        <f t="shared" si="375"/>
        <v>43.400000000000006</v>
      </c>
      <c r="R557" s="20">
        <f t="shared" si="375"/>
        <v>43.400000000000006</v>
      </c>
      <c r="S557" s="20">
        <f t="shared" si="375"/>
        <v>43.400000000000006</v>
      </c>
      <c r="T557" s="20">
        <f t="shared" si="375"/>
        <v>43.400000000000006</v>
      </c>
      <c r="U557" s="20">
        <f t="shared" si="375"/>
        <v>43.400000000000006</v>
      </c>
      <c r="V557" s="20">
        <f t="shared" si="375"/>
        <v>43.400000000000006</v>
      </c>
      <c r="W557" s="20">
        <f>W556*$C557</f>
        <v>43.400000000000006</v>
      </c>
    </row>
    <row r="558" spans="1:23" x14ac:dyDescent="0.3">
      <c r="B558" s="54" t="s">
        <v>68</v>
      </c>
      <c r="C558" s="55"/>
      <c r="D558" s="20">
        <f>D556+D557</f>
        <v>663.4</v>
      </c>
      <c r="E558" s="20">
        <f t="shared" ref="E558:V558" si="376">E556+E557</f>
        <v>663.4</v>
      </c>
      <c r="F558" s="20">
        <f t="shared" si="376"/>
        <v>663.4</v>
      </c>
      <c r="G558" s="20">
        <f t="shared" si="376"/>
        <v>663.4</v>
      </c>
      <c r="H558" s="20">
        <f t="shared" si="376"/>
        <v>663.4</v>
      </c>
      <c r="I558" s="20">
        <f t="shared" si="376"/>
        <v>663.4</v>
      </c>
      <c r="J558" s="20">
        <f t="shared" si="376"/>
        <v>663.4</v>
      </c>
      <c r="K558" s="20">
        <f t="shared" si="376"/>
        <v>663.4</v>
      </c>
      <c r="L558" s="20">
        <f t="shared" si="376"/>
        <v>663.4</v>
      </c>
      <c r="M558" s="20">
        <f t="shared" si="376"/>
        <v>663.4</v>
      </c>
      <c r="N558" s="20">
        <f t="shared" si="376"/>
        <v>663.4</v>
      </c>
      <c r="O558" s="20">
        <f t="shared" si="376"/>
        <v>663.4</v>
      </c>
      <c r="P558" s="20">
        <f t="shared" si="376"/>
        <v>663.4</v>
      </c>
      <c r="Q558" s="20">
        <f t="shared" si="376"/>
        <v>663.4</v>
      </c>
      <c r="R558" s="20">
        <f t="shared" si="376"/>
        <v>663.4</v>
      </c>
      <c r="S558" s="20">
        <f t="shared" si="376"/>
        <v>663.4</v>
      </c>
      <c r="T558" s="20">
        <f t="shared" si="376"/>
        <v>663.4</v>
      </c>
      <c r="U558" s="20">
        <f t="shared" si="376"/>
        <v>663.4</v>
      </c>
      <c r="V558" s="20">
        <f t="shared" si="376"/>
        <v>663.4</v>
      </c>
      <c r="W558" s="20">
        <f>W556+W557</f>
        <v>663.4</v>
      </c>
    </row>
    <row r="559" spans="1:23" ht="23" x14ac:dyDescent="0.35">
      <c r="B559" s="357" t="s">
        <v>52</v>
      </c>
      <c r="C559" s="358"/>
      <c r="D559" s="381"/>
      <c r="E559" s="381"/>
      <c r="F559" s="381"/>
      <c r="G559" s="381"/>
      <c r="H559" s="381"/>
      <c r="I559" s="381"/>
      <c r="J559" s="381"/>
      <c r="K559" s="381"/>
      <c r="L559" s="381"/>
      <c r="M559" s="381"/>
      <c r="N559" s="381"/>
      <c r="O559" s="381"/>
      <c r="P559" s="381"/>
      <c r="Q559" s="381"/>
      <c r="R559" s="381"/>
      <c r="S559" s="381"/>
      <c r="T559" s="381"/>
      <c r="U559" s="381"/>
      <c r="V559" s="381"/>
      <c r="W559" s="381"/>
    </row>
    <row r="560" spans="1:23" x14ac:dyDescent="0.3">
      <c r="B560" s="57" t="s">
        <v>53</v>
      </c>
      <c r="C560" s="58"/>
      <c r="D560" s="25">
        <f>SUM(D558:D559)</f>
        <v>663.4</v>
      </c>
      <c r="E560" s="26">
        <f t="shared" ref="E560:V560" si="377">SUM(E558:E559)</f>
        <v>663.4</v>
      </c>
      <c r="F560" s="26">
        <f t="shared" si="377"/>
        <v>663.4</v>
      </c>
      <c r="G560" s="26">
        <f t="shared" si="377"/>
        <v>663.4</v>
      </c>
      <c r="H560" s="26">
        <f t="shared" si="377"/>
        <v>663.4</v>
      </c>
      <c r="I560" s="26">
        <f t="shared" si="377"/>
        <v>663.4</v>
      </c>
      <c r="J560" s="26">
        <f t="shared" si="377"/>
        <v>663.4</v>
      </c>
      <c r="K560" s="26">
        <f t="shared" si="377"/>
        <v>663.4</v>
      </c>
      <c r="L560" s="26">
        <f t="shared" si="377"/>
        <v>663.4</v>
      </c>
      <c r="M560" s="26">
        <f t="shared" si="377"/>
        <v>663.4</v>
      </c>
      <c r="N560" s="26">
        <f t="shared" si="377"/>
        <v>663.4</v>
      </c>
      <c r="O560" s="26">
        <f t="shared" si="377"/>
        <v>663.4</v>
      </c>
      <c r="P560" s="26">
        <f t="shared" si="377"/>
        <v>663.4</v>
      </c>
      <c r="Q560" s="26">
        <f t="shared" si="377"/>
        <v>663.4</v>
      </c>
      <c r="R560" s="26">
        <f t="shared" si="377"/>
        <v>663.4</v>
      </c>
      <c r="S560" s="26">
        <f t="shared" si="377"/>
        <v>663.4</v>
      </c>
      <c r="T560" s="26">
        <f t="shared" si="377"/>
        <v>663.4</v>
      </c>
      <c r="U560" s="26">
        <f t="shared" si="377"/>
        <v>663.4</v>
      </c>
      <c r="V560" s="26">
        <f t="shared" si="377"/>
        <v>663.4</v>
      </c>
      <c r="W560" s="26">
        <f>SUM(W558:W559)</f>
        <v>663.4</v>
      </c>
    </row>
    <row r="561" spans="1:23" x14ac:dyDescent="0.3">
      <c r="B561" s="331" t="s">
        <v>54</v>
      </c>
      <c r="C561" s="332"/>
      <c r="D561" s="333"/>
      <c r="E561" s="333"/>
      <c r="F561" s="333"/>
      <c r="G561" s="333"/>
      <c r="H561" s="333"/>
      <c r="I561" s="333"/>
      <c r="J561" s="333"/>
      <c r="K561" s="333"/>
      <c r="L561" s="333"/>
      <c r="M561" s="333"/>
      <c r="N561" s="333"/>
      <c r="O561" s="333"/>
      <c r="P561" s="333"/>
      <c r="Q561" s="333"/>
      <c r="R561" s="333"/>
      <c r="S561" s="333"/>
      <c r="T561" s="333"/>
      <c r="U561" s="333"/>
      <c r="V561" s="333"/>
      <c r="W561" s="333"/>
    </row>
    <row r="562" spans="1:23" ht="23" x14ac:dyDescent="0.35">
      <c r="B562" s="353" t="s">
        <v>55</v>
      </c>
      <c r="C562" s="354"/>
      <c r="D562" s="355">
        <f>D560</f>
        <v>663.4</v>
      </c>
      <c r="E562" s="356">
        <f t="shared" ref="E562:W562" si="378">E560</f>
        <v>663.4</v>
      </c>
      <c r="F562" s="356">
        <f t="shared" si="378"/>
        <v>663.4</v>
      </c>
      <c r="G562" s="356">
        <f t="shared" si="378"/>
        <v>663.4</v>
      </c>
      <c r="H562" s="356">
        <f t="shared" si="378"/>
        <v>663.4</v>
      </c>
      <c r="I562" s="356">
        <f t="shared" si="378"/>
        <v>663.4</v>
      </c>
      <c r="J562" s="356">
        <f t="shared" si="378"/>
        <v>663.4</v>
      </c>
      <c r="K562" s="356">
        <f t="shared" si="378"/>
        <v>663.4</v>
      </c>
      <c r="L562" s="356">
        <f t="shared" si="378"/>
        <v>663.4</v>
      </c>
      <c r="M562" s="356">
        <f t="shared" si="378"/>
        <v>663.4</v>
      </c>
      <c r="N562" s="356">
        <f t="shared" si="378"/>
        <v>663.4</v>
      </c>
      <c r="O562" s="356">
        <f t="shared" si="378"/>
        <v>663.4</v>
      </c>
      <c r="P562" s="356">
        <f t="shared" si="378"/>
        <v>663.4</v>
      </c>
      <c r="Q562" s="356">
        <f t="shared" si="378"/>
        <v>663.4</v>
      </c>
      <c r="R562" s="356">
        <f t="shared" si="378"/>
        <v>663.4</v>
      </c>
      <c r="S562" s="356">
        <f t="shared" si="378"/>
        <v>663.4</v>
      </c>
      <c r="T562" s="356">
        <f t="shared" si="378"/>
        <v>663.4</v>
      </c>
      <c r="U562" s="356">
        <f t="shared" si="378"/>
        <v>663.4</v>
      </c>
      <c r="V562" s="356">
        <f t="shared" si="378"/>
        <v>663.4</v>
      </c>
      <c r="W562" s="356">
        <f t="shared" si="378"/>
        <v>663.4</v>
      </c>
    </row>
    <row r="563" spans="1:23" x14ac:dyDescent="0.3">
      <c r="B563" s="171" t="s">
        <v>194</v>
      </c>
      <c r="C563" s="55"/>
      <c r="D563" s="20">
        <v>385</v>
      </c>
      <c r="E563" s="21">
        <v>385</v>
      </c>
      <c r="F563" s="21">
        <v>385</v>
      </c>
      <c r="G563" s="21">
        <v>385</v>
      </c>
      <c r="H563" s="21">
        <v>385</v>
      </c>
      <c r="I563" s="21">
        <v>353</v>
      </c>
      <c r="J563" s="21">
        <v>353</v>
      </c>
      <c r="K563" s="21">
        <v>353</v>
      </c>
      <c r="L563" s="21">
        <v>353</v>
      </c>
      <c r="M563" s="21">
        <v>353</v>
      </c>
      <c r="N563" s="21">
        <v>388</v>
      </c>
      <c r="O563" s="21">
        <v>388</v>
      </c>
      <c r="P563" s="21">
        <v>388</v>
      </c>
      <c r="Q563" s="21">
        <v>388</v>
      </c>
      <c r="R563" s="21">
        <v>388</v>
      </c>
      <c r="S563" s="21">
        <v>388</v>
      </c>
      <c r="T563" s="21">
        <v>385</v>
      </c>
      <c r="U563" s="21">
        <v>385</v>
      </c>
      <c r="V563" s="21">
        <v>384</v>
      </c>
      <c r="W563" s="21">
        <v>388</v>
      </c>
    </row>
    <row r="564" spans="1:23" s="51" customFormat="1" x14ac:dyDescent="0.3">
      <c r="A564" s="407"/>
      <c r="B564" s="61" t="s">
        <v>195</v>
      </c>
      <c r="C564" s="62"/>
      <c r="D564" s="28">
        <v>387</v>
      </c>
      <c r="E564" s="28">
        <v>387</v>
      </c>
      <c r="F564" s="28">
        <v>387</v>
      </c>
      <c r="G564" s="28">
        <v>387</v>
      </c>
      <c r="H564" s="28">
        <v>387</v>
      </c>
      <c r="I564" s="28">
        <v>355</v>
      </c>
      <c r="J564" s="28">
        <v>355</v>
      </c>
      <c r="K564" s="28">
        <v>355</v>
      </c>
      <c r="L564" s="28">
        <v>355</v>
      </c>
      <c r="M564" s="28">
        <v>355</v>
      </c>
      <c r="N564" s="28">
        <v>390</v>
      </c>
      <c r="O564" s="28">
        <v>390</v>
      </c>
      <c r="P564" s="28">
        <v>390</v>
      </c>
      <c r="Q564" s="28">
        <v>390</v>
      </c>
      <c r="R564" s="28">
        <v>390</v>
      </c>
      <c r="S564" s="28">
        <v>390</v>
      </c>
      <c r="T564" s="28">
        <v>387</v>
      </c>
      <c r="U564" s="28">
        <v>387</v>
      </c>
      <c r="V564" s="28">
        <v>386</v>
      </c>
      <c r="W564" s="28">
        <v>390</v>
      </c>
    </row>
    <row r="565" spans="1:23" s="51" customFormat="1" x14ac:dyDescent="0.3">
      <c r="A565" s="407"/>
      <c r="B565" s="61" t="s">
        <v>196</v>
      </c>
      <c r="C565" s="62"/>
      <c r="D565" s="28">
        <v>389</v>
      </c>
      <c r="E565" s="28">
        <v>389</v>
      </c>
      <c r="F565" s="28">
        <v>389</v>
      </c>
      <c r="G565" s="28">
        <v>389</v>
      </c>
      <c r="H565" s="28">
        <v>389</v>
      </c>
      <c r="I565" s="28">
        <v>357</v>
      </c>
      <c r="J565" s="28">
        <v>357</v>
      </c>
      <c r="K565" s="28">
        <v>357</v>
      </c>
      <c r="L565" s="28">
        <v>357</v>
      </c>
      <c r="M565" s="28">
        <v>357</v>
      </c>
      <c r="N565" s="28">
        <v>392</v>
      </c>
      <c r="O565" s="28">
        <v>392</v>
      </c>
      <c r="P565" s="28">
        <v>392</v>
      </c>
      <c r="Q565" s="28">
        <v>392</v>
      </c>
      <c r="R565" s="28">
        <v>392</v>
      </c>
      <c r="S565" s="28">
        <v>392</v>
      </c>
      <c r="T565" s="28">
        <v>389</v>
      </c>
      <c r="U565" s="28">
        <v>389</v>
      </c>
      <c r="V565" s="28">
        <v>388</v>
      </c>
      <c r="W565" s="28">
        <v>392</v>
      </c>
    </row>
    <row r="566" spans="1:23" s="51" customFormat="1" x14ac:dyDescent="0.3">
      <c r="A566" s="407"/>
      <c r="B566" s="61" t="s">
        <v>197</v>
      </c>
      <c r="C566" s="62"/>
      <c r="D566" s="28">
        <v>391</v>
      </c>
      <c r="E566" s="28">
        <v>391</v>
      </c>
      <c r="F566" s="28">
        <v>391</v>
      </c>
      <c r="G566" s="28">
        <v>391</v>
      </c>
      <c r="H566" s="28">
        <v>391</v>
      </c>
      <c r="I566" s="28">
        <v>359</v>
      </c>
      <c r="J566" s="28">
        <v>359</v>
      </c>
      <c r="K566" s="28">
        <v>359</v>
      </c>
      <c r="L566" s="28">
        <v>359</v>
      </c>
      <c r="M566" s="28">
        <v>359</v>
      </c>
      <c r="N566" s="28">
        <v>394</v>
      </c>
      <c r="O566" s="28">
        <v>394</v>
      </c>
      <c r="P566" s="28">
        <v>394</v>
      </c>
      <c r="Q566" s="28">
        <v>394</v>
      </c>
      <c r="R566" s="28">
        <v>394</v>
      </c>
      <c r="S566" s="28">
        <v>394</v>
      </c>
      <c r="T566" s="28">
        <v>391</v>
      </c>
      <c r="U566" s="28">
        <v>391</v>
      </c>
      <c r="V566" s="28">
        <v>390</v>
      </c>
      <c r="W566" s="28">
        <v>394</v>
      </c>
    </row>
    <row r="567" spans="1:23" s="30" customFormat="1" x14ac:dyDescent="0.3">
      <c r="A567" s="404"/>
      <c r="B567" s="63" t="s">
        <v>198</v>
      </c>
      <c r="C567" s="62"/>
      <c r="D567" s="31">
        <f t="shared" ref="D567:E570" si="379">+D563-D$562</f>
        <v>-278.39999999999998</v>
      </c>
      <c r="E567" s="31">
        <f t="shared" si="379"/>
        <v>-278.39999999999998</v>
      </c>
      <c r="F567" s="31">
        <f t="shared" ref="F567:W567" si="380">+F563-F$562</f>
        <v>-278.39999999999998</v>
      </c>
      <c r="G567" s="31">
        <f t="shared" si="380"/>
        <v>-278.39999999999998</v>
      </c>
      <c r="H567" s="31">
        <f t="shared" si="380"/>
        <v>-278.39999999999998</v>
      </c>
      <c r="I567" s="31">
        <f t="shared" si="380"/>
        <v>-310.39999999999998</v>
      </c>
      <c r="J567" s="31">
        <f t="shared" si="380"/>
        <v>-310.39999999999998</v>
      </c>
      <c r="K567" s="31">
        <f t="shared" si="380"/>
        <v>-310.39999999999998</v>
      </c>
      <c r="L567" s="31">
        <f t="shared" si="380"/>
        <v>-310.39999999999998</v>
      </c>
      <c r="M567" s="31">
        <f t="shared" si="380"/>
        <v>-310.39999999999998</v>
      </c>
      <c r="N567" s="31">
        <f t="shared" si="380"/>
        <v>-275.39999999999998</v>
      </c>
      <c r="O567" s="31">
        <f t="shared" si="380"/>
        <v>-275.39999999999998</v>
      </c>
      <c r="P567" s="31">
        <f t="shared" si="380"/>
        <v>-275.39999999999998</v>
      </c>
      <c r="Q567" s="31">
        <f t="shared" si="380"/>
        <v>-275.39999999999998</v>
      </c>
      <c r="R567" s="31">
        <f t="shared" si="380"/>
        <v>-275.39999999999998</v>
      </c>
      <c r="S567" s="31">
        <f t="shared" si="380"/>
        <v>-275.39999999999998</v>
      </c>
      <c r="T567" s="31">
        <f t="shared" si="380"/>
        <v>-278.39999999999998</v>
      </c>
      <c r="U567" s="31">
        <f t="shared" si="380"/>
        <v>-278.39999999999998</v>
      </c>
      <c r="V567" s="31">
        <f t="shared" si="380"/>
        <v>-279.39999999999998</v>
      </c>
      <c r="W567" s="31">
        <f t="shared" si="380"/>
        <v>-275.39999999999998</v>
      </c>
    </row>
    <row r="568" spans="1:23" s="33" customFormat="1" x14ac:dyDescent="0.3">
      <c r="A568" s="405"/>
      <c r="B568" s="63" t="s">
        <v>199</v>
      </c>
      <c r="C568" s="64"/>
      <c r="D568" s="31">
        <f t="shared" si="379"/>
        <v>-276.39999999999998</v>
      </c>
      <c r="E568" s="31">
        <f t="shared" si="379"/>
        <v>-276.39999999999998</v>
      </c>
      <c r="F568" s="31">
        <f t="shared" ref="F568:W568" si="381">+F564-F$562</f>
        <v>-276.39999999999998</v>
      </c>
      <c r="G568" s="31">
        <f t="shared" si="381"/>
        <v>-276.39999999999998</v>
      </c>
      <c r="H568" s="31">
        <f t="shared" si="381"/>
        <v>-276.39999999999998</v>
      </c>
      <c r="I568" s="31">
        <f t="shared" si="381"/>
        <v>-308.39999999999998</v>
      </c>
      <c r="J568" s="31">
        <f t="shared" si="381"/>
        <v>-308.39999999999998</v>
      </c>
      <c r="K568" s="31">
        <f t="shared" si="381"/>
        <v>-308.39999999999998</v>
      </c>
      <c r="L568" s="31">
        <f t="shared" si="381"/>
        <v>-308.39999999999998</v>
      </c>
      <c r="M568" s="31">
        <f t="shared" si="381"/>
        <v>-308.39999999999998</v>
      </c>
      <c r="N568" s="31">
        <f t="shared" si="381"/>
        <v>-273.39999999999998</v>
      </c>
      <c r="O568" s="31">
        <f t="shared" si="381"/>
        <v>-273.39999999999998</v>
      </c>
      <c r="P568" s="31">
        <f t="shared" si="381"/>
        <v>-273.39999999999998</v>
      </c>
      <c r="Q568" s="31">
        <f t="shared" si="381"/>
        <v>-273.39999999999998</v>
      </c>
      <c r="R568" s="31">
        <f t="shared" si="381"/>
        <v>-273.39999999999998</v>
      </c>
      <c r="S568" s="31">
        <f t="shared" si="381"/>
        <v>-273.39999999999998</v>
      </c>
      <c r="T568" s="31">
        <f t="shared" si="381"/>
        <v>-276.39999999999998</v>
      </c>
      <c r="U568" s="31">
        <f t="shared" si="381"/>
        <v>-276.39999999999998</v>
      </c>
      <c r="V568" s="31">
        <f t="shared" si="381"/>
        <v>-277.39999999999998</v>
      </c>
      <c r="W568" s="31">
        <f t="shared" si="381"/>
        <v>-273.39999999999998</v>
      </c>
    </row>
    <row r="569" spans="1:23" s="33" customFormat="1" x14ac:dyDescent="0.3">
      <c r="A569" s="405"/>
      <c r="B569" s="63" t="s">
        <v>200</v>
      </c>
      <c r="C569" s="64"/>
      <c r="D569" s="31">
        <f t="shared" si="379"/>
        <v>-274.39999999999998</v>
      </c>
      <c r="E569" s="31">
        <f t="shared" si="379"/>
        <v>-274.39999999999998</v>
      </c>
      <c r="F569" s="31">
        <f t="shared" ref="F569:W569" si="382">+F565-F$562</f>
        <v>-274.39999999999998</v>
      </c>
      <c r="G569" s="31">
        <f t="shared" si="382"/>
        <v>-274.39999999999998</v>
      </c>
      <c r="H569" s="31">
        <f t="shared" si="382"/>
        <v>-274.39999999999998</v>
      </c>
      <c r="I569" s="31">
        <f t="shared" si="382"/>
        <v>-306.39999999999998</v>
      </c>
      <c r="J569" s="31">
        <f t="shared" si="382"/>
        <v>-306.39999999999998</v>
      </c>
      <c r="K569" s="31">
        <f t="shared" si="382"/>
        <v>-306.39999999999998</v>
      </c>
      <c r="L569" s="31">
        <f t="shared" si="382"/>
        <v>-306.39999999999998</v>
      </c>
      <c r="M569" s="31">
        <f t="shared" si="382"/>
        <v>-306.39999999999998</v>
      </c>
      <c r="N569" s="31">
        <f t="shared" si="382"/>
        <v>-271.39999999999998</v>
      </c>
      <c r="O569" s="31">
        <f t="shared" si="382"/>
        <v>-271.39999999999998</v>
      </c>
      <c r="P569" s="31">
        <f t="shared" si="382"/>
        <v>-271.39999999999998</v>
      </c>
      <c r="Q569" s="31">
        <f t="shared" si="382"/>
        <v>-271.39999999999998</v>
      </c>
      <c r="R569" s="31">
        <f t="shared" si="382"/>
        <v>-271.39999999999998</v>
      </c>
      <c r="S569" s="31">
        <f t="shared" si="382"/>
        <v>-271.39999999999998</v>
      </c>
      <c r="T569" s="31">
        <f t="shared" si="382"/>
        <v>-274.39999999999998</v>
      </c>
      <c r="U569" s="31">
        <f t="shared" si="382"/>
        <v>-274.39999999999998</v>
      </c>
      <c r="V569" s="31">
        <f t="shared" si="382"/>
        <v>-275.39999999999998</v>
      </c>
      <c r="W569" s="31">
        <f t="shared" si="382"/>
        <v>-271.39999999999998</v>
      </c>
    </row>
    <row r="570" spans="1:23" s="33" customFormat="1" x14ac:dyDescent="0.3">
      <c r="A570" s="405"/>
      <c r="B570" s="63" t="s">
        <v>201</v>
      </c>
      <c r="C570" s="64"/>
      <c r="D570" s="31">
        <f t="shared" si="379"/>
        <v>-272.39999999999998</v>
      </c>
      <c r="E570" s="31">
        <f t="shared" si="379"/>
        <v>-272.39999999999998</v>
      </c>
      <c r="F570" s="31">
        <f t="shared" ref="F570:W570" si="383">+F566-F$562</f>
        <v>-272.39999999999998</v>
      </c>
      <c r="G570" s="31">
        <f t="shared" si="383"/>
        <v>-272.39999999999998</v>
      </c>
      <c r="H570" s="31">
        <f t="shared" si="383"/>
        <v>-272.39999999999998</v>
      </c>
      <c r="I570" s="31">
        <f t="shared" si="383"/>
        <v>-304.39999999999998</v>
      </c>
      <c r="J570" s="31">
        <f t="shared" si="383"/>
        <v>-304.39999999999998</v>
      </c>
      <c r="K570" s="31">
        <f t="shared" si="383"/>
        <v>-304.39999999999998</v>
      </c>
      <c r="L570" s="31">
        <f t="shared" si="383"/>
        <v>-304.39999999999998</v>
      </c>
      <c r="M570" s="31">
        <f t="shared" si="383"/>
        <v>-304.39999999999998</v>
      </c>
      <c r="N570" s="31">
        <f t="shared" si="383"/>
        <v>-269.39999999999998</v>
      </c>
      <c r="O570" s="31">
        <f t="shared" si="383"/>
        <v>-269.39999999999998</v>
      </c>
      <c r="P570" s="31">
        <f t="shared" si="383"/>
        <v>-269.39999999999998</v>
      </c>
      <c r="Q570" s="31">
        <f t="shared" si="383"/>
        <v>-269.39999999999998</v>
      </c>
      <c r="R570" s="31">
        <f t="shared" si="383"/>
        <v>-269.39999999999998</v>
      </c>
      <c r="S570" s="31">
        <f t="shared" si="383"/>
        <v>-269.39999999999998</v>
      </c>
      <c r="T570" s="31">
        <f t="shared" si="383"/>
        <v>-272.39999999999998</v>
      </c>
      <c r="U570" s="31">
        <f t="shared" si="383"/>
        <v>-272.39999999999998</v>
      </c>
      <c r="V570" s="31">
        <f t="shared" si="383"/>
        <v>-273.39999999999998</v>
      </c>
      <c r="W570" s="31">
        <f t="shared" si="383"/>
        <v>-269.39999999999998</v>
      </c>
    </row>
    <row r="571" spans="1:23" x14ac:dyDescent="0.3">
      <c r="B571" s="97" t="s">
        <v>202</v>
      </c>
      <c r="C571" s="98"/>
      <c r="D571" s="100">
        <f t="shared" ref="D571:E574" si="384">D567/D563</f>
        <v>-0.72311688311688305</v>
      </c>
      <c r="E571" s="100">
        <f t="shared" si="384"/>
        <v>-0.72311688311688305</v>
      </c>
      <c r="F571" s="100">
        <f t="shared" ref="F571:W571" si="385">F567/F563</f>
        <v>-0.72311688311688305</v>
      </c>
      <c r="G571" s="100">
        <f t="shared" si="385"/>
        <v>-0.72311688311688305</v>
      </c>
      <c r="H571" s="100">
        <f t="shared" si="385"/>
        <v>-0.72311688311688305</v>
      </c>
      <c r="I571" s="100">
        <f t="shared" si="385"/>
        <v>-0.87932011331444748</v>
      </c>
      <c r="J571" s="100">
        <f t="shared" si="385"/>
        <v>-0.87932011331444748</v>
      </c>
      <c r="K571" s="100">
        <f t="shared" si="385"/>
        <v>-0.87932011331444748</v>
      </c>
      <c r="L571" s="100">
        <f t="shared" si="385"/>
        <v>-0.87932011331444748</v>
      </c>
      <c r="M571" s="100">
        <f t="shared" si="385"/>
        <v>-0.87932011331444748</v>
      </c>
      <c r="N571" s="100">
        <f t="shared" si="385"/>
        <v>-0.70979381443298961</v>
      </c>
      <c r="O571" s="100">
        <f t="shared" si="385"/>
        <v>-0.70979381443298961</v>
      </c>
      <c r="P571" s="100">
        <f t="shared" si="385"/>
        <v>-0.70979381443298961</v>
      </c>
      <c r="Q571" s="100">
        <f t="shared" si="385"/>
        <v>-0.70979381443298961</v>
      </c>
      <c r="R571" s="100">
        <f t="shared" si="385"/>
        <v>-0.70979381443298961</v>
      </c>
      <c r="S571" s="100">
        <f t="shared" si="385"/>
        <v>-0.70979381443298961</v>
      </c>
      <c r="T571" s="100">
        <f t="shared" si="385"/>
        <v>-0.72311688311688305</v>
      </c>
      <c r="U571" s="100">
        <f t="shared" si="385"/>
        <v>-0.72311688311688305</v>
      </c>
      <c r="V571" s="100">
        <f t="shared" si="385"/>
        <v>-0.72760416666666661</v>
      </c>
      <c r="W571" s="100">
        <f t="shared" si="385"/>
        <v>-0.70979381443298961</v>
      </c>
    </row>
    <row r="572" spans="1:23" s="36" customFormat="1" x14ac:dyDescent="0.3">
      <c r="A572" s="406"/>
      <c r="B572" s="97" t="s">
        <v>203</v>
      </c>
      <c r="C572" s="98"/>
      <c r="D572" s="100">
        <f t="shared" si="384"/>
        <v>-0.7142118863049095</v>
      </c>
      <c r="E572" s="100">
        <f t="shared" si="384"/>
        <v>-0.7142118863049095</v>
      </c>
      <c r="F572" s="100">
        <f t="shared" ref="F572:W572" si="386">F568/F564</f>
        <v>-0.7142118863049095</v>
      </c>
      <c r="G572" s="100">
        <f t="shared" si="386"/>
        <v>-0.7142118863049095</v>
      </c>
      <c r="H572" s="100">
        <f t="shared" si="386"/>
        <v>-0.7142118863049095</v>
      </c>
      <c r="I572" s="100">
        <f t="shared" si="386"/>
        <v>-0.86873239436619709</v>
      </c>
      <c r="J572" s="100">
        <f t="shared" si="386"/>
        <v>-0.86873239436619709</v>
      </c>
      <c r="K572" s="100">
        <f t="shared" si="386"/>
        <v>-0.86873239436619709</v>
      </c>
      <c r="L572" s="100">
        <f t="shared" si="386"/>
        <v>-0.86873239436619709</v>
      </c>
      <c r="M572" s="100">
        <f t="shared" si="386"/>
        <v>-0.86873239436619709</v>
      </c>
      <c r="N572" s="100">
        <f t="shared" si="386"/>
        <v>-0.70102564102564102</v>
      </c>
      <c r="O572" s="100">
        <f t="shared" si="386"/>
        <v>-0.70102564102564102</v>
      </c>
      <c r="P572" s="100">
        <f t="shared" si="386"/>
        <v>-0.70102564102564102</v>
      </c>
      <c r="Q572" s="100">
        <f t="shared" si="386"/>
        <v>-0.70102564102564102</v>
      </c>
      <c r="R572" s="100">
        <f t="shared" si="386"/>
        <v>-0.70102564102564102</v>
      </c>
      <c r="S572" s="100">
        <f t="shared" si="386"/>
        <v>-0.70102564102564102</v>
      </c>
      <c r="T572" s="100">
        <f t="shared" si="386"/>
        <v>-0.7142118863049095</v>
      </c>
      <c r="U572" s="100">
        <f t="shared" si="386"/>
        <v>-0.7142118863049095</v>
      </c>
      <c r="V572" s="100">
        <f t="shared" si="386"/>
        <v>-0.71865284974093258</v>
      </c>
      <c r="W572" s="100">
        <f t="shared" si="386"/>
        <v>-0.70102564102564102</v>
      </c>
    </row>
    <row r="573" spans="1:23" s="36" customFormat="1" x14ac:dyDescent="0.3">
      <c r="A573" s="406"/>
      <c r="B573" s="97" t="s">
        <v>204</v>
      </c>
      <c r="C573" s="98"/>
      <c r="D573" s="100">
        <f t="shared" si="384"/>
        <v>-0.70539845758354747</v>
      </c>
      <c r="E573" s="100">
        <f t="shared" si="384"/>
        <v>-0.70539845758354747</v>
      </c>
      <c r="F573" s="100">
        <f t="shared" ref="F573:W573" si="387">F569/F565</f>
        <v>-0.70539845758354747</v>
      </c>
      <c r="G573" s="100">
        <f t="shared" si="387"/>
        <v>-0.70539845758354747</v>
      </c>
      <c r="H573" s="100">
        <f t="shared" si="387"/>
        <v>-0.70539845758354747</v>
      </c>
      <c r="I573" s="100">
        <f t="shared" si="387"/>
        <v>-0.8582633053221288</v>
      </c>
      <c r="J573" s="100">
        <f t="shared" si="387"/>
        <v>-0.8582633053221288</v>
      </c>
      <c r="K573" s="100">
        <f t="shared" si="387"/>
        <v>-0.8582633053221288</v>
      </c>
      <c r="L573" s="100">
        <f t="shared" si="387"/>
        <v>-0.8582633053221288</v>
      </c>
      <c r="M573" s="100">
        <f t="shared" si="387"/>
        <v>-0.8582633053221288</v>
      </c>
      <c r="N573" s="100">
        <f t="shared" si="387"/>
        <v>-0.69234693877551012</v>
      </c>
      <c r="O573" s="100">
        <f t="shared" si="387"/>
        <v>-0.69234693877551012</v>
      </c>
      <c r="P573" s="100">
        <f t="shared" si="387"/>
        <v>-0.69234693877551012</v>
      </c>
      <c r="Q573" s="100">
        <f t="shared" si="387"/>
        <v>-0.69234693877551012</v>
      </c>
      <c r="R573" s="100">
        <f t="shared" si="387"/>
        <v>-0.69234693877551012</v>
      </c>
      <c r="S573" s="100">
        <f t="shared" si="387"/>
        <v>-0.69234693877551012</v>
      </c>
      <c r="T573" s="100">
        <f t="shared" si="387"/>
        <v>-0.70539845758354747</v>
      </c>
      <c r="U573" s="100">
        <f t="shared" si="387"/>
        <v>-0.70539845758354747</v>
      </c>
      <c r="V573" s="100">
        <f t="shared" si="387"/>
        <v>-0.70979381443298961</v>
      </c>
      <c r="W573" s="100">
        <f t="shared" si="387"/>
        <v>-0.69234693877551012</v>
      </c>
    </row>
    <row r="574" spans="1:23" s="36" customFormat="1" x14ac:dyDescent="0.3">
      <c r="A574" s="406"/>
      <c r="B574" s="97" t="s">
        <v>205</v>
      </c>
      <c r="C574" s="98"/>
      <c r="D574" s="100">
        <f t="shared" si="384"/>
        <v>-0.69667519181585669</v>
      </c>
      <c r="E574" s="100">
        <f t="shared" si="384"/>
        <v>-0.69667519181585669</v>
      </c>
      <c r="F574" s="100">
        <f t="shared" ref="F574:W574" si="388">F570/F566</f>
        <v>-0.69667519181585669</v>
      </c>
      <c r="G574" s="100">
        <f t="shared" si="388"/>
        <v>-0.69667519181585669</v>
      </c>
      <c r="H574" s="100">
        <f t="shared" si="388"/>
        <v>-0.69667519181585669</v>
      </c>
      <c r="I574" s="100">
        <f t="shared" si="388"/>
        <v>-0.8479108635097492</v>
      </c>
      <c r="J574" s="100">
        <f t="shared" si="388"/>
        <v>-0.8479108635097492</v>
      </c>
      <c r="K574" s="100">
        <f t="shared" si="388"/>
        <v>-0.8479108635097492</v>
      </c>
      <c r="L574" s="100">
        <f t="shared" si="388"/>
        <v>-0.8479108635097492</v>
      </c>
      <c r="M574" s="100">
        <f t="shared" si="388"/>
        <v>-0.8479108635097492</v>
      </c>
      <c r="N574" s="100">
        <f t="shared" si="388"/>
        <v>-0.68375634517766493</v>
      </c>
      <c r="O574" s="100">
        <f t="shared" si="388"/>
        <v>-0.68375634517766493</v>
      </c>
      <c r="P574" s="100">
        <f t="shared" si="388"/>
        <v>-0.68375634517766493</v>
      </c>
      <c r="Q574" s="100">
        <f t="shared" si="388"/>
        <v>-0.68375634517766493</v>
      </c>
      <c r="R574" s="100">
        <f t="shared" si="388"/>
        <v>-0.68375634517766493</v>
      </c>
      <c r="S574" s="100">
        <f t="shared" si="388"/>
        <v>-0.68375634517766493</v>
      </c>
      <c r="T574" s="100">
        <f t="shared" si="388"/>
        <v>-0.69667519181585669</v>
      </c>
      <c r="U574" s="100">
        <f t="shared" si="388"/>
        <v>-0.69667519181585669</v>
      </c>
      <c r="V574" s="100">
        <f t="shared" si="388"/>
        <v>-0.70102564102564102</v>
      </c>
      <c r="W574" s="100">
        <f t="shared" si="388"/>
        <v>-0.68375634517766493</v>
      </c>
    </row>
    <row r="575" spans="1:23" ht="21" thickBot="1" x14ac:dyDescent="0.35"/>
    <row r="576" spans="1:23" s="19" customFormat="1" ht="24" thickBot="1" x14ac:dyDescent="0.4">
      <c r="A576" s="19" t="s">
        <v>294</v>
      </c>
      <c r="B576" s="362" t="s">
        <v>91</v>
      </c>
      <c r="C576" s="68"/>
      <c r="D576" s="17" t="s">
        <v>5</v>
      </c>
      <c r="E576" s="18" t="s">
        <v>6</v>
      </c>
      <c r="F576" s="18" t="s">
        <v>7</v>
      </c>
      <c r="G576" s="18" t="s">
        <v>8</v>
      </c>
      <c r="H576" s="18" t="s">
        <v>9</v>
      </c>
      <c r="I576" s="18" t="s">
        <v>10</v>
      </c>
      <c r="J576" s="18" t="s">
        <v>11</v>
      </c>
      <c r="K576" s="18" t="s">
        <v>12</v>
      </c>
      <c r="L576" s="18" t="s">
        <v>13</v>
      </c>
      <c r="M576" s="18" t="s">
        <v>14</v>
      </c>
      <c r="N576" s="18" t="s">
        <v>15</v>
      </c>
      <c r="O576" s="18" t="s">
        <v>16</v>
      </c>
      <c r="P576" s="18" t="s">
        <v>17</v>
      </c>
      <c r="Q576" s="18" t="s">
        <v>18</v>
      </c>
      <c r="R576" s="18" t="s">
        <v>19</v>
      </c>
      <c r="S576" s="18" t="s">
        <v>20</v>
      </c>
      <c r="T576" s="18" t="s">
        <v>21</v>
      </c>
      <c r="U576" s="18" t="s">
        <v>22</v>
      </c>
      <c r="V576" s="18" t="s">
        <v>23</v>
      </c>
      <c r="W576" s="18" t="s">
        <v>166</v>
      </c>
    </row>
    <row r="577" spans="1:23" x14ac:dyDescent="0.3">
      <c r="B577" s="54" t="s">
        <v>50</v>
      </c>
      <c r="C577" s="55"/>
      <c r="D577" s="20">
        <v>1500</v>
      </c>
      <c r="E577" s="20">
        <v>1500</v>
      </c>
      <c r="F577" s="20">
        <v>1500</v>
      </c>
      <c r="G577" s="20">
        <v>1500</v>
      </c>
      <c r="H577" s="20">
        <v>1500</v>
      </c>
      <c r="I577" s="20">
        <v>1500</v>
      </c>
      <c r="J577" s="20">
        <v>1500</v>
      </c>
      <c r="K577" s="20">
        <v>1500</v>
      </c>
      <c r="L577" s="20">
        <v>1500</v>
      </c>
      <c r="M577" s="20">
        <v>1500</v>
      </c>
      <c r="N577" s="20">
        <v>1500</v>
      </c>
      <c r="O577" s="20">
        <v>1500</v>
      </c>
      <c r="P577" s="20">
        <v>1500</v>
      </c>
      <c r="Q577" s="20">
        <v>1500</v>
      </c>
      <c r="R577" s="20">
        <v>1500</v>
      </c>
      <c r="S577" s="20">
        <v>1500</v>
      </c>
      <c r="T577" s="20">
        <v>1500</v>
      </c>
      <c r="U577" s="20">
        <v>1500</v>
      </c>
      <c r="V577" s="20">
        <v>1500</v>
      </c>
      <c r="W577" s="20">
        <v>1500</v>
      </c>
    </row>
    <row r="578" spans="1:23" ht="23" x14ac:dyDescent="0.35">
      <c r="B578" s="340" t="s">
        <v>51</v>
      </c>
      <c r="C578" s="341"/>
      <c r="D578" s="363"/>
      <c r="E578" s="363"/>
      <c r="F578" s="363"/>
      <c r="G578" s="363"/>
      <c r="H578" s="363"/>
      <c r="I578" s="363"/>
      <c r="J578" s="363"/>
      <c r="K578" s="363"/>
      <c r="L578" s="363"/>
      <c r="M578" s="363"/>
      <c r="N578" s="363"/>
      <c r="O578" s="363"/>
      <c r="P578" s="363"/>
      <c r="Q578" s="363"/>
      <c r="R578" s="363"/>
      <c r="S578" s="363"/>
      <c r="T578" s="363"/>
      <c r="U578" s="363"/>
      <c r="V578" s="363"/>
      <c r="W578" s="363"/>
    </row>
    <row r="579" spans="1:23" x14ac:dyDescent="0.3">
      <c r="B579" s="54"/>
      <c r="C579" s="55"/>
      <c r="D579" s="20">
        <f t="shared" ref="D579:V579" si="389">D577*(1-D578)</f>
        <v>1500</v>
      </c>
      <c r="E579" s="20">
        <f t="shared" si="389"/>
        <v>1500</v>
      </c>
      <c r="F579" s="20">
        <f t="shared" si="389"/>
        <v>1500</v>
      </c>
      <c r="G579" s="20">
        <f t="shared" si="389"/>
        <v>1500</v>
      </c>
      <c r="H579" s="20">
        <f t="shared" si="389"/>
        <v>1500</v>
      </c>
      <c r="I579" s="20">
        <f t="shared" si="389"/>
        <v>1500</v>
      </c>
      <c r="J579" s="20">
        <f t="shared" si="389"/>
        <v>1500</v>
      </c>
      <c r="K579" s="20">
        <f t="shared" si="389"/>
        <v>1500</v>
      </c>
      <c r="L579" s="20">
        <f t="shared" si="389"/>
        <v>1500</v>
      </c>
      <c r="M579" s="20">
        <f t="shared" si="389"/>
        <v>1500</v>
      </c>
      <c r="N579" s="20">
        <f t="shared" si="389"/>
        <v>1500</v>
      </c>
      <c r="O579" s="20">
        <f t="shared" si="389"/>
        <v>1500</v>
      </c>
      <c r="P579" s="20">
        <f t="shared" si="389"/>
        <v>1500</v>
      </c>
      <c r="Q579" s="20">
        <f t="shared" si="389"/>
        <v>1500</v>
      </c>
      <c r="R579" s="20">
        <f t="shared" si="389"/>
        <v>1500</v>
      </c>
      <c r="S579" s="20">
        <f t="shared" si="389"/>
        <v>1500</v>
      </c>
      <c r="T579" s="20">
        <f t="shared" si="389"/>
        <v>1500</v>
      </c>
      <c r="U579" s="20">
        <f t="shared" si="389"/>
        <v>1500</v>
      </c>
      <c r="V579" s="20">
        <f t="shared" si="389"/>
        <v>1500</v>
      </c>
      <c r="W579" s="20">
        <f>W577*(1-W578)</f>
        <v>1500</v>
      </c>
    </row>
    <row r="580" spans="1:23" x14ac:dyDescent="0.3">
      <c r="B580" s="54" t="s">
        <v>51</v>
      </c>
      <c r="C580" s="56">
        <v>0</v>
      </c>
      <c r="D580" s="43">
        <f>D579*$C580</f>
        <v>0</v>
      </c>
      <c r="E580" s="43">
        <f>E579*$C580</f>
        <v>0</v>
      </c>
      <c r="F580" s="43">
        <f t="shared" ref="F580:V580" si="390">F579*$C580</f>
        <v>0</v>
      </c>
      <c r="G580" s="43">
        <f t="shared" si="390"/>
        <v>0</v>
      </c>
      <c r="H580" s="43">
        <f t="shared" si="390"/>
        <v>0</v>
      </c>
      <c r="I580" s="43">
        <f t="shared" si="390"/>
        <v>0</v>
      </c>
      <c r="J580" s="43">
        <f t="shared" si="390"/>
        <v>0</v>
      </c>
      <c r="K580" s="43">
        <f t="shared" si="390"/>
        <v>0</v>
      </c>
      <c r="L580" s="43">
        <f t="shared" si="390"/>
        <v>0</v>
      </c>
      <c r="M580" s="43">
        <f t="shared" si="390"/>
        <v>0</v>
      </c>
      <c r="N580" s="43">
        <f t="shared" si="390"/>
        <v>0</v>
      </c>
      <c r="O580" s="43">
        <f t="shared" si="390"/>
        <v>0</v>
      </c>
      <c r="P580" s="43">
        <f t="shared" si="390"/>
        <v>0</v>
      </c>
      <c r="Q580" s="43">
        <f t="shared" si="390"/>
        <v>0</v>
      </c>
      <c r="R580" s="43">
        <f t="shared" si="390"/>
        <v>0</v>
      </c>
      <c r="S580" s="43">
        <f t="shared" si="390"/>
        <v>0</v>
      </c>
      <c r="T580" s="43">
        <f t="shared" si="390"/>
        <v>0</v>
      </c>
      <c r="U580" s="43">
        <f t="shared" si="390"/>
        <v>0</v>
      </c>
      <c r="V580" s="43">
        <f t="shared" si="390"/>
        <v>0</v>
      </c>
      <c r="W580" s="43">
        <f>W579*$C580</f>
        <v>0</v>
      </c>
    </row>
    <row r="581" spans="1:23" x14ac:dyDescent="0.3">
      <c r="B581" s="54" t="s">
        <v>67</v>
      </c>
      <c r="C581" s="55"/>
      <c r="D581" s="20">
        <f>D579-D580</f>
        <v>1500</v>
      </c>
      <c r="E581" s="20">
        <f t="shared" ref="E581:V581" si="391">E579-E580</f>
        <v>1500</v>
      </c>
      <c r="F581" s="20">
        <f t="shared" si="391"/>
        <v>1500</v>
      </c>
      <c r="G581" s="20">
        <f t="shared" si="391"/>
        <v>1500</v>
      </c>
      <c r="H581" s="20">
        <f t="shared" si="391"/>
        <v>1500</v>
      </c>
      <c r="I581" s="20">
        <f t="shared" si="391"/>
        <v>1500</v>
      </c>
      <c r="J581" s="20">
        <f t="shared" si="391"/>
        <v>1500</v>
      </c>
      <c r="K581" s="20">
        <f t="shared" si="391"/>
        <v>1500</v>
      </c>
      <c r="L581" s="20">
        <f t="shared" si="391"/>
        <v>1500</v>
      </c>
      <c r="M581" s="20">
        <f t="shared" si="391"/>
        <v>1500</v>
      </c>
      <c r="N581" s="20">
        <f t="shared" si="391"/>
        <v>1500</v>
      </c>
      <c r="O581" s="20">
        <f t="shared" si="391"/>
        <v>1500</v>
      </c>
      <c r="P581" s="20">
        <f t="shared" si="391"/>
        <v>1500</v>
      </c>
      <c r="Q581" s="20">
        <f t="shared" si="391"/>
        <v>1500</v>
      </c>
      <c r="R581" s="20">
        <f t="shared" si="391"/>
        <v>1500</v>
      </c>
      <c r="S581" s="20">
        <f t="shared" si="391"/>
        <v>1500</v>
      </c>
      <c r="T581" s="20">
        <f t="shared" si="391"/>
        <v>1500</v>
      </c>
      <c r="U581" s="20">
        <f t="shared" si="391"/>
        <v>1500</v>
      </c>
      <c r="V581" s="20">
        <f t="shared" si="391"/>
        <v>1500</v>
      </c>
      <c r="W581" s="20">
        <f>W579-W580</f>
        <v>1500</v>
      </c>
    </row>
    <row r="582" spans="1:23" x14ac:dyDescent="0.3">
      <c r="B582" s="54" t="s">
        <v>66</v>
      </c>
      <c r="C582" s="56">
        <v>7.0000000000000007E-2</v>
      </c>
      <c r="D582" s="20">
        <f>D581*$C582</f>
        <v>105.00000000000001</v>
      </c>
      <c r="E582" s="20">
        <f t="shared" ref="E582:V582" si="392">E581*$C582</f>
        <v>105.00000000000001</v>
      </c>
      <c r="F582" s="20">
        <f t="shared" si="392"/>
        <v>105.00000000000001</v>
      </c>
      <c r="G582" s="20">
        <f t="shared" si="392"/>
        <v>105.00000000000001</v>
      </c>
      <c r="H582" s="20">
        <f t="shared" si="392"/>
        <v>105.00000000000001</v>
      </c>
      <c r="I582" s="20">
        <f t="shared" si="392"/>
        <v>105.00000000000001</v>
      </c>
      <c r="J582" s="20">
        <f t="shared" si="392"/>
        <v>105.00000000000001</v>
      </c>
      <c r="K582" s="20">
        <f t="shared" si="392"/>
        <v>105.00000000000001</v>
      </c>
      <c r="L582" s="20">
        <f t="shared" si="392"/>
        <v>105.00000000000001</v>
      </c>
      <c r="M582" s="20">
        <f t="shared" si="392"/>
        <v>105.00000000000001</v>
      </c>
      <c r="N582" s="20">
        <f t="shared" si="392"/>
        <v>105.00000000000001</v>
      </c>
      <c r="O582" s="20">
        <f t="shared" si="392"/>
        <v>105.00000000000001</v>
      </c>
      <c r="P582" s="20">
        <f t="shared" si="392"/>
        <v>105.00000000000001</v>
      </c>
      <c r="Q582" s="20">
        <f t="shared" si="392"/>
        <v>105.00000000000001</v>
      </c>
      <c r="R582" s="20">
        <f t="shared" si="392"/>
        <v>105.00000000000001</v>
      </c>
      <c r="S582" s="20">
        <f t="shared" si="392"/>
        <v>105.00000000000001</v>
      </c>
      <c r="T582" s="20">
        <f t="shared" si="392"/>
        <v>105.00000000000001</v>
      </c>
      <c r="U582" s="20">
        <f t="shared" si="392"/>
        <v>105.00000000000001</v>
      </c>
      <c r="V582" s="20">
        <f t="shared" si="392"/>
        <v>105.00000000000001</v>
      </c>
      <c r="W582" s="20">
        <f>W581*$C582</f>
        <v>105.00000000000001</v>
      </c>
    </row>
    <row r="583" spans="1:23" x14ac:dyDescent="0.3">
      <c r="B583" s="54" t="s">
        <v>68</v>
      </c>
      <c r="C583" s="55"/>
      <c r="D583" s="20">
        <f>D581+D582</f>
        <v>1605</v>
      </c>
      <c r="E583" s="20">
        <f t="shared" ref="E583:V583" si="393">E581+E582</f>
        <v>1605</v>
      </c>
      <c r="F583" s="20">
        <f t="shared" si="393"/>
        <v>1605</v>
      </c>
      <c r="G583" s="20">
        <f t="shared" si="393"/>
        <v>1605</v>
      </c>
      <c r="H583" s="20">
        <f t="shared" si="393"/>
        <v>1605</v>
      </c>
      <c r="I583" s="20">
        <f t="shared" si="393"/>
        <v>1605</v>
      </c>
      <c r="J583" s="20">
        <f t="shared" si="393"/>
        <v>1605</v>
      </c>
      <c r="K583" s="20">
        <f t="shared" si="393"/>
        <v>1605</v>
      </c>
      <c r="L583" s="20">
        <f t="shared" si="393"/>
        <v>1605</v>
      </c>
      <c r="M583" s="20">
        <f t="shared" si="393"/>
        <v>1605</v>
      </c>
      <c r="N583" s="20">
        <f t="shared" si="393"/>
        <v>1605</v>
      </c>
      <c r="O583" s="20">
        <f t="shared" si="393"/>
        <v>1605</v>
      </c>
      <c r="P583" s="20">
        <f t="shared" si="393"/>
        <v>1605</v>
      </c>
      <c r="Q583" s="20">
        <f t="shared" si="393"/>
        <v>1605</v>
      </c>
      <c r="R583" s="20">
        <f t="shared" si="393"/>
        <v>1605</v>
      </c>
      <c r="S583" s="20">
        <f t="shared" si="393"/>
        <v>1605</v>
      </c>
      <c r="T583" s="20">
        <f t="shared" si="393"/>
        <v>1605</v>
      </c>
      <c r="U583" s="20">
        <f t="shared" si="393"/>
        <v>1605</v>
      </c>
      <c r="V583" s="20">
        <f t="shared" si="393"/>
        <v>1605</v>
      </c>
      <c r="W583" s="20">
        <f>W581+W582</f>
        <v>1605</v>
      </c>
    </row>
    <row r="584" spans="1:23" ht="23" x14ac:dyDescent="0.35">
      <c r="B584" s="357" t="s">
        <v>52</v>
      </c>
      <c r="C584" s="358"/>
      <c r="D584" s="381"/>
      <c r="E584" s="381"/>
      <c r="F584" s="381"/>
      <c r="G584" s="381"/>
      <c r="H584" s="381"/>
      <c r="I584" s="381"/>
      <c r="J584" s="381"/>
      <c r="K584" s="381"/>
      <c r="L584" s="381"/>
      <c r="M584" s="381"/>
      <c r="N584" s="381"/>
      <c r="O584" s="381"/>
      <c r="P584" s="381"/>
      <c r="Q584" s="381"/>
      <c r="R584" s="381"/>
      <c r="S584" s="381"/>
      <c r="T584" s="381"/>
      <c r="U584" s="381"/>
      <c r="V584" s="381"/>
      <c r="W584" s="381"/>
    </row>
    <row r="585" spans="1:23" x14ac:dyDescent="0.3">
      <c r="B585" s="57" t="s">
        <v>53</v>
      </c>
      <c r="C585" s="58"/>
      <c r="D585" s="25">
        <f>SUM(D583:D584)</f>
        <v>1605</v>
      </c>
      <c r="E585" s="26">
        <f t="shared" ref="E585:V585" si="394">SUM(E583:E584)</f>
        <v>1605</v>
      </c>
      <c r="F585" s="26">
        <f t="shared" si="394"/>
        <v>1605</v>
      </c>
      <c r="G585" s="26">
        <f t="shared" si="394"/>
        <v>1605</v>
      </c>
      <c r="H585" s="26">
        <f t="shared" si="394"/>
        <v>1605</v>
      </c>
      <c r="I585" s="26">
        <f t="shared" si="394"/>
        <v>1605</v>
      </c>
      <c r="J585" s="26">
        <f t="shared" si="394"/>
        <v>1605</v>
      </c>
      <c r="K585" s="26">
        <f t="shared" si="394"/>
        <v>1605</v>
      </c>
      <c r="L585" s="26">
        <f t="shared" si="394"/>
        <v>1605</v>
      </c>
      <c r="M585" s="26">
        <f t="shared" si="394"/>
        <v>1605</v>
      </c>
      <c r="N585" s="26">
        <f t="shared" si="394"/>
        <v>1605</v>
      </c>
      <c r="O585" s="26">
        <f t="shared" si="394"/>
        <v>1605</v>
      </c>
      <c r="P585" s="26">
        <f t="shared" si="394"/>
        <v>1605</v>
      </c>
      <c r="Q585" s="26">
        <f t="shared" si="394"/>
        <v>1605</v>
      </c>
      <c r="R585" s="26">
        <f t="shared" si="394"/>
        <v>1605</v>
      </c>
      <c r="S585" s="26">
        <f t="shared" si="394"/>
        <v>1605</v>
      </c>
      <c r="T585" s="26">
        <f t="shared" si="394"/>
        <v>1605</v>
      </c>
      <c r="U585" s="26">
        <f t="shared" si="394"/>
        <v>1605</v>
      </c>
      <c r="V585" s="26">
        <f t="shared" si="394"/>
        <v>1605</v>
      </c>
      <c r="W585" s="26">
        <f>SUM(W583:W584)</f>
        <v>1605</v>
      </c>
    </row>
    <row r="586" spans="1:23" ht="23" x14ac:dyDescent="0.35">
      <c r="B586" s="336" t="s">
        <v>54</v>
      </c>
      <c r="C586" s="337"/>
      <c r="D586" s="338"/>
      <c r="E586" s="338"/>
      <c r="F586" s="338"/>
      <c r="G586" s="338"/>
      <c r="H586" s="338"/>
      <c r="I586" s="338"/>
      <c r="J586" s="338"/>
      <c r="K586" s="338"/>
      <c r="L586" s="338"/>
      <c r="M586" s="338"/>
      <c r="N586" s="338"/>
      <c r="O586" s="338"/>
      <c r="P586" s="338"/>
      <c r="Q586" s="338"/>
      <c r="R586" s="338"/>
      <c r="S586" s="338"/>
      <c r="T586" s="338"/>
      <c r="U586" s="338"/>
      <c r="V586" s="338"/>
      <c r="W586" s="338"/>
    </row>
    <row r="587" spans="1:23" ht="23" x14ac:dyDescent="0.35">
      <c r="B587" s="353" t="s">
        <v>55</v>
      </c>
      <c r="C587" s="354"/>
      <c r="D587" s="355">
        <f>D585</f>
        <v>1605</v>
      </c>
      <c r="E587" s="356">
        <f t="shared" ref="E587:W587" si="395">E585</f>
        <v>1605</v>
      </c>
      <c r="F587" s="356">
        <f t="shared" si="395"/>
        <v>1605</v>
      </c>
      <c r="G587" s="356">
        <f t="shared" si="395"/>
        <v>1605</v>
      </c>
      <c r="H587" s="356">
        <f t="shared" si="395"/>
        <v>1605</v>
      </c>
      <c r="I587" s="356">
        <f t="shared" si="395"/>
        <v>1605</v>
      </c>
      <c r="J587" s="356">
        <f t="shared" si="395"/>
        <v>1605</v>
      </c>
      <c r="K587" s="356">
        <f t="shared" si="395"/>
        <v>1605</v>
      </c>
      <c r="L587" s="356">
        <f t="shared" si="395"/>
        <v>1605</v>
      </c>
      <c r="M587" s="356">
        <f t="shared" si="395"/>
        <v>1605</v>
      </c>
      <c r="N587" s="356">
        <f t="shared" si="395"/>
        <v>1605</v>
      </c>
      <c r="O587" s="356">
        <f t="shared" si="395"/>
        <v>1605</v>
      </c>
      <c r="P587" s="356">
        <f t="shared" si="395"/>
        <v>1605</v>
      </c>
      <c r="Q587" s="356">
        <f t="shared" si="395"/>
        <v>1605</v>
      </c>
      <c r="R587" s="356">
        <f t="shared" si="395"/>
        <v>1605</v>
      </c>
      <c r="S587" s="356">
        <f t="shared" si="395"/>
        <v>1605</v>
      </c>
      <c r="T587" s="356">
        <f t="shared" si="395"/>
        <v>1605</v>
      </c>
      <c r="U587" s="356">
        <f t="shared" si="395"/>
        <v>1605</v>
      </c>
      <c r="V587" s="356">
        <f t="shared" si="395"/>
        <v>1605</v>
      </c>
      <c r="W587" s="356">
        <f t="shared" si="395"/>
        <v>1605</v>
      </c>
    </row>
    <row r="588" spans="1:23" x14ac:dyDescent="0.3">
      <c r="B588" s="171" t="s">
        <v>194</v>
      </c>
      <c r="C588" s="55"/>
      <c r="D588" s="20">
        <v>967</v>
      </c>
      <c r="E588" s="21">
        <v>968</v>
      </c>
      <c r="F588" s="21">
        <v>968</v>
      </c>
      <c r="G588" s="21">
        <v>968</v>
      </c>
      <c r="H588" s="21">
        <v>968</v>
      </c>
      <c r="I588" s="21">
        <v>889</v>
      </c>
      <c r="J588" s="21">
        <v>889</v>
      </c>
      <c r="K588" s="21">
        <v>889</v>
      </c>
      <c r="L588" s="21">
        <v>889</v>
      </c>
      <c r="M588" s="21">
        <v>889</v>
      </c>
      <c r="N588" s="21">
        <v>972</v>
      </c>
      <c r="O588" s="21">
        <v>972</v>
      </c>
      <c r="P588" s="21">
        <v>972</v>
      </c>
      <c r="Q588" s="21">
        <v>972</v>
      </c>
      <c r="R588" s="21">
        <v>972</v>
      </c>
      <c r="S588" s="21">
        <v>972</v>
      </c>
      <c r="T588" s="21">
        <v>967</v>
      </c>
      <c r="U588" s="21">
        <v>968</v>
      </c>
      <c r="V588" s="21">
        <v>966</v>
      </c>
      <c r="W588" s="21">
        <v>972</v>
      </c>
    </row>
    <row r="589" spans="1:23" s="51" customFormat="1" x14ac:dyDescent="0.3">
      <c r="A589" s="407"/>
      <c r="B589" s="61" t="s">
        <v>195</v>
      </c>
      <c r="C589" s="62"/>
      <c r="D589" s="28">
        <v>977</v>
      </c>
      <c r="E589" s="28">
        <v>978</v>
      </c>
      <c r="F589" s="28">
        <v>978</v>
      </c>
      <c r="G589" s="28">
        <v>978</v>
      </c>
      <c r="H589" s="28">
        <v>978</v>
      </c>
      <c r="I589" s="28">
        <v>899</v>
      </c>
      <c r="J589" s="28">
        <v>899</v>
      </c>
      <c r="K589" s="28">
        <v>899</v>
      </c>
      <c r="L589" s="28">
        <v>899</v>
      </c>
      <c r="M589" s="28">
        <v>899</v>
      </c>
      <c r="N589" s="28">
        <v>982</v>
      </c>
      <c r="O589" s="28">
        <v>982</v>
      </c>
      <c r="P589" s="28">
        <v>982</v>
      </c>
      <c r="Q589" s="28">
        <v>982</v>
      </c>
      <c r="R589" s="28">
        <v>982</v>
      </c>
      <c r="S589" s="28">
        <v>982</v>
      </c>
      <c r="T589" s="28">
        <v>977</v>
      </c>
      <c r="U589" s="28">
        <v>978</v>
      </c>
      <c r="V589" s="28">
        <v>976</v>
      </c>
      <c r="W589" s="28">
        <v>982</v>
      </c>
    </row>
    <row r="590" spans="1:23" s="51" customFormat="1" x14ac:dyDescent="0.3">
      <c r="A590" s="407"/>
      <c r="B590" s="61" t="s">
        <v>196</v>
      </c>
      <c r="C590" s="62"/>
      <c r="D590" s="28">
        <v>982</v>
      </c>
      <c r="E590" s="28">
        <v>983</v>
      </c>
      <c r="F590" s="28">
        <v>983</v>
      </c>
      <c r="G590" s="28">
        <v>983</v>
      </c>
      <c r="H590" s="28">
        <v>983</v>
      </c>
      <c r="I590" s="28">
        <v>904</v>
      </c>
      <c r="J590" s="28">
        <v>904</v>
      </c>
      <c r="K590" s="28">
        <v>904</v>
      </c>
      <c r="L590" s="28">
        <v>904</v>
      </c>
      <c r="M590" s="28">
        <v>904</v>
      </c>
      <c r="N590" s="28">
        <v>987</v>
      </c>
      <c r="O590" s="28">
        <v>987</v>
      </c>
      <c r="P590" s="28">
        <v>987</v>
      </c>
      <c r="Q590" s="28">
        <v>987</v>
      </c>
      <c r="R590" s="28">
        <v>987</v>
      </c>
      <c r="S590" s="28">
        <v>987</v>
      </c>
      <c r="T590" s="28">
        <v>982</v>
      </c>
      <c r="U590" s="28">
        <v>983</v>
      </c>
      <c r="V590" s="28">
        <v>981</v>
      </c>
      <c r="W590" s="28">
        <v>987</v>
      </c>
    </row>
    <row r="591" spans="1:23" s="51" customFormat="1" x14ac:dyDescent="0.3">
      <c r="A591" s="407"/>
      <c r="B591" s="61" t="s">
        <v>197</v>
      </c>
      <c r="C591" s="62"/>
      <c r="D591" s="28">
        <v>987</v>
      </c>
      <c r="E591" s="28">
        <v>988</v>
      </c>
      <c r="F591" s="28">
        <v>988</v>
      </c>
      <c r="G591" s="28">
        <v>988</v>
      </c>
      <c r="H591" s="28">
        <v>988</v>
      </c>
      <c r="I591" s="28">
        <v>909</v>
      </c>
      <c r="J591" s="28">
        <v>909</v>
      </c>
      <c r="K591" s="28">
        <v>909</v>
      </c>
      <c r="L591" s="28">
        <v>909</v>
      </c>
      <c r="M591" s="28">
        <v>909</v>
      </c>
      <c r="N591" s="28">
        <v>992</v>
      </c>
      <c r="O591" s="28">
        <v>992</v>
      </c>
      <c r="P591" s="28">
        <v>992</v>
      </c>
      <c r="Q591" s="28">
        <v>992</v>
      </c>
      <c r="R591" s="28">
        <v>992</v>
      </c>
      <c r="S591" s="28">
        <v>992</v>
      </c>
      <c r="T591" s="28">
        <v>987</v>
      </c>
      <c r="U591" s="28">
        <v>988</v>
      </c>
      <c r="V591" s="28">
        <v>986</v>
      </c>
      <c r="W591" s="28">
        <v>992</v>
      </c>
    </row>
    <row r="592" spans="1:23" s="30" customFormat="1" x14ac:dyDescent="0.3">
      <c r="A592" s="404"/>
      <c r="B592" s="63" t="s">
        <v>198</v>
      </c>
      <c r="C592" s="62"/>
      <c r="D592" s="31">
        <f t="shared" ref="D592:E595" si="396">+D588-D$587</f>
        <v>-638</v>
      </c>
      <c r="E592" s="31">
        <f t="shared" si="396"/>
        <v>-637</v>
      </c>
      <c r="F592" s="31">
        <f t="shared" ref="F592:W592" si="397">+F588-F$587</f>
        <v>-637</v>
      </c>
      <c r="G592" s="31">
        <f t="shared" si="397"/>
        <v>-637</v>
      </c>
      <c r="H592" s="31">
        <f t="shared" si="397"/>
        <v>-637</v>
      </c>
      <c r="I592" s="31">
        <f t="shared" si="397"/>
        <v>-716</v>
      </c>
      <c r="J592" s="31">
        <f t="shared" si="397"/>
        <v>-716</v>
      </c>
      <c r="K592" s="31">
        <f t="shared" si="397"/>
        <v>-716</v>
      </c>
      <c r="L592" s="31">
        <f t="shared" si="397"/>
        <v>-716</v>
      </c>
      <c r="M592" s="31">
        <f t="shared" si="397"/>
        <v>-716</v>
      </c>
      <c r="N592" s="31">
        <f t="shared" si="397"/>
        <v>-633</v>
      </c>
      <c r="O592" s="31">
        <f t="shared" si="397"/>
        <v>-633</v>
      </c>
      <c r="P592" s="31">
        <f t="shared" si="397"/>
        <v>-633</v>
      </c>
      <c r="Q592" s="31">
        <f t="shared" si="397"/>
        <v>-633</v>
      </c>
      <c r="R592" s="31">
        <f t="shared" si="397"/>
        <v>-633</v>
      </c>
      <c r="S592" s="31">
        <f t="shared" si="397"/>
        <v>-633</v>
      </c>
      <c r="T592" s="31">
        <f t="shared" si="397"/>
        <v>-638</v>
      </c>
      <c r="U592" s="31">
        <f t="shared" si="397"/>
        <v>-637</v>
      </c>
      <c r="V592" s="31">
        <f t="shared" si="397"/>
        <v>-639</v>
      </c>
      <c r="W592" s="31">
        <f t="shared" si="397"/>
        <v>-633</v>
      </c>
    </row>
    <row r="593" spans="1:23" s="33" customFormat="1" x14ac:dyDescent="0.3">
      <c r="A593" s="405"/>
      <c r="B593" s="63" t="s">
        <v>199</v>
      </c>
      <c r="C593" s="64"/>
      <c r="D593" s="31">
        <f t="shared" si="396"/>
        <v>-628</v>
      </c>
      <c r="E593" s="31">
        <f t="shared" si="396"/>
        <v>-627</v>
      </c>
      <c r="F593" s="31">
        <f t="shared" ref="F593:W593" si="398">+F589-F$587</f>
        <v>-627</v>
      </c>
      <c r="G593" s="31">
        <f t="shared" si="398"/>
        <v>-627</v>
      </c>
      <c r="H593" s="31">
        <f t="shared" si="398"/>
        <v>-627</v>
      </c>
      <c r="I593" s="31">
        <f t="shared" si="398"/>
        <v>-706</v>
      </c>
      <c r="J593" s="31">
        <f t="shared" si="398"/>
        <v>-706</v>
      </c>
      <c r="K593" s="31">
        <f t="shared" si="398"/>
        <v>-706</v>
      </c>
      <c r="L593" s="31">
        <f t="shared" si="398"/>
        <v>-706</v>
      </c>
      <c r="M593" s="31">
        <f t="shared" si="398"/>
        <v>-706</v>
      </c>
      <c r="N593" s="31">
        <f t="shared" si="398"/>
        <v>-623</v>
      </c>
      <c r="O593" s="31">
        <f t="shared" si="398"/>
        <v>-623</v>
      </c>
      <c r="P593" s="31">
        <f t="shared" si="398"/>
        <v>-623</v>
      </c>
      <c r="Q593" s="31">
        <f t="shared" si="398"/>
        <v>-623</v>
      </c>
      <c r="R593" s="31">
        <f t="shared" si="398"/>
        <v>-623</v>
      </c>
      <c r="S593" s="31">
        <f t="shared" si="398"/>
        <v>-623</v>
      </c>
      <c r="T593" s="31">
        <f t="shared" si="398"/>
        <v>-628</v>
      </c>
      <c r="U593" s="31">
        <f t="shared" si="398"/>
        <v>-627</v>
      </c>
      <c r="V593" s="31">
        <f t="shared" si="398"/>
        <v>-629</v>
      </c>
      <c r="W593" s="31">
        <f t="shared" si="398"/>
        <v>-623</v>
      </c>
    </row>
    <row r="594" spans="1:23" s="33" customFormat="1" x14ac:dyDescent="0.3">
      <c r="A594" s="405"/>
      <c r="B594" s="63" t="s">
        <v>200</v>
      </c>
      <c r="C594" s="64"/>
      <c r="D594" s="31">
        <f t="shared" si="396"/>
        <v>-623</v>
      </c>
      <c r="E594" s="31">
        <f t="shared" si="396"/>
        <v>-622</v>
      </c>
      <c r="F594" s="31">
        <f t="shared" ref="F594:W594" si="399">+F590-F$587</f>
        <v>-622</v>
      </c>
      <c r="G594" s="31">
        <f t="shared" si="399"/>
        <v>-622</v>
      </c>
      <c r="H594" s="31">
        <f t="shared" si="399"/>
        <v>-622</v>
      </c>
      <c r="I594" s="31">
        <f t="shared" si="399"/>
        <v>-701</v>
      </c>
      <c r="J594" s="31">
        <f t="shared" si="399"/>
        <v>-701</v>
      </c>
      <c r="K594" s="31">
        <f t="shared" si="399"/>
        <v>-701</v>
      </c>
      <c r="L594" s="31">
        <f t="shared" si="399"/>
        <v>-701</v>
      </c>
      <c r="M594" s="31">
        <f t="shared" si="399"/>
        <v>-701</v>
      </c>
      <c r="N594" s="31">
        <f t="shared" si="399"/>
        <v>-618</v>
      </c>
      <c r="O594" s="31">
        <f t="shared" si="399"/>
        <v>-618</v>
      </c>
      <c r="P594" s="31">
        <f t="shared" si="399"/>
        <v>-618</v>
      </c>
      <c r="Q594" s="31">
        <f t="shared" si="399"/>
        <v>-618</v>
      </c>
      <c r="R594" s="31">
        <f t="shared" si="399"/>
        <v>-618</v>
      </c>
      <c r="S594" s="31">
        <f t="shared" si="399"/>
        <v>-618</v>
      </c>
      <c r="T594" s="31">
        <f t="shared" si="399"/>
        <v>-623</v>
      </c>
      <c r="U594" s="31">
        <f t="shared" si="399"/>
        <v>-622</v>
      </c>
      <c r="V594" s="31">
        <f t="shared" si="399"/>
        <v>-624</v>
      </c>
      <c r="W594" s="31">
        <f t="shared" si="399"/>
        <v>-618</v>
      </c>
    </row>
    <row r="595" spans="1:23" s="33" customFormat="1" x14ac:dyDescent="0.3">
      <c r="A595" s="405"/>
      <c r="B595" s="63" t="s">
        <v>201</v>
      </c>
      <c r="C595" s="64"/>
      <c r="D595" s="31">
        <f t="shared" si="396"/>
        <v>-618</v>
      </c>
      <c r="E595" s="31">
        <f t="shared" si="396"/>
        <v>-617</v>
      </c>
      <c r="F595" s="31">
        <f t="shared" ref="F595:W595" si="400">+F591-F$587</f>
        <v>-617</v>
      </c>
      <c r="G595" s="31">
        <f t="shared" si="400"/>
        <v>-617</v>
      </c>
      <c r="H595" s="31">
        <f t="shared" si="400"/>
        <v>-617</v>
      </c>
      <c r="I595" s="31">
        <f t="shared" si="400"/>
        <v>-696</v>
      </c>
      <c r="J595" s="31">
        <f t="shared" si="400"/>
        <v>-696</v>
      </c>
      <c r="K595" s="31">
        <f t="shared" si="400"/>
        <v>-696</v>
      </c>
      <c r="L595" s="31">
        <f t="shared" si="400"/>
        <v>-696</v>
      </c>
      <c r="M595" s="31">
        <f t="shared" si="400"/>
        <v>-696</v>
      </c>
      <c r="N595" s="31">
        <f t="shared" si="400"/>
        <v>-613</v>
      </c>
      <c r="O595" s="31">
        <f t="shared" si="400"/>
        <v>-613</v>
      </c>
      <c r="P595" s="31">
        <f t="shared" si="400"/>
        <v>-613</v>
      </c>
      <c r="Q595" s="31">
        <f t="shared" si="400"/>
        <v>-613</v>
      </c>
      <c r="R595" s="31">
        <f t="shared" si="400"/>
        <v>-613</v>
      </c>
      <c r="S595" s="31">
        <f t="shared" si="400"/>
        <v>-613</v>
      </c>
      <c r="T595" s="31">
        <f t="shared" si="400"/>
        <v>-618</v>
      </c>
      <c r="U595" s="31">
        <f t="shared" si="400"/>
        <v>-617</v>
      </c>
      <c r="V595" s="31">
        <f t="shared" si="400"/>
        <v>-619</v>
      </c>
      <c r="W595" s="31">
        <f t="shared" si="400"/>
        <v>-613</v>
      </c>
    </row>
    <row r="596" spans="1:23" x14ac:dyDescent="0.3">
      <c r="B596" s="97" t="s">
        <v>202</v>
      </c>
      <c r="C596" s="98"/>
      <c r="D596" s="100">
        <f t="shared" ref="D596:E599" si="401">D592/D588</f>
        <v>-0.65977249224405377</v>
      </c>
      <c r="E596" s="100">
        <f t="shared" si="401"/>
        <v>-0.65805785123966942</v>
      </c>
      <c r="F596" s="100">
        <f t="shared" ref="F596:W596" si="402">F592/F588</f>
        <v>-0.65805785123966942</v>
      </c>
      <c r="G596" s="100">
        <f t="shared" si="402"/>
        <v>-0.65805785123966942</v>
      </c>
      <c r="H596" s="100">
        <f t="shared" si="402"/>
        <v>-0.65805785123966942</v>
      </c>
      <c r="I596" s="100">
        <f t="shared" si="402"/>
        <v>-0.8053993250843644</v>
      </c>
      <c r="J596" s="100">
        <f t="shared" si="402"/>
        <v>-0.8053993250843644</v>
      </c>
      <c r="K596" s="100">
        <f t="shared" si="402"/>
        <v>-0.8053993250843644</v>
      </c>
      <c r="L596" s="100">
        <f t="shared" si="402"/>
        <v>-0.8053993250843644</v>
      </c>
      <c r="M596" s="100">
        <f t="shared" si="402"/>
        <v>-0.8053993250843644</v>
      </c>
      <c r="N596" s="100">
        <f t="shared" si="402"/>
        <v>-0.65123456790123457</v>
      </c>
      <c r="O596" s="100">
        <f t="shared" si="402"/>
        <v>-0.65123456790123457</v>
      </c>
      <c r="P596" s="100">
        <f t="shared" si="402"/>
        <v>-0.65123456790123457</v>
      </c>
      <c r="Q596" s="100">
        <f t="shared" si="402"/>
        <v>-0.65123456790123457</v>
      </c>
      <c r="R596" s="100">
        <f t="shared" si="402"/>
        <v>-0.65123456790123457</v>
      </c>
      <c r="S596" s="100">
        <f t="shared" si="402"/>
        <v>-0.65123456790123457</v>
      </c>
      <c r="T596" s="100">
        <f t="shared" si="402"/>
        <v>-0.65977249224405377</v>
      </c>
      <c r="U596" s="100">
        <f t="shared" si="402"/>
        <v>-0.65805785123966942</v>
      </c>
      <c r="V596" s="100">
        <f t="shared" si="402"/>
        <v>-0.66149068322981364</v>
      </c>
      <c r="W596" s="100">
        <f t="shared" si="402"/>
        <v>-0.65123456790123457</v>
      </c>
    </row>
    <row r="597" spans="1:23" s="36" customFormat="1" x14ac:dyDescent="0.3">
      <c r="A597" s="406"/>
      <c r="B597" s="97" t="s">
        <v>203</v>
      </c>
      <c r="C597" s="98"/>
      <c r="D597" s="100">
        <f t="shared" si="401"/>
        <v>-0.64278403275332652</v>
      </c>
      <c r="E597" s="100">
        <f t="shared" si="401"/>
        <v>-0.64110429447852757</v>
      </c>
      <c r="F597" s="100">
        <f t="shared" ref="F597:W597" si="403">F593/F589</f>
        <v>-0.64110429447852757</v>
      </c>
      <c r="G597" s="100">
        <f t="shared" si="403"/>
        <v>-0.64110429447852757</v>
      </c>
      <c r="H597" s="100">
        <f t="shared" si="403"/>
        <v>-0.64110429447852757</v>
      </c>
      <c r="I597" s="100">
        <f t="shared" si="403"/>
        <v>-0.78531701890989991</v>
      </c>
      <c r="J597" s="100">
        <f t="shared" si="403"/>
        <v>-0.78531701890989991</v>
      </c>
      <c r="K597" s="100">
        <f t="shared" si="403"/>
        <v>-0.78531701890989991</v>
      </c>
      <c r="L597" s="100">
        <f t="shared" si="403"/>
        <v>-0.78531701890989991</v>
      </c>
      <c r="M597" s="100">
        <f t="shared" si="403"/>
        <v>-0.78531701890989991</v>
      </c>
      <c r="N597" s="100">
        <f t="shared" si="403"/>
        <v>-0.63441955193482691</v>
      </c>
      <c r="O597" s="100">
        <f t="shared" si="403"/>
        <v>-0.63441955193482691</v>
      </c>
      <c r="P597" s="100">
        <f t="shared" si="403"/>
        <v>-0.63441955193482691</v>
      </c>
      <c r="Q597" s="100">
        <f t="shared" si="403"/>
        <v>-0.63441955193482691</v>
      </c>
      <c r="R597" s="100">
        <f t="shared" si="403"/>
        <v>-0.63441955193482691</v>
      </c>
      <c r="S597" s="100">
        <f t="shared" si="403"/>
        <v>-0.63441955193482691</v>
      </c>
      <c r="T597" s="100">
        <f t="shared" si="403"/>
        <v>-0.64278403275332652</v>
      </c>
      <c r="U597" s="100">
        <f t="shared" si="403"/>
        <v>-0.64110429447852757</v>
      </c>
      <c r="V597" s="100">
        <f t="shared" si="403"/>
        <v>-0.64446721311475408</v>
      </c>
      <c r="W597" s="100">
        <f t="shared" si="403"/>
        <v>-0.63441955193482691</v>
      </c>
    </row>
    <row r="598" spans="1:23" s="36" customFormat="1" x14ac:dyDescent="0.3">
      <c r="A598" s="406"/>
      <c r="B598" s="97" t="s">
        <v>204</v>
      </c>
      <c r="C598" s="98"/>
      <c r="D598" s="100">
        <f t="shared" si="401"/>
        <v>-0.63441955193482691</v>
      </c>
      <c r="E598" s="100">
        <f t="shared" si="401"/>
        <v>-0.63275686673448628</v>
      </c>
      <c r="F598" s="100">
        <f t="shared" ref="F598:W598" si="404">F594/F590</f>
        <v>-0.63275686673448628</v>
      </c>
      <c r="G598" s="100">
        <f t="shared" si="404"/>
        <v>-0.63275686673448628</v>
      </c>
      <c r="H598" s="100">
        <f t="shared" si="404"/>
        <v>-0.63275686673448628</v>
      </c>
      <c r="I598" s="100">
        <f t="shared" si="404"/>
        <v>-0.77544247787610621</v>
      </c>
      <c r="J598" s="100">
        <f t="shared" si="404"/>
        <v>-0.77544247787610621</v>
      </c>
      <c r="K598" s="100">
        <f t="shared" si="404"/>
        <v>-0.77544247787610621</v>
      </c>
      <c r="L598" s="100">
        <f t="shared" si="404"/>
        <v>-0.77544247787610621</v>
      </c>
      <c r="M598" s="100">
        <f t="shared" si="404"/>
        <v>-0.77544247787610621</v>
      </c>
      <c r="N598" s="100">
        <f t="shared" si="404"/>
        <v>-0.62613981762917936</v>
      </c>
      <c r="O598" s="100">
        <f t="shared" si="404"/>
        <v>-0.62613981762917936</v>
      </c>
      <c r="P598" s="100">
        <f t="shared" si="404"/>
        <v>-0.62613981762917936</v>
      </c>
      <c r="Q598" s="100">
        <f t="shared" si="404"/>
        <v>-0.62613981762917936</v>
      </c>
      <c r="R598" s="100">
        <f t="shared" si="404"/>
        <v>-0.62613981762917936</v>
      </c>
      <c r="S598" s="100">
        <f t="shared" si="404"/>
        <v>-0.62613981762917936</v>
      </c>
      <c r="T598" s="100">
        <f t="shared" si="404"/>
        <v>-0.63441955193482691</v>
      </c>
      <c r="U598" s="100">
        <f t="shared" si="404"/>
        <v>-0.63275686673448628</v>
      </c>
      <c r="V598" s="100">
        <f t="shared" si="404"/>
        <v>-0.63608562691131498</v>
      </c>
      <c r="W598" s="100">
        <f t="shared" si="404"/>
        <v>-0.62613981762917936</v>
      </c>
    </row>
    <row r="599" spans="1:23" s="36" customFormat="1" x14ac:dyDescent="0.3">
      <c r="A599" s="406"/>
      <c r="B599" s="97" t="s">
        <v>205</v>
      </c>
      <c r="C599" s="98"/>
      <c r="D599" s="100">
        <f t="shared" si="401"/>
        <v>-0.62613981762917936</v>
      </c>
      <c r="E599" s="100">
        <f t="shared" si="401"/>
        <v>-0.62449392712550611</v>
      </c>
      <c r="F599" s="100">
        <f t="shared" ref="F599:W599" si="405">F595/F591</f>
        <v>-0.62449392712550611</v>
      </c>
      <c r="G599" s="100">
        <f t="shared" si="405"/>
        <v>-0.62449392712550611</v>
      </c>
      <c r="H599" s="100">
        <f t="shared" si="405"/>
        <v>-0.62449392712550611</v>
      </c>
      <c r="I599" s="100">
        <f t="shared" si="405"/>
        <v>-0.76567656765676573</v>
      </c>
      <c r="J599" s="100">
        <f t="shared" si="405"/>
        <v>-0.76567656765676573</v>
      </c>
      <c r="K599" s="100">
        <f t="shared" si="405"/>
        <v>-0.76567656765676573</v>
      </c>
      <c r="L599" s="100">
        <f t="shared" si="405"/>
        <v>-0.76567656765676573</v>
      </c>
      <c r="M599" s="100">
        <f t="shared" si="405"/>
        <v>-0.76567656765676573</v>
      </c>
      <c r="N599" s="100">
        <f t="shared" si="405"/>
        <v>-0.61794354838709675</v>
      </c>
      <c r="O599" s="100">
        <f t="shared" si="405"/>
        <v>-0.61794354838709675</v>
      </c>
      <c r="P599" s="100">
        <f t="shared" si="405"/>
        <v>-0.61794354838709675</v>
      </c>
      <c r="Q599" s="100">
        <f t="shared" si="405"/>
        <v>-0.61794354838709675</v>
      </c>
      <c r="R599" s="100">
        <f t="shared" si="405"/>
        <v>-0.61794354838709675</v>
      </c>
      <c r="S599" s="100">
        <f t="shared" si="405"/>
        <v>-0.61794354838709675</v>
      </c>
      <c r="T599" s="100">
        <f t="shared" si="405"/>
        <v>-0.62613981762917936</v>
      </c>
      <c r="U599" s="100">
        <f t="shared" si="405"/>
        <v>-0.62449392712550611</v>
      </c>
      <c r="V599" s="100">
        <f t="shared" si="405"/>
        <v>-0.62778904665314406</v>
      </c>
      <c r="W599" s="100">
        <f t="shared" si="405"/>
        <v>-0.61794354838709675</v>
      </c>
    </row>
    <row r="600" spans="1:23" ht="21" thickBot="1" x14ac:dyDescent="0.35"/>
    <row r="601" spans="1:23" s="19" customFormat="1" ht="24" thickBot="1" x14ac:dyDescent="0.4">
      <c r="A601" s="19" t="s">
        <v>295</v>
      </c>
      <c r="B601" s="345" t="s">
        <v>92</v>
      </c>
      <c r="C601" s="68"/>
      <c r="D601" s="17" t="s">
        <v>5</v>
      </c>
      <c r="E601" s="18" t="s">
        <v>6</v>
      </c>
      <c r="F601" s="18" t="s">
        <v>7</v>
      </c>
      <c r="G601" s="18" t="s">
        <v>8</v>
      </c>
      <c r="H601" s="18" t="s">
        <v>9</v>
      </c>
      <c r="I601" s="18" t="s">
        <v>10</v>
      </c>
      <c r="J601" s="18" t="s">
        <v>11</v>
      </c>
      <c r="K601" s="18" t="s">
        <v>12</v>
      </c>
      <c r="L601" s="18" t="s">
        <v>13</v>
      </c>
      <c r="M601" s="18" t="s">
        <v>14</v>
      </c>
      <c r="N601" s="18" t="s">
        <v>15</v>
      </c>
      <c r="O601" s="18" t="s">
        <v>16</v>
      </c>
      <c r="P601" s="18" t="s">
        <v>17</v>
      </c>
      <c r="Q601" s="18" t="s">
        <v>18</v>
      </c>
      <c r="R601" s="18" t="s">
        <v>19</v>
      </c>
      <c r="S601" s="18" t="s">
        <v>20</v>
      </c>
      <c r="T601" s="18" t="s">
        <v>21</v>
      </c>
      <c r="U601" s="18" t="s">
        <v>22</v>
      </c>
      <c r="V601" s="18" t="s">
        <v>23</v>
      </c>
      <c r="W601" s="18" t="s">
        <v>166</v>
      </c>
    </row>
    <row r="602" spans="1:23" x14ac:dyDescent="0.3">
      <c r="B602" s="54" t="s">
        <v>50</v>
      </c>
      <c r="C602" s="55"/>
      <c r="D602" s="20">
        <v>155</v>
      </c>
      <c r="E602" s="20">
        <v>155</v>
      </c>
      <c r="F602" s="20">
        <v>155</v>
      </c>
      <c r="G602" s="20">
        <v>155</v>
      </c>
      <c r="H602" s="20">
        <v>155</v>
      </c>
      <c r="I602" s="20">
        <v>155</v>
      </c>
      <c r="J602" s="20">
        <v>155</v>
      </c>
      <c r="K602" s="20">
        <v>155</v>
      </c>
      <c r="L602" s="20">
        <v>155</v>
      </c>
      <c r="M602" s="20">
        <v>155</v>
      </c>
      <c r="N602" s="20">
        <v>155</v>
      </c>
      <c r="O602" s="20">
        <v>155</v>
      </c>
      <c r="P602" s="20">
        <v>155</v>
      </c>
      <c r="Q602" s="20">
        <v>155</v>
      </c>
      <c r="R602" s="20">
        <v>155</v>
      </c>
      <c r="S602" s="20">
        <v>155</v>
      </c>
      <c r="T602" s="20">
        <v>155</v>
      </c>
      <c r="U602" s="20">
        <v>155</v>
      </c>
      <c r="V602" s="20">
        <v>155</v>
      </c>
      <c r="W602" s="20">
        <v>155</v>
      </c>
    </row>
    <row r="603" spans="1:23" ht="23" x14ac:dyDescent="0.35">
      <c r="B603" s="340" t="s">
        <v>51</v>
      </c>
      <c r="C603" s="341"/>
      <c r="D603" s="366"/>
      <c r="E603" s="363"/>
      <c r="F603" s="363"/>
      <c r="G603" s="363"/>
      <c r="H603" s="363"/>
      <c r="I603" s="365"/>
      <c r="J603" s="365"/>
      <c r="K603" s="365"/>
      <c r="L603" s="365"/>
      <c r="M603" s="365"/>
      <c r="N603" s="363"/>
      <c r="O603" s="363"/>
      <c r="P603" s="363"/>
      <c r="Q603" s="363"/>
      <c r="R603" s="365"/>
      <c r="S603" s="365"/>
      <c r="T603" s="365"/>
      <c r="U603" s="365"/>
      <c r="V603" s="365"/>
      <c r="W603" s="365"/>
    </row>
    <row r="604" spans="1:23" x14ac:dyDescent="0.3">
      <c r="B604" s="54"/>
      <c r="C604" s="55"/>
      <c r="D604" s="20">
        <f t="shared" ref="D604:V604" si="406">D602*(1-D603)</f>
        <v>155</v>
      </c>
      <c r="E604" s="20">
        <f t="shared" si="406"/>
        <v>155</v>
      </c>
      <c r="F604" s="20">
        <f t="shared" si="406"/>
        <v>155</v>
      </c>
      <c r="G604" s="20">
        <f t="shared" si="406"/>
        <v>155</v>
      </c>
      <c r="H604" s="20">
        <f t="shared" si="406"/>
        <v>155</v>
      </c>
      <c r="I604" s="20">
        <f t="shared" si="406"/>
        <v>155</v>
      </c>
      <c r="J604" s="20">
        <f t="shared" si="406"/>
        <v>155</v>
      </c>
      <c r="K604" s="20">
        <f t="shared" si="406"/>
        <v>155</v>
      </c>
      <c r="L604" s="20">
        <f t="shared" si="406"/>
        <v>155</v>
      </c>
      <c r="M604" s="20">
        <f t="shared" si="406"/>
        <v>155</v>
      </c>
      <c r="N604" s="20">
        <f t="shared" si="406"/>
        <v>155</v>
      </c>
      <c r="O604" s="20">
        <f t="shared" si="406"/>
        <v>155</v>
      </c>
      <c r="P604" s="20">
        <f t="shared" si="406"/>
        <v>155</v>
      </c>
      <c r="Q604" s="20">
        <f t="shared" si="406"/>
        <v>155</v>
      </c>
      <c r="R604" s="20">
        <f t="shared" si="406"/>
        <v>155</v>
      </c>
      <c r="S604" s="20">
        <f t="shared" si="406"/>
        <v>155</v>
      </c>
      <c r="T604" s="20">
        <f t="shared" si="406"/>
        <v>155</v>
      </c>
      <c r="U604" s="20">
        <f t="shared" si="406"/>
        <v>155</v>
      </c>
      <c r="V604" s="20">
        <f t="shared" si="406"/>
        <v>155</v>
      </c>
      <c r="W604" s="20">
        <f>W602*(1-W603)</f>
        <v>155</v>
      </c>
    </row>
    <row r="605" spans="1:23" x14ac:dyDescent="0.3">
      <c r="B605" s="54" t="s">
        <v>51</v>
      </c>
      <c r="C605" s="56">
        <v>0</v>
      </c>
      <c r="D605" s="20">
        <f>D604*$C605</f>
        <v>0</v>
      </c>
      <c r="E605" s="20">
        <f t="shared" ref="E605:V605" si="407">E604*$C605</f>
        <v>0</v>
      </c>
      <c r="F605" s="20">
        <f t="shared" si="407"/>
        <v>0</v>
      </c>
      <c r="G605" s="20">
        <f t="shared" si="407"/>
        <v>0</v>
      </c>
      <c r="H605" s="20">
        <f t="shared" si="407"/>
        <v>0</v>
      </c>
      <c r="I605" s="20">
        <f t="shared" si="407"/>
        <v>0</v>
      </c>
      <c r="J605" s="20">
        <f t="shared" si="407"/>
        <v>0</v>
      </c>
      <c r="K605" s="20">
        <f t="shared" si="407"/>
        <v>0</v>
      </c>
      <c r="L605" s="20">
        <f t="shared" si="407"/>
        <v>0</v>
      </c>
      <c r="M605" s="20">
        <f t="shared" si="407"/>
        <v>0</v>
      </c>
      <c r="N605" s="20">
        <f t="shared" si="407"/>
        <v>0</v>
      </c>
      <c r="O605" s="20">
        <f t="shared" si="407"/>
        <v>0</v>
      </c>
      <c r="P605" s="20">
        <f t="shared" si="407"/>
        <v>0</v>
      </c>
      <c r="Q605" s="20">
        <f t="shared" si="407"/>
        <v>0</v>
      </c>
      <c r="R605" s="20">
        <f t="shared" si="407"/>
        <v>0</v>
      </c>
      <c r="S605" s="20">
        <f t="shared" si="407"/>
        <v>0</v>
      </c>
      <c r="T605" s="20">
        <f t="shared" si="407"/>
        <v>0</v>
      </c>
      <c r="U605" s="20">
        <f t="shared" si="407"/>
        <v>0</v>
      </c>
      <c r="V605" s="20">
        <f t="shared" si="407"/>
        <v>0</v>
      </c>
      <c r="W605" s="20">
        <f>W604*$C605</f>
        <v>0</v>
      </c>
    </row>
    <row r="606" spans="1:23" x14ac:dyDescent="0.3">
      <c r="B606" s="54" t="s">
        <v>67</v>
      </c>
      <c r="C606" s="55"/>
      <c r="D606" s="20">
        <f>D604-D605</f>
        <v>155</v>
      </c>
      <c r="E606" s="20">
        <f t="shared" ref="E606:V606" si="408">E604-E605</f>
        <v>155</v>
      </c>
      <c r="F606" s="20">
        <f t="shared" si="408"/>
        <v>155</v>
      </c>
      <c r="G606" s="20">
        <f t="shared" si="408"/>
        <v>155</v>
      </c>
      <c r="H606" s="20">
        <f t="shared" si="408"/>
        <v>155</v>
      </c>
      <c r="I606" s="20">
        <f t="shared" si="408"/>
        <v>155</v>
      </c>
      <c r="J606" s="20">
        <f t="shared" si="408"/>
        <v>155</v>
      </c>
      <c r="K606" s="20">
        <f t="shared" si="408"/>
        <v>155</v>
      </c>
      <c r="L606" s="20">
        <f t="shared" si="408"/>
        <v>155</v>
      </c>
      <c r="M606" s="20">
        <f t="shared" si="408"/>
        <v>155</v>
      </c>
      <c r="N606" s="20">
        <f t="shared" si="408"/>
        <v>155</v>
      </c>
      <c r="O606" s="20">
        <f t="shared" si="408"/>
        <v>155</v>
      </c>
      <c r="P606" s="20">
        <f t="shared" si="408"/>
        <v>155</v>
      </c>
      <c r="Q606" s="20">
        <f t="shared" si="408"/>
        <v>155</v>
      </c>
      <c r="R606" s="20">
        <f t="shared" si="408"/>
        <v>155</v>
      </c>
      <c r="S606" s="20">
        <f t="shared" si="408"/>
        <v>155</v>
      </c>
      <c r="T606" s="20">
        <f t="shared" si="408"/>
        <v>155</v>
      </c>
      <c r="U606" s="20">
        <f t="shared" si="408"/>
        <v>155</v>
      </c>
      <c r="V606" s="20">
        <f t="shared" si="408"/>
        <v>155</v>
      </c>
      <c r="W606" s="20">
        <f>W604-W605</f>
        <v>155</v>
      </c>
    </row>
    <row r="607" spans="1:23" x14ac:dyDescent="0.3">
      <c r="B607" s="54" t="s">
        <v>66</v>
      </c>
      <c r="C607" s="56">
        <v>7.0000000000000007E-2</v>
      </c>
      <c r="D607" s="20">
        <f>D606*$C607</f>
        <v>10.850000000000001</v>
      </c>
      <c r="E607" s="20">
        <f t="shared" ref="E607:V607" si="409">E606*$C607</f>
        <v>10.850000000000001</v>
      </c>
      <c r="F607" s="20">
        <f t="shared" si="409"/>
        <v>10.850000000000001</v>
      </c>
      <c r="G607" s="20">
        <f t="shared" si="409"/>
        <v>10.850000000000001</v>
      </c>
      <c r="H607" s="20">
        <f t="shared" si="409"/>
        <v>10.850000000000001</v>
      </c>
      <c r="I607" s="20">
        <f t="shared" si="409"/>
        <v>10.850000000000001</v>
      </c>
      <c r="J607" s="20">
        <f t="shared" si="409"/>
        <v>10.850000000000001</v>
      </c>
      <c r="K607" s="20">
        <f t="shared" si="409"/>
        <v>10.850000000000001</v>
      </c>
      <c r="L607" s="20">
        <f t="shared" si="409"/>
        <v>10.850000000000001</v>
      </c>
      <c r="M607" s="20">
        <f t="shared" si="409"/>
        <v>10.850000000000001</v>
      </c>
      <c r="N607" s="20">
        <f t="shared" si="409"/>
        <v>10.850000000000001</v>
      </c>
      <c r="O607" s="20">
        <f t="shared" si="409"/>
        <v>10.850000000000001</v>
      </c>
      <c r="P607" s="20">
        <f t="shared" si="409"/>
        <v>10.850000000000001</v>
      </c>
      <c r="Q607" s="20">
        <f t="shared" si="409"/>
        <v>10.850000000000001</v>
      </c>
      <c r="R607" s="20">
        <f t="shared" si="409"/>
        <v>10.850000000000001</v>
      </c>
      <c r="S607" s="20">
        <f t="shared" si="409"/>
        <v>10.850000000000001</v>
      </c>
      <c r="T607" s="20">
        <f t="shared" si="409"/>
        <v>10.850000000000001</v>
      </c>
      <c r="U607" s="20">
        <f t="shared" si="409"/>
        <v>10.850000000000001</v>
      </c>
      <c r="V607" s="20">
        <f t="shared" si="409"/>
        <v>10.850000000000001</v>
      </c>
      <c r="W607" s="20">
        <f>W606*$C607</f>
        <v>10.850000000000001</v>
      </c>
    </row>
    <row r="608" spans="1:23" x14ac:dyDescent="0.3">
      <c r="B608" s="54" t="s">
        <v>68</v>
      </c>
      <c r="C608" s="55"/>
      <c r="D608" s="20">
        <f>D606+D607</f>
        <v>165.85</v>
      </c>
      <c r="E608" s="20">
        <f t="shared" ref="E608:V608" si="410">E606+E607</f>
        <v>165.85</v>
      </c>
      <c r="F608" s="20">
        <f t="shared" si="410"/>
        <v>165.85</v>
      </c>
      <c r="G608" s="20">
        <f t="shared" si="410"/>
        <v>165.85</v>
      </c>
      <c r="H608" s="20">
        <f t="shared" si="410"/>
        <v>165.85</v>
      </c>
      <c r="I608" s="20">
        <f t="shared" si="410"/>
        <v>165.85</v>
      </c>
      <c r="J608" s="20">
        <f t="shared" si="410"/>
        <v>165.85</v>
      </c>
      <c r="K608" s="20">
        <f t="shared" si="410"/>
        <v>165.85</v>
      </c>
      <c r="L608" s="20">
        <f t="shared" si="410"/>
        <v>165.85</v>
      </c>
      <c r="M608" s="20">
        <f t="shared" si="410"/>
        <v>165.85</v>
      </c>
      <c r="N608" s="20">
        <f t="shared" si="410"/>
        <v>165.85</v>
      </c>
      <c r="O608" s="20">
        <f t="shared" si="410"/>
        <v>165.85</v>
      </c>
      <c r="P608" s="20">
        <f t="shared" si="410"/>
        <v>165.85</v>
      </c>
      <c r="Q608" s="20">
        <f t="shared" si="410"/>
        <v>165.85</v>
      </c>
      <c r="R608" s="20">
        <f t="shared" si="410"/>
        <v>165.85</v>
      </c>
      <c r="S608" s="20">
        <f t="shared" si="410"/>
        <v>165.85</v>
      </c>
      <c r="T608" s="20">
        <f t="shared" si="410"/>
        <v>165.85</v>
      </c>
      <c r="U608" s="20">
        <f t="shared" si="410"/>
        <v>165.85</v>
      </c>
      <c r="V608" s="20">
        <f t="shared" si="410"/>
        <v>165.85</v>
      </c>
      <c r="W608" s="20">
        <f>W606+W607</f>
        <v>165.85</v>
      </c>
    </row>
    <row r="609" spans="1:23" ht="23" x14ac:dyDescent="0.35">
      <c r="B609" s="357" t="s">
        <v>52</v>
      </c>
      <c r="C609" s="358"/>
      <c r="D609" s="381"/>
      <c r="E609" s="381"/>
      <c r="F609" s="381"/>
      <c r="G609" s="381"/>
      <c r="H609" s="381"/>
      <c r="I609" s="381"/>
      <c r="J609" s="381"/>
      <c r="K609" s="381"/>
      <c r="L609" s="381"/>
      <c r="M609" s="381"/>
      <c r="N609" s="381"/>
      <c r="O609" s="381"/>
      <c r="P609" s="381"/>
      <c r="Q609" s="381"/>
      <c r="R609" s="381"/>
      <c r="S609" s="381"/>
      <c r="T609" s="381"/>
      <c r="U609" s="381"/>
      <c r="V609" s="381"/>
      <c r="W609" s="381"/>
    </row>
    <row r="610" spans="1:23" x14ac:dyDescent="0.3">
      <c r="B610" s="57" t="s">
        <v>53</v>
      </c>
      <c r="C610" s="58"/>
      <c r="D610" s="25">
        <f>SUM(D608:D609)</f>
        <v>165.85</v>
      </c>
      <c r="E610" s="26">
        <f t="shared" ref="E610:V610" si="411">SUM(E608:E609)</f>
        <v>165.85</v>
      </c>
      <c r="F610" s="26">
        <f t="shared" si="411"/>
        <v>165.85</v>
      </c>
      <c r="G610" s="26">
        <f t="shared" si="411"/>
        <v>165.85</v>
      </c>
      <c r="H610" s="26">
        <f t="shared" si="411"/>
        <v>165.85</v>
      </c>
      <c r="I610" s="26">
        <f t="shared" si="411"/>
        <v>165.85</v>
      </c>
      <c r="J610" s="26">
        <f t="shared" si="411"/>
        <v>165.85</v>
      </c>
      <c r="K610" s="26">
        <f t="shared" si="411"/>
        <v>165.85</v>
      </c>
      <c r="L610" s="26">
        <f t="shared" si="411"/>
        <v>165.85</v>
      </c>
      <c r="M610" s="26">
        <f t="shared" si="411"/>
        <v>165.85</v>
      </c>
      <c r="N610" s="26">
        <f t="shared" si="411"/>
        <v>165.85</v>
      </c>
      <c r="O610" s="26">
        <f t="shared" si="411"/>
        <v>165.85</v>
      </c>
      <c r="P610" s="26">
        <f t="shared" si="411"/>
        <v>165.85</v>
      </c>
      <c r="Q610" s="26">
        <f t="shared" si="411"/>
        <v>165.85</v>
      </c>
      <c r="R610" s="26">
        <f t="shared" si="411"/>
        <v>165.85</v>
      </c>
      <c r="S610" s="26">
        <f t="shared" si="411"/>
        <v>165.85</v>
      </c>
      <c r="T610" s="26">
        <f t="shared" si="411"/>
        <v>165.85</v>
      </c>
      <c r="U610" s="26">
        <f t="shared" si="411"/>
        <v>165.85</v>
      </c>
      <c r="V610" s="26">
        <f t="shared" si="411"/>
        <v>165.85</v>
      </c>
      <c r="W610" s="26">
        <f>SUM(W608:W609)</f>
        <v>165.85</v>
      </c>
    </row>
    <row r="611" spans="1:23" ht="23" x14ac:dyDescent="0.35">
      <c r="B611" s="336" t="s">
        <v>54</v>
      </c>
      <c r="C611" s="337"/>
      <c r="D611" s="338"/>
      <c r="E611" s="338"/>
      <c r="F611" s="338"/>
      <c r="G611" s="338"/>
      <c r="H611" s="338"/>
      <c r="I611" s="338"/>
      <c r="J611" s="338"/>
      <c r="K611" s="338"/>
      <c r="L611" s="338"/>
      <c r="M611" s="338"/>
      <c r="N611" s="338"/>
      <c r="O611" s="338"/>
      <c r="P611" s="338"/>
      <c r="Q611" s="338"/>
      <c r="R611" s="338"/>
      <c r="S611" s="338"/>
      <c r="T611" s="338"/>
      <c r="U611" s="338"/>
      <c r="V611" s="338"/>
      <c r="W611" s="338"/>
    </row>
    <row r="612" spans="1:23" ht="23" x14ac:dyDescent="0.35">
      <c r="B612" s="353" t="s">
        <v>55</v>
      </c>
      <c r="C612" s="354"/>
      <c r="D612" s="355">
        <f>D610</f>
        <v>165.85</v>
      </c>
      <c r="E612" s="356">
        <f t="shared" ref="E612:W612" si="412">E610</f>
        <v>165.85</v>
      </c>
      <c r="F612" s="356">
        <f t="shared" si="412"/>
        <v>165.85</v>
      </c>
      <c r="G612" s="356">
        <f t="shared" si="412"/>
        <v>165.85</v>
      </c>
      <c r="H612" s="356">
        <f t="shared" si="412"/>
        <v>165.85</v>
      </c>
      <c r="I612" s="356">
        <f t="shared" si="412"/>
        <v>165.85</v>
      </c>
      <c r="J612" s="356">
        <f t="shared" si="412"/>
        <v>165.85</v>
      </c>
      <c r="K612" s="356">
        <f t="shared" si="412"/>
        <v>165.85</v>
      </c>
      <c r="L612" s="356">
        <f t="shared" si="412"/>
        <v>165.85</v>
      </c>
      <c r="M612" s="356">
        <f t="shared" si="412"/>
        <v>165.85</v>
      </c>
      <c r="N612" s="356">
        <f t="shared" si="412"/>
        <v>165.85</v>
      </c>
      <c r="O612" s="356">
        <f t="shared" si="412"/>
        <v>165.85</v>
      </c>
      <c r="P612" s="356">
        <f t="shared" si="412"/>
        <v>165.85</v>
      </c>
      <c r="Q612" s="356">
        <f t="shared" si="412"/>
        <v>165.85</v>
      </c>
      <c r="R612" s="356">
        <f t="shared" si="412"/>
        <v>165.85</v>
      </c>
      <c r="S612" s="356">
        <f t="shared" si="412"/>
        <v>165.85</v>
      </c>
      <c r="T612" s="356">
        <f t="shared" si="412"/>
        <v>165.85</v>
      </c>
      <c r="U612" s="356">
        <f t="shared" si="412"/>
        <v>165.85</v>
      </c>
      <c r="V612" s="356">
        <f t="shared" si="412"/>
        <v>165.85</v>
      </c>
      <c r="W612" s="356">
        <f t="shared" si="412"/>
        <v>165.85</v>
      </c>
    </row>
    <row r="613" spans="1:23" x14ac:dyDescent="0.3">
      <c r="B613" s="61" t="s">
        <v>194</v>
      </c>
      <c r="C613" s="55"/>
      <c r="D613" s="181">
        <v>147.326525</v>
      </c>
      <c r="E613" s="181">
        <v>147.326525</v>
      </c>
      <c r="F613" s="181">
        <v>147.326525</v>
      </c>
      <c r="G613" s="181">
        <v>147.326525</v>
      </c>
      <c r="H613" s="181">
        <v>147.326525</v>
      </c>
      <c r="I613" s="181">
        <v>147.326525</v>
      </c>
      <c r="J613" s="181">
        <v>147.326525</v>
      </c>
      <c r="K613" s="181">
        <v>147.326525</v>
      </c>
      <c r="L613" s="181">
        <v>147.326525</v>
      </c>
      <c r="M613" s="181">
        <v>147.326525</v>
      </c>
      <c r="N613" s="181">
        <v>149.076525</v>
      </c>
      <c r="O613" s="181">
        <v>149.076525</v>
      </c>
      <c r="P613" s="181">
        <v>149.076525</v>
      </c>
      <c r="Q613" s="181">
        <v>149.076525</v>
      </c>
      <c r="R613" s="181">
        <v>147.26385999999999</v>
      </c>
      <c r="S613" s="181">
        <v>147.26385999999999</v>
      </c>
      <c r="T613" s="181">
        <v>147.176525</v>
      </c>
      <c r="U613" s="181">
        <v>147.25152500000002</v>
      </c>
      <c r="V613" s="181">
        <v>147.076525</v>
      </c>
      <c r="W613" s="181">
        <v>147.26385999999999</v>
      </c>
    </row>
    <row r="614" spans="1:23" s="51" customFormat="1" x14ac:dyDescent="0.3">
      <c r="A614" s="407"/>
      <c r="B614" s="61" t="s">
        <v>195</v>
      </c>
      <c r="C614" s="62"/>
      <c r="D614" s="283">
        <v>148</v>
      </c>
      <c r="E614" s="283">
        <v>148</v>
      </c>
      <c r="F614" s="283">
        <v>148</v>
      </c>
      <c r="G614" s="283">
        <v>148</v>
      </c>
      <c r="H614" s="283">
        <v>148</v>
      </c>
      <c r="I614" s="283">
        <v>148</v>
      </c>
      <c r="J614" s="283">
        <v>148</v>
      </c>
      <c r="K614" s="283">
        <v>148</v>
      </c>
      <c r="L614" s="283">
        <v>148</v>
      </c>
      <c r="M614" s="283">
        <v>148</v>
      </c>
      <c r="N614" s="283">
        <v>150</v>
      </c>
      <c r="O614" s="283">
        <v>150</v>
      </c>
      <c r="P614" s="283">
        <v>150</v>
      </c>
      <c r="Q614" s="283">
        <v>150</v>
      </c>
      <c r="R614" s="283">
        <v>148</v>
      </c>
      <c r="S614" s="283">
        <v>148</v>
      </c>
      <c r="T614" s="283">
        <v>148</v>
      </c>
      <c r="U614" s="283">
        <v>148</v>
      </c>
      <c r="V614" s="283">
        <v>148</v>
      </c>
      <c r="W614" s="283">
        <v>148</v>
      </c>
    </row>
    <row r="615" spans="1:23" s="51" customFormat="1" x14ac:dyDescent="0.3">
      <c r="A615" s="407"/>
      <c r="B615" s="61" t="s">
        <v>196</v>
      </c>
      <c r="C615" s="62"/>
      <c r="D615" s="283">
        <v>149</v>
      </c>
      <c r="E615" s="283">
        <v>149</v>
      </c>
      <c r="F615" s="283">
        <v>149</v>
      </c>
      <c r="G615" s="283">
        <v>149</v>
      </c>
      <c r="H615" s="283">
        <v>149</v>
      </c>
      <c r="I615" s="283">
        <v>149</v>
      </c>
      <c r="J615" s="283">
        <v>149</v>
      </c>
      <c r="K615" s="283">
        <v>149</v>
      </c>
      <c r="L615" s="283">
        <v>149</v>
      </c>
      <c r="M615" s="283">
        <v>149</v>
      </c>
      <c r="N615" s="283">
        <v>151</v>
      </c>
      <c r="O615" s="283">
        <v>151</v>
      </c>
      <c r="P615" s="283">
        <v>151</v>
      </c>
      <c r="Q615" s="283">
        <v>151</v>
      </c>
      <c r="R615" s="283">
        <v>149</v>
      </c>
      <c r="S615" s="283">
        <v>149</v>
      </c>
      <c r="T615" s="283">
        <v>149</v>
      </c>
      <c r="U615" s="283">
        <v>149</v>
      </c>
      <c r="V615" s="283">
        <v>149</v>
      </c>
      <c r="W615" s="283">
        <v>149</v>
      </c>
    </row>
    <row r="616" spans="1:23" s="51" customFormat="1" x14ac:dyDescent="0.3">
      <c r="A616" s="407"/>
      <c r="B616" s="61" t="s">
        <v>197</v>
      </c>
      <c r="C616" s="62"/>
      <c r="D616" s="283">
        <v>151</v>
      </c>
      <c r="E616" s="283">
        <v>151</v>
      </c>
      <c r="F616" s="283">
        <v>151</v>
      </c>
      <c r="G616" s="283">
        <v>151</v>
      </c>
      <c r="H616" s="283">
        <v>151</v>
      </c>
      <c r="I616" s="283">
        <v>151</v>
      </c>
      <c r="J616" s="283">
        <v>151</v>
      </c>
      <c r="K616" s="283">
        <v>151</v>
      </c>
      <c r="L616" s="283">
        <v>151</v>
      </c>
      <c r="M616" s="283">
        <v>151</v>
      </c>
      <c r="N616" s="283">
        <v>153</v>
      </c>
      <c r="O616" s="283">
        <v>153</v>
      </c>
      <c r="P616" s="283">
        <v>153</v>
      </c>
      <c r="Q616" s="283">
        <v>153</v>
      </c>
      <c r="R616" s="283">
        <v>151</v>
      </c>
      <c r="S616" s="283">
        <v>151</v>
      </c>
      <c r="T616" s="283">
        <v>151</v>
      </c>
      <c r="U616" s="283">
        <v>151</v>
      </c>
      <c r="V616" s="283">
        <v>151</v>
      </c>
      <c r="W616" s="283">
        <v>151</v>
      </c>
    </row>
    <row r="617" spans="1:23" s="33" customFormat="1" x14ac:dyDescent="0.3">
      <c r="A617" s="405"/>
      <c r="B617" s="63" t="s">
        <v>198</v>
      </c>
      <c r="C617" s="64"/>
      <c r="D617" s="31">
        <f t="shared" ref="D617:E620" si="413">+D613-D$612</f>
        <v>-18.523474999999991</v>
      </c>
      <c r="E617" s="31">
        <f t="shared" si="413"/>
        <v>-18.523474999999991</v>
      </c>
      <c r="F617" s="31">
        <f t="shared" ref="F617:W617" si="414">+F613-F$612</f>
        <v>-18.523474999999991</v>
      </c>
      <c r="G617" s="31">
        <f t="shared" si="414"/>
        <v>-18.523474999999991</v>
      </c>
      <c r="H617" s="31">
        <f t="shared" si="414"/>
        <v>-18.523474999999991</v>
      </c>
      <c r="I617" s="31">
        <f t="shared" si="414"/>
        <v>-18.523474999999991</v>
      </c>
      <c r="J617" s="31">
        <f t="shared" si="414"/>
        <v>-18.523474999999991</v>
      </c>
      <c r="K617" s="31">
        <f t="shared" si="414"/>
        <v>-18.523474999999991</v>
      </c>
      <c r="L617" s="31">
        <f t="shared" si="414"/>
        <v>-18.523474999999991</v>
      </c>
      <c r="M617" s="31">
        <f t="shared" si="414"/>
        <v>-18.523474999999991</v>
      </c>
      <c r="N617" s="31">
        <f t="shared" si="414"/>
        <v>-16.773474999999991</v>
      </c>
      <c r="O617" s="31">
        <f t="shared" si="414"/>
        <v>-16.773474999999991</v>
      </c>
      <c r="P617" s="31">
        <f t="shared" si="414"/>
        <v>-16.773474999999991</v>
      </c>
      <c r="Q617" s="31">
        <f t="shared" si="414"/>
        <v>-16.773474999999991</v>
      </c>
      <c r="R617" s="31">
        <f t="shared" si="414"/>
        <v>-18.58614</v>
      </c>
      <c r="S617" s="31">
        <f t="shared" si="414"/>
        <v>-18.58614</v>
      </c>
      <c r="T617" s="31">
        <f t="shared" si="414"/>
        <v>-18.673474999999996</v>
      </c>
      <c r="U617" s="31">
        <f t="shared" si="414"/>
        <v>-18.598474999999979</v>
      </c>
      <c r="V617" s="31">
        <f t="shared" si="414"/>
        <v>-18.773474999999991</v>
      </c>
      <c r="W617" s="31">
        <f t="shared" si="414"/>
        <v>-18.58614</v>
      </c>
    </row>
    <row r="618" spans="1:23" s="33" customFormat="1" x14ac:dyDescent="0.3">
      <c r="A618" s="405"/>
      <c r="B618" s="63" t="s">
        <v>199</v>
      </c>
      <c r="C618" s="64"/>
      <c r="D618" s="31">
        <f t="shared" si="413"/>
        <v>-17.849999999999994</v>
      </c>
      <c r="E618" s="31">
        <f t="shared" si="413"/>
        <v>-17.849999999999994</v>
      </c>
      <c r="F618" s="31">
        <f t="shared" ref="F618:W618" si="415">+F614-F$612</f>
        <v>-17.849999999999994</v>
      </c>
      <c r="G618" s="31">
        <f t="shared" si="415"/>
        <v>-17.849999999999994</v>
      </c>
      <c r="H618" s="31">
        <f t="shared" si="415"/>
        <v>-17.849999999999994</v>
      </c>
      <c r="I618" s="31">
        <f t="shared" si="415"/>
        <v>-17.849999999999994</v>
      </c>
      <c r="J618" s="31">
        <f t="shared" si="415"/>
        <v>-17.849999999999994</v>
      </c>
      <c r="K618" s="31">
        <f t="shared" si="415"/>
        <v>-17.849999999999994</v>
      </c>
      <c r="L618" s="31">
        <f t="shared" si="415"/>
        <v>-17.849999999999994</v>
      </c>
      <c r="M618" s="31">
        <f t="shared" si="415"/>
        <v>-17.849999999999994</v>
      </c>
      <c r="N618" s="31">
        <f t="shared" si="415"/>
        <v>-15.849999999999994</v>
      </c>
      <c r="O618" s="31">
        <f t="shared" si="415"/>
        <v>-15.849999999999994</v>
      </c>
      <c r="P618" s="31">
        <f t="shared" si="415"/>
        <v>-15.849999999999994</v>
      </c>
      <c r="Q618" s="31">
        <f t="shared" si="415"/>
        <v>-15.849999999999994</v>
      </c>
      <c r="R618" s="31">
        <f t="shared" si="415"/>
        <v>-17.849999999999994</v>
      </c>
      <c r="S618" s="31">
        <f t="shared" si="415"/>
        <v>-17.849999999999994</v>
      </c>
      <c r="T618" s="31">
        <f t="shared" si="415"/>
        <v>-17.849999999999994</v>
      </c>
      <c r="U618" s="31">
        <f t="shared" si="415"/>
        <v>-17.849999999999994</v>
      </c>
      <c r="V618" s="31">
        <f t="shared" si="415"/>
        <v>-17.849999999999994</v>
      </c>
      <c r="W618" s="31">
        <f t="shared" si="415"/>
        <v>-17.849999999999994</v>
      </c>
    </row>
    <row r="619" spans="1:23" s="33" customFormat="1" x14ac:dyDescent="0.3">
      <c r="A619" s="405"/>
      <c r="B619" s="63" t="s">
        <v>200</v>
      </c>
      <c r="C619" s="64"/>
      <c r="D619" s="31">
        <f t="shared" si="413"/>
        <v>-16.849999999999994</v>
      </c>
      <c r="E619" s="31">
        <f t="shared" si="413"/>
        <v>-16.849999999999994</v>
      </c>
      <c r="F619" s="31">
        <f t="shared" ref="F619:W619" si="416">+F615-F$612</f>
        <v>-16.849999999999994</v>
      </c>
      <c r="G619" s="31">
        <f t="shared" si="416"/>
        <v>-16.849999999999994</v>
      </c>
      <c r="H619" s="31">
        <f t="shared" si="416"/>
        <v>-16.849999999999994</v>
      </c>
      <c r="I619" s="31">
        <f t="shared" si="416"/>
        <v>-16.849999999999994</v>
      </c>
      <c r="J619" s="31">
        <f t="shared" si="416"/>
        <v>-16.849999999999994</v>
      </c>
      <c r="K619" s="31">
        <f t="shared" si="416"/>
        <v>-16.849999999999994</v>
      </c>
      <c r="L619" s="31">
        <f t="shared" si="416"/>
        <v>-16.849999999999994</v>
      </c>
      <c r="M619" s="31">
        <f t="shared" si="416"/>
        <v>-16.849999999999994</v>
      </c>
      <c r="N619" s="31">
        <f t="shared" si="416"/>
        <v>-14.849999999999994</v>
      </c>
      <c r="O619" s="31">
        <f t="shared" si="416"/>
        <v>-14.849999999999994</v>
      </c>
      <c r="P619" s="31">
        <f t="shared" si="416"/>
        <v>-14.849999999999994</v>
      </c>
      <c r="Q619" s="31">
        <f t="shared" si="416"/>
        <v>-14.849999999999994</v>
      </c>
      <c r="R619" s="31">
        <f t="shared" si="416"/>
        <v>-16.849999999999994</v>
      </c>
      <c r="S619" s="31">
        <f t="shared" si="416"/>
        <v>-16.849999999999994</v>
      </c>
      <c r="T619" s="31">
        <f t="shared" si="416"/>
        <v>-16.849999999999994</v>
      </c>
      <c r="U619" s="31">
        <f t="shared" si="416"/>
        <v>-16.849999999999994</v>
      </c>
      <c r="V619" s="31">
        <f t="shared" si="416"/>
        <v>-16.849999999999994</v>
      </c>
      <c r="W619" s="31">
        <f t="shared" si="416"/>
        <v>-16.849999999999994</v>
      </c>
    </row>
    <row r="620" spans="1:23" x14ac:dyDescent="0.3">
      <c r="B620" s="63" t="s">
        <v>201</v>
      </c>
      <c r="C620" s="64"/>
      <c r="D620" s="31">
        <f t="shared" si="413"/>
        <v>-14.849999999999994</v>
      </c>
      <c r="E620" s="31">
        <f t="shared" si="413"/>
        <v>-14.849999999999994</v>
      </c>
      <c r="F620" s="31">
        <f t="shared" ref="F620:W620" si="417">+F616-F$612</f>
        <v>-14.849999999999994</v>
      </c>
      <c r="G620" s="31">
        <f t="shared" si="417"/>
        <v>-14.849999999999994</v>
      </c>
      <c r="H620" s="31">
        <f t="shared" si="417"/>
        <v>-14.849999999999994</v>
      </c>
      <c r="I620" s="31">
        <f t="shared" si="417"/>
        <v>-14.849999999999994</v>
      </c>
      <c r="J620" s="31">
        <f t="shared" si="417"/>
        <v>-14.849999999999994</v>
      </c>
      <c r="K620" s="31">
        <f t="shared" si="417"/>
        <v>-14.849999999999994</v>
      </c>
      <c r="L620" s="31">
        <f t="shared" si="417"/>
        <v>-14.849999999999994</v>
      </c>
      <c r="M620" s="31">
        <f t="shared" si="417"/>
        <v>-14.849999999999994</v>
      </c>
      <c r="N620" s="31">
        <f t="shared" si="417"/>
        <v>-12.849999999999994</v>
      </c>
      <c r="O620" s="31">
        <f t="shared" si="417"/>
        <v>-12.849999999999994</v>
      </c>
      <c r="P620" s="31">
        <f t="shared" si="417"/>
        <v>-12.849999999999994</v>
      </c>
      <c r="Q620" s="31">
        <f t="shared" si="417"/>
        <v>-12.849999999999994</v>
      </c>
      <c r="R620" s="31">
        <f t="shared" si="417"/>
        <v>-14.849999999999994</v>
      </c>
      <c r="S620" s="31">
        <f t="shared" si="417"/>
        <v>-14.849999999999994</v>
      </c>
      <c r="T620" s="31">
        <f t="shared" si="417"/>
        <v>-14.849999999999994</v>
      </c>
      <c r="U620" s="31">
        <f t="shared" si="417"/>
        <v>-14.849999999999994</v>
      </c>
      <c r="V620" s="31">
        <f t="shared" si="417"/>
        <v>-14.849999999999994</v>
      </c>
      <c r="W620" s="31">
        <f t="shared" si="417"/>
        <v>-14.849999999999994</v>
      </c>
    </row>
    <row r="621" spans="1:23" s="36" customFormat="1" x14ac:dyDescent="0.3">
      <c r="A621" s="406"/>
      <c r="B621" s="97" t="s">
        <v>202</v>
      </c>
      <c r="C621" s="98"/>
      <c r="D621" s="100">
        <f t="shared" ref="D621:E624" si="418">D617/D613</f>
        <v>-0.12573075350823615</v>
      </c>
      <c r="E621" s="100">
        <f t="shared" si="418"/>
        <v>-0.12573075350823615</v>
      </c>
      <c r="F621" s="100">
        <f t="shared" ref="F621:W621" si="419">F617/F613</f>
        <v>-0.12573075350823615</v>
      </c>
      <c r="G621" s="100">
        <f t="shared" si="419"/>
        <v>-0.12573075350823615</v>
      </c>
      <c r="H621" s="100">
        <f t="shared" si="419"/>
        <v>-0.12573075350823615</v>
      </c>
      <c r="I621" s="100">
        <f t="shared" si="419"/>
        <v>-0.12573075350823615</v>
      </c>
      <c r="J621" s="100">
        <f t="shared" si="419"/>
        <v>-0.12573075350823615</v>
      </c>
      <c r="K621" s="100">
        <f t="shared" si="419"/>
        <v>-0.12573075350823615</v>
      </c>
      <c r="L621" s="100">
        <f t="shared" si="419"/>
        <v>-0.12573075350823615</v>
      </c>
      <c r="M621" s="100">
        <f t="shared" si="419"/>
        <v>-0.12573075350823615</v>
      </c>
      <c r="N621" s="100">
        <f t="shared" si="419"/>
        <v>-0.11251587062416427</v>
      </c>
      <c r="O621" s="100">
        <f t="shared" si="419"/>
        <v>-0.11251587062416427</v>
      </c>
      <c r="P621" s="100">
        <f t="shared" si="419"/>
        <v>-0.11251587062416427</v>
      </c>
      <c r="Q621" s="100">
        <f t="shared" si="419"/>
        <v>-0.11251587062416427</v>
      </c>
      <c r="R621" s="100">
        <f t="shared" si="419"/>
        <v>-0.12620978426071408</v>
      </c>
      <c r="S621" s="100">
        <f t="shared" si="419"/>
        <v>-0.12620978426071408</v>
      </c>
      <c r="T621" s="100">
        <f t="shared" si="419"/>
        <v>-0.12687808059063765</v>
      </c>
      <c r="U621" s="100">
        <f t="shared" si="419"/>
        <v>-0.12630412486390194</v>
      </c>
      <c r="V621" s="100">
        <f t="shared" si="419"/>
        <v>-0.12764426545976654</v>
      </c>
      <c r="W621" s="100">
        <f t="shared" si="419"/>
        <v>-0.12620978426071408</v>
      </c>
    </row>
    <row r="622" spans="1:23" s="36" customFormat="1" x14ac:dyDescent="0.3">
      <c r="A622" s="406"/>
      <c r="B622" s="97" t="s">
        <v>203</v>
      </c>
      <c r="C622" s="98"/>
      <c r="D622" s="100">
        <f t="shared" si="418"/>
        <v>-0.12060810810810807</v>
      </c>
      <c r="E622" s="100">
        <f t="shared" si="418"/>
        <v>-0.12060810810810807</v>
      </c>
      <c r="F622" s="100">
        <f t="shared" ref="F622:W622" si="420">F618/F614</f>
        <v>-0.12060810810810807</v>
      </c>
      <c r="G622" s="100">
        <f t="shared" si="420"/>
        <v>-0.12060810810810807</v>
      </c>
      <c r="H622" s="100">
        <f t="shared" si="420"/>
        <v>-0.12060810810810807</v>
      </c>
      <c r="I622" s="100">
        <f t="shared" si="420"/>
        <v>-0.12060810810810807</v>
      </c>
      <c r="J622" s="100">
        <f t="shared" si="420"/>
        <v>-0.12060810810810807</v>
      </c>
      <c r="K622" s="100">
        <f t="shared" si="420"/>
        <v>-0.12060810810810807</v>
      </c>
      <c r="L622" s="100">
        <f t="shared" si="420"/>
        <v>-0.12060810810810807</v>
      </c>
      <c r="M622" s="100">
        <f t="shared" si="420"/>
        <v>-0.12060810810810807</v>
      </c>
      <c r="N622" s="100">
        <f t="shared" si="420"/>
        <v>-0.10566666666666663</v>
      </c>
      <c r="O622" s="100">
        <f t="shared" si="420"/>
        <v>-0.10566666666666663</v>
      </c>
      <c r="P622" s="100">
        <f t="shared" si="420"/>
        <v>-0.10566666666666663</v>
      </c>
      <c r="Q622" s="100">
        <f t="shared" si="420"/>
        <v>-0.10566666666666663</v>
      </c>
      <c r="R622" s="100">
        <f t="shared" si="420"/>
        <v>-0.12060810810810807</v>
      </c>
      <c r="S622" s="100">
        <f t="shared" si="420"/>
        <v>-0.12060810810810807</v>
      </c>
      <c r="T622" s="100">
        <f t="shared" si="420"/>
        <v>-0.12060810810810807</v>
      </c>
      <c r="U622" s="100">
        <f t="shared" si="420"/>
        <v>-0.12060810810810807</v>
      </c>
      <c r="V622" s="100">
        <f t="shared" si="420"/>
        <v>-0.12060810810810807</v>
      </c>
      <c r="W622" s="100">
        <f t="shared" si="420"/>
        <v>-0.12060810810810807</v>
      </c>
    </row>
    <row r="623" spans="1:23" s="36" customFormat="1" x14ac:dyDescent="0.3">
      <c r="A623" s="406"/>
      <c r="B623" s="97" t="s">
        <v>204</v>
      </c>
      <c r="C623" s="98"/>
      <c r="D623" s="100">
        <f t="shared" si="418"/>
        <v>-0.11308724832214762</v>
      </c>
      <c r="E623" s="100">
        <f t="shared" si="418"/>
        <v>-0.11308724832214762</v>
      </c>
      <c r="F623" s="100">
        <f t="shared" ref="F623:W623" si="421">F619/F615</f>
        <v>-0.11308724832214762</v>
      </c>
      <c r="G623" s="100">
        <f t="shared" si="421"/>
        <v>-0.11308724832214762</v>
      </c>
      <c r="H623" s="100">
        <f t="shared" si="421"/>
        <v>-0.11308724832214762</v>
      </c>
      <c r="I623" s="100">
        <f t="shared" si="421"/>
        <v>-0.11308724832214762</v>
      </c>
      <c r="J623" s="100">
        <f t="shared" si="421"/>
        <v>-0.11308724832214762</v>
      </c>
      <c r="K623" s="100">
        <f t="shared" si="421"/>
        <v>-0.11308724832214762</v>
      </c>
      <c r="L623" s="100">
        <f t="shared" si="421"/>
        <v>-0.11308724832214762</v>
      </c>
      <c r="M623" s="100">
        <f t="shared" si="421"/>
        <v>-0.11308724832214762</v>
      </c>
      <c r="N623" s="100">
        <f t="shared" si="421"/>
        <v>-9.8344370860927108E-2</v>
      </c>
      <c r="O623" s="100">
        <f t="shared" si="421"/>
        <v>-9.8344370860927108E-2</v>
      </c>
      <c r="P623" s="100">
        <f t="shared" si="421"/>
        <v>-9.8344370860927108E-2</v>
      </c>
      <c r="Q623" s="100">
        <f t="shared" si="421"/>
        <v>-9.8344370860927108E-2</v>
      </c>
      <c r="R623" s="100">
        <f t="shared" si="421"/>
        <v>-0.11308724832214762</v>
      </c>
      <c r="S623" s="100">
        <f t="shared" si="421"/>
        <v>-0.11308724832214762</v>
      </c>
      <c r="T623" s="100">
        <f t="shared" si="421"/>
        <v>-0.11308724832214762</v>
      </c>
      <c r="U623" s="100">
        <f t="shared" si="421"/>
        <v>-0.11308724832214762</v>
      </c>
      <c r="V623" s="100">
        <f t="shared" si="421"/>
        <v>-0.11308724832214762</v>
      </c>
      <c r="W623" s="100">
        <f t="shared" si="421"/>
        <v>-0.11308724832214762</v>
      </c>
    </row>
    <row r="624" spans="1:23" s="36" customFormat="1" x14ac:dyDescent="0.3">
      <c r="A624" s="406"/>
      <c r="B624" s="97" t="s">
        <v>205</v>
      </c>
      <c r="C624" s="98"/>
      <c r="D624" s="100">
        <f t="shared" si="418"/>
        <v>-9.8344370860927108E-2</v>
      </c>
      <c r="E624" s="100">
        <f t="shared" si="418"/>
        <v>-9.8344370860927108E-2</v>
      </c>
      <c r="F624" s="100">
        <f t="shared" ref="F624:W624" si="422">F620/F616</f>
        <v>-9.8344370860927108E-2</v>
      </c>
      <c r="G624" s="100">
        <f t="shared" si="422"/>
        <v>-9.8344370860927108E-2</v>
      </c>
      <c r="H624" s="100">
        <f t="shared" si="422"/>
        <v>-9.8344370860927108E-2</v>
      </c>
      <c r="I624" s="100">
        <f t="shared" si="422"/>
        <v>-9.8344370860927108E-2</v>
      </c>
      <c r="J624" s="100">
        <f t="shared" si="422"/>
        <v>-9.8344370860927108E-2</v>
      </c>
      <c r="K624" s="100">
        <f t="shared" si="422"/>
        <v>-9.8344370860927108E-2</v>
      </c>
      <c r="L624" s="100">
        <f t="shared" si="422"/>
        <v>-9.8344370860927108E-2</v>
      </c>
      <c r="M624" s="100">
        <f t="shared" si="422"/>
        <v>-9.8344370860927108E-2</v>
      </c>
      <c r="N624" s="100">
        <f t="shared" si="422"/>
        <v>-8.3986928104575129E-2</v>
      </c>
      <c r="O624" s="100">
        <f t="shared" si="422"/>
        <v>-8.3986928104575129E-2</v>
      </c>
      <c r="P624" s="100">
        <f t="shared" si="422"/>
        <v>-8.3986928104575129E-2</v>
      </c>
      <c r="Q624" s="100">
        <f t="shared" si="422"/>
        <v>-8.3986928104575129E-2</v>
      </c>
      <c r="R624" s="100">
        <f t="shared" si="422"/>
        <v>-9.8344370860927108E-2</v>
      </c>
      <c r="S624" s="100">
        <f t="shared" si="422"/>
        <v>-9.8344370860927108E-2</v>
      </c>
      <c r="T624" s="100">
        <f t="shared" si="422"/>
        <v>-9.8344370860927108E-2</v>
      </c>
      <c r="U624" s="100">
        <f t="shared" si="422"/>
        <v>-9.8344370860927108E-2</v>
      </c>
      <c r="V624" s="100">
        <f t="shared" si="422"/>
        <v>-9.8344370860927108E-2</v>
      </c>
      <c r="W624" s="100">
        <f t="shared" si="422"/>
        <v>-9.8344370860927108E-2</v>
      </c>
    </row>
    <row r="625" spans="1:23" ht="21" thickBot="1" x14ac:dyDescent="0.35"/>
    <row r="626" spans="1:23" s="19" customFormat="1" ht="21" thickBot="1" x14ac:dyDescent="0.35">
      <c r="A626" s="19" t="s">
        <v>296</v>
      </c>
      <c r="B626" s="67" t="s">
        <v>93</v>
      </c>
      <c r="C626" s="68"/>
      <c r="D626" s="17" t="s">
        <v>5</v>
      </c>
      <c r="E626" s="18" t="s">
        <v>6</v>
      </c>
      <c r="F626" s="18" t="s">
        <v>7</v>
      </c>
      <c r="G626" s="18" t="s">
        <v>8</v>
      </c>
      <c r="H626" s="18" t="s">
        <v>9</v>
      </c>
      <c r="I626" s="18" t="s">
        <v>10</v>
      </c>
      <c r="J626" s="18" t="s">
        <v>11</v>
      </c>
      <c r="K626" s="18" t="s">
        <v>12</v>
      </c>
      <c r="L626" s="18" t="s">
        <v>13</v>
      </c>
      <c r="M626" s="18" t="s">
        <v>14</v>
      </c>
      <c r="N626" s="18" t="s">
        <v>15</v>
      </c>
      <c r="O626" s="18" t="s">
        <v>16</v>
      </c>
      <c r="P626" s="18" t="s">
        <v>17</v>
      </c>
      <c r="Q626" s="18" t="s">
        <v>18</v>
      </c>
      <c r="R626" s="18" t="s">
        <v>19</v>
      </c>
      <c r="S626" s="18" t="s">
        <v>20</v>
      </c>
      <c r="T626" s="18" t="s">
        <v>21</v>
      </c>
      <c r="U626" s="18" t="s">
        <v>22</v>
      </c>
      <c r="V626" s="18" t="s">
        <v>23</v>
      </c>
      <c r="W626" s="18" t="s">
        <v>166</v>
      </c>
    </row>
    <row r="627" spans="1:23" x14ac:dyDescent="0.3">
      <c r="B627" s="54" t="s">
        <v>50</v>
      </c>
      <c r="C627" s="55"/>
      <c r="D627" s="20">
        <v>105</v>
      </c>
      <c r="E627" s="20">
        <v>105</v>
      </c>
      <c r="F627" s="20">
        <v>105</v>
      </c>
      <c r="G627" s="20">
        <v>105</v>
      </c>
      <c r="H627" s="20">
        <v>105</v>
      </c>
      <c r="I627" s="20">
        <v>105</v>
      </c>
      <c r="J627" s="20">
        <v>105</v>
      </c>
      <c r="K627" s="20">
        <v>105</v>
      </c>
      <c r="L627" s="20">
        <v>105</v>
      </c>
      <c r="M627" s="20">
        <v>105</v>
      </c>
      <c r="N627" s="20">
        <v>105</v>
      </c>
      <c r="O627" s="20">
        <v>105</v>
      </c>
      <c r="P627" s="20">
        <v>105</v>
      </c>
      <c r="Q627" s="20">
        <v>105</v>
      </c>
      <c r="R627" s="20">
        <v>105</v>
      </c>
      <c r="S627" s="20">
        <v>105</v>
      </c>
      <c r="T627" s="20">
        <v>105</v>
      </c>
      <c r="U627" s="20">
        <v>105</v>
      </c>
      <c r="V627" s="20">
        <v>105</v>
      </c>
      <c r="W627" s="20">
        <v>105</v>
      </c>
    </row>
    <row r="628" spans="1:23" x14ac:dyDescent="0.3">
      <c r="B628" s="54" t="s">
        <v>51</v>
      </c>
      <c r="C628" s="55"/>
      <c r="D628" s="384"/>
      <c r="E628" s="384"/>
      <c r="F628" s="384"/>
      <c r="G628" s="384"/>
      <c r="H628" s="384"/>
      <c r="I628" s="385"/>
      <c r="J628" s="385"/>
      <c r="K628" s="385"/>
      <c r="L628" s="385"/>
      <c r="M628" s="385"/>
      <c r="N628" s="384"/>
      <c r="O628" s="384"/>
      <c r="P628" s="384"/>
      <c r="Q628" s="384"/>
      <c r="R628" s="385"/>
      <c r="S628" s="385"/>
      <c r="T628" s="385"/>
      <c r="U628" s="385"/>
      <c r="V628" s="385"/>
      <c r="W628" s="385"/>
    </row>
    <row r="629" spans="1:23" x14ac:dyDescent="0.3">
      <c r="B629" s="54"/>
      <c r="C629" s="55"/>
      <c r="D629" s="20">
        <f t="shared" ref="D629:V629" si="423">D627*(1-D628)</f>
        <v>105</v>
      </c>
      <c r="E629" s="20">
        <f t="shared" si="423"/>
        <v>105</v>
      </c>
      <c r="F629" s="20">
        <f t="shared" si="423"/>
        <v>105</v>
      </c>
      <c r="G629" s="20">
        <f t="shared" si="423"/>
        <v>105</v>
      </c>
      <c r="H629" s="20">
        <f t="shared" si="423"/>
        <v>105</v>
      </c>
      <c r="I629" s="20">
        <f t="shared" si="423"/>
        <v>105</v>
      </c>
      <c r="J629" s="20">
        <f t="shared" si="423"/>
        <v>105</v>
      </c>
      <c r="K629" s="20">
        <f t="shared" si="423"/>
        <v>105</v>
      </c>
      <c r="L629" s="20">
        <f t="shared" si="423"/>
        <v>105</v>
      </c>
      <c r="M629" s="20">
        <f t="shared" si="423"/>
        <v>105</v>
      </c>
      <c r="N629" s="20">
        <f t="shared" si="423"/>
        <v>105</v>
      </c>
      <c r="O629" s="20">
        <f t="shared" si="423"/>
        <v>105</v>
      </c>
      <c r="P629" s="20">
        <f t="shared" si="423"/>
        <v>105</v>
      </c>
      <c r="Q629" s="20">
        <f t="shared" si="423"/>
        <v>105</v>
      </c>
      <c r="R629" s="20">
        <f t="shared" si="423"/>
        <v>105</v>
      </c>
      <c r="S629" s="20">
        <f t="shared" si="423"/>
        <v>105</v>
      </c>
      <c r="T629" s="20">
        <f t="shared" si="423"/>
        <v>105</v>
      </c>
      <c r="U629" s="20">
        <f t="shared" si="423"/>
        <v>105</v>
      </c>
      <c r="V629" s="20">
        <f t="shared" si="423"/>
        <v>105</v>
      </c>
      <c r="W629" s="20">
        <f>W627*(1-W628)</f>
        <v>105</v>
      </c>
    </row>
    <row r="630" spans="1:23" x14ac:dyDescent="0.3">
      <c r="B630" s="54" t="s">
        <v>51</v>
      </c>
      <c r="C630" s="56">
        <v>0</v>
      </c>
      <c r="D630" s="20">
        <f>D629*$C630</f>
        <v>0</v>
      </c>
      <c r="E630" s="20">
        <f t="shared" ref="E630:V630" si="424">E629*$C630</f>
        <v>0</v>
      </c>
      <c r="F630" s="20">
        <f t="shared" si="424"/>
        <v>0</v>
      </c>
      <c r="G630" s="20">
        <f t="shared" si="424"/>
        <v>0</v>
      </c>
      <c r="H630" s="20">
        <f t="shared" si="424"/>
        <v>0</v>
      </c>
      <c r="I630" s="20">
        <f t="shared" si="424"/>
        <v>0</v>
      </c>
      <c r="J630" s="20">
        <f t="shared" si="424"/>
        <v>0</v>
      </c>
      <c r="K630" s="20">
        <f t="shared" si="424"/>
        <v>0</v>
      </c>
      <c r="L630" s="20">
        <f t="shared" si="424"/>
        <v>0</v>
      </c>
      <c r="M630" s="20">
        <f t="shared" si="424"/>
        <v>0</v>
      </c>
      <c r="N630" s="20">
        <f t="shared" si="424"/>
        <v>0</v>
      </c>
      <c r="O630" s="20">
        <f t="shared" si="424"/>
        <v>0</v>
      </c>
      <c r="P630" s="20">
        <f t="shared" si="424"/>
        <v>0</v>
      </c>
      <c r="Q630" s="20">
        <f t="shared" si="424"/>
        <v>0</v>
      </c>
      <c r="R630" s="20">
        <f t="shared" si="424"/>
        <v>0</v>
      </c>
      <c r="S630" s="20">
        <f t="shared" si="424"/>
        <v>0</v>
      </c>
      <c r="T630" s="20">
        <f t="shared" si="424"/>
        <v>0</v>
      </c>
      <c r="U630" s="20">
        <f t="shared" si="424"/>
        <v>0</v>
      </c>
      <c r="V630" s="20">
        <f t="shared" si="424"/>
        <v>0</v>
      </c>
      <c r="W630" s="20">
        <f>W629*$C630</f>
        <v>0</v>
      </c>
    </row>
    <row r="631" spans="1:23" x14ac:dyDescent="0.3">
      <c r="B631" s="54" t="s">
        <v>67</v>
      </c>
      <c r="C631" s="55"/>
      <c r="D631" s="20">
        <f>D629-D630</f>
        <v>105</v>
      </c>
      <c r="E631" s="20">
        <f t="shared" ref="E631:V631" si="425">E629-E630</f>
        <v>105</v>
      </c>
      <c r="F631" s="20">
        <f t="shared" si="425"/>
        <v>105</v>
      </c>
      <c r="G631" s="20">
        <f t="shared" si="425"/>
        <v>105</v>
      </c>
      <c r="H631" s="20">
        <f t="shared" si="425"/>
        <v>105</v>
      </c>
      <c r="I631" s="20">
        <f t="shared" si="425"/>
        <v>105</v>
      </c>
      <c r="J631" s="20">
        <f t="shared" si="425"/>
        <v>105</v>
      </c>
      <c r="K631" s="20">
        <f t="shared" si="425"/>
        <v>105</v>
      </c>
      <c r="L631" s="20">
        <f t="shared" si="425"/>
        <v>105</v>
      </c>
      <c r="M631" s="20">
        <f t="shared" si="425"/>
        <v>105</v>
      </c>
      <c r="N631" s="20">
        <f t="shared" si="425"/>
        <v>105</v>
      </c>
      <c r="O631" s="20">
        <f t="shared" si="425"/>
        <v>105</v>
      </c>
      <c r="P631" s="20">
        <f t="shared" si="425"/>
        <v>105</v>
      </c>
      <c r="Q631" s="20">
        <f t="shared" si="425"/>
        <v>105</v>
      </c>
      <c r="R631" s="20">
        <f t="shared" si="425"/>
        <v>105</v>
      </c>
      <c r="S631" s="20">
        <f t="shared" si="425"/>
        <v>105</v>
      </c>
      <c r="T631" s="20">
        <f t="shared" si="425"/>
        <v>105</v>
      </c>
      <c r="U631" s="20">
        <f t="shared" si="425"/>
        <v>105</v>
      </c>
      <c r="V631" s="20">
        <f t="shared" si="425"/>
        <v>105</v>
      </c>
      <c r="W631" s="20">
        <f>W629-W630</f>
        <v>105</v>
      </c>
    </row>
    <row r="632" spans="1:23" x14ac:dyDescent="0.3">
      <c r="B632" s="54" t="s">
        <v>66</v>
      </c>
      <c r="C632" s="56">
        <v>7.0000000000000007E-2</v>
      </c>
      <c r="D632" s="20">
        <f>D631*$C632</f>
        <v>7.3500000000000005</v>
      </c>
      <c r="E632" s="20">
        <f t="shared" ref="E632:V632" si="426">E631*$C632</f>
        <v>7.3500000000000005</v>
      </c>
      <c r="F632" s="20">
        <f t="shared" si="426"/>
        <v>7.3500000000000005</v>
      </c>
      <c r="G632" s="20">
        <f t="shared" si="426"/>
        <v>7.3500000000000005</v>
      </c>
      <c r="H632" s="20">
        <f t="shared" si="426"/>
        <v>7.3500000000000005</v>
      </c>
      <c r="I632" s="20">
        <f t="shared" si="426"/>
        <v>7.3500000000000005</v>
      </c>
      <c r="J632" s="20">
        <f t="shared" si="426"/>
        <v>7.3500000000000005</v>
      </c>
      <c r="K632" s="20">
        <f t="shared" si="426"/>
        <v>7.3500000000000005</v>
      </c>
      <c r="L632" s="20">
        <f t="shared" si="426"/>
        <v>7.3500000000000005</v>
      </c>
      <c r="M632" s="20">
        <f t="shared" si="426"/>
        <v>7.3500000000000005</v>
      </c>
      <c r="N632" s="20">
        <f t="shared" si="426"/>
        <v>7.3500000000000005</v>
      </c>
      <c r="O632" s="20">
        <f t="shared" si="426"/>
        <v>7.3500000000000005</v>
      </c>
      <c r="P632" s="20">
        <f t="shared" si="426"/>
        <v>7.3500000000000005</v>
      </c>
      <c r="Q632" s="20">
        <f t="shared" si="426"/>
        <v>7.3500000000000005</v>
      </c>
      <c r="R632" s="20">
        <f t="shared" si="426"/>
        <v>7.3500000000000005</v>
      </c>
      <c r="S632" s="20">
        <f t="shared" si="426"/>
        <v>7.3500000000000005</v>
      </c>
      <c r="T632" s="20">
        <f t="shared" si="426"/>
        <v>7.3500000000000005</v>
      </c>
      <c r="U632" s="20">
        <f t="shared" si="426"/>
        <v>7.3500000000000005</v>
      </c>
      <c r="V632" s="20">
        <f t="shared" si="426"/>
        <v>7.3500000000000005</v>
      </c>
      <c r="W632" s="20">
        <f>W631*$C632</f>
        <v>7.3500000000000005</v>
      </c>
    </row>
    <row r="633" spans="1:23" x14ac:dyDescent="0.3">
      <c r="B633" s="54" t="s">
        <v>68</v>
      </c>
      <c r="C633" s="55"/>
      <c r="D633" s="20">
        <f>D631+D632</f>
        <v>112.35</v>
      </c>
      <c r="E633" s="20">
        <f t="shared" ref="E633:V633" si="427">E631+E632</f>
        <v>112.35</v>
      </c>
      <c r="F633" s="20">
        <f t="shared" si="427"/>
        <v>112.35</v>
      </c>
      <c r="G633" s="20">
        <f t="shared" si="427"/>
        <v>112.35</v>
      </c>
      <c r="H633" s="20">
        <f t="shared" si="427"/>
        <v>112.35</v>
      </c>
      <c r="I633" s="20">
        <f t="shared" si="427"/>
        <v>112.35</v>
      </c>
      <c r="J633" s="20">
        <f t="shared" si="427"/>
        <v>112.35</v>
      </c>
      <c r="K633" s="20">
        <f t="shared" si="427"/>
        <v>112.35</v>
      </c>
      <c r="L633" s="20">
        <f t="shared" si="427"/>
        <v>112.35</v>
      </c>
      <c r="M633" s="20">
        <f t="shared" si="427"/>
        <v>112.35</v>
      </c>
      <c r="N633" s="20">
        <f t="shared" si="427"/>
        <v>112.35</v>
      </c>
      <c r="O633" s="20">
        <f t="shared" si="427"/>
        <v>112.35</v>
      </c>
      <c r="P633" s="20">
        <f t="shared" si="427"/>
        <v>112.35</v>
      </c>
      <c r="Q633" s="20">
        <f t="shared" si="427"/>
        <v>112.35</v>
      </c>
      <c r="R633" s="20">
        <f t="shared" si="427"/>
        <v>112.35</v>
      </c>
      <c r="S633" s="20">
        <f t="shared" si="427"/>
        <v>112.35</v>
      </c>
      <c r="T633" s="20">
        <f t="shared" si="427"/>
        <v>112.35</v>
      </c>
      <c r="U633" s="20">
        <f t="shared" si="427"/>
        <v>112.35</v>
      </c>
      <c r="V633" s="20">
        <f t="shared" si="427"/>
        <v>112.35</v>
      </c>
      <c r="W633" s="20">
        <f>W631+W632</f>
        <v>112.35</v>
      </c>
    </row>
    <row r="634" spans="1:23" ht="23" x14ac:dyDescent="0.35">
      <c r="B634" s="54" t="s">
        <v>52</v>
      </c>
      <c r="C634" s="55"/>
      <c r="D634" s="379"/>
      <c r="E634" s="379"/>
      <c r="F634" s="379"/>
      <c r="G634" s="379"/>
      <c r="H634" s="379"/>
      <c r="I634" s="379"/>
      <c r="J634" s="379"/>
      <c r="K634" s="379"/>
      <c r="L634" s="379"/>
      <c r="M634" s="379"/>
      <c r="N634" s="379"/>
      <c r="O634" s="379"/>
      <c r="P634" s="379"/>
      <c r="Q634" s="379"/>
      <c r="R634" s="379"/>
      <c r="S634" s="379"/>
      <c r="T634" s="379"/>
      <c r="U634" s="379"/>
      <c r="V634" s="379"/>
      <c r="W634" s="379"/>
    </row>
    <row r="635" spans="1:23" x14ac:dyDescent="0.3">
      <c r="B635" s="57" t="s">
        <v>53</v>
      </c>
      <c r="C635" s="58"/>
      <c r="D635" s="25">
        <f>SUM(D633:D634)</f>
        <v>112.35</v>
      </c>
      <c r="E635" s="26">
        <f t="shared" ref="E635:V635" si="428">SUM(E633:E634)</f>
        <v>112.35</v>
      </c>
      <c r="F635" s="26">
        <f t="shared" si="428"/>
        <v>112.35</v>
      </c>
      <c r="G635" s="26">
        <f t="shared" si="428"/>
        <v>112.35</v>
      </c>
      <c r="H635" s="26">
        <f t="shared" si="428"/>
        <v>112.35</v>
      </c>
      <c r="I635" s="26">
        <f t="shared" si="428"/>
        <v>112.35</v>
      </c>
      <c r="J635" s="26">
        <f t="shared" si="428"/>
        <v>112.35</v>
      </c>
      <c r="K635" s="26">
        <f t="shared" si="428"/>
        <v>112.35</v>
      </c>
      <c r="L635" s="26">
        <f t="shared" si="428"/>
        <v>112.35</v>
      </c>
      <c r="M635" s="26">
        <f t="shared" si="428"/>
        <v>112.35</v>
      </c>
      <c r="N635" s="26">
        <f t="shared" si="428"/>
        <v>112.35</v>
      </c>
      <c r="O635" s="26">
        <f t="shared" si="428"/>
        <v>112.35</v>
      </c>
      <c r="P635" s="26">
        <f t="shared" si="428"/>
        <v>112.35</v>
      </c>
      <c r="Q635" s="26">
        <f t="shared" si="428"/>
        <v>112.35</v>
      </c>
      <c r="R635" s="26">
        <f t="shared" si="428"/>
        <v>112.35</v>
      </c>
      <c r="S635" s="26">
        <f t="shared" si="428"/>
        <v>112.35</v>
      </c>
      <c r="T635" s="26">
        <f t="shared" si="428"/>
        <v>112.35</v>
      </c>
      <c r="U635" s="26">
        <f t="shared" si="428"/>
        <v>112.35</v>
      </c>
      <c r="V635" s="26">
        <f t="shared" si="428"/>
        <v>112.35</v>
      </c>
      <c r="W635" s="26">
        <f>SUM(W633:W634)</f>
        <v>112.35</v>
      </c>
    </row>
    <row r="636" spans="1:23" x14ac:dyDescent="0.3">
      <c r="B636" s="54" t="s">
        <v>54</v>
      </c>
      <c r="C636" s="55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</row>
    <row r="637" spans="1:23" x14ac:dyDescent="0.3">
      <c r="B637" s="59" t="s">
        <v>55</v>
      </c>
      <c r="C637" s="60"/>
      <c r="D637" s="27">
        <f>D635</f>
        <v>112.35</v>
      </c>
      <c r="E637" s="41">
        <f t="shared" ref="E637:W637" si="429">E635</f>
        <v>112.35</v>
      </c>
      <c r="F637" s="41">
        <f t="shared" si="429"/>
        <v>112.35</v>
      </c>
      <c r="G637" s="41">
        <f t="shared" si="429"/>
        <v>112.35</v>
      </c>
      <c r="H637" s="41">
        <f t="shared" si="429"/>
        <v>112.35</v>
      </c>
      <c r="I637" s="41">
        <f t="shared" si="429"/>
        <v>112.35</v>
      </c>
      <c r="J637" s="41">
        <f t="shared" si="429"/>
        <v>112.35</v>
      </c>
      <c r="K637" s="41">
        <f t="shared" si="429"/>
        <v>112.35</v>
      </c>
      <c r="L637" s="41">
        <f t="shared" si="429"/>
        <v>112.35</v>
      </c>
      <c r="M637" s="41">
        <f t="shared" si="429"/>
        <v>112.35</v>
      </c>
      <c r="N637" s="41">
        <f t="shared" si="429"/>
        <v>112.35</v>
      </c>
      <c r="O637" s="41">
        <f t="shared" si="429"/>
        <v>112.35</v>
      </c>
      <c r="P637" s="41">
        <f t="shared" si="429"/>
        <v>112.35</v>
      </c>
      <c r="Q637" s="41">
        <f t="shared" si="429"/>
        <v>112.35</v>
      </c>
      <c r="R637" s="41">
        <f t="shared" si="429"/>
        <v>112.35</v>
      </c>
      <c r="S637" s="41">
        <f t="shared" si="429"/>
        <v>112.35</v>
      </c>
      <c r="T637" s="41">
        <f t="shared" si="429"/>
        <v>112.35</v>
      </c>
      <c r="U637" s="41">
        <f t="shared" si="429"/>
        <v>112.35</v>
      </c>
      <c r="V637" s="41">
        <f t="shared" si="429"/>
        <v>112.35</v>
      </c>
      <c r="W637" s="41">
        <f t="shared" si="429"/>
        <v>112.35</v>
      </c>
    </row>
    <row r="638" spans="1:23" x14ac:dyDescent="0.3">
      <c r="B638" s="171" t="s">
        <v>194</v>
      </c>
      <c r="C638" s="55"/>
      <c r="D638" s="20">
        <v>96</v>
      </c>
      <c r="E638" s="21">
        <v>96</v>
      </c>
      <c r="F638" s="21">
        <v>96</v>
      </c>
      <c r="G638" s="21">
        <v>96</v>
      </c>
      <c r="H638" s="21">
        <v>96</v>
      </c>
      <c r="I638" s="21">
        <v>96</v>
      </c>
      <c r="J638" s="21">
        <v>96</v>
      </c>
      <c r="K638" s="21">
        <v>96</v>
      </c>
      <c r="L638" s="21">
        <v>96</v>
      </c>
      <c r="M638" s="21">
        <v>96</v>
      </c>
      <c r="N638" s="21">
        <v>97</v>
      </c>
      <c r="O638" s="21">
        <v>97</v>
      </c>
      <c r="P638" s="21">
        <v>97</v>
      </c>
      <c r="Q638" s="21">
        <v>97</v>
      </c>
      <c r="R638" s="21">
        <v>97</v>
      </c>
      <c r="S638" s="21">
        <v>97</v>
      </c>
      <c r="T638" s="21">
        <v>96</v>
      </c>
      <c r="U638" s="21">
        <v>96</v>
      </c>
      <c r="V638" s="21">
        <v>96</v>
      </c>
      <c r="W638" s="21">
        <v>97</v>
      </c>
    </row>
    <row r="639" spans="1:23" s="51" customFormat="1" x14ac:dyDescent="0.3">
      <c r="A639" s="407"/>
      <c r="B639" s="61" t="s">
        <v>195</v>
      </c>
      <c r="C639" s="62"/>
      <c r="D639" s="28">
        <v>98</v>
      </c>
      <c r="E639" s="28">
        <v>98</v>
      </c>
      <c r="F639" s="28">
        <v>98</v>
      </c>
      <c r="G639" s="28">
        <v>98</v>
      </c>
      <c r="H639" s="28">
        <v>98</v>
      </c>
      <c r="I639" s="28">
        <v>98</v>
      </c>
      <c r="J639" s="28">
        <v>98</v>
      </c>
      <c r="K639" s="28">
        <v>98</v>
      </c>
      <c r="L639" s="28">
        <v>98</v>
      </c>
      <c r="M639" s="28">
        <v>98</v>
      </c>
      <c r="N639" s="28">
        <v>99</v>
      </c>
      <c r="O639" s="28">
        <v>99</v>
      </c>
      <c r="P639" s="28">
        <v>99</v>
      </c>
      <c r="Q639" s="28">
        <v>99</v>
      </c>
      <c r="R639" s="28">
        <v>99</v>
      </c>
      <c r="S639" s="28">
        <v>99</v>
      </c>
      <c r="T639" s="28">
        <v>98</v>
      </c>
      <c r="U639" s="28">
        <v>98</v>
      </c>
      <c r="V639" s="28">
        <v>98</v>
      </c>
      <c r="W639" s="28">
        <v>99</v>
      </c>
    </row>
    <row r="640" spans="1:23" s="51" customFormat="1" x14ac:dyDescent="0.3">
      <c r="A640" s="407"/>
      <c r="B640" s="61" t="s">
        <v>196</v>
      </c>
      <c r="C640" s="62"/>
      <c r="D640" s="28">
        <v>99</v>
      </c>
      <c r="E640" s="28">
        <v>99</v>
      </c>
      <c r="F640" s="28">
        <v>99</v>
      </c>
      <c r="G640" s="28">
        <v>99</v>
      </c>
      <c r="H640" s="28">
        <v>99</v>
      </c>
      <c r="I640" s="28">
        <v>99</v>
      </c>
      <c r="J640" s="28">
        <v>99</v>
      </c>
      <c r="K640" s="28">
        <v>99</v>
      </c>
      <c r="L640" s="28">
        <v>99</v>
      </c>
      <c r="M640" s="28">
        <v>99</v>
      </c>
      <c r="N640" s="28">
        <v>100</v>
      </c>
      <c r="O640" s="28">
        <v>100</v>
      </c>
      <c r="P640" s="28">
        <v>100</v>
      </c>
      <c r="Q640" s="28">
        <v>100</v>
      </c>
      <c r="R640" s="28">
        <v>100</v>
      </c>
      <c r="S640" s="28">
        <v>100</v>
      </c>
      <c r="T640" s="28">
        <v>99</v>
      </c>
      <c r="U640" s="28">
        <v>99</v>
      </c>
      <c r="V640" s="28">
        <v>99</v>
      </c>
      <c r="W640" s="28">
        <v>100</v>
      </c>
    </row>
    <row r="641" spans="1:23" s="51" customFormat="1" x14ac:dyDescent="0.3">
      <c r="A641" s="407"/>
      <c r="B641" s="61" t="s">
        <v>197</v>
      </c>
      <c r="C641" s="62"/>
      <c r="D641" s="28">
        <v>100</v>
      </c>
      <c r="E641" s="28">
        <v>100</v>
      </c>
      <c r="F641" s="28">
        <v>100</v>
      </c>
      <c r="G641" s="28">
        <v>100</v>
      </c>
      <c r="H641" s="28">
        <v>100</v>
      </c>
      <c r="I641" s="28">
        <v>100</v>
      </c>
      <c r="J641" s="28">
        <v>100</v>
      </c>
      <c r="K641" s="28">
        <v>100</v>
      </c>
      <c r="L641" s="28">
        <v>100</v>
      </c>
      <c r="M641" s="28">
        <v>100</v>
      </c>
      <c r="N641" s="28">
        <v>101</v>
      </c>
      <c r="O641" s="28">
        <v>101</v>
      </c>
      <c r="P641" s="28">
        <v>101</v>
      </c>
      <c r="Q641" s="28">
        <v>101</v>
      </c>
      <c r="R641" s="28">
        <v>101</v>
      </c>
      <c r="S641" s="28">
        <v>101</v>
      </c>
      <c r="T641" s="28">
        <v>100</v>
      </c>
      <c r="U641" s="28">
        <v>100</v>
      </c>
      <c r="V641" s="28">
        <v>100</v>
      </c>
      <c r="W641" s="28">
        <v>101</v>
      </c>
    </row>
    <row r="642" spans="1:23" s="30" customFormat="1" x14ac:dyDescent="0.3">
      <c r="A642" s="404"/>
      <c r="B642" s="63" t="s">
        <v>198</v>
      </c>
      <c r="C642" s="62"/>
      <c r="D642" s="31">
        <f>+D638-D$637</f>
        <v>-16.349999999999994</v>
      </c>
      <c r="E642" s="31">
        <f t="shared" ref="E642:W642" si="430">+E638-E$637</f>
        <v>-16.349999999999994</v>
      </c>
      <c r="F642" s="31">
        <f t="shared" si="430"/>
        <v>-16.349999999999994</v>
      </c>
      <c r="G642" s="31">
        <f t="shared" si="430"/>
        <v>-16.349999999999994</v>
      </c>
      <c r="H642" s="31">
        <f t="shared" si="430"/>
        <v>-16.349999999999994</v>
      </c>
      <c r="I642" s="31">
        <f t="shared" si="430"/>
        <v>-16.349999999999994</v>
      </c>
      <c r="J642" s="31">
        <f t="shared" si="430"/>
        <v>-16.349999999999994</v>
      </c>
      <c r="K642" s="31">
        <f t="shared" si="430"/>
        <v>-16.349999999999994</v>
      </c>
      <c r="L642" s="31">
        <f t="shared" si="430"/>
        <v>-16.349999999999994</v>
      </c>
      <c r="M642" s="31">
        <f t="shared" si="430"/>
        <v>-16.349999999999994</v>
      </c>
      <c r="N642" s="31">
        <f t="shared" si="430"/>
        <v>-15.349999999999994</v>
      </c>
      <c r="O642" s="31">
        <f t="shared" si="430"/>
        <v>-15.349999999999994</v>
      </c>
      <c r="P642" s="31">
        <f t="shared" si="430"/>
        <v>-15.349999999999994</v>
      </c>
      <c r="Q642" s="31">
        <f t="shared" si="430"/>
        <v>-15.349999999999994</v>
      </c>
      <c r="R642" s="31">
        <f t="shared" si="430"/>
        <v>-15.349999999999994</v>
      </c>
      <c r="S642" s="31">
        <f t="shared" si="430"/>
        <v>-15.349999999999994</v>
      </c>
      <c r="T642" s="31">
        <f t="shared" si="430"/>
        <v>-16.349999999999994</v>
      </c>
      <c r="U642" s="31">
        <f t="shared" si="430"/>
        <v>-16.349999999999994</v>
      </c>
      <c r="V642" s="31">
        <f t="shared" si="430"/>
        <v>-16.349999999999994</v>
      </c>
      <c r="W642" s="31">
        <f t="shared" si="430"/>
        <v>-15.349999999999994</v>
      </c>
    </row>
    <row r="643" spans="1:23" s="33" customFormat="1" x14ac:dyDescent="0.3">
      <c r="A643" s="405"/>
      <c r="B643" s="63" t="s">
        <v>199</v>
      </c>
      <c r="C643" s="64"/>
      <c r="D643" s="31">
        <f>+D639-D$637</f>
        <v>-14.349999999999994</v>
      </c>
      <c r="E643" s="31">
        <f t="shared" ref="E643:W643" si="431">+E639-E$637</f>
        <v>-14.349999999999994</v>
      </c>
      <c r="F643" s="31">
        <f t="shared" si="431"/>
        <v>-14.349999999999994</v>
      </c>
      <c r="G643" s="31">
        <f t="shared" si="431"/>
        <v>-14.349999999999994</v>
      </c>
      <c r="H643" s="31">
        <f t="shared" si="431"/>
        <v>-14.349999999999994</v>
      </c>
      <c r="I643" s="31">
        <f t="shared" si="431"/>
        <v>-14.349999999999994</v>
      </c>
      <c r="J643" s="31">
        <f t="shared" si="431"/>
        <v>-14.349999999999994</v>
      </c>
      <c r="K643" s="31">
        <f t="shared" si="431"/>
        <v>-14.349999999999994</v>
      </c>
      <c r="L643" s="31">
        <f t="shared" si="431"/>
        <v>-14.349999999999994</v>
      </c>
      <c r="M643" s="31">
        <f t="shared" si="431"/>
        <v>-14.349999999999994</v>
      </c>
      <c r="N643" s="31">
        <f t="shared" si="431"/>
        <v>-13.349999999999994</v>
      </c>
      <c r="O643" s="31">
        <f t="shared" si="431"/>
        <v>-13.349999999999994</v>
      </c>
      <c r="P643" s="31">
        <f t="shared" si="431"/>
        <v>-13.349999999999994</v>
      </c>
      <c r="Q643" s="31">
        <f t="shared" si="431"/>
        <v>-13.349999999999994</v>
      </c>
      <c r="R643" s="31">
        <f t="shared" si="431"/>
        <v>-13.349999999999994</v>
      </c>
      <c r="S643" s="31">
        <f t="shared" si="431"/>
        <v>-13.349999999999994</v>
      </c>
      <c r="T643" s="31">
        <f t="shared" si="431"/>
        <v>-14.349999999999994</v>
      </c>
      <c r="U643" s="31">
        <f t="shared" si="431"/>
        <v>-14.349999999999994</v>
      </c>
      <c r="V643" s="31">
        <f t="shared" si="431"/>
        <v>-14.349999999999994</v>
      </c>
      <c r="W643" s="31">
        <f t="shared" si="431"/>
        <v>-13.349999999999994</v>
      </c>
    </row>
    <row r="644" spans="1:23" s="33" customFormat="1" x14ac:dyDescent="0.3">
      <c r="A644" s="405"/>
      <c r="B644" s="63" t="s">
        <v>200</v>
      </c>
      <c r="C644" s="64"/>
      <c r="D644" s="31">
        <f>+D640-D$637</f>
        <v>-13.349999999999994</v>
      </c>
      <c r="E644" s="31">
        <f t="shared" ref="E644:W644" si="432">+E640-E$637</f>
        <v>-13.349999999999994</v>
      </c>
      <c r="F644" s="31">
        <f t="shared" si="432"/>
        <v>-13.349999999999994</v>
      </c>
      <c r="G644" s="31">
        <f t="shared" si="432"/>
        <v>-13.349999999999994</v>
      </c>
      <c r="H644" s="31">
        <f t="shared" si="432"/>
        <v>-13.349999999999994</v>
      </c>
      <c r="I644" s="31">
        <f t="shared" si="432"/>
        <v>-13.349999999999994</v>
      </c>
      <c r="J644" s="31">
        <f t="shared" si="432"/>
        <v>-13.349999999999994</v>
      </c>
      <c r="K644" s="31">
        <f t="shared" si="432"/>
        <v>-13.349999999999994</v>
      </c>
      <c r="L644" s="31">
        <f t="shared" si="432"/>
        <v>-13.349999999999994</v>
      </c>
      <c r="M644" s="31">
        <f t="shared" si="432"/>
        <v>-13.349999999999994</v>
      </c>
      <c r="N644" s="31">
        <f t="shared" si="432"/>
        <v>-12.349999999999994</v>
      </c>
      <c r="O644" s="31">
        <f t="shared" si="432"/>
        <v>-12.349999999999994</v>
      </c>
      <c r="P644" s="31">
        <f t="shared" si="432"/>
        <v>-12.349999999999994</v>
      </c>
      <c r="Q644" s="31">
        <f t="shared" si="432"/>
        <v>-12.349999999999994</v>
      </c>
      <c r="R644" s="31">
        <f t="shared" si="432"/>
        <v>-12.349999999999994</v>
      </c>
      <c r="S644" s="31">
        <f t="shared" si="432"/>
        <v>-12.349999999999994</v>
      </c>
      <c r="T644" s="31">
        <f t="shared" si="432"/>
        <v>-13.349999999999994</v>
      </c>
      <c r="U644" s="31">
        <f t="shared" si="432"/>
        <v>-13.349999999999994</v>
      </c>
      <c r="V644" s="31">
        <f t="shared" si="432"/>
        <v>-13.349999999999994</v>
      </c>
      <c r="W644" s="31">
        <f t="shared" si="432"/>
        <v>-12.349999999999994</v>
      </c>
    </row>
    <row r="645" spans="1:23" s="33" customFormat="1" x14ac:dyDescent="0.3">
      <c r="A645" s="405"/>
      <c r="B645" s="63" t="s">
        <v>201</v>
      </c>
      <c r="C645" s="64"/>
      <c r="D645" s="31">
        <f>+D641-D$637</f>
        <v>-12.349999999999994</v>
      </c>
      <c r="E645" s="31">
        <f t="shared" ref="E645:W645" si="433">+E641-E$637</f>
        <v>-12.349999999999994</v>
      </c>
      <c r="F645" s="31">
        <f t="shared" si="433"/>
        <v>-12.349999999999994</v>
      </c>
      <c r="G645" s="31">
        <f t="shared" si="433"/>
        <v>-12.349999999999994</v>
      </c>
      <c r="H645" s="31">
        <f t="shared" si="433"/>
        <v>-12.349999999999994</v>
      </c>
      <c r="I645" s="31">
        <f t="shared" si="433"/>
        <v>-12.349999999999994</v>
      </c>
      <c r="J645" s="31">
        <f t="shared" si="433"/>
        <v>-12.349999999999994</v>
      </c>
      <c r="K645" s="31">
        <f t="shared" si="433"/>
        <v>-12.349999999999994</v>
      </c>
      <c r="L645" s="31">
        <f t="shared" si="433"/>
        <v>-12.349999999999994</v>
      </c>
      <c r="M645" s="31">
        <f t="shared" si="433"/>
        <v>-12.349999999999994</v>
      </c>
      <c r="N645" s="31">
        <f t="shared" si="433"/>
        <v>-11.349999999999994</v>
      </c>
      <c r="O645" s="31">
        <f t="shared" si="433"/>
        <v>-11.349999999999994</v>
      </c>
      <c r="P645" s="31">
        <f t="shared" si="433"/>
        <v>-11.349999999999994</v>
      </c>
      <c r="Q645" s="31">
        <f t="shared" si="433"/>
        <v>-11.349999999999994</v>
      </c>
      <c r="R645" s="31">
        <f t="shared" si="433"/>
        <v>-11.349999999999994</v>
      </c>
      <c r="S645" s="31">
        <f t="shared" si="433"/>
        <v>-11.349999999999994</v>
      </c>
      <c r="T645" s="31">
        <f t="shared" si="433"/>
        <v>-12.349999999999994</v>
      </c>
      <c r="U645" s="31">
        <f t="shared" si="433"/>
        <v>-12.349999999999994</v>
      </c>
      <c r="V645" s="31">
        <f t="shared" si="433"/>
        <v>-12.349999999999994</v>
      </c>
      <c r="W645" s="31">
        <f t="shared" si="433"/>
        <v>-11.349999999999994</v>
      </c>
    </row>
    <row r="646" spans="1:23" x14ac:dyDescent="0.3">
      <c r="B646" s="97" t="s">
        <v>202</v>
      </c>
      <c r="C646" s="98"/>
      <c r="D646" s="100">
        <f>D642/D638</f>
        <v>-0.17031249999999995</v>
      </c>
      <c r="E646" s="100">
        <f t="shared" ref="E646:W646" si="434">E642/E638</f>
        <v>-0.17031249999999995</v>
      </c>
      <c r="F646" s="100">
        <f t="shared" si="434"/>
        <v>-0.17031249999999995</v>
      </c>
      <c r="G646" s="100">
        <f t="shared" si="434"/>
        <v>-0.17031249999999995</v>
      </c>
      <c r="H646" s="100">
        <f t="shared" si="434"/>
        <v>-0.17031249999999995</v>
      </c>
      <c r="I646" s="100">
        <f t="shared" si="434"/>
        <v>-0.17031249999999995</v>
      </c>
      <c r="J646" s="100">
        <f t="shared" si="434"/>
        <v>-0.17031249999999995</v>
      </c>
      <c r="K646" s="100">
        <f t="shared" si="434"/>
        <v>-0.17031249999999995</v>
      </c>
      <c r="L646" s="100">
        <f t="shared" si="434"/>
        <v>-0.17031249999999995</v>
      </c>
      <c r="M646" s="100">
        <f t="shared" si="434"/>
        <v>-0.17031249999999995</v>
      </c>
      <c r="N646" s="100">
        <f t="shared" si="434"/>
        <v>-0.15824742268041231</v>
      </c>
      <c r="O646" s="100">
        <f t="shared" si="434"/>
        <v>-0.15824742268041231</v>
      </c>
      <c r="P646" s="100">
        <f t="shared" si="434"/>
        <v>-0.15824742268041231</v>
      </c>
      <c r="Q646" s="100">
        <f t="shared" si="434"/>
        <v>-0.15824742268041231</v>
      </c>
      <c r="R646" s="100">
        <f t="shared" si="434"/>
        <v>-0.15824742268041231</v>
      </c>
      <c r="S646" s="100">
        <f t="shared" si="434"/>
        <v>-0.15824742268041231</v>
      </c>
      <c r="T646" s="100">
        <f t="shared" si="434"/>
        <v>-0.17031249999999995</v>
      </c>
      <c r="U646" s="100">
        <f t="shared" si="434"/>
        <v>-0.17031249999999995</v>
      </c>
      <c r="V646" s="100">
        <f t="shared" si="434"/>
        <v>-0.17031249999999995</v>
      </c>
      <c r="W646" s="100">
        <f t="shared" si="434"/>
        <v>-0.15824742268041231</v>
      </c>
    </row>
    <row r="647" spans="1:23" s="36" customFormat="1" x14ac:dyDescent="0.3">
      <c r="A647" s="406"/>
      <c r="B647" s="97" t="s">
        <v>203</v>
      </c>
      <c r="C647" s="98"/>
      <c r="D647" s="100">
        <f>D643/D639</f>
        <v>-0.14642857142857138</v>
      </c>
      <c r="E647" s="100">
        <f t="shared" ref="E647:W647" si="435">E643/E639</f>
        <v>-0.14642857142857138</v>
      </c>
      <c r="F647" s="100">
        <f t="shared" si="435"/>
        <v>-0.14642857142857138</v>
      </c>
      <c r="G647" s="100">
        <f t="shared" si="435"/>
        <v>-0.14642857142857138</v>
      </c>
      <c r="H647" s="100">
        <f t="shared" si="435"/>
        <v>-0.14642857142857138</v>
      </c>
      <c r="I647" s="100">
        <f t="shared" si="435"/>
        <v>-0.14642857142857138</v>
      </c>
      <c r="J647" s="100">
        <f t="shared" si="435"/>
        <v>-0.14642857142857138</v>
      </c>
      <c r="K647" s="100">
        <f t="shared" si="435"/>
        <v>-0.14642857142857138</v>
      </c>
      <c r="L647" s="100">
        <f t="shared" si="435"/>
        <v>-0.14642857142857138</v>
      </c>
      <c r="M647" s="100">
        <f t="shared" si="435"/>
        <v>-0.14642857142857138</v>
      </c>
      <c r="N647" s="100">
        <f t="shared" si="435"/>
        <v>-0.1348484848484848</v>
      </c>
      <c r="O647" s="100">
        <f t="shared" si="435"/>
        <v>-0.1348484848484848</v>
      </c>
      <c r="P647" s="100">
        <f t="shared" si="435"/>
        <v>-0.1348484848484848</v>
      </c>
      <c r="Q647" s="100">
        <f t="shared" si="435"/>
        <v>-0.1348484848484848</v>
      </c>
      <c r="R647" s="100">
        <f t="shared" si="435"/>
        <v>-0.1348484848484848</v>
      </c>
      <c r="S647" s="100">
        <f t="shared" si="435"/>
        <v>-0.1348484848484848</v>
      </c>
      <c r="T647" s="100">
        <f t="shared" si="435"/>
        <v>-0.14642857142857138</v>
      </c>
      <c r="U647" s="100">
        <f t="shared" si="435"/>
        <v>-0.14642857142857138</v>
      </c>
      <c r="V647" s="100">
        <f t="shared" si="435"/>
        <v>-0.14642857142857138</v>
      </c>
      <c r="W647" s="100">
        <f t="shared" si="435"/>
        <v>-0.1348484848484848</v>
      </c>
    </row>
    <row r="648" spans="1:23" s="36" customFormat="1" x14ac:dyDescent="0.3">
      <c r="A648" s="406"/>
      <c r="B648" s="97" t="s">
        <v>204</v>
      </c>
      <c r="C648" s="98"/>
      <c r="D648" s="100">
        <f>D644/D640</f>
        <v>-0.1348484848484848</v>
      </c>
      <c r="E648" s="100">
        <f t="shared" ref="E648:W648" si="436">E644/E640</f>
        <v>-0.1348484848484848</v>
      </c>
      <c r="F648" s="100">
        <f t="shared" si="436"/>
        <v>-0.1348484848484848</v>
      </c>
      <c r="G648" s="100">
        <f t="shared" si="436"/>
        <v>-0.1348484848484848</v>
      </c>
      <c r="H648" s="100">
        <f t="shared" si="436"/>
        <v>-0.1348484848484848</v>
      </c>
      <c r="I648" s="100">
        <f t="shared" si="436"/>
        <v>-0.1348484848484848</v>
      </c>
      <c r="J648" s="100">
        <f t="shared" si="436"/>
        <v>-0.1348484848484848</v>
      </c>
      <c r="K648" s="100">
        <f t="shared" si="436"/>
        <v>-0.1348484848484848</v>
      </c>
      <c r="L648" s="100">
        <f t="shared" si="436"/>
        <v>-0.1348484848484848</v>
      </c>
      <c r="M648" s="100">
        <f t="shared" si="436"/>
        <v>-0.1348484848484848</v>
      </c>
      <c r="N648" s="100">
        <f t="shared" si="436"/>
        <v>-0.12349999999999994</v>
      </c>
      <c r="O648" s="100">
        <f t="shared" si="436"/>
        <v>-0.12349999999999994</v>
      </c>
      <c r="P648" s="100">
        <f t="shared" si="436"/>
        <v>-0.12349999999999994</v>
      </c>
      <c r="Q648" s="100">
        <f t="shared" si="436"/>
        <v>-0.12349999999999994</v>
      </c>
      <c r="R648" s="100">
        <f t="shared" si="436"/>
        <v>-0.12349999999999994</v>
      </c>
      <c r="S648" s="100">
        <f t="shared" si="436"/>
        <v>-0.12349999999999994</v>
      </c>
      <c r="T648" s="100">
        <f t="shared" si="436"/>
        <v>-0.1348484848484848</v>
      </c>
      <c r="U648" s="100">
        <f t="shared" si="436"/>
        <v>-0.1348484848484848</v>
      </c>
      <c r="V648" s="100">
        <f t="shared" si="436"/>
        <v>-0.1348484848484848</v>
      </c>
      <c r="W648" s="100">
        <f t="shared" si="436"/>
        <v>-0.12349999999999994</v>
      </c>
    </row>
    <row r="649" spans="1:23" s="36" customFormat="1" x14ac:dyDescent="0.3">
      <c r="A649" s="406"/>
      <c r="B649" s="97" t="s">
        <v>205</v>
      </c>
      <c r="C649" s="98"/>
      <c r="D649" s="100">
        <f>D645/D641</f>
        <v>-0.12349999999999994</v>
      </c>
      <c r="E649" s="100">
        <f t="shared" ref="E649:W649" si="437">E645/E641</f>
        <v>-0.12349999999999994</v>
      </c>
      <c r="F649" s="100">
        <f t="shared" si="437"/>
        <v>-0.12349999999999994</v>
      </c>
      <c r="G649" s="100">
        <f t="shared" si="437"/>
        <v>-0.12349999999999994</v>
      </c>
      <c r="H649" s="100">
        <f t="shared" si="437"/>
        <v>-0.12349999999999994</v>
      </c>
      <c r="I649" s="100">
        <f t="shared" si="437"/>
        <v>-0.12349999999999994</v>
      </c>
      <c r="J649" s="100">
        <f t="shared" si="437"/>
        <v>-0.12349999999999994</v>
      </c>
      <c r="K649" s="100">
        <f t="shared" si="437"/>
        <v>-0.12349999999999994</v>
      </c>
      <c r="L649" s="100">
        <f t="shared" si="437"/>
        <v>-0.12349999999999994</v>
      </c>
      <c r="M649" s="100">
        <f t="shared" si="437"/>
        <v>-0.12349999999999994</v>
      </c>
      <c r="N649" s="100">
        <f t="shared" si="437"/>
        <v>-0.11237623762376232</v>
      </c>
      <c r="O649" s="100">
        <f t="shared" si="437"/>
        <v>-0.11237623762376232</v>
      </c>
      <c r="P649" s="100">
        <f t="shared" si="437"/>
        <v>-0.11237623762376232</v>
      </c>
      <c r="Q649" s="100">
        <f t="shared" si="437"/>
        <v>-0.11237623762376232</v>
      </c>
      <c r="R649" s="100">
        <f t="shared" si="437"/>
        <v>-0.11237623762376232</v>
      </c>
      <c r="S649" s="100">
        <f t="shared" si="437"/>
        <v>-0.11237623762376232</v>
      </c>
      <c r="T649" s="100">
        <f t="shared" si="437"/>
        <v>-0.12349999999999994</v>
      </c>
      <c r="U649" s="100">
        <f t="shared" si="437"/>
        <v>-0.12349999999999994</v>
      </c>
      <c r="V649" s="100">
        <f t="shared" si="437"/>
        <v>-0.12349999999999994</v>
      </c>
      <c r="W649" s="100">
        <f t="shared" si="437"/>
        <v>-0.11237623762376232</v>
      </c>
    </row>
    <row r="650" spans="1:23" ht="21" thickBot="1" x14ac:dyDescent="0.35"/>
    <row r="651" spans="1:23" s="19" customFormat="1" ht="21" thickBot="1" x14ac:dyDescent="0.35">
      <c r="A651" s="19" t="s">
        <v>297</v>
      </c>
      <c r="B651" s="67" t="s">
        <v>94</v>
      </c>
      <c r="C651" s="68"/>
      <c r="D651" s="17" t="s">
        <v>5</v>
      </c>
      <c r="E651" s="18" t="s">
        <v>6</v>
      </c>
      <c r="F651" s="18" t="s">
        <v>7</v>
      </c>
      <c r="G651" s="18" t="s">
        <v>8</v>
      </c>
      <c r="H651" s="18" t="s">
        <v>9</v>
      </c>
      <c r="I651" s="18" t="s">
        <v>10</v>
      </c>
      <c r="J651" s="18" t="s">
        <v>11</v>
      </c>
      <c r="K651" s="18" t="s">
        <v>12</v>
      </c>
      <c r="L651" s="18" t="s">
        <v>13</v>
      </c>
      <c r="M651" s="18" t="s">
        <v>14</v>
      </c>
      <c r="N651" s="18" t="s">
        <v>15</v>
      </c>
      <c r="O651" s="18" t="s">
        <v>16</v>
      </c>
      <c r="P651" s="18" t="s">
        <v>17</v>
      </c>
      <c r="Q651" s="18" t="s">
        <v>18</v>
      </c>
      <c r="R651" s="18" t="s">
        <v>19</v>
      </c>
      <c r="S651" s="18" t="s">
        <v>20</v>
      </c>
      <c r="T651" s="18" t="s">
        <v>21</v>
      </c>
      <c r="U651" s="18" t="s">
        <v>22</v>
      </c>
      <c r="V651" s="18" t="s">
        <v>23</v>
      </c>
      <c r="W651" s="18" t="s">
        <v>166</v>
      </c>
    </row>
    <row r="652" spans="1:23" x14ac:dyDescent="0.3">
      <c r="B652" s="54" t="s">
        <v>50</v>
      </c>
      <c r="C652" s="55"/>
      <c r="D652" s="20">
        <v>200</v>
      </c>
      <c r="E652" s="20">
        <v>200</v>
      </c>
      <c r="F652" s="20">
        <v>200</v>
      </c>
      <c r="G652" s="20">
        <v>200</v>
      </c>
      <c r="H652" s="20">
        <v>200</v>
      </c>
      <c r="I652" s="20">
        <v>200</v>
      </c>
      <c r="J652" s="20">
        <v>200</v>
      </c>
      <c r="K652" s="20">
        <v>200</v>
      </c>
      <c r="L652" s="20">
        <v>200</v>
      </c>
      <c r="M652" s="20">
        <v>200</v>
      </c>
      <c r="N652" s="20">
        <v>200</v>
      </c>
      <c r="O652" s="20">
        <v>200</v>
      </c>
      <c r="P652" s="20">
        <v>200</v>
      </c>
      <c r="Q652" s="20">
        <v>200</v>
      </c>
      <c r="R652" s="20">
        <v>200</v>
      </c>
      <c r="S652" s="20">
        <v>200</v>
      </c>
      <c r="T652" s="20">
        <v>200</v>
      </c>
      <c r="U652" s="20">
        <v>200</v>
      </c>
      <c r="V652" s="20">
        <v>200</v>
      </c>
      <c r="W652" s="20">
        <v>200</v>
      </c>
    </row>
    <row r="653" spans="1:23" x14ac:dyDescent="0.3">
      <c r="B653" s="54" t="s">
        <v>51</v>
      </c>
      <c r="C653" s="55"/>
      <c r="D653" s="384"/>
      <c r="E653" s="384"/>
      <c r="F653" s="384"/>
      <c r="G653" s="384"/>
      <c r="H653" s="384"/>
      <c r="I653" s="385"/>
      <c r="J653" s="385"/>
      <c r="K653" s="385"/>
      <c r="L653" s="385"/>
      <c r="M653" s="385"/>
      <c r="N653" s="384"/>
      <c r="O653" s="384"/>
      <c r="P653" s="384"/>
      <c r="Q653" s="384"/>
      <c r="R653" s="385"/>
      <c r="S653" s="385"/>
      <c r="T653" s="385"/>
      <c r="U653" s="385"/>
      <c r="V653" s="385"/>
      <c r="W653" s="385"/>
    </row>
    <row r="654" spans="1:23" x14ac:dyDescent="0.3">
      <c r="B654" s="54"/>
      <c r="C654" s="55"/>
      <c r="D654" s="20">
        <f t="shared" ref="D654:V654" si="438">D652*(1-D653)</f>
        <v>200</v>
      </c>
      <c r="E654" s="20">
        <f t="shared" si="438"/>
        <v>200</v>
      </c>
      <c r="F654" s="20">
        <f t="shared" si="438"/>
        <v>200</v>
      </c>
      <c r="G654" s="20">
        <f t="shared" si="438"/>
        <v>200</v>
      </c>
      <c r="H654" s="20">
        <f t="shared" si="438"/>
        <v>200</v>
      </c>
      <c r="I654" s="20">
        <f t="shared" si="438"/>
        <v>200</v>
      </c>
      <c r="J654" s="20">
        <f t="shared" si="438"/>
        <v>200</v>
      </c>
      <c r="K654" s="20">
        <f t="shared" si="438"/>
        <v>200</v>
      </c>
      <c r="L654" s="20">
        <f t="shared" si="438"/>
        <v>200</v>
      </c>
      <c r="M654" s="20">
        <f t="shared" si="438"/>
        <v>200</v>
      </c>
      <c r="N654" s="20">
        <f t="shared" si="438"/>
        <v>200</v>
      </c>
      <c r="O654" s="20">
        <f t="shared" si="438"/>
        <v>200</v>
      </c>
      <c r="P654" s="20">
        <f t="shared" si="438"/>
        <v>200</v>
      </c>
      <c r="Q654" s="20">
        <f t="shared" si="438"/>
        <v>200</v>
      </c>
      <c r="R654" s="20">
        <f t="shared" si="438"/>
        <v>200</v>
      </c>
      <c r="S654" s="20">
        <f t="shared" si="438"/>
        <v>200</v>
      </c>
      <c r="T654" s="20">
        <f t="shared" si="438"/>
        <v>200</v>
      </c>
      <c r="U654" s="20">
        <f t="shared" si="438"/>
        <v>200</v>
      </c>
      <c r="V654" s="20">
        <f t="shared" si="438"/>
        <v>200</v>
      </c>
      <c r="W654" s="20">
        <f>W652*(1-W653)</f>
        <v>200</v>
      </c>
    </row>
    <row r="655" spans="1:23" x14ac:dyDescent="0.3">
      <c r="B655" s="54" t="s">
        <v>51</v>
      </c>
      <c r="C655" s="56">
        <v>0</v>
      </c>
      <c r="D655" s="20">
        <f>D654*$C655</f>
        <v>0</v>
      </c>
      <c r="E655" s="20">
        <f t="shared" ref="E655:V655" si="439">E654*$C655</f>
        <v>0</v>
      </c>
      <c r="F655" s="20">
        <f t="shared" si="439"/>
        <v>0</v>
      </c>
      <c r="G655" s="20">
        <f t="shared" si="439"/>
        <v>0</v>
      </c>
      <c r="H655" s="20">
        <f t="shared" si="439"/>
        <v>0</v>
      </c>
      <c r="I655" s="20">
        <f t="shared" si="439"/>
        <v>0</v>
      </c>
      <c r="J655" s="20">
        <f t="shared" si="439"/>
        <v>0</v>
      </c>
      <c r="K655" s="20">
        <f t="shared" si="439"/>
        <v>0</v>
      </c>
      <c r="L655" s="20">
        <f t="shared" si="439"/>
        <v>0</v>
      </c>
      <c r="M655" s="20">
        <f t="shared" si="439"/>
        <v>0</v>
      </c>
      <c r="N655" s="20">
        <f t="shared" si="439"/>
        <v>0</v>
      </c>
      <c r="O655" s="20">
        <f t="shared" si="439"/>
        <v>0</v>
      </c>
      <c r="P655" s="20">
        <f t="shared" si="439"/>
        <v>0</v>
      </c>
      <c r="Q655" s="20">
        <f t="shared" si="439"/>
        <v>0</v>
      </c>
      <c r="R655" s="20">
        <f t="shared" si="439"/>
        <v>0</v>
      </c>
      <c r="S655" s="20">
        <f t="shared" si="439"/>
        <v>0</v>
      </c>
      <c r="T655" s="20">
        <f t="shared" si="439"/>
        <v>0</v>
      </c>
      <c r="U655" s="20">
        <f t="shared" si="439"/>
        <v>0</v>
      </c>
      <c r="V655" s="20">
        <f t="shared" si="439"/>
        <v>0</v>
      </c>
      <c r="W655" s="20">
        <f>W654*$C655</f>
        <v>0</v>
      </c>
    </row>
    <row r="656" spans="1:23" x14ac:dyDescent="0.3">
      <c r="B656" s="54" t="s">
        <v>67</v>
      </c>
      <c r="C656" s="55"/>
      <c r="D656" s="20">
        <f>D654-D655</f>
        <v>200</v>
      </c>
      <c r="E656" s="20">
        <f t="shared" ref="E656:V656" si="440">E654-E655</f>
        <v>200</v>
      </c>
      <c r="F656" s="20">
        <f t="shared" si="440"/>
        <v>200</v>
      </c>
      <c r="G656" s="20">
        <f t="shared" si="440"/>
        <v>200</v>
      </c>
      <c r="H656" s="20">
        <f t="shared" si="440"/>
        <v>200</v>
      </c>
      <c r="I656" s="20">
        <f t="shared" si="440"/>
        <v>200</v>
      </c>
      <c r="J656" s="20">
        <f t="shared" si="440"/>
        <v>200</v>
      </c>
      <c r="K656" s="20">
        <f t="shared" si="440"/>
        <v>200</v>
      </c>
      <c r="L656" s="20">
        <f t="shared" si="440"/>
        <v>200</v>
      </c>
      <c r="M656" s="20">
        <f t="shared" si="440"/>
        <v>200</v>
      </c>
      <c r="N656" s="20">
        <f t="shared" si="440"/>
        <v>200</v>
      </c>
      <c r="O656" s="20">
        <f t="shared" si="440"/>
        <v>200</v>
      </c>
      <c r="P656" s="20">
        <f t="shared" si="440"/>
        <v>200</v>
      </c>
      <c r="Q656" s="20">
        <f t="shared" si="440"/>
        <v>200</v>
      </c>
      <c r="R656" s="20">
        <f t="shared" si="440"/>
        <v>200</v>
      </c>
      <c r="S656" s="20">
        <f t="shared" si="440"/>
        <v>200</v>
      </c>
      <c r="T656" s="20">
        <f t="shared" si="440"/>
        <v>200</v>
      </c>
      <c r="U656" s="20">
        <f t="shared" si="440"/>
        <v>200</v>
      </c>
      <c r="V656" s="20">
        <f t="shared" si="440"/>
        <v>200</v>
      </c>
      <c r="W656" s="20">
        <f>W654-W655</f>
        <v>200</v>
      </c>
    </row>
    <row r="657" spans="1:23" x14ac:dyDescent="0.3">
      <c r="B657" s="54" t="s">
        <v>66</v>
      </c>
      <c r="C657" s="56">
        <v>7.0000000000000007E-2</v>
      </c>
      <c r="D657" s="20">
        <f>D656*$C657</f>
        <v>14.000000000000002</v>
      </c>
      <c r="E657" s="20">
        <f t="shared" ref="E657:V657" si="441">E656*$C657</f>
        <v>14.000000000000002</v>
      </c>
      <c r="F657" s="20">
        <f t="shared" si="441"/>
        <v>14.000000000000002</v>
      </c>
      <c r="G657" s="20">
        <f t="shared" si="441"/>
        <v>14.000000000000002</v>
      </c>
      <c r="H657" s="20">
        <f t="shared" si="441"/>
        <v>14.000000000000002</v>
      </c>
      <c r="I657" s="20">
        <f t="shared" si="441"/>
        <v>14.000000000000002</v>
      </c>
      <c r="J657" s="20">
        <f t="shared" si="441"/>
        <v>14.000000000000002</v>
      </c>
      <c r="K657" s="20">
        <f t="shared" si="441"/>
        <v>14.000000000000002</v>
      </c>
      <c r="L657" s="20">
        <f t="shared" si="441"/>
        <v>14.000000000000002</v>
      </c>
      <c r="M657" s="20">
        <f t="shared" si="441"/>
        <v>14.000000000000002</v>
      </c>
      <c r="N657" s="20">
        <f t="shared" si="441"/>
        <v>14.000000000000002</v>
      </c>
      <c r="O657" s="20">
        <f t="shared" si="441"/>
        <v>14.000000000000002</v>
      </c>
      <c r="P657" s="20">
        <f t="shared" si="441"/>
        <v>14.000000000000002</v>
      </c>
      <c r="Q657" s="20">
        <f t="shared" si="441"/>
        <v>14.000000000000002</v>
      </c>
      <c r="R657" s="20">
        <f t="shared" si="441"/>
        <v>14.000000000000002</v>
      </c>
      <c r="S657" s="20">
        <f t="shared" si="441"/>
        <v>14.000000000000002</v>
      </c>
      <c r="T657" s="20">
        <f t="shared" si="441"/>
        <v>14.000000000000002</v>
      </c>
      <c r="U657" s="20">
        <f t="shared" si="441"/>
        <v>14.000000000000002</v>
      </c>
      <c r="V657" s="20">
        <f t="shared" si="441"/>
        <v>14.000000000000002</v>
      </c>
      <c r="W657" s="20">
        <f>W656*$C657</f>
        <v>14.000000000000002</v>
      </c>
    </row>
    <row r="658" spans="1:23" x14ac:dyDescent="0.3">
      <c r="B658" s="54" t="s">
        <v>68</v>
      </c>
      <c r="C658" s="55"/>
      <c r="D658" s="20">
        <f>D656+D657</f>
        <v>214</v>
      </c>
      <c r="E658" s="20">
        <f t="shared" ref="E658:V658" si="442">E656+E657</f>
        <v>214</v>
      </c>
      <c r="F658" s="20">
        <f t="shared" si="442"/>
        <v>214</v>
      </c>
      <c r="G658" s="20">
        <f t="shared" si="442"/>
        <v>214</v>
      </c>
      <c r="H658" s="20">
        <f t="shared" si="442"/>
        <v>214</v>
      </c>
      <c r="I658" s="20">
        <f t="shared" si="442"/>
        <v>214</v>
      </c>
      <c r="J658" s="20">
        <f t="shared" si="442"/>
        <v>214</v>
      </c>
      <c r="K658" s="20">
        <f t="shared" si="442"/>
        <v>214</v>
      </c>
      <c r="L658" s="20">
        <f t="shared" si="442"/>
        <v>214</v>
      </c>
      <c r="M658" s="20">
        <f t="shared" si="442"/>
        <v>214</v>
      </c>
      <c r="N658" s="20">
        <f t="shared" si="442"/>
        <v>214</v>
      </c>
      <c r="O658" s="20">
        <f t="shared" si="442"/>
        <v>214</v>
      </c>
      <c r="P658" s="20">
        <f t="shared" si="442"/>
        <v>214</v>
      </c>
      <c r="Q658" s="20">
        <f t="shared" si="442"/>
        <v>214</v>
      </c>
      <c r="R658" s="20">
        <f t="shared" si="442"/>
        <v>214</v>
      </c>
      <c r="S658" s="20">
        <f t="shared" si="442"/>
        <v>214</v>
      </c>
      <c r="T658" s="20">
        <f t="shared" si="442"/>
        <v>214</v>
      </c>
      <c r="U658" s="20">
        <f t="shared" si="442"/>
        <v>214</v>
      </c>
      <c r="V658" s="20">
        <f t="shared" si="442"/>
        <v>214</v>
      </c>
      <c r="W658" s="20">
        <f>W656+W657</f>
        <v>214</v>
      </c>
    </row>
    <row r="659" spans="1:23" ht="23" x14ac:dyDescent="0.35">
      <c r="B659" s="54" t="s">
        <v>52</v>
      </c>
      <c r="C659" s="55"/>
      <c r="D659" s="379"/>
      <c r="E659" s="379"/>
      <c r="F659" s="379"/>
      <c r="G659" s="379"/>
      <c r="H659" s="379"/>
      <c r="I659" s="379"/>
      <c r="J659" s="379"/>
      <c r="K659" s="379"/>
      <c r="L659" s="379"/>
      <c r="M659" s="379"/>
      <c r="N659" s="379"/>
      <c r="O659" s="379"/>
      <c r="P659" s="379"/>
      <c r="Q659" s="379"/>
      <c r="R659" s="379"/>
      <c r="S659" s="379"/>
      <c r="T659" s="379"/>
      <c r="U659" s="379"/>
      <c r="V659" s="379"/>
      <c r="W659" s="379"/>
    </row>
    <row r="660" spans="1:23" x14ac:dyDescent="0.3">
      <c r="B660" s="57" t="s">
        <v>53</v>
      </c>
      <c r="C660" s="58"/>
      <c r="D660" s="25">
        <f>SUM(D658:D659)</f>
        <v>214</v>
      </c>
      <c r="E660" s="26">
        <f t="shared" ref="E660:V660" si="443">SUM(E658:E659)</f>
        <v>214</v>
      </c>
      <c r="F660" s="26">
        <f t="shared" si="443"/>
        <v>214</v>
      </c>
      <c r="G660" s="26">
        <f t="shared" si="443"/>
        <v>214</v>
      </c>
      <c r="H660" s="26">
        <f t="shared" si="443"/>
        <v>214</v>
      </c>
      <c r="I660" s="26">
        <f t="shared" si="443"/>
        <v>214</v>
      </c>
      <c r="J660" s="26">
        <f t="shared" si="443"/>
        <v>214</v>
      </c>
      <c r="K660" s="26">
        <f t="shared" si="443"/>
        <v>214</v>
      </c>
      <c r="L660" s="26">
        <f t="shared" si="443"/>
        <v>214</v>
      </c>
      <c r="M660" s="26">
        <f t="shared" si="443"/>
        <v>214</v>
      </c>
      <c r="N660" s="26">
        <f t="shared" si="443"/>
        <v>214</v>
      </c>
      <c r="O660" s="26">
        <f t="shared" si="443"/>
        <v>214</v>
      </c>
      <c r="P660" s="26">
        <f t="shared" si="443"/>
        <v>214</v>
      </c>
      <c r="Q660" s="26">
        <f t="shared" si="443"/>
        <v>214</v>
      </c>
      <c r="R660" s="26">
        <f t="shared" si="443"/>
        <v>214</v>
      </c>
      <c r="S660" s="26">
        <f t="shared" si="443"/>
        <v>214</v>
      </c>
      <c r="T660" s="26">
        <f t="shared" si="443"/>
        <v>214</v>
      </c>
      <c r="U660" s="26">
        <f t="shared" si="443"/>
        <v>214</v>
      </c>
      <c r="V660" s="26">
        <f t="shared" si="443"/>
        <v>214</v>
      </c>
      <c r="W660" s="26">
        <f>SUM(W658:W659)</f>
        <v>214</v>
      </c>
    </row>
    <row r="661" spans="1:23" x14ac:dyDescent="0.3">
      <c r="B661" s="54" t="s">
        <v>54</v>
      </c>
      <c r="C661" s="55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</row>
    <row r="662" spans="1:23" x14ac:dyDescent="0.3">
      <c r="B662" s="59" t="s">
        <v>55</v>
      </c>
      <c r="C662" s="60"/>
      <c r="D662" s="27">
        <f>D660</f>
        <v>214</v>
      </c>
      <c r="E662" s="41">
        <f t="shared" ref="E662:W662" si="444">E660</f>
        <v>214</v>
      </c>
      <c r="F662" s="41">
        <f t="shared" si="444"/>
        <v>214</v>
      </c>
      <c r="G662" s="41">
        <f t="shared" si="444"/>
        <v>214</v>
      </c>
      <c r="H662" s="41">
        <f t="shared" si="444"/>
        <v>214</v>
      </c>
      <c r="I662" s="41">
        <f t="shared" si="444"/>
        <v>214</v>
      </c>
      <c r="J662" s="41">
        <f t="shared" si="444"/>
        <v>214</v>
      </c>
      <c r="K662" s="41">
        <f t="shared" si="444"/>
        <v>214</v>
      </c>
      <c r="L662" s="41">
        <f t="shared" si="444"/>
        <v>214</v>
      </c>
      <c r="M662" s="41">
        <f t="shared" si="444"/>
        <v>214</v>
      </c>
      <c r="N662" s="41">
        <f t="shared" si="444"/>
        <v>214</v>
      </c>
      <c r="O662" s="41">
        <f t="shared" si="444"/>
        <v>214</v>
      </c>
      <c r="P662" s="41">
        <f t="shared" si="444"/>
        <v>214</v>
      </c>
      <c r="Q662" s="41">
        <f t="shared" si="444"/>
        <v>214</v>
      </c>
      <c r="R662" s="41">
        <f t="shared" si="444"/>
        <v>214</v>
      </c>
      <c r="S662" s="41">
        <f t="shared" si="444"/>
        <v>214</v>
      </c>
      <c r="T662" s="41">
        <f t="shared" si="444"/>
        <v>214</v>
      </c>
      <c r="U662" s="41">
        <f t="shared" si="444"/>
        <v>214</v>
      </c>
      <c r="V662" s="41">
        <f t="shared" si="444"/>
        <v>214</v>
      </c>
      <c r="W662" s="41">
        <f t="shared" si="444"/>
        <v>214</v>
      </c>
    </row>
    <row r="663" spans="1:23" x14ac:dyDescent="0.3">
      <c r="B663" s="171" t="s">
        <v>194</v>
      </c>
      <c r="C663" s="55"/>
      <c r="D663" s="20">
        <v>182</v>
      </c>
      <c r="E663" s="21">
        <v>182</v>
      </c>
      <c r="F663" s="21">
        <v>182</v>
      </c>
      <c r="G663" s="21">
        <v>182</v>
      </c>
      <c r="H663" s="21">
        <v>182</v>
      </c>
      <c r="I663" s="21">
        <v>182</v>
      </c>
      <c r="J663" s="21">
        <v>182</v>
      </c>
      <c r="K663" s="21">
        <v>182</v>
      </c>
      <c r="L663" s="21">
        <v>182</v>
      </c>
      <c r="M663" s="21">
        <v>182</v>
      </c>
      <c r="N663" s="21">
        <v>184</v>
      </c>
      <c r="O663" s="21">
        <v>184</v>
      </c>
      <c r="P663" s="21">
        <v>184</v>
      </c>
      <c r="Q663" s="21">
        <v>184</v>
      </c>
      <c r="R663" s="21">
        <v>184</v>
      </c>
      <c r="S663" s="21">
        <v>184</v>
      </c>
      <c r="T663" s="21">
        <v>182</v>
      </c>
      <c r="U663" s="21">
        <v>182</v>
      </c>
      <c r="V663" s="21">
        <v>181</v>
      </c>
      <c r="W663" s="21">
        <v>184</v>
      </c>
    </row>
    <row r="664" spans="1:23" s="51" customFormat="1" x14ac:dyDescent="0.3">
      <c r="A664" s="407"/>
      <c r="B664" s="61" t="s">
        <v>195</v>
      </c>
      <c r="C664" s="62"/>
      <c r="D664" s="28">
        <v>183</v>
      </c>
      <c r="E664" s="28">
        <v>183</v>
      </c>
      <c r="F664" s="28">
        <v>183</v>
      </c>
      <c r="G664" s="28">
        <v>183</v>
      </c>
      <c r="H664" s="28">
        <v>183</v>
      </c>
      <c r="I664" s="28">
        <v>183</v>
      </c>
      <c r="J664" s="28">
        <v>183</v>
      </c>
      <c r="K664" s="28">
        <v>183</v>
      </c>
      <c r="L664" s="28">
        <v>183</v>
      </c>
      <c r="M664" s="28">
        <v>183</v>
      </c>
      <c r="N664" s="28">
        <v>185</v>
      </c>
      <c r="O664" s="28">
        <v>185</v>
      </c>
      <c r="P664" s="28">
        <v>185</v>
      </c>
      <c r="Q664" s="28">
        <v>185</v>
      </c>
      <c r="R664" s="28">
        <v>185</v>
      </c>
      <c r="S664" s="28">
        <v>185</v>
      </c>
      <c r="T664" s="28">
        <v>183</v>
      </c>
      <c r="U664" s="28">
        <v>183</v>
      </c>
      <c r="V664" s="28">
        <v>182</v>
      </c>
      <c r="W664" s="28">
        <v>185</v>
      </c>
    </row>
    <row r="665" spans="1:23" s="51" customFormat="1" x14ac:dyDescent="0.3">
      <c r="A665" s="407"/>
      <c r="B665" s="61" t="s">
        <v>196</v>
      </c>
      <c r="C665" s="62"/>
      <c r="D665" s="28">
        <v>185</v>
      </c>
      <c r="E665" s="28">
        <v>185</v>
      </c>
      <c r="F665" s="28">
        <v>185</v>
      </c>
      <c r="G665" s="28">
        <v>185</v>
      </c>
      <c r="H665" s="28">
        <v>185</v>
      </c>
      <c r="I665" s="28">
        <v>185</v>
      </c>
      <c r="J665" s="28">
        <v>185</v>
      </c>
      <c r="K665" s="28">
        <v>185</v>
      </c>
      <c r="L665" s="28">
        <v>185</v>
      </c>
      <c r="M665" s="28">
        <v>185</v>
      </c>
      <c r="N665" s="28">
        <v>187</v>
      </c>
      <c r="O665" s="28">
        <v>187</v>
      </c>
      <c r="P665" s="28">
        <v>187</v>
      </c>
      <c r="Q665" s="28">
        <v>187</v>
      </c>
      <c r="R665" s="28">
        <v>187</v>
      </c>
      <c r="S665" s="28">
        <v>187</v>
      </c>
      <c r="T665" s="28">
        <v>185</v>
      </c>
      <c r="U665" s="28">
        <v>185</v>
      </c>
      <c r="V665" s="28">
        <v>184</v>
      </c>
      <c r="W665" s="28">
        <v>187</v>
      </c>
    </row>
    <row r="666" spans="1:23" s="51" customFormat="1" x14ac:dyDescent="0.3">
      <c r="A666" s="407"/>
      <c r="B666" s="61" t="s">
        <v>197</v>
      </c>
      <c r="C666" s="62"/>
      <c r="D666" s="28">
        <v>187</v>
      </c>
      <c r="E666" s="28">
        <v>187</v>
      </c>
      <c r="F666" s="28">
        <v>187</v>
      </c>
      <c r="G666" s="28">
        <v>187</v>
      </c>
      <c r="H666" s="28">
        <v>187</v>
      </c>
      <c r="I666" s="28">
        <v>187</v>
      </c>
      <c r="J666" s="28">
        <v>187</v>
      </c>
      <c r="K666" s="28">
        <v>187</v>
      </c>
      <c r="L666" s="28">
        <v>187</v>
      </c>
      <c r="M666" s="28">
        <v>187</v>
      </c>
      <c r="N666" s="28">
        <v>189</v>
      </c>
      <c r="O666" s="28">
        <v>189</v>
      </c>
      <c r="P666" s="28">
        <v>189</v>
      </c>
      <c r="Q666" s="28">
        <v>189</v>
      </c>
      <c r="R666" s="28">
        <v>189</v>
      </c>
      <c r="S666" s="28">
        <v>189</v>
      </c>
      <c r="T666" s="28">
        <v>187</v>
      </c>
      <c r="U666" s="28">
        <v>187</v>
      </c>
      <c r="V666" s="28">
        <v>186</v>
      </c>
      <c r="W666" s="28">
        <v>189</v>
      </c>
    </row>
    <row r="667" spans="1:23" s="30" customFormat="1" x14ac:dyDescent="0.3">
      <c r="A667" s="404"/>
      <c r="B667" s="63" t="s">
        <v>198</v>
      </c>
      <c r="C667" s="62"/>
      <c r="D667" s="31">
        <f>+D663-D$662</f>
        <v>-32</v>
      </c>
      <c r="E667" s="31">
        <f t="shared" ref="E667:W667" si="445">+E663-E$662</f>
        <v>-32</v>
      </c>
      <c r="F667" s="31">
        <f t="shared" si="445"/>
        <v>-32</v>
      </c>
      <c r="G667" s="31">
        <f t="shared" si="445"/>
        <v>-32</v>
      </c>
      <c r="H667" s="31">
        <f t="shared" si="445"/>
        <v>-32</v>
      </c>
      <c r="I667" s="31">
        <f t="shared" si="445"/>
        <v>-32</v>
      </c>
      <c r="J667" s="31">
        <f t="shared" si="445"/>
        <v>-32</v>
      </c>
      <c r="K667" s="31">
        <f t="shared" si="445"/>
        <v>-32</v>
      </c>
      <c r="L667" s="31">
        <f t="shared" si="445"/>
        <v>-32</v>
      </c>
      <c r="M667" s="31">
        <f t="shared" si="445"/>
        <v>-32</v>
      </c>
      <c r="N667" s="31">
        <f t="shared" si="445"/>
        <v>-30</v>
      </c>
      <c r="O667" s="31">
        <f t="shared" si="445"/>
        <v>-30</v>
      </c>
      <c r="P667" s="31">
        <f t="shared" si="445"/>
        <v>-30</v>
      </c>
      <c r="Q667" s="31">
        <f t="shared" si="445"/>
        <v>-30</v>
      </c>
      <c r="R667" s="31">
        <f t="shared" si="445"/>
        <v>-30</v>
      </c>
      <c r="S667" s="31">
        <f t="shared" si="445"/>
        <v>-30</v>
      </c>
      <c r="T667" s="31">
        <f t="shared" si="445"/>
        <v>-32</v>
      </c>
      <c r="U667" s="31">
        <f t="shared" si="445"/>
        <v>-32</v>
      </c>
      <c r="V667" s="31">
        <f t="shared" si="445"/>
        <v>-33</v>
      </c>
      <c r="W667" s="31">
        <f t="shared" si="445"/>
        <v>-30</v>
      </c>
    </row>
    <row r="668" spans="1:23" s="33" customFormat="1" x14ac:dyDescent="0.3">
      <c r="A668" s="405"/>
      <c r="B668" s="63" t="s">
        <v>199</v>
      </c>
      <c r="C668" s="64"/>
      <c r="D668" s="31">
        <f>+D664-D$662</f>
        <v>-31</v>
      </c>
      <c r="E668" s="31">
        <f t="shared" ref="E668:W668" si="446">+E664-E$662</f>
        <v>-31</v>
      </c>
      <c r="F668" s="31">
        <f t="shared" si="446"/>
        <v>-31</v>
      </c>
      <c r="G668" s="31">
        <f t="shared" si="446"/>
        <v>-31</v>
      </c>
      <c r="H668" s="31">
        <f t="shared" si="446"/>
        <v>-31</v>
      </c>
      <c r="I668" s="31">
        <f t="shared" si="446"/>
        <v>-31</v>
      </c>
      <c r="J668" s="31">
        <f t="shared" si="446"/>
        <v>-31</v>
      </c>
      <c r="K668" s="31">
        <f t="shared" si="446"/>
        <v>-31</v>
      </c>
      <c r="L668" s="31">
        <f t="shared" si="446"/>
        <v>-31</v>
      </c>
      <c r="M668" s="31">
        <f t="shared" si="446"/>
        <v>-31</v>
      </c>
      <c r="N668" s="31">
        <f t="shared" si="446"/>
        <v>-29</v>
      </c>
      <c r="O668" s="31">
        <f t="shared" si="446"/>
        <v>-29</v>
      </c>
      <c r="P668" s="31">
        <f t="shared" si="446"/>
        <v>-29</v>
      </c>
      <c r="Q668" s="31">
        <f t="shared" si="446"/>
        <v>-29</v>
      </c>
      <c r="R668" s="31">
        <f t="shared" si="446"/>
        <v>-29</v>
      </c>
      <c r="S668" s="31">
        <f t="shared" si="446"/>
        <v>-29</v>
      </c>
      <c r="T668" s="31">
        <f t="shared" si="446"/>
        <v>-31</v>
      </c>
      <c r="U668" s="31">
        <f t="shared" si="446"/>
        <v>-31</v>
      </c>
      <c r="V668" s="31">
        <f t="shared" si="446"/>
        <v>-32</v>
      </c>
      <c r="W668" s="31">
        <f t="shared" si="446"/>
        <v>-29</v>
      </c>
    </row>
    <row r="669" spans="1:23" s="33" customFormat="1" x14ac:dyDescent="0.3">
      <c r="A669" s="405"/>
      <c r="B669" s="63" t="s">
        <v>200</v>
      </c>
      <c r="C669" s="64"/>
      <c r="D669" s="31">
        <f>+D665-D$662</f>
        <v>-29</v>
      </c>
      <c r="E669" s="31">
        <f t="shared" ref="E669:W669" si="447">+E665-E$662</f>
        <v>-29</v>
      </c>
      <c r="F669" s="31">
        <f t="shared" si="447"/>
        <v>-29</v>
      </c>
      <c r="G669" s="31">
        <f t="shared" si="447"/>
        <v>-29</v>
      </c>
      <c r="H669" s="31">
        <f t="shared" si="447"/>
        <v>-29</v>
      </c>
      <c r="I669" s="31">
        <f t="shared" si="447"/>
        <v>-29</v>
      </c>
      <c r="J669" s="31">
        <f t="shared" si="447"/>
        <v>-29</v>
      </c>
      <c r="K669" s="31">
        <f t="shared" si="447"/>
        <v>-29</v>
      </c>
      <c r="L669" s="31">
        <f t="shared" si="447"/>
        <v>-29</v>
      </c>
      <c r="M669" s="31">
        <f t="shared" si="447"/>
        <v>-29</v>
      </c>
      <c r="N669" s="31">
        <f t="shared" si="447"/>
        <v>-27</v>
      </c>
      <c r="O669" s="31">
        <f t="shared" si="447"/>
        <v>-27</v>
      </c>
      <c r="P669" s="31">
        <f t="shared" si="447"/>
        <v>-27</v>
      </c>
      <c r="Q669" s="31">
        <f t="shared" si="447"/>
        <v>-27</v>
      </c>
      <c r="R669" s="31">
        <f t="shared" si="447"/>
        <v>-27</v>
      </c>
      <c r="S669" s="31">
        <f t="shared" si="447"/>
        <v>-27</v>
      </c>
      <c r="T669" s="31">
        <f t="shared" si="447"/>
        <v>-29</v>
      </c>
      <c r="U669" s="31">
        <f t="shared" si="447"/>
        <v>-29</v>
      </c>
      <c r="V669" s="31">
        <f t="shared" si="447"/>
        <v>-30</v>
      </c>
      <c r="W669" s="31">
        <f t="shared" si="447"/>
        <v>-27</v>
      </c>
    </row>
    <row r="670" spans="1:23" s="33" customFormat="1" x14ac:dyDescent="0.3">
      <c r="A670" s="405"/>
      <c r="B670" s="63" t="s">
        <v>201</v>
      </c>
      <c r="C670" s="64"/>
      <c r="D670" s="31">
        <f>+D666-D$662</f>
        <v>-27</v>
      </c>
      <c r="E670" s="31">
        <f t="shared" ref="E670:W670" si="448">+E666-E$662</f>
        <v>-27</v>
      </c>
      <c r="F670" s="31">
        <f t="shared" si="448"/>
        <v>-27</v>
      </c>
      <c r="G670" s="31">
        <f>+G666-G$662</f>
        <v>-27</v>
      </c>
      <c r="H670" s="31">
        <f t="shared" si="448"/>
        <v>-27</v>
      </c>
      <c r="I670" s="31">
        <f t="shared" si="448"/>
        <v>-27</v>
      </c>
      <c r="J670" s="31">
        <f t="shared" si="448"/>
        <v>-27</v>
      </c>
      <c r="K670" s="31">
        <f t="shared" si="448"/>
        <v>-27</v>
      </c>
      <c r="L670" s="31">
        <f t="shared" si="448"/>
        <v>-27</v>
      </c>
      <c r="M670" s="31">
        <f t="shared" si="448"/>
        <v>-27</v>
      </c>
      <c r="N670" s="31">
        <f t="shared" si="448"/>
        <v>-25</v>
      </c>
      <c r="O670" s="31">
        <f t="shared" si="448"/>
        <v>-25</v>
      </c>
      <c r="P670" s="31">
        <f t="shared" si="448"/>
        <v>-25</v>
      </c>
      <c r="Q670" s="31">
        <f t="shared" si="448"/>
        <v>-25</v>
      </c>
      <c r="R670" s="31">
        <f t="shared" si="448"/>
        <v>-25</v>
      </c>
      <c r="S670" s="31">
        <f t="shared" si="448"/>
        <v>-25</v>
      </c>
      <c r="T670" s="31">
        <f t="shared" si="448"/>
        <v>-27</v>
      </c>
      <c r="U670" s="31">
        <f t="shared" si="448"/>
        <v>-27</v>
      </c>
      <c r="V670" s="31">
        <f t="shared" si="448"/>
        <v>-28</v>
      </c>
      <c r="W670" s="31">
        <f t="shared" si="448"/>
        <v>-25</v>
      </c>
    </row>
    <row r="671" spans="1:23" x14ac:dyDescent="0.3">
      <c r="B671" s="97" t="s">
        <v>202</v>
      </c>
      <c r="C671" s="98"/>
      <c r="D671" s="100">
        <f>D667/D663</f>
        <v>-0.17582417582417584</v>
      </c>
      <c r="E671" s="100">
        <f t="shared" ref="E671:W671" si="449">E667/E663</f>
        <v>-0.17582417582417584</v>
      </c>
      <c r="F671" s="100">
        <f t="shared" si="449"/>
        <v>-0.17582417582417584</v>
      </c>
      <c r="G671" s="100">
        <f t="shared" si="449"/>
        <v>-0.17582417582417584</v>
      </c>
      <c r="H671" s="100">
        <f t="shared" si="449"/>
        <v>-0.17582417582417584</v>
      </c>
      <c r="I671" s="100">
        <f t="shared" si="449"/>
        <v>-0.17582417582417584</v>
      </c>
      <c r="J671" s="100">
        <f t="shared" si="449"/>
        <v>-0.17582417582417584</v>
      </c>
      <c r="K671" s="100">
        <f t="shared" si="449"/>
        <v>-0.17582417582417584</v>
      </c>
      <c r="L671" s="100">
        <f t="shared" si="449"/>
        <v>-0.17582417582417584</v>
      </c>
      <c r="M671" s="100">
        <f t="shared" si="449"/>
        <v>-0.17582417582417584</v>
      </c>
      <c r="N671" s="100">
        <f t="shared" si="449"/>
        <v>-0.16304347826086957</v>
      </c>
      <c r="O671" s="100">
        <f t="shared" si="449"/>
        <v>-0.16304347826086957</v>
      </c>
      <c r="P671" s="100">
        <f t="shared" si="449"/>
        <v>-0.16304347826086957</v>
      </c>
      <c r="Q671" s="100">
        <f t="shared" si="449"/>
        <v>-0.16304347826086957</v>
      </c>
      <c r="R671" s="100">
        <f t="shared" si="449"/>
        <v>-0.16304347826086957</v>
      </c>
      <c r="S671" s="100">
        <f t="shared" si="449"/>
        <v>-0.16304347826086957</v>
      </c>
      <c r="T671" s="100">
        <f t="shared" si="449"/>
        <v>-0.17582417582417584</v>
      </c>
      <c r="U671" s="100">
        <f t="shared" si="449"/>
        <v>-0.17582417582417584</v>
      </c>
      <c r="V671" s="100">
        <f t="shared" si="449"/>
        <v>-0.18232044198895028</v>
      </c>
      <c r="W671" s="100">
        <f t="shared" si="449"/>
        <v>-0.16304347826086957</v>
      </c>
    </row>
    <row r="672" spans="1:23" s="36" customFormat="1" x14ac:dyDescent="0.3">
      <c r="A672" s="406"/>
      <c r="B672" s="97" t="s">
        <v>203</v>
      </c>
      <c r="C672" s="98"/>
      <c r="D672" s="100">
        <f>D668/D664</f>
        <v>-0.16939890710382513</v>
      </c>
      <c r="E672" s="100">
        <f t="shared" ref="E672:W672" si="450">E668/E664</f>
        <v>-0.16939890710382513</v>
      </c>
      <c r="F672" s="100">
        <f t="shared" si="450"/>
        <v>-0.16939890710382513</v>
      </c>
      <c r="G672" s="100">
        <f t="shared" si="450"/>
        <v>-0.16939890710382513</v>
      </c>
      <c r="H672" s="100">
        <f t="shared" si="450"/>
        <v>-0.16939890710382513</v>
      </c>
      <c r="I672" s="100">
        <f t="shared" si="450"/>
        <v>-0.16939890710382513</v>
      </c>
      <c r="J672" s="100">
        <f t="shared" si="450"/>
        <v>-0.16939890710382513</v>
      </c>
      <c r="K672" s="100">
        <f t="shared" si="450"/>
        <v>-0.16939890710382513</v>
      </c>
      <c r="L672" s="100">
        <f t="shared" si="450"/>
        <v>-0.16939890710382513</v>
      </c>
      <c r="M672" s="100">
        <f t="shared" si="450"/>
        <v>-0.16939890710382513</v>
      </c>
      <c r="N672" s="100">
        <f t="shared" si="450"/>
        <v>-0.15675675675675677</v>
      </c>
      <c r="O672" s="100">
        <f t="shared" si="450"/>
        <v>-0.15675675675675677</v>
      </c>
      <c r="P672" s="100">
        <f t="shared" si="450"/>
        <v>-0.15675675675675677</v>
      </c>
      <c r="Q672" s="100">
        <f t="shared" si="450"/>
        <v>-0.15675675675675677</v>
      </c>
      <c r="R672" s="100">
        <f t="shared" si="450"/>
        <v>-0.15675675675675677</v>
      </c>
      <c r="S672" s="100">
        <f t="shared" si="450"/>
        <v>-0.15675675675675677</v>
      </c>
      <c r="T672" s="100">
        <f t="shared" si="450"/>
        <v>-0.16939890710382513</v>
      </c>
      <c r="U672" s="100">
        <f t="shared" si="450"/>
        <v>-0.16939890710382513</v>
      </c>
      <c r="V672" s="100">
        <f t="shared" si="450"/>
        <v>-0.17582417582417584</v>
      </c>
      <c r="W672" s="100">
        <f t="shared" si="450"/>
        <v>-0.15675675675675677</v>
      </c>
    </row>
    <row r="673" spans="1:23" s="36" customFormat="1" x14ac:dyDescent="0.3">
      <c r="A673" s="406"/>
      <c r="B673" s="97" t="s">
        <v>204</v>
      </c>
      <c r="C673" s="98"/>
      <c r="D673" s="100">
        <f>D669/D665</f>
        <v>-0.15675675675675677</v>
      </c>
      <c r="E673" s="100">
        <f t="shared" ref="E673:W673" si="451">E669/E665</f>
        <v>-0.15675675675675677</v>
      </c>
      <c r="F673" s="100">
        <f t="shared" si="451"/>
        <v>-0.15675675675675677</v>
      </c>
      <c r="G673" s="100">
        <f t="shared" si="451"/>
        <v>-0.15675675675675677</v>
      </c>
      <c r="H673" s="100">
        <f t="shared" si="451"/>
        <v>-0.15675675675675677</v>
      </c>
      <c r="I673" s="100">
        <f t="shared" si="451"/>
        <v>-0.15675675675675677</v>
      </c>
      <c r="J673" s="100">
        <f t="shared" si="451"/>
        <v>-0.15675675675675677</v>
      </c>
      <c r="K673" s="100">
        <f t="shared" si="451"/>
        <v>-0.15675675675675677</v>
      </c>
      <c r="L673" s="100">
        <f t="shared" si="451"/>
        <v>-0.15675675675675677</v>
      </c>
      <c r="M673" s="100">
        <f t="shared" si="451"/>
        <v>-0.15675675675675677</v>
      </c>
      <c r="N673" s="100">
        <f t="shared" si="451"/>
        <v>-0.14438502673796791</v>
      </c>
      <c r="O673" s="100">
        <f t="shared" si="451"/>
        <v>-0.14438502673796791</v>
      </c>
      <c r="P673" s="100">
        <f t="shared" si="451"/>
        <v>-0.14438502673796791</v>
      </c>
      <c r="Q673" s="100">
        <f t="shared" si="451"/>
        <v>-0.14438502673796791</v>
      </c>
      <c r="R673" s="100">
        <f t="shared" si="451"/>
        <v>-0.14438502673796791</v>
      </c>
      <c r="S673" s="100">
        <f t="shared" si="451"/>
        <v>-0.14438502673796791</v>
      </c>
      <c r="T673" s="100">
        <f t="shared" si="451"/>
        <v>-0.15675675675675677</v>
      </c>
      <c r="U673" s="100">
        <f t="shared" si="451"/>
        <v>-0.15675675675675677</v>
      </c>
      <c r="V673" s="100">
        <f t="shared" si="451"/>
        <v>-0.16304347826086957</v>
      </c>
      <c r="W673" s="100">
        <f t="shared" si="451"/>
        <v>-0.14438502673796791</v>
      </c>
    </row>
    <row r="674" spans="1:23" s="36" customFormat="1" x14ac:dyDescent="0.3">
      <c r="A674" s="406"/>
      <c r="B674" s="97" t="s">
        <v>205</v>
      </c>
      <c r="C674" s="98"/>
      <c r="D674" s="100">
        <f>D670/D666</f>
        <v>-0.14438502673796791</v>
      </c>
      <c r="E674" s="100">
        <f t="shared" ref="E674:W674" si="452">E670/E666</f>
        <v>-0.14438502673796791</v>
      </c>
      <c r="F674" s="100">
        <f t="shared" si="452"/>
        <v>-0.14438502673796791</v>
      </c>
      <c r="G674" s="100">
        <f t="shared" si="452"/>
        <v>-0.14438502673796791</v>
      </c>
      <c r="H674" s="100">
        <f t="shared" si="452"/>
        <v>-0.14438502673796791</v>
      </c>
      <c r="I674" s="100">
        <f t="shared" si="452"/>
        <v>-0.14438502673796791</v>
      </c>
      <c r="J674" s="100">
        <f t="shared" si="452"/>
        <v>-0.14438502673796791</v>
      </c>
      <c r="K674" s="100">
        <f t="shared" si="452"/>
        <v>-0.14438502673796791</v>
      </c>
      <c r="L674" s="100">
        <f t="shared" si="452"/>
        <v>-0.14438502673796791</v>
      </c>
      <c r="M674" s="100">
        <f t="shared" si="452"/>
        <v>-0.14438502673796791</v>
      </c>
      <c r="N674" s="100">
        <f t="shared" si="452"/>
        <v>-0.13227513227513227</v>
      </c>
      <c r="O674" s="100">
        <f t="shared" si="452"/>
        <v>-0.13227513227513227</v>
      </c>
      <c r="P674" s="100">
        <f t="shared" si="452"/>
        <v>-0.13227513227513227</v>
      </c>
      <c r="Q674" s="100">
        <f t="shared" si="452"/>
        <v>-0.13227513227513227</v>
      </c>
      <c r="R674" s="100">
        <f t="shared" si="452"/>
        <v>-0.13227513227513227</v>
      </c>
      <c r="S674" s="100">
        <f t="shared" si="452"/>
        <v>-0.13227513227513227</v>
      </c>
      <c r="T674" s="100">
        <f t="shared" si="452"/>
        <v>-0.14438502673796791</v>
      </c>
      <c r="U674" s="100">
        <f t="shared" si="452"/>
        <v>-0.14438502673796791</v>
      </c>
      <c r="V674" s="100">
        <f t="shared" si="452"/>
        <v>-0.15053763440860216</v>
      </c>
      <c r="W674" s="100">
        <f t="shared" si="452"/>
        <v>-0.13227513227513227</v>
      </c>
    </row>
    <row r="675" spans="1:23" ht="21" thickBot="1" x14ac:dyDescent="0.35"/>
    <row r="676" spans="1:23" s="19" customFormat="1" ht="21" thickBot="1" x14ac:dyDescent="0.35">
      <c r="A676" s="19" t="s">
        <v>298</v>
      </c>
      <c r="B676" s="67" t="s">
        <v>95</v>
      </c>
      <c r="C676" s="68"/>
      <c r="D676" s="17" t="s">
        <v>5</v>
      </c>
      <c r="E676" s="18" t="s">
        <v>6</v>
      </c>
      <c r="F676" s="18" t="s">
        <v>7</v>
      </c>
      <c r="G676" s="18" t="s">
        <v>8</v>
      </c>
      <c r="H676" s="18" t="s">
        <v>9</v>
      </c>
      <c r="I676" s="18" t="s">
        <v>10</v>
      </c>
      <c r="J676" s="18" t="s">
        <v>11</v>
      </c>
      <c r="K676" s="18" t="s">
        <v>12</v>
      </c>
      <c r="L676" s="18" t="s">
        <v>13</v>
      </c>
      <c r="M676" s="18" t="s">
        <v>14</v>
      </c>
      <c r="N676" s="18" t="s">
        <v>15</v>
      </c>
      <c r="O676" s="18" t="s">
        <v>16</v>
      </c>
      <c r="P676" s="18" t="s">
        <v>17</v>
      </c>
      <c r="Q676" s="18" t="s">
        <v>18</v>
      </c>
      <c r="R676" s="18" t="s">
        <v>19</v>
      </c>
      <c r="S676" s="18" t="s">
        <v>20</v>
      </c>
      <c r="T676" s="18" t="s">
        <v>21</v>
      </c>
      <c r="U676" s="18" t="s">
        <v>22</v>
      </c>
      <c r="V676" s="18" t="s">
        <v>23</v>
      </c>
      <c r="W676" s="18" t="s">
        <v>166</v>
      </c>
    </row>
    <row r="677" spans="1:23" x14ac:dyDescent="0.3">
      <c r="B677" s="54" t="s">
        <v>50</v>
      </c>
      <c r="C677" s="55"/>
      <c r="D677" s="20">
        <v>150</v>
      </c>
      <c r="E677" s="20">
        <v>150</v>
      </c>
      <c r="F677" s="20">
        <v>150</v>
      </c>
      <c r="G677" s="20">
        <v>150</v>
      </c>
      <c r="H677" s="20">
        <v>150</v>
      </c>
      <c r="I677" s="20">
        <v>150</v>
      </c>
      <c r="J677" s="20">
        <v>150</v>
      </c>
      <c r="K677" s="20">
        <v>150</v>
      </c>
      <c r="L677" s="20">
        <v>150</v>
      </c>
      <c r="M677" s="20">
        <v>150</v>
      </c>
      <c r="N677" s="20">
        <v>150</v>
      </c>
      <c r="O677" s="20">
        <v>150</v>
      </c>
      <c r="P677" s="20">
        <v>150</v>
      </c>
      <c r="Q677" s="20">
        <v>150</v>
      </c>
      <c r="R677" s="20">
        <v>150</v>
      </c>
      <c r="S677" s="20">
        <v>150</v>
      </c>
      <c r="T677" s="20">
        <v>150</v>
      </c>
      <c r="U677" s="20">
        <v>150</v>
      </c>
      <c r="V677" s="20">
        <v>150</v>
      </c>
      <c r="W677" s="20">
        <v>150</v>
      </c>
    </row>
    <row r="678" spans="1:23" x14ac:dyDescent="0.3">
      <c r="B678" s="54" t="s">
        <v>51</v>
      </c>
      <c r="C678" s="55"/>
      <c r="D678" s="384"/>
      <c r="E678" s="385"/>
      <c r="F678" s="385"/>
      <c r="G678" s="385"/>
      <c r="H678" s="385"/>
      <c r="I678" s="385"/>
      <c r="J678" s="385"/>
      <c r="K678" s="385"/>
      <c r="L678" s="385"/>
      <c r="M678" s="385"/>
      <c r="N678" s="385"/>
      <c r="O678" s="385"/>
      <c r="P678" s="385"/>
      <c r="Q678" s="385"/>
      <c r="R678" s="385"/>
      <c r="S678" s="385"/>
      <c r="T678" s="385"/>
      <c r="U678" s="385"/>
      <c r="V678" s="385"/>
      <c r="W678" s="385"/>
    </row>
    <row r="679" spans="1:23" x14ac:dyDescent="0.3">
      <c r="B679" s="54"/>
      <c r="C679" s="55"/>
      <c r="D679" s="20">
        <f t="shared" ref="D679:V679" si="453">D677*(1-D678)</f>
        <v>150</v>
      </c>
      <c r="E679" s="20">
        <f t="shared" si="453"/>
        <v>150</v>
      </c>
      <c r="F679" s="20">
        <f t="shared" si="453"/>
        <v>150</v>
      </c>
      <c r="G679" s="20">
        <f t="shared" si="453"/>
        <v>150</v>
      </c>
      <c r="H679" s="20">
        <f t="shared" si="453"/>
        <v>150</v>
      </c>
      <c r="I679" s="20">
        <f t="shared" si="453"/>
        <v>150</v>
      </c>
      <c r="J679" s="20">
        <f t="shared" si="453"/>
        <v>150</v>
      </c>
      <c r="K679" s="20">
        <f t="shared" si="453"/>
        <v>150</v>
      </c>
      <c r="L679" s="20">
        <f t="shared" si="453"/>
        <v>150</v>
      </c>
      <c r="M679" s="20">
        <f t="shared" si="453"/>
        <v>150</v>
      </c>
      <c r="N679" s="20">
        <f t="shared" si="453"/>
        <v>150</v>
      </c>
      <c r="O679" s="20">
        <f t="shared" si="453"/>
        <v>150</v>
      </c>
      <c r="P679" s="20">
        <f t="shared" si="453"/>
        <v>150</v>
      </c>
      <c r="Q679" s="20">
        <f t="shared" si="453"/>
        <v>150</v>
      </c>
      <c r="R679" s="20">
        <f t="shared" si="453"/>
        <v>150</v>
      </c>
      <c r="S679" s="20">
        <f t="shared" si="453"/>
        <v>150</v>
      </c>
      <c r="T679" s="20">
        <f t="shared" si="453"/>
        <v>150</v>
      </c>
      <c r="U679" s="20">
        <f t="shared" si="453"/>
        <v>150</v>
      </c>
      <c r="V679" s="20">
        <f t="shared" si="453"/>
        <v>150</v>
      </c>
      <c r="W679" s="20">
        <f>W677*(1-W678)</f>
        <v>150</v>
      </c>
    </row>
    <row r="680" spans="1:23" x14ac:dyDescent="0.3">
      <c r="B680" s="54" t="s">
        <v>51</v>
      </c>
      <c r="C680" s="56">
        <v>0</v>
      </c>
      <c r="D680" s="20">
        <f>D679*$C680</f>
        <v>0</v>
      </c>
      <c r="E680" s="20">
        <f t="shared" ref="E680:V680" si="454">E679*$C680</f>
        <v>0</v>
      </c>
      <c r="F680" s="20">
        <f t="shared" si="454"/>
        <v>0</v>
      </c>
      <c r="G680" s="20">
        <f t="shared" si="454"/>
        <v>0</v>
      </c>
      <c r="H680" s="20">
        <f t="shared" si="454"/>
        <v>0</v>
      </c>
      <c r="I680" s="20">
        <f t="shared" si="454"/>
        <v>0</v>
      </c>
      <c r="J680" s="20">
        <f t="shared" si="454"/>
        <v>0</v>
      </c>
      <c r="K680" s="20">
        <f t="shared" si="454"/>
        <v>0</v>
      </c>
      <c r="L680" s="20">
        <f t="shared" si="454"/>
        <v>0</v>
      </c>
      <c r="M680" s="20">
        <f t="shared" si="454"/>
        <v>0</v>
      </c>
      <c r="N680" s="20">
        <f t="shared" si="454"/>
        <v>0</v>
      </c>
      <c r="O680" s="20">
        <f t="shared" si="454"/>
        <v>0</v>
      </c>
      <c r="P680" s="20">
        <f t="shared" si="454"/>
        <v>0</v>
      </c>
      <c r="Q680" s="20">
        <f t="shared" si="454"/>
        <v>0</v>
      </c>
      <c r="R680" s="20">
        <f t="shared" si="454"/>
        <v>0</v>
      </c>
      <c r="S680" s="20">
        <f t="shared" si="454"/>
        <v>0</v>
      </c>
      <c r="T680" s="20">
        <f t="shared" si="454"/>
        <v>0</v>
      </c>
      <c r="U680" s="20">
        <f t="shared" si="454"/>
        <v>0</v>
      </c>
      <c r="V680" s="20">
        <f t="shared" si="454"/>
        <v>0</v>
      </c>
      <c r="W680" s="20">
        <f>W679*$C680</f>
        <v>0</v>
      </c>
    </row>
    <row r="681" spans="1:23" x14ac:dyDescent="0.3">
      <c r="B681" s="54" t="s">
        <v>67</v>
      </c>
      <c r="C681" s="55"/>
      <c r="D681" s="20">
        <f>D679-D680</f>
        <v>150</v>
      </c>
      <c r="E681" s="20">
        <f t="shared" ref="E681:V681" si="455">E679-E680</f>
        <v>150</v>
      </c>
      <c r="F681" s="20">
        <f t="shared" si="455"/>
        <v>150</v>
      </c>
      <c r="G681" s="20">
        <f t="shared" si="455"/>
        <v>150</v>
      </c>
      <c r="H681" s="20">
        <f t="shared" si="455"/>
        <v>150</v>
      </c>
      <c r="I681" s="20">
        <f t="shared" si="455"/>
        <v>150</v>
      </c>
      <c r="J681" s="20">
        <f t="shared" si="455"/>
        <v>150</v>
      </c>
      <c r="K681" s="20">
        <f t="shared" si="455"/>
        <v>150</v>
      </c>
      <c r="L681" s="20">
        <f t="shared" si="455"/>
        <v>150</v>
      </c>
      <c r="M681" s="20">
        <f t="shared" si="455"/>
        <v>150</v>
      </c>
      <c r="N681" s="20">
        <f t="shared" si="455"/>
        <v>150</v>
      </c>
      <c r="O681" s="20">
        <f t="shared" si="455"/>
        <v>150</v>
      </c>
      <c r="P681" s="20">
        <f t="shared" si="455"/>
        <v>150</v>
      </c>
      <c r="Q681" s="20">
        <f t="shared" si="455"/>
        <v>150</v>
      </c>
      <c r="R681" s="20">
        <f t="shared" si="455"/>
        <v>150</v>
      </c>
      <c r="S681" s="20">
        <f t="shared" si="455"/>
        <v>150</v>
      </c>
      <c r="T681" s="20">
        <f t="shared" si="455"/>
        <v>150</v>
      </c>
      <c r="U681" s="20">
        <f t="shared" si="455"/>
        <v>150</v>
      </c>
      <c r="V681" s="20">
        <f t="shared" si="455"/>
        <v>150</v>
      </c>
      <c r="W681" s="20">
        <f>W679-W680</f>
        <v>150</v>
      </c>
    </row>
    <row r="682" spans="1:23" x14ac:dyDescent="0.3">
      <c r="B682" s="54" t="s">
        <v>66</v>
      </c>
      <c r="C682" s="56">
        <v>7.0000000000000007E-2</v>
      </c>
      <c r="D682" s="20">
        <f>D681*$C682</f>
        <v>10.500000000000002</v>
      </c>
      <c r="E682" s="20">
        <f t="shared" ref="E682:V682" si="456">E681*$C682</f>
        <v>10.500000000000002</v>
      </c>
      <c r="F682" s="20">
        <f t="shared" si="456"/>
        <v>10.500000000000002</v>
      </c>
      <c r="G682" s="20">
        <f t="shared" si="456"/>
        <v>10.500000000000002</v>
      </c>
      <c r="H682" s="20">
        <f t="shared" si="456"/>
        <v>10.500000000000002</v>
      </c>
      <c r="I682" s="20">
        <f t="shared" si="456"/>
        <v>10.500000000000002</v>
      </c>
      <c r="J682" s="20">
        <f t="shared" si="456"/>
        <v>10.500000000000002</v>
      </c>
      <c r="K682" s="20">
        <f t="shared" si="456"/>
        <v>10.500000000000002</v>
      </c>
      <c r="L682" s="20">
        <f t="shared" si="456"/>
        <v>10.500000000000002</v>
      </c>
      <c r="M682" s="20">
        <f t="shared" si="456"/>
        <v>10.500000000000002</v>
      </c>
      <c r="N682" s="20">
        <f t="shared" si="456"/>
        <v>10.500000000000002</v>
      </c>
      <c r="O682" s="20">
        <f t="shared" si="456"/>
        <v>10.500000000000002</v>
      </c>
      <c r="P682" s="20">
        <f t="shared" si="456"/>
        <v>10.500000000000002</v>
      </c>
      <c r="Q682" s="20">
        <f t="shared" si="456"/>
        <v>10.500000000000002</v>
      </c>
      <c r="R682" s="20">
        <f t="shared" si="456"/>
        <v>10.500000000000002</v>
      </c>
      <c r="S682" s="20">
        <f t="shared" si="456"/>
        <v>10.500000000000002</v>
      </c>
      <c r="T682" s="20">
        <f t="shared" si="456"/>
        <v>10.500000000000002</v>
      </c>
      <c r="U682" s="20">
        <f t="shared" si="456"/>
        <v>10.500000000000002</v>
      </c>
      <c r="V682" s="20">
        <f t="shared" si="456"/>
        <v>10.500000000000002</v>
      </c>
      <c r="W682" s="20">
        <f>W681*$C682</f>
        <v>10.500000000000002</v>
      </c>
    </row>
    <row r="683" spans="1:23" x14ac:dyDescent="0.3">
      <c r="B683" s="54" t="s">
        <v>68</v>
      </c>
      <c r="C683" s="55"/>
      <c r="D683" s="20">
        <f>D681+D682</f>
        <v>160.5</v>
      </c>
      <c r="E683" s="20">
        <f t="shared" ref="E683:V683" si="457">E681+E682</f>
        <v>160.5</v>
      </c>
      <c r="F683" s="20">
        <f t="shared" si="457"/>
        <v>160.5</v>
      </c>
      <c r="G683" s="20">
        <f t="shared" si="457"/>
        <v>160.5</v>
      </c>
      <c r="H683" s="20">
        <f t="shared" si="457"/>
        <v>160.5</v>
      </c>
      <c r="I683" s="20">
        <f t="shared" si="457"/>
        <v>160.5</v>
      </c>
      <c r="J683" s="20">
        <f t="shared" si="457"/>
        <v>160.5</v>
      </c>
      <c r="K683" s="20">
        <f t="shared" si="457"/>
        <v>160.5</v>
      </c>
      <c r="L683" s="20">
        <f t="shared" si="457"/>
        <v>160.5</v>
      </c>
      <c r="M683" s="20">
        <f t="shared" si="457"/>
        <v>160.5</v>
      </c>
      <c r="N683" s="20">
        <f t="shared" si="457"/>
        <v>160.5</v>
      </c>
      <c r="O683" s="20">
        <f t="shared" si="457"/>
        <v>160.5</v>
      </c>
      <c r="P683" s="20">
        <f t="shared" si="457"/>
        <v>160.5</v>
      </c>
      <c r="Q683" s="20">
        <f t="shared" si="457"/>
        <v>160.5</v>
      </c>
      <c r="R683" s="20">
        <f t="shared" si="457"/>
        <v>160.5</v>
      </c>
      <c r="S683" s="20">
        <f t="shared" si="457"/>
        <v>160.5</v>
      </c>
      <c r="T683" s="20">
        <f t="shared" si="457"/>
        <v>160.5</v>
      </c>
      <c r="U683" s="20">
        <f t="shared" si="457"/>
        <v>160.5</v>
      </c>
      <c r="V683" s="20">
        <f t="shared" si="457"/>
        <v>160.5</v>
      </c>
      <c r="W683" s="20">
        <f>W681+W682</f>
        <v>160.5</v>
      </c>
    </row>
    <row r="684" spans="1:23" ht="23" x14ac:dyDescent="0.35">
      <c r="B684" s="54" t="s">
        <v>52</v>
      </c>
      <c r="C684" s="55"/>
      <c r="D684" s="379"/>
      <c r="E684" s="379"/>
      <c r="F684" s="379"/>
      <c r="G684" s="379"/>
      <c r="H684" s="379"/>
      <c r="I684" s="379"/>
      <c r="J684" s="379"/>
      <c r="K684" s="379"/>
      <c r="L684" s="379"/>
      <c r="M684" s="379"/>
      <c r="N684" s="379"/>
      <c r="O684" s="379"/>
      <c r="P684" s="379"/>
      <c r="Q684" s="379"/>
      <c r="R684" s="379"/>
      <c r="S684" s="379"/>
      <c r="T684" s="379"/>
      <c r="U684" s="379"/>
      <c r="V684" s="379"/>
      <c r="W684" s="379"/>
    </row>
    <row r="685" spans="1:23" x14ac:dyDescent="0.3">
      <c r="B685" s="57" t="s">
        <v>53</v>
      </c>
      <c r="C685" s="58"/>
      <c r="D685" s="25">
        <f>SUM(D683:D684)</f>
        <v>160.5</v>
      </c>
      <c r="E685" s="26">
        <f t="shared" ref="E685:V685" si="458">SUM(E683:E684)</f>
        <v>160.5</v>
      </c>
      <c r="F685" s="26">
        <f t="shared" si="458"/>
        <v>160.5</v>
      </c>
      <c r="G685" s="26">
        <f t="shared" si="458"/>
        <v>160.5</v>
      </c>
      <c r="H685" s="26">
        <f t="shared" si="458"/>
        <v>160.5</v>
      </c>
      <c r="I685" s="26">
        <f t="shared" si="458"/>
        <v>160.5</v>
      </c>
      <c r="J685" s="26">
        <f t="shared" si="458"/>
        <v>160.5</v>
      </c>
      <c r="K685" s="26">
        <f t="shared" si="458"/>
        <v>160.5</v>
      </c>
      <c r="L685" s="26">
        <f t="shared" si="458"/>
        <v>160.5</v>
      </c>
      <c r="M685" s="26">
        <f t="shared" si="458"/>
        <v>160.5</v>
      </c>
      <c r="N685" s="26">
        <f t="shared" si="458"/>
        <v>160.5</v>
      </c>
      <c r="O685" s="26">
        <f t="shared" si="458"/>
        <v>160.5</v>
      </c>
      <c r="P685" s="26">
        <f t="shared" si="458"/>
        <v>160.5</v>
      </c>
      <c r="Q685" s="26">
        <f t="shared" si="458"/>
        <v>160.5</v>
      </c>
      <c r="R685" s="26">
        <f t="shared" si="458"/>
        <v>160.5</v>
      </c>
      <c r="S685" s="26">
        <f t="shared" si="458"/>
        <v>160.5</v>
      </c>
      <c r="T685" s="26">
        <f t="shared" si="458"/>
        <v>160.5</v>
      </c>
      <c r="U685" s="26">
        <f t="shared" si="458"/>
        <v>160.5</v>
      </c>
      <c r="V685" s="26">
        <f t="shared" si="458"/>
        <v>160.5</v>
      </c>
      <c r="W685" s="26">
        <f>SUM(W683:W684)</f>
        <v>160.5</v>
      </c>
    </row>
    <row r="686" spans="1:23" x14ac:dyDescent="0.3">
      <c r="B686" s="54" t="s">
        <v>54</v>
      </c>
      <c r="C686" s="55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</row>
    <row r="687" spans="1:23" x14ac:dyDescent="0.3">
      <c r="B687" s="59" t="s">
        <v>55</v>
      </c>
      <c r="C687" s="60"/>
      <c r="D687" s="27">
        <f>D685</f>
        <v>160.5</v>
      </c>
      <c r="E687" s="41">
        <f t="shared" ref="E687:W687" si="459">E685</f>
        <v>160.5</v>
      </c>
      <c r="F687" s="41">
        <f t="shared" si="459"/>
        <v>160.5</v>
      </c>
      <c r="G687" s="41">
        <f t="shared" si="459"/>
        <v>160.5</v>
      </c>
      <c r="H687" s="41">
        <f t="shared" si="459"/>
        <v>160.5</v>
      </c>
      <c r="I687" s="41">
        <f t="shared" si="459"/>
        <v>160.5</v>
      </c>
      <c r="J687" s="41">
        <f t="shared" si="459"/>
        <v>160.5</v>
      </c>
      <c r="K687" s="41">
        <f t="shared" si="459"/>
        <v>160.5</v>
      </c>
      <c r="L687" s="41">
        <f t="shared" si="459"/>
        <v>160.5</v>
      </c>
      <c r="M687" s="41">
        <f t="shared" si="459"/>
        <v>160.5</v>
      </c>
      <c r="N687" s="41">
        <f t="shared" si="459"/>
        <v>160.5</v>
      </c>
      <c r="O687" s="41">
        <f t="shared" si="459"/>
        <v>160.5</v>
      </c>
      <c r="P687" s="41">
        <f t="shared" si="459"/>
        <v>160.5</v>
      </c>
      <c r="Q687" s="41">
        <f t="shared" si="459"/>
        <v>160.5</v>
      </c>
      <c r="R687" s="41">
        <f t="shared" si="459"/>
        <v>160.5</v>
      </c>
      <c r="S687" s="41">
        <f t="shared" si="459"/>
        <v>160.5</v>
      </c>
      <c r="T687" s="41">
        <f t="shared" si="459"/>
        <v>160.5</v>
      </c>
      <c r="U687" s="41">
        <f t="shared" si="459"/>
        <v>160.5</v>
      </c>
      <c r="V687" s="41">
        <f t="shared" si="459"/>
        <v>160.5</v>
      </c>
      <c r="W687" s="41">
        <f t="shared" si="459"/>
        <v>160.5</v>
      </c>
    </row>
    <row r="688" spans="1:23" s="51" customFormat="1" x14ac:dyDescent="0.3">
      <c r="A688" s="407"/>
      <c r="B688" s="61" t="s">
        <v>194</v>
      </c>
      <c r="C688" s="62"/>
      <c r="D688" s="28">
        <v>138</v>
      </c>
      <c r="E688" s="28">
        <v>138</v>
      </c>
      <c r="F688" s="28">
        <v>138</v>
      </c>
      <c r="G688" s="28">
        <v>138</v>
      </c>
      <c r="H688" s="28">
        <v>138</v>
      </c>
      <c r="I688" s="28">
        <v>138</v>
      </c>
      <c r="J688" s="28">
        <v>138</v>
      </c>
      <c r="K688" s="28">
        <v>138</v>
      </c>
      <c r="L688" s="28">
        <v>138</v>
      </c>
      <c r="M688" s="28">
        <v>138</v>
      </c>
      <c r="N688" s="28">
        <v>139</v>
      </c>
      <c r="O688" s="28">
        <v>139</v>
      </c>
      <c r="P688" s="28">
        <v>139</v>
      </c>
      <c r="Q688" s="28">
        <v>139</v>
      </c>
      <c r="R688" s="28">
        <v>139</v>
      </c>
      <c r="S688" s="28">
        <v>139</v>
      </c>
      <c r="T688" s="28">
        <v>138</v>
      </c>
      <c r="U688" s="28">
        <v>138</v>
      </c>
      <c r="V688" s="28">
        <v>137</v>
      </c>
      <c r="W688" s="28">
        <v>139</v>
      </c>
    </row>
    <row r="689" spans="1:23" s="51" customFormat="1" x14ac:dyDescent="0.3">
      <c r="A689" s="407"/>
      <c r="B689" s="61" t="s">
        <v>195</v>
      </c>
      <c r="C689" s="62"/>
      <c r="D689" s="28">
        <v>140</v>
      </c>
      <c r="E689" s="28">
        <v>140</v>
      </c>
      <c r="F689" s="28">
        <v>140</v>
      </c>
      <c r="G689" s="28">
        <v>140</v>
      </c>
      <c r="H689" s="28">
        <v>140</v>
      </c>
      <c r="I689" s="28">
        <v>140</v>
      </c>
      <c r="J689" s="28">
        <v>140</v>
      </c>
      <c r="K689" s="28">
        <v>140</v>
      </c>
      <c r="L689" s="28">
        <v>140</v>
      </c>
      <c r="M689" s="28">
        <v>140</v>
      </c>
      <c r="N689" s="28">
        <v>141</v>
      </c>
      <c r="O689" s="28">
        <v>141</v>
      </c>
      <c r="P689" s="28">
        <v>141</v>
      </c>
      <c r="Q689" s="28">
        <v>141</v>
      </c>
      <c r="R689" s="28">
        <v>141</v>
      </c>
      <c r="S689" s="28">
        <v>141</v>
      </c>
      <c r="T689" s="28">
        <v>140</v>
      </c>
      <c r="U689" s="28">
        <v>140</v>
      </c>
      <c r="V689" s="28">
        <v>139</v>
      </c>
      <c r="W689" s="28">
        <v>141</v>
      </c>
    </row>
    <row r="690" spans="1:23" s="51" customFormat="1" x14ac:dyDescent="0.3">
      <c r="A690" s="407"/>
      <c r="B690" s="61" t="s">
        <v>196</v>
      </c>
      <c r="C690" s="62"/>
      <c r="D690" s="28">
        <v>142</v>
      </c>
      <c r="E690" s="28">
        <v>142</v>
      </c>
      <c r="F690" s="28">
        <v>142</v>
      </c>
      <c r="G690" s="28">
        <v>142</v>
      </c>
      <c r="H690" s="28">
        <v>142</v>
      </c>
      <c r="I690" s="28">
        <v>142</v>
      </c>
      <c r="J690" s="28">
        <v>142</v>
      </c>
      <c r="K690" s="28">
        <v>142</v>
      </c>
      <c r="L690" s="28">
        <v>142</v>
      </c>
      <c r="M690" s="28">
        <v>142</v>
      </c>
      <c r="N690" s="28">
        <v>143</v>
      </c>
      <c r="O690" s="28">
        <v>143</v>
      </c>
      <c r="P690" s="28">
        <v>143</v>
      </c>
      <c r="Q690" s="28">
        <v>143</v>
      </c>
      <c r="R690" s="28">
        <v>143</v>
      </c>
      <c r="S690" s="28">
        <v>143</v>
      </c>
      <c r="T690" s="28">
        <v>142</v>
      </c>
      <c r="U690" s="28">
        <v>142</v>
      </c>
      <c r="V690" s="28">
        <v>141</v>
      </c>
      <c r="W690" s="28">
        <v>143</v>
      </c>
    </row>
    <row r="691" spans="1:23" s="30" customFormat="1" x14ac:dyDescent="0.3">
      <c r="A691" s="404"/>
      <c r="B691" s="61" t="s">
        <v>197</v>
      </c>
      <c r="C691" s="62"/>
      <c r="D691" s="28">
        <v>145</v>
      </c>
      <c r="E691" s="28">
        <v>145</v>
      </c>
      <c r="F691" s="28">
        <v>145</v>
      </c>
      <c r="G691" s="28">
        <v>145</v>
      </c>
      <c r="H691" s="28">
        <v>145</v>
      </c>
      <c r="I691" s="28">
        <v>145</v>
      </c>
      <c r="J691" s="28">
        <v>145</v>
      </c>
      <c r="K691" s="28">
        <v>145</v>
      </c>
      <c r="L691" s="28">
        <v>145</v>
      </c>
      <c r="M691" s="28">
        <v>145</v>
      </c>
      <c r="N691" s="28">
        <v>146</v>
      </c>
      <c r="O691" s="28">
        <v>146</v>
      </c>
      <c r="P691" s="28">
        <v>146</v>
      </c>
      <c r="Q691" s="28">
        <v>146</v>
      </c>
      <c r="R691" s="28">
        <v>146</v>
      </c>
      <c r="S691" s="28">
        <v>146</v>
      </c>
      <c r="T691" s="28">
        <v>145</v>
      </c>
      <c r="U691" s="28">
        <v>145</v>
      </c>
      <c r="V691" s="28">
        <v>144</v>
      </c>
      <c r="W691" s="28">
        <v>146</v>
      </c>
    </row>
    <row r="692" spans="1:23" s="30" customFormat="1" x14ac:dyDescent="0.3">
      <c r="A692" s="404"/>
      <c r="B692" s="63" t="s">
        <v>198</v>
      </c>
      <c r="C692" s="62"/>
      <c r="D692" s="31">
        <f>+D688-D$687</f>
        <v>-22.5</v>
      </c>
      <c r="E692" s="31">
        <f t="shared" ref="E692:W692" si="460">+E688-E$687</f>
        <v>-22.5</v>
      </c>
      <c r="F692" s="31">
        <f t="shared" si="460"/>
        <v>-22.5</v>
      </c>
      <c r="G692" s="31">
        <f t="shared" si="460"/>
        <v>-22.5</v>
      </c>
      <c r="H692" s="31">
        <f t="shared" si="460"/>
        <v>-22.5</v>
      </c>
      <c r="I692" s="31">
        <f t="shared" si="460"/>
        <v>-22.5</v>
      </c>
      <c r="J692" s="31">
        <f t="shared" si="460"/>
        <v>-22.5</v>
      </c>
      <c r="K692" s="31">
        <f t="shared" si="460"/>
        <v>-22.5</v>
      </c>
      <c r="L692" s="31">
        <f t="shared" si="460"/>
        <v>-22.5</v>
      </c>
      <c r="M692" s="31">
        <f t="shared" si="460"/>
        <v>-22.5</v>
      </c>
      <c r="N692" s="31">
        <f t="shared" si="460"/>
        <v>-21.5</v>
      </c>
      <c r="O692" s="31">
        <f t="shared" si="460"/>
        <v>-21.5</v>
      </c>
      <c r="P692" s="31">
        <f t="shared" si="460"/>
        <v>-21.5</v>
      </c>
      <c r="Q692" s="31">
        <f t="shared" si="460"/>
        <v>-21.5</v>
      </c>
      <c r="R692" s="31">
        <f t="shared" si="460"/>
        <v>-21.5</v>
      </c>
      <c r="S692" s="31">
        <f t="shared" si="460"/>
        <v>-21.5</v>
      </c>
      <c r="T692" s="31">
        <f t="shared" si="460"/>
        <v>-22.5</v>
      </c>
      <c r="U692" s="31">
        <f t="shared" si="460"/>
        <v>-22.5</v>
      </c>
      <c r="V692" s="31">
        <f t="shared" si="460"/>
        <v>-23.5</v>
      </c>
      <c r="W692" s="31">
        <f t="shared" si="460"/>
        <v>-21.5</v>
      </c>
    </row>
    <row r="693" spans="1:23" s="33" customFormat="1" x14ac:dyDescent="0.3">
      <c r="A693" s="405"/>
      <c r="B693" s="63" t="s">
        <v>199</v>
      </c>
      <c r="C693" s="64"/>
      <c r="D693" s="31">
        <f>+D689-D$687</f>
        <v>-20.5</v>
      </c>
      <c r="E693" s="31">
        <f t="shared" ref="E693:W693" si="461">+E689-E$687</f>
        <v>-20.5</v>
      </c>
      <c r="F693" s="31">
        <f t="shared" si="461"/>
        <v>-20.5</v>
      </c>
      <c r="G693" s="31">
        <f t="shared" si="461"/>
        <v>-20.5</v>
      </c>
      <c r="H693" s="31">
        <f t="shared" si="461"/>
        <v>-20.5</v>
      </c>
      <c r="I693" s="31">
        <f t="shared" si="461"/>
        <v>-20.5</v>
      </c>
      <c r="J693" s="31">
        <f t="shared" si="461"/>
        <v>-20.5</v>
      </c>
      <c r="K693" s="31">
        <f t="shared" si="461"/>
        <v>-20.5</v>
      </c>
      <c r="L693" s="31">
        <f t="shared" si="461"/>
        <v>-20.5</v>
      </c>
      <c r="M693" s="31">
        <f t="shared" si="461"/>
        <v>-20.5</v>
      </c>
      <c r="N693" s="31">
        <f t="shared" si="461"/>
        <v>-19.5</v>
      </c>
      <c r="O693" s="31">
        <f t="shared" si="461"/>
        <v>-19.5</v>
      </c>
      <c r="P693" s="31">
        <f t="shared" si="461"/>
        <v>-19.5</v>
      </c>
      <c r="Q693" s="31">
        <f t="shared" si="461"/>
        <v>-19.5</v>
      </c>
      <c r="R693" s="31">
        <f t="shared" si="461"/>
        <v>-19.5</v>
      </c>
      <c r="S693" s="31">
        <f t="shared" si="461"/>
        <v>-19.5</v>
      </c>
      <c r="T693" s="31">
        <f t="shared" si="461"/>
        <v>-20.5</v>
      </c>
      <c r="U693" s="31">
        <f t="shared" si="461"/>
        <v>-20.5</v>
      </c>
      <c r="V693" s="31">
        <f t="shared" si="461"/>
        <v>-21.5</v>
      </c>
      <c r="W693" s="31">
        <f t="shared" si="461"/>
        <v>-19.5</v>
      </c>
    </row>
    <row r="694" spans="1:23" s="33" customFormat="1" x14ac:dyDescent="0.3">
      <c r="A694" s="405"/>
      <c r="B694" s="63" t="s">
        <v>200</v>
      </c>
      <c r="C694" s="64"/>
      <c r="D694" s="31">
        <f>+D690-D$687</f>
        <v>-18.5</v>
      </c>
      <c r="E694" s="31">
        <f t="shared" ref="E694:W694" si="462">+E690-E$687</f>
        <v>-18.5</v>
      </c>
      <c r="F694" s="31">
        <f t="shared" si="462"/>
        <v>-18.5</v>
      </c>
      <c r="G694" s="31">
        <f t="shared" si="462"/>
        <v>-18.5</v>
      </c>
      <c r="H694" s="31">
        <f t="shared" si="462"/>
        <v>-18.5</v>
      </c>
      <c r="I694" s="31">
        <f t="shared" si="462"/>
        <v>-18.5</v>
      </c>
      <c r="J694" s="31">
        <f t="shared" si="462"/>
        <v>-18.5</v>
      </c>
      <c r="K694" s="31">
        <f t="shared" si="462"/>
        <v>-18.5</v>
      </c>
      <c r="L694" s="31">
        <f t="shared" si="462"/>
        <v>-18.5</v>
      </c>
      <c r="M694" s="31">
        <f t="shared" si="462"/>
        <v>-18.5</v>
      </c>
      <c r="N694" s="31">
        <f t="shared" si="462"/>
        <v>-17.5</v>
      </c>
      <c r="O694" s="31">
        <f t="shared" si="462"/>
        <v>-17.5</v>
      </c>
      <c r="P694" s="31">
        <f t="shared" si="462"/>
        <v>-17.5</v>
      </c>
      <c r="Q694" s="31">
        <f t="shared" si="462"/>
        <v>-17.5</v>
      </c>
      <c r="R694" s="31">
        <f t="shared" si="462"/>
        <v>-17.5</v>
      </c>
      <c r="S694" s="31">
        <f t="shared" si="462"/>
        <v>-17.5</v>
      </c>
      <c r="T694" s="31">
        <f t="shared" si="462"/>
        <v>-18.5</v>
      </c>
      <c r="U694" s="31">
        <f t="shared" si="462"/>
        <v>-18.5</v>
      </c>
      <c r="V694" s="31">
        <f t="shared" si="462"/>
        <v>-19.5</v>
      </c>
      <c r="W694" s="31">
        <f t="shared" si="462"/>
        <v>-17.5</v>
      </c>
    </row>
    <row r="695" spans="1:23" s="33" customFormat="1" x14ac:dyDescent="0.3">
      <c r="A695" s="405"/>
      <c r="B695" s="63" t="s">
        <v>201</v>
      </c>
      <c r="C695" s="64"/>
      <c r="D695" s="31">
        <f>+D691-D$687</f>
        <v>-15.5</v>
      </c>
      <c r="E695" s="31">
        <f t="shared" ref="E695:W695" si="463">+E691-E$687</f>
        <v>-15.5</v>
      </c>
      <c r="F695" s="31">
        <f t="shared" si="463"/>
        <v>-15.5</v>
      </c>
      <c r="G695" s="31">
        <f t="shared" si="463"/>
        <v>-15.5</v>
      </c>
      <c r="H695" s="31">
        <f t="shared" si="463"/>
        <v>-15.5</v>
      </c>
      <c r="I695" s="31">
        <f t="shared" si="463"/>
        <v>-15.5</v>
      </c>
      <c r="J695" s="31">
        <f t="shared" si="463"/>
        <v>-15.5</v>
      </c>
      <c r="K695" s="31">
        <f t="shared" si="463"/>
        <v>-15.5</v>
      </c>
      <c r="L695" s="31">
        <f t="shared" si="463"/>
        <v>-15.5</v>
      </c>
      <c r="M695" s="31">
        <f t="shared" si="463"/>
        <v>-15.5</v>
      </c>
      <c r="N695" s="31">
        <f t="shared" si="463"/>
        <v>-14.5</v>
      </c>
      <c r="O695" s="31">
        <f t="shared" si="463"/>
        <v>-14.5</v>
      </c>
      <c r="P695" s="31">
        <f t="shared" si="463"/>
        <v>-14.5</v>
      </c>
      <c r="Q695" s="31">
        <f t="shared" si="463"/>
        <v>-14.5</v>
      </c>
      <c r="R695" s="31">
        <f t="shared" si="463"/>
        <v>-14.5</v>
      </c>
      <c r="S695" s="31">
        <f t="shared" si="463"/>
        <v>-14.5</v>
      </c>
      <c r="T695" s="31">
        <f t="shared" si="463"/>
        <v>-15.5</v>
      </c>
      <c r="U695" s="31">
        <f t="shared" si="463"/>
        <v>-15.5</v>
      </c>
      <c r="V695" s="31">
        <f t="shared" si="463"/>
        <v>-16.5</v>
      </c>
      <c r="W695" s="31">
        <f t="shared" si="463"/>
        <v>-14.5</v>
      </c>
    </row>
    <row r="696" spans="1:23" x14ac:dyDescent="0.3">
      <c r="B696" s="97" t="s">
        <v>202</v>
      </c>
      <c r="C696" s="98"/>
      <c r="D696" s="100">
        <f>D692/D688</f>
        <v>-0.16304347826086957</v>
      </c>
      <c r="E696" s="100">
        <f t="shared" ref="E696:W696" si="464">E692/E688</f>
        <v>-0.16304347826086957</v>
      </c>
      <c r="F696" s="100">
        <f t="shared" si="464"/>
        <v>-0.16304347826086957</v>
      </c>
      <c r="G696" s="100">
        <f t="shared" si="464"/>
        <v>-0.16304347826086957</v>
      </c>
      <c r="H696" s="100">
        <f t="shared" si="464"/>
        <v>-0.16304347826086957</v>
      </c>
      <c r="I696" s="100">
        <f t="shared" si="464"/>
        <v>-0.16304347826086957</v>
      </c>
      <c r="J696" s="100">
        <f t="shared" si="464"/>
        <v>-0.16304347826086957</v>
      </c>
      <c r="K696" s="100">
        <f t="shared" si="464"/>
        <v>-0.16304347826086957</v>
      </c>
      <c r="L696" s="100">
        <f t="shared" si="464"/>
        <v>-0.16304347826086957</v>
      </c>
      <c r="M696" s="100">
        <f t="shared" si="464"/>
        <v>-0.16304347826086957</v>
      </c>
      <c r="N696" s="100">
        <f t="shared" si="464"/>
        <v>-0.15467625899280577</v>
      </c>
      <c r="O696" s="100">
        <f t="shared" si="464"/>
        <v>-0.15467625899280577</v>
      </c>
      <c r="P696" s="100">
        <f t="shared" si="464"/>
        <v>-0.15467625899280577</v>
      </c>
      <c r="Q696" s="100">
        <f t="shared" si="464"/>
        <v>-0.15467625899280577</v>
      </c>
      <c r="R696" s="100">
        <f t="shared" si="464"/>
        <v>-0.15467625899280577</v>
      </c>
      <c r="S696" s="100">
        <f t="shared" si="464"/>
        <v>-0.15467625899280577</v>
      </c>
      <c r="T696" s="100">
        <f t="shared" si="464"/>
        <v>-0.16304347826086957</v>
      </c>
      <c r="U696" s="100">
        <f t="shared" si="464"/>
        <v>-0.16304347826086957</v>
      </c>
      <c r="V696" s="100">
        <f t="shared" si="464"/>
        <v>-0.17153284671532848</v>
      </c>
      <c r="W696" s="100">
        <f t="shared" si="464"/>
        <v>-0.15467625899280577</v>
      </c>
    </row>
    <row r="697" spans="1:23" s="36" customFormat="1" x14ac:dyDescent="0.3">
      <c r="A697" s="406"/>
      <c r="B697" s="97" t="s">
        <v>203</v>
      </c>
      <c r="C697" s="98"/>
      <c r="D697" s="100">
        <f>D693/D689</f>
        <v>-0.14642857142857144</v>
      </c>
      <c r="E697" s="100">
        <f t="shared" ref="E697:W697" si="465">E693/E689</f>
        <v>-0.14642857142857144</v>
      </c>
      <c r="F697" s="100">
        <f t="shared" si="465"/>
        <v>-0.14642857142857144</v>
      </c>
      <c r="G697" s="100">
        <f t="shared" si="465"/>
        <v>-0.14642857142857144</v>
      </c>
      <c r="H697" s="100">
        <f t="shared" si="465"/>
        <v>-0.14642857142857144</v>
      </c>
      <c r="I697" s="100">
        <f t="shared" si="465"/>
        <v>-0.14642857142857144</v>
      </c>
      <c r="J697" s="100">
        <f t="shared" si="465"/>
        <v>-0.14642857142857144</v>
      </c>
      <c r="K697" s="100">
        <f t="shared" si="465"/>
        <v>-0.14642857142857144</v>
      </c>
      <c r="L697" s="100">
        <f t="shared" si="465"/>
        <v>-0.14642857142857144</v>
      </c>
      <c r="M697" s="100">
        <f t="shared" si="465"/>
        <v>-0.14642857142857144</v>
      </c>
      <c r="N697" s="100">
        <f t="shared" si="465"/>
        <v>-0.13829787234042554</v>
      </c>
      <c r="O697" s="100">
        <f t="shared" si="465"/>
        <v>-0.13829787234042554</v>
      </c>
      <c r="P697" s="100">
        <f t="shared" si="465"/>
        <v>-0.13829787234042554</v>
      </c>
      <c r="Q697" s="100">
        <f t="shared" si="465"/>
        <v>-0.13829787234042554</v>
      </c>
      <c r="R697" s="100">
        <f t="shared" si="465"/>
        <v>-0.13829787234042554</v>
      </c>
      <c r="S697" s="100">
        <f t="shared" si="465"/>
        <v>-0.13829787234042554</v>
      </c>
      <c r="T697" s="100">
        <f t="shared" si="465"/>
        <v>-0.14642857142857144</v>
      </c>
      <c r="U697" s="100">
        <f t="shared" si="465"/>
        <v>-0.14642857142857144</v>
      </c>
      <c r="V697" s="100">
        <f t="shared" si="465"/>
        <v>-0.15467625899280577</v>
      </c>
      <c r="W697" s="100">
        <f t="shared" si="465"/>
        <v>-0.13829787234042554</v>
      </c>
    </row>
    <row r="698" spans="1:23" s="36" customFormat="1" x14ac:dyDescent="0.3">
      <c r="A698" s="406"/>
      <c r="B698" s="97" t="s">
        <v>204</v>
      </c>
      <c r="C698" s="98"/>
      <c r="D698" s="100">
        <f>D694/D690</f>
        <v>-0.13028169014084506</v>
      </c>
      <c r="E698" s="100">
        <f t="shared" ref="E698:W698" si="466">E694/E690</f>
        <v>-0.13028169014084506</v>
      </c>
      <c r="F698" s="100">
        <f t="shared" si="466"/>
        <v>-0.13028169014084506</v>
      </c>
      <c r="G698" s="100">
        <f t="shared" si="466"/>
        <v>-0.13028169014084506</v>
      </c>
      <c r="H698" s="100">
        <f t="shared" si="466"/>
        <v>-0.13028169014084506</v>
      </c>
      <c r="I698" s="100">
        <f t="shared" si="466"/>
        <v>-0.13028169014084506</v>
      </c>
      <c r="J698" s="100">
        <f t="shared" si="466"/>
        <v>-0.13028169014084506</v>
      </c>
      <c r="K698" s="100">
        <f t="shared" si="466"/>
        <v>-0.13028169014084506</v>
      </c>
      <c r="L698" s="100">
        <f t="shared" si="466"/>
        <v>-0.13028169014084506</v>
      </c>
      <c r="M698" s="100">
        <f t="shared" si="466"/>
        <v>-0.13028169014084506</v>
      </c>
      <c r="N698" s="100">
        <f t="shared" si="466"/>
        <v>-0.12237762237762238</v>
      </c>
      <c r="O698" s="100">
        <f t="shared" si="466"/>
        <v>-0.12237762237762238</v>
      </c>
      <c r="P698" s="100">
        <f t="shared" si="466"/>
        <v>-0.12237762237762238</v>
      </c>
      <c r="Q698" s="100">
        <f t="shared" si="466"/>
        <v>-0.12237762237762238</v>
      </c>
      <c r="R698" s="100">
        <f t="shared" si="466"/>
        <v>-0.12237762237762238</v>
      </c>
      <c r="S698" s="100">
        <f t="shared" si="466"/>
        <v>-0.12237762237762238</v>
      </c>
      <c r="T698" s="100">
        <f t="shared" si="466"/>
        <v>-0.13028169014084506</v>
      </c>
      <c r="U698" s="100">
        <f t="shared" si="466"/>
        <v>-0.13028169014084506</v>
      </c>
      <c r="V698" s="100">
        <f t="shared" si="466"/>
        <v>-0.13829787234042554</v>
      </c>
      <c r="W698" s="100">
        <f t="shared" si="466"/>
        <v>-0.12237762237762238</v>
      </c>
    </row>
    <row r="699" spans="1:23" s="36" customFormat="1" x14ac:dyDescent="0.3">
      <c r="A699" s="406"/>
      <c r="B699" s="97" t="s">
        <v>205</v>
      </c>
      <c r="C699" s="98"/>
      <c r="D699" s="100">
        <f>D695/D691</f>
        <v>-0.10689655172413794</v>
      </c>
      <c r="E699" s="100">
        <f t="shared" ref="E699:W699" si="467">E695/E691</f>
        <v>-0.10689655172413794</v>
      </c>
      <c r="F699" s="100">
        <f t="shared" si="467"/>
        <v>-0.10689655172413794</v>
      </c>
      <c r="G699" s="100">
        <f t="shared" si="467"/>
        <v>-0.10689655172413794</v>
      </c>
      <c r="H699" s="100">
        <f t="shared" si="467"/>
        <v>-0.10689655172413794</v>
      </c>
      <c r="I699" s="100">
        <f t="shared" si="467"/>
        <v>-0.10689655172413794</v>
      </c>
      <c r="J699" s="100">
        <f t="shared" si="467"/>
        <v>-0.10689655172413794</v>
      </c>
      <c r="K699" s="100">
        <f t="shared" si="467"/>
        <v>-0.10689655172413794</v>
      </c>
      <c r="L699" s="100">
        <f t="shared" si="467"/>
        <v>-0.10689655172413794</v>
      </c>
      <c r="M699" s="100">
        <f t="shared" si="467"/>
        <v>-0.10689655172413794</v>
      </c>
      <c r="N699" s="100">
        <f t="shared" si="467"/>
        <v>-9.9315068493150679E-2</v>
      </c>
      <c r="O699" s="100">
        <f t="shared" si="467"/>
        <v>-9.9315068493150679E-2</v>
      </c>
      <c r="P699" s="100">
        <f t="shared" si="467"/>
        <v>-9.9315068493150679E-2</v>
      </c>
      <c r="Q699" s="100">
        <f t="shared" si="467"/>
        <v>-9.9315068493150679E-2</v>
      </c>
      <c r="R699" s="100">
        <f t="shared" si="467"/>
        <v>-9.9315068493150679E-2</v>
      </c>
      <c r="S699" s="100">
        <f t="shared" si="467"/>
        <v>-9.9315068493150679E-2</v>
      </c>
      <c r="T699" s="100">
        <f t="shared" si="467"/>
        <v>-0.10689655172413794</v>
      </c>
      <c r="U699" s="100">
        <f t="shared" si="467"/>
        <v>-0.10689655172413794</v>
      </c>
      <c r="V699" s="100">
        <f t="shared" si="467"/>
        <v>-0.11458333333333333</v>
      </c>
      <c r="W699" s="100">
        <f t="shared" si="467"/>
        <v>-9.9315068493150679E-2</v>
      </c>
    </row>
    <row r="700" spans="1:23" ht="21" thickBot="1" x14ac:dyDescent="0.35"/>
    <row r="701" spans="1:23" s="19" customFormat="1" ht="21" thickBot="1" x14ac:dyDescent="0.35">
      <c r="A701" s="19" t="s">
        <v>299</v>
      </c>
      <c r="B701" s="67" t="s">
        <v>234</v>
      </c>
      <c r="C701" s="68"/>
      <c r="D701" s="17" t="s">
        <v>5</v>
      </c>
      <c r="E701" s="18" t="s">
        <v>6</v>
      </c>
      <c r="F701" s="18" t="s">
        <v>7</v>
      </c>
      <c r="G701" s="18" t="s">
        <v>8</v>
      </c>
      <c r="H701" s="18" t="s">
        <v>9</v>
      </c>
      <c r="I701" s="18" t="s">
        <v>10</v>
      </c>
      <c r="J701" s="18" t="s">
        <v>11</v>
      </c>
      <c r="K701" s="18" t="s">
        <v>12</v>
      </c>
      <c r="L701" s="18" t="s">
        <v>13</v>
      </c>
      <c r="M701" s="18" t="s">
        <v>14</v>
      </c>
      <c r="N701" s="18" t="s">
        <v>15</v>
      </c>
      <c r="O701" s="18" t="s">
        <v>16</v>
      </c>
      <c r="P701" s="18" t="s">
        <v>17</v>
      </c>
      <c r="Q701" s="18" t="s">
        <v>18</v>
      </c>
      <c r="R701" s="18" t="s">
        <v>19</v>
      </c>
      <c r="S701" s="18" t="s">
        <v>20</v>
      </c>
      <c r="T701" s="18" t="s">
        <v>21</v>
      </c>
      <c r="U701" s="18" t="s">
        <v>22</v>
      </c>
      <c r="V701" s="18" t="s">
        <v>23</v>
      </c>
      <c r="W701" s="18" t="s">
        <v>166</v>
      </c>
    </row>
    <row r="702" spans="1:23" x14ac:dyDescent="0.3">
      <c r="B702" s="54" t="s">
        <v>50</v>
      </c>
      <c r="C702" s="55"/>
      <c r="D702" s="20">
        <v>290</v>
      </c>
      <c r="E702" s="20">
        <v>290</v>
      </c>
      <c r="F702" s="20">
        <v>290</v>
      </c>
      <c r="G702" s="20">
        <v>290</v>
      </c>
      <c r="H702" s="20">
        <v>290</v>
      </c>
      <c r="I702" s="20">
        <v>290</v>
      </c>
      <c r="J702" s="20">
        <v>290</v>
      </c>
      <c r="K702" s="20">
        <v>290</v>
      </c>
      <c r="L702" s="20">
        <v>290</v>
      </c>
      <c r="M702" s="20">
        <v>290</v>
      </c>
      <c r="N702" s="20">
        <v>290</v>
      </c>
      <c r="O702" s="20">
        <v>290</v>
      </c>
      <c r="P702" s="20">
        <v>290</v>
      </c>
      <c r="Q702" s="20">
        <v>290</v>
      </c>
      <c r="R702" s="20">
        <v>290</v>
      </c>
      <c r="S702" s="20">
        <v>290</v>
      </c>
      <c r="T702" s="20">
        <v>290</v>
      </c>
      <c r="U702" s="20">
        <v>290</v>
      </c>
      <c r="V702" s="20">
        <v>290</v>
      </c>
      <c r="W702" s="20">
        <v>290</v>
      </c>
    </row>
    <row r="703" spans="1:23" x14ac:dyDescent="0.3">
      <c r="B703" s="54" t="s">
        <v>51</v>
      </c>
      <c r="C703" s="55"/>
      <c r="D703" s="384"/>
      <c r="E703" s="385"/>
      <c r="F703" s="385"/>
      <c r="G703" s="385"/>
      <c r="H703" s="385"/>
      <c r="I703" s="385"/>
      <c r="J703" s="385"/>
      <c r="K703" s="385"/>
      <c r="L703" s="385"/>
      <c r="M703" s="385"/>
      <c r="N703" s="385"/>
      <c r="O703" s="385"/>
      <c r="P703" s="385"/>
      <c r="Q703" s="385"/>
      <c r="R703" s="385"/>
      <c r="S703" s="385"/>
      <c r="T703" s="385"/>
      <c r="U703" s="385"/>
      <c r="V703" s="385"/>
      <c r="W703" s="385"/>
    </row>
    <row r="704" spans="1:23" x14ac:dyDescent="0.3">
      <c r="B704" s="54"/>
      <c r="C704" s="55"/>
      <c r="D704" s="20">
        <f t="shared" ref="D704:W704" si="468">D702*(1-D703)</f>
        <v>290</v>
      </c>
      <c r="E704" s="20">
        <f t="shared" si="468"/>
        <v>290</v>
      </c>
      <c r="F704" s="20">
        <f t="shared" si="468"/>
        <v>290</v>
      </c>
      <c r="G704" s="20">
        <f t="shared" si="468"/>
        <v>290</v>
      </c>
      <c r="H704" s="20">
        <f t="shared" si="468"/>
        <v>290</v>
      </c>
      <c r="I704" s="20">
        <f t="shared" si="468"/>
        <v>290</v>
      </c>
      <c r="J704" s="20">
        <f t="shared" si="468"/>
        <v>290</v>
      </c>
      <c r="K704" s="20">
        <f t="shared" si="468"/>
        <v>290</v>
      </c>
      <c r="L704" s="20">
        <f t="shared" si="468"/>
        <v>290</v>
      </c>
      <c r="M704" s="20">
        <f t="shared" si="468"/>
        <v>290</v>
      </c>
      <c r="N704" s="20">
        <f t="shared" si="468"/>
        <v>290</v>
      </c>
      <c r="O704" s="20">
        <f t="shared" si="468"/>
        <v>290</v>
      </c>
      <c r="P704" s="20">
        <f t="shared" si="468"/>
        <v>290</v>
      </c>
      <c r="Q704" s="20">
        <f t="shared" si="468"/>
        <v>290</v>
      </c>
      <c r="R704" s="20">
        <f t="shared" si="468"/>
        <v>290</v>
      </c>
      <c r="S704" s="20">
        <f t="shared" si="468"/>
        <v>290</v>
      </c>
      <c r="T704" s="20">
        <f t="shared" si="468"/>
        <v>290</v>
      </c>
      <c r="U704" s="20">
        <f t="shared" si="468"/>
        <v>290</v>
      </c>
      <c r="V704" s="20">
        <f t="shared" si="468"/>
        <v>290</v>
      </c>
      <c r="W704" s="20">
        <f t="shared" si="468"/>
        <v>290</v>
      </c>
    </row>
    <row r="705" spans="1:23" x14ac:dyDescent="0.3">
      <c r="B705" s="54" t="s">
        <v>51</v>
      </c>
      <c r="C705" s="56">
        <v>0</v>
      </c>
      <c r="D705" s="20">
        <f>D704*$C705</f>
        <v>0</v>
      </c>
      <c r="E705" s="20">
        <f t="shared" ref="E705:W705" si="469">E704*$C705</f>
        <v>0</v>
      </c>
      <c r="F705" s="20">
        <f t="shared" si="469"/>
        <v>0</v>
      </c>
      <c r="G705" s="20">
        <f t="shared" si="469"/>
        <v>0</v>
      </c>
      <c r="H705" s="20">
        <f t="shared" si="469"/>
        <v>0</v>
      </c>
      <c r="I705" s="20">
        <f t="shared" si="469"/>
        <v>0</v>
      </c>
      <c r="J705" s="20">
        <f t="shared" si="469"/>
        <v>0</v>
      </c>
      <c r="K705" s="20">
        <f t="shared" si="469"/>
        <v>0</v>
      </c>
      <c r="L705" s="20">
        <f t="shared" si="469"/>
        <v>0</v>
      </c>
      <c r="M705" s="20">
        <f t="shared" si="469"/>
        <v>0</v>
      </c>
      <c r="N705" s="20">
        <f t="shared" si="469"/>
        <v>0</v>
      </c>
      <c r="O705" s="20">
        <f t="shared" si="469"/>
        <v>0</v>
      </c>
      <c r="P705" s="20">
        <f t="shared" si="469"/>
        <v>0</v>
      </c>
      <c r="Q705" s="20">
        <f t="shared" si="469"/>
        <v>0</v>
      </c>
      <c r="R705" s="20">
        <f t="shared" si="469"/>
        <v>0</v>
      </c>
      <c r="S705" s="20">
        <f t="shared" si="469"/>
        <v>0</v>
      </c>
      <c r="T705" s="20">
        <f t="shared" si="469"/>
        <v>0</v>
      </c>
      <c r="U705" s="20">
        <f t="shared" si="469"/>
        <v>0</v>
      </c>
      <c r="V705" s="20">
        <f t="shared" si="469"/>
        <v>0</v>
      </c>
      <c r="W705" s="20">
        <f t="shared" si="469"/>
        <v>0</v>
      </c>
    </row>
    <row r="706" spans="1:23" x14ac:dyDescent="0.3">
      <c r="B706" s="54" t="s">
        <v>67</v>
      </c>
      <c r="C706" s="55"/>
      <c r="D706" s="20">
        <f>D704-D705</f>
        <v>290</v>
      </c>
      <c r="E706" s="20">
        <f t="shared" ref="E706:W706" si="470">E704-E705</f>
        <v>290</v>
      </c>
      <c r="F706" s="20">
        <f t="shared" si="470"/>
        <v>290</v>
      </c>
      <c r="G706" s="20">
        <f t="shared" si="470"/>
        <v>290</v>
      </c>
      <c r="H706" s="20">
        <f t="shared" si="470"/>
        <v>290</v>
      </c>
      <c r="I706" s="20">
        <f t="shared" si="470"/>
        <v>290</v>
      </c>
      <c r="J706" s="20">
        <f t="shared" si="470"/>
        <v>290</v>
      </c>
      <c r="K706" s="20">
        <f t="shared" si="470"/>
        <v>290</v>
      </c>
      <c r="L706" s="20">
        <f t="shared" si="470"/>
        <v>290</v>
      </c>
      <c r="M706" s="20">
        <f t="shared" si="470"/>
        <v>290</v>
      </c>
      <c r="N706" s="20">
        <f t="shared" si="470"/>
        <v>290</v>
      </c>
      <c r="O706" s="20">
        <f t="shared" si="470"/>
        <v>290</v>
      </c>
      <c r="P706" s="20">
        <f t="shared" si="470"/>
        <v>290</v>
      </c>
      <c r="Q706" s="20">
        <f t="shared" si="470"/>
        <v>290</v>
      </c>
      <c r="R706" s="20">
        <f t="shared" si="470"/>
        <v>290</v>
      </c>
      <c r="S706" s="20">
        <f t="shared" si="470"/>
        <v>290</v>
      </c>
      <c r="T706" s="20">
        <f t="shared" si="470"/>
        <v>290</v>
      </c>
      <c r="U706" s="20">
        <f t="shared" si="470"/>
        <v>290</v>
      </c>
      <c r="V706" s="20">
        <f t="shared" si="470"/>
        <v>290</v>
      </c>
      <c r="W706" s="20">
        <f t="shared" si="470"/>
        <v>290</v>
      </c>
    </row>
    <row r="707" spans="1:23" x14ac:dyDescent="0.3">
      <c r="B707" s="54" t="s">
        <v>66</v>
      </c>
      <c r="C707" s="56">
        <v>7.0000000000000007E-2</v>
      </c>
      <c r="D707" s="20">
        <f>D706*$C707</f>
        <v>20.3</v>
      </c>
      <c r="E707" s="20">
        <f t="shared" ref="E707:W707" si="471">E706*$C707</f>
        <v>20.3</v>
      </c>
      <c r="F707" s="20">
        <f t="shared" si="471"/>
        <v>20.3</v>
      </c>
      <c r="G707" s="20">
        <f t="shared" si="471"/>
        <v>20.3</v>
      </c>
      <c r="H707" s="20">
        <f t="shared" si="471"/>
        <v>20.3</v>
      </c>
      <c r="I707" s="20">
        <f t="shared" si="471"/>
        <v>20.3</v>
      </c>
      <c r="J707" s="20">
        <f t="shared" si="471"/>
        <v>20.3</v>
      </c>
      <c r="K707" s="20">
        <f t="shared" si="471"/>
        <v>20.3</v>
      </c>
      <c r="L707" s="20">
        <f t="shared" si="471"/>
        <v>20.3</v>
      </c>
      <c r="M707" s="20">
        <f t="shared" si="471"/>
        <v>20.3</v>
      </c>
      <c r="N707" s="20">
        <f t="shared" si="471"/>
        <v>20.3</v>
      </c>
      <c r="O707" s="20">
        <f t="shared" si="471"/>
        <v>20.3</v>
      </c>
      <c r="P707" s="20">
        <f t="shared" si="471"/>
        <v>20.3</v>
      </c>
      <c r="Q707" s="20">
        <f t="shared" si="471"/>
        <v>20.3</v>
      </c>
      <c r="R707" s="20">
        <f t="shared" si="471"/>
        <v>20.3</v>
      </c>
      <c r="S707" s="20">
        <f t="shared" si="471"/>
        <v>20.3</v>
      </c>
      <c r="T707" s="20">
        <f t="shared" si="471"/>
        <v>20.3</v>
      </c>
      <c r="U707" s="20">
        <f t="shared" si="471"/>
        <v>20.3</v>
      </c>
      <c r="V707" s="20">
        <f t="shared" si="471"/>
        <v>20.3</v>
      </c>
      <c r="W707" s="20">
        <f t="shared" si="471"/>
        <v>20.3</v>
      </c>
    </row>
    <row r="708" spans="1:23" x14ac:dyDescent="0.3">
      <c r="B708" s="54" t="s">
        <v>68</v>
      </c>
      <c r="C708" s="55"/>
      <c r="D708" s="20">
        <f>D706+D707</f>
        <v>310.3</v>
      </c>
      <c r="E708" s="20">
        <f t="shared" ref="E708:W708" si="472">E706+E707</f>
        <v>310.3</v>
      </c>
      <c r="F708" s="20">
        <f t="shared" si="472"/>
        <v>310.3</v>
      </c>
      <c r="G708" s="20">
        <f t="shared" si="472"/>
        <v>310.3</v>
      </c>
      <c r="H708" s="20">
        <f t="shared" si="472"/>
        <v>310.3</v>
      </c>
      <c r="I708" s="20">
        <f t="shared" si="472"/>
        <v>310.3</v>
      </c>
      <c r="J708" s="20">
        <f t="shared" si="472"/>
        <v>310.3</v>
      </c>
      <c r="K708" s="20">
        <f t="shared" si="472"/>
        <v>310.3</v>
      </c>
      <c r="L708" s="20">
        <f t="shared" si="472"/>
        <v>310.3</v>
      </c>
      <c r="M708" s="20">
        <f t="shared" si="472"/>
        <v>310.3</v>
      </c>
      <c r="N708" s="20">
        <f t="shared" si="472"/>
        <v>310.3</v>
      </c>
      <c r="O708" s="20">
        <f t="shared" si="472"/>
        <v>310.3</v>
      </c>
      <c r="P708" s="20">
        <f t="shared" si="472"/>
        <v>310.3</v>
      </c>
      <c r="Q708" s="20">
        <f t="shared" si="472"/>
        <v>310.3</v>
      </c>
      <c r="R708" s="20">
        <f t="shared" si="472"/>
        <v>310.3</v>
      </c>
      <c r="S708" s="20">
        <f t="shared" si="472"/>
        <v>310.3</v>
      </c>
      <c r="T708" s="20">
        <f t="shared" si="472"/>
        <v>310.3</v>
      </c>
      <c r="U708" s="20">
        <f t="shared" si="472"/>
        <v>310.3</v>
      </c>
      <c r="V708" s="20">
        <f t="shared" si="472"/>
        <v>310.3</v>
      </c>
      <c r="W708" s="20">
        <f t="shared" si="472"/>
        <v>310.3</v>
      </c>
    </row>
    <row r="709" spans="1:23" ht="23" x14ac:dyDescent="0.35">
      <c r="B709" s="54" t="s">
        <v>52</v>
      </c>
      <c r="C709" s="55"/>
      <c r="D709" s="379"/>
      <c r="E709" s="379"/>
      <c r="F709" s="379"/>
      <c r="G709" s="379"/>
      <c r="H709" s="379"/>
      <c r="I709" s="379"/>
      <c r="J709" s="379"/>
      <c r="K709" s="379"/>
      <c r="L709" s="379"/>
      <c r="M709" s="379"/>
      <c r="N709" s="379"/>
      <c r="O709" s="379"/>
      <c r="P709" s="379"/>
      <c r="Q709" s="379"/>
      <c r="R709" s="379"/>
      <c r="S709" s="379"/>
      <c r="T709" s="379"/>
      <c r="U709" s="379"/>
      <c r="V709" s="379"/>
      <c r="W709" s="379"/>
    </row>
    <row r="710" spans="1:23" x14ac:dyDescent="0.3">
      <c r="B710" s="57" t="s">
        <v>53</v>
      </c>
      <c r="C710" s="58"/>
      <c r="D710" s="25">
        <f>SUM(D708:D709)</f>
        <v>310.3</v>
      </c>
      <c r="E710" s="26">
        <f t="shared" ref="E710:W710" si="473">SUM(E708:E709)</f>
        <v>310.3</v>
      </c>
      <c r="F710" s="26">
        <f t="shared" si="473"/>
        <v>310.3</v>
      </c>
      <c r="G710" s="26">
        <f t="shared" si="473"/>
        <v>310.3</v>
      </c>
      <c r="H710" s="26">
        <f t="shared" si="473"/>
        <v>310.3</v>
      </c>
      <c r="I710" s="26">
        <f t="shared" si="473"/>
        <v>310.3</v>
      </c>
      <c r="J710" s="26">
        <f t="shared" si="473"/>
        <v>310.3</v>
      </c>
      <c r="K710" s="26">
        <f t="shared" si="473"/>
        <v>310.3</v>
      </c>
      <c r="L710" s="26">
        <f t="shared" si="473"/>
        <v>310.3</v>
      </c>
      <c r="M710" s="26">
        <f t="shared" si="473"/>
        <v>310.3</v>
      </c>
      <c r="N710" s="26">
        <f t="shared" si="473"/>
        <v>310.3</v>
      </c>
      <c r="O710" s="26">
        <f t="shared" si="473"/>
        <v>310.3</v>
      </c>
      <c r="P710" s="26">
        <f t="shared" si="473"/>
        <v>310.3</v>
      </c>
      <c r="Q710" s="26">
        <f t="shared" si="473"/>
        <v>310.3</v>
      </c>
      <c r="R710" s="26">
        <f t="shared" si="473"/>
        <v>310.3</v>
      </c>
      <c r="S710" s="26">
        <f t="shared" si="473"/>
        <v>310.3</v>
      </c>
      <c r="T710" s="26">
        <f t="shared" si="473"/>
        <v>310.3</v>
      </c>
      <c r="U710" s="26">
        <f t="shared" si="473"/>
        <v>310.3</v>
      </c>
      <c r="V710" s="26">
        <f t="shared" si="473"/>
        <v>310.3</v>
      </c>
      <c r="W710" s="26">
        <f t="shared" si="473"/>
        <v>310.3</v>
      </c>
    </row>
    <row r="711" spans="1:23" x14ac:dyDescent="0.3">
      <c r="B711" s="54" t="s">
        <v>54</v>
      </c>
      <c r="C711" s="55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</row>
    <row r="712" spans="1:23" x14ac:dyDescent="0.3">
      <c r="B712" s="59" t="s">
        <v>55</v>
      </c>
      <c r="C712" s="60"/>
      <c r="D712" s="27">
        <f>D710</f>
        <v>310.3</v>
      </c>
      <c r="E712" s="41">
        <f t="shared" ref="E712:W712" si="474">E710</f>
        <v>310.3</v>
      </c>
      <c r="F712" s="41">
        <f t="shared" si="474"/>
        <v>310.3</v>
      </c>
      <c r="G712" s="41">
        <f t="shared" si="474"/>
        <v>310.3</v>
      </c>
      <c r="H712" s="41">
        <f t="shared" si="474"/>
        <v>310.3</v>
      </c>
      <c r="I712" s="41">
        <f t="shared" si="474"/>
        <v>310.3</v>
      </c>
      <c r="J712" s="41">
        <f t="shared" si="474"/>
        <v>310.3</v>
      </c>
      <c r="K712" s="41">
        <f t="shared" si="474"/>
        <v>310.3</v>
      </c>
      <c r="L712" s="41">
        <f t="shared" si="474"/>
        <v>310.3</v>
      </c>
      <c r="M712" s="41">
        <f t="shared" si="474"/>
        <v>310.3</v>
      </c>
      <c r="N712" s="41">
        <f t="shared" si="474"/>
        <v>310.3</v>
      </c>
      <c r="O712" s="41">
        <f t="shared" si="474"/>
        <v>310.3</v>
      </c>
      <c r="P712" s="41">
        <f t="shared" si="474"/>
        <v>310.3</v>
      </c>
      <c r="Q712" s="41">
        <f t="shared" si="474"/>
        <v>310.3</v>
      </c>
      <c r="R712" s="41">
        <f t="shared" si="474"/>
        <v>310.3</v>
      </c>
      <c r="S712" s="41">
        <f t="shared" si="474"/>
        <v>310.3</v>
      </c>
      <c r="T712" s="41">
        <f t="shared" si="474"/>
        <v>310.3</v>
      </c>
      <c r="U712" s="41">
        <f t="shared" si="474"/>
        <v>310.3</v>
      </c>
      <c r="V712" s="41">
        <f t="shared" si="474"/>
        <v>310.3</v>
      </c>
      <c r="W712" s="41">
        <f t="shared" si="474"/>
        <v>310.3</v>
      </c>
    </row>
    <row r="713" spans="1:23" x14ac:dyDescent="0.3">
      <c r="B713" s="171" t="s">
        <v>194</v>
      </c>
      <c r="C713" s="55"/>
      <c r="D713" s="20">
        <v>264</v>
      </c>
      <c r="E713" s="21">
        <v>264</v>
      </c>
      <c r="F713" s="21">
        <v>264</v>
      </c>
      <c r="G713" s="21">
        <v>264</v>
      </c>
      <c r="H713" s="21">
        <v>264</v>
      </c>
      <c r="I713" s="21">
        <v>264</v>
      </c>
      <c r="J713" s="21">
        <v>264</v>
      </c>
      <c r="K713" s="21">
        <v>264</v>
      </c>
      <c r="L713" s="21">
        <v>264</v>
      </c>
      <c r="M713" s="21">
        <v>264</v>
      </c>
      <c r="N713" s="21">
        <v>266</v>
      </c>
      <c r="O713" s="21">
        <v>266</v>
      </c>
      <c r="P713" s="21">
        <v>266</v>
      </c>
      <c r="Q713" s="21">
        <v>266</v>
      </c>
      <c r="R713" s="21">
        <v>266</v>
      </c>
      <c r="S713" s="21">
        <v>266</v>
      </c>
      <c r="T713" s="21">
        <v>264</v>
      </c>
      <c r="U713" s="21">
        <v>264</v>
      </c>
      <c r="V713" s="21">
        <v>264</v>
      </c>
      <c r="W713" s="21">
        <v>266</v>
      </c>
    </row>
    <row r="714" spans="1:23" s="51" customFormat="1" x14ac:dyDescent="0.3">
      <c r="A714" s="407"/>
      <c r="B714" s="61" t="s">
        <v>195</v>
      </c>
      <c r="C714" s="62"/>
      <c r="D714" s="28">
        <v>265</v>
      </c>
      <c r="E714" s="28">
        <v>265</v>
      </c>
      <c r="F714" s="28">
        <v>265</v>
      </c>
      <c r="G714" s="28">
        <v>265</v>
      </c>
      <c r="H714" s="28">
        <v>265</v>
      </c>
      <c r="I714" s="28">
        <v>265</v>
      </c>
      <c r="J714" s="28">
        <v>265</v>
      </c>
      <c r="K714" s="28">
        <v>265</v>
      </c>
      <c r="L714" s="28">
        <v>265</v>
      </c>
      <c r="M714" s="28">
        <v>265</v>
      </c>
      <c r="N714" s="28">
        <v>267</v>
      </c>
      <c r="O714" s="28">
        <v>267</v>
      </c>
      <c r="P714" s="28">
        <v>267</v>
      </c>
      <c r="Q714" s="28">
        <v>267</v>
      </c>
      <c r="R714" s="28">
        <v>267</v>
      </c>
      <c r="S714" s="28">
        <v>267</v>
      </c>
      <c r="T714" s="28">
        <v>265</v>
      </c>
      <c r="U714" s="28">
        <v>265</v>
      </c>
      <c r="V714" s="28">
        <v>265</v>
      </c>
      <c r="W714" s="28">
        <v>267</v>
      </c>
    </row>
    <row r="715" spans="1:23" s="51" customFormat="1" x14ac:dyDescent="0.3">
      <c r="A715" s="407"/>
      <c r="B715" s="61" t="s">
        <v>196</v>
      </c>
      <c r="C715" s="62"/>
      <c r="D715" s="28">
        <v>266</v>
      </c>
      <c r="E715" s="28">
        <v>266</v>
      </c>
      <c r="F715" s="28">
        <v>266</v>
      </c>
      <c r="G715" s="28">
        <v>266</v>
      </c>
      <c r="H715" s="28">
        <v>266</v>
      </c>
      <c r="I715" s="28">
        <v>266</v>
      </c>
      <c r="J715" s="28">
        <v>266</v>
      </c>
      <c r="K715" s="28">
        <v>266</v>
      </c>
      <c r="L715" s="28">
        <v>266</v>
      </c>
      <c r="M715" s="28">
        <v>266</v>
      </c>
      <c r="N715" s="28">
        <v>268</v>
      </c>
      <c r="O715" s="28">
        <v>268</v>
      </c>
      <c r="P715" s="28">
        <v>268</v>
      </c>
      <c r="Q715" s="28">
        <v>268</v>
      </c>
      <c r="R715" s="28">
        <v>268</v>
      </c>
      <c r="S715" s="28">
        <v>268</v>
      </c>
      <c r="T715" s="28">
        <v>266</v>
      </c>
      <c r="U715" s="28">
        <v>266</v>
      </c>
      <c r="V715" s="28">
        <v>266</v>
      </c>
      <c r="W715" s="28">
        <v>268</v>
      </c>
    </row>
    <row r="716" spans="1:23" s="51" customFormat="1" x14ac:dyDescent="0.3">
      <c r="A716" s="407"/>
      <c r="B716" s="61" t="s">
        <v>197</v>
      </c>
      <c r="C716" s="62"/>
      <c r="D716" s="28">
        <v>267</v>
      </c>
      <c r="E716" s="28">
        <v>267</v>
      </c>
      <c r="F716" s="28">
        <v>267</v>
      </c>
      <c r="G716" s="28">
        <v>267</v>
      </c>
      <c r="H716" s="28">
        <v>267</v>
      </c>
      <c r="I716" s="28">
        <v>267</v>
      </c>
      <c r="J716" s="28">
        <v>267</v>
      </c>
      <c r="K716" s="28">
        <v>267</v>
      </c>
      <c r="L716" s="28">
        <v>267</v>
      </c>
      <c r="M716" s="28">
        <v>267</v>
      </c>
      <c r="N716" s="28">
        <v>269</v>
      </c>
      <c r="O716" s="28">
        <v>269</v>
      </c>
      <c r="P716" s="28">
        <v>269</v>
      </c>
      <c r="Q716" s="28">
        <v>269</v>
      </c>
      <c r="R716" s="28">
        <v>269</v>
      </c>
      <c r="S716" s="28">
        <v>269</v>
      </c>
      <c r="T716" s="28">
        <v>267</v>
      </c>
      <c r="U716" s="28">
        <v>267</v>
      </c>
      <c r="V716" s="28">
        <v>267</v>
      </c>
      <c r="W716" s="28">
        <v>269</v>
      </c>
    </row>
    <row r="717" spans="1:23" s="30" customFormat="1" x14ac:dyDescent="0.3">
      <c r="A717" s="404"/>
      <c r="B717" s="63" t="s">
        <v>198</v>
      </c>
      <c r="C717" s="62"/>
      <c r="D717" s="31">
        <f>D713-D712</f>
        <v>-46.300000000000011</v>
      </c>
      <c r="E717" s="31">
        <f t="shared" ref="E717:W717" si="475">E713-E712</f>
        <v>-46.300000000000011</v>
      </c>
      <c r="F717" s="31">
        <f t="shared" si="475"/>
        <v>-46.300000000000011</v>
      </c>
      <c r="G717" s="31">
        <f t="shared" si="475"/>
        <v>-46.300000000000011</v>
      </c>
      <c r="H717" s="31">
        <f t="shared" si="475"/>
        <v>-46.300000000000011</v>
      </c>
      <c r="I717" s="31">
        <f t="shared" si="475"/>
        <v>-46.300000000000011</v>
      </c>
      <c r="J717" s="31">
        <f t="shared" si="475"/>
        <v>-46.300000000000011</v>
      </c>
      <c r="K717" s="31">
        <f t="shared" si="475"/>
        <v>-46.300000000000011</v>
      </c>
      <c r="L717" s="31">
        <f t="shared" si="475"/>
        <v>-46.300000000000011</v>
      </c>
      <c r="M717" s="31">
        <f t="shared" si="475"/>
        <v>-46.300000000000011</v>
      </c>
      <c r="N717" s="31">
        <f t="shared" si="475"/>
        <v>-44.300000000000011</v>
      </c>
      <c r="O717" s="31">
        <f t="shared" si="475"/>
        <v>-44.300000000000011</v>
      </c>
      <c r="P717" s="31">
        <f t="shared" si="475"/>
        <v>-44.300000000000011</v>
      </c>
      <c r="Q717" s="31">
        <f t="shared" si="475"/>
        <v>-44.300000000000011</v>
      </c>
      <c r="R717" s="31">
        <f t="shared" si="475"/>
        <v>-44.300000000000011</v>
      </c>
      <c r="S717" s="31">
        <f t="shared" si="475"/>
        <v>-44.300000000000011</v>
      </c>
      <c r="T717" s="31">
        <f t="shared" si="475"/>
        <v>-46.300000000000011</v>
      </c>
      <c r="U717" s="31">
        <f t="shared" si="475"/>
        <v>-46.300000000000011</v>
      </c>
      <c r="V717" s="31">
        <f t="shared" si="475"/>
        <v>-46.300000000000011</v>
      </c>
      <c r="W717" s="31">
        <f t="shared" si="475"/>
        <v>-44.300000000000011</v>
      </c>
    </row>
    <row r="718" spans="1:23" s="33" customFormat="1" x14ac:dyDescent="0.3">
      <c r="A718" s="405"/>
      <c r="B718" s="63" t="s">
        <v>199</v>
      </c>
      <c r="C718" s="64"/>
      <c r="D718" s="31">
        <f>+D714-D712</f>
        <v>-45.300000000000011</v>
      </c>
      <c r="E718" s="31">
        <f t="shared" ref="E718:W718" si="476">+E714-E712</f>
        <v>-45.300000000000011</v>
      </c>
      <c r="F718" s="31">
        <f t="shared" si="476"/>
        <v>-45.300000000000011</v>
      </c>
      <c r="G718" s="31">
        <f t="shared" si="476"/>
        <v>-45.300000000000011</v>
      </c>
      <c r="H718" s="31">
        <f t="shared" si="476"/>
        <v>-45.300000000000011</v>
      </c>
      <c r="I718" s="31">
        <f t="shared" si="476"/>
        <v>-45.300000000000011</v>
      </c>
      <c r="J718" s="31">
        <f t="shared" si="476"/>
        <v>-45.300000000000011</v>
      </c>
      <c r="K718" s="31">
        <f t="shared" si="476"/>
        <v>-45.300000000000011</v>
      </c>
      <c r="L718" s="31">
        <f t="shared" si="476"/>
        <v>-45.300000000000011</v>
      </c>
      <c r="M718" s="31">
        <f t="shared" si="476"/>
        <v>-45.300000000000011</v>
      </c>
      <c r="N718" s="31">
        <f t="shared" si="476"/>
        <v>-43.300000000000011</v>
      </c>
      <c r="O718" s="31">
        <f t="shared" si="476"/>
        <v>-43.300000000000011</v>
      </c>
      <c r="P718" s="31">
        <f t="shared" si="476"/>
        <v>-43.300000000000011</v>
      </c>
      <c r="Q718" s="31">
        <f t="shared" si="476"/>
        <v>-43.300000000000011</v>
      </c>
      <c r="R718" s="31">
        <f t="shared" si="476"/>
        <v>-43.300000000000011</v>
      </c>
      <c r="S718" s="31">
        <f t="shared" si="476"/>
        <v>-43.300000000000011</v>
      </c>
      <c r="T718" s="31">
        <f t="shared" si="476"/>
        <v>-45.300000000000011</v>
      </c>
      <c r="U718" s="31">
        <f t="shared" si="476"/>
        <v>-45.300000000000011</v>
      </c>
      <c r="V718" s="31">
        <f t="shared" si="476"/>
        <v>-45.300000000000011</v>
      </c>
      <c r="W718" s="31">
        <f t="shared" si="476"/>
        <v>-43.300000000000011</v>
      </c>
    </row>
    <row r="719" spans="1:23" s="33" customFormat="1" x14ac:dyDescent="0.3">
      <c r="A719" s="405"/>
      <c r="B719" s="63" t="s">
        <v>200</v>
      </c>
      <c r="C719" s="64"/>
      <c r="D719" s="31">
        <f>D715-D712</f>
        <v>-44.300000000000011</v>
      </c>
      <c r="E719" s="31">
        <f t="shared" ref="E719:W719" si="477">E715-E712</f>
        <v>-44.300000000000011</v>
      </c>
      <c r="F719" s="31">
        <f t="shared" si="477"/>
        <v>-44.300000000000011</v>
      </c>
      <c r="G719" s="31">
        <f t="shared" si="477"/>
        <v>-44.300000000000011</v>
      </c>
      <c r="H719" s="31">
        <f t="shared" si="477"/>
        <v>-44.300000000000011</v>
      </c>
      <c r="I719" s="31">
        <f t="shared" si="477"/>
        <v>-44.300000000000011</v>
      </c>
      <c r="J719" s="31">
        <f t="shared" si="477"/>
        <v>-44.300000000000011</v>
      </c>
      <c r="K719" s="31">
        <f t="shared" si="477"/>
        <v>-44.300000000000011</v>
      </c>
      <c r="L719" s="31">
        <f t="shared" si="477"/>
        <v>-44.300000000000011</v>
      </c>
      <c r="M719" s="31">
        <f t="shared" si="477"/>
        <v>-44.300000000000011</v>
      </c>
      <c r="N719" s="31">
        <f t="shared" si="477"/>
        <v>-42.300000000000011</v>
      </c>
      <c r="O719" s="31">
        <f t="shared" si="477"/>
        <v>-42.300000000000011</v>
      </c>
      <c r="P719" s="31">
        <f t="shared" si="477"/>
        <v>-42.300000000000011</v>
      </c>
      <c r="Q719" s="31">
        <f t="shared" si="477"/>
        <v>-42.300000000000011</v>
      </c>
      <c r="R719" s="31">
        <f t="shared" si="477"/>
        <v>-42.300000000000011</v>
      </c>
      <c r="S719" s="31">
        <f t="shared" si="477"/>
        <v>-42.300000000000011</v>
      </c>
      <c r="T719" s="31">
        <f t="shared" si="477"/>
        <v>-44.300000000000011</v>
      </c>
      <c r="U719" s="31">
        <f t="shared" si="477"/>
        <v>-44.300000000000011</v>
      </c>
      <c r="V719" s="31">
        <f t="shared" si="477"/>
        <v>-44.300000000000011</v>
      </c>
      <c r="W719" s="31">
        <f t="shared" si="477"/>
        <v>-42.300000000000011</v>
      </c>
    </row>
    <row r="720" spans="1:23" s="33" customFormat="1" x14ac:dyDescent="0.3">
      <c r="A720" s="405"/>
      <c r="B720" s="63" t="s">
        <v>201</v>
      </c>
      <c r="C720" s="64"/>
      <c r="D720" s="31">
        <f>+D716-D712</f>
        <v>-43.300000000000011</v>
      </c>
      <c r="E720" s="31">
        <f t="shared" ref="E720:W720" si="478">+E716-E712</f>
        <v>-43.300000000000011</v>
      </c>
      <c r="F720" s="31">
        <f t="shared" si="478"/>
        <v>-43.300000000000011</v>
      </c>
      <c r="G720" s="31">
        <f t="shared" si="478"/>
        <v>-43.300000000000011</v>
      </c>
      <c r="H720" s="31">
        <f t="shared" si="478"/>
        <v>-43.300000000000011</v>
      </c>
      <c r="I720" s="31">
        <f t="shared" si="478"/>
        <v>-43.300000000000011</v>
      </c>
      <c r="J720" s="31">
        <f t="shared" si="478"/>
        <v>-43.300000000000011</v>
      </c>
      <c r="K720" s="31">
        <f t="shared" si="478"/>
        <v>-43.300000000000011</v>
      </c>
      <c r="L720" s="31">
        <f t="shared" si="478"/>
        <v>-43.300000000000011</v>
      </c>
      <c r="M720" s="31">
        <f t="shared" si="478"/>
        <v>-43.300000000000011</v>
      </c>
      <c r="N720" s="31">
        <f t="shared" si="478"/>
        <v>-41.300000000000011</v>
      </c>
      <c r="O720" s="31">
        <f t="shared" si="478"/>
        <v>-41.300000000000011</v>
      </c>
      <c r="P720" s="31">
        <f t="shared" si="478"/>
        <v>-41.300000000000011</v>
      </c>
      <c r="Q720" s="31">
        <f t="shared" si="478"/>
        <v>-41.300000000000011</v>
      </c>
      <c r="R720" s="31">
        <f t="shared" si="478"/>
        <v>-41.300000000000011</v>
      </c>
      <c r="S720" s="31">
        <f t="shared" si="478"/>
        <v>-41.300000000000011</v>
      </c>
      <c r="T720" s="31">
        <f t="shared" si="478"/>
        <v>-43.300000000000011</v>
      </c>
      <c r="U720" s="31">
        <f t="shared" si="478"/>
        <v>-43.300000000000011</v>
      </c>
      <c r="V720" s="31">
        <f t="shared" si="478"/>
        <v>-43.300000000000011</v>
      </c>
      <c r="W720" s="31">
        <f t="shared" si="478"/>
        <v>-41.300000000000011</v>
      </c>
    </row>
    <row r="721" spans="1:23" x14ac:dyDescent="0.3">
      <c r="B721" s="97" t="s">
        <v>202</v>
      </c>
      <c r="C721" s="98"/>
      <c r="D721" s="100">
        <f>D717/D712</f>
        <v>-0.14921044150821788</v>
      </c>
      <c r="E721" s="100">
        <f t="shared" ref="E721:W721" si="479">E717/E712</f>
        <v>-0.14921044150821788</v>
      </c>
      <c r="F721" s="100">
        <f t="shared" si="479"/>
        <v>-0.14921044150821788</v>
      </c>
      <c r="G721" s="100">
        <f t="shared" si="479"/>
        <v>-0.14921044150821788</v>
      </c>
      <c r="H721" s="100">
        <f t="shared" si="479"/>
        <v>-0.14921044150821788</v>
      </c>
      <c r="I721" s="100">
        <f t="shared" si="479"/>
        <v>-0.14921044150821788</v>
      </c>
      <c r="J721" s="100">
        <f t="shared" si="479"/>
        <v>-0.14921044150821788</v>
      </c>
      <c r="K721" s="100">
        <f t="shared" si="479"/>
        <v>-0.14921044150821788</v>
      </c>
      <c r="L721" s="100">
        <f t="shared" si="479"/>
        <v>-0.14921044150821788</v>
      </c>
      <c r="M721" s="100">
        <f t="shared" si="479"/>
        <v>-0.14921044150821788</v>
      </c>
      <c r="N721" s="100">
        <f t="shared" si="479"/>
        <v>-0.14276506606509831</v>
      </c>
      <c r="O721" s="100">
        <f t="shared" si="479"/>
        <v>-0.14276506606509831</v>
      </c>
      <c r="P721" s="100">
        <f t="shared" si="479"/>
        <v>-0.14276506606509831</v>
      </c>
      <c r="Q721" s="100">
        <f t="shared" si="479"/>
        <v>-0.14276506606509831</v>
      </c>
      <c r="R721" s="100">
        <f t="shared" si="479"/>
        <v>-0.14276506606509831</v>
      </c>
      <c r="S721" s="100">
        <f t="shared" si="479"/>
        <v>-0.14276506606509831</v>
      </c>
      <c r="T721" s="100">
        <f t="shared" si="479"/>
        <v>-0.14921044150821788</v>
      </c>
      <c r="U721" s="100">
        <f t="shared" si="479"/>
        <v>-0.14921044150821788</v>
      </c>
      <c r="V721" s="100">
        <f t="shared" si="479"/>
        <v>-0.14921044150821788</v>
      </c>
      <c r="W721" s="100">
        <f t="shared" si="479"/>
        <v>-0.14276506606509831</v>
      </c>
    </row>
    <row r="722" spans="1:23" s="36" customFormat="1" x14ac:dyDescent="0.3">
      <c r="A722" s="406"/>
      <c r="B722" s="97" t="s">
        <v>203</v>
      </c>
      <c r="C722" s="98"/>
      <c r="D722" s="100">
        <f>D718/D712</f>
        <v>-0.1459877537866581</v>
      </c>
      <c r="E722" s="100">
        <f t="shared" ref="E722:W722" si="480">E718/E712</f>
        <v>-0.1459877537866581</v>
      </c>
      <c r="F722" s="100">
        <f t="shared" si="480"/>
        <v>-0.1459877537866581</v>
      </c>
      <c r="G722" s="100">
        <f t="shared" si="480"/>
        <v>-0.1459877537866581</v>
      </c>
      <c r="H722" s="100">
        <f t="shared" si="480"/>
        <v>-0.1459877537866581</v>
      </c>
      <c r="I722" s="100">
        <f t="shared" si="480"/>
        <v>-0.1459877537866581</v>
      </c>
      <c r="J722" s="100">
        <f t="shared" si="480"/>
        <v>-0.1459877537866581</v>
      </c>
      <c r="K722" s="100">
        <f t="shared" si="480"/>
        <v>-0.1459877537866581</v>
      </c>
      <c r="L722" s="100">
        <f t="shared" si="480"/>
        <v>-0.1459877537866581</v>
      </c>
      <c r="M722" s="100">
        <f t="shared" si="480"/>
        <v>-0.1459877537866581</v>
      </c>
      <c r="N722" s="100">
        <f t="shared" si="480"/>
        <v>-0.13954237834353855</v>
      </c>
      <c r="O722" s="100">
        <f t="shared" si="480"/>
        <v>-0.13954237834353855</v>
      </c>
      <c r="P722" s="100">
        <f t="shared" si="480"/>
        <v>-0.13954237834353855</v>
      </c>
      <c r="Q722" s="100">
        <f t="shared" si="480"/>
        <v>-0.13954237834353855</v>
      </c>
      <c r="R722" s="100">
        <f t="shared" si="480"/>
        <v>-0.13954237834353855</v>
      </c>
      <c r="S722" s="100">
        <f t="shared" si="480"/>
        <v>-0.13954237834353855</v>
      </c>
      <c r="T722" s="100">
        <f t="shared" si="480"/>
        <v>-0.1459877537866581</v>
      </c>
      <c r="U722" s="100">
        <f t="shared" si="480"/>
        <v>-0.1459877537866581</v>
      </c>
      <c r="V722" s="100">
        <f t="shared" si="480"/>
        <v>-0.1459877537866581</v>
      </c>
      <c r="W722" s="100">
        <f t="shared" si="480"/>
        <v>-0.13954237834353855</v>
      </c>
    </row>
    <row r="723" spans="1:23" s="36" customFormat="1" x14ac:dyDescent="0.3">
      <c r="A723" s="406"/>
      <c r="B723" s="97" t="s">
        <v>204</v>
      </c>
      <c r="C723" s="98"/>
      <c r="D723" s="100">
        <f>D719/D712</f>
        <v>-0.14276506606509831</v>
      </c>
      <c r="E723" s="100">
        <f t="shared" ref="E723:W723" si="481">E719/E712</f>
        <v>-0.14276506606509831</v>
      </c>
      <c r="F723" s="100">
        <f t="shared" si="481"/>
        <v>-0.14276506606509831</v>
      </c>
      <c r="G723" s="100">
        <f t="shared" si="481"/>
        <v>-0.14276506606509831</v>
      </c>
      <c r="H723" s="100">
        <f t="shared" si="481"/>
        <v>-0.14276506606509831</v>
      </c>
      <c r="I723" s="100">
        <f t="shared" si="481"/>
        <v>-0.14276506606509831</v>
      </c>
      <c r="J723" s="100">
        <f t="shared" si="481"/>
        <v>-0.14276506606509831</v>
      </c>
      <c r="K723" s="100">
        <f t="shared" si="481"/>
        <v>-0.14276506606509831</v>
      </c>
      <c r="L723" s="100">
        <f t="shared" si="481"/>
        <v>-0.14276506606509831</v>
      </c>
      <c r="M723" s="100">
        <f t="shared" si="481"/>
        <v>-0.14276506606509831</v>
      </c>
      <c r="N723" s="100">
        <f t="shared" si="481"/>
        <v>-0.13631969062197877</v>
      </c>
      <c r="O723" s="100">
        <f t="shared" si="481"/>
        <v>-0.13631969062197877</v>
      </c>
      <c r="P723" s="100">
        <f t="shared" si="481"/>
        <v>-0.13631969062197877</v>
      </c>
      <c r="Q723" s="100">
        <f t="shared" si="481"/>
        <v>-0.13631969062197877</v>
      </c>
      <c r="R723" s="100">
        <f t="shared" si="481"/>
        <v>-0.13631969062197877</v>
      </c>
      <c r="S723" s="100">
        <f t="shared" si="481"/>
        <v>-0.13631969062197877</v>
      </c>
      <c r="T723" s="100">
        <f t="shared" si="481"/>
        <v>-0.14276506606509831</v>
      </c>
      <c r="U723" s="100">
        <f t="shared" si="481"/>
        <v>-0.14276506606509831</v>
      </c>
      <c r="V723" s="100">
        <f t="shared" si="481"/>
        <v>-0.14276506606509831</v>
      </c>
      <c r="W723" s="100">
        <f t="shared" si="481"/>
        <v>-0.13631969062197877</v>
      </c>
    </row>
    <row r="724" spans="1:23" s="36" customFormat="1" x14ac:dyDescent="0.3">
      <c r="A724" s="406"/>
      <c r="B724" s="97" t="s">
        <v>205</v>
      </c>
      <c r="C724" s="98"/>
      <c r="D724" s="100">
        <f>D720/D712</f>
        <v>-0.13954237834353855</v>
      </c>
      <c r="E724" s="100">
        <f t="shared" ref="E724:W724" si="482">E720/E712</f>
        <v>-0.13954237834353855</v>
      </c>
      <c r="F724" s="100">
        <f t="shared" si="482"/>
        <v>-0.13954237834353855</v>
      </c>
      <c r="G724" s="100">
        <f t="shared" si="482"/>
        <v>-0.13954237834353855</v>
      </c>
      <c r="H724" s="100">
        <f t="shared" si="482"/>
        <v>-0.13954237834353855</v>
      </c>
      <c r="I724" s="100">
        <f t="shared" si="482"/>
        <v>-0.13954237834353855</v>
      </c>
      <c r="J724" s="100">
        <f t="shared" si="482"/>
        <v>-0.13954237834353855</v>
      </c>
      <c r="K724" s="100">
        <f t="shared" si="482"/>
        <v>-0.13954237834353855</v>
      </c>
      <c r="L724" s="100">
        <f t="shared" si="482"/>
        <v>-0.13954237834353855</v>
      </c>
      <c r="M724" s="100">
        <f t="shared" si="482"/>
        <v>-0.13954237834353855</v>
      </c>
      <c r="N724" s="100">
        <f t="shared" si="482"/>
        <v>-0.13309700290041898</v>
      </c>
      <c r="O724" s="100">
        <f t="shared" si="482"/>
        <v>-0.13309700290041898</v>
      </c>
      <c r="P724" s="100">
        <f t="shared" si="482"/>
        <v>-0.13309700290041898</v>
      </c>
      <c r="Q724" s="100">
        <f t="shared" si="482"/>
        <v>-0.13309700290041898</v>
      </c>
      <c r="R724" s="100">
        <f t="shared" si="482"/>
        <v>-0.13309700290041898</v>
      </c>
      <c r="S724" s="100">
        <f t="shared" si="482"/>
        <v>-0.13309700290041898</v>
      </c>
      <c r="T724" s="100">
        <f t="shared" si="482"/>
        <v>-0.13954237834353855</v>
      </c>
      <c r="U724" s="100">
        <f t="shared" si="482"/>
        <v>-0.13954237834353855</v>
      </c>
      <c r="V724" s="100">
        <f t="shared" si="482"/>
        <v>-0.13954237834353855</v>
      </c>
      <c r="W724" s="100">
        <f t="shared" si="482"/>
        <v>-0.13309700290041898</v>
      </c>
    </row>
    <row r="725" spans="1:23" s="36" customFormat="1" ht="21" thickBot="1" x14ac:dyDescent="0.35">
      <c r="A725" s="406"/>
      <c r="B725" s="207"/>
      <c r="C725" s="208"/>
      <c r="D725" s="209"/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  <c r="S725" s="209"/>
      <c r="T725" s="209"/>
      <c r="U725" s="209"/>
      <c r="V725" s="209"/>
      <c r="W725" s="209"/>
    </row>
    <row r="726" spans="1:23" s="19" customFormat="1" ht="21" thickBot="1" x14ac:dyDescent="0.35">
      <c r="A726" s="19" t="s">
        <v>300</v>
      </c>
      <c r="B726" s="67" t="s">
        <v>126</v>
      </c>
      <c r="C726" s="68"/>
      <c r="D726" s="17" t="s">
        <v>5</v>
      </c>
      <c r="E726" s="18" t="s">
        <v>6</v>
      </c>
      <c r="F726" s="18" t="s">
        <v>7</v>
      </c>
      <c r="G726" s="18" t="s">
        <v>8</v>
      </c>
      <c r="H726" s="18" t="s">
        <v>9</v>
      </c>
      <c r="I726" s="18" t="s">
        <v>10</v>
      </c>
      <c r="J726" s="18" t="s">
        <v>11</v>
      </c>
      <c r="K726" s="18" t="s">
        <v>12</v>
      </c>
      <c r="L726" s="18" t="s">
        <v>13</v>
      </c>
      <c r="M726" s="18" t="s">
        <v>14</v>
      </c>
      <c r="N726" s="18" t="s">
        <v>15</v>
      </c>
      <c r="O726" s="18" t="s">
        <v>16</v>
      </c>
      <c r="P726" s="18" t="s">
        <v>17</v>
      </c>
      <c r="Q726" s="18" t="s">
        <v>18</v>
      </c>
      <c r="R726" s="18" t="s">
        <v>19</v>
      </c>
      <c r="S726" s="18" t="s">
        <v>20</v>
      </c>
      <c r="T726" s="18" t="s">
        <v>21</v>
      </c>
      <c r="U726" s="18" t="s">
        <v>22</v>
      </c>
      <c r="V726" s="18" t="s">
        <v>23</v>
      </c>
      <c r="W726" s="18" t="s">
        <v>166</v>
      </c>
    </row>
    <row r="727" spans="1:23" x14ac:dyDescent="0.3">
      <c r="B727" s="54" t="s">
        <v>50</v>
      </c>
      <c r="C727" s="55"/>
      <c r="D727" s="20">
        <v>238</v>
      </c>
      <c r="E727" s="20">
        <v>238</v>
      </c>
      <c r="F727" s="20">
        <v>238</v>
      </c>
      <c r="G727" s="20">
        <v>238</v>
      </c>
      <c r="H727" s="20">
        <v>238</v>
      </c>
      <c r="I727" s="20">
        <v>238</v>
      </c>
      <c r="J727" s="20">
        <v>238</v>
      </c>
      <c r="K727" s="20">
        <v>238</v>
      </c>
      <c r="L727" s="20">
        <v>238</v>
      </c>
      <c r="M727" s="20">
        <v>238</v>
      </c>
      <c r="N727" s="20">
        <v>238</v>
      </c>
      <c r="O727" s="20">
        <v>238</v>
      </c>
      <c r="P727" s="20">
        <v>238</v>
      </c>
      <c r="Q727" s="20">
        <v>238</v>
      </c>
      <c r="R727" s="20">
        <v>238</v>
      </c>
      <c r="S727" s="20">
        <v>238</v>
      </c>
      <c r="T727" s="20">
        <v>238</v>
      </c>
      <c r="U727" s="20">
        <v>238</v>
      </c>
      <c r="V727" s="20">
        <v>238</v>
      </c>
      <c r="W727" s="20">
        <v>238</v>
      </c>
    </row>
    <row r="728" spans="1:23" x14ac:dyDescent="0.3">
      <c r="B728" s="54" t="s">
        <v>51</v>
      </c>
      <c r="C728" s="55"/>
      <c r="D728" s="385"/>
      <c r="E728" s="385"/>
      <c r="F728" s="385"/>
      <c r="G728" s="385"/>
      <c r="H728" s="385"/>
      <c r="I728" s="385"/>
      <c r="J728" s="385"/>
      <c r="K728" s="385"/>
      <c r="L728" s="385"/>
      <c r="M728" s="385"/>
      <c r="N728" s="385"/>
      <c r="O728" s="385"/>
      <c r="P728" s="385"/>
      <c r="Q728" s="385"/>
      <c r="R728" s="385"/>
      <c r="S728" s="385"/>
      <c r="T728" s="385"/>
      <c r="U728" s="385"/>
      <c r="V728" s="385"/>
      <c r="W728" s="385"/>
    </row>
    <row r="729" spans="1:23" x14ac:dyDescent="0.3">
      <c r="B729" s="54"/>
      <c r="C729" s="55"/>
      <c r="D729" s="20">
        <f>D727*(1-D728)</f>
        <v>238</v>
      </c>
      <c r="E729" s="20">
        <f t="shared" ref="E729:V729" si="483">E727*(1-E728)</f>
        <v>238</v>
      </c>
      <c r="F729" s="20">
        <f t="shared" si="483"/>
        <v>238</v>
      </c>
      <c r="G729" s="20">
        <f t="shared" si="483"/>
        <v>238</v>
      </c>
      <c r="H729" s="20">
        <f t="shared" si="483"/>
        <v>238</v>
      </c>
      <c r="I729" s="20">
        <f t="shared" si="483"/>
        <v>238</v>
      </c>
      <c r="J729" s="20">
        <f t="shared" si="483"/>
        <v>238</v>
      </c>
      <c r="K729" s="20">
        <f t="shared" si="483"/>
        <v>238</v>
      </c>
      <c r="L729" s="20">
        <f t="shared" si="483"/>
        <v>238</v>
      </c>
      <c r="M729" s="20">
        <f t="shared" si="483"/>
        <v>238</v>
      </c>
      <c r="N729" s="20">
        <f t="shared" si="483"/>
        <v>238</v>
      </c>
      <c r="O729" s="20">
        <f t="shared" si="483"/>
        <v>238</v>
      </c>
      <c r="P729" s="20">
        <f t="shared" si="483"/>
        <v>238</v>
      </c>
      <c r="Q729" s="20">
        <f t="shared" si="483"/>
        <v>238</v>
      </c>
      <c r="R729" s="20">
        <f t="shared" si="483"/>
        <v>238</v>
      </c>
      <c r="S729" s="20">
        <f t="shared" si="483"/>
        <v>238</v>
      </c>
      <c r="T729" s="20">
        <f t="shared" si="483"/>
        <v>238</v>
      </c>
      <c r="U729" s="20">
        <f t="shared" si="483"/>
        <v>238</v>
      </c>
      <c r="V729" s="20">
        <f t="shared" si="483"/>
        <v>238</v>
      </c>
      <c r="W729" s="20">
        <f>W727*(1-W728)</f>
        <v>238</v>
      </c>
    </row>
    <row r="730" spans="1:23" x14ac:dyDescent="0.3">
      <c r="B730" s="54" t="s">
        <v>51</v>
      </c>
      <c r="C730" s="56">
        <v>0</v>
      </c>
      <c r="D730" s="20">
        <f>D729*$C730</f>
        <v>0</v>
      </c>
      <c r="E730" s="20">
        <f t="shared" ref="E730:V730" si="484">E729*$C730</f>
        <v>0</v>
      </c>
      <c r="F730" s="20">
        <f t="shared" si="484"/>
        <v>0</v>
      </c>
      <c r="G730" s="20">
        <f t="shared" si="484"/>
        <v>0</v>
      </c>
      <c r="H730" s="20">
        <f t="shared" si="484"/>
        <v>0</v>
      </c>
      <c r="I730" s="20">
        <f t="shared" si="484"/>
        <v>0</v>
      </c>
      <c r="J730" s="20">
        <f t="shared" si="484"/>
        <v>0</v>
      </c>
      <c r="K730" s="20">
        <f t="shared" si="484"/>
        <v>0</v>
      </c>
      <c r="L730" s="20">
        <f t="shared" si="484"/>
        <v>0</v>
      </c>
      <c r="M730" s="20">
        <f t="shared" si="484"/>
        <v>0</v>
      </c>
      <c r="N730" s="20">
        <f t="shared" si="484"/>
        <v>0</v>
      </c>
      <c r="O730" s="20">
        <f t="shared" si="484"/>
        <v>0</v>
      </c>
      <c r="P730" s="20">
        <f t="shared" si="484"/>
        <v>0</v>
      </c>
      <c r="Q730" s="20">
        <f t="shared" si="484"/>
        <v>0</v>
      </c>
      <c r="R730" s="20">
        <f t="shared" si="484"/>
        <v>0</v>
      </c>
      <c r="S730" s="20">
        <f t="shared" si="484"/>
        <v>0</v>
      </c>
      <c r="T730" s="20">
        <f t="shared" si="484"/>
        <v>0</v>
      </c>
      <c r="U730" s="20">
        <f t="shared" si="484"/>
        <v>0</v>
      </c>
      <c r="V730" s="20">
        <f t="shared" si="484"/>
        <v>0</v>
      </c>
      <c r="W730" s="20">
        <f>W729*$C730</f>
        <v>0</v>
      </c>
    </row>
    <row r="731" spans="1:23" x14ac:dyDescent="0.3">
      <c r="B731" s="54" t="s">
        <v>67</v>
      </c>
      <c r="C731" s="55"/>
      <c r="D731" s="20">
        <f>D729-D730</f>
        <v>238</v>
      </c>
      <c r="E731" s="20">
        <f t="shared" ref="E731:V731" si="485">E729-E730</f>
        <v>238</v>
      </c>
      <c r="F731" s="20">
        <f t="shared" si="485"/>
        <v>238</v>
      </c>
      <c r="G731" s="20">
        <f t="shared" si="485"/>
        <v>238</v>
      </c>
      <c r="H731" s="20">
        <f t="shared" si="485"/>
        <v>238</v>
      </c>
      <c r="I731" s="20">
        <f t="shared" si="485"/>
        <v>238</v>
      </c>
      <c r="J731" s="20">
        <f t="shared" si="485"/>
        <v>238</v>
      </c>
      <c r="K731" s="20">
        <f t="shared" si="485"/>
        <v>238</v>
      </c>
      <c r="L731" s="20">
        <f t="shared" si="485"/>
        <v>238</v>
      </c>
      <c r="M731" s="20">
        <f t="shared" si="485"/>
        <v>238</v>
      </c>
      <c r="N731" s="20">
        <f t="shared" si="485"/>
        <v>238</v>
      </c>
      <c r="O731" s="20">
        <f t="shared" si="485"/>
        <v>238</v>
      </c>
      <c r="P731" s="20">
        <f t="shared" si="485"/>
        <v>238</v>
      </c>
      <c r="Q731" s="20">
        <f t="shared" si="485"/>
        <v>238</v>
      </c>
      <c r="R731" s="20">
        <f t="shared" si="485"/>
        <v>238</v>
      </c>
      <c r="S731" s="20">
        <f t="shared" si="485"/>
        <v>238</v>
      </c>
      <c r="T731" s="20">
        <f t="shared" si="485"/>
        <v>238</v>
      </c>
      <c r="U731" s="20">
        <f t="shared" si="485"/>
        <v>238</v>
      </c>
      <c r="V731" s="20">
        <f t="shared" si="485"/>
        <v>238</v>
      </c>
      <c r="W731" s="20">
        <f>W729-W730</f>
        <v>238</v>
      </c>
    </row>
    <row r="732" spans="1:23" x14ac:dyDescent="0.3">
      <c r="B732" s="54" t="s">
        <v>66</v>
      </c>
      <c r="C732" s="56">
        <v>7.0000000000000007E-2</v>
      </c>
      <c r="D732" s="20">
        <f>D731*$C732</f>
        <v>16.66</v>
      </c>
      <c r="E732" s="20">
        <f t="shared" ref="E732:V732" si="486">E731*$C732</f>
        <v>16.66</v>
      </c>
      <c r="F732" s="20">
        <f t="shared" si="486"/>
        <v>16.66</v>
      </c>
      <c r="G732" s="20">
        <f t="shared" si="486"/>
        <v>16.66</v>
      </c>
      <c r="H732" s="20">
        <f t="shared" si="486"/>
        <v>16.66</v>
      </c>
      <c r="I732" s="20">
        <f t="shared" si="486"/>
        <v>16.66</v>
      </c>
      <c r="J732" s="20">
        <f t="shared" si="486"/>
        <v>16.66</v>
      </c>
      <c r="K732" s="20">
        <f t="shared" si="486"/>
        <v>16.66</v>
      </c>
      <c r="L732" s="20">
        <f t="shared" si="486"/>
        <v>16.66</v>
      </c>
      <c r="M732" s="20">
        <f t="shared" si="486"/>
        <v>16.66</v>
      </c>
      <c r="N732" s="20">
        <f t="shared" si="486"/>
        <v>16.66</v>
      </c>
      <c r="O732" s="20">
        <f t="shared" si="486"/>
        <v>16.66</v>
      </c>
      <c r="P732" s="20">
        <f t="shared" si="486"/>
        <v>16.66</v>
      </c>
      <c r="Q732" s="20">
        <f t="shared" si="486"/>
        <v>16.66</v>
      </c>
      <c r="R732" s="20">
        <f t="shared" si="486"/>
        <v>16.66</v>
      </c>
      <c r="S732" s="20">
        <f t="shared" si="486"/>
        <v>16.66</v>
      </c>
      <c r="T732" s="20">
        <f t="shared" si="486"/>
        <v>16.66</v>
      </c>
      <c r="U732" s="20">
        <f t="shared" si="486"/>
        <v>16.66</v>
      </c>
      <c r="V732" s="20">
        <f t="shared" si="486"/>
        <v>16.66</v>
      </c>
      <c r="W732" s="20">
        <f>W731*$C732</f>
        <v>16.66</v>
      </c>
    </row>
    <row r="733" spans="1:23" x14ac:dyDescent="0.3">
      <c r="B733" s="54" t="s">
        <v>68</v>
      </c>
      <c r="C733" s="55"/>
      <c r="D733" s="20">
        <f>D731+D732</f>
        <v>254.66</v>
      </c>
      <c r="E733" s="20">
        <f t="shared" ref="E733:V733" si="487">E731+E732</f>
        <v>254.66</v>
      </c>
      <c r="F733" s="20">
        <f t="shared" si="487"/>
        <v>254.66</v>
      </c>
      <c r="G733" s="20">
        <f t="shared" si="487"/>
        <v>254.66</v>
      </c>
      <c r="H733" s="20">
        <f t="shared" si="487"/>
        <v>254.66</v>
      </c>
      <c r="I733" s="20">
        <f t="shared" si="487"/>
        <v>254.66</v>
      </c>
      <c r="J733" s="20">
        <f t="shared" si="487"/>
        <v>254.66</v>
      </c>
      <c r="K733" s="20">
        <f t="shared" si="487"/>
        <v>254.66</v>
      </c>
      <c r="L733" s="20">
        <f t="shared" si="487"/>
        <v>254.66</v>
      </c>
      <c r="M733" s="20">
        <f t="shared" si="487"/>
        <v>254.66</v>
      </c>
      <c r="N733" s="20">
        <f t="shared" si="487"/>
        <v>254.66</v>
      </c>
      <c r="O733" s="20">
        <f t="shared" si="487"/>
        <v>254.66</v>
      </c>
      <c r="P733" s="20">
        <f t="shared" si="487"/>
        <v>254.66</v>
      </c>
      <c r="Q733" s="20">
        <f t="shared" si="487"/>
        <v>254.66</v>
      </c>
      <c r="R733" s="20">
        <f t="shared" si="487"/>
        <v>254.66</v>
      </c>
      <c r="S733" s="20">
        <f t="shared" si="487"/>
        <v>254.66</v>
      </c>
      <c r="T733" s="20">
        <f t="shared" si="487"/>
        <v>254.66</v>
      </c>
      <c r="U733" s="20">
        <f t="shared" si="487"/>
        <v>254.66</v>
      </c>
      <c r="V733" s="20">
        <f t="shared" si="487"/>
        <v>254.66</v>
      </c>
      <c r="W733" s="20">
        <f>W731+W732</f>
        <v>254.66</v>
      </c>
    </row>
    <row r="734" spans="1:23" ht="23" x14ac:dyDescent="0.35">
      <c r="B734" s="54" t="s">
        <v>52</v>
      </c>
      <c r="C734" s="55"/>
      <c r="D734" s="379"/>
      <c r="E734" s="379"/>
      <c r="F734" s="379"/>
      <c r="G734" s="379"/>
      <c r="H734" s="379"/>
      <c r="I734" s="379"/>
      <c r="J734" s="379"/>
      <c r="K734" s="379"/>
      <c r="L734" s="379"/>
      <c r="M734" s="379"/>
      <c r="N734" s="379"/>
      <c r="O734" s="379"/>
      <c r="P734" s="379"/>
      <c r="Q734" s="379"/>
      <c r="R734" s="379"/>
      <c r="S734" s="379"/>
      <c r="T734" s="379"/>
      <c r="U734" s="379"/>
      <c r="V734" s="379"/>
      <c r="W734" s="379"/>
    </row>
    <row r="735" spans="1:23" x14ac:dyDescent="0.3">
      <c r="B735" s="57" t="s">
        <v>53</v>
      </c>
      <c r="C735" s="58"/>
      <c r="D735" s="25">
        <f>SUM(D733:D734)</f>
        <v>254.66</v>
      </c>
      <c r="E735" s="26">
        <f t="shared" ref="E735:V735" si="488">SUM(E733:E734)</f>
        <v>254.66</v>
      </c>
      <c r="F735" s="26">
        <f t="shared" si="488"/>
        <v>254.66</v>
      </c>
      <c r="G735" s="26">
        <f t="shared" si="488"/>
        <v>254.66</v>
      </c>
      <c r="H735" s="26">
        <f t="shared" si="488"/>
        <v>254.66</v>
      </c>
      <c r="I735" s="26">
        <f t="shared" si="488"/>
        <v>254.66</v>
      </c>
      <c r="J735" s="26">
        <f t="shared" si="488"/>
        <v>254.66</v>
      </c>
      <c r="K735" s="26">
        <f t="shared" si="488"/>
        <v>254.66</v>
      </c>
      <c r="L735" s="26">
        <f t="shared" si="488"/>
        <v>254.66</v>
      </c>
      <c r="M735" s="26">
        <f t="shared" si="488"/>
        <v>254.66</v>
      </c>
      <c r="N735" s="26">
        <f t="shared" si="488"/>
        <v>254.66</v>
      </c>
      <c r="O735" s="26">
        <f t="shared" si="488"/>
        <v>254.66</v>
      </c>
      <c r="P735" s="26">
        <f t="shared" si="488"/>
        <v>254.66</v>
      </c>
      <c r="Q735" s="26">
        <f t="shared" si="488"/>
        <v>254.66</v>
      </c>
      <c r="R735" s="26">
        <f t="shared" si="488"/>
        <v>254.66</v>
      </c>
      <c r="S735" s="26">
        <f t="shared" si="488"/>
        <v>254.66</v>
      </c>
      <c r="T735" s="26">
        <f t="shared" si="488"/>
        <v>254.66</v>
      </c>
      <c r="U735" s="26">
        <f t="shared" si="488"/>
        <v>254.66</v>
      </c>
      <c r="V735" s="26">
        <f t="shared" si="488"/>
        <v>254.66</v>
      </c>
      <c r="W735" s="26">
        <f>SUM(W733:W734)</f>
        <v>254.66</v>
      </c>
    </row>
    <row r="736" spans="1:23" x14ac:dyDescent="0.3">
      <c r="B736" s="54" t="s">
        <v>54</v>
      </c>
      <c r="C736" s="55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</row>
    <row r="737" spans="1:23" x14ac:dyDescent="0.3">
      <c r="B737" s="59" t="s">
        <v>55</v>
      </c>
      <c r="C737" s="60"/>
      <c r="D737" s="27">
        <f>D735</f>
        <v>254.66</v>
      </c>
      <c r="E737" s="41">
        <f t="shared" ref="E737:W737" si="489">E735</f>
        <v>254.66</v>
      </c>
      <c r="F737" s="41">
        <f t="shared" si="489"/>
        <v>254.66</v>
      </c>
      <c r="G737" s="41">
        <f t="shared" si="489"/>
        <v>254.66</v>
      </c>
      <c r="H737" s="41">
        <f t="shared" si="489"/>
        <v>254.66</v>
      </c>
      <c r="I737" s="41">
        <f t="shared" si="489"/>
        <v>254.66</v>
      </c>
      <c r="J737" s="41">
        <f t="shared" si="489"/>
        <v>254.66</v>
      </c>
      <c r="K737" s="41">
        <f t="shared" si="489"/>
        <v>254.66</v>
      </c>
      <c r="L737" s="41">
        <f t="shared" si="489"/>
        <v>254.66</v>
      </c>
      <c r="M737" s="41">
        <f t="shared" si="489"/>
        <v>254.66</v>
      </c>
      <c r="N737" s="41">
        <f t="shared" si="489"/>
        <v>254.66</v>
      </c>
      <c r="O737" s="41">
        <f t="shared" si="489"/>
        <v>254.66</v>
      </c>
      <c r="P737" s="41">
        <f t="shared" si="489"/>
        <v>254.66</v>
      </c>
      <c r="Q737" s="41">
        <f t="shared" si="489"/>
        <v>254.66</v>
      </c>
      <c r="R737" s="41">
        <f t="shared" si="489"/>
        <v>254.66</v>
      </c>
      <c r="S737" s="41">
        <f t="shared" si="489"/>
        <v>254.66</v>
      </c>
      <c r="T737" s="41">
        <f t="shared" si="489"/>
        <v>254.66</v>
      </c>
      <c r="U737" s="41">
        <f t="shared" si="489"/>
        <v>254.66</v>
      </c>
      <c r="V737" s="41">
        <f t="shared" si="489"/>
        <v>254.66</v>
      </c>
      <c r="W737" s="41">
        <f t="shared" si="489"/>
        <v>254.66</v>
      </c>
    </row>
    <row r="738" spans="1:23" x14ac:dyDescent="0.3">
      <c r="B738" s="171" t="s">
        <v>194</v>
      </c>
      <c r="C738" s="55"/>
      <c r="D738" s="20">
        <v>101</v>
      </c>
      <c r="E738" s="21">
        <v>105</v>
      </c>
      <c r="F738" s="21">
        <v>105</v>
      </c>
      <c r="G738" s="21">
        <v>105</v>
      </c>
      <c r="H738" s="21">
        <v>105</v>
      </c>
      <c r="I738" s="21">
        <v>105</v>
      </c>
      <c r="J738" s="21">
        <v>105</v>
      </c>
      <c r="K738" s="21">
        <v>105</v>
      </c>
      <c r="L738" s="21">
        <v>105</v>
      </c>
      <c r="M738" s="21">
        <v>105</v>
      </c>
      <c r="N738" s="21">
        <v>101</v>
      </c>
      <c r="O738" s="21">
        <v>101</v>
      </c>
      <c r="P738" s="21">
        <v>101</v>
      </c>
      <c r="Q738" s="21">
        <v>101</v>
      </c>
      <c r="R738" s="21">
        <v>102</v>
      </c>
      <c r="S738" s="21">
        <v>102</v>
      </c>
      <c r="T738" s="21">
        <v>110</v>
      </c>
      <c r="U738" s="21">
        <v>110</v>
      </c>
      <c r="V738" s="21">
        <v>109</v>
      </c>
      <c r="W738" s="21">
        <v>102</v>
      </c>
    </row>
    <row r="739" spans="1:23" s="51" customFormat="1" x14ac:dyDescent="0.3">
      <c r="A739" s="407"/>
      <c r="B739" s="61" t="s">
        <v>195</v>
      </c>
      <c r="C739" s="62"/>
      <c r="D739" s="28">
        <v>102</v>
      </c>
      <c r="E739" s="29">
        <v>106</v>
      </c>
      <c r="F739" s="29">
        <v>106</v>
      </c>
      <c r="G739" s="29">
        <v>106</v>
      </c>
      <c r="H739" s="29">
        <v>106</v>
      </c>
      <c r="I739" s="29">
        <v>106</v>
      </c>
      <c r="J739" s="29">
        <v>106</v>
      </c>
      <c r="K739" s="29">
        <v>106</v>
      </c>
      <c r="L739" s="29">
        <v>106</v>
      </c>
      <c r="M739" s="29">
        <v>106</v>
      </c>
      <c r="N739" s="29">
        <v>102</v>
      </c>
      <c r="O739" s="29">
        <v>102</v>
      </c>
      <c r="P739" s="29">
        <v>102</v>
      </c>
      <c r="Q739" s="29">
        <v>102</v>
      </c>
      <c r="R739" s="29">
        <v>103</v>
      </c>
      <c r="S739" s="29">
        <v>103</v>
      </c>
      <c r="T739" s="29">
        <v>111</v>
      </c>
      <c r="U739" s="29">
        <v>111</v>
      </c>
      <c r="V739" s="29">
        <v>110</v>
      </c>
      <c r="W739" s="29">
        <v>103</v>
      </c>
    </row>
    <row r="740" spans="1:23" s="51" customFormat="1" x14ac:dyDescent="0.3">
      <c r="A740" s="407"/>
      <c r="B740" s="61" t="s">
        <v>196</v>
      </c>
      <c r="C740" s="62"/>
      <c r="D740" s="28">
        <v>103</v>
      </c>
      <c r="E740" s="29">
        <v>107</v>
      </c>
      <c r="F740" s="29">
        <v>107</v>
      </c>
      <c r="G740" s="29">
        <v>107</v>
      </c>
      <c r="H740" s="29">
        <v>107</v>
      </c>
      <c r="I740" s="29">
        <v>107</v>
      </c>
      <c r="J740" s="29">
        <v>107</v>
      </c>
      <c r="K740" s="29">
        <v>107</v>
      </c>
      <c r="L740" s="29">
        <v>107</v>
      </c>
      <c r="M740" s="29">
        <v>107</v>
      </c>
      <c r="N740" s="29">
        <v>103</v>
      </c>
      <c r="O740" s="29">
        <v>103</v>
      </c>
      <c r="P740" s="29">
        <v>103</v>
      </c>
      <c r="Q740" s="29">
        <v>103</v>
      </c>
      <c r="R740" s="29">
        <v>104</v>
      </c>
      <c r="S740" s="29">
        <v>104</v>
      </c>
      <c r="T740" s="29">
        <v>112</v>
      </c>
      <c r="U740" s="29">
        <v>112</v>
      </c>
      <c r="V740" s="29">
        <v>111</v>
      </c>
      <c r="W740" s="29">
        <v>104</v>
      </c>
    </row>
    <row r="741" spans="1:23" s="51" customFormat="1" x14ac:dyDescent="0.3">
      <c r="A741" s="407"/>
      <c r="B741" s="61" t="s">
        <v>197</v>
      </c>
      <c r="C741" s="62"/>
      <c r="D741" s="28">
        <v>104</v>
      </c>
      <c r="E741" s="29">
        <v>108</v>
      </c>
      <c r="F741" s="29">
        <v>108</v>
      </c>
      <c r="G741" s="29">
        <v>108</v>
      </c>
      <c r="H741" s="29">
        <v>108</v>
      </c>
      <c r="I741" s="29">
        <v>108</v>
      </c>
      <c r="J741" s="29">
        <v>108</v>
      </c>
      <c r="K741" s="29">
        <v>108</v>
      </c>
      <c r="L741" s="29">
        <v>108</v>
      </c>
      <c r="M741" s="29">
        <v>108</v>
      </c>
      <c r="N741" s="29">
        <v>104</v>
      </c>
      <c r="O741" s="29">
        <v>104</v>
      </c>
      <c r="P741" s="29">
        <v>104</v>
      </c>
      <c r="Q741" s="29">
        <v>104</v>
      </c>
      <c r="R741" s="29">
        <v>105</v>
      </c>
      <c r="S741" s="29">
        <v>105</v>
      </c>
      <c r="T741" s="29">
        <v>113</v>
      </c>
      <c r="U741" s="29">
        <v>113</v>
      </c>
      <c r="V741" s="29">
        <v>112</v>
      </c>
      <c r="W741" s="29">
        <v>105</v>
      </c>
    </row>
    <row r="742" spans="1:23" s="30" customFormat="1" x14ac:dyDescent="0.3">
      <c r="A742" s="404"/>
      <c r="B742" s="63" t="s">
        <v>198</v>
      </c>
      <c r="C742" s="64"/>
      <c r="D742" s="31">
        <f>+D738-D$737</f>
        <v>-153.66</v>
      </c>
      <c r="E742" s="31">
        <f t="shared" ref="E742:W742" si="490">+E738-E$737</f>
        <v>-149.66</v>
      </c>
      <c r="F742" s="31">
        <f t="shared" si="490"/>
        <v>-149.66</v>
      </c>
      <c r="G742" s="31">
        <f t="shared" si="490"/>
        <v>-149.66</v>
      </c>
      <c r="H742" s="31">
        <f t="shared" si="490"/>
        <v>-149.66</v>
      </c>
      <c r="I742" s="31">
        <f t="shared" si="490"/>
        <v>-149.66</v>
      </c>
      <c r="J742" s="31">
        <f t="shared" si="490"/>
        <v>-149.66</v>
      </c>
      <c r="K742" s="31">
        <f t="shared" si="490"/>
        <v>-149.66</v>
      </c>
      <c r="L742" s="31">
        <f t="shared" si="490"/>
        <v>-149.66</v>
      </c>
      <c r="M742" s="31">
        <f t="shared" si="490"/>
        <v>-149.66</v>
      </c>
      <c r="N742" s="31">
        <f t="shared" si="490"/>
        <v>-153.66</v>
      </c>
      <c r="O742" s="31">
        <f t="shared" si="490"/>
        <v>-153.66</v>
      </c>
      <c r="P742" s="31">
        <f t="shared" si="490"/>
        <v>-153.66</v>
      </c>
      <c r="Q742" s="31">
        <f t="shared" si="490"/>
        <v>-153.66</v>
      </c>
      <c r="R742" s="31">
        <f t="shared" si="490"/>
        <v>-152.66</v>
      </c>
      <c r="S742" s="31">
        <f t="shared" si="490"/>
        <v>-152.66</v>
      </c>
      <c r="T742" s="31">
        <f t="shared" si="490"/>
        <v>-144.66</v>
      </c>
      <c r="U742" s="31">
        <f t="shared" si="490"/>
        <v>-144.66</v>
      </c>
      <c r="V742" s="31">
        <f t="shared" si="490"/>
        <v>-145.66</v>
      </c>
      <c r="W742" s="31">
        <f t="shared" si="490"/>
        <v>-152.66</v>
      </c>
    </row>
    <row r="743" spans="1:23" s="33" customFormat="1" x14ac:dyDescent="0.3">
      <c r="A743" s="405"/>
      <c r="B743" s="63" t="s">
        <v>199</v>
      </c>
      <c r="C743" s="64"/>
      <c r="D743" s="31">
        <f>+D739-D$737</f>
        <v>-152.66</v>
      </c>
      <c r="E743" s="32">
        <f t="shared" ref="E743:W743" si="491">+E739-E$737</f>
        <v>-148.66</v>
      </c>
      <c r="F743" s="32">
        <f t="shared" si="491"/>
        <v>-148.66</v>
      </c>
      <c r="G743" s="32">
        <f t="shared" si="491"/>
        <v>-148.66</v>
      </c>
      <c r="H743" s="32">
        <f t="shared" si="491"/>
        <v>-148.66</v>
      </c>
      <c r="I743" s="32">
        <f t="shared" si="491"/>
        <v>-148.66</v>
      </c>
      <c r="J743" s="32">
        <f t="shared" si="491"/>
        <v>-148.66</v>
      </c>
      <c r="K743" s="32">
        <f t="shared" si="491"/>
        <v>-148.66</v>
      </c>
      <c r="L743" s="32">
        <f t="shared" si="491"/>
        <v>-148.66</v>
      </c>
      <c r="M743" s="32">
        <f t="shared" si="491"/>
        <v>-148.66</v>
      </c>
      <c r="N743" s="32">
        <f t="shared" si="491"/>
        <v>-152.66</v>
      </c>
      <c r="O743" s="32">
        <f t="shared" si="491"/>
        <v>-152.66</v>
      </c>
      <c r="P743" s="32">
        <f t="shared" si="491"/>
        <v>-152.66</v>
      </c>
      <c r="Q743" s="32">
        <f t="shared" si="491"/>
        <v>-152.66</v>
      </c>
      <c r="R743" s="32">
        <f t="shared" si="491"/>
        <v>-151.66</v>
      </c>
      <c r="S743" s="32">
        <f t="shared" si="491"/>
        <v>-151.66</v>
      </c>
      <c r="T743" s="32">
        <f t="shared" si="491"/>
        <v>-143.66</v>
      </c>
      <c r="U743" s="32">
        <f t="shared" si="491"/>
        <v>-143.66</v>
      </c>
      <c r="V743" s="32">
        <f t="shared" si="491"/>
        <v>-144.66</v>
      </c>
      <c r="W743" s="32">
        <f t="shared" si="491"/>
        <v>-151.66</v>
      </c>
    </row>
    <row r="744" spans="1:23" s="33" customFormat="1" x14ac:dyDescent="0.3">
      <c r="A744" s="405"/>
      <c r="B744" s="63" t="s">
        <v>200</v>
      </c>
      <c r="C744" s="64"/>
      <c r="D744" s="31">
        <f>+D740-D$737</f>
        <v>-151.66</v>
      </c>
      <c r="E744" s="32">
        <f t="shared" ref="E744:W744" si="492">+E740-E$737</f>
        <v>-147.66</v>
      </c>
      <c r="F744" s="32">
        <f t="shared" si="492"/>
        <v>-147.66</v>
      </c>
      <c r="G744" s="32">
        <f t="shared" si="492"/>
        <v>-147.66</v>
      </c>
      <c r="H744" s="32">
        <f t="shared" si="492"/>
        <v>-147.66</v>
      </c>
      <c r="I744" s="32">
        <f t="shared" si="492"/>
        <v>-147.66</v>
      </c>
      <c r="J744" s="32">
        <f t="shared" si="492"/>
        <v>-147.66</v>
      </c>
      <c r="K744" s="32">
        <f t="shared" si="492"/>
        <v>-147.66</v>
      </c>
      <c r="L744" s="32">
        <f t="shared" si="492"/>
        <v>-147.66</v>
      </c>
      <c r="M744" s="32">
        <f t="shared" si="492"/>
        <v>-147.66</v>
      </c>
      <c r="N744" s="32">
        <f t="shared" si="492"/>
        <v>-151.66</v>
      </c>
      <c r="O744" s="32">
        <f t="shared" si="492"/>
        <v>-151.66</v>
      </c>
      <c r="P744" s="32">
        <f t="shared" si="492"/>
        <v>-151.66</v>
      </c>
      <c r="Q744" s="32">
        <f t="shared" si="492"/>
        <v>-151.66</v>
      </c>
      <c r="R744" s="32">
        <f t="shared" si="492"/>
        <v>-150.66</v>
      </c>
      <c r="S744" s="32">
        <f t="shared" si="492"/>
        <v>-150.66</v>
      </c>
      <c r="T744" s="32">
        <f t="shared" si="492"/>
        <v>-142.66</v>
      </c>
      <c r="U744" s="32">
        <f t="shared" si="492"/>
        <v>-142.66</v>
      </c>
      <c r="V744" s="32">
        <f t="shared" si="492"/>
        <v>-143.66</v>
      </c>
      <c r="W744" s="32">
        <f t="shared" si="492"/>
        <v>-150.66</v>
      </c>
    </row>
    <row r="745" spans="1:23" s="33" customFormat="1" x14ac:dyDescent="0.3">
      <c r="A745" s="405"/>
      <c r="B745" s="63" t="s">
        <v>201</v>
      </c>
      <c r="C745" s="64"/>
      <c r="D745" s="31">
        <f>+D741-D$737</f>
        <v>-150.66</v>
      </c>
      <c r="E745" s="32">
        <f t="shared" ref="E745:W745" si="493">+E741-E$737</f>
        <v>-146.66</v>
      </c>
      <c r="F745" s="32">
        <f t="shared" si="493"/>
        <v>-146.66</v>
      </c>
      <c r="G745" s="32">
        <f t="shared" si="493"/>
        <v>-146.66</v>
      </c>
      <c r="H745" s="32">
        <f t="shared" si="493"/>
        <v>-146.66</v>
      </c>
      <c r="I745" s="32">
        <f t="shared" si="493"/>
        <v>-146.66</v>
      </c>
      <c r="J745" s="32">
        <f t="shared" si="493"/>
        <v>-146.66</v>
      </c>
      <c r="K745" s="32">
        <f t="shared" si="493"/>
        <v>-146.66</v>
      </c>
      <c r="L745" s="32">
        <f t="shared" si="493"/>
        <v>-146.66</v>
      </c>
      <c r="M745" s="32">
        <f t="shared" si="493"/>
        <v>-146.66</v>
      </c>
      <c r="N745" s="32">
        <f t="shared" si="493"/>
        <v>-150.66</v>
      </c>
      <c r="O745" s="32">
        <f t="shared" si="493"/>
        <v>-150.66</v>
      </c>
      <c r="P745" s="32">
        <f t="shared" si="493"/>
        <v>-150.66</v>
      </c>
      <c r="Q745" s="32">
        <f t="shared" si="493"/>
        <v>-150.66</v>
      </c>
      <c r="R745" s="32">
        <f t="shared" si="493"/>
        <v>-149.66</v>
      </c>
      <c r="S745" s="32">
        <f t="shared" si="493"/>
        <v>-149.66</v>
      </c>
      <c r="T745" s="32">
        <f t="shared" si="493"/>
        <v>-141.66</v>
      </c>
      <c r="U745" s="32">
        <f t="shared" si="493"/>
        <v>-141.66</v>
      </c>
      <c r="V745" s="32">
        <f t="shared" si="493"/>
        <v>-142.66</v>
      </c>
      <c r="W745" s="32">
        <f t="shared" si="493"/>
        <v>-149.66</v>
      </c>
    </row>
    <row r="746" spans="1:23" x14ac:dyDescent="0.3">
      <c r="B746" s="97" t="s">
        <v>202</v>
      </c>
      <c r="C746" s="98"/>
      <c r="D746" s="99">
        <f>D742/D738</f>
        <v>-1.5213861386138614</v>
      </c>
      <c r="E746" s="99">
        <f t="shared" ref="E746:W746" si="494">E742/E738</f>
        <v>-1.4253333333333333</v>
      </c>
      <c r="F746" s="99">
        <f t="shared" si="494"/>
        <v>-1.4253333333333333</v>
      </c>
      <c r="G746" s="99">
        <f t="shared" si="494"/>
        <v>-1.4253333333333333</v>
      </c>
      <c r="H746" s="99">
        <f t="shared" si="494"/>
        <v>-1.4253333333333333</v>
      </c>
      <c r="I746" s="99">
        <f t="shared" si="494"/>
        <v>-1.4253333333333333</v>
      </c>
      <c r="J746" s="99">
        <f t="shared" si="494"/>
        <v>-1.4253333333333333</v>
      </c>
      <c r="K746" s="99">
        <f t="shared" si="494"/>
        <v>-1.4253333333333333</v>
      </c>
      <c r="L746" s="99">
        <f t="shared" si="494"/>
        <v>-1.4253333333333333</v>
      </c>
      <c r="M746" s="99">
        <f t="shared" si="494"/>
        <v>-1.4253333333333333</v>
      </c>
      <c r="N746" s="99">
        <f t="shared" si="494"/>
        <v>-1.5213861386138614</v>
      </c>
      <c r="O746" s="99">
        <f t="shared" si="494"/>
        <v>-1.5213861386138614</v>
      </c>
      <c r="P746" s="99">
        <f t="shared" si="494"/>
        <v>-1.5213861386138614</v>
      </c>
      <c r="Q746" s="99">
        <f t="shared" si="494"/>
        <v>-1.5213861386138614</v>
      </c>
      <c r="R746" s="99">
        <f t="shared" si="494"/>
        <v>-1.4966666666666666</v>
      </c>
      <c r="S746" s="99">
        <f t="shared" si="494"/>
        <v>-1.4966666666666666</v>
      </c>
      <c r="T746" s="99">
        <f t="shared" si="494"/>
        <v>-1.3150909090909091</v>
      </c>
      <c r="U746" s="99">
        <f t="shared" si="494"/>
        <v>-1.3150909090909091</v>
      </c>
      <c r="V746" s="99">
        <f t="shared" si="494"/>
        <v>-1.3363302752293578</v>
      </c>
      <c r="W746" s="99">
        <f t="shared" si="494"/>
        <v>-1.4966666666666666</v>
      </c>
    </row>
    <row r="747" spans="1:23" s="36" customFormat="1" x14ac:dyDescent="0.3">
      <c r="A747" s="406"/>
      <c r="B747" s="97" t="s">
        <v>203</v>
      </c>
      <c r="C747" s="98"/>
      <c r="D747" s="99">
        <f>D743/D739</f>
        <v>-1.4966666666666666</v>
      </c>
      <c r="E747" s="99">
        <f t="shared" ref="E747:W747" si="495">E743/E739</f>
        <v>-1.4024528301886792</v>
      </c>
      <c r="F747" s="99">
        <f t="shared" si="495"/>
        <v>-1.4024528301886792</v>
      </c>
      <c r="G747" s="99">
        <f t="shared" si="495"/>
        <v>-1.4024528301886792</v>
      </c>
      <c r="H747" s="99">
        <f t="shared" si="495"/>
        <v>-1.4024528301886792</v>
      </c>
      <c r="I747" s="99">
        <f t="shared" si="495"/>
        <v>-1.4024528301886792</v>
      </c>
      <c r="J747" s="99">
        <f t="shared" si="495"/>
        <v>-1.4024528301886792</v>
      </c>
      <c r="K747" s="99">
        <f t="shared" si="495"/>
        <v>-1.4024528301886792</v>
      </c>
      <c r="L747" s="99">
        <f t="shared" si="495"/>
        <v>-1.4024528301886792</v>
      </c>
      <c r="M747" s="99">
        <f t="shared" si="495"/>
        <v>-1.4024528301886792</v>
      </c>
      <c r="N747" s="99">
        <f t="shared" si="495"/>
        <v>-1.4966666666666666</v>
      </c>
      <c r="O747" s="99">
        <f t="shared" si="495"/>
        <v>-1.4966666666666666</v>
      </c>
      <c r="P747" s="99">
        <f t="shared" si="495"/>
        <v>-1.4966666666666666</v>
      </c>
      <c r="Q747" s="99">
        <f t="shared" si="495"/>
        <v>-1.4966666666666666</v>
      </c>
      <c r="R747" s="99">
        <f t="shared" si="495"/>
        <v>-1.4724271844660193</v>
      </c>
      <c r="S747" s="99">
        <f t="shared" si="495"/>
        <v>-1.4724271844660193</v>
      </c>
      <c r="T747" s="99">
        <f t="shared" si="495"/>
        <v>-1.2942342342342341</v>
      </c>
      <c r="U747" s="99">
        <f t="shared" si="495"/>
        <v>-1.2942342342342341</v>
      </c>
      <c r="V747" s="99">
        <f t="shared" si="495"/>
        <v>-1.3150909090909091</v>
      </c>
      <c r="W747" s="99">
        <f t="shared" si="495"/>
        <v>-1.4724271844660193</v>
      </c>
    </row>
    <row r="748" spans="1:23" s="36" customFormat="1" x14ac:dyDescent="0.3">
      <c r="A748" s="406"/>
      <c r="B748" s="97" t="s">
        <v>204</v>
      </c>
      <c r="C748" s="98"/>
      <c r="D748" s="99">
        <f>D744/D740</f>
        <v>-1.4724271844660193</v>
      </c>
      <c r="E748" s="99">
        <f t="shared" ref="E748:W748" si="496">E744/E740</f>
        <v>-1.38</v>
      </c>
      <c r="F748" s="99">
        <f t="shared" si="496"/>
        <v>-1.38</v>
      </c>
      <c r="G748" s="99">
        <f t="shared" si="496"/>
        <v>-1.38</v>
      </c>
      <c r="H748" s="99">
        <f t="shared" si="496"/>
        <v>-1.38</v>
      </c>
      <c r="I748" s="99">
        <f t="shared" si="496"/>
        <v>-1.38</v>
      </c>
      <c r="J748" s="99">
        <f t="shared" si="496"/>
        <v>-1.38</v>
      </c>
      <c r="K748" s="99">
        <f t="shared" si="496"/>
        <v>-1.38</v>
      </c>
      <c r="L748" s="99">
        <f t="shared" si="496"/>
        <v>-1.38</v>
      </c>
      <c r="M748" s="99">
        <f t="shared" si="496"/>
        <v>-1.38</v>
      </c>
      <c r="N748" s="99">
        <f t="shared" si="496"/>
        <v>-1.4724271844660193</v>
      </c>
      <c r="O748" s="99">
        <f t="shared" si="496"/>
        <v>-1.4724271844660193</v>
      </c>
      <c r="P748" s="99">
        <f t="shared" si="496"/>
        <v>-1.4724271844660193</v>
      </c>
      <c r="Q748" s="99">
        <f t="shared" si="496"/>
        <v>-1.4724271844660193</v>
      </c>
      <c r="R748" s="99">
        <f t="shared" si="496"/>
        <v>-1.4486538461538461</v>
      </c>
      <c r="S748" s="99">
        <f t="shared" si="496"/>
        <v>-1.4486538461538461</v>
      </c>
      <c r="T748" s="99">
        <f t="shared" si="496"/>
        <v>-1.2737499999999999</v>
      </c>
      <c r="U748" s="99">
        <f t="shared" si="496"/>
        <v>-1.2737499999999999</v>
      </c>
      <c r="V748" s="99">
        <f t="shared" si="496"/>
        <v>-1.2942342342342341</v>
      </c>
      <c r="W748" s="99">
        <f t="shared" si="496"/>
        <v>-1.4486538461538461</v>
      </c>
    </row>
    <row r="749" spans="1:23" s="36" customFormat="1" x14ac:dyDescent="0.3">
      <c r="A749" s="406"/>
      <c r="B749" s="97" t="s">
        <v>205</v>
      </c>
      <c r="C749" s="98"/>
      <c r="D749" s="99">
        <f>D745/D741</f>
        <v>-1.4486538461538461</v>
      </c>
      <c r="E749" s="99">
        <f t="shared" ref="E749:W749" si="497">E745/E741</f>
        <v>-1.357962962962963</v>
      </c>
      <c r="F749" s="99">
        <f t="shared" si="497"/>
        <v>-1.357962962962963</v>
      </c>
      <c r="G749" s="99">
        <f t="shared" si="497"/>
        <v>-1.357962962962963</v>
      </c>
      <c r="H749" s="99">
        <f t="shared" si="497"/>
        <v>-1.357962962962963</v>
      </c>
      <c r="I749" s="99">
        <f t="shared" si="497"/>
        <v>-1.357962962962963</v>
      </c>
      <c r="J749" s="99">
        <f t="shared" si="497"/>
        <v>-1.357962962962963</v>
      </c>
      <c r="K749" s="99">
        <f t="shared" si="497"/>
        <v>-1.357962962962963</v>
      </c>
      <c r="L749" s="99">
        <f t="shared" si="497"/>
        <v>-1.357962962962963</v>
      </c>
      <c r="M749" s="99">
        <f t="shared" si="497"/>
        <v>-1.357962962962963</v>
      </c>
      <c r="N749" s="99">
        <f t="shared" si="497"/>
        <v>-1.4486538461538461</v>
      </c>
      <c r="O749" s="99">
        <f t="shared" si="497"/>
        <v>-1.4486538461538461</v>
      </c>
      <c r="P749" s="99">
        <f t="shared" si="497"/>
        <v>-1.4486538461538461</v>
      </c>
      <c r="Q749" s="99">
        <f t="shared" si="497"/>
        <v>-1.4486538461538461</v>
      </c>
      <c r="R749" s="99">
        <f t="shared" si="497"/>
        <v>-1.4253333333333333</v>
      </c>
      <c r="S749" s="99">
        <f t="shared" si="497"/>
        <v>-1.4253333333333333</v>
      </c>
      <c r="T749" s="99">
        <f t="shared" si="497"/>
        <v>-1.2536283185840709</v>
      </c>
      <c r="U749" s="99">
        <f t="shared" si="497"/>
        <v>-1.2536283185840709</v>
      </c>
      <c r="V749" s="99">
        <f t="shared" si="497"/>
        <v>-1.2737499999999999</v>
      </c>
      <c r="W749" s="99">
        <f t="shared" si="497"/>
        <v>-1.4253333333333333</v>
      </c>
    </row>
    <row r="750" spans="1:23" ht="21" thickBot="1" x14ac:dyDescent="0.35"/>
    <row r="751" spans="1:23" s="19" customFormat="1" ht="21" thickBot="1" x14ac:dyDescent="0.35">
      <c r="A751" s="19" t="s">
        <v>301</v>
      </c>
      <c r="B751" s="67" t="s">
        <v>127</v>
      </c>
      <c r="C751" s="68"/>
      <c r="D751" s="17" t="s">
        <v>5</v>
      </c>
      <c r="E751" s="18" t="s">
        <v>6</v>
      </c>
      <c r="F751" s="18" t="s">
        <v>7</v>
      </c>
      <c r="G751" s="18" t="s">
        <v>8</v>
      </c>
      <c r="H751" s="18" t="s">
        <v>9</v>
      </c>
      <c r="I751" s="18" t="s">
        <v>10</v>
      </c>
      <c r="J751" s="18" t="s">
        <v>11</v>
      </c>
      <c r="K751" s="18" t="s">
        <v>12</v>
      </c>
      <c r="L751" s="18" t="s">
        <v>13</v>
      </c>
      <c r="M751" s="18" t="s">
        <v>14</v>
      </c>
      <c r="N751" s="18" t="s">
        <v>15</v>
      </c>
      <c r="O751" s="18" t="s">
        <v>16</v>
      </c>
      <c r="P751" s="18" t="s">
        <v>17</v>
      </c>
      <c r="Q751" s="18" t="s">
        <v>18</v>
      </c>
      <c r="R751" s="18" t="s">
        <v>19</v>
      </c>
      <c r="S751" s="18" t="s">
        <v>20</v>
      </c>
      <c r="T751" s="18" t="s">
        <v>21</v>
      </c>
      <c r="U751" s="18" t="s">
        <v>22</v>
      </c>
      <c r="V751" s="18" t="s">
        <v>23</v>
      </c>
      <c r="W751" s="18" t="s">
        <v>166</v>
      </c>
    </row>
    <row r="752" spans="1:23" x14ac:dyDescent="0.3">
      <c r="A752" s="19" t="s">
        <v>302</v>
      </c>
      <c r="B752" s="54" t="s">
        <v>50</v>
      </c>
      <c r="C752" s="55"/>
      <c r="D752" s="20">
        <v>352</v>
      </c>
      <c r="E752" s="20">
        <v>352</v>
      </c>
      <c r="F752" s="20">
        <v>352</v>
      </c>
      <c r="G752" s="20">
        <v>352</v>
      </c>
      <c r="H752" s="20">
        <v>352</v>
      </c>
      <c r="I752" s="20">
        <v>352</v>
      </c>
      <c r="J752" s="20">
        <v>352</v>
      </c>
      <c r="K752" s="20">
        <v>352</v>
      </c>
      <c r="L752" s="20">
        <v>352</v>
      </c>
      <c r="M752" s="20">
        <v>352</v>
      </c>
      <c r="N752" s="20">
        <v>352</v>
      </c>
      <c r="O752" s="20">
        <v>352</v>
      </c>
      <c r="P752" s="20">
        <v>352</v>
      </c>
      <c r="Q752" s="20">
        <v>352</v>
      </c>
      <c r="R752" s="20">
        <v>352</v>
      </c>
      <c r="S752" s="20">
        <v>352</v>
      </c>
      <c r="T752" s="20">
        <v>352</v>
      </c>
      <c r="U752" s="20">
        <v>352</v>
      </c>
      <c r="V752" s="20">
        <v>352</v>
      </c>
      <c r="W752" s="20">
        <v>352</v>
      </c>
    </row>
    <row r="753" spans="1:23" x14ac:dyDescent="0.3">
      <c r="B753" s="54" t="s">
        <v>51</v>
      </c>
      <c r="C753" s="55"/>
      <c r="D753" s="384"/>
      <c r="E753" s="384"/>
      <c r="F753" s="384"/>
      <c r="G753" s="384"/>
      <c r="H753" s="384"/>
      <c r="I753" s="385"/>
      <c r="J753" s="385"/>
      <c r="K753" s="385"/>
      <c r="L753" s="385"/>
      <c r="M753" s="385"/>
      <c r="N753" s="384"/>
      <c r="O753" s="384"/>
      <c r="P753" s="384"/>
      <c r="Q753" s="384"/>
      <c r="R753" s="385"/>
      <c r="S753" s="385"/>
      <c r="T753" s="386"/>
      <c r="U753" s="386"/>
      <c r="V753" s="386"/>
      <c r="W753" s="385"/>
    </row>
    <row r="754" spans="1:23" x14ac:dyDescent="0.3">
      <c r="B754" s="54"/>
      <c r="C754" s="55"/>
      <c r="D754" s="20">
        <f t="shared" ref="D754:V754" si="498">D752*(1-D753)</f>
        <v>352</v>
      </c>
      <c r="E754" s="20">
        <f t="shared" si="498"/>
        <v>352</v>
      </c>
      <c r="F754" s="20">
        <f t="shared" si="498"/>
        <v>352</v>
      </c>
      <c r="G754" s="20">
        <f t="shared" si="498"/>
        <v>352</v>
      </c>
      <c r="H754" s="20">
        <f t="shared" si="498"/>
        <v>352</v>
      </c>
      <c r="I754" s="20">
        <f t="shared" si="498"/>
        <v>352</v>
      </c>
      <c r="J754" s="20">
        <f t="shared" si="498"/>
        <v>352</v>
      </c>
      <c r="K754" s="20">
        <f t="shared" si="498"/>
        <v>352</v>
      </c>
      <c r="L754" s="20">
        <f t="shared" si="498"/>
        <v>352</v>
      </c>
      <c r="M754" s="20">
        <f t="shared" si="498"/>
        <v>352</v>
      </c>
      <c r="N754" s="20">
        <f t="shared" si="498"/>
        <v>352</v>
      </c>
      <c r="O754" s="20">
        <f t="shared" si="498"/>
        <v>352</v>
      </c>
      <c r="P754" s="20">
        <f t="shared" si="498"/>
        <v>352</v>
      </c>
      <c r="Q754" s="20">
        <f t="shared" si="498"/>
        <v>352</v>
      </c>
      <c r="R754" s="20">
        <f t="shared" si="498"/>
        <v>352</v>
      </c>
      <c r="S754" s="20">
        <f t="shared" si="498"/>
        <v>352</v>
      </c>
      <c r="T754" s="20">
        <f t="shared" si="498"/>
        <v>352</v>
      </c>
      <c r="U754" s="20">
        <f t="shared" si="498"/>
        <v>352</v>
      </c>
      <c r="V754" s="20">
        <f t="shared" si="498"/>
        <v>352</v>
      </c>
      <c r="W754" s="20">
        <f>W752*(1-W753)</f>
        <v>352</v>
      </c>
    </row>
    <row r="755" spans="1:23" x14ac:dyDescent="0.3">
      <c r="B755" s="54" t="s">
        <v>51</v>
      </c>
      <c r="C755" s="56">
        <v>0</v>
      </c>
      <c r="D755" s="20">
        <f>D754*$C755</f>
        <v>0</v>
      </c>
      <c r="E755" s="20">
        <f t="shared" ref="E755:V755" si="499">E754*$C755</f>
        <v>0</v>
      </c>
      <c r="F755" s="20">
        <f t="shared" si="499"/>
        <v>0</v>
      </c>
      <c r="G755" s="20">
        <f t="shared" si="499"/>
        <v>0</v>
      </c>
      <c r="H755" s="20">
        <f t="shared" si="499"/>
        <v>0</v>
      </c>
      <c r="I755" s="20">
        <f t="shared" si="499"/>
        <v>0</v>
      </c>
      <c r="J755" s="20">
        <f t="shared" si="499"/>
        <v>0</v>
      </c>
      <c r="K755" s="20">
        <f t="shared" si="499"/>
        <v>0</v>
      </c>
      <c r="L755" s="20">
        <f t="shared" si="499"/>
        <v>0</v>
      </c>
      <c r="M755" s="20">
        <f t="shared" si="499"/>
        <v>0</v>
      </c>
      <c r="N755" s="20">
        <f t="shared" si="499"/>
        <v>0</v>
      </c>
      <c r="O755" s="20">
        <f t="shared" si="499"/>
        <v>0</v>
      </c>
      <c r="P755" s="20">
        <f t="shared" si="499"/>
        <v>0</v>
      </c>
      <c r="Q755" s="20">
        <f t="shared" si="499"/>
        <v>0</v>
      </c>
      <c r="R755" s="20">
        <f t="shared" si="499"/>
        <v>0</v>
      </c>
      <c r="S755" s="20">
        <f t="shared" si="499"/>
        <v>0</v>
      </c>
      <c r="T755" s="20">
        <f t="shared" si="499"/>
        <v>0</v>
      </c>
      <c r="U755" s="20">
        <f t="shared" si="499"/>
        <v>0</v>
      </c>
      <c r="V755" s="20">
        <f t="shared" si="499"/>
        <v>0</v>
      </c>
      <c r="W755" s="20">
        <f>W754*$C755</f>
        <v>0</v>
      </c>
    </row>
    <row r="756" spans="1:23" x14ac:dyDescent="0.3">
      <c r="B756" s="54" t="s">
        <v>67</v>
      </c>
      <c r="C756" s="55"/>
      <c r="D756" s="20">
        <f>D754-D755</f>
        <v>352</v>
      </c>
      <c r="E756" s="20">
        <f t="shared" ref="E756:V756" si="500">E754-E755</f>
        <v>352</v>
      </c>
      <c r="F756" s="20">
        <f t="shared" si="500"/>
        <v>352</v>
      </c>
      <c r="G756" s="20">
        <f t="shared" si="500"/>
        <v>352</v>
      </c>
      <c r="H756" s="20">
        <f t="shared" si="500"/>
        <v>352</v>
      </c>
      <c r="I756" s="20">
        <f t="shared" si="500"/>
        <v>352</v>
      </c>
      <c r="J756" s="20">
        <f t="shared" si="500"/>
        <v>352</v>
      </c>
      <c r="K756" s="20">
        <f t="shared" si="500"/>
        <v>352</v>
      </c>
      <c r="L756" s="20">
        <f t="shared" si="500"/>
        <v>352</v>
      </c>
      <c r="M756" s="20">
        <f t="shared" si="500"/>
        <v>352</v>
      </c>
      <c r="N756" s="20">
        <f t="shared" si="500"/>
        <v>352</v>
      </c>
      <c r="O756" s="20">
        <f t="shared" si="500"/>
        <v>352</v>
      </c>
      <c r="P756" s="20">
        <f t="shared" si="500"/>
        <v>352</v>
      </c>
      <c r="Q756" s="20">
        <f t="shared" si="500"/>
        <v>352</v>
      </c>
      <c r="R756" s="20">
        <f t="shared" si="500"/>
        <v>352</v>
      </c>
      <c r="S756" s="20">
        <f t="shared" si="500"/>
        <v>352</v>
      </c>
      <c r="T756" s="20">
        <f t="shared" si="500"/>
        <v>352</v>
      </c>
      <c r="U756" s="20">
        <f t="shared" si="500"/>
        <v>352</v>
      </c>
      <c r="V756" s="20">
        <f t="shared" si="500"/>
        <v>352</v>
      </c>
      <c r="W756" s="20">
        <f>W754-W755</f>
        <v>352</v>
      </c>
    </row>
    <row r="757" spans="1:23" x14ac:dyDescent="0.3">
      <c r="B757" s="54" t="s">
        <v>66</v>
      </c>
      <c r="C757" s="56">
        <v>7.0000000000000007E-2</v>
      </c>
      <c r="D757" s="20">
        <f>D756*$C757</f>
        <v>24.64</v>
      </c>
      <c r="E757" s="20">
        <f t="shared" ref="E757:V757" si="501">E756*$C757</f>
        <v>24.64</v>
      </c>
      <c r="F757" s="20">
        <f t="shared" si="501"/>
        <v>24.64</v>
      </c>
      <c r="G757" s="20">
        <f t="shared" si="501"/>
        <v>24.64</v>
      </c>
      <c r="H757" s="20">
        <f t="shared" si="501"/>
        <v>24.64</v>
      </c>
      <c r="I757" s="20">
        <f t="shared" si="501"/>
        <v>24.64</v>
      </c>
      <c r="J757" s="20">
        <f t="shared" si="501"/>
        <v>24.64</v>
      </c>
      <c r="K757" s="20">
        <f t="shared" si="501"/>
        <v>24.64</v>
      </c>
      <c r="L757" s="20">
        <f t="shared" si="501"/>
        <v>24.64</v>
      </c>
      <c r="M757" s="20">
        <f t="shared" si="501"/>
        <v>24.64</v>
      </c>
      <c r="N757" s="20">
        <f t="shared" si="501"/>
        <v>24.64</v>
      </c>
      <c r="O757" s="20">
        <f t="shared" si="501"/>
        <v>24.64</v>
      </c>
      <c r="P757" s="20">
        <f t="shared" si="501"/>
        <v>24.64</v>
      </c>
      <c r="Q757" s="20">
        <f t="shared" si="501"/>
        <v>24.64</v>
      </c>
      <c r="R757" s="20">
        <f t="shared" si="501"/>
        <v>24.64</v>
      </c>
      <c r="S757" s="20">
        <f t="shared" si="501"/>
        <v>24.64</v>
      </c>
      <c r="T757" s="20">
        <f t="shared" si="501"/>
        <v>24.64</v>
      </c>
      <c r="U757" s="20">
        <f t="shared" si="501"/>
        <v>24.64</v>
      </c>
      <c r="V757" s="20">
        <f t="shared" si="501"/>
        <v>24.64</v>
      </c>
      <c r="W757" s="20">
        <f>W756*$C757</f>
        <v>24.64</v>
      </c>
    </row>
    <row r="758" spans="1:23" x14ac:dyDescent="0.3">
      <c r="B758" s="54" t="s">
        <v>68</v>
      </c>
      <c r="C758" s="55"/>
      <c r="D758" s="20">
        <f>D756+D757</f>
        <v>376.64</v>
      </c>
      <c r="E758" s="20">
        <f t="shared" ref="E758:V758" si="502">E756+E757</f>
        <v>376.64</v>
      </c>
      <c r="F758" s="20">
        <f t="shared" si="502"/>
        <v>376.64</v>
      </c>
      <c r="G758" s="20">
        <f t="shared" si="502"/>
        <v>376.64</v>
      </c>
      <c r="H758" s="20">
        <f t="shared" si="502"/>
        <v>376.64</v>
      </c>
      <c r="I758" s="20">
        <f t="shared" si="502"/>
        <v>376.64</v>
      </c>
      <c r="J758" s="20">
        <f t="shared" si="502"/>
        <v>376.64</v>
      </c>
      <c r="K758" s="20">
        <f t="shared" si="502"/>
        <v>376.64</v>
      </c>
      <c r="L758" s="20">
        <f t="shared" si="502"/>
        <v>376.64</v>
      </c>
      <c r="M758" s="20">
        <f t="shared" si="502"/>
        <v>376.64</v>
      </c>
      <c r="N758" s="20">
        <f t="shared" si="502"/>
        <v>376.64</v>
      </c>
      <c r="O758" s="20">
        <f t="shared" si="502"/>
        <v>376.64</v>
      </c>
      <c r="P758" s="20">
        <f t="shared" si="502"/>
        <v>376.64</v>
      </c>
      <c r="Q758" s="20">
        <f t="shared" si="502"/>
        <v>376.64</v>
      </c>
      <c r="R758" s="20">
        <f t="shared" si="502"/>
        <v>376.64</v>
      </c>
      <c r="S758" s="20">
        <f t="shared" si="502"/>
        <v>376.64</v>
      </c>
      <c r="T758" s="20">
        <f t="shared" si="502"/>
        <v>376.64</v>
      </c>
      <c r="U758" s="20">
        <f t="shared" si="502"/>
        <v>376.64</v>
      </c>
      <c r="V758" s="20">
        <f t="shared" si="502"/>
        <v>376.64</v>
      </c>
      <c r="W758" s="20">
        <f>W756+W757</f>
        <v>376.64</v>
      </c>
    </row>
    <row r="759" spans="1:23" ht="23" x14ac:dyDescent="0.35">
      <c r="B759" s="54" t="s">
        <v>52</v>
      </c>
      <c r="C759" s="55"/>
      <c r="D759" s="379"/>
      <c r="E759" s="379"/>
      <c r="F759" s="379"/>
      <c r="G759" s="379"/>
      <c r="H759" s="379"/>
      <c r="I759" s="379"/>
      <c r="J759" s="379"/>
      <c r="K759" s="379"/>
      <c r="L759" s="379"/>
      <c r="M759" s="379"/>
      <c r="N759" s="379"/>
      <c r="O759" s="379"/>
      <c r="P759" s="379"/>
      <c r="Q759" s="379"/>
      <c r="R759" s="379"/>
      <c r="S759" s="379"/>
      <c r="T759" s="379"/>
      <c r="U759" s="379"/>
      <c r="V759" s="379"/>
      <c r="W759" s="379"/>
    </row>
    <row r="760" spans="1:23" x14ac:dyDescent="0.3">
      <c r="B760" s="57" t="s">
        <v>53</v>
      </c>
      <c r="C760" s="58"/>
      <c r="D760" s="25">
        <f>SUM(D758:D759)</f>
        <v>376.64</v>
      </c>
      <c r="E760" s="26">
        <f t="shared" ref="E760:V760" si="503">SUM(E758:E759)</f>
        <v>376.64</v>
      </c>
      <c r="F760" s="26">
        <f t="shared" si="503"/>
        <v>376.64</v>
      </c>
      <c r="G760" s="26">
        <f t="shared" si="503"/>
        <v>376.64</v>
      </c>
      <c r="H760" s="26">
        <f t="shared" si="503"/>
        <v>376.64</v>
      </c>
      <c r="I760" s="26">
        <f t="shared" si="503"/>
        <v>376.64</v>
      </c>
      <c r="J760" s="26">
        <f t="shared" si="503"/>
        <v>376.64</v>
      </c>
      <c r="K760" s="26">
        <f t="shared" si="503"/>
        <v>376.64</v>
      </c>
      <c r="L760" s="26">
        <f t="shared" si="503"/>
        <v>376.64</v>
      </c>
      <c r="M760" s="26">
        <f t="shared" si="503"/>
        <v>376.64</v>
      </c>
      <c r="N760" s="26">
        <f t="shared" si="503"/>
        <v>376.64</v>
      </c>
      <c r="O760" s="26">
        <f t="shared" si="503"/>
        <v>376.64</v>
      </c>
      <c r="P760" s="26">
        <f t="shared" si="503"/>
        <v>376.64</v>
      </c>
      <c r="Q760" s="26">
        <f t="shared" si="503"/>
        <v>376.64</v>
      </c>
      <c r="R760" s="26">
        <f t="shared" si="503"/>
        <v>376.64</v>
      </c>
      <c r="S760" s="26">
        <f t="shared" si="503"/>
        <v>376.64</v>
      </c>
      <c r="T760" s="26">
        <f t="shared" si="503"/>
        <v>376.64</v>
      </c>
      <c r="U760" s="26">
        <f t="shared" si="503"/>
        <v>376.64</v>
      </c>
      <c r="V760" s="26">
        <f t="shared" si="503"/>
        <v>376.64</v>
      </c>
      <c r="W760" s="26">
        <f>SUM(W758:W759)</f>
        <v>376.64</v>
      </c>
    </row>
    <row r="761" spans="1:23" x14ac:dyDescent="0.3">
      <c r="B761" s="54" t="s">
        <v>54</v>
      </c>
      <c r="C761" s="55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</row>
    <row r="762" spans="1:23" x14ac:dyDescent="0.3">
      <c r="B762" s="59" t="s">
        <v>55</v>
      </c>
      <c r="C762" s="60"/>
      <c r="D762" s="27">
        <f>D760</f>
        <v>376.64</v>
      </c>
      <c r="E762" s="41">
        <f t="shared" ref="E762:W762" si="504">E760</f>
        <v>376.64</v>
      </c>
      <c r="F762" s="41">
        <f t="shared" si="504"/>
        <v>376.64</v>
      </c>
      <c r="G762" s="41">
        <f t="shared" si="504"/>
        <v>376.64</v>
      </c>
      <c r="H762" s="41">
        <f t="shared" si="504"/>
        <v>376.64</v>
      </c>
      <c r="I762" s="41">
        <f t="shared" si="504"/>
        <v>376.64</v>
      </c>
      <c r="J762" s="41">
        <f t="shared" si="504"/>
        <v>376.64</v>
      </c>
      <c r="K762" s="41">
        <f t="shared" si="504"/>
        <v>376.64</v>
      </c>
      <c r="L762" s="41">
        <f t="shared" si="504"/>
        <v>376.64</v>
      </c>
      <c r="M762" s="41">
        <f t="shared" si="504"/>
        <v>376.64</v>
      </c>
      <c r="N762" s="41">
        <f t="shared" si="504"/>
        <v>376.64</v>
      </c>
      <c r="O762" s="41">
        <f t="shared" si="504"/>
        <v>376.64</v>
      </c>
      <c r="P762" s="41">
        <f t="shared" si="504"/>
        <v>376.64</v>
      </c>
      <c r="Q762" s="41">
        <f t="shared" si="504"/>
        <v>376.64</v>
      </c>
      <c r="R762" s="41">
        <f t="shared" si="504"/>
        <v>376.64</v>
      </c>
      <c r="S762" s="41">
        <f t="shared" si="504"/>
        <v>376.64</v>
      </c>
      <c r="T762" s="41">
        <f t="shared" si="504"/>
        <v>376.64</v>
      </c>
      <c r="U762" s="41">
        <f t="shared" si="504"/>
        <v>376.64</v>
      </c>
      <c r="V762" s="41">
        <f t="shared" si="504"/>
        <v>376.64</v>
      </c>
      <c r="W762" s="41">
        <f t="shared" si="504"/>
        <v>376.64</v>
      </c>
    </row>
    <row r="763" spans="1:23" x14ac:dyDescent="0.3">
      <c r="B763" s="171" t="s">
        <v>194</v>
      </c>
      <c r="C763" s="55"/>
      <c r="D763" s="20">
        <v>156</v>
      </c>
      <c r="E763" s="21">
        <v>162</v>
      </c>
      <c r="F763" s="21">
        <v>162</v>
      </c>
      <c r="G763" s="21">
        <v>162</v>
      </c>
      <c r="H763" s="21">
        <v>162</v>
      </c>
      <c r="I763" s="21">
        <v>162</v>
      </c>
      <c r="J763" s="21">
        <v>162</v>
      </c>
      <c r="K763" s="21">
        <v>162</v>
      </c>
      <c r="L763" s="21">
        <v>162</v>
      </c>
      <c r="M763" s="21">
        <v>162</v>
      </c>
      <c r="N763" s="21">
        <v>156</v>
      </c>
      <c r="O763" s="21">
        <v>156</v>
      </c>
      <c r="P763" s="21">
        <v>156</v>
      </c>
      <c r="Q763" s="21">
        <v>156</v>
      </c>
      <c r="R763" s="21">
        <v>162</v>
      </c>
      <c r="S763" s="21">
        <v>162</v>
      </c>
      <c r="T763" s="21">
        <v>169</v>
      </c>
      <c r="U763" s="21">
        <v>169</v>
      </c>
      <c r="V763" s="21">
        <v>168</v>
      </c>
      <c r="W763" s="21">
        <v>162</v>
      </c>
    </row>
    <row r="764" spans="1:23" s="51" customFormat="1" x14ac:dyDescent="0.3">
      <c r="A764" s="407"/>
      <c r="B764" s="61" t="s">
        <v>195</v>
      </c>
      <c r="C764" s="62"/>
      <c r="D764" s="28">
        <v>157</v>
      </c>
      <c r="E764" s="29">
        <v>163</v>
      </c>
      <c r="F764" s="29">
        <v>163</v>
      </c>
      <c r="G764" s="29">
        <v>163</v>
      </c>
      <c r="H764" s="29">
        <v>163</v>
      </c>
      <c r="I764" s="29">
        <v>163</v>
      </c>
      <c r="J764" s="29">
        <v>163</v>
      </c>
      <c r="K764" s="29">
        <v>163</v>
      </c>
      <c r="L764" s="29">
        <v>163</v>
      </c>
      <c r="M764" s="29">
        <v>163</v>
      </c>
      <c r="N764" s="29">
        <v>157</v>
      </c>
      <c r="O764" s="29">
        <v>157</v>
      </c>
      <c r="P764" s="29">
        <v>157</v>
      </c>
      <c r="Q764" s="29">
        <v>157</v>
      </c>
      <c r="R764" s="29">
        <v>163</v>
      </c>
      <c r="S764" s="29">
        <v>163</v>
      </c>
      <c r="T764" s="29">
        <v>170</v>
      </c>
      <c r="U764" s="29">
        <v>170</v>
      </c>
      <c r="V764" s="29">
        <v>169</v>
      </c>
      <c r="W764" s="29">
        <v>163</v>
      </c>
    </row>
    <row r="765" spans="1:23" s="51" customFormat="1" x14ac:dyDescent="0.3">
      <c r="A765" s="407"/>
      <c r="B765" s="61" t="s">
        <v>196</v>
      </c>
      <c r="C765" s="62"/>
      <c r="D765" s="28">
        <v>158</v>
      </c>
      <c r="E765" s="29">
        <v>164</v>
      </c>
      <c r="F765" s="29">
        <v>164</v>
      </c>
      <c r="G765" s="29">
        <v>164</v>
      </c>
      <c r="H765" s="29">
        <v>164</v>
      </c>
      <c r="I765" s="29">
        <v>164</v>
      </c>
      <c r="J765" s="29">
        <v>164</v>
      </c>
      <c r="K765" s="29">
        <v>164</v>
      </c>
      <c r="L765" s="29">
        <v>164</v>
      </c>
      <c r="M765" s="29">
        <v>164</v>
      </c>
      <c r="N765" s="29">
        <v>158</v>
      </c>
      <c r="O765" s="29">
        <v>158</v>
      </c>
      <c r="P765" s="29">
        <v>158</v>
      </c>
      <c r="Q765" s="29">
        <v>158</v>
      </c>
      <c r="R765" s="29">
        <v>164</v>
      </c>
      <c r="S765" s="29">
        <v>164</v>
      </c>
      <c r="T765" s="29">
        <v>171</v>
      </c>
      <c r="U765" s="29">
        <v>171</v>
      </c>
      <c r="V765" s="29">
        <v>170</v>
      </c>
      <c r="W765" s="29">
        <v>164</v>
      </c>
    </row>
    <row r="766" spans="1:23" s="51" customFormat="1" x14ac:dyDescent="0.3">
      <c r="A766" s="407"/>
      <c r="B766" s="61" t="s">
        <v>197</v>
      </c>
      <c r="C766" s="62"/>
      <c r="D766" s="28">
        <v>159</v>
      </c>
      <c r="E766" s="29">
        <v>165</v>
      </c>
      <c r="F766" s="29">
        <v>165</v>
      </c>
      <c r="G766" s="29">
        <v>165</v>
      </c>
      <c r="H766" s="29">
        <v>165</v>
      </c>
      <c r="I766" s="29">
        <v>165</v>
      </c>
      <c r="J766" s="29">
        <v>165</v>
      </c>
      <c r="K766" s="29">
        <v>165</v>
      </c>
      <c r="L766" s="29">
        <v>165</v>
      </c>
      <c r="M766" s="29">
        <v>165</v>
      </c>
      <c r="N766" s="29">
        <v>159</v>
      </c>
      <c r="O766" s="29">
        <v>159</v>
      </c>
      <c r="P766" s="29">
        <v>159</v>
      </c>
      <c r="Q766" s="29">
        <v>159</v>
      </c>
      <c r="R766" s="29">
        <v>165</v>
      </c>
      <c r="S766" s="29">
        <v>165</v>
      </c>
      <c r="T766" s="29">
        <v>172</v>
      </c>
      <c r="U766" s="29">
        <v>172</v>
      </c>
      <c r="V766" s="29">
        <v>171</v>
      </c>
      <c r="W766" s="29">
        <v>165</v>
      </c>
    </row>
    <row r="767" spans="1:23" s="30" customFormat="1" x14ac:dyDescent="0.3">
      <c r="A767" s="404"/>
      <c r="B767" s="63" t="s">
        <v>198</v>
      </c>
      <c r="C767" s="62"/>
      <c r="D767" s="31">
        <f>+D763-D$762</f>
        <v>-220.64</v>
      </c>
      <c r="E767" s="31">
        <f t="shared" ref="E767:W767" si="505">+E763-E$762</f>
        <v>-214.64</v>
      </c>
      <c r="F767" s="31">
        <f t="shared" si="505"/>
        <v>-214.64</v>
      </c>
      <c r="G767" s="31">
        <f t="shared" si="505"/>
        <v>-214.64</v>
      </c>
      <c r="H767" s="31">
        <f t="shared" si="505"/>
        <v>-214.64</v>
      </c>
      <c r="I767" s="31">
        <f t="shared" si="505"/>
        <v>-214.64</v>
      </c>
      <c r="J767" s="31">
        <f t="shared" si="505"/>
        <v>-214.64</v>
      </c>
      <c r="K767" s="31">
        <f t="shared" si="505"/>
        <v>-214.64</v>
      </c>
      <c r="L767" s="31">
        <f t="shared" si="505"/>
        <v>-214.64</v>
      </c>
      <c r="M767" s="31">
        <f t="shared" si="505"/>
        <v>-214.64</v>
      </c>
      <c r="N767" s="31">
        <f t="shared" si="505"/>
        <v>-220.64</v>
      </c>
      <c r="O767" s="31">
        <f t="shared" si="505"/>
        <v>-220.64</v>
      </c>
      <c r="P767" s="31">
        <f t="shared" si="505"/>
        <v>-220.64</v>
      </c>
      <c r="Q767" s="31">
        <f t="shared" si="505"/>
        <v>-220.64</v>
      </c>
      <c r="R767" s="31">
        <f t="shared" si="505"/>
        <v>-214.64</v>
      </c>
      <c r="S767" s="31">
        <f t="shared" si="505"/>
        <v>-214.64</v>
      </c>
      <c r="T767" s="31">
        <f t="shared" si="505"/>
        <v>-207.64</v>
      </c>
      <c r="U767" s="31">
        <f t="shared" si="505"/>
        <v>-207.64</v>
      </c>
      <c r="V767" s="31">
        <f t="shared" si="505"/>
        <v>-208.64</v>
      </c>
      <c r="W767" s="31">
        <f t="shared" si="505"/>
        <v>-214.64</v>
      </c>
    </row>
    <row r="768" spans="1:23" s="33" customFormat="1" x14ac:dyDescent="0.3">
      <c r="A768" s="405"/>
      <c r="B768" s="63" t="s">
        <v>199</v>
      </c>
      <c r="C768" s="64"/>
      <c r="D768" s="31">
        <f>+D764-D$762</f>
        <v>-219.64</v>
      </c>
      <c r="E768" s="32">
        <f t="shared" ref="E768:W768" si="506">+E764-E$762</f>
        <v>-213.64</v>
      </c>
      <c r="F768" s="32">
        <f t="shared" si="506"/>
        <v>-213.64</v>
      </c>
      <c r="G768" s="32">
        <f t="shared" si="506"/>
        <v>-213.64</v>
      </c>
      <c r="H768" s="32">
        <f t="shared" si="506"/>
        <v>-213.64</v>
      </c>
      <c r="I768" s="32">
        <f t="shared" si="506"/>
        <v>-213.64</v>
      </c>
      <c r="J768" s="32">
        <f t="shared" si="506"/>
        <v>-213.64</v>
      </c>
      <c r="K768" s="32">
        <f t="shared" si="506"/>
        <v>-213.64</v>
      </c>
      <c r="L768" s="32">
        <f t="shared" si="506"/>
        <v>-213.64</v>
      </c>
      <c r="M768" s="32">
        <f t="shared" si="506"/>
        <v>-213.64</v>
      </c>
      <c r="N768" s="32">
        <f t="shared" si="506"/>
        <v>-219.64</v>
      </c>
      <c r="O768" s="32">
        <f t="shared" si="506"/>
        <v>-219.64</v>
      </c>
      <c r="P768" s="32">
        <f t="shared" si="506"/>
        <v>-219.64</v>
      </c>
      <c r="Q768" s="32">
        <f t="shared" si="506"/>
        <v>-219.64</v>
      </c>
      <c r="R768" s="32">
        <f t="shared" si="506"/>
        <v>-213.64</v>
      </c>
      <c r="S768" s="32">
        <f t="shared" si="506"/>
        <v>-213.64</v>
      </c>
      <c r="T768" s="32">
        <f t="shared" si="506"/>
        <v>-206.64</v>
      </c>
      <c r="U768" s="32">
        <f t="shared" si="506"/>
        <v>-206.64</v>
      </c>
      <c r="V768" s="32">
        <f t="shared" si="506"/>
        <v>-207.64</v>
      </c>
      <c r="W768" s="32">
        <f t="shared" si="506"/>
        <v>-213.64</v>
      </c>
    </row>
    <row r="769" spans="1:23" s="33" customFormat="1" x14ac:dyDescent="0.3">
      <c r="A769" s="405"/>
      <c r="B769" s="63" t="s">
        <v>200</v>
      </c>
      <c r="C769" s="64"/>
      <c r="D769" s="31">
        <f>+D765-D$762</f>
        <v>-218.64</v>
      </c>
      <c r="E769" s="32">
        <f t="shared" ref="E769:W769" si="507">+E765-E$762</f>
        <v>-212.64</v>
      </c>
      <c r="F769" s="32">
        <f t="shared" si="507"/>
        <v>-212.64</v>
      </c>
      <c r="G769" s="32">
        <f t="shared" si="507"/>
        <v>-212.64</v>
      </c>
      <c r="H769" s="32">
        <f t="shared" si="507"/>
        <v>-212.64</v>
      </c>
      <c r="I769" s="32">
        <f t="shared" si="507"/>
        <v>-212.64</v>
      </c>
      <c r="J769" s="32">
        <f t="shared" si="507"/>
        <v>-212.64</v>
      </c>
      <c r="K769" s="32">
        <f t="shared" si="507"/>
        <v>-212.64</v>
      </c>
      <c r="L769" s="32">
        <f t="shared" si="507"/>
        <v>-212.64</v>
      </c>
      <c r="M769" s="32">
        <f t="shared" si="507"/>
        <v>-212.64</v>
      </c>
      <c r="N769" s="32">
        <f t="shared" si="507"/>
        <v>-218.64</v>
      </c>
      <c r="O769" s="32">
        <f t="shared" si="507"/>
        <v>-218.64</v>
      </c>
      <c r="P769" s="32">
        <f t="shared" si="507"/>
        <v>-218.64</v>
      </c>
      <c r="Q769" s="32">
        <f t="shared" si="507"/>
        <v>-218.64</v>
      </c>
      <c r="R769" s="32">
        <f t="shared" si="507"/>
        <v>-212.64</v>
      </c>
      <c r="S769" s="32">
        <f t="shared" si="507"/>
        <v>-212.64</v>
      </c>
      <c r="T769" s="32">
        <f t="shared" si="507"/>
        <v>-205.64</v>
      </c>
      <c r="U769" s="32">
        <f t="shared" si="507"/>
        <v>-205.64</v>
      </c>
      <c r="V769" s="32">
        <f t="shared" si="507"/>
        <v>-206.64</v>
      </c>
      <c r="W769" s="32">
        <f t="shared" si="507"/>
        <v>-212.64</v>
      </c>
    </row>
    <row r="770" spans="1:23" s="33" customFormat="1" x14ac:dyDescent="0.3">
      <c r="A770" s="405"/>
      <c r="B770" s="63" t="s">
        <v>201</v>
      </c>
      <c r="C770" s="64"/>
      <c r="D770" s="31">
        <f>+D766-D$762</f>
        <v>-217.64</v>
      </c>
      <c r="E770" s="32">
        <f t="shared" ref="E770:W770" si="508">+E766-E$762</f>
        <v>-211.64</v>
      </c>
      <c r="F770" s="32">
        <f t="shared" si="508"/>
        <v>-211.64</v>
      </c>
      <c r="G770" s="32">
        <f t="shared" si="508"/>
        <v>-211.64</v>
      </c>
      <c r="H770" s="32">
        <f t="shared" si="508"/>
        <v>-211.64</v>
      </c>
      <c r="I770" s="32">
        <f t="shared" si="508"/>
        <v>-211.64</v>
      </c>
      <c r="J770" s="32">
        <f t="shared" si="508"/>
        <v>-211.64</v>
      </c>
      <c r="K770" s="32">
        <f t="shared" si="508"/>
        <v>-211.64</v>
      </c>
      <c r="L770" s="32">
        <f t="shared" si="508"/>
        <v>-211.64</v>
      </c>
      <c r="M770" s="32">
        <f t="shared" si="508"/>
        <v>-211.64</v>
      </c>
      <c r="N770" s="32">
        <f t="shared" si="508"/>
        <v>-217.64</v>
      </c>
      <c r="O770" s="32">
        <f t="shared" si="508"/>
        <v>-217.64</v>
      </c>
      <c r="P770" s="32">
        <f t="shared" si="508"/>
        <v>-217.64</v>
      </c>
      <c r="Q770" s="32">
        <f t="shared" si="508"/>
        <v>-217.64</v>
      </c>
      <c r="R770" s="32">
        <f t="shared" si="508"/>
        <v>-211.64</v>
      </c>
      <c r="S770" s="32">
        <f t="shared" si="508"/>
        <v>-211.64</v>
      </c>
      <c r="T770" s="32">
        <f t="shared" si="508"/>
        <v>-204.64</v>
      </c>
      <c r="U770" s="32">
        <f t="shared" si="508"/>
        <v>-204.64</v>
      </c>
      <c r="V770" s="32">
        <f t="shared" si="508"/>
        <v>-205.64</v>
      </c>
      <c r="W770" s="32">
        <f t="shared" si="508"/>
        <v>-211.64</v>
      </c>
    </row>
    <row r="771" spans="1:23" x14ac:dyDescent="0.3">
      <c r="B771" s="97" t="s">
        <v>202</v>
      </c>
      <c r="C771" s="98"/>
      <c r="D771" s="99">
        <f>+D767/D763</f>
        <v>-1.4143589743589742</v>
      </c>
      <c r="E771" s="99">
        <f t="shared" ref="E771:W771" si="509">+E767/E763</f>
        <v>-1.3249382716049383</v>
      </c>
      <c r="F771" s="99">
        <f t="shared" si="509"/>
        <v>-1.3249382716049383</v>
      </c>
      <c r="G771" s="99">
        <f t="shared" si="509"/>
        <v>-1.3249382716049383</v>
      </c>
      <c r="H771" s="99">
        <f t="shared" si="509"/>
        <v>-1.3249382716049383</v>
      </c>
      <c r="I771" s="99">
        <f t="shared" si="509"/>
        <v>-1.3249382716049383</v>
      </c>
      <c r="J771" s="99">
        <f t="shared" si="509"/>
        <v>-1.3249382716049383</v>
      </c>
      <c r="K771" s="99">
        <f t="shared" si="509"/>
        <v>-1.3249382716049383</v>
      </c>
      <c r="L771" s="99">
        <f t="shared" si="509"/>
        <v>-1.3249382716049383</v>
      </c>
      <c r="M771" s="99">
        <f t="shared" si="509"/>
        <v>-1.3249382716049383</v>
      </c>
      <c r="N771" s="99">
        <f t="shared" si="509"/>
        <v>-1.4143589743589742</v>
      </c>
      <c r="O771" s="99">
        <f t="shared" si="509"/>
        <v>-1.4143589743589742</v>
      </c>
      <c r="P771" s="99">
        <f t="shared" si="509"/>
        <v>-1.4143589743589742</v>
      </c>
      <c r="Q771" s="99">
        <f t="shared" si="509"/>
        <v>-1.4143589743589742</v>
      </c>
      <c r="R771" s="99">
        <f t="shared" si="509"/>
        <v>-1.3249382716049383</v>
      </c>
      <c r="S771" s="99">
        <f t="shared" si="509"/>
        <v>-1.3249382716049383</v>
      </c>
      <c r="T771" s="99">
        <f t="shared" si="509"/>
        <v>-1.2286390532544378</v>
      </c>
      <c r="U771" s="99">
        <f t="shared" si="509"/>
        <v>-1.2286390532544378</v>
      </c>
      <c r="V771" s="99">
        <f t="shared" si="509"/>
        <v>-1.2419047619047618</v>
      </c>
      <c r="W771" s="99">
        <f t="shared" si="509"/>
        <v>-1.3249382716049383</v>
      </c>
    </row>
    <row r="772" spans="1:23" s="36" customFormat="1" x14ac:dyDescent="0.3">
      <c r="A772" s="406"/>
      <c r="B772" s="97" t="s">
        <v>203</v>
      </c>
      <c r="C772" s="98"/>
      <c r="D772" s="99">
        <f>+D768/D764</f>
        <v>-1.398980891719745</v>
      </c>
      <c r="E772" s="99">
        <f t="shared" ref="E772:W772" si="510">+E768/E764</f>
        <v>-1.3106748466257667</v>
      </c>
      <c r="F772" s="99">
        <f t="shared" si="510"/>
        <v>-1.3106748466257667</v>
      </c>
      <c r="G772" s="99">
        <f t="shared" si="510"/>
        <v>-1.3106748466257667</v>
      </c>
      <c r="H772" s="99">
        <f t="shared" si="510"/>
        <v>-1.3106748466257667</v>
      </c>
      <c r="I772" s="99">
        <f t="shared" si="510"/>
        <v>-1.3106748466257667</v>
      </c>
      <c r="J772" s="99">
        <f t="shared" si="510"/>
        <v>-1.3106748466257667</v>
      </c>
      <c r="K772" s="99">
        <f t="shared" si="510"/>
        <v>-1.3106748466257667</v>
      </c>
      <c r="L772" s="99">
        <f t="shared" si="510"/>
        <v>-1.3106748466257667</v>
      </c>
      <c r="M772" s="99">
        <f t="shared" si="510"/>
        <v>-1.3106748466257667</v>
      </c>
      <c r="N772" s="99">
        <f t="shared" si="510"/>
        <v>-1.398980891719745</v>
      </c>
      <c r="O772" s="99">
        <f t="shared" si="510"/>
        <v>-1.398980891719745</v>
      </c>
      <c r="P772" s="99">
        <f t="shared" si="510"/>
        <v>-1.398980891719745</v>
      </c>
      <c r="Q772" s="99">
        <f t="shared" si="510"/>
        <v>-1.398980891719745</v>
      </c>
      <c r="R772" s="99">
        <f t="shared" si="510"/>
        <v>-1.3106748466257667</v>
      </c>
      <c r="S772" s="99">
        <f t="shared" si="510"/>
        <v>-1.3106748466257667</v>
      </c>
      <c r="T772" s="99">
        <f t="shared" si="510"/>
        <v>-1.2155294117647057</v>
      </c>
      <c r="U772" s="99">
        <f t="shared" si="510"/>
        <v>-1.2155294117647057</v>
      </c>
      <c r="V772" s="99">
        <f t="shared" si="510"/>
        <v>-1.2286390532544378</v>
      </c>
      <c r="W772" s="99">
        <f t="shared" si="510"/>
        <v>-1.3106748466257667</v>
      </c>
    </row>
    <row r="773" spans="1:23" s="36" customFormat="1" x14ac:dyDescent="0.3">
      <c r="A773" s="406"/>
      <c r="B773" s="97" t="s">
        <v>204</v>
      </c>
      <c r="C773" s="98"/>
      <c r="D773" s="99">
        <f>+D769/D765</f>
        <v>-1.3837974683544303</v>
      </c>
      <c r="E773" s="99">
        <f t="shared" ref="E773:W773" si="511">+E769/E765</f>
        <v>-1.2965853658536584</v>
      </c>
      <c r="F773" s="99">
        <f t="shared" si="511"/>
        <v>-1.2965853658536584</v>
      </c>
      <c r="G773" s="99">
        <f t="shared" si="511"/>
        <v>-1.2965853658536584</v>
      </c>
      <c r="H773" s="99">
        <f t="shared" si="511"/>
        <v>-1.2965853658536584</v>
      </c>
      <c r="I773" s="99">
        <f t="shared" si="511"/>
        <v>-1.2965853658536584</v>
      </c>
      <c r="J773" s="99">
        <f t="shared" si="511"/>
        <v>-1.2965853658536584</v>
      </c>
      <c r="K773" s="99">
        <f t="shared" si="511"/>
        <v>-1.2965853658536584</v>
      </c>
      <c r="L773" s="99">
        <f t="shared" si="511"/>
        <v>-1.2965853658536584</v>
      </c>
      <c r="M773" s="99">
        <f t="shared" si="511"/>
        <v>-1.2965853658536584</v>
      </c>
      <c r="N773" s="99">
        <f t="shared" si="511"/>
        <v>-1.3837974683544303</v>
      </c>
      <c r="O773" s="99">
        <f t="shared" si="511"/>
        <v>-1.3837974683544303</v>
      </c>
      <c r="P773" s="99">
        <f t="shared" si="511"/>
        <v>-1.3837974683544303</v>
      </c>
      <c r="Q773" s="99">
        <f t="shared" si="511"/>
        <v>-1.3837974683544303</v>
      </c>
      <c r="R773" s="99">
        <f t="shared" si="511"/>
        <v>-1.2965853658536584</v>
      </c>
      <c r="S773" s="99">
        <f t="shared" si="511"/>
        <v>-1.2965853658536584</v>
      </c>
      <c r="T773" s="99">
        <f t="shared" si="511"/>
        <v>-1.2025730994152046</v>
      </c>
      <c r="U773" s="99">
        <f t="shared" si="511"/>
        <v>-1.2025730994152046</v>
      </c>
      <c r="V773" s="99">
        <f t="shared" si="511"/>
        <v>-1.2155294117647057</v>
      </c>
      <c r="W773" s="99">
        <f t="shared" si="511"/>
        <v>-1.2965853658536584</v>
      </c>
    </row>
    <row r="774" spans="1:23" s="36" customFormat="1" x14ac:dyDescent="0.3">
      <c r="A774" s="406"/>
      <c r="B774" s="97" t="s">
        <v>205</v>
      </c>
      <c r="C774" s="98"/>
      <c r="D774" s="99">
        <f>+D770/D766</f>
        <v>-1.3688050314465408</v>
      </c>
      <c r="E774" s="99">
        <f t="shared" ref="E774:W774" si="512">+E770/E766</f>
        <v>-1.2826666666666666</v>
      </c>
      <c r="F774" s="99">
        <f t="shared" si="512"/>
        <v>-1.2826666666666666</v>
      </c>
      <c r="G774" s="99">
        <f t="shared" si="512"/>
        <v>-1.2826666666666666</v>
      </c>
      <c r="H774" s="99">
        <f t="shared" si="512"/>
        <v>-1.2826666666666666</v>
      </c>
      <c r="I774" s="99">
        <f t="shared" si="512"/>
        <v>-1.2826666666666666</v>
      </c>
      <c r="J774" s="99">
        <f t="shared" si="512"/>
        <v>-1.2826666666666666</v>
      </c>
      <c r="K774" s="99">
        <f t="shared" si="512"/>
        <v>-1.2826666666666666</v>
      </c>
      <c r="L774" s="99">
        <f t="shared" si="512"/>
        <v>-1.2826666666666666</v>
      </c>
      <c r="M774" s="99">
        <f t="shared" si="512"/>
        <v>-1.2826666666666666</v>
      </c>
      <c r="N774" s="99">
        <f t="shared" si="512"/>
        <v>-1.3688050314465408</v>
      </c>
      <c r="O774" s="99">
        <f t="shared" si="512"/>
        <v>-1.3688050314465408</v>
      </c>
      <c r="P774" s="99">
        <f t="shared" si="512"/>
        <v>-1.3688050314465408</v>
      </c>
      <c r="Q774" s="99">
        <f t="shared" si="512"/>
        <v>-1.3688050314465408</v>
      </c>
      <c r="R774" s="99">
        <f t="shared" si="512"/>
        <v>-1.2826666666666666</v>
      </c>
      <c r="S774" s="99">
        <f t="shared" si="512"/>
        <v>-1.2826666666666666</v>
      </c>
      <c r="T774" s="99">
        <f t="shared" si="512"/>
        <v>-1.1897674418604651</v>
      </c>
      <c r="U774" s="99">
        <f t="shared" si="512"/>
        <v>-1.1897674418604651</v>
      </c>
      <c r="V774" s="99">
        <f t="shared" si="512"/>
        <v>-1.2025730994152046</v>
      </c>
      <c r="W774" s="99">
        <f t="shared" si="512"/>
        <v>-1.2826666666666666</v>
      </c>
    </row>
    <row r="775" spans="1:23" ht="21" thickBot="1" x14ac:dyDescent="0.35"/>
    <row r="776" spans="1:23" s="19" customFormat="1" ht="21" thickBot="1" x14ac:dyDescent="0.35">
      <c r="A776" s="19" t="s">
        <v>303</v>
      </c>
      <c r="B776" s="67" t="s">
        <v>116</v>
      </c>
      <c r="C776" s="68"/>
      <c r="D776" s="17" t="s">
        <v>5</v>
      </c>
      <c r="E776" s="18" t="s">
        <v>6</v>
      </c>
      <c r="F776" s="18" t="s">
        <v>7</v>
      </c>
      <c r="G776" s="18" t="s">
        <v>8</v>
      </c>
      <c r="H776" s="18" t="s">
        <v>9</v>
      </c>
      <c r="I776" s="18" t="s">
        <v>10</v>
      </c>
      <c r="J776" s="18" t="s">
        <v>11</v>
      </c>
      <c r="K776" s="18" t="s">
        <v>12</v>
      </c>
      <c r="L776" s="18" t="s">
        <v>13</v>
      </c>
      <c r="M776" s="18" t="s">
        <v>14</v>
      </c>
      <c r="N776" s="18" t="s">
        <v>15</v>
      </c>
      <c r="O776" s="18" t="s">
        <v>16</v>
      </c>
      <c r="P776" s="18" t="s">
        <v>17</v>
      </c>
      <c r="Q776" s="18" t="s">
        <v>18</v>
      </c>
      <c r="R776" s="18" t="s">
        <v>19</v>
      </c>
      <c r="S776" s="18" t="s">
        <v>20</v>
      </c>
      <c r="T776" s="18" t="s">
        <v>21</v>
      </c>
      <c r="U776" s="18" t="s">
        <v>22</v>
      </c>
      <c r="V776" s="18" t="s">
        <v>23</v>
      </c>
      <c r="W776" s="18" t="s">
        <v>166</v>
      </c>
    </row>
    <row r="777" spans="1:23" x14ac:dyDescent="0.3">
      <c r="B777" s="54" t="s">
        <v>50</v>
      </c>
      <c r="C777" s="55"/>
      <c r="D777" s="20">
        <v>400</v>
      </c>
      <c r="E777" s="21">
        <v>400</v>
      </c>
      <c r="F777" s="21">
        <v>400</v>
      </c>
      <c r="G777" s="21">
        <v>400</v>
      </c>
      <c r="H777" s="21">
        <v>400</v>
      </c>
      <c r="I777" s="21">
        <v>400</v>
      </c>
      <c r="J777" s="21">
        <v>400</v>
      </c>
      <c r="K777" s="21">
        <v>400</v>
      </c>
      <c r="L777" s="21">
        <v>400</v>
      </c>
      <c r="M777" s="21">
        <v>400</v>
      </c>
      <c r="N777" s="21">
        <v>400</v>
      </c>
      <c r="O777" s="21">
        <v>400</v>
      </c>
      <c r="P777" s="21">
        <v>400</v>
      </c>
      <c r="Q777" s="21">
        <v>400</v>
      </c>
      <c r="R777" s="21">
        <v>400</v>
      </c>
      <c r="S777" s="21">
        <v>400</v>
      </c>
      <c r="T777" s="21">
        <v>400</v>
      </c>
      <c r="U777" s="21">
        <v>400</v>
      </c>
      <c r="V777" s="21">
        <v>400</v>
      </c>
      <c r="W777" s="21">
        <v>400</v>
      </c>
    </row>
    <row r="778" spans="1:23" x14ac:dyDescent="0.3">
      <c r="B778" s="54" t="s">
        <v>51</v>
      </c>
      <c r="C778" s="55"/>
      <c r="D778" s="384"/>
      <c r="E778" s="384"/>
      <c r="F778" s="384"/>
      <c r="G778" s="384"/>
      <c r="H778" s="384"/>
      <c r="I778" s="385"/>
      <c r="J778" s="385"/>
      <c r="K778" s="385"/>
      <c r="L778" s="385"/>
      <c r="M778" s="385"/>
      <c r="N778" s="384"/>
      <c r="O778" s="384"/>
      <c r="P778" s="384"/>
      <c r="Q778" s="384"/>
      <c r="R778" s="385"/>
      <c r="S778" s="385"/>
      <c r="T778" s="385"/>
      <c r="U778" s="385"/>
      <c r="V778" s="385"/>
      <c r="W778" s="385"/>
    </row>
    <row r="779" spans="1:23" x14ac:dyDescent="0.3">
      <c r="B779" s="54"/>
      <c r="C779" s="55"/>
      <c r="D779" s="20">
        <f t="shared" ref="D779:V779" si="513">D777*(1-D778)</f>
        <v>400</v>
      </c>
      <c r="E779" s="20">
        <f t="shared" si="513"/>
        <v>400</v>
      </c>
      <c r="F779" s="20">
        <f t="shared" si="513"/>
        <v>400</v>
      </c>
      <c r="G779" s="20">
        <f t="shared" si="513"/>
        <v>400</v>
      </c>
      <c r="H779" s="20">
        <f t="shared" si="513"/>
        <v>400</v>
      </c>
      <c r="I779" s="20">
        <f t="shared" si="513"/>
        <v>400</v>
      </c>
      <c r="J779" s="20">
        <f t="shared" si="513"/>
        <v>400</v>
      </c>
      <c r="K779" s="20">
        <f t="shared" si="513"/>
        <v>400</v>
      </c>
      <c r="L779" s="20">
        <f t="shared" si="513"/>
        <v>400</v>
      </c>
      <c r="M779" s="20">
        <f t="shared" si="513"/>
        <v>400</v>
      </c>
      <c r="N779" s="20">
        <f t="shared" si="513"/>
        <v>400</v>
      </c>
      <c r="O779" s="20">
        <f t="shared" si="513"/>
        <v>400</v>
      </c>
      <c r="P779" s="20">
        <f t="shared" si="513"/>
        <v>400</v>
      </c>
      <c r="Q779" s="20">
        <f t="shared" si="513"/>
        <v>400</v>
      </c>
      <c r="R779" s="20">
        <f t="shared" si="513"/>
        <v>400</v>
      </c>
      <c r="S779" s="20">
        <f t="shared" si="513"/>
        <v>400</v>
      </c>
      <c r="T779" s="20">
        <f t="shared" si="513"/>
        <v>400</v>
      </c>
      <c r="U779" s="20">
        <f t="shared" si="513"/>
        <v>400</v>
      </c>
      <c r="V779" s="20">
        <f t="shared" si="513"/>
        <v>400</v>
      </c>
      <c r="W779" s="20">
        <f>W777*(1-W778)</f>
        <v>400</v>
      </c>
    </row>
    <row r="780" spans="1:23" x14ac:dyDescent="0.3">
      <c r="B780" s="54" t="s">
        <v>51</v>
      </c>
      <c r="C780" s="56">
        <v>0</v>
      </c>
      <c r="D780" s="20">
        <f>D779*$C780</f>
        <v>0</v>
      </c>
      <c r="E780" s="20">
        <f t="shared" ref="E780:V780" si="514">E779*$C780</f>
        <v>0</v>
      </c>
      <c r="F780" s="20">
        <f t="shared" si="514"/>
        <v>0</v>
      </c>
      <c r="G780" s="20">
        <f t="shared" si="514"/>
        <v>0</v>
      </c>
      <c r="H780" s="20">
        <f t="shared" si="514"/>
        <v>0</v>
      </c>
      <c r="I780" s="20">
        <f t="shared" si="514"/>
        <v>0</v>
      </c>
      <c r="J780" s="20">
        <f t="shared" si="514"/>
        <v>0</v>
      </c>
      <c r="K780" s="20">
        <f t="shared" si="514"/>
        <v>0</v>
      </c>
      <c r="L780" s="20">
        <f t="shared" si="514"/>
        <v>0</v>
      </c>
      <c r="M780" s="20">
        <f t="shared" si="514"/>
        <v>0</v>
      </c>
      <c r="N780" s="20">
        <f t="shared" si="514"/>
        <v>0</v>
      </c>
      <c r="O780" s="20">
        <f t="shared" si="514"/>
        <v>0</v>
      </c>
      <c r="P780" s="20">
        <f t="shared" si="514"/>
        <v>0</v>
      </c>
      <c r="Q780" s="20">
        <f t="shared" si="514"/>
        <v>0</v>
      </c>
      <c r="R780" s="20">
        <f t="shared" si="514"/>
        <v>0</v>
      </c>
      <c r="S780" s="20">
        <f t="shared" si="514"/>
        <v>0</v>
      </c>
      <c r="T780" s="20">
        <f t="shared" si="514"/>
        <v>0</v>
      </c>
      <c r="U780" s="20">
        <f t="shared" si="514"/>
        <v>0</v>
      </c>
      <c r="V780" s="20">
        <f t="shared" si="514"/>
        <v>0</v>
      </c>
      <c r="W780" s="20">
        <f>W779*$C780</f>
        <v>0</v>
      </c>
    </row>
    <row r="781" spans="1:23" x14ac:dyDescent="0.3">
      <c r="B781" s="54" t="s">
        <v>67</v>
      </c>
      <c r="C781" s="55"/>
      <c r="D781" s="20">
        <f>D779-D780</f>
        <v>400</v>
      </c>
      <c r="E781" s="20">
        <f t="shared" ref="E781:V781" si="515">E779-E780</f>
        <v>400</v>
      </c>
      <c r="F781" s="20">
        <f t="shared" si="515"/>
        <v>400</v>
      </c>
      <c r="G781" s="20">
        <f t="shared" si="515"/>
        <v>400</v>
      </c>
      <c r="H781" s="20">
        <f t="shared" si="515"/>
        <v>400</v>
      </c>
      <c r="I781" s="20">
        <f t="shared" si="515"/>
        <v>400</v>
      </c>
      <c r="J781" s="20">
        <f t="shared" si="515"/>
        <v>400</v>
      </c>
      <c r="K781" s="20">
        <f t="shared" si="515"/>
        <v>400</v>
      </c>
      <c r="L781" s="20">
        <f t="shared" si="515"/>
        <v>400</v>
      </c>
      <c r="M781" s="20">
        <f t="shared" si="515"/>
        <v>400</v>
      </c>
      <c r="N781" s="20">
        <f t="shared" si="515"/>
        <v>400</v>
      </c>
      <c r="O781" s="20">
        <f t="shared" si="515"/>
        <v>400</v>
      </c>
      <c r="P781" s="20">
        <f t="shared" si="515"/>
        <v>400</v>
      </c>
      <c r="Q781" s="20">
        <f t="shared" si="515"/>
        <v>400</v>
      </c>
      <c r="R781" s="20">
        <f t="shared" si="515"/>
        <v>400</v>
      </c>
      <c r="S781" s="20">
        <f t="shared" si="515"/>
        <v>400</v>
      </c>
      <c r="T781" s="20">
        <f t="shared" si="515"/>
        <v>400</v>
      </c>
      <c r="U781" s="20">
        <f t="shared" si="515"/>
        <v>400</v>
      </c>
      <c r="V781" s="20">
        <f t="shared" si="515"/>
        <v>400</v>
      </c>
      <c r="W781" s="20">
        <f>W779-W780</f>
        <v>400</v>
      </c>
    </row>
    <row r="782" spans="1:23" x14ac:dyDescent="0.3">
      <c r="B782" s="54" t="s">
        <v>66</v>
      </c>
      <c r="C782" s="56">
        <v>7.0000000000000007E-2</v>
      </c>
      <c r="D782" s="20">
        <f>D781*$C782</f>
        <v>28.000000000000004</v>
      </c>
      <c r="E782" s="20">
        <f t="shared" ref="E782:V782" si="516">E781*$C782</f>
        <v>28.000000000000004</v>
      </c>
      <c r="F782" s="20">
        <f t="shared" si="516"/>
        <v>28.000000000000004</v>
      </c>
      <c r="G782" s="20">
        <f t="shared" si="516"/>
        <v>28.000000000000004</v>
      </c>
      <c r="H782" s="20">
        <f t="shared" si="516"/>
        <v>28.000000000000004</v>
      </c>
      <c r="I782" s="20">
        <f t="shared" si="516"/>
        <v>28.000000000000004</v>
      </c>
      <c r="J782" s="20">
        <f t="shared" si="516"/>
        <v>28.000000000000004</v>
      </c>
      <c r="K782" s="20">
        <f t="shared" si="516"/>
        <v>28.000000000000004</v>
      </c>
      <c r="L782" s="20">
        <f t="shared" si="516"/>
        <v>28.000000000000004</v>
      </c>
      <c r="M782" s="20">
        <f t="shared" si="516"/>
        <v>28.000000000000004</v>
      </c>
      <c r="N782" s="20">
        <f t="shared" si="516"/>
        <v>28.000000000000004</v>
      </c>
      <c r="O782" s="20">
        <f t="shared" si="516"/>
        <v>28.000000000000004</v>
      </c>
      <c r="P782" s="20">
        <f t="shared" si="516"/>
        <v>28.000000000000004</v>
      </c>
      <c r="Q782" s="20">
        <f t="shared" si="516"/>
        <v>28.000000000000004</v>
      </c>
      <c r="R782" s="20">
        <f t="shared" si="516"/>
        <v>28.000000000000004</v>
      </c>
      <c r="S782" s="20">
        <f t="shared" si="516"/>
        <v>28.000000000000004</v>
      </c>
      <c r="T782" s="20">
        <f t="shared" si="516"/>
        <v>28.000000000000004</v>
      </c>
      <c r="U782" s="20">
        <f t="shared" si="516"/>
        <v>28.000000000000004</v>
      </c>
      <c r="V782" s="20">
        <f t="shared" si="516"/>
        <v>28.000000000000004</v>
      </c>
      <c r="W782" s="20">
        <f>W781*$C782</f>
        <v>28.000000000000004</v>
      </c>
    </row>
    <row r="783" spans="1:23" x14ac:dyDescent="0.3">
      <c r="B783" s="54" t="s">
        <v>68</v>
      </c>
      <c r="C783" s="55"/>
      <c r="D783" s="20">
        <f>D781+D782</f>
        <v>428</v>
      </c>
      <c r="E783" s="20">
        <f t="shared" ref="E783:V783" si="517">E781+E782</f>
        <v>428</v>
      </c>
      <c r="F783" s="20">
        <f t="shared" si="517"/>
        <v>428</v>
      </c>
      <c r="G783" s="20">
        <f t="shared" si="517"/>
        <v>428</v>
      </c>
      <c r="H783" s="20">
        <f t="shared" si="517"/>
        <v>428</v>
      </c>
      <c r="I783" s="20">
        <f t="shared" si="517"/>
        <v>428</v>
      </c>
      <c r="J783" s="20">
        <f t="shared" si="517"/>
        <v>428</v>
      </c>
      <c r="K783" s="20">
        <f t="shared" si="517"/>
        <v>428</v>
      </c>
      <c r="L783" s="20">
        <f t="shared" si="517"/>
        <v>428</v>
      </c>
      <c r="M783" s="20">
        <f t="shared" si="517"/>
        <v>428</v>
      </c>
      <c r="N783" s="20">
        <f t="shared" si="517"/>
        <v>428</v>
      </c>
      <c r="O783" s="20">
        <f t="shared" si="517"/>
        <v>428</v>
      </c>
      <c r="P783" s="20">
        <f t="shared" si="517"/>
        <v>428</v>
      </c>
      <c r="Q783" s="20">
        <f t="shared" si="517"/>
        <v>428</v>
      </c>
      <c r="R783" s="20">
        <f t="shared" si="517"/>
        <v>428</v>
      </c>
      <c r="S783" s="20">
        <f t="shared" si="517"/>
        <v>428</v>
      </c>
      <c r="T783" s="20">
        <f t="shared" si="517"/>
        <v>428</v>
      </c>
      <c r="U783" s="20">
        <f t="shared" si="517"/>
        <v>428</v>
      </c>
      <c r="V783" s="20">
        <f t="shared" si="517"/>
        <v>428</v>
      </c>
      <c r="W783" s="20">
        <f>W781+W782</f>
        <v>428</v>
      </c>
    </row>
    <row r="784" spans="1:23" ht="23" x14ac:dyDescent="0.35">
      <c r="B784" s="54" t="s">
        <v>52</v>
      </c>
      <c r="C784" s="55"/>
      <c r="D784" s="379"/>
      <c r="E784" s="379"/>
      <c r="F784" s="379"/>
      <c r="G784" s="379"/>
      <c r="H784" s="379"/>
      <c r="I784" s="379"/>
      <c r="J784" s="379"/>
      <c r="K784" s="379"/>
      <c r="L784" s="379"/>
      <c r="M784" s="379"/>
      <c r="N784" s="379"/>
      <c r="O784" s="379"/>
      <c r="P784" s="379"/>
      <c r="Q784" s="379"/>
      <c r="R784" s="379"/>
      <c r="S784" s="379"/>
      <c r="T784" s="379"/>
      <c r="U784" s="379"/>
      <c r="V784" s="379"/>
      <c r="W784" s="379"/>
    </row>
    <row r="785" spans="1:23" x14ac:dyDescent="0.3">
      <c r="B785" s="57" t="s">
        <v>53</v>
      </c>
      <c r="C785" s="58"/>
      <c r="D785" s="25">
        <f>SUM(D783:D784)</f>
        <v>428</v>
      </c>
      <c r="E785" s="26">
        <f t="shared" ref="E785:V785" si="518">SUM(E783:E784)</f>
        <v>428</v>
      </c>
      <c r="F785" s="26">
        <f t="shared" si="518"/>
        <v>428</v>
      </c>
      <c r="G785" s="26">
        <f t="shared" si="518"/>
        <v>428</v>
      </c>
      <c r="H785" s="26">
        <f t="shared" si="518"/>
        <v>428</v>
      </c>
      <c r="I785" s="26">
        <f t="shared" si="518"/>
        <v>428</v>
      </c>
      <c r="J785" s="26">
        <f t="shared" si="518"/>
        <v>428</v>
      </c>
      <c r="K785" s="26">
        <f t="shared" si="518"/>
        <v>428</v>
      </c>
      <c r="L785" s="26">
        <f t="shared" si="518"/>
        <v>428</v>
      </c>
      <c r="M785" s="26">
        <f t="shared" si="518"/>
        <v>428</v>
      </c>
      <c r="N785" s="26">
        <f t="shared" si="518"/>
        <v>428</v>
      </c>
      <c r="O785" s="26">
        <f t="shared" si="518"/>
        <v>428</v>
      </c>
      <c r="P785" s="26">
        <f t="shared" si="518"/>
        <v>428</v>
      </c>
      <c r="Q785" s="26">
        <f t="shared" si="518"/>
        <v>428</v>
      </c>
      <c r="R785" s="26">
        <f t="shared" si="518"/>
        <v>428</v>
      </c>
      <c r="S785" s="26">
        <f t="shared" si="518"/>
        <v>428</v>
      </c>
      <c r="T785" s="26">
        <f t="shared" si="518"/>
        <v>428</v>
      </c>
      <c r="U785" s="26">
        <f t="shared" si="518"/>
        <v>428</v>
      </c>
      <c r="V785" s="26">
        <f t="shared" si="518"/>
        <v>428</v>
      </c>
      <c r="W785" s="26">
        <f>SUM(W783:W784)</f>
        <v>428</v>
      </c>
    </row>
    <row r="786" spans="1:23" x14ac:dyDescent="0.3">
      <c r="B786" s="54" t="s">
        <v>54</v>
      </c>
      <c r="C786" s="55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</row>
    <row r="787" spans="1:23" x14ac:dyDescent="0.3">
      <c r="B787" s="59" t="s">
        <v>55</v>
      </c>
      <c r="C787" s="60"/>
      <c r="D787" s="27">
        <f>D785</f>
        <v>428</v>
      </c>
      <c r="E787" s="41">
        <f t="shared" ref="E787:W787" si="519">E785</f>
        <v>428</v>
      </c>
      <c r="F787" s="41">
        <f t="shared" si="519"/>
        <v>428</v>
      </c>
      <c r="G787" s="41">
        <f t="shared" si="519"/>
        <v>428</v>
      </c>
      <c r="H787" s="41">
        <f t="shared" si="519"/>
        <v>428</v>
      </c>
      <c r="I787" s="41">
        <f t="shared" si="519"/>
        <v>428</v>
      </c>
      <c r="J787" s="41">
        <f t="shared" si="519"/>
        <v>428</v>
      </c>
      <c r="K787" s="41">
        <f t="shared" si="519"/>
        <v>428</v>
      </c>
      <c r="L787" s="41">
        <f t="shared" si="519"/>
        <v>428</v>
      </c>
      <c r="M787" s="41">
        <f t="shared" si="519"/>
        <v>428</v>
      </c>
      <c r="N787" s="41">
        <f t="shared" si="519"/>
        <v>428</v>
      </c>
      <c r="O787" s="41">
        <f t="shared" si="519"/>
        <v>428</v>
      </c>
      <c r="P787" s="41">
        <f t="shared" si="519"/>
        <v>428</v>
      </c>
      <c r="Q787" s="41">
        <f t="shared" si="519"/>
        <v>428</v>
      </c>
      <c r="R787" s="41">
        <f t="shared" si="519"/>
        <v>428</v>
      </c>
      <c r="S787" s="41">
        <f t="shared" si="519"/>
        <v>428</v>
      </c>
      <c r="T787" s="41">
        <f t="shared" si="519"/>
        <v>428</v>
      </c>
      <c r="U787" s="41">
        <f t="shared" si="519"/>
        <v>428</v>
      </c>
      <c r="V787" s="41">
        <f t="shared" si="519"/>
        <v>428</v>
      </c>
      <c r="W787" s="41">
        <f t="shared" si="519"/>
        <v>428</v>
      </c>
    </row>
    <row r="788" spans="1:23" x14ac:dyDescent="0.3">
      <c r="B788" s="171" t="s">
        <v>194</v>
      </c>
      <c r="C788" s="55"/>
      <c r="D788" s="20">
        <v>268</v>
      </c>
      <c r="E788" s="20">
        <v>278</v>
      </c>
      <c r="F788" s="20">
        <v>280</v>
      </c>
      <c r="G788" s="20">
        <v>276</v>
      </c>
      <c r="H788" s="20">
        <v>272</v>
      </c>
      <c r="I788" s="20">
        <v>275</v>
      </c>
      <c r="J788" s="20">
        <v>278</v>
      </c>
      <c r="K788" s="20">
        <v>276</v>
      </c>
      <c r="L788" s="20">
        <v>277</v>
      </c>
      <c r="M788" s="20">
        <v>272</v>
      </c>
      <c r="N788" s="20">
        <v>268</v>
      </c>
      <c r="O788" s="20">
        <v>268</v>
      </c>
      <c r="P788" s="20">
        <v>268</v>
      </c>
      <c r="Q788" s="20">
        <v>268</v>
      </c>
      <c r="R788" s="20">
        <v>247</v>
      </c>
      <c r="S788" s="20">
        <v>247</v>
      </c>
      <c r="T788" s="20">
        <v>260</v>
      </c>
      <c r="U788" s="20">
        <v>263</v>
      </c>
      <c r="V788" s="20">
        <v>255</v>
      </c>
      <c r="W788" s="20">
        <v>247</v>
      </c>
    </row>
    <row r="789" spans="1:23" s="51" customFormat="1" x14ac:dyDescent="0.3">
      <c r="A789" s="407"/>
      <c r="B789" s="61" t="s">
        <v>195</v>
      </c>
      <c r="C789" s="62"/>
      <c r="D789" s="28">
        <v>269</v>
      </c>
      <c r="E789" s="28">
        <v>279</v>
      </c>
      <c r="F789" s="28">
        <v>281</v>
      </c>
      <c r="G789" s="28">
        <v>277</v>
      </c>
      <c r="H789" s="28">
        <v>273</v>
      </c>
      <c r="I789" s="28">
        <v>276</v>
      </c>
      <c r="J789" s="28">
        <v>279</v>
      </c>
      <c r="K789" s="28">
        <v>277</v>
      </c>
      <c r="L789" s="28">
        <v>278</v>
      </c>
      <c r="M789" s="28">
        <v>273</v>
      </c>
      <c r="N789" s="28">
        <v>269</v>
      </c>
      <c r="O789" s="28">
        <v>269</v>
      </c>
      <c r="P789" s="28">
        <v>269</v>
      </c>
      <c r="Q789" s="28">
        <v>269</v>
      </c>
      <c r="R789" s="28">
        <v>248</v>
      </c>
      <c r="S789" s="28">
        <v>248</v>
      </c>
      <c r="T789" s="28">
        <v>261</v>
      </c>
      <c r="U789" s="28">
        <v>264</v>
      </c>
      <c r="V789" s="28">
        <v>256</v>
      </c>
      <c r="W789" s="28">
        <v>248</v>
      </c>
    </row>
    <row r="790" spans="1:23" s="51" customFormat="1" x14ac:dyDescent="0.3">
      <c r="A790" s="407"/>
      <c r="B790" s="61" t="s">
        <v>196</v>
      </c>
      <c r="C790" s="62"/>
      <c r="D790" s="28">
        <v>270</v>
      </c>
      <c r="E790" s="28">
        <v>280</v>
      </c>
      <c r="F790" s="28">
        <v>282</v>
      </c>
      <c r="G790" s="28">
        <v>278</v>
      </c>
      <c r="H790" s="28">
        <v>274</v>
      </c>
      <c r="I790" s="28">
        <v>277</v>
      </c>
      <c r="J790" s="28">
        <v>280</v>
      </c>
      <c r="K790" s="28">
        <v>278</v>
      </c>
      <c r="L790" s="28">
        <v>279</v>
      </c>
      <c r="M790" s="28">
        <v>274</v>
      </c>
      <c r="N790" s="28">
        <v>270</v>
      </c>
      <c r="O790" s="28">
        <v>270</v>
      </c>
      <c r="P790" s="28">
        <v>270</v>
      </c>
      <c r="Q790" s="28">
        <v>270</v>
      </c>
      <c r="R790" s="28">
        <v>249</v>
      </c>
      <c r="S790" s="28">
        <v>249</v>
      </c>
      <c r="T790" s="28">
        <v>262</v>
      </c>
      <c r="U790" s="28">
        <v>265</v>
      </c>
      <c r="V790" s="28">
        <v>257</v>
      </c>
      <c r="W790" s="28">
        <v>249</v>
      </c>
    </row>
    <row r="791" spans="1:23" s="51" customFormat="1" x14ac:dyDescent="0.3">
      <c r="A791" s="407"/>
      <c r="B791" s="61" t="s">
        <v>197</v>
      </c>
      <c r="C791" s="62"/>
      <c r="D791" s="28">
        <v>271</v>
      </c>
      <c r="E791" s="28">
        <v>281</v>
      </c>
      <c r="F791" s="28">
        <v>283</v>
      </c>
      <c r="G791" s="28">
        <v>279</v>
      </c>
      <c r="H791" s="28">
        <v>275</v>
      </c>
      <c r="I791" s="28">
        <v>278</v>
      </c>
      <c r="J791" s="28">
        <v>281</v>
      </c>
      <c r="K791" s="28">
        <v>279</v>
      </c>
      <c r="L791" s="28">
        <v>280</v>
      </c>
      <c r="M791" s="28">
        <v>275</v>
      </c>
      <c r="N791" s="28">
        <v>271</v>
      </c>
      <c r="O791" s="28">
        <v>271</v>
      </c>
      <c r="P791" s="28">
        <v>271</v>
      </c>
      <c r="Q791" s="28">
        <v>271</v>
      </c>
      <c r="R791" s="28">
        <v>250</v>
      </c>
      <c r="S791" s="28">
        <v>250</v>
      </c>
      <c r="T791" s="28">
        <v>263</v>
      </c>
      <c r="U791" s="28">
        <v>266</v>
      </c>
      <c r="V791" s="28">
        <v>258</v>
      </c>
      <c r="W791" s="28">
        <v>250</v>
      </c>
    </row>
    <row r="792" spans="1:23" s="30" customFormat="1" x14ac:dyDescent="0.3">
      <c r="A792" s="404"/>
      <c r="B792" s="63" t="s">
        <v>198</v>
      </c>
      <c r="C792" s="64"/>
      <c r="D792" s="31">
        <f>+D788-D787</f>
        <v>-160</v>
      </c>
      <c r="E792" s="31">
        <f t="shared" ref="E792:W792" si="520">+E788-E787</f>
        <v>-150</v>
      </c>
      <c r="F792" s="31">
        <f t="shared" si="520"/>
        <v>-148</v>
      </c>
      <c r="G792" s="31">
        <f t="shared" si="520"/>
        <v>-152</v>
      </c>
      <c r="H792" s="31">
        <f t="shared" si="520"/>
        <v>-156</v>
      </c>
      <c r="I792" s="31">
        <f t="shared" si="520"/>
        <v>-153</v>
      </c>
      <c r="J792" s="31">
        <f t="shared" si="520"/>
        <v>-150</v>
      </c>
      <c r="K792" s="31">
        <f t="shared" si="520"/>
        <v>-152</v>
      </c>
      <c r="L792" s="31">
        <f t="shared" si="520"/>
        <v>-151</v>
      </c>
      <c r="M792" s="31">
        <f t="shared" si="520"/>
        <v>-156</v>
      </c>
      <c r="N792" s="31">
        <f t="shared" si="520"/>
        <v>-160</v>
      </c>
      <c r="O792" s="31">
        <f t="shared" si="520"/>
        <v>-160</v>
      </c>
      <c r="P792" s="31">
        <f t="shared" si="520"/>
        <v>-160</v>
      </c>
      <c r="Q792" s="31">
        <f t="shared" si="520"/>
        <v>-160</v>
      </c>
      <c r="R792" s="31">
        <f t="shared" si="520"/>
        <v>-181</v>
      </c>
      <c r="S792" s="31">
        <f t="shared" si="520"/>
        <v>-181</v>
      </c>
      <c r="T792" s="31">
        <f t="shared" si="520"/>
        <v>-168</v>
      </c>
      <c r="U792" s="31">
        <f t="shared" si="520"/>
        <v>-165</v>
      </c>
      <c r="V792" s="31">
        <f t="shared" si="520"/>
        <v>-173</v>
      </c>
      <c r="W792" s="31">
        <f t="shared" si="520"/>
        <v>-181</v>
      </c>
    </row>
    <row r="793" spans="1:23" s="33" customFormat="1" x14ac:dyDescent="0.3">
      <c r="A793" s="405"/>
      <c r="B793" s="63" t="s">
        <v>199</v>
      </c>
      <c r="C793" s="64"/>
      <c r="D793" s="31">
        <f>+D789-D787</f>
        <v>-159</v>
      </c>
      <c r="E793" s="32">
        <f t="shared" ref="E793:W793" si="521">+E789-E787</f>
        <v>-149</v>
      </c>
      <c r="F793" s="32">
        <f t="shared" si="521"/>
        <v>-147</v>
      </c>
      <c r="G793" s="32">
        <f t="shared" si="521"/>
        <v>-151</v>
      </c>
      <c r="H793" s="32">
        <f t="shared" si="521"/>
        <v>-155</v>
      </c>
      <c r="I793" s="32">
        <f t="shared" si="521"/>
        <v>-152</v>
      </c>
      <c r="J793" s="32">
        <f t="shared" si="521"/>
        <v>-149</v>
      </c>
      <c r="K793" s="32">
        <f t="shared" si="521"/>
        <v>-151</v>
      </c>
      <c r="L793" s="32">
        <f t="shared" si="521"/>
        <v>-150</v>
      </c>
      <c r="M793" s="32">
        <f t="shared" si="521"/>
        <v>-155</v>
      </c>
      <c r="N793" s="32">
        <f t="shared" si="521"/>
        <v>-159</v>
      </c>
      <c r="O793" s="32">
        <f t="shared" si="521"/>
        <v>-159</v>
      </c>
      <c r="P793" s="32">
        <f t="shared" si="521"/>
        <v>-159</v>
      </c>
      <c r="Q793" s="32">
        <f t="shared" si="521"/>
        <v>-159</v>
      </c>
      <c r="R793" s="32">
        <f t="shared" si="521"/>
        <v>-180</v>
      </c>
      <c r="S793" s="32">
        <f t="shared" si="521"/>
        <v>-180</v>
      </c>
      <c r="T793" s="32">
        <f t="shared" si="521"/>
        <v>-167</v>
      </c>
      <c r="U793" s="32">
        <f t="shared" si="521"/>
        <v>-164</v>
      </c>
      <c r="V793" s="32">
        <f t="shared" si="521"/>
        <v>-172</v>
      </c>
      <c r="W793" s="32">
        <f t="shared" si="521"/>
        <v>-180</v>
      </c>
    </row>
    <row r="794" spans="1:23" s="33" customFormat="1" x14ac:dyDescent="0.3">
      <c r="A794" s="405"/>
      <c r="B794" s="63" t="s">
        <v>200</v>
      </c>
      <c r="C794" s="64"/>
      <c r="D794" s="31">
        <f>+D790-D787</f>
        <v>-158</v>
      </c>
      <c r="E794" s="32">
        <f t="shared" ref="E794:W794" si="522">+E790-E787</f>
        <v>-148</v>
      </c>
      <c r="F794" s="32">
        <f t="shared" si="522"/>
        <v>-146</v>
      </c>
      <c r="G794" s="32">
        <f t="shared" si="522"/>
        <v>-150</v>
      </c>
      <c r="H794" s="32">
        <f t="shared" si="522"/>
        <v>-154</v>
      </c>
      <c r="I794" s="32">
        <f t="shared" si="522"/>
        <v>-151</v>
      </c>
      <c r="J794" s="32">
        <f t="shared" si="522"/>
        <v>-148</v>
      </c>
      <c r="K794" s="32">
        <f t="shared" si="522"/>
        <v>-150</v>
      </c>
      <c r="L794" s="32">
        <f t="shared" si="522"/>
        <v>-149</v>
      </c>
      <c r="M794" s="32">
        <f t="shared" si="522"/>
        <v>-154</v>
      </c>
      <c r="N794" s="32">
        <f t="shared" si="522"/>
        <v>-158</v>
      </c>
      <c r="O794" s="32">
        <f t="shared" si="522"/>
        <v>-158</v>
      </c>
      <c r="P794" s="32">
        <f t="shared" si="522"/>
        <v>-158</v>
      </c>
      <c r="Q794" s="32">
        <f t="shared" si="522"/>
        <v>-158</v>
      </c>
      <c r="R794" s="32">
        <f t="shared" si="522"/>
        <v>-179</v>
      </c>
      <c r="S794" s="32">
        <f t="shared" si="522"/>
        <v>-179</v>
      </c>
      <c r="T794" s="32">
        <f t="shared" si="522"/>
        <v>-166</v>
      </c>
      <c r="U794" s="32">
        <f t="shared" si="522"/>
        <v>-163</v>
      </c>
      <c r="V794" s="32">
        <f t="shared" si="522"/>
        <v>-171</v>
      </c>
      <c r="W794" s="32">
        <f t="shared" si="522"/>
        <v>-179</v>
      </c>
    </row>
    <row r="795" spans="1:23" s="33" customFormat="1" x14ac:dyDescent="0.3">
      <c r="A795" s="405"/>
      <c r="B795" s="63" t="s">
        <v>201</v>
      </c>
      <c r="C795" s="64"/>
      <c r="D795" s="31">
        <f>+D791-D787</f>
        <v>-157</v>
      </c>
      <c r="E795" s="32">
        <f t="shared" ref="E795:W795" si="523">+E791-E787</f>
        <v>-147</v>
      </c>
      <c r="F795" s="32">
        <f t="shared" si="523"/>
        <v>-145</v>
      </c>
      <c r="G795" s="32">
        <f t="shared" si="523"/>
        <v>-149</v>
      </c>
      <c r="H795" s="32">
        <f t="shared" si="523"/>
        <v>-153</v>
      </c>
      <c r="I795" s="32">
        <f t="shared" si="523"/>
        <v>-150</v>
      </c>
      <c r="J795" s="32">
        <f t="shared" si="523"/>
        <v>-147</v>
      </c>
      <c r="K795" s="32">
        <f t="shared" si="523"/>
        <v>-149</v>
      </c>
      <c r="L795" s="32">
        <f t="shared" si="523"/>
        <v>-148</v>
      </c>
      <c r="M795" s="32">
        <f t="shared" si="523"/>
        <v>-153</v>
      </c>
      <c r="N795" s="32">
        <f t="shared" si="523"/>
        <v>-157</v>
      </c>
      <c r="O795" s="32">
        <f t="shared" si="523"/>
        <v>-157</v>
      </c>
      <c r="P795" s="32">
        <f t="shared" si="523"/>
        <v>-157</v>
      </c>
      <c r="Q795" s="32">
        <f t="shared" si="523"/>
        <v>-157</v>
      </c>
      <c r="R795" s="32">
        <f t="shared" si="523"/>
        <v>-178</v>
      </c>
      <c r="S795" s="32">
        <f t="shared" si="523"/>
        <v>-178</v>
      </c>
      <c r="T795" s="32">
        <f t="shared" si="523"/>
        <v>-165</v>
      </c>
      <c r="U795" s="32">
        <f t="shared" si="523"/>
        <v>-162</v>
      </c>
      <c r="V795" s="32">
        <f t="shared" si="523"/>
        <v>-170</v>
      </c>
      <c r="W795" s="32">
        <f t="shared" si="523"/>
        <v>-178</v>
      </c>
    </row>
    <row r="796" spans="1:23" x14ac:dyDescent="0.3">
      <c r="B796" s="97" t="s">
        <v>202</v>
      </c>
      <c r="C796" s="98"/>
      <c r="D796" s="99">
        <f>+D792/D788</f>
        <v>-0.59701492537313428</v>
      </c>
      <c r="E796" s="99">
        <f t="shared" ref="E796:W796" si="524">+E792/E788</f>
        <v>-0.53956834532374098</v>
      </c>
      <c r="F796" s="99">
        <f t="shared" si="524"/>
        <v>-0.52857142857142858</v>
      </c>
      <c r="G796" s="99">
        <f t="shared" si="524"/>
        <v>-0.55072463768115942</v>
      </c>
      <c r="H796" s="99">
        <f t="shared" si="524"/>
        <v>-0.57352941176470584</v>
      </c>
      <c r="I796" s="99">
        <f t="shared" si="524"/>
        <v>-0.55636363636363639</v>
      </c>
      <c r="J796" s="99">
        <f t="shared" si="524"/>
        <v>-0.53956834532374098</v>
      </c>
      <c r="K796" s="99">
        <f t="shared" si="524"/>
        <v>-0.55072463768115942</v>
      </c>
      <c r="L796" s="99">
        <f t="shared" si="524"/>
        <v>-0.54512635379061369</v>
      </c>
      <c r="M796" s="99">
        <f t="shared" si="524"/>
        <v>-0.57352941176470584</v>
      </c>
      <c r="N796" s="99">
        <f t="shared" si="524"/>
        <v>-0.59701492537313428</v>
      </c>
      <c r="O796" s="99">
        <f t="shared" si="524"/>
        <v>-0.59701492537313428</v>
      </c>
      <c r="P796" s="99">
        <f t="shared" si="524"/>
        <v>-0.59701492537313428</v>
      </c>
      <c r="Q796" s="99">
        <f t="shared" si="524"/>
        <v>-0.59701492537313428</v>
      </c>
      <c r="R796" s="99">
        <f t="shared" si="524"/>
        <v>-0.73279352226720651</v>
      </c>
      <c r="S796" s="99">
        <f t="shared" si="524"/>
        <v>-0.73279352226720651</v>
      </c>
      <c r="T796" s="99">
        <f t="shared" si="524"/>
        <v>-0.64615384615384619</v>
      </c>
      <c r="U796" s="99">
        <f t="shared" si="524"/>
        <v>-0.62737642585551334</v>
      </c>
      <c r="V796" s="99">
        <f t="shared" si="524"/>
        <v>-0.67843137254901964</v>
      </c>
      <c r="W796" s="99">
        <f t="shared" si="524"/>
        <v>-0.73279352226720651</v>
      </c>
    </row>
    <row r="797" spans="1:23" s="36" customFormat="1" x14ac:dyDescent="0.3">
      <c r="A797" s="406"/>
      <c r="B797" s="97" t="s">
        <v>203</v>
      </c>
      <c r="C797" s="98"/>
      <c r="D797" s="99">
        <f>+D793/D789</f>
        <v>-0.59107806691449816</v>
      </c>
      <c r="E797" s="99">
        <f t="shared" ref="E797:W797" si="525">+E793/E789</f>
        <v>-0.53405017921146958</v>
      </c>
      <c r="F797" s="99">
        <f t="shared" si="525"/>
        <v>-0.52313167259786475</v>
      </c>
      <c r="G797" s="99">
        <f t="shared" si="525"/>
        <v>-0.54512635379061369</v>
      </c>
      <c r="H797" s="99">
        <f t="shared" si="525"/>
        <v>-0.56776556776556775</v>
      </c>
      <c r="I797" s="99">
        <f t="shared" si="525"/>
        <v>-0.55072463768115942</v>
      </c>
      <c r="J797" s="99">
        <f t="shared" si="525"/>
        <v>-0.53405017921146958</v>
      </c>
      <c r="K797" s="99">
        <f t="shared" si="525"/>
        <v>-0.54512635379061369</v>
      </c>
      <c r="L797" s="99">
        <f t="shared" si="525"/>
        <v>-0.53956834532374098</v>
      </c>
      <c r="M797" s="99">
        <f t="shared" si="525"/>
        <v>-0.56776556776556775</v>
      </c>
      <c r="N797" s="99">
        <f t="shared" si="525"/>
        <v>-0.59107806691449816</v>
      </c>
      <c r="O797" s="99">
        <f t="shared" si="525"/>
        <v>-0.59107806691449816</v>
      </c>
      <c r="P797" s="99">
        <f t="shared" si="525"/>
        <v>-0.59107806691449816</v>
      </c>
      <c r="Q797" s="99">
        <f t="shared" si="525"/>
        <v>-0.59107806691449816</v>
      </c>
      <c r="R797" s="99">
        <f t="shared" si="525"/>
        <v>-0.72580645161290325</v>
      </c>
      <c r="S797" s="99">
        <f t="shared" si="525"/>
        <v>-0.72580645161290325</v>
      </c>
      <c r="T797" s="99">
        <f t="shared" si="525"/>
        <v>-0.63984674329501912</v>
      </c>
      <c r="U797" s="99">
        <f t="shared" si="525"/>
        <v>-0.62121212121212122</v>
      </c>
      <c r="V797" s="99">
        <f t="shared" si="525"/>
        <v>-0.671875</v>
      </c>
      <c r="W797" s="99">
        <f t="shared" si="525"/>
        <v>-0.72580645161290325</v>
      </c>
    </row>
    <row r="798" spans="1:23" s="36" customFormat="1" x14ac:dyDescent="0.3">
      <c r="A798" s="406"/>
      <c r="B798" s="97" t="s">
        <v>204</v>
      </c>
      <c r="C798" s="98"/>
      <c r="D798" s="99">
        <f>+D794/D790</f>
        <v>-0.58518518518518514</v>
      </c>
      <c r="E798" s="99">
        <f t="shared" ref="E798:W798" si="526">+E794/E790</f>
        <v>-0.52857142857142858</v>
      </c>
      <c r="F798" s="99">
        <f t="shared" si="526"/>
        <v>-0.51773049645390068</v>
      </c>
      <c r="G798" s="99">
        <f t="shared" si="526"/>
        <v>-0.53956834532374098</v>
      </c>
      <c r="H798" s="99">
        <f t="shared" si="526"/>
        <v>-0.56204379562043794</v>
      </c>
      <c r="I798" s="99">
        <f t="shared" si="526"/>
        <v>-0.54512635379061369</v>
      </c>
      <c r="J798" s="99">
        <f t="shared" si="526"/>
        <v>-0.52857142857142858</v>
      </c>
      <c r="K798" s="99">
        <f t="shared" si="526"/>
        <v>-0.53956834532374098</v>
      </c>
      <c r="L798" s="99">
        <f t="shared" si="526"/>
        <v>-0.53405017921146958</v>
      </c>
      <c r="M798" s="99">
        <f t="shared" si="526"/>
        <v>-0.56204379562043794</v>
      </c>
      <c r="N798" s="99">
        <f t="shared" si="526"/>
        <v>-0.58518518518518514</v>
      </c>
      <c r="O798" s="99">
        <f t="shared" si="526"/>
        <v>-0.58518518518518514</v>
      </c>
      <c r="P798" s="99">
        <f t="shared" si="526"/>
        <v>-0.58518518518518514</v>
      </c>
      <c r="Q798" s="99">
        <f t="shared" si="526"/>
        <v>-0.58518518518518514</v>
      </c>
      <c r="R798" s="99">
        <f t="shared" si="526"/>
        <v>-0.71887550200803207</v>
      </c>
      <c r="S798" s="99">
        <f t="shared" si="526"/>
        <v>-0.71887550200803207</v>
      </c>
      <c r="T798" s="99">
        <f t="shared" si="526"/>
        <v>-0.63358778625954193</v>
      </c>
      <c r="U798" s="99">
        <f t="shared" si="526"/>
        <v>-0.61509433962264148</v>
      </c>
      <c r="V798" s="99">
        <f t="shared" si="526"/>
        <v>-0.66536964980544744</v>
      </c>
      <c r="W798" s="99">
        <f t="shared" si="526"/>
        <v>-0.71887550200803207</v>
      </c>
    </row>
    <row r="799" spans="1:23" s="36" customFormat="1" x14ac:dyDescent="0.3">
      <c r="A799" s="406"/>
      <c r="B799" s="97" t="s">
        <v>205</v>
      </c>
      <c r="C799" s="98"/>
      <c r="D799" s="99">
        <f>+D795/D791</f>
        <v>-0.57933579335793361</v>
      </c>
      <c r="E799" s="99">
        <f t="shared" ref="E799:W799" si="527">+E795/E791</f>
        <v>-0.52313167259786475</v>
      </c>
      <c r="F799" s="99">
        <f t="shared" si="527"/>
        <v>-0.51236749116607772</v>
      </c>
      <c r="G799" s="99">
        <f t="shared" si="527"/>
        <v>-0.53405017921146958</v>
      </c>
      <c r="H799" s="99">
        <f t="shared" si="527"/>
        <v>-0.55636363636363639</v>
      </c>
      <c r="I799" s="99">
        <f t="shared" si="527"/>
        <v>-0.53956834532374098</v>
      </c>
      <c r="J799" s="99">
        <f t="shared" si="527"/>
        <v>-0.52313167259786475</v>
      </c>
      <c r="K799" s="99">
        <f t="shared" si="527"/>
        <v>-0.53405017921146958</v>
      </c>
      <c r="L799" s="99">
        <f t="shared" si="527"/>
        <v>-0.52857142857142858</v>
      </c>
      <c r="M799" s="99">
        <f t="shared" si="527"/>
        <v>-0.55636363636363639</v>
      </c>
      <c r="N799" s="99">
        <f t="shared" si="527"/>
        <v>-0.57933579335793361</v>
      </c>
      <c r="O799" s="99">
        <f t="shared" si="527"/>
        <v>-0.57933579335793361</v>
      </c>
      <c r="P799" s="99">
        <f t="shared" si="527"/>
        <v>-0.57933579335793361</v>
      </c>
      <c r="Q799" s="99">
        <f t="shared" si="527"/>
        <v>-0.57933579335793361</v>
      </c>
      <c r="R799" s="99">
        <f t="shared" si="527"/>
        <v>-0.71199999999999997</v>
      </c>
      <c r="S799" s="99">
        <f t="shared" si="527"/>
        <v>-0.71199999999999997</v>
      </c>
      <c r="T799" s="99">
        <f t="shared" si="527"/>
        <v>-0.62737642585551334</v>
      </c>
      <c r="U799" s="99">
        <f t="shared" si="527"/>
        <v>-0.60902255639097747</v>
      </c>
      <c r="V799" s="99">
        <f t="shared" si="527"/>
        <v>-0.65891472868217049</v>
      </c>
      <c r="W799" s="99">
        <f t="shared" si="527"/>
        <v>-0.71199999999999997</v>
      </c>
    </row>
    <row r="800" spans="1:23" ht="21" thickBot="1" x14ac:dyDescent="0.35"/>
    <row r="801" spans="1:23" s="19" customFormat="1" ht="21" thickBot="1" x14ac:dyDescent="0.35">
      <c r="A801" s="19" t="s">
        <v>304</v>
      </c>
      <c r="B801" s="67" t="s">
        <v>117</v>
      </c>
      <c r="C801" s="68"/>
      <c r="D801" s="17" t="s">
        <v>5</v>
      </c>
      <c r="E801" s="18" t="s">
        <v>6</v>
      </c>
      <c r="F801" s="18" t="s">
        <v>7</v>
      </c>
      <c r="G801" s="18" t="s">
        <v>8</v>
      </c>
      <c r="H801" s="18" t="s">
        <v>9</v>
      </c>
      <c r="I801" s="18" t="s">
        <v>10</v>
      </c>
      <c r="J801" s="18" t="s">
        <v>11</v>
      </c>
      <c r="K801" s="18" t="s">
        <v>12</v>
      </c>
      <c r="L801" s="18" t="s">
        <v>13</v>
      </c>
      <c r="M801" s="18" t="s">
        <v>14</v>
      </c>
      <c r="N801" s="18" t="s">
        <v>15</v>
      </c>
      <c r="O801" s="18" t="s">
        <v>16</v>
      </c>
      <c r="P801" s="18" t="s">
        <v>17</v>
      </c>
      <c r="Q801" s="18" t="s">
        <v>18</v>
      </c>
      <c r="R801" s="18" t="s">
        <v>19</v>
      </c>
      <c r="S801" s="18" t="s">
        <v>20</v>
      </c>
      <c r="T801" s="18" t="s">
        <v>21</v>
      </c>
      <c r="U801" s="18" t="s">
        <v>22</v>
      </c>
      <c r="V801" s="18" t="s">
        <v>23</v>
      </c>
      <c r="W801" s="18" t="s">
        <v>166</v>
      </c>
    </row>
    <row r="802" spans="1:23" x14ac:dyDescent="0.3">
      <c r="B802" s="54" t="s">
        <v>50</v>
      </c>
      <c r="C802" s="55"/>
      <c r="D802" s="20">
        <v>630</v>
      </c>
      <c r="E802" s="21">
        <v>630</v>
      </c>
      <c r="F802" s="21">
        <v>630</v>
      </c>
      <c r="G802" s="21">
        <v>630</v>
      </c>
      <c r="H802" s="21">
        <v>630</v>
      </c>
      <c r="I802" s="21">
        <v>630</v>
      </c>
      <c r="J802" s="21">
        <v>630</v>
      </c>
      <c r="K802" s="21">
        <v>630</v>
      </c>
      <c r="L802" s="21">
        <v>630</v>
      </c>
      <c r="M802" s="21">
        <v>630</v>
      </c>
      <c r="N802" s="21">
        <v>630</v>
      </c>
      <c r="O802" s="21">
        <v>630</v>
      </c>
      <c r="P802" s="21">
        <v>630</v>
      </c>
      <c r="Q802" s="21">
        <v>630</v>
      </c>
      <c r="R802" s="21">
        <v>630</v>
      </c>
      <c r="S802" s="21">
        <v>630</v>
      </c>
      <c r="T802" s="21">
        <v>630</v>
      </c>
      <c r="U802" s="21">
        <v>630</v>
      </c>
      <c r="V802" s="21">
        <v>630</v>
      </c>
      <c r="W802" s="21">
        <v>630</v>
      </c>
    </row>
    <row r="803" spans="1:23" x14ac:dyDescent="0.3">
      <c r="B803" s="54" t="s">
        <v>51</v>
      </c>
      <c r="C803" s="55"/>
      <c r="D803" s="384"/>
      <c r="E803" s="384"/>
      <c r="F803" s="384"/>
      <c r="G803" s="384"/>
      <c r="H803" s="384"/>
      <c r="I803" s="385"/>
      <c r="J803" s="385"/>
      <c r="K803" s="385"/>
      <c r="L803" s="385"/>
      <c r="M803" s="385"/>
      <c r="N803" s="384"/>
      <c r="O803" s="384"/>
      <c r="P803" s="384"/>
      <c r="Q803" s="384"/>
      <c r="R803" s="385"/>
      <c r="S803" s="385"/>
      <c r="T803" s="385"/>
      <c r="U803" s="385"/>
      <c r="V803" s="385"/>
      <c r="W803" s="385"/>
    </row>
    <row r="804" spans="1:23" x14ac:dyDescent="0.3">
      <c r="B804" s="54"/>
      <c r="C804" s="55"/>
      <c r="D804" s="20">
        <f t="shared" ref="D804:V804" si="528">D802*(1-D803)</f>
        <v>630</v>
      </c>
      <c r="E804" s="20">
        <f t="shared" si="528"/>
        <v>630</v>
      </c>
      <c r="F804" s="20">
        <f t="shared" si="528"/>
        <v>630</v>
      </c>
      <c r="G804" s="20">
        <f t="shared" si="528"/>
        <v>630</v>
      </c>
      <c r="H804" s="20">
        <f t="shared" si="528"/>
        <v>630</v>
      </c>
      <c r="I804" s="20">
        <f t="shared" si="528"/>
        <v>630</v>
      </c>
      <c r="J804" s="20">
        <f t="shared" si="528"/>
        <v>630</v>
      </c>
      <c r="K804" s="20">
        <f t="shared" si="528"/>
        <v>630</v>
      </c>
      <c r="L804" s="20">
        <f t="shared" si="528"/>
        <v>630</v>
      </c>
      <c r="M804" s="20">
        <f t="shared" si="528"/>
        <v>630</v>
      </c>
      <c r="N804" s="20">
        <f t="shared" si="528"/>
        <v>630</v>
      </c>
      <c r="O804" s="20">
        <f t="shared" si="528"/>
        <v>630</v>
      </c>
      <c r="P804" s="20">
        <f t="shared" si="528"/>
        <v>630</v>
      </c>
      <c r="Q804" s="20">
        <f t="shared" si="528"/>
        <v>630</v>
      </c>
      <c r="R804" s="20">
        <f t="shared" si="528"/>
        <v>630</v>
      </c>
      <c r="S804" s="20">
        <f t="shared" si="528"/>
        <v>630</v>
      </c>
      <c r="T804" s="20">
        <f t="shared" si="528"/>
        <v>630</v>
      </c>
      <c r="U804" s="20">
        <f t="shared" si="528"/>
        <v>630</v>
      </c>
      <c r="V804" s="20">
        <f t="shared" si="528"/>
        <v>630</v>
      </c>
      <c r="W804" s="20">
        <f>W802*(1-W803)</f>
        <v>630</v>
      </c>
    </row>
    <row r="805" spans="1:23" x14ac:dyDescent="0.3">
      <c r="B805" s="54" t="s">
        <v>51</v>
      </c>
      <c r="C805" s="56">
        <v>0</v>
      </c>
      <c r="D805" s="20">
        <f>D804*$C805</f>
        <v>0</v>
      </c>
      <c r="E805" s="20">
        <f t="shared" ref="E805:V805" si="529">E804*$C805</f>
        <v>0</v>
      </c>
      <c r="F805" s="20">
        <f t="shared" si="529"/>
        <v>0</v>
      </c>
      <c r="G805" s="20">
        <f t="shared" si="529"/>
        <v>0</v>
      </c>
      <c r="H805" s="20">
        <f t="shared" si="529"/>
        <v>0</v>
      </c>
      <c r="I805" s="20">
        <f t="shared" si="529"/>
        <v>0</v>
      </c>
      <c r="J805" s="20">
        <f t="shared" si="529"/>
        <v>0</v>
      </c>
      <c r="K805" s="20">
        <f t="shared" si="529"/>
        <v>0</v>
      </c>
      <c r="L805" s="20">
        <f t="shared" si="529"/>
        <v>0</v>
      </c>
      <c r="M805" s="20">
        <f t="shared" si="529"/>
        <v>0</v>
      </c>
      <c r="N805" s="20">
        <f t="shared" si="529"/>
        <v>0</v>
      </c>
      <c r="O805" s="20">
        <f t="shared" si="529"/>
        <v>0</v>
      </c>
      <c r="P805" s="20">
        <f t="shared" si="529"/>
        <v>0</v>
      </c>
      <c r="Q805" s="20">
        <f t="shared" si="529"/>
        <v>0</v>
      </c>
      <c r="R805" s="20">
        <f t="shared" si="529"/>
        <v>0</v>
      </c>
      <c r="S805" s="20">
        <f t="shared" si="529"/>
        <v>0</v>
      </c>
      <c r="T805" s="20">
        <f t="shared" si="529"/>
        <v>0</v>
      </c>
      <c r="U805" s="20">
        <f t="shared" si="529"/>
        <v>0</v>
      </c>
      <c r="V805" s="20">
        <f t="shared" si="529"/>
        <v>0</v>
      </c>
      <c r="W805" s="20">
        <f>W804*$C805</f>
        <v>0</v>
      </c>
    </row>
    <row r="806" spans="1:23" x14ac:dyDescent="0.3">
      <c r="B806" s="54" t="s">
        <v>67</v>
      </c>
      <c r="C806" s="55"/>
      <c r="D806" s="20">
        <f>D804-D805</f>
        <v>630</v>
      </c>
      <c r="E806" s="20">
        <f t="shared" ref="E806:V806" si="530">E804-E805</f>
        <v>630</v>
      </c>
      <c r="F806" s="20">
        <f t="shared" si="530"/>
        <v>630</v>
      </c>
      <c r="G806" s="20">
        <f t="shared" si="530"/>
        <v>630</v>
      </c>
      <c r="H806" s="20">
        <f t="shared" si="530"/>
        <v>630</v>
      </c>
      <c r="I806" s="20">
        <f t="shared" si="530"/>
        <v>630</v>
      </c>
      <c r="J806" s="20">
        <f t="shared" si="530"/>
        <v>630</v>
      </c>
      <c r="K806" s="20">
        <f t="shared" si="530"/>
        <v>630</v>
      </c>
      <c r="L806" s="20">
        <f t="shared" si="530"/>
        <v>630</v>
      </c>
      <c r="M806" s="20">
        <f t="shared" si="530"/>
        <v>630</v>
      </c>
      <c r="N806" s="20">
        <f t="shared" si="530"/>
        <v>630</v>
      </c>
      <c r="O806" s="20">
        <f t="shared" si="530"/>
        <v>630</v>
      </c>
      <c r="P806" s="20">
        <f t="shared" si="530"/>
        <v>630</v>
      </c>
      <c r="Q806" s="20">
        <f t="shared" si="530"/>
        <v>630</v>
      </c>
      <c r="R806" s="20">
        <f t="shared" si="530"/>
        <v>630</v>
      </c>
      <c r="S806" s="20">
        <f t="shared" si="530"/>
        <v>630</v>
      </c>
      <c r="T806" s="20">
        <f t="shared" si="530"/>
        <v>630</v>
      </c>
      <c r="U806" s="20">
        <f t="shared" si="530"/>
        <v>630</v>
      </c>
      <c r="V806" s="20">
        <f t="shared" si="530"/>
        <v>630</v>
      </c>
      <c r="W806" s="20">
        <f>W804-W805</f>
        <v>630</v>
      </c>
    </row>
    <row r="807" spans="1:23" x14ac:dyDescent="0.3">
      <c r="B807" s="54" t="s">
        <v>66</v>
      </c>
      <c r="C807" s="56">
        <v>7.0000000000000007E-2</v>
      </c>
      <c r="D807" s="20">
        <f>D806*$C807</f>
        <v>44.1</v>
      </c>
      <c r="E807" s="20">
        <f t="shared" ref="E807:V807" si="531">E806*$C807</f>
        <v>44.1</v>
      </c>
      <c r="F807" s="20">
        <f t="shared" si="531"/>
        <v>44.1</v>
      </c>
      <c r="G807" s="20">
        <f t="shared" si="531"/>
        <v>44.1</v>
      </c>
      <c r="H807" s="20">
        <f t="shared" si="531"/>
        <v>44.1</v>
      </c>
      <c r="I807" s="20">
        <f t="shared" si="531"/>
        <v>44.1</v>
      </c>
      <c r="J807" s="20">
        <f t="shared" si="531"/>
        <v>44.1</v>
      </c>
      <c r="K807" s="20">
        <f t="shared" si="531"/>
        <v>44.1</v>
      </c>
      <c r="L807" s="20">
        <f t="shared" si="531"/>
        <v>44.1</v>
      </c>
      <c r="M807" s="20">
        <f t="shared" si="531"/>
        <v>44.1</v>
      </c>
      <c r="N807" s="20">
        <f t="shared" si="531"/>
        <v>44.1</v>
      </c>
      <c r="O807" s="20">
        <f t="shared" si="531"/>
        <v>44.1</v>
      </c>
      <c r="P807" s="20">
        <f t="shared" si="531"/>
        <v>44.1</v>
      </c>
      <c r="Q807" s="20">
        <f t="shared" si="531"/>
        <v>44.1</v>
      </c>
      <c r="R807" s="20">
        <f t="shared" si="531"/>
        <v>44.1</v>
      </c>
      <c r="S807" s="20">
        <f t="shared" si="531"/>
        <v>44.1</v>
      </c>
      <c r="T807" s="20">
        <f t="shared" si="531"/>
        <v>44.1</v>
      </c>
      <c r="U807" s="20">
        <f t="shared" si="531"/>
        <v>44.1</v>
      </c>
      <c r="V807" s="20">
        <f t="shared" si="531"/>
        <v>44.1</v>
      </c>
      <c r="W807" s="20">
        <f>W806*$C807</f>
        <v>44.1</v>
      </c>
    </row>
    <row r="808" spans="1:23" x14ac:dyDescent="0.3">
      <c r="B808" s="54" t="s">
        <v>68</v>
      </c>
      <c r="C808" s="55"/>
      <c r="D808" s="20">
        <f>D806+D807</f>
        <v>674.1</v>
      </c>
      <c r="E808" s="20">
        <f t="shared" ref="E808:V808" si="532">E806+E807</f>
        <v>674.1</v>
      </c>
      <c r="F808" s="20">
        <f t="shared" si="532"/>
        <v>674.1</v>
      </c>
      <c r="G808" s="20">
        <f t="shared" si="532"/>
        <v>674.1</v>
      </c>
      <c r="H808" s="20">
        <f t="shared" si="532"/>
        <v>674.1</v>
      </c>
      <c r="I808" s="20">
        <f t="shared" si="532"/>
        <v>674.1</v>
      </c>
      <c r="J808" s="20">
        <f t="shared" si="532"/>
        <v>674.1</v>
      </c>
      <c r="K808" s="20">
        <f t="shared" si="532"/>
        <v>674.1</v>
      </c>
      <c r="L808" s="20">
        <f t="shared" si="532"/>
        <v>674.1</v>
      </c>
      <c r="M808" s="20">
        <f t="shared" si="532"/>
        <v>674.1</v>
      </c>
      <c r="N808" s="20">
        <f t="shared" si="532"/>
        <v>674.1</v>
      </c>
      <c r="O808" s="20">
        <f t="shared" si="532"/>
        <v>674.1</v>
      </c>
      <c r="P808" s="20">
        <f t="shared" si="532"/>
        <v>674.1</v>
      </c>
      <c r="Q808" s="20">
        <f t="shared" si="532"/>
        <v>674.1</v>
      </c>
      <c r="R808" s="20">
        <f t="shared" si="532"/>
        <v>674.1</v>
      </c>
      <c r="S808" s="20">
        <f t="shared" si="532"/>
        <v>674.1</v>
      </c>
      <c r="T808" s="20">
        <f t="shared" si="532"/>
        <v>674.1</v>
      </c>
      <c r="U808" s="20">
        <f t="shared" si="532"/>
        <v>674.1</v>
      </c>
      <c r="V808" s="20">
        <f t="shared" si="532"/>
        <v>674.1</v>
      </c>
      <c r="W808" s="20">
        <f>W806+W807</f>
        <v>674.1</v>
      </c>
    </row>
    <row r="809" spans="1:23" ht="23" x14ac:dyDescent="0.35">
      <c r="B809" s="54" t="s">
        <v>52</v>
      </c>
      <c r="C809" s="55"/>
      <c r="D809" s="379"/>
      <c r="E809" s="379"/>
      <c r="F809" s="379"/>
      <c r="G809" s="379"/>
      <c r="H809" s="379"/>
      <c r="I809" s="379"/>
      <c r="J809" s="379"/>
      <c r="K809" s="379"/>
      <c r="L809" s="379"/>
      <c r="M809" s="379"/>
      <c r="N809" s="379"/>
      <c r="O809" s="379"/>
      <c r="P809" s="379"/>
      <c r="Q809" s="379"/>
      <c r="R809" s="379"/>
      <c r="S809" s="379"/>
      <c r="T809" s="379"/>
      <c r="U809" s="379"/>
      <c r="V809" s="379"/>
      <c r="W809" s="379"/>
    </row>
    <row r="810" spans="1:23" x14ac:dyDescent="0.3">
      <c r="B810" s="57" t="s">
        <v>53</v>
      </c>
      <c r="C810" s="58"/>
      <c r="D810" s="25">
        <f>SUM(D808:D809)</f>
        <v>674.1</v>
      </c>
      <c r="E810" s="26">
        <f t="shared" ref="E810:V810" si="533">SUM(E808:E809)</f>
        <v>674.1</v>
      </c>
      <c r="F810" s="26">
        <f t="shared" si="533"/>
        <v>674.1</v>
      </c>
      <c r="G810" s="26">
        <f t="shared" si="533"/>
        <v>674.1</v>
      </c>
      <c r="H810" s="26">
        <f t="shared" si="533"/>
        <v>674.1</v>
      </c>
      <c r="I810" s="26">
        <f t="shared" si="533"/>
        <v>674.1</v>
      </c>
      <c r="J810" s="26">
        <f t="shared" si="533"/>
        <v>674.1</v>
      </c>
      <c r="K810" s="26">
        <f t="shared" si="533"/>
        <v>674.1</v>
      </c>
      <c r="L810" s="26">
        <f t="shared" si="533"/>
        <v>674.1</v>
      </c>
      <c r="M810" s="26">
        <f t="shared" si="533"/>
        <v>674.1</v>
      </c>
      <c r="N810" s="26">
        <f t="shared" si="533"/>
        <v>674.1</v>
      </c>
      <c r="O810" s="26">
        <f t="shared" si="533"/>
        <v>674.1</v>
      </c>
      <c r="P810" s="26">
        <f t="shared" si="533"/>
        <v>674.1</v>
      </c>
      <c r="Q810" s="26">
        <f t="shared" si="533"/>
        <v>674.1</v>
      </c>
      <c r="R810" s="26">
        <f t="shared" si="533"/>
        <v>674.1</v>
      </c>
      <c r="S810" s="26">
        <f t="shared" si="533"/>
        <v>674.1</v>
      </c>
      <c r="T810" s="26">
        <f t="shared" si="533"/>
        <v>674.1</v>
      </c>
      <c r="U810" s="26">
        <f t="shared" si="533"/>
        <v>674.1</v>
      </c>
      <c r="V810" s="26">
        <f t="shared" si="533"/>
        <v>674.1</v>
      </c>
      <c r="W810" s="26">
        <f>SUM(W808:W809)</f>
        <v>674.1</v>
      </c>
    </row>
    <row r="811" spans="1:23" x14ac:dyDescent="0.3">
      <c r="B811" s="54" t="s">
        <v>54</v>
      </c>
      <c r="C811" s="55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</row>
    <row r="812" spans="1:23" x14ac:dyDescent="0.3">
      <c r="B812" s="59" t="s">
        <v>55</v>
      </c>
      <c r="C812" s="60"/>
      <c r="D812" s="27">
        <f>D810</f>
        <v>674.1</v>
      </c>
      <c r="E812" s="41">
        <f t="shared" ref="E812:W812" si="534">E810</f>
        <v>674.1</v>
      </c>
      <c r="F812" s="41">
        <f t="shared" si="534"/>
        <v>674.1</v>
      </c>
      <c r="G812" s="41">
        <f t="shared" si="534"/>
        <v>674.1</v>
      </c>
      <c r="H812" s="41">
        <f t="shared" si="534"/>
        <v>674.1</v>
      </c>
      <c r="I812" s="41">
        <f t="shared" si="534"/>
        <v>674.1</v>
      </c>
      <c r="J812" s="41">
        <f t="shared" si="534"/>
        <v>674.1</v>
      </c>
      <c r="K812" s="41">
        <f t="shared" si="534"/>
        <v>674.1</v>
      </c>
      <c r="L812" s="41">
        <f t="shared" si="534"/>
        <v>674.1</v>
      </c>
      <c r="M812" s="41">
        <f t="shared" si="534"/>
        <v>674.1</v>
      </c>
      <c r="N812" s="41">
        <f t="shared" si="534"/>
        <v>674.1</v>
      </c>
      <c r="O812" s="41">
        <f t="shared" si="534"/>
        <v>674.1</v>
      </c>
      <c r="P812" s="41">
        <f t="shared" si="534"/>
        <v>674.1</v>
      </c>
      <c r="Q812" s="41">
        <f t="shared" si="534"/>
        <v>674.1</v>
      </c>
      <c r="R812" s="41">
        <f t="shared" si="534"/>
        <v>674.1</v>
      </c>
      <c r="S812" s="41">
        <f t="shared" si="534"/>
        <v>674.1</v>
      </c>
      <c r="T812" s="41">
        <f t="shared" si="534"/>
        <v>674.1</v>
      </c>
      <c r="U812" s="41">
        <f t="shared" si="534"/>
        <v>674.1</v>
      </c>
      <c r="V812" s="41">
        <f t="shared" si="534"/>
        <v>674.1</v>
      </c>
      <c r="W812" s="41">
        <f t="shared" si="534"/>
        <v>674.1</v>
      </c>
    </row>
    <row r="813" spans="1:23" x14ac:dyDescent="0.3">
      <c r="B813" s="171" t="s">
        <v>194</v>
      </c>
      <c r="C813" s="55"/>
      <c r="D813" s="20">
        <v>425</v>
      </c>
      <c r="E813" s="20">
        <v>435</v>
      </c>
      <c r="F813" s="20">
        <v>437</v>
      </c>
      <c r="G813" s="20">
        <v>433</v>
      </c>
      <c r="H813" s="20">
        <v>429</v>
      </c>
      <c r="I813" s="20">
        <v>431</v>
      </c>
      <c r="J813" s="20">
        <v>435</v>
      </c>
      <c r="K813" s="20">
        <v>433</v>
      </c>
      <c r="L813" s="20">
        <v>434</v>
      </c>
      <c r="M813" s="20">
        <v>429</v>
      </c>
      <c r="N813" s="20">
        <v>425</v>
      </c>
      <c r="O813" s="20">
        <v>425</v>
      </c>
      <c r="P813" s="20">
        <v>425</v>
      </c>
      <c r="Q813" s="20">
        <v>425</v>
      </c>
      <c r="R813" s="20">
        <v>392</v>
      </c>
      <c r="S813" s="20">
        <v>392</v>
      </c>
      <c r="T813" s="20">
        <v>409</v>
      </c>
      <c r="U813" s="20">
        <v>412</v>
      </c>
      <c r="V813" s="20">
        <v>404</v>
      </c>
      <c r="W813" s="20">
        <v>392</v>
      </c>
    </row>
    <row r="814" spans="1:23" s="51" customFormat="1" x14ac:dyDescent="0.3">
      <c r="A814" s="407"/>
      <c r="B814" s="61" t="s">
        <v>195</v>
      </c>
      <c r="C814" s="62"/>
      <c r="D814" s="28">
        <v>426</v>
      </c>
      <c r="E814" s="29">
        <v>436</v>
      </c>
      <c r="F814" s="29">
        <v>438</v>
      </c>
      <c r="G814" s="29">
        <v>434</v>
      </c>
      <c r="H814" s="29">
        <v>430</v>
      </c>
      <c r="I814" s="29">
        <v>432</v>
      </c>
      <c r="J814" s="29">
        <v>436</v>
      </c>
      <c r="K814" s="29">
        <v>434</v>
      </c>
      <c r="L814" s="29">
        <v>435</v>
      </c>
      <c r="M814" s="29">
        <v>430</v>
      </c>
      <c r="N814" s="29">
        <v>426</v>
      </c>
      <c r="O814" s="29">
        <v>426</v>
      </c>
      <c r="P814" s="29">
        <v>426</v>
      </c>
      <c r="Q814" s="29">
        <v>426</v>
      </c>
      <c r="R814" s="29">
        <v>393</v>
      </c>
      <c r="S814" s="29">
        <v>393</v>
      </c>
      <c r="T814" s="29">
        <v>410</v>
      </c>
      <c r="U814" s="29">
        <v>413</v>
      </c>
      <c r="V814" s="29">
        <v>405</v>
      </c>
      <c r="W814" s="29">
        <v>393</v>
      </c>
    </row>
    <row r="815" spans="1:23" s="51" customFormat="1" x14ac:dyDescent="0.3">
      <c r="A815" s="407"/>
      <c r="B815" s="61" t="s">
        <v>196</v>
      </c>
      <c r="C815" s="62"/>
      <c r="D815" s="28">
        <v>427</v>
      </c>
      <c r="E815" s="29">
        <v>437</v>
      </c>
      <c r="F815" s="29">
        <v>439</v>
      </c>
      <c r="G815" s="29">
        <v>435</v>
      </c>
      <c r="H815" s="29">
        <v>431</v>
      </c>
      <c r="I815" s="29">
        <v>433</v>
      </c>
      <c r="J815" s="29">
        <v>437</v>
      </c>
      <c r="K815" s="29">
        <v>435</v>
      </c>
      <c r="L815" s="29">
        <v>436</v>
      </c>
      <c r="M815" s="29">
        <v>431</v>
      </c>
      <c r="N815" s="29">
        <v>427</v>
      </c>
      <c r="O815" s="29">
        <v>427</v>
      </c>
      <c r="P815" s="29">
        <v>427</v>
      </c>
      <c r="Q815" s="29">
        <v>427</v>
      </c>
      <c r="R815" s="29">
        <v>394</v>
      </c>
      <c r="S815" s="29">
        <v>394</v>
      </c>
      <c r="T815" s="29">
        <v>411</v>
      </c>
      <c r="U815" s="29">
        <v>414</v>
      </c>
      <c r="V815" s="29">
        <v>406</v>
      </c>
      <c r="W815" s="29">
        <v>394</v>
      </c>
    </row>
    <row r="816" spans="1:23" s="51" customFormat="1" x14ac:dyDescent="0.3">
      <c r="A816" s="407"/>
      <c r="B816" s="61" t="s">
        <v>197</v>
      </c>
      <c r="C816" s="62"/>
      <c r="D816" s="28">
        <v>428</v>
      </c>
      <c r="E816" s="29">
        <v>438</v>
      </c>
      <c r="F816" s="29">
        <v>440</v>
      </c>
      <c r="G816" s="29">
        <v>436</v>
      </c>
      <c r="H816" s="29">
        <v>432</v>
      </c>
      <c r="I816" s="29">
        <v>434</v>
      </c>
      <c r="J816" s="29">
        <v>438</v>
      </c>
      <c r="K816" s="29">
        <v>436</v>
      </c>
      <c r="L816" s="29">
        <v>437</v>
      </c>
      <c r="M816" s="29">
        <v>432</v>
      </c>
      <c r="N816" s="29">
        <v>428</v>
      </c>
      <c r="O816" s="29">
        <v>428</v>
      </c>
      <c r="P816" s="29">
        <v>428</v>
      </c>
      <c r="Q816" s="29">
        <v>428</v>
      </c>
      <c r="R816" s="29">
        <v>395</v>
      </c>
      <c r="S816" s="29">
        <v>395</v>
      </c>
      <c r="T816" s="29">
        <v>412</v>
      </c>
      <c r="U816" s="29">
        <v>415</v>
      </c>
      <c r="V816" s="29">
        <v>407</v>
      </c>
      <c r="W816" s="29">
        <v>395</v>
      </c>
    </row>
    <row r="817" spans="1:23" s="30" customFormat="1" x14ac:dyDescent="0.3">
      <c r="A817" s="404"/>
      <c r="B817" s="63" t="s">
        <v>198</v>
      </c>
      <c r="C817" s="62"/>
      <c r="D817" s="31">
        <f>D813-D812</f>
        <v>-249.10000000000002</v>
      </c>
      <c r="E817" s="31">
        <f t="shared" ref="E817:W817" si="535">E813-E812</f>
        <v>-239.10000000000002</v>
      </c>
      <c r="F817" s="31">
        <f t="shared" si="535"/>
        <v>-237.10000000000002</v>
      </c>
      <c r="G817" s="31">
        <f t="shared" si="535"/>
        <v>-241.10000000000002</v>
      </c>
      <c r="H817" s="31">
        <f t="shared" si="535"/>
        <v>-245.10000000000002</v>
      </c>
      <c r="I817" s="31">
        <f t="shared" si="535"/>
        <v>-243.10000000000002</v>
      </c>
      <c r="J817" s="31">
        <f t="shared" si="535"/>
        <v>-239.10000000000002</v>
      </c>
      <c r="K817" s="31">
        <f t="shared" si="535"/>
        <v>-241.10000000000002</v>
      </c>
      <c r="L817" s="31">
        <f t="shared" si="535"/>
        <v>-240.10000000000002</v>
      </c>
      <c r="M817" s="31">
        <f t="shared" si="535"/>
        <v>-245.10000000000002</v>
      </c>
      <c r="N817" s="31">
        <f t="shared" si="535"/>
        <v>-249.10000000000002</v>
      </c>
      <c r="O817" s="31">
        <f t="shared" si="535"/>
        <v>-249.10000000000002</v>
      </c>
      <c r="P817" s="31">
        <f t="shared" si="535"/>
        <v>-249.10000000000002</v>
      </c>
      <c r="Q817" s="31">
        <f t="shared" si="535"/>
        <v>-249.10000000000002</v>
      </c>
      <c r="R817" s="31">
        <f t="shared" si="535"/>
        <v>-282.10000000000002</v>
      </c>
      <c r="S817" s="31">
        <f t="shared" si="535"/>
        <v>-282.10000000000002</v>
      </c>
      <c r="T817" s="31">
        <f t="shared" si="535"/>
        <v>-265.10000000000002</v>
      </c>
      <c r="U817" s="31">
        <f t="shared" si="535"/>
        <v>-262.10000000000002</v>
      </c>
      <c r="V817" s="31">
        <f t="shared" si="535"/>
        <v>-270.10000000000002</v>
      </c>
      <c r="W817" s="31">
        <f t="shared" si="535"/>
        <v>-282.10000000000002</v>
      </c>
    </row>
    <row r="818" spans="1:23" s="33" customFormat="1" x14ac:dyDescent="0.3">
      <c r="A818" s="405"/>
      <c r="B818" s="63" t="s">
        <v>199</v>
      </c>
      <c r="C818" s="64"/>
      <c r="D818" s="31">
        <f>+D814-D812</f>
        <v>-248.10000000000002</v>
      </c>
      <c r="E818" s="32">
        <f t="shared" ref="E818:W818" si="536">+E814-E812</f>
        <v>-238.10000000000002</v>
      </c>
      <c r="F818" s="32">
        <f t="shared" si="536"/>
        <v>-236.10000000000002</v>
      </c>
      <c r="G818" s="32">
        <f t="shared" si="536"/>
        <v>-240.10000000000002</v>
      </c>
      <c r="H818" s="32">
        <f t="shared" si="536"/>
        <v>-244.10000000000002</v>
      </c>
      <c r="I818" s="32">
        <f t="shared" si="536"/>
        <v>-242.10000000000002</v>
      </c>
      <c r="J818" s="32">
        <f t="shared" si="536"/>
        <v>-238.10000000000002</v>
      </c>
      <c r="K818" s="32">
        <f t="shared" si="536"/>
        <v>-240.10000000000002</v>
      </c>
      <c r="L818" s="32">
        <f t="shared" si="536"/>
        <v>-239.10000000000002</v>
      </c>
      <c r="M818" s="32">
        <f t="shared" si="536"/>
        <v>-244.10000000000002</v>
      </c>
      <c r="N818" s="32">
        <f t="shared" si="536"/>
        <v>-248.10000000000002</v>
      </c>
      <c r="O818" s="32">
        <f t="shared" si="536"/>
        <v>-248.10000000000002</v>
      </c>
      <c r="P818" s="32">
        <f t="shared" si="536"/>
        <v>-248.10000000000002</v>
      </c>
      <c r="Q818" s="32">
        <f t="shared" si="536"/>
        <v>-248.10000000000002</v>
      </c>
      <c r="R818" s="32">
        <f t="shared" si="536"/>
        <v>-281.10000000000002</v>
      </c>
      <c r="S818" s="32">
        <f t="shared" si="536"/>
        <v>-281.10000000000002</v>
      </c>
      <c r="T818" s="32">
        <f t="shared" si="536"/>
        <v>-264.10000000000002</v>
      </c>
      <c r="U818" s="32">
        <f t="shared" si="536"/>
        <v>-261.10000000000002</v>
      </c>
      <c r="V818" s="32">
        <f t="shared" si="536"/>
        <v>-269.10000000000002</v>
      </c>
      <c r="W818" s="32">
        <f t="shared" si="536"/>
        <v>-281.10000000000002</v>
      </c>
    </row>
    <row r="819" spans="1:23" s="33" customFormat="1" x14ac:dyDescent="0.3">
      <c r="A819" s="405"/>
      <c r="B819" s="63" t="s">
        <v>200</v>
      </c>
      <c r="C819" s="64"/>
      <c r="D819" s="31">
        <f>+D815-D812</f>
        <v>-247.10000000000002</v>
      </c>
      <c r="E819" s="32">
        <f t="shared" ref="E819:W819" si="537">+E815-E812</f>
        <v>-237.10000000000002</v>
      </c>
      <c r="F819" s="32">
        <f t="shared" si="537"/>
        <v>-235.10000000000002</v>
      </c>
      <c r="G819" s="32">
        <f t="shared" si="537"/>
        <v>-239.10000000000002</v>
      </c>
      <c r="H819" s="32">
        <f t="shared" si="537"/>
        <v>-243.10000000000002</v>
      </c>
      <c r="I819" s="32">
        <f t="shared" si="537"/>
        <v>-241.10000000000002</v>
      </c>
      <c r="J819" s="32">
        <f t="shared" si="537"/>
        <v>-237.10000000000002</v>
      </c>
      <c r="K819" s="32">
        <f t="shared" si="537"/>
        <v>-239.10000000000002</v>
      </c>
      <c r="L819" s="32">
        <f t="shared" si="537"/>
        <v>-238.10000000000002</v>
      </c>
      <c r="M819" s="32">
        <f t="shared" si="537"/>
        <v>-243.10000000000002</v>
      </c>
      <c r="N819" s="32">
        <f t="shared" si="537"/>
        <v>-247.10000000000002</v>
      </c>
      <c r="O819" s="32">
        <f t="shared" si="537"/>
        <v>-247.10000000000002</v>
      </c>
      <c r="P819" s="32">
        <f t="shared" si="537"/>
        <v>-247.10000000000002</v>
      </c>
      <c r="Q819" s="32">
        <f t="shared" si="537"/>
        <v>-247.10000000000002</v>
      </c>
      <c r="R819" s="32">
        <f t="shared" si="537"/>
        <v>-280.10000000000002</v>
      </c>
      <c r="S819" s="32">
        <f t="shared" si="537"/>
        <v>-280.10000000000002</v>
      </c>
      <c r="T819" s="32">
        <f t="shared" si="537"/>
        <v>-263.10000000000002</v>
      </c>
      <c r="U819" s="32">
        <f t="shared" si="537"/>
        <v>-260.10000000000002</v>
      </c>
      <c r="V819" s="32">
        <f t="shared" si="537"/>
        <v>-268.10000000000002</v>
      </c>
      <c r="W819" s="32">
        <f t="shared" si="537"/>
        <v>-280.10000000000002</v>
      </c>
    </row>
    <row r="820" spans="1:23" s="33" customFormat="1" x14ac:dyDescent="0.3">
      <c r="A820" s="405"/>
      <c r="B820" s="63" t="s">
        <v>201</v>
      </c>
      <c r="C820" s="64"/>
      <c r="D820" s="31">
        <f>+D816-D812</f>
        <v>-246.10000000000002</v>
      </c>
      <c r="E820" s="32">
        <f t="shared" ref="E820:W820" si="538">+E816-E812</f>
        <v>-236.10000000000002</v>
      </c>
      <c r="F820" s="32">
        <f t="shared" si="538"/>
        <v>-234.10000000000002</v>
      </c>
      <c r="G820" s="32">
        <f t="shared" si="538"/>
        <v>-238.10000000000002</v>
      </c>
      <c r="H820" s="32">
        <f t="shared" si="538"/>
        <v>-242.10000000000002</v>
      </c>
      <c r="I820" s="32">
        <f t="shared" si="538"/>
        <v>-240.10000000000002</v>
      </c>
      <c r="J820" s="32">
        <f t="shared" si="538"/>
        <v>-236.10000000000002</v>
      </c>
      <c r="K820" s="32">
        <f t="shared" si="538"/>
        <v>-238.10000000000002</v>
      </c>
      <c r="L820" s="32">
        <f t="shared" si="538"/>
        <v>-237.10000000000002</v>
      </c>
      <c r="M820" s="32">
        <f t="shared" si="538"/>
        <v>-242.10000000000002</v>
      </c>
      <c r="N820" s="32">
        <f t="shared" si="538"/>
        <v>-246.10000000000002</v>
      </c>
      <c r="O820" s="32">
        <f t="shared" si="538"/>
        <v>-246.10000000000002</v>
      </c>
      <c r="P820" s="32">
        <f t="shared" si="538"/>
        <v>-246.10000000000002</v>
      </c>
      <c r="Q820" s="32">
        <f t="shared" si="538"/>
        <v>-246.10000000000002</v>
      </c>
      <c r="R820" s="32">
        <f t="shared" si="538"/>
        <v>-279.10000000000002</v>
      </c>
      <c r="S820" s="32">
        <f t="shared" si="538"/>
        <v>-279.10000000000002</v>
      </c>
      <c r="T820" s="32">
        <f t="shared" si="538"/>
        <v>-262.10000000000002</v>
      </c>
      <c r="U820" s="32">
        <f t="shared" si="538"/>
        <v>-259.10000000000002</v>
      </c>
      <c r="V820" s="32">
        <f t="shared" si="538"/>
        <v>-267.10000000000002</v>
      </c>
      <c r="W820" s="32">
        <f t="shared" si="538"/>
        <v>-279.10000000000002</v>
      </c>
    </row>
    <row r="821" spans="1:23" x14ac:dyDescent="0.3">
      <c r="B821" s="97" t="s">
        <v>202</v>
      </c>
      <c r="C821" s="98"/>
      <c r="D821" s="99">
        <f>+D817/D813</f>
        <v>-0.58611764705882363</v>
      </c>
      <c r="E821" s="211">
        <f t="shared" ref="E821:W821" si="539">+E817/E813</f>
        <v>-0.54965517241379314</v>
      </c>
      <c r="F821" s="211">
        <f t="shared" si="539"/>
        <v>-0.54256292906178494</v>
      </c>
      <c r="G821" s="211">
        <f t="shared" si="539"/>
        <v>-0.55681293302540424</v>
      </c>
      <c r="H821" s="211">
        <f t="shared" si="539"/>
        <v>-0.57132867132867138</v>
      </c>
      <c r="I821" s="211">
        <f t="shared" si="539"/>
        <v>-0.56403712296983766</v>
      </c>
      <c r="J821" s="211">
        <f t="shared" si="539"/>
        <v>-0.54965517241379314</v>
      </c>
      <c r="K821" s="211">
        <f t="shared" si="539"/>
        <v>-0.55681293302540424</v>
      </c>
      <c r="L821" s="211">
        <f t="shared" si="539"/>
        <v>-0.5532258064516129</v>
      </c>
      <c r="M821" s="211">
        <f t="shared" si="539"/>
        <v>-0.57132867132867138</v>
      </c>
      <c r="N821" s="211">
        <f t="shared" si="539"/>
        <v>-0.58611764705882363</v>
      </c>
      <c r="O821" s="211">
        <f t="shared" si="539"/>
        <v>-0.58611764705882363</v>
      </c>
      <c r="P821" s="211">
        <f t="shared" si="539"/>
        <v>-0.58611764705882363</v>
      </c>
      <c r="Q821" s="211">
        <f t="shared" si="539"/>
        <v>-0.58611764705882363</v>
      </c>
      <c r="R821" s="211">
        <f t="shared" si="539"/>
        <v>-0.71964285714285725</v>
      </c>
      <c r="S821" s="211">
        <f t="shared" si="539"/>
        <v>-0.71964285714285725</v>
      </c>
      <c r="T821" s="211">
        <f t="shared" si="539"/>
        <v>-0.64816625916870418</v>
      </c>
      <c r="U821" s="211">
        <f t="shared" si="539"/>
        <v>-0.63616504854368938</v>
      </c>
      <c r="V821" s="211">
        <f t="shared" si="539"/>
        <v>-0.6685643564356436</v>
      </c>
      <c r="W821" s="211">
        <f t="shared" si="539"/>
        <v>-0.71964285714285725</v>
      </c>
    </row>
    <row r="822" spans="1:23" s="36" customFormat="1" x14ac:dyDescent="0.3">
      <c r="A822" s="406"/>
      <c r="B822" s="97" t="s">
        <v>203</v>
      </c>
      <c r="C822" s="98"/>
      <c r="D822" s="99">
        <f>+D818/D814</f>
        <v>-0.5823943661971831</v>
      </c>
      <c r="E822" s="99">
        <f t="shared" ref="E822:W822" si="540">+E818/E814</f>
        <v>-0.54610091743119271</v>
      </c>
      <c r="F822" s="99">
        <f t="shared" si="540"/>
        <v>-0.53904109589041105</v>
      </c>
      <c r="G822" s="99">
        <f t="shared" si="540"/>
        <v>-0.5532258064516129</v>
      </c>
      <c r="H822" s="99">
        <f t="shared" si="540"/>
        <v>-0.56767441860465118</v>
      </c>
      <c r="I822" s="99">
        <f t="shared" si="540"/>
        <v>-0.56041666666666667</v>
      </c>
      <c r="J822" s="99">
        <f t="shared" si="540"/>
        <v>-0.54610091743119271</v>
      </c>
      <c r="K822" s="99">
        <f t="shared" si="540"/>
        <v>-0.5532258064516129</v>
      </c>
      <c r="L822" s="99">
        <f t="shared" si="540"/>
        <v>-0.54965517241379314</v>
      </c>
      <c r="M822" s="99">
        <f t="shared" si="540"/>
        <v>-0.56767441860465118</v>
      </c>
      <c r="N822" s="99">
        <f t="shared" si="540"/>
        <v>-0.5823943661971831</v>
      </c>
      <c r="O822" s="99">
        <f t="shared" si="540"/>
        <v>-0.5823943661971831</v>
      </c>
      <c r="P822" s="99">
        <f t="shared" si="540"/>
        <v>-0.5823943661971831</v>
      </c>
      <c r="Q822" s="99">
        <f t="shared" si="540"/>
        <v>-0.5823943661971831</v>
      </c>
      <c r="R822" s="99">
        <f t="shared" si="540"/>
        <v>-0.71526717557251918</v>
      </c>
      <c r="S822" s="99">
        <f t="shared" si="540"/>
        <v>-0.71526717557251918</v>
      </c>
      <c r="T822" s="99">
        <f t="shared" si="540"/>
        <v>-0.64414634146341465</v>
      </c>
      <c r="U822" s="99">
        <f t="shared" si="540"/>
        <v>-0.6322033898305085</v>
      </c>
      <c r="V822" s="99">
        <f t="shared" si="540"/>
        <v>-0.6644444444444445</v>
      </c>
      <c r="W822" s="99">
        <f t="shared" si="540"/>
        <v>-0.71526717557251918</v>
      </c>
    </row>
    <row r="823" spans="1:23" s="36" customFormat="1" x14ac:dyDescent="0.3">
      <c r="A823" s="406"/>
      <c r="B823" s="97" t="s">
        <v>204</v>
      </c>
      <c r="C823" s="98"/>
      <c r="D823" s="99">
        <f>+D819/D815</f>
        <v>-0.57868852459016396</v>
      </c>
      <c r="E823" s="99">
        <f t="shared" ref="E823:W823" si="541">+E819/E815</f>
        <v>-0.54256292906178494</v>
      </c>
      <c r="F823" s="99">
        <f t="shared" si="541"/>
        <v>-0.53553530751708434</v>
      </c>
      <c r="G823" s="99">
        <f t="shared" si="541"/>
        <v>-0.54965517241379314</v>
      </c>
      <c r="H823" s="99">
        <f t="shared" si="541"/>
        <v>-0.56403712296983766</v>
      </c>
      <c r="I823" s="99">
        <f t="shared" si="541"/>
        <v>-0.55681293302540424</v>
      </c>
      <c r="J823" s="99">
        <f t="shared" si="541"/>
        <v>-0.54256292906178494</v>
      </c>
      <c r="K823" s="99">
        <f t="shared" si="541"/>
        <v>-0.54965517241379314</v>
      </c>
      <c r="L823" s="99">
        <f t="shared" si="541"/>
        <v>-0.54610091743119271</v>
      </c>
      <c r="M823" s="99">
        <f t="shared" si="541"/>
        <v>-0.56403712296983766</v>
      </c>
      <c r="N823" s="99">
        <f t="shared" si="541"/>
        <v>-0.57868852459016396</v>
      </c>
      <c r="O823" s="99">
        <f t="shared" si="541"/>
        <v>-0.57868852459016396</v>
      </c>
      <c r="P823" s="99">
        <f t="shared" si="541"/>
        <v>-0.57868852459016396</v>
      </c>
      <c r="Q823" s="99">
        <f t="shared" si="541"/>
        <v>-0.57868852459016396</v>
      </c>
      <c r="R823" s="99">
        <f t="shared" si="541"/>
        <v>-0.71091370558375644</v>
      </c>
      <c r="S823" s="99">
        <f t="shared" si="541"/>
        <v>-0.71091370558375644</v>
      </c>
      <c r="T823" s="99">
        <f t="shared" si="541"/>
        <v>-0.64014598540145995</v>
      </c>
      <c r="U823" s="99">
        <f t="shared" si="541"/>
        <v>-0.62826086956521743</v>
      </c>
      <c r="V823" s="99">
        <f t="shared" si="541"/>
        <v>-0.66034482758620694</v>
      </c>
      <c r="W823" s="99">
        <f t="shared" si="541"/>
        <v>-0.71091370558375644</v>
      </c>
    </row>
    <row r="824" spans="1:23" s="36" customFormat="1" x14ac:dyDescent="0.3">
      <c r="A824" s="406"/>
      <c r="B824" s="97" t="s">
        <v>205</v>
      </c>
      <c r="C824" s="98"/>
      <c r="D824" s="99">
        <f>+D820/D816</f>
        <v>-0.57500000000000007</v>
      </c>
      <c r="E824" s="99">
        <f t="shared" ref="E824:W824" si="542">+E820/E816</f>
        <v>-0.53904109589041105</v>
      </c>
      <c r="F824" s="99">
        <f t="shared" si="542"/>
        <v>-0.5320454545454546</v>
      </c>
      <c r="G824" s="99">
        <f t="shared" si="542"/>
        <v>-0.54610091743119271</v>
      </c>
      <c r="H824" s="99">
        <f t="shared" si="542"/>
        <v>-0.56041666666666667</v>
      </c>
      <c r="I824" s="99">
        <f t="shared" si="542"/>
        <v>-0.5532258064516129</v>
      </c>
      <c r="J824" s="99">
        <f t="shared" si="542"/>
        <v>-0.53904109589041105</v>
      </c>
      <c r="K824" s="99">
        <f t="shared" si="542"/>
        <v>-0.54610091743119271</v>
      </c>
      <c r="L824" s="99">
        <f t="shared" si="542"/>
        <v>-0.54256292906178494</v>
      </c>
      <c r="M824" s="99">
        <f t="shared" si="542"/>
        <v>-0.56041666666666667</v>
      </c>
      <c r="N824" s="99">
        <f t="shared" si="542"/>
        <v>-0.57500000000000007</v>
      </c>
      <c r="O824" s="99">
        <f t="shared" si="542"/>
        <v>-0.57500000000000007</v>
      </c>
      <c r="P824" s="99">
        <f t="shared" si="542"/>
        <v>-0.57500000000000007</v>
      </c>
      <c r="Q824" s="99">
        <f t="shared" si="542"/>
        <v>-0.57500000000000007</v>
      </c>
      <c r="R824" s="99">
        <f t="shared" si="542"/>
        <v>-0.70658227848101274</v>
      </c>
      <c r="S824" s="99">
        <f t="shared" si="542"/>
        <v>-0.70658227848101274</v>
      </c>
      <c r="T824" s="99">
        <f t="shared" si="542"/>
        <v>-0.63616504854368938</v>
      </c>
      <c r="U824" s="99">
        <f t="shared" si="542"/>
        <v>-0.62433734939759045</v>
      </c>
      <c r="V824" s="99">
        <f t="shared" si="542"/>
        <v>-0.65626535626535631</v>
      </c>
      <c r="W824" s="99">
        <f t="shared" si="542"/>
        <v>-0.70658227848101274</v>
      </c>
    </row>
    <row r="825" spans="1:23" ht="21" thickBot="1" x14ac:dyDescent="0.35"/>
    <row r="826" spans="1:23" ht="21" thickBot="1" x14ac:dyDescent="0.35">
      <c r="A826" s="19" t="s">
        <v>305</v>
      </c>
      <c r="B826" s="67" t="s">
        <v>132</v>
      </c>
      <c r="C826" s="68"/>
      <c r="D826" s="17" t="s">
        <v>5</v>
      </c>
      <c r="E826" s="18" t="s">
        <v>6</v>
      </c>
      <c r="F826" s="18" t="s">
        <v>7</v>
      </c>
      <c r="G826" s="18" t="s">
        <v>8</v>
      </c>
      <c r="H826" s="18" t="s">
        <v>9</v>
      </c>
      <c r="I826" s="18" t="s">
        <v>10</v>
      </c>
      <c r="J826" s="18" t="s">
        <v>11</v>
      </c>
      <c r="K826" s="18" t="s">
        <v>12</v>
      </c>
      <c r="L826" s="18" t="s">
        <v>13</v>
      </c>
      <c r="M826" s="18" t="s">
        <v>14</v>
      </c>
      <c r="N826" s="18" t="s">
        <v>15</v>
      </c>
      <c r="O826" s="18" t="s">
        <v>16</v>
      </c>
      <c r="P826" s="18" t="s">
        <v>17</v>
      </c>
      <c r="Q826" s="18" t="s">
        <v>18</v>
      </c>
      <c r="R826" s="18" t="s">
        <v>19</v>
      </c>
      <c r="S826" s="18" t="s">
        <v>20</v>
      </c>
      <c r="T826" s="18" t="s">
        <v>21</v>
      </c>
      <c r="U826" s="18" t="s">
        <v>22</v>
      </c>
      <c r="V826" s="18" t="s">
        <v>23</v>
      </c>
      <c r="W826" s="18" t="s">
        <v>166</v>
      </c>
    </row>
    <row r="827" spans="1:23" x14ac:dyDescent="0.3">
      <c r="B827" s="54" t="s">
        <v>50</v>
      </c>
      <c r="C827" s="55"/>
      <c r="D827" s="20">
        <v>379</v>
      </c>
      <c r="E827" s="21">
        <v>379</v>
      </c>
      <c r="F827" s="21">
        <v>379</v>
      </c>
      <c r="G827" s="21">
        <v>379</v>
      </c>
      <c r="H827" s="21">
        <v>379</v>
      </c>
      <c r="I827" s="21">
        <v>379</v>
      </c>
      <c r="J827" s="21">
        <v>379</v>
      </c>
      <c r="K827" s="21">
        <v>379</v>
      </c>
      <c r="L827" s="21">
        <v>379</v>
      </c>
      <c r="M827" s="21">
        <v>379</v>
      </c>
      <c r="N827" s="21">
        <v>379</v>
      </c>
      <c r="O827" s="21">
        <v>379</v>
      </c>
      <c r="P827" s="21">
        <v>379</v>
      </c>
      <c r="Q827" s="21">
        <v>379</v>
      </c>
      <c r="R827" s="21">
        <v>379</v>
      </c>
      <c r="S827" s="21">
        <v>379</v>
      </c>
      <c r="T827" s="21">
        <v>379</v>
      </c>
      <c r="U827" s="21">
        <v>379</v>
      </c>
      <c r="V827" s="21">
        <v>379</v>
      </c>
      <c r="W827" s="21">
        <v>379</v>
      </c>
    </row>
    <row r="828" spans="1:23" x14ac:dyDescent="0.3">
      <c r="B828" s="54" t="s">
        <v>51</v>
      </c>
      <c r="C828" s="55"/>
      <c r="D828" s="384"/>
      <c r="E828" s="384"/>
      <c r="F828" s="384"/>
      <c r="G828" s="384"/>
      <c r="H828" s="384"/>
      <c r="I828" s="385"/>
      <c r="J828" s="385"/>
      <c r="K828" s="385"/>
      <c r="L828" s="385"/>
      <c r="M828" s="385"/>
      <c r="N828" s="384"/>
      <c r="O828" s="384"/>
      <c r="P828" s="384"/>
      <c r="Q828" s="384"/>
      <c r="R828" s="384"/>
      <c r="S828" s="384"/>
      <c r="T828" s="386"/>
      <c r="U828" s="386"/>
      <c r="V828" s="386"/>
      <c r="W828" s="384"/>
    </row>
    <row r="829" spans="1:23" x14ac:dyDescent="0.3">
      <c r="B829" s="54"/>
      <c r="C829" s="55"/>
      <c r="D829" s="20">
        <f t="shared" ref="D829:V829" si="543">D827*(1-D828)</f>
        <v>379</v>
      </c>
      <c r="E829" s="20">
        <f t="shared" si="543"/>
        <v>379</v>
      </c>
      <c r="F829" s="20">
        <f t="shared" si="543"/>
        <v>379</v>
      </c>
      <c r="G829" s="20">
        <f t="shared" si="543"/>
        <v>379</v>
      </c>
      <c r="H829" s="20">
        <f t="shared" si="543"/>
        <v>379</v>
      </c>
      <c r="I829" s="20">
        <f t="shared" si="543"/>
        <v>379</v>
      </c>
      <c r="J829" s="20">
        <f t="shared" si="543"/>
        <v>379</v>
      </c>
      <c r="K829" s="20">
        <f t="shared" si="543"/>
        <v>379</v>
      </c>
      <c r="L829" s="20">
        <f t="shared" si="543"/>
        <v>379</v>
      </c>
      <c r="M829" s="20">
        <f t="shared" si="543"/>
        <v>379</v>
      </c>
      <c r="N829" s="20">
        <f t="shared" si="543"/>
        <v>379</v>
      </c>
      <c r="O829" s="20">
        <f t="shared" si="543"/>
        <v>379</v>
      </c>
      <c r="P829" s="20">
        <f t="shared" si="543"/>
        <v>379</v>
      </c>
      <c r="Q829" s="20">
        <f t="shared" si="543"/>
        <v>379</v>
      </c>
      <c r="R829" s="20">
        <f t="shared" si="543"/>
        <v>379</v>
      </c>
      <c r="S829" s="20">
        <f t="shared" si="543"/>
        <v>379</v>
      </c>
      <c r="T829" s="20">
        <f t="shared" si="543"/>
        <v>379</v>
      </c>
      <c r="U829" s="20">
        <f t="shared" si="543"/>
        <v>379</v>
      </c>
      <c r="V829" s="20">
        <f t="shared" si="543"/>
        <v>379</v>
      </c>
      <c r="W829" s="20">
        <f>W827*(1-W828)</f>
        <v>379</v>
      </c>
    </row>
    <row r="830" spans="1:23" x14ac:dyDescent="0.3">
      <c r="B830" s="54" t="s">
        <v>51</v>
      </c>
      <c r="C830" s="56">
        <v>0</v>
      </c>
      <c r="D830" s="20">
        <f>D829*$C830</f>
        <v>0</v>
      </c>
      <c r="E830" s="20">
        <f t="shared" ref="E830:V830" si="544">E829*$C830</f>
        <v>0</v>
      </c>
      <c r="F830" s="20">
        <f t="shared" si="544"/>
        <v>0</v>
      </c>
      <c r="G830" s="20">
        <f t="shared" si="544"/>
        <v>0</v>
      </c>
      <c r="H830" s="20">
        <f t="shared" si="544"/>
        <v>0</v>
      </c>
      <c r="I830" s="20">
        <f t="shared" si="544"/>
        <v>0</v>
      </c>
      <c r="J830" s="20">
        <f t="shared" si="544"/>
        <v>0</v>
      </c>
      <c r="K830" s="20">
        <f t="shared" si="544"/>
        <v>0</v>
      </c>
      <c r="L830" s="20">
        <f t="shared" si="544"/>
        <v>0</v>
      </c>
      <c r="M830" s="20">
        <f t="shared" si="544"/>
        <v>0</v>
      </c>
      <c r="N830" s="20">
        <f t="shared" si="544"/>
        <v>0</v>
      </c>
      <c r="O830" s="20">
        <f t="shared" si="544"/>
        <v>0</v>
      </c>
      <c r="P830" s="20">
        <f t="shared" si="544"/>
        <v>0</v>
      </c>
      <c r="Q830" s="20">
        <f t="shared" si="544"/>
        <v>0</v>
      </c>
      <c r="R830" s="20">
        <f t="shared" si="544"/>
        <v>0</v>
      </c>
      <c r="S830" s="20">
        <f t="shared" si="544"/>
        <v>0</v>
      </c>
      <c r="T830" s="20">
        <f t="shared" si="544"/>
        <v>0</v>
      </c>
      <c r="U830" s="20">
        <f t="shared" si="544"/>
        <v>0</v>
      </c>
      <c r="V830" s="20">
        <f t="shared" si="544"/>
        <v>0</v>
      </c>
      <c r="W830" s="20">
        <f>W829*$C830</f>
        <v>0</v>
      </c>
    </row>
    <row r="831" spans="1:23" x14ac:dyDescent="0.3">
      <c r="B831" s="54" t="s">
        <v>67</v>
      </c>
      <c r="C831" s="55"/>
      <c r="D831" s="20">
        <f>D829-D830</f>
        <v>379</v>
      </c>
      <c r="E831" s="20">
        <f t="shared" ref="E831:V831" si="545">E829-E830</f>
        <v>379</v>
      </c>
      <c r="F831" s="20">
        <f t="shared" si="545"/>
        <v>379</v>
      </c>
      <c r="G831" s="20">
        <f t="shared" si="545"/>
        <v>379</v>
      </c>
      <c r="H831" s="20">
        <f t="shared" si="545"/>
        <v>379</v>
      </c>
      <c r="I831" s="20">
        <f t="shared" si="545"/>
        <v>379</v>
      </c>
      <c r="J831" s="20">
        <f t="shared" si="545"/>
        <v>379</v>
      </c>
      <c r="K831" s="20">
        <f t="shared" si="545"/>
        <v>379</v>
      </c>
      <c r="L831" s="20">
        <f t="shared" si="545"/>
        <v>379</v>
      </c>
      <c r="M831" s="20">
        <f t="shared" si="545"/>
        <v>379</v>
      </c>
      <c r="N831" s="20">
        <f t="shared" si="545"/>
        <v>379</v>
      </c>
      <c r="O831" s="20">
        <f t="shared" si="545"/>
        <v>379</v>
      </c>
      <c r="P831" s="20">
        <f t="shared" si="545"/>
        <v>379</v>
      </c>
      <c r="Q831" s="20">
        <f t="shared" si="545"/>
        <v>379</v>
      </c>
      <c r="R831" s="20">
        <f t="shared" si="545"/>
        <v>379</v>
      </c>
      <c r="S831" s="20">
        <f t="shared" si="545"/>
        <v>379</v>
      </c>
      <c r="T831" s="20">
        <f t="shared" si="545"/>
        <v>379</v>
      </c>
      <c r="U831" s="20">
        <f t="shared" si="545"/>
        <v>379</v>
      </c>
      <c r="V831" s="20">
        <f t="shared" si="545"/>
        <v>379</v>
      </c>
      <c r="W831" s="20">
        <f>W829-W830</f>
        <v>379</v>
      </c>
    </row>
    <row r="832" spans="1:23" x14ac:dyDescent="0.3">
      <c r="B832" s="54" t="s">
        <v>66</v>
      </c>
      <c r="C832" s="56">
        <v>7.0000000000000007E-2</v>
      </c>
      <c r="D832" s="20">
        <f>D831*$C832</f>
        <v>26.53</v>
      </c>
      <c r="E832" s="20">
        <f t="shared" ref="E832:V832" si="546">E831*$C832</f>
        <v>26.53</v>
      </c>
      <c r="F832" s="20">
        <f t="shared" si="546"/>
        <v>26.53</v>
      </c>
      <c r="G832" s="20">
        <f t="shared" si="546"/>
        <v>26.53</v>
      </c>
      <c r="H832" s="20">
        <f t="shared" si="546"/>
        <v>26.53</v>
      </c>
      <c r="I832" s="20">
        <f t="shared" si="546"/>
        <v>26.53</v>
      </c>
      <c r="J832" s="20">
        <f t="shared" si="546"/>
        <v>26.53</v>
      </c>
      <c r="K832" s="20">
        <f t="shared" si="546"/>
        <v>26.53</v>
      </c>
      <c r="L832" s="20">
        <f t="shared" si="546"/>
        <v>26.53</v>
      </c>
      <c r="M832" s="20">
        <f t="shared" si="546"/>
        <v>26.53</v>
      </c>
      <c r="N832" s="20">
        <f t="shared" si="546"/>
        <v>26.53</v>
      </c>
      <c r="O832" s="20">
        <f t="shared" si="546"/>
        <v>26.53</v>
      </c>
      <c r="P832" s="20">
        <f t="shared" si="546"/>
        <v>26.53</v>
      </c>
      <c r="Q832" s="20">
        <f t="shared" si="546"/>
        <v>26.53</v>
      </c>
      <c r="R832" s="20">
        <f t="shared" si="546"/>
        <v>26.53</v>
      </c>
      <c r="S832" s="20">
        <f t="shared" si="546"/>
        <v>26.53</v>
      </c>
      <c r="T832" s="20">
        <f t="shared" si="546"/>
        <v>26.53</v>
      </c>
      <c r="U832" s="20">
        <f t="shared" si="546"/>
        <v>26.53</v>
      </c>
      <c r="V832" s="20">
        <f t="shared" si="546"/>
        <v>26.53</v>
      </c>
      <c r="W832" s="20">
        <f>W831*$C832</f>
        <v>26.53</v>
      </c>
    </row>
    <row r="833" spans="2:23" x14ac:dyDescent="0.3">
      <c r="B833" s="54" t="s">
        <v>68</v>
      </c>
      <c r="C833" s="55"/>
      <c r="D833" s="20">
        <f>D831+D832</f>
        <v>405.53</v>
      </c>
      <c r="E833" s="20">
        <f t="shared" ref="E833:V833" si="547">E831+E832</f>
        <v>405.53</v>
      </c>
      <c r="F833" s="20">
        <f t="shared" si="547"/>
        <v>405.53</v>
      </c>
      <c r="G833" s="20">
        <f t="shared" si="547"/>
        <v>405.53</v>
      </c>
      <c r="H833" s="20">
        <f t="shared" si="547"/>
        <v>405.53</v>
      </c>
      <c r="I833" s="20">
        <f t="shared" si="547"/>
        <v>405.53</v>
      </c>
      <c r="J833" s="20">
        <f t="shared" si="547"/>
        <v>405.53</v>
      </c>
      <c r="K833" s="20">
        <f t="shared" si="547"/>
        <v>405.53</v>
      </c>
      <c r="L833" s="20">
        <f t="shared" si="547"/>
        <v>405.53</v>
      </c>
      <c r="M833" s="20">
        <f t="shared" si="547"/>
        <v>405.53</v>
      </c>
      <c r="N833" s="20">
        <f t="shared" si="547"/>
        <v>405.53</v>
      </c>
      <c r="O833" s="20">
        <f t="shared" si="547"/>
        <v>405.53</v>
      </c>
      <c r="P833" s="20">
        <f t="shared" si="547"/>
        <v>405.53</v>
      </c>
      <c r="Q833" s="20">
        <f t="shared" si="547"/>
        <v>405.53</v>
      </c>
      <c r="R833" s="20">
        <f t="shared" si="547"/>
        <v>405.53</v>
      </c>
      <c r="S833" s="20">
        <f t="shared" si="547"/>
        <v>405.53</v>
      </c>
      <c r="T833" s="20">
        <f t="shared" si="547"/>
        <v>405.53</v>
      </c>
      <c r="U833" s="20">
        <f t="shared" si="547"/>
        <v>405.53</v>
      </c>
      <c r="V833" s="20">
        <f t="shared" si="547"/>
        <v>405.53</v>
      </c>
      <c r="W833" s="20">
        <f>W831+W832</f>
        <v>405.53</v>
      </c>
    </row>
    <row r="834" spans="2:23" ht="23" x14ac:dyDescent="0.35">
      <c r="B834" s="54" t="s">
        <v>52</v>
      </c>
      <c r="C834" s="55"/>
      <c r="D834" s="379"/>
      <c r="E834" s="379"/>
      <c r="F834" s="379"/>
      <c r="G834" s="379"/>
      <c r="H834" s="379"/>
      <c r="I834" s="379"/>
      <c r="J834" s="379"/>
      <c r="K834" s="379"/>
      <c r="L834" s="379"/>
      <c r="M834" s="379"/>
      <c r="N834" s="379"/>
      <c r="O834" s="379"/>
      <c r="P834" s="379"/>
      <c r="Q834" s="379"/>
      <c r="R834" s="379"/>
      <c r="S834" s="379"/>
      <c r="T834" s="379"/>
      <c r="U834" s="379"/>
      <c r="V834" s="379"/>
      <c r="W834" s="379"/>
    </row>
    <row r="835" spans="2:23" x14ac:dyDescent="0.3">
      <c r="B835" s="57" t="s">
        <v>53</v>
      </c>
      <c r="C835" s="58"/>
      <c r="D835" s="25">
        <f>SUM(D833:D834)</f>
        <v>405.53</v>
      </c>
      <c r="E835" s="26">
        <f t="shared" ref="E835:V835" si="548">SUM(E833:E834)</f>
        <v>405.53</v>
      </c>
      <c r="F835" s="26">
        <f t="shared" si="548"/>
        <v>405.53</v>
      </c>
      <c r="G835" s="26">
        <f t="shared" si="548"/>
        <v>405.53</v>
      </c>
      <c r="H835" s="26">
        <f t="shared" si="548"/>
        <v>405.53</v>
      </c>
      <c r="I835" s="26">
        <f t="shared" si="548"/>
        <v>405.53</v>
      </c>
      <c r="J835" s="26">
        <f t="shared" si="548"/>
        <v>405.53</v>
      </c>
      <c r="K835" s="26">
        <f t="shared" si="548"/>
        <v>405.53</v>
      </c>
      <c r="L835" s="26">
        <f t="shared" si="548"/>
        <v>405.53</v>
      </c>
      <c r="M835" s="26">
        <f t="shared" si="548"/>
        <v>405.53</v>
      </c>
      <c r="N835" s="26">
        <f t="shared" si="548"/>
        <v>405.53</v>
      </c>
      <c r="O835" s="26">
        <f t="shared" si="548"/>
        <v>405.53</v>
      </c>
      <c r="P835" s="26">
        <f t="shared" si="548"/>
        <v>405.53</v>
      </c>
      <c r="Q835" s="26">
        <f t="shared" si="548"/>
        <v>405.53</v>
      </c>
      <c r="R835" s="26">
        <f t="shared" si="548"/>
        <v>405.53</v>
      </c>
      <c r="S835" s="26">
        <f t="shared" si="548"/>
        <v>405.53</v>
      </c>
      <c r="T835" s="26">
        <f t="shared" si="548"/>
        <v>405.53</v>
      </c>
      <c r="U835" s="26">
        <f t="shared" si="548"/>
        <v>405.53</v>
      </c>
      <c r="V835" s="26">
        <f t="shared" si="548"/>
        <v>405.53</v>
      </c>
      <c r="W835" s="26">
        <f>SUM(W833:W834)</f>
        <v>405.53</v>
      </c>
    </row>
    <row r="836" spans="2:23" x14ac:dyDescent="0.3">
      <c r="B836" s="54" t="s">
        <v>54</v>
      </c>
      <c r="C836" s="55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</row>
    <row r="837" spans="2:23" x14ac:dyDescent="0.3">
      <c r="B837" s="59" t="s">
        <v>55</v>
      </c>
      <c r="C837" s="60"/>
      <c r="D837" s="27">
        <f>D835</f>
        <v>405.53</v>
      </c>
      <c r="E837" s="41">
        <f t="shared" ref="E837:W837" si="549">E835</f>
        <v>405.53</v>
      </c>
      <c r="F837" s="41">
        <f t="shared" si="549"/>
        <v>405.53</v>
      </c>
      <c r="G837" s="41">
        <f t="shared" si="549"/>
        <v>405.53</v>
      </c>
      <c r="H837" s="41">
        <f t="shared" si="549"/>
        <v>405.53</v>
      </c>
      <c r="I837" s="41">
        <f t="shared" si="549"/>
        <v>405.53</v>
      </c>
      <c r="J837" s="41">
        <f t="shared" si="549"/>
        <v>405.53</v>
      </c>
      <c r="K837" s="41">
        <f t="shared" si="549"/>
        <v>405.53</v>
      </c>
      <c r="L837" s="41">
        <f t="shared" si="549"/>
        <v>405.53</v>
      </c>
      <c r="M837" s="41">
        <f t="shared" si="549"/>
        <v>405.53</v>
      </c>
      <c r="N837" s="41">
        <f t="shared" si="549"/>
        <v>405.53</v>
      </c>
      <c r="O837" s="41">
        <f t="shared" si="549"/>
        <v>405.53</v>
      </c>
      <c r="P837" s="41">
        <f t="shared" si="549"/>
        <v>405.53</v>
      </c>
      <c r="Q837" s="41">
        <f t="shared" si="549"/>
        <v>405.53</v>
      </c>
      <c r="R837" s="41">
        <f t="shared" si="549"/>
        <v>405.53</v>
      </c>
      <c r="S837" s="41">
        <f t="shared" si="549"/>
        <v>405.53</v>
      </c>
      <c r="T837" s="41">
        <f t="shared" si="549"/>
        <v>405.53</v>
      </c>
      <c r="U837" s="41">
        <f t="shared" si="549"/>
        <v>405.53</v>
      </c>
      <c r="V837" s="41">
        <f t="shared" si="549"/>
        <v>405.53</v>
      </c>
      <c r="W837" s="41">
        <f t="shared" si="549"/>
        <v>405.53</v>
      </c>
    </row>
    <row r="838" spans="2:23" x14ac:dyDescent="0.3">
      <c r="B838" s="61" t="s">
        <v>194</v>
      </c>
      <c r="C838" s="62"/>
      <c r="D838" s="28">
        <v>205</v>
      </c>
      <c r="E838" s="29">
        <v>239</v>
      </c>
      <c r="F838" s="29">
        <v>245</v>
      </c>
      <c r="G838" s="29">
        <v>234</v>
      </c>
      <c r="H838" s="29">
        <v>224</v>
      </c>
      <c r="I838" s="29">
        <v>234</v>
      </c>
      <c r="J838" s="29">
        <v>244</v>
      </c>
      <c r="K838" s="29">
        <v>238</v>
      </c>
      <c r="L838" s="29">
        <v>241</v>
      </c>
      <c r="M838" s="29">
        <v>228</v>
      </c>
      <c r="N838" s="29">
        <v>212</v>
      </c>
      <c r="O838" s="29">
        <v>212</v>
      </c>
      <c r="P838" s="29">
        <v>212</v>
      </c>
      <c r="Q838" s="29">
        <v>212</v>
      </c>
      <c r="R838" s="29">
        <v>222</v>
      </c>
      <c r="S838" s="29">
        <v>222</v>
      </c>
      <c r="T838" s="29">
        <v>218</v>
      </c>
      <c r="U838" s="29">
        <v>226</v>
      </c>
      <c r="V838" s="29">
        <v>204</v>
      </c>
      <c r="W838" s="29">
        <v>222</v>
      </c>
    </row>
    <row r="839" spans="2:23" x14ac:dyDescent="0.3">
      <c r="B839" s="61" t="s">
        <v>195</v>
      </c>
      <c r="C839" s="62"/>
      <c r="D839" s="28">
        <v>206</v>
      </c>
      <c r="E839" s="29">
        <v>240</v>
      </c>
      <c r="F839" s="29">
        <v>246</v>
      </c>
      <c r="G839" s="29">
        <v>235</v>
      </c>
      <c r="H839" s="29">
        <v>225</v>
      </c>
      <c r="I839" s="29">
        <v>235</v>
      </c>
      <c r="J839" s="29">
        <v>245</v>
      </c>
      <c r="K839" s="29">
        <v>239</v>
      </c>
      <c r="L839" s="29">
        <v>242</v>
      </c>
      <c r="M839" s="29">
        <v>229</v>
      </c>
      <c r="N839" s="29">
        <v>213</v>
      </c>
      <c r="O839" s="29">
        <v>213</v>
      </c>
      <c r="P839" s="29">
        <v>213</v>
      </c>
      <c r="Q839" s="29">
        <v>213</v>
      </c>
      <c r="R839" s="29">
        <v>223</v>
      </c>
      <c r="S839" s="29">
        <v>223</v>
      </c>
      <c r="T839" s="29">
        <v>219</v>
      </c>
      <c r="U839" s="29">
        <v>227</v>
      </c>
      <c r="V839" s="29">
        <v>205</v>
      </c>
      <c r="W839" s="29">
        <v>223</v>
      </c>
    </row>
    <row r="840" spans="2:23" x14ac:dyDescent="0.3">
      <c r="B840" s="61" t="s">
        <v>196</v>
      </c>
      <c r="C840" s="62"/>
      <c r="D840" s="28">
        <v>207</v>
      </c>
      <c r="E840" s="28">
        <v>241</v>
      </c>
      <c r="F840" s="28">
        <v>247</v>
      </c>
      <c r="G840" s="28">
        <v>236</v>
      </c>
      <c r="H840" s="28">
        <v>226</v>
      </c>
      <c r="I840" s="28">
        <v>236</v>
      </c>
      <c r="J840" s="28">
        <v>246</v>
      </c>
      <c r="K840" s="28">
        <v>240</v>
      </c>
      <c r="L840" s="28">
        <v>243</v>
      </c>
      <c r="M840" s="28">
        <v>230</v>
      </c>
      <c r="N840" s="28">
        <v>214</v>
      </c>
      <c r="O840" s="28">
        <v>214</v>
      </c>
      <c r="P840" s="28">
        <v>214</v>
      </c>
      <c r="Q840" s="28">
        <v>214</v>
      </c>
      <c r="R840" s="28">
        <v>224</v>
      </c>
      <c r="S840" s="28">
        <v>224</v>
      </c>
      <c r="T840" s="28">
        <v>220</v>
      </c>
      <c r="U840" s="28">
        <v>228</v>
      </c>
      <c r="V840" s="28">
        <v>206</v>
      </c>
      <c r="W840" s="28">
        <v>224</v>
      </c>
    </row>
    <row r="841" spans="2:23" x14ac:dyDescent="0.3">
      <c r="B841" s="61" t="s">
        <v>197</v>
      </c>
      <c r="C841" s="62"/>
      <c r="D841" s="28">
        <v>208</v>
      </c>
      <c r="E841" s="28">
        <v>242</v>
      </c>
      <c r="F841" s="28">
        <v>248</v>
      </c>
      <c r="G841" s="28">
        <v>237</v>
      </c>
      <c r="H841" s="28">
        <v>227</v>
      </c>
      <c r="I841" s="28">
        <v>237</v>
      </c>
      <c r="J841" s="28">
        <v>247</v>
      </c>
      <c r="K841" s="28">
        <v>241</v>
      </c>
      <c r="L841" s="28">
        <v>244</v>
      </c>
      <c r="M841" s="28">
        <v>231</v>
      </c>
      <c r="N841" s="28">
        <v>215</v>
      </c>
      <c r="O841" s="28">
        <v>215</v>
      </c>
      <c r="P841" s="28">
        <v>215</v>
      </c>
      <c r="Q841" s="28">
        <v>215</v>
      </c>
      <c r="R841" s="28">
        <v>225</v>
      </c>
      <c r="S841" s="28">
        <v>225</v>
      </c>
      <c r="T841" s="28">
        <v>221</v>
      </c>
      <c r="U841" s="28">
        <v>229</v>
      </c>
      <c r="V841" s="28">
        <v>207</v>
      </c>
      <c r="W841" s="28">
        <v>225</v>
      </c>
    </row>
    <row r="842" spans="2:23" x14ac:dyDescent="0.3">
      <c r="B842" s="63" t="s">
        <v>198</v>
      </c>
      <c r="C842" s="64"/>
      <c r="D842" s="31">
        <f>+D838-D$837</f>
        <v>-200.52999999999997</v>
      </c>
      <c r="E842" s="32">
        <f t="shared" ref="E842:W842" si="550">+E838-E$837</f>
        <v>-166.52999999999997</v>
      </c>
      <c r="F842" s="32">
        <f t="shared" si="550"/>
        <v>-160.52999999999997</v>
      </c>
      <c r="G842" s="32">
        <f t="shared" si="550"/>
        <v>-171.52999999999997</v>
      </c>
      <c r="H842" s="32">
        <f t="shared" si="550"/>
        <v>-181.52999999999997</v>
      </c>
      <c r="I842" s="32">
        <f t="shared" si="550"/>
        <v>-171.52999999999997</v>
      </c>
      <c r="J842" s="32">
        <f t="shared" si="550"/>
        <v>-161.52999999999997</v>
      </c>
      <c r="K842" s="32">
        <f t="shared" si="550"/>
        <v>-167.52999999999997</v>
      </c>
      <c r="L842" s="32">
        <f t="shared" si="550"/>
        <v>-164.52999999999997</v>
      </c>
      <c r="M842" s="32">
        <f t="shared" si="550"/>
        <v>-177.52999999999997</v>
      </c>
      <c r="N842" s="32">
        <f t="shared" si="550"/>
        <v>-193.52999999999997</v>
      </c>
      <c r="O842" s="32">
        <f t="shared" si="550"/>
        <v>-193.52999999999997</v>
      </c>
      <c r="P842" s="32">
        <f t="shared" si="550"/>
        <v>-193.52999999999997</v>
      </c>
      <c r="Q842" s="32">
        <f t="shared" si="550"/>
        <v>-193.52999999999997</v>
      </c>
      <c r="R842" s="32">
        <f t="shared" si="550"/>
        <v>-183.52999999999997</v>
      </c>
      <c r="S842" s="32">
        <f t="shared" si="550"/>
        <v>-183.52999999999997</v>
      </c>
      <c r="T842" s="32">
        <f t="shared" si="550"/>
        <v>-187.52999999999997</v>
      </c>
      <c r="U842" s="32">
        <f t="shared" si="550"/>
        <v>-179.52999999999997</v>
      </c>
      <c r="V842" s="32">
        <f t="shared" si="550"/>
        <v>-201.52999999999997</v>
      </c>
      <c r="W842" s="32">
        <f t="shared" si="550"/>
        <v>-183.52999999999997</v>
      </c>
    </row>
    <row r="843" spans="2:23" x14ac:dyDescent="0.3">
      <c r="B843" s="63" t="s">
        <v>199</v>
      </c>
      <c r="C843" s="64"/>
      <c r="D843" s="31">
        <f>+D839-D$837</f>
        <v>-199.52999999999997</v>
      </c>
      <c r="E843" s="32">
        <f t="shared" ref="E843:W843" si="551">+E839-E$837</f>
        <v>-165.52999999999997</v>
      </c>
      <c r="F843" s="32">
        <f t="shared" si="551"/>
        <v>-159.52999999999997</v>
      </c>
      <c r="G843" s="32">
        <f t="shared" si="551"/>
        <v>-170.52999999999997</v>
      </c>
      <c r="H843" s="32">
        <f t="shared" si="551"/>
        <v>-180.52999999999997</v>
      </c>
      <c r="I843" s="32">
        <f t="shared" si="551"/>
        <v>-170.52999999999997</v>
      </c>
      <c r="J843" s="32">
        <f t="shared" si="551"/>
        <v>-160.52999999999997</v>
      </c>
      <c r="K843" s="32">
        <f t="shared" si="551"/>
        <v>-166.52999999999997</v>
      </c>
      <c r="L843" s="32">
        <f t="shared" si="551"/>
        <v>-163.52999999999997</v>
      </c>
      <c r="M843" s="32">
        <f t="shared" si="551"/>
        <v>-176.52999999999997</v>
      </c>
      <c r="N843" s="32">
        <f t="shared" si="551"/>
        <v>-192.52999999999997</v>
      </c>
      <c r="O843" s="32">
        <f t="shared" si="551"/>
        <v>-192.52999999999997</v>
      </c>
      <c r="P843" s="32">
        <f t="shared" si="551"/>
        <v>-192.52999999999997</v>
      </c>
      <c r="Q843" s="32">
        <f t="shared" si="551"/>
        <v>-192.52999999999997</v>
      </c>
      <c r="R843" s="32">
        <f t="shared" si="551"/>
        <v>-182.52999999999997</v>
      </c>
      <c r="S843" s="32">
        <f t="shared" si="551"/>
        <v>-182.52999999999997</v>
      </c>
      <c r="T843" s="32">
        <f t="shared" si="551"/>
        <v>-186.52999999999997</v>
      </c>
      <c r="U843" s="32">
        <f t="shared" si="551"/>
        <v>-178.52999999999997</v>
      </c>
      <c r="V843" s="32">
        <f t="shared" si="551"/>
        <v>-200.52999999999997</v>
      </c>
      <c r="W843" s="32">
        <f t="shared" si="551"/>
        <v>-182.52999999999997</v>
      </c>
    </row>
    <row r="844" spans="2:23" x14ac:dyDescent="0.3">
      <c r="B844" s="63" t="s">
        <v>200</v>
      </c>
      <c r="C844" s="64"/>
      <c r="D844" s="31">
        <f>+D840-D$837</f>
        <v>-198.52999999999997</v>
      </c>
      <c r="E844" s="34">
        <f t="shared" ref="E844:W844" si="552">+E840-E$837</f>
        <v>-164.52999999999997</v>
      </c>
      <c r="F844" s="34">
        <f t="shared" si="552"/>
        <v>-158.52999999999997</v>
      </c>
      <c r="G844" s="34">
        <f t="shared" si="552"/>
        <v>-169.52999999999997</v>
      </c>
      <c r="H844" s="34">
        <f t="shared" si="552"/>
        <v>-179.52999999999997</v>
      </c>
      <c r="I844" s="34">
        <f t="shared" si="552"/>
        <v>-169.52999999999997</v>
      </c>
      <c r="J844" s="34">
        <f t="shared" si="552"/>
        <v>-159.52999999999997</v>
      </c>
      <c r="K844" s="34">
        <f t="shared" si="552"/>
        <v>-165.52999999999997</v>
      </c>
      <c r="L844" s="34">
        <f t="shared" si="552"/>
        <v>-162.52999999999997</v>
      </c>
      <c r="M844" s="34">
        <f t="shared" si="552"/>
        <v>-175.52999999999997</v>
      </c>
      <c r="N844" s="34">
        <f t="shared" si="552"/>
        <v>-191.52999999999997</v>
      </c>
      <c r="O844" s="34">
        <f t="shared" si="552"/>
        <v>-191.52999999999997</v>
      </c>
      <c r="P844" s="34">
        <f t="shared" si="552"/>
        <v>-191.52999999999997</v>
      </c>
      <c r="Q844" s="34">
        <f t="shared" si="552"/>
        <v>-191.52999999999997</v>
      </c>
      <c r="R844" s="34">
        <f t="shared" si="552"/>
        <v>-181.52999999999997</v>
      </c>
      <c r="S844" s="34">
        <f t="shared" si="552"/>
        <v>-181.52999999999997</v>
      </c>
      <c r="T844" s="34">
        <f t="shared" si="552"/>
        <v>-185.52999999999997</v>
      </c>
      <c r="U844" s="34">
        <f t="shared" si="552"/>
        <v>-177.52999999999997</v>
      </c>
      <c r="V844" s="34">
        <f t="shared" si="552"/>
        <v>-199.52999999999997</v>
      </c>
      <c r="W844" s="34">
        <f t="shared" si="552"/>
        <v>-181.52999999999997</v>
      </c>
    </row>
    <row r="845" spans="2:23" x14ac:dyDescent="0.3">
      <c r="B845" s="63" t="s">
        <v>201</v>
      </c>
      <c r="C845" s="64"/>
      <c r="D845" s="31">
        <f>+D841-D$837</f>
        <v>-197.52999999999997</v>
      </c>
      <c r="E845" s="34">
        <f t="shared" ref="E845:W845" si="553">+E841-E$837</f>
        <v>-163.52999999999997</v>
      </c>
      <c r="F845" s="34">
        <f t="shared" si="553"/>
        <v>-157.52999999999997</v>
      </c>
      <c r="G845" s="34">
        <f t="shared" si="553"/>
        <v>-168.52999999999997</v>
      </c>
      <c r="H845" s="34">
        <f t="shared" si="553"/>
        <v>-178.52999999999997</v>
      </c>
      <c r="I845" s="34">
        <f t="shared" si="553"/>
        <v>-168.52999999999997</v>
      </c>
      <c r="J845" s="34">
        <f t="shared" si="553"/>
        <v>-158.52999999999997</v>
      </c>
      <c r="K845" s="34">
        <f t="shared" si="553"/>
        <v>-164.52999999999997</v>
      </c>
      <c r="L845" s="34">
        <f t="shared" si="553"/>
        <v>-161.52999999999997</v>
      </c>
      <c r="M845" s="34">
        <f t="shared" si="553"/>
        <v>-174.52999999999997</v>
      </c>
      <c r="N845" s="34">
        <f t="shared" si="553"/>
        <v>-190.52999999999997</v>
      </c>
      <c r="O845" s="34">
        <f t="shared" si="553"/>
        <v>-190.52999999999997</v>
      </c>
      <c r="P845" s="34">
        <f t="shared" si="553"/>
        <v>-190.52999999999997</v>
      </c>
      <c r="Q845" s="34">
        <f t="shared" si="553"/>
        <v>-190.52999999999997</v>
      </c>
      <c r="R845" s="34">
        <f t="shared" si="553"/>
        <v>-180.52999999999997</v>
      </c>
      <c r="S845" s="34">
        <f t="shared" si="553"/>
        <v>-180.52999999999997</v>
      </c>
      <c r="T845" s="34">
        <f t="shared" si="553"/>
        <v>-184.52999999999997</v>
      </c>
      <c r="U845" s="34">
        <f t="shared" si="553"/>
        <v>-176.52999999999997</v>
      </c>
      <c r="V845" s="34">
        <f t="shared" si="553"/>
        <v>-198.52999999999997</v>
      </c>
      <c r="W845" s="34">
        <f t="shared" si="553"/>
        <v>-180.52999999999997</v>
      </c>
    </row>
    <row r="846" spans="2:23" x14ac:dyDescent="0.3">
      <c r="B846" s="97" t="s">
        <v>202</v>
      </c>
      <c r="C846" s="98"/>
      <c r="D846" s="99">
        <f>D842/D838</f>
        <v>-0.97819512195121938</v>
      </c>
      <c r="E846" s="99">
        <f t="shared" ref="E846:W846" si="554">E842/E838</f>
        <v>-0.69677824267782418</v>
      </c>
      <c r="F846" s="99">
        <f t="shared" si="554"/>
        <v>-0.6552244897959183</v>
      </c>
      <c r="G846" s="99">
        <f t="shared" si="554"/>
        <v>-0.73303418803418796</v>
      </c>
      <c r="H846" s="99">
        <f t="shared" si="554"/>
        <v>-0.81040178571428556</v>
      </c>
      <c r="I846" s="99">
        <f t="shared" si="554"/>
        <v>-0.73303418803418796</v>
      </c>
      <c r="J846" s="99">
        <f t="shared" si="554"/>
        <v>-0.66200819672131139</v>
      </c>
      <c r="K846" s="99">
        <f t="shared" si="554"/>
        <v>-0.70390756302520996</v>
      </c>
      <c r="L846" s="99">
        <f t="shared" si="554"/>
        <v>-0.68269709543568458</v>
      </c>
      <c r="M846" s="99">
        <f t="shared" si="554"/>
        <v>-0.77864035087719285</v>
      </c>
      <c r="N846" s="99">
        <f t="shared" si="554"/>
        <v>-0.91287735849056595</v>
      </c>
      <c r="O846" s="99">
        <f t="shared" si="554"/>
        <v>-0.91287735849056595</v>
      </c>
      <c r="P846" s="99">
        <f t="shared" si="554"/>
        <v>-0.91287735849056595</v>
      </c>
      <c r="Q846" s="99">
        <f t="shared" si="554"/>
        <v>-0.91287735849056595</v>
      </c>
      <c r="R846" s="99">
        <f t="shared" si="554"/>
        <v>-0.82671171171171154</v>
      </c>
      <c r="S846" s="99">
        <f t="shared" si="554"/>
        <v>-0.82671171171171154</v>
      </c>
      <c r="T846" s="99">
        <f t="shared" si="554"/>
        <v>-0.86022935779816501</v>
      </c>
      <c r="U846" s="99">
        <f t="shared" si="554"/>
        <v>-0.79438053097345118</v>
      </c>
      <c r="V846" s="99">
        <f t="shared" si="554"/>
        <v>-0.98789215686274501</v>
      </c>
      <c r="W846" s="99">
        <f t="shared" si="554"/>
        <v>-0.82671171171171154</v>
      </c>
    </row>
    <row r="847" spans="2:23" x14ac:dyDescent="0.3">
      <c r="B847" s="97" t="s">
        <v>203</v>
      </c>
      <c r="C847" s="98"/>
      <c r="D847" s="99">
        <f>D843/D839</f>
        <v>-0.96859223300970865</v>
      </c>
      <c r="E847" s="99">
        <f t="shared" ref="E847:W847" si="555">E843/E839</f>
        <v>-0.68970833333333326</v>
      </c>
      <c r="F847" s="99">
        <f t="shared" si="555"/>
        <v>-0.64849593495934943</v>
      </c>
      <c r="G847" s="99">
        <f t="shared" si="555"/>
        <v>-0.72565957446808504</v>
      </c>
      <c r="H847" s="99">
        <f t="shared" si="555"/>
        <v>-0.80235555555555549</v>
      </c>
      <c r="I847" s="99">
        <f t="shared" si="555"/>
        <v>-0.72565957446808504</v>
      </c>
      <c r="J847" s="99">
        <f t="shared" si="555"/>
        <v>-0.6552244897959183</v>
      </c>
      <c r="K847" s="99">
        <f t="shared" si="555"/>
        <v>-0.69677824267782418</v>
      </c>
      <c r="L847" s="99">
        <f t="shared" si="555"/>
        <v>-0.6757438016528925</v>
      </c>
      <c r="M847" s="99">
        <f t="shared" si="555"/>
        <v>-0.77087336244541471</v>
      </c>
      <c r="N847" s="99">
        <f t="shared" si="555"/>
        <v>-0.90389671361502333</v>
      </c>
      <c r="O847" s="99">
        <f t="shared" si="555"/>
        <v>-0.90389671361502333</v>
      </c>
      <c r="P847" s="99">
        <f t="shared" si="555"/>
        <v>-0.90389671361502333</v>
      </c>
      <c r="Q847" s="99">
        <f t="shared" si="555"/>
        <v>-0.90389671361502333</v>
      </c>
      <c r="R847" s="99">
        <f t="shared" si="555"/>
        <v>-0.81852017937219723</v>
      </c>
      <c r="S847" s="99">
        <f t="shared" si="555"/>
        <v>-0.81852017937219723</v>
      </c>
      <c r="T847" s="99">
        <f t="shared" si="555"/>
        <v>-0.85173515981735148</v>
      </c>
      <c r="U847" s="99">
        <f t="shared" si="555"/>
        <v>-0.78647577092511001</v>
      </c>
      <c r="V847" s="99">
        <f t="shared" si="555"/>
        <v>-0.97819512195121938</v>
      </c>
      <c r="W847" s="99">
        <f t="shared" si="555"/>
        <v>-0.81852017937219723</v>
      </c>
    </row>
    <row r="848" spans="2:23" x14ac:dyDescent="0.3">
      <c r="B848" s="97" t="s">
        <v>204</v>
      </c>
      <c r="C848" s="98"/>
      <c r="D848" s="99">
        <f>D844/D840</f>
        <v>-0.95908212560386463</v>
      </c>
      <c r="E848" s="99">
        <f t="shared" ref="E848:W848" si="556">E844/E840</f>
        <v>-0.68269709543568458</v>
      </c>
      <c r="F848" s="99">
        <f t="shared" si="556"/>
        <v>-0.64182186234817806</v>
      </c>
      <c r="G848" s="99">
        <f t="shared" si="556"/>
        <v>-0.71834745762711849</v>
      </c>
      <c r="H848" s="99">
        <f t="shared" si="556"/>
        <v>-0.79438053097345118</v>
      </c>
      <c r="I848" s="99">
        <f t="shared" si="556"/>
        <v>-0.71834745762711849</v>
      </c>
      <c r="J848" s="99">
        <f t="shared" si="556"/>
        <v>-0.64849593495934943</v>
      </c>
      <c r="K848" s="99">
        <f t="shared" si="556"/>
        <v>-0.68970833333333326</v>
      </c>
      <c r="L848" s="99">
        <f t="shared" si="556"/>
        <v>-0.66884773662551433</v>
      </c>
      <c r="M848" s="99">
        <f t="shared" si="556"/>
        <v>-0.76317391304347815</v>
      </c>
      <c r="N848" s="99">
        <f t="shared" si="556"/>
        <v>-0.89499999999999991</v>
      </c>
      <c r="O848" s="99">
        <f t="shared" si="556"/>
        <v>-0.89499999999999991</v>
      </c>
      <c r="P848" s="99">
        <f t="shared" si="556"/>
        <v>-0.89499999999999991</v>
      </c>
      <c r="Q848" s="99">
        <f t="shared" si="556"/>
        <v>-0.89499999999999991</v>
      </c>
      <c r="R848" s="99">
        <f t="shared" si="556"/>
        <v>-0.81040178571428556</v>
      </c>
      <c r="S848" s="99">
        <f t="shared" si="556"/>
        <v>-0.81040178571428556</v>
      </c>
      <c r="T848" s="99">
        <f t="shared" si="556"/>
        <v>-0.84331818181818174</v>
      </c>
      <c r="U848" s="99">
        <f t="shared" si="556"/>
        <v>-0.77864035087719285</v>
      </c>
      <c r="V848" s="99">
        <f t="shared" si="556"/>
        <v>-0.96859223300970865</v>
      </c>
      <c r="W848" s="99">
        <f t="shared" si="556"/>
        <v>-0.81040178571428556</v>
      </c>
    </row>
    <row r="849" spans="1:23" x14ac:dyDescent="0.3">
      <c r="B849" s="97" t="s">
        <v>205</v>
      </c>
      <c r="C849" s="98"/>
      <c r="D849" s="99">
        <f>D845/D841</f>
        <v>-0.94966346153846137</v>
      </c>
      <c r="E849" s="99">
        <f t="shared" ref="E849:W849" si="557">E845/E841</f>
        <v>-0.6757438016528925</v>
      </c>
      <c r="F849" s="99">
        <f t="shared" si="557"/>
        <v>-0.63520161290322574</v>
      </c>
      <c r="G849" s="99">
        <f t="shared" si="557"/>
        <v>-0.71109704641350202</v>
      </c>
      <c r="H849" s="99">
        <f t="shared" si="557"/>
        <v>-0.78647577092511001</v>
      </c>
      <c r="I849" s="99">
        <f t="shared" si="557"/>
        <v>-0.71109704641350202</v>
      </c>
      <c r="J849" s="99">
        <f t="shared" si="557"/>
        <v>-0.64182186234817806</v>
      </c>
      <c r="K849" s="99">
        <f t="shared" si="557"/>
        <v>-0.68269709543568458</v>
      </c>
      <c r="L849" s="99">
        <f t="shared" si="557"/>
        <v>-0.66200819672131139</v>
      </c>
      <c r="M849" s="99">
        <f t="shared" si="557"/>
        <v>-0.7555411255411254</v>
      </c>
      <c r="N849" s="99">
        <f t="shared" si="557"/>
        <v>-0.8861860465116278</v>
      </c>
      <c r="O849" s="99">
        <f t="shared" si="557"/>
        <v>-0.8861860465116278</v>
      </c>
      <c r="P849" s="99">
        <f t="shared" si="557"/>
        <v>-0.8861860465116278</v>
      </c>
      <c r="Q849" s="99">
        <f t="shared" si="557"/>
        <v>-0.8861860465116278</v>
      </c>
      <c r="R849" s="99">
        <f t="shared" si="557"/>
        <v>-0.80235555555555549</v>
      </c>
      <c r="S849" s="99">
        <f t="shared" si="557"/>
        <v>-0.80235555555555549</v>
      </c>
      <c r="T849" s="99">
        <f t="shared" si="557"/>
        <v>-0.83497737556561069</v>
      </c>
      <c r="U849" s="99">
        <f t="shared" si="557"/>
        <v>-0.77087336244541471</v>
      </c>
      <c r="V849" s="99">
        <f t="shared" si="557"/>
        <v>-0.95908212560386463</v>
      </c>
      <c r="W849" s="99">
        <f t="shared" si="557"/>
        <v>-0.80235555555555549</v>
      </c>
    </row>
    <row r="850" spans="1:23" ht="21" thickBot="1" x14ac:dyDescent="0.35"/>
    <row r="851" spans="1:23" ht="21" thickBot="1" x14ac:dyDescent="0.35">
      <c r="A851" s="19" t="s">
        <v>306</v>
      </c>
      <c r="B851" s="74" t="s">
        <v>218</v>
      </c>
      <c r="C851" s="68"/>
      <c r="D851" s="17" t="s">
        <v>5</v>
      </c>
      <c r="E851" s="18" t="s">
        <v>6</v>
      </c>
      <c r="F851" s="18" t="s">
        <v>7</v>
      </c>
      <c r="G851" s="18" t="s">
        <v>8</v>
      </c>
      <c r="H851" s="18" t="s">
        <v>9</v>
      </c>
      <c r="I851" s="18" t="s">
        <v>10</v>
      </c>
      <c r="J851" s="18" t="s">
        <v>11</v>
      </c>
      <c r="K851" s="18" t="s">
        <v>12</v>
      </c>
      <c r="L851" s="18" t="s">
        <v>13</v>
      </c>
      <c r="M851" s="18" t="s">
        <v>14</v>
      </c>
      <c r="N851" s="18" t="s">
        <v>15</v>
      </c>
      <c r="O851" s="18" t="s">
        <v>16</v>
      </c>
      <c r="P851" s="18" t="s">
        <v>17</v>
      </c>
      <c r="Q851" s="18" t="s">
        <v>18</v>
      </c>
      <c r="R851" s="18" t="s">
        <v>19</v>
      </c>
      <c r="S851" s="18" t="s">
        <v>20</v>
      </c>
      <c r="T851" s="18" t="s">
        <v>21</v>
      </c>
      <c r="U851" s="18" t="s">
        <v>22</v>
      </c>
      <c r="V851" s="18" t="s">
        <v>23</v>
      </c>
      <c r="W851" s="18" t="s">
        <v>166</v>
      </c>
    </row>
    <row r="852" spans="1:23" x14ac:dyDescent="0.3">
      <c r="B852" s="54" t="s">
        <v>50</v>
      </c>
      <c r="C852" s="55"/>
      <c r="D852" s="20">
        <v>270</v>
      </c>
      <c r="E852" s="21">
        <v>270</v>
      </c>
      <c r="F852" s="21">
        <v>270</v>
      </c>
      <c r="G852" s="21">
        <v>270</v>
      </c>
      <c r="H852" s="21">
        <v>270</v>
      </c>
      <c r="I852" s="21">
        <v>270</v>
      </c>
      <c r="J852" s="21">
        <v>270</v>
      </c>
      <c r="K852" s="21">
        <v>270</v>
      </c>
      <c r="L852" s="21">
        <v>270</v>
      </c>
      <c r="M852" s="21">
        <v>270</v>
      </c>
      <c r="N852" s="21">
        <v>270</v>
      </c>
      <c r="O852" s="21">
        <v>270</v>
      </c>
      <c r="P852" s="21">
        <v>270</v>
      </c>
      <c r="Q852" s="21">
        <v>270</v>
      </c>
      <c r="R852" s="21">
        <v>270</v>
      </c>
      <c r="S852" s="21">
        <v>270</v>
      </c>
      <c r="T852" s="21">
        <v>270</v>
      </c>
      <c r="U852" s="21">
        <v>270</v>
      </c>
      <c r="V852" s="21">
        <v>270</v>
      </c>
      <c r="W852" s="21">
        <v>270</v>
      </c>
    </row>
    <row r="853" spans="1:23" x14ac:dyDescent="0.3">
      <c r="B853" s="54" t="s">
        <v>51</v>
      </c>
      <c r="C853" s="55"/>
      <c r="D853" s="384"/>
      <c r="E853" s="384"/>
      <c r="F853" s="384"/>
      <c r="G853" s="384"/>
      <c r="H853" s="384"/>
      <c r="I853" s="385"/>
      <c r="J853" s="385"/>
      <c r="K853" s="385"/>
      <c r="L853" s="385"/>
      <c r="M853" s="385"/>
      <c r="N853" s="384"/>
      <c r="O853" s="384"/>
      <c r="P853" s="384"/>
      <c r="Q853" s="384"/>
      <c r="R853" s="385"/>
      <c r="S853" s="385"/>
      <c r="T853" s="385"/>
      <c r="U853" s="385"/>
      <c r="V853" s="385"/>
      <c r="W853" s="385"/>
    </row>
    <row r="854" spans="1:23" x14ac:dyDescent="0.3">
      <c r="B854" s="54"/>
      <c r="C854" s="55"/>
      <c r="D854" s="20">
        <f t="shared" ref="D854:V854" si="558">D852*(1-D853)</f>
        <v>270</v>
      </c>
      <c r="E854" s="20">
        <f t="shared" si="558"/>
        <v>270</v>
      </c>
      <c r="F854" s="20">
        <f t="shared" si="558"/>
        <v>270</v>
      </c>
      <c r="G854" s="20">
        <f t="shared" si="558"/>
        <v>270</v>
      </c>
      <c r="H854" s="20">
        <f t="shared" si="558"/>
        <v>270</v>
      </c>
      <c r="I854" s="20">
        <f t="shared" si="558"/>
        <v>270</v>
      </c>
      <c r="J854" s="20">
        <f t="shared" si="558"/>
        <v>270</v>
      </c>
      <c r="K854" s="20">
        <f t="shared" si="558"/>
        <v>270</v>
      </c>
      <c r="L854" s="20">
        <f t="shared" si="558"/>
        <v>270</v>
      </c>
      <c r="M854" s="20">
        <f t="shared" si="558"/>
        <v>270</v>
      </c>
      <c r="N854" s="20">
        <f t="shared" si="558"/>
        <v>270</v>
      </c>
      <c r="O854" s="20">
        <f t="shared" si="558"/>
        <v>270</v>
      </c>
      <c r="P854" s="20">
        <f t="shared" si="558"/>
        <v>270</v>
      </c>
      <c r="Q854" s="20">
        <f t="shared" si="558"/>
        <v>270</v>
      </c>
      <c r="R854" s="20">
        <f t="shared" si="558"/>
        <v>270</v>
      </c>
      <c r="S854" s="20">
        <f t="shared" si="558"/>
        <v>270</v>
      </c>
      <c r="T854" s="20">
        <f t="shared" si="558"/>
        <v>270</v>
      </c>
      <c r="U854" s="20">
        <f t="shared" si="558"/>
        <v>270</v>
      </c>
      <c r="V854" s="20">
        <f t="shared" si="558"/>
        <v>270</v>
      </c>
      <c r="W854" s="20">
        <f>W852*(1-W853)</f>
        <v>270</v>
      </c>
    </row>
    <row r="855" spans="1:23" x14ac:dyDescent="0.3">
      <c r="B855" s="54" t="s">
        <v>51</v>
      </c>
      <c r="C855" s="56">
        <v>0</v>
      </c>
      <c r="D855" s="20">
        <f>D854*$C855</f>
        <v>0</v>
      </c>
      <c r="E855" s="20">
        <f t="shared" ref="E855:V855" si="559">E854*$C855</f>
        <v>0</v>
      </c>
      <c r="F855" s="20">
        <f t="shared" si="559"/>
        <v>0</v>
      </c>
      <c r="G855" s="20">
        <f t="shared" si="559"/>
        <v>0</v>
      </c>
      <c r="H855" s="20">
        <f t="shared" si="559"/>
        <v>0</v>
      </c>
      <c r="I855" s="20">
        <f t="shared" si="559"/>
        <v>0</v>
      </c>
      <c r="J855" s="20">
        <f t="shared" si="559"/>
        <v>0</v>
      </c>
      <c r="K855" s="20">
        <f t="shared" si="559"/>
        <v>0</v>
      </c>
      <c r="L855" s="20">
        <f t="shared" si="559"/>
        <v>0</v>
      </c>
      <c r="M855" s="20">
        <f t="shared" si="559"/>
        <v>0</v>
      </c>
      <c r="N855" s="20">
        <f t="shared" si="559"/>
        <v>0</v>
      </c>
      <c r="O855" s="20">
        <f t="shared" si="559"/>
        <v>0</v>
      </c>
      <c r="P855" s="20">
        <f t="shared" si="559"/>
        <v>0</v>
      </c>
      <c r="Q855" s="20">
        <f t="shared" si="559"/>
        <v>0</v>
      </c>
      <c r="R855" s="20">
        <f t="shared" si="559"/>
        <v>0</v>
      </c>
      <c r="S855" s="20">
        <f t="shared" si="559"/>
        <v>0</v>
      </c>
      <c r="T855" s="20">
        <f t="shared" si="559"/>
        <v>0</v>
      </c>
      <c r="U855" s="20">
        <f t="shared" si="559"/>
        <v>0</v>
      </c>
      <c r="V855" s="20">
        <f t="shared" si="559"/>
        <v>0</v>
      </c>
      <c r="W855" s="20">
        <f>W854*$C855</f>
        <v>0</v>
      </c>
    </row>
    <row r="856" spans="1:23" x14ac:dyDescent="0.3">
      <c r="B856" s="54" t="s">
        <v>67</v>
      </c>
      <c r="C856" s="55"/>
      <c r="D856" s="20">
        <f>D854-D855</f>
        <v>270</v>
      </c>
      <c r="E856" s="20">
        <f t="shared" ref="E856:V856" si="560">E854-E855</f>
        <v>270</v>
      </c>
      <c r="F856" s="20">
        <f t="shared" si="560"/>
        <v>270</v>
      </c>
      <c r="G856" s="20">
        <f t="shared" si="560"/>
        <v>270</v>
      </c>
      <c r="H856" s="20">
        <f t="shared" si="560"/>
        <v>270</v>
      </c>
      <c r="I856" s="20">
        <f t="shared" si="560"/>
        <v>270</v>
      </c>
      <c r="J856" s="20">
        <f t="shared" si="560"/>
        <v>270</v>
      </c>
      <c r="K856" s="20">
        <f t="shared" si="560"/>
        <v>270</v>
      </c>
      <c r="L856" s="20">
        <f t="shared" si="560"/>
        <v>270</v>
      </c>
      <c r="M856" s="20">
        <f t="shared" si="560"/>
        <v>270</v>
      </c>
      <c r="N856" s="20">
        <f t="shared" si="560"/>
        <v>270</v>
      </c>
      <c r="O856" s="20">
        <f t="shared" si="560"/>
        <v>270</v>
      </c>
      <c r="P856" s="20">
        <f t="shared" si="560"/>
        <v>270</v>
      </c>
      <c r="Q856" s="20">
        <f t="shared" si="560"/>
        <v>270</v>
      </c>
      <c r="R856" s="20">
        <f t="shared" si="560"/>
        <v>270</v>
      </c>
      <c r="S856" s="20">
        <f t="shared" si="560"/>
        <v>270</v>
      </c>
      <c r="T856" s="20">
        <f t="shared" si="560"/>
        <v>270</v>
      </c>
      <c r="U856" s="20">
        <f t="shared" si="560"/>
        <v>270</v>
      </c>
      <c r="V856" s="20">
        <f t="shared" si="560"/>
        <v>270</v>
      </c>
      <c r="W856" s="20">
        <f>W854-W855</f>
        <v>270</v>
      </c>
    </row>
    <row r="857" spans="1:23" x14ac:dyDescent="0.3">
      <c r="B857" s="54" t="s">
        <v>66</v>
      </c>
      <c r="C857" s="56">
        <v>7.0000000000000007E-2</v>
      </c>
      <c r="D857" s="20">
        <f>D856*$C857</f>
        <v>18.900000000000002</v>
      </c>
      <c r="E857" s="20">
        <f t="shared" ref="E857:V857" si="561">E856*$C857</f>
        <v>18.900000000000002</v>
      </c>
      <c r="F857" s="20">
        <f t="shared" si="561"/>
        <v>18.900000000000002</v>
      </c>
      <c r="G857" s="20">
        <f t="shared" si="561"/>
        <v>18.900000000000002</v>
      </c>
      <c r="H857" s="20">
        <f t="shared" si="561"/>
        <v>18.900000000000002</v>
      </c>
      <c r="I857" s="20">
        <f t="shared" si="561"/>
        <v>18.900000000000002</v>
      </c>
      <c r="J857" s="20">
        <f t="shared" si="561"/>
        <v>18.900000000000002</v>
      </c>
      <c r="K857" s="20">
        <f t="shared" si="561"/>
        <v>18.900000000000002</v>
      </c>
      <c r="L857" s="20">
        <f t="shared" si="561"/>
        <v>18.900000000000002</v>
      </c>
      <c r="M857" s="20">
        <f t="shared" si="561"/>
        <v>18.900000000000002</v>
      </c>
      <c r="N857" s="20">
        <f t="shared" si="561"/>
        <v>18.900000000000002</v>
      </c>
      <c r="O857" s="20">
        <f t="shared" si="561"/>
        <v>18.900000000000002</v>
      </c>
      <c r="P857" s="20">
        <f t="shared" si="561"/>
        <v>18.900000000000002</v>
      </c>
      <c r="Q857" s="20">
        <f t="shared" si="561"/>
        <v>18.900000000000002</v>
      </c>
      <c r="R857" s="20">
        <f t="shared" si="561"/>
        <v>18.900000000000002</v>
      </c>
      <c r="S857" s="20">
        <f t="shared" si="561"/>
        <v>18.900000000000002</v>
      </c>
      <c r="T857" s="20">
        <f t="shared" si="561"/>
        <v>18.900000000000002</v>
      </c>
      <c r="U857" s="20">
        <f t="shared" si="561"/>
        <v>18.900000000000002</v>
      </c>
      <c r="V857" s="20">
        <f t="shared" si="561"/>
        <v>18.900000000000002</v>
      </c>
      <c r="W857" s="20">
        <f>W856*$C857</f>
        <v>18.900000000000002</v>
      </c>
    </row>
    <row r="858" spans="1:23" x14ac:dyDescent="0.3">
      <c r="B858" s="54" t="s">
        <v>68</v>
      </c>
      <c r="C858" s="55"/>
      <c r="D858" s="20">
        <f>D856+D857</f>
        <v>288.89999999999998</v>
      </c>
      <c r="E858" s="20">
        <f t="shared" ref="E858:V858" si="562">E856+E857</f>
        <v>288.89999999999998</v>
      </c>
      <c r="F858" s="20">
        <f t="shared" si="562"/>
        <v>288.89999999999998</v>
      </c>
      <c r="G858" s="20">
        <f t="shared" si="562"/>
        <v>288.89999999999998</v>
      </c>
      <c r="H858" s="20">
        <f t="shared" si="562"/>
        <v>288.89999999999998</v>
      </c>
      <c r="I858" s="20">
        <f t="shared" si="562"/>
        <v>288.89999999999998</v>
      </c>
      <c r="J858" s="20">
        <f t="shared" si="562"/>
        <v>288.89999999999998</v>
      </c>
      <c r="K858" s="20">
        <f t="shared" si="562"/>
        <v>288.89999999999998</v>
      </c>
      <c r="L858" s="20">
        <f t="shared" si="562"/>
        <v>288.89999999999998</v>
      </c>
      <c r="M858" s="20">
        <f t="shared" si="562"/>
        <v>288.89999999999998</v>
      </c>
      <c r="N858" s="20">
        <f t="shared" si="562"/>
        <v>288.89999999999998</v>
      </c>
      <c r="O858" s="20">
        <f t="shared" si="562"/>
        <v>288.89999999999998</v>
      </c>
      <c r="P858" s="20">
        <f t="shared" si="562"/>
        <v>288.89999999999998</v>
      </c>
      <c r="Q858" s="20">
        <f t="shared" si="562"/>
        <v>288.89999999999998</v>
      </c>
      <c r="R858" s="20">
        <f t="shared" si="562"/>
        <v>288.89999999999998</v>
      </c>
      <c r="S858" s="20">
        <f t="shared" si="562"/>
        <v>288.89999999999998</v>
      </c>
      <c r="T858" s="20">
        <f t="shared" si="562"/>
        <v>288.89999999999998</v>
      </c>
      <c r="U858" s="20">
        <f t="shared" si="562"/>
        <v>288.89999999999998</v>
      </c>
      <c r="V858" s="20">
        <f t="shared" si="562"/>
        <v>288.89999999999998</v>
      </c>
      <c r="W858" s="20">
        <f>W856+W857</f>
        <v>288.89999999999998</v>
      </c>
    </row>
    <row r="859" spans="1:23" ht="23" x14ac:dyDescent="0.35">
      <c r="B859" s="54" t="s">
        <v>52</v>
      </c>
      <c r="C859" s="55"/>
      <c r="D859" s="379"/>
      <c r="E859" s="379"/>
      <c r="F859" s="379"/>
      <c r="G859" s="379"/>
      <c r="H859" s="379"/>
      <c r="I859" s="379"/>
      <c r="J859" s="379"/>
      <c r="K859" s="379"/>
      <c r="L859" s="379"/>
      <c r="M859" s="379"/>
      <c r="N859" s="379"/>
      <c r="O859" s="379"/>
      <c r="P859" s="379"/>
      <c r="Q859" s="379"/>
      <c r="R859" s="379"/>
      <c r="S859" s="379"/>
      <c r="T859" s="379"/>
      <c r="U859" s="379"/>
      <c r="V859" s="379"/>
      <c r="W859" s="379"/>
    </row>
    <row r="860" spans="1:23" x14ac:dyDescent="0.3">
      <c r="B860" s="57" t="s">
        <v>53</v>
      </c>
      <c r="C860" s="58"/>
      <c r="D860" s="25">
        <f>SUM(D858:D859)</f>
        <v>288.89999999999998</v>
      </c>
      <c r="E860" s="26">
        <f>SUM(E858:E859)</f>
        <v>288.89999999999998</v>
      </c>
      <c r="F860" s="26">
        <f t="shared" ref="F860:V860" si="563">SUM(F858:F859)</f>
        <v>288.89999999999998</v>
      </c>
      <c r="G860" s="26">
        <f t="shared" si="563"/>
        <v>288.89999999999998</v>
      </c>
      <c r="H860" s="26">
        <f t="shared" si="563"/>
        <v>288.89999999999998</v>
      </c>
      <c r="I860" s="26">
        <f t="shared" si="563"/>
        <v>288.89999999999998</v>
      </c>
      <c r="J860" s="26">
        <f t="shared" si="563"/>
        <v>288.89999999999998</v>
      </c>
      <c r="K860" s="26">
        <f t="shared" si="563"/>
        <v>288.89999999999998</v>
      </c>
      <c r="L860" s="26">
        <f t="shared" si="563"/>
        <v>288.89999999999998</v>
      </c>
      <c r="M860" s="26">
        <f t="shared" si="563"/>
        <v>288.89999999999998</v>
      </c>
      <c r="N860" s="26">
        <f t="shared" si="563"/>
        <v>288.89999999999998</v>
      </c>
      <c r="O860" s="26">
        <f t="shared" si="563"/>
        <v>288.89999999999998</v>
      </c>
      <c r="P860" s="26">
        <f t="shared" si="563"/>
        <v>288.89999999999998</v>
      </c>
      <c r="Q860" s="26">
        <f t="shared" si="563"/>
        <v>288.89999999999998</v>
      </c>
      <c r="R860" s="26">
        <f t="shared" si="563"/>
        <v>288.89999999999998</v>
      </c>
      <c r="S860" s="26">
        <f t="shared" si="563"/>
        <v>288.89999999999998</v>
      </c>
      <c r="T860" s="26">
        <f t="shared" si="563"/>
        <v>288.89999999999998</v>
      </c>
      <c r="U860" s="26">
        <f t="shared" si="563"/>
        <v>288.89999999999998</v>
      </c>
      <c r="V860" s="26">
        <f t="shared" si="563"/>
        <v>288.89999999999998</v>
      </c>
      <c r="W860" s="26">
        <f>SUM(W858:W859)</f>
        <v>288.89999999999998</v>
      </c>
    </row>
    <row r="861" spans="1:23" x14ac:dyDescent="0.3">
      <c r="B861" s="54" t="s">
        <v>54</v>
      </c>
      <c r="C861" s="55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</row>
    <row r="862" spans="1:23" x14ac:dyDescent="0.3">
      <c r="B862" s="59" t="s">
        <v>55</v>
      </c>
      <c r="C862" s="60"/>
      <c r="D862" s="27">
        <f>D860</f>
        <v>288.89999999999998</v>
      </c>
      <c r="E862" s="41">
        <f t="shared" ref="E862:W862" si="564">E860</f>
        <v>288.89999999999998</v>
      </c>
      <c r="F862" s="41">
        <f t="shared" si="564"/>
        <v>288.89999999999998</v>
      </c>
      <c r="G862" s="41">
        <f t="shared" si="564"/>
        <v>288.89999999999998</v>
      </c>
      <c r="H862" s="41">
        <f t="shared" si="564"/>
        <v>288.89999999999998</v>
      </c>
      <c r="I862" s="41">
        <f t="shared" si="564"/>
        <v>288.89999999999998</v>
      </c>
      <c r="J862" s="41">
        <f t="shared" si="564"/>
        <v>288.89999999999998</v>
      </c>
      <c r="K862" s="41">
        <f t="shared" si="564"/>
        <v>288.89999999999998</v>
      </c>
      <c r="L862" s="41">
        <f t="shared" si="564"/>
        <v>288.89999999999998</v>
      </c>
      <c r="M862" s="41">
        <f t="shared" si="564"/>
        <v>288.89999999999998</v>
      </c>
      <c r="N862" s="41">
        <f t="shared" si="564"/>
        <v>288.89999999999998</v>
      </c>
      <c r="O862" s="41">
        <f t="shared" si="564"/>
        <v>288.89999999999998</v>
      </c>
      <c r="P862" s="41">
        <f t="shared" si="564"/>
        <v>288.89999999999998</v>
      </c>
      <c r="Q862" s="41">
        <f t="shared" si="564"/>
        <v>288.89999999999998</v>
      </c>
      <c r="R862" s="41">
        <f t="shared" si="564"/>
        <v>288.89999999999998</v>
      </c>
      <c r="S862" s="41">
        <f t="shared" si="564"/>
        <v>288.89999999999998</v>
      </c>
      <c r="T862" s="41">
        <f t="shared" si="564"/>
        <v>288.89999999999998</v>
      </c>
      <c r="U862" s="41">
        <f t="shared" si="564"/>
        <v>288.89999999999998</v>
      </c>
      <c r="V862" s="41">
        <f t="shared" si="564"/>
        <v>288.89999999999998</v>
      </c>
      <c r="W862" s="41">
        <f t="shared" si="564"/>
        <v>288.89999999999998</v>
      </c>
    </row>
    <row r="863" spans="1:23" x14ac:dyDescent="0.3">
      <c r="B863" s="171" t="s">
        <v>194</v>
      </c>
      <c r="C863" s="55"/>
      <c r="D863" s="181">
        <v>178.69762080000004</v>
      </c>
      <c r="E863" s="282">
        <v>190.57762080000003</v>
      </c>
      <c r="F863" s="282">
        <v>193.27762080000002</v>
      </c>
      <c r="G863" s="282">
        <v>187.87762080000005</v>
      </c>
      <c r="H863" s="282">
        <v>183.01762080000003</v>
      </c>
      <c r="I863" s="282">
        <v>180.32104440000001</v>
      </c>
      <c r="J863" s="282">
        <v>184.64104440000003</v>
      </c>
      <c r="K863" s="282">
        <v>182.48104440000003</v>
      </c>
      <c r="L863" s="282">
        <v>184.10104440000001</v>
      </c>
      <c r="M863" s="282">
        <v>178.16104440000001</v>
      </c>
      <c r="N863" s="282">
        <v>178.42762080000003</v>
      </c>
      <c r="O863" s="282">
        <v>178.42762080000003</v>
      </c>
      <c r="P863" s="282">
        <v>178.42762080000003</v>
      </c>
      <c r="Q863" s="282">
        <v>178.42762080000003</v>
      </c>
      <c r="R863" s="282">
        <v>178.42762080000003</v>
      </c>
      <c r="S863" s="282">
        <v>178.42762080000003</v>
      </c>
      <c r="T863" s="282">
        <v>183.01762080000003</v>
      </c>
      <c r="U863" s="282">
        <v>186.25762080000004</v>
      </c>
      <c r="V863" s="282">
        <v>177.34762080000004</v>
      </c>
      <c r="W863" s="282">
        <v>178.42762080000003</v>
      </c>
    </row>
    <row r="864" spans="1:23" x14ac:dyDescent="0.3">
      <c r="B864" s="61" t="s">
        <v>195</v>
      </c>
      <c r="C864" s="55"/>
      <c r="D864" s="181">
        <v>180.35222840000003</v>
      </c>
      <c r="E864" s="282">
        <v>192.34222840000004</v>
      </c>
      <c r="F864" s="282">
        <v>195.06722840000003</v>
      </c>
      <c r="G864" s="282">
        <v>189.61722840000004</v>
      </c>
      <c r="H864" s="282">
        <v>184.71222840000004</v>
      </c>
      <c r="I864" s="282">
        <v>181.99068370000001</v>
      </c>
      <c r="J864" s="282">
        <v>186.35068370000002</v>
      </c>
      <c r="K864" s="282">
        <v>184.17068370000001</v>
      </c>
      <c r="L864" s="282">
        <v>185.80568370000003</v>
      </c>
      <c r="M864" s="282">
        <v>179.81068370000003</v>
      </c>
      <c r="N864" s="282">
        <v>180.07972840000005</v>
      </c>
      <c r="O864" s="282">
        <v>180.07972840000005</v>
      </c>
      <c r="P864" s="282">
        <v>180.07972840000005</v>
      </c>
      <c r="Q864" s="282">
        <v>180.07972840000005</v>
      </c>
      <c r="R864" s="282">
        <v>180.07972840000005</v>
      </c>
      <c r="S864" s="282">
        <v>180.07972840000005</v>
      </c>
      <c r="T864" s="282">
        <v>184.71222840000004</v>
      </c>
      <c r="U864" s="282">
        <v>187.98222840000003</v>
      </c>
      <c r="V864" s="282">
        <v>178.98972840000005</v>
      </c>
      <c r="W864" s="282">
        <v>180.07972840000005</v>
      </c>
    </row>
    <row r="865" spans="1:23" x14ac:dyDescent="0.3">
      <c r="B865" s="61" t="s">
        <v>196</v>
      </c>
      <c r="C865" s="62"/>
      <c r="D865" s="283">
        <v>185.31605120000003</v>
      </c>
      <c r="E865" s="284">
        <v>197.63605120000005</v>
      </c>
      <c r="F865" s="284">
        <v>200.43605120000004</v>
      </c>
      <c r="G865" s="284">
        <v>194.83605120000004</v>
      </c>
      <c r="H865" s="284">
        <v>189.79605120000005</v>
      </c>
      <c r="I865" s="284">
        <v>186.99960160000003</v>
      </c>
      <c r="J865" s="284">
        <v>191.47960160000002</v>
      </c>
      <c r="K865" s="284">
        <v>189.23960160000001</v>
      </c>
      <c r="L865" s="284">
        <v>190.91960160000002</v>
      </c>
      <c r="M865" s="284">
        <v>184.75960160000002</v>
      </c>
      <c r="N865" s="284">
        <v>185.03605120000003</v>
      </c>
      <c r="O865" s="284">
        <v>185.03605120000003</v>
      </c>
      <c r="P865" s="284">
        <v>185.03605120000003</v>
      </c>
      <c r="Q865" s="284">
        <v>185.03605120000003</v>
      </c>
      <c r="R865" s="284">
        <v>185.03605120000003</v>
      </c>
      <c r="S865" s="284">
        <v>185.03605120000003</v>
      </c>
      <c r="T865" s="284">
        <v>189.79605120000005</v>
      </c>
      <c r="U865" s="284">
        <v>193.15605120000004</v>
      </c>
      <c r="V865" s="284">
        <v>183.91605120000006</v>
      </c>
      <c r="W865" s="284">
        <v>185.03605120000003</v>
      </c>
    </row>
    <row r="866" spans="1:23" x14ac:dyDescent="0.3">
      <c r="B866" s="61" t="s">
        <v>197</v>
      </c>
      <c r="C866" s="62"/>
      <c r="D866" s="283">
        <v>190.27987400000001</v>
      </c>
      <c r="E866" s="284">
        <v>202.92987400000001</v>
      </c>
      <c r="F866" s="284">
        <v>205.80487400000001</v>
      </c>
      <c r="G866" s="284">
        <v>200.05487400000001</v>
      </c>
      <c r="H866" s="284">
        <v>194.879874</v>
      </c>
      <c r="I866" s="284">
        <v>192.00851949999998</v>
      </c>
      <c r="J866" s="284">
        <v>196.6085195</v>
      </c>
      <c r="K866" s="284">
        <v>194.30851949999999</v>
      </c>
      <c r="L866" s="284">
        <v>196.03351949999998</v>
      </c>
      <c r="M866" s="284">
        <v>189.70851949999999</v>
      </c>
      <c r="N866" s="284">
        <v>189.99237400000001</v>
      </c>
      <c r="O866" s="284">
        <v>189.99237400000001</v>
      </c>
      <c r="P866" s="284">
        <v>189.99237400000001</v>
      </c>
      <c r="Q866" s="284">
        <v>189.99237400000001</v>
      </c>
      <c r="R866" s="284">
        <v>189.99237400000001</v>
      </c>
      <c r="S866" s="284">
        <v>189.99237400000001</v>
      </c>
      <c r="T866" s="284">
        <v>194.879874</v>
      </c>
      <c r="U866" s="284">
        <v>198.32987400000002</v>
      </c>
      <c r="V866" s="284">
        <v>188.84237400000001</v>
      </c>
      <c r="W866" s="284">
        <v>189.99237400000001</v>
      </c>
    </row>
    <row r="867" spans="1:23" x14ac:dyDescent="0.3">
      <c r="B867" s="63" t="s">
        <v>198</v>
      </c>
      <c r="C867" s="62"/>
      <c r="D867" s="31">
        <f>D863-D862</f>
        <v>-110.20237919999994</v>
      </c>
      <c r="E867" s="31">
        <f t="shared" ref="E867:W867" si="565">E863-E862</f>
        <v>-98.322379199999943</v>
      </c>
      <c r="F867" s="31">
        <f t="shared" si="565"/>
        <v>-95.622379199999955</v>
      </c>
      <c r="G867" s="31">
        <f t="shared" si="565"/>
        <v>-101.02237919999993</v>
      </c>
      <c r="H867" s="31">
        <f t="shared" si="565"/>
        <v>-105.88237919999995</v>
      </c>
      <c r="I867" s="31">
        <f t="shared" si="565"/>
        <v>-108.57895559999997</v>
      </c>
      <c r="J867" s="31">
        <f t="shared" si="565"/>
        <v>-104.25895559999995</v>
      </c>
      <c r="K867" s="31">
        <f t="shared" si="565"/>
        <v>-106.41895559999995</v>
      </c>
      <c r="L867" s="31">
        <f t="shared" si="565"/>
        <v>-104.79895559999997</v>
      </c>
      <c r="M867" s="31">
        <f t="shared" si="565"/>
        <v>-110.73895559999997</v>
      </c>
      <c r="N867" s="31">
        <f t="shared" si="565"/>
        <v>-110.47237919999995</v>
      </c>
      <c r="O867" s="31">
        <f t="shared" si="565"/>
        <v>-110.47237919999995</v>
      </c>
      <c r="P867" s="31">
        <f t="shared" si="565"/>
        <v>-110.47237919999995</v>
      </c>
      <c r="Q867" s="31">
        <f t="shared" si="565"/>
        <v>-110.47237919999995</v>
      </c>
      <c r="R867" s="31">
        <f t="shared" si="565"/>
        <v>-110.47237919999995</v>
      </c>
      <c r="S867" s="31">
        <f t="shared" si="565"/>
        <v>-110.47237919999995</v>
      </c>
      <c r="T867" s="31">
        <f t="shared" si="565"/>
        <v>-105.88237919999995</v>
      </c>
      <c r="U867" s="31">
        <f t="shared" si="565"/>
        <v>-102.64237919999994</v>
      </c>
      <c r="V867" s="31">
        <f t="shared" si="565"/>
        <v>-111.55237919999993</v>
      </c>
      <c r="W867" s="31">
        <f t="shared" si="565"/>
        <v>-110.47237919999995</v>
      </c>
    </row>
    <row r="868" spans="1:23" x14ac:dyDescent="0.3">
      <c r="B868" s="63" t="s">
        <v>199</v>
      </c>
      <c r="C868" s="64"/>
      <c r="D868" s="31">
        <f>D864-D862</f>
        <v>-108.54777159999995</v>
      </c>
      <c r="E868" s="32">
        <f t="shared" ref="E868:W868" si="566">E864-E862</f>
        <v>-96.557771599999938</v>
      </c>
      <c r="F868" s="32">
        <f t="shared" si="566"/>
        <v>-93.832771599999944</v>
      </c>
      <c r="G868" s="32">
        <f t="shared" si="566"/>
        <v>-99.282771599999933</v>
      </c>
      <c r="H868" s="32">
        <f t="shared" si="566"/>
        <v>-104.18777159999993</v>
      </c>
      <c r="I868" s="32">
        <f t="shared" si="566"/>
        <v>-106.90931629999997</v>
      </c>
      <c r="J868" s="32">
        <f t="shared" si="566"/>
        <v>-102.54931629999996</v>
      </c>
      <c r="K868" s="32">
        <f t="shared" si="566"/>
        <v>-104.72931629999997</v>
      </c>
      <c r="L868" s="32">
        <f t="shared" si="566"/>
        <v>-103.09431629999995</v>
      </c>
      <c r="M868" s="32">
        <f t="shared" si="566"/>
        <v>-109.08931629999995</v>
      </c>
      <c r="N868" s="32">
        <f t="shared" si="566"/>
        <v>-108.82027159999993</v>
      </c>
      <c r="O868" s="32">
        <f t="shared" si="566"/>
        <v>-108.82027159999993</v>
      </c>
      <c r="P868" s="32">
        <f t="shared" si="566"/>
        <v>-108.82027159999993</v>
      </c>
      <c r="Q868" s="32">
        <f t="shared" si="566"/>
        <v>-108.82027159999993</v>
      </c>
      <c r="R868" s="32">
        <f t="shared" si="566"/>
        <v>-108.82027159999993</v>
      </c>
      <c r="S868" s="32">
        <f t="shared" si="566"/>
        <v>-108.82027159999993</v>
      </c>
      <c r="T868" s="32">
        <f t="shared" si="566"/>
        <v>-104.18777159999993</v>
      </c>
      <c r="U868" s="32">
        <f t="shared" si="566"/>
        <v>-100.91777159999995</v>
      </c>
      <c r="V868" s="32">
        <f t="shared" si="566"/>
        <v>-109.91027159999993</v>
      </c>
      <c r="W868" s="32">
        <f t="shared" si="566"/>
        <v>-108.82027159999993</v>
      </c>
    </row>
    <row r="869" spans="1:23" x14ac:dyDescent="0.3">
      <c r="B869" s="63" t="s">
        <v>200</v>
      </c>
      <c r="C869" s="64"/>
      <c r="D869" s="31">
        <f>D865-D862</f>
        <v>-103.58394879999994</v>
      </c>
      <c r="E869" s="32">
        <f t="shared" ref="E869:W869" si="567">E865-E862</f>
        <v>-91.263948799999923</v>
      </c>
      <c r="F869" s="32">
        <f t="shared" si="567"/>
        <v>-88.46394879999994</v>
      </c>
      <c r="G869" s="32">
        <f t="shared" si="567"/>
        <v>-94.063948799999935</v>
      </c>
      <c r="H869" s="32">
        <f t="shared" si="567"/>
        <v>-99.103948799999927</v>
      </c>
      <c r="I869" s="32">
        <f t="shared" si="567"/>
        <v>-101.90039839999994</v>
      </c>
      <c r="J869" s="32">
        <f t="shared" si="567"/>
        <v>-97.420398399999954</v>
      </c>
      <c r="K869" s="32">
        <f t="shared" si="567"/>
        <v>-99.660398399999963</v>
      </c>
      <c r="L869" s="32">
        <f t="shared" si="567"/>
        <v>-97.980398399999956</v>
      </c>
      <c r="M869" s="32">
        <f t="shared" si="567"/>
        <v>-104.14039839999995</v>
      </c>
      <c r="N869" s="32">
        <f t="shared" si="567"/>
        <v>-103.86394879999995</v>
      </c>
      <c r="O869" s="32">
        <f t="shared" si="567"/>
        <v>-103.86394879999995</v>
      </c>
      <c r="P869" s="32">
        <f t="shared" si="567"/>
        <v>-103.86394879999995</v>
      </c>
      <c r="Q869" s="32">
        <f t="shared" si="567"/>
        <v>-103.86394879999995</v>
      </c>
      <c r="R869" s="32">
        <f t="shared" si="567"/>
        <v>-103.86394879999995</v>
      </c>
      <c r="S869" s="32">
        <f t="shared" si="567"/>
        <v>-103.86394879999995</v>
      </c>
      <c r="T869" s="32">
        <f t="shared" si="567"/>
        <v>-99.103948799999927</v>
      </c>
      <c r="U869" s="32">
        <f t="shared" si="567"/>
        <v>-95.743948799999941</v>
      </c>
      <c r="V869" s="32">
        <f t="shared" si="567"/>
        <v>-104.98394879999992</v>
      </c>
      <c r="W869" s="32">
        <f t="shared" si="567"/>
        <v>-103.86394879999995</v>
      </c>
    </row>
    <row r="870" spans="1:23" x14ac:dyDescent="0.3">
      <c r="B870" s="63" t="s">
        <v>201</v>
      </c>
      <c r="C870" s="64"/>
      <c r="D870" s="31">
        <f>D866-D862</f>
        <v>-98.620125999999971</v>
      </c>
      <c r="E870" s="32">
        <f t="shared" ref="E870:W870" si="568">E866-E862</f>
        <v>-85.970125999999965</v>
      </c>
      <c r="F870" s="32">
        <f t="shared" si="568"/>
        <v>-83.095125999999965</v>
      </c>
      <c r="G870" s="32">
        <f t="shared" si="568"/>
        <v>-88.845125999999965</v>
      </c>
      <c r="H870" s="32">
        <f t="shared" si="568"/>
        <v>-94.020125999999976</v>
      </c>
      <c r="I870" s="32">
        <f t="shared" si="568"/>
        <v>-96.8914805</v>
      </c>
      <c r="J870" s="32">
        <f t="shared" si="568"/>
        <v>-92.291480499999977</v>
      </c>
      <c r="K870" s="32">
        <f t="shared" si="568"/>
        <v>-94.591480499999989</v>
      </c>
      <c r="L870" s="32">
        <f t="shared" si="568"/>
        <v>-92.866480499999994</v>
      </c>
      <c r="M870" s="32">
        <f t="shared" si="568"/>
        <v>-99.191480499999983</v>
      </c>
      <c r="N870" s="32">
        <f t="shared" si="568"/>
        <v>-98.907625999999965</v>
      </c>
      <c r="O870" s="32">
        <f t="shared" si="568"/>
        <v>-98.907625999999965</v>
      </c>
      <c r="P870" s="32">
        <f t="shared" si="568"/>
        <v>-98.907625999999965</v>
      </c>
      <c r="Q870" s="32">
        <f t="shared" si="568"/>
        <v>-98.907625999999965</v>
      </c>
      <c r="R870" s="32">
        <f t="shared" si="568"/>
        <v>-98.907625999999965</v>
      </c>
      <c r="S870" s="32">
        <f t="shared" si="568"/>
        <v>-98.907625999999965</v>
      </c>
      <c r="T870" s="32">
        <f t="shared" si="568"/>
        <v>-94.020125999999976</v>
      </c>
      <c r="U870" s="32">
        <f t="shared" si="568"/>
        <v>-90.570125999999959</v>
      </c>
      <c r="V870" s="32">
        <f t="shared" si="568"/>
        <v>-100.05762599999997</v>
      </c>
      <c r="W870" s="32">
        <f t="shared" si="568"/>
        <v>-98.907625999999965</v>
      </c>
    </row>
    <row r="871" spans="1:23" x14ac:dyDescent="0.3">
      <c r="B871" s="97" t="s">
        <v>202</v>
      </c>
      <c r="C871" s="98"/>
      <c r="D871" s="99">
        <f>D867/D863</f>
        <v>-0.61669751788883309</v>
      </c>
      <c r="E871" s="99">
        <f t="shared" ref="E871:W871" si="569">E867/E863</f>
        <v>-0.51591775984643795</v>
      </c>
      <c r="F871" s="99">
        <f t="shared" si="569"/>
        <v>-0.49474108178798498</v>
      </c>
      <c r="G871" s="99">
        <f t="shared" si="569"/>
        <v>-0.53770310040034264</v>
      </c>
      <c r="H871" s="99">
        <f t="shared" si="569"/>
        <v>-0.57853652963671309</v>
      </c>
      <c r="I871" s="99">
        <f t="shared" si="569"/>
        <v>-0.6021424507676596</v>
      </c>
      <c r="J871" s="99">
        <f t="shared" si="569"/>
        <v>-0.56465752746792808</v>
      </c>
      <c r="K871" s="99">
        <f t="shared" si="569"/>
        <v>-0.5831781374876871</v>
      </c>
      <c r="L871" s="99">
        <f t="shared" si="569"/>
        <v>-0.56924693687397665</v>
      </c>
      <c r="M871" s="99">
        <f t="shared" si="569"/>
        <v>-0.62156660549975962</v>
      </c>
      <c r="N871" s="99">
        <f t="shared" si="569"/>
        <v>-0.6191439346928731</v>
      </c>
      <c r="O871" s="99">
        <f t="shared" si="569"/>
        <v>-0.6191439346928731</v>
      </c>
      <c r="P871" s="99">
        <f t="shared" si="569"/>
        <v>-0.6191439346928731</v>
      </c>
      <c r="Q871" s="99">
        <f t="shared" si="569"/>
        <v>-0.6191439346928731</v>
      </c>
      <c r="R871" s="99">
        <f t="shared" si="569"/>
        <v>-0.6191439346928731</v>
      </c>
      <c r="S871" s="99">
        <f t="shared" si="569"/>
        <v>-0.6191439346928731</v>
      </c>
      <c r="T871" s="99">
        <f t="shared" si="569"/>
        <v>-0.57853652963671309</v>
      </c>
      <c r="U871" s="99">
        <f t="shared" si="569"/>
        <v>-0.55107747408743835</v>
      </c>
      <c r="V871" s="99">
        <f t="shared" si="569"/>
        <v>-0.62900409205827867</v>
      </c>
      <c r="W871" s="99">
        <f t="shared" si="569"/>
        <v>-0.6191439346928731</v>
      </c>
    </row>
    <row r="872" spans="1:23" x14ac:dyDescent="0.3">
      <c r="B872" s="97" t="s">
        <v>203</v>
      </c>
      <c r="C872" s="98"/>
      <c r="D872" s="99">
        <f>D868/D864</f>
        <v>-0.60186543056875219</v>
      </c>
      <c r="E872" s="99">
        <f t="shared" ref="E872:W872" si="570">E868/E864</f>
        <v>-0.5020102574625257</v>
      </c>
      <c r="F872" s="99">
        <f t="shared" si="570"/>
        <v>-0.48102786085415017</v>
      </c>
      <c r="G872" s="99">
        <f t="shared" si="570"/>
        <v>-0.5235957325067615</v>
      </c>
      <c r="H872" s="99">
        <f t="shared" si="570"/>
        <v>-0.56405454312628445</v>
      </c>
      <c r="I872" s="99">
        <f t="shared" si="570"/>
        <v>-0.58744389617346093</v>
      </c>
      <c r="J872" s="99">
        <f t="shared" si="570"/>
        <v>-0.55030287125262611</v>
      </c>
      <c r="K872" s="99">
        <f t="shared" si="570"/>
        <v>-0.56865356741899287</v>
      </c>
      <c r="L872" s="99">
        <f t="shared" si="570"/>
        <v>-0.55485017598522435</v>
      </c>
      <c r="M872" s="99">
        <f t="shared" si="570"/>
        <v>-0.60668984765113787</v>
      </c>
      <c r="N872" s="99">
        <f t="shared" si="570"/>
        <v>-0.60428940318192914</v>
      </c>
      <c r="O872" s="99">
        <f t="shared" si="570"/>
        <v>-0.60428940318192914</v>
      </c>
      <c r="P872" s="99">
        <f t="shared" si="570"/>
        <v>-0.60428940318192914</v>
      </c>
      <c r="Q872" s="99">
        <f t="shared" si="570"/>
        <v>-0.60428940318192914</v>
      </c>
      <c r="R872" s="99">
        <f t="shared" si="570"/>
        <v>-0.60428940318192914</v>
      </c>
      <c r="S872" s="99">
        <f t="shared" si="570"/>
        <v>-0.60428940318192914</v>
      </c>
      <c r="T872" s="99">
        <f t="shared" si="570"/>
        <v>-0.56405454312628445</v>
      </c>
      <c r="U872" s="99">
        <f t="shared" si="570"/>
        <v>-0.53684740551782895</v>
      </c>
      <c r="V872" s="99">
        <f t="shared" si="570"/>
        <v>-0.61405910038801925</v>
      </c>
      <c r="W872" s="99">
        <f t="shared" si="570"/>
        <v>-0.60428940318192914</v>
      </c>
    </row>
    <row r="873" spans="1:23" x14ac:dyDescent="0.3">
      <c r="B873" s="97" t="s">
        <v>204</v>
      </c>
      <c r="C873" s="98"/>
      <c r="D873" s="99">
        <f>D869/D865</f>
        <v>-0.55895832082137487</v>
      </c>
      <c r="E873" s="99">
        <f t="shared" ref="E873:W873" si="571">E869/E865</f>
        <v>-0.46177783985192222</v>
      </c>
      <c r="F873" s="99">
        <f t="shared" si="571"/>
        <v>-0.44135747172412826</v>
      </c>
      <c r="G873" s="99">
        <f t="shared" si="571"/>
        <v>-0.48278513252890187</v>
      </c>
      <c r="H873" s="99">
        <f t="shared" si="571"/>
        <v>-0.52216022500683035</v>
      </c>
      <c r="I873" s="99">
        <f t="shared" si="571"/>
        <v>-0.54492307752595726</v>
      </c>
      <c r="J873" s="99">
        <f t="shared" si="571"/>
        <v>-0.50877690148693067</v>
      </c>
      <c r="K873" s="99">
        <f t="shared" si="571"/>
        <v>-0.52663606114884121</v>
      </c>
      <c r="L873" s="99">
        <f t="shared" si="571"/>
        <v>-0.51320240341419165</v>
      </c>
      <c r="M873" s="99">
        <f t="shared" si="571"/>
        <v>-0.56365351244619666</v>
      </c>
      <c r="N873" s="99">
        <f t="shared" si="571"/>
        <v>-0.56131736559669909</v>
      </c>
      <c r="O873" s="99">
        <f t="shared" si="571"/>
        <v>-0.56131736559669909</v>
      </c>
      <c r="P873" s="99">
        <f t="shared" si="571"/>
        <v>-0.56131736559669909</v>
      </c>
      <c r="Q873" s="99">
        <f t="shared" si="571"/>
        <v>-0.56131736559669909</v>
      </c>
      <c r="R873" s="99">
        <f t="shared" si="571"/>
        <v>-0.56131736559669909</v>
      </c>
      <c r="S873" s="99">
        <f t="shared" si="571"/>
        <v>-0.56131736559669909</v>
      </c>
      <c r="T873" s="99">
        <f t="shared" si="571"/>
        <v>-0.52216022500683035</v>
      </c>
      <c r="U873" s="99">
        <f t="shared" si="571"/>
        <v>-0.495681850012887</v>
      </c>
      <c r="V873" s="99">
        <f t="shared" si="571"/>
        <v>-0.57082537448476867</v>
      </c>
      <c r="W873" s="99">
        <f t="shared" si="571"/>
        <v>-0.56131736559669909</v>
      </c>
    </row>
    <row r="874" spans="1:23" x14ac:dyDescent="0.3">
      <c r="B874" s="97" t="s">
        <v>205</v>
      </c>
      <c r="C874" s="98"/>
      <c r="D874" s="99">
        <f>D870/D866</f>
        <v>-0.51828984288690438</v>
      </c>
      <c r="E874" s="99">
        <f t="shared" ref="E874:W874" si="572">E870/E866</f>
        <v>-0.4236445048992637</v>
      </c>
      <c r="F874" s="99">
        <f t="shared" si="572"/>
        <v>-0.40375684202697726</v>
      </c>
      <c r="G874" s="99">
        <f t="shared" si="572"/>
        <v>-0.44410378124553945</v>
      </c>
      <c r="H874" s="99">
        <f t="shared" si="572"/>
        <v>-0.48245169739795696</v>
      </c>
      <c r="I874" s="99">
        <f t="shared" si="572"/>
        <v>-0.50462073637310667</v>
      </c>
      <c r="J874" s="99">
        <f t="shared" si="572"/>
        <v>-0.46941750405683708</v>
      </c>
      <c r="K874" s="99">
        <f t="shared" si="572"/>
        <v>-0.48681077259713257</v>
      </c>
      <c r="L874" s="99">
        <f t="shared" si="572"/>
        <v>-0.47372755810773476</v>
      </c>
      <c r="M874" s="99">
        <f t="shared" si="572"/>
        <v>-0.52286255125194836</v>
      </c>
      <c r="N874" s="99">
        <f t="shared" si="572"/>
        <v>-0.5205873473637419</v>
      </c>
      <c r="O874" s="99">
        <f t="shared" si="572"/>
        <v>-0.5205873473637419</v>
      </c>
      <c r="P874" s="99">
        <f t="shared" si="572"/>
        <v>-0.5205873473637419</v>
      </c>
      <c r="Q874" s="99">
        <f t="shared" si="572"/>
        <v>-0.5205873473637419</v>
      </c>
      <c r="R874" s="99">
        <f t="shared" si="572"/>
        <v>-0.5205873473637419</v>
      </c>
      <c r="S874" s="99">
        <f t="shared" si="572"/>
        <v>-0.5205873473637419</v>
      </c>
      <c r="T874" s="99">
        <f t="shared" si="572"/>
        <v>-0.48245169739795696</v>
      </c>
      <c r="U874" s="99">
        <f t="shared" si="572"/>
        <v>-0.45666406262124659</v>
      </c>
      <c r="V874" s="99">
        <f t="shared" si="572"/>
        <v>-0.52984732123734035</v>
      </c>
      <c r="W874" s="99">
        <f t="shared" si="572"/>
        <v>-0.5205873473637419</v>
      </c>
    </row>
    <row r="875" spans="1:23" ht="21" thickBot="1" x14ac:dyDescent="0.35"/>
    <row r="876" spans="1:23" ht="21" thickBot="1" x14ac:dyDescent="0.35">
      <c r="A876" s="19" t="s">
        <v>307</v>
      </c>
      <c r="B876" s="74" t="s">
        <v>213</v>
      </c>
      <c r="C876" s="68"/>
      <c r="D876" s="17" t="s">
        <v>5</v>
      </c>
      <c r="E876" s="18" t="s">
        <v>6</v>
      </c>
      <c r="F876" s="18" t="s">
        <v>7</v>
      </c>
      <c r="G876" s="18" t="s">
        <v>8</v>
      </c>
      <c r="H876" s="18" t="s">
        <v>9</v>
      </c>
      <c r="I876" s="18" t="s">
        <v>10</v>
      </c>
      <c r="J876" s="18" t="s">
        <v>11</v>
      </c>
      <c r="K876" s="18" t="s">
        <v>12</v>
      </c>
      <c r="L876" s="18" t="s">
        <v>13</v>
      </c>
      <c r="M876" s="18" t="s">
        <v>14</v>
      </c>
      <c r="N876" s="18" t="s">
        <v>15</v>
      </c>
      <c r="O876" s="18" t="s">
        <v>16</v>
      </c>
      <c r="P876" s="18" t="s">
        <v>17</v>
      </c>
      <c r="Q876" s="18" t="s">
        <v>18</v>
      </c>
      <c r="R876" s="18" t="s">
        <v>19</v>
      </c>
      <c r="S876" s="18" t="s">
        <v>20</v>
      </c>
      <c r="T876" s="18" t="s">
        <v>21</v>
      </c>
      <c r="U876" s="18" t="s">
        <v>22</v>
      </c>
      <c r="V876" s="18" t="s">
        <v>23</v>
      </c>
      <c r="W876" s="18" t="s">
        <v>166</v>
      </c>
    </row>
    <row r="877" spans="1:23" x14ac:dyDescent="0.3">
      <c r="B877" s="54" t="s">
        <v>50</v>
      </c>
      <c r="C877" s="55"/>
      <c r="D877" s="20">
        <v>81</v>
      </c>
      <c r="E877" s="21">
        <v>81</v>
      </c>
      <c r="F877" s="21">
        <v>81</v>
      </c>
      <c r="G877" s="21">
        <v>81</v>
      </c>
      <c r="H877" s="21">
        <v>81</v>
      </c>
      <c r="I877" s="21">
        <v>81</v>
      </c>
      <c r="J877" s="21">
        <v>81</v>
      </c>
      <c r="K877" s="21">
        <v>81</v>
      </c>
      <c r="L877" s="21">
        <v>81</v>
      </c>
      <c r="M877" s="21">
        <v>81</v>
      </c>
      <c r="N877" s="21">
        <v>81</v>
      </c>
      <c r="O877" s="21">
        <v>81</v>
      </c>
      <c r="P877" s="21">
        <v>81</v>
      </c>
      <c r="Q877" s="21">
        <v>81</v>
      </c>
      <c r="R877" s="21">
        <v>81</v>
      </c>
      <c r="S877" s="21">
        <v>81</v>
      </c>
      <c r="T877" s="21">
        <v>81</v>
      </c>
      <c r="U877" s="21">
        <v>81</v>
      </c>
      <c r="V877" s="21">
        <v>81</v>
      </c>
      <c r="W877" s="21">
        <v>81</v>
      </c>
    </row>
    <row r="878" spans="1:23" x14ac:dyDescent="0.3">
      <c r="B878" s="54" t="s">
        <v>51</v>
      </c>
      <c r="C878" s="55"/>
      <c r="D878" s="384"/>
      <c r="E878" s="384"/>
      <c r="F878" s="384"/>
      <c r="G878" s="384"/>
      <c r="H878" s="384"/>
      <c r="I878" s="385"/>
      <c r="J878" s="385"/>
      <c r="K878" s="385"/>
      <c r="L878" s="385"/>
      <c r="M878" s="385"/>
      <c r="N878" s="384"/>
      <c r="O878" s="384"/>
      <c r="P878" s="384"/>
      <c r="Q878" s="384"/>
      <c r="R878" s="385"/>
      <c r="S878" s="385"/>
      <c r="T878" s="385"/>
      <c r="U878" s="385"/>
      <c r="V878" s="385"/>
      <c r="W878" s="385"/>
    </row>
    <row r="879" spans="1:23" x14ac:dyDescent="0.3">
      <c r="B879" s="54"/>
      <c r="C879" s="55"/>
      <c r="D879" s="20">
        <f t="shared" ref="D879:W879" si="573">D877*(1-D878)</f>
        <v>81</v>
      </c>
      <c r="E879" s="20">
        <f t="shared" si="573"/>
        <v>81</v>
      </c>
      <c r="F879" s="20">
        <f t="shared" si="573"/>
        <v>81</v>
      </c>
      <c r="G879" s="20">
        <f t="shared" si="573"/>
        <v>81</v>
      </c>
      <c r="H879" s="20">
        <f t="shared" si="573"/>
        <v>81</v>
      </c>
      <c r="I879" s="20">
        <f t="shared" si="573"/>
        <v>81</v>
      </c>
      <c r="J879" s="20">
        <f t="shared" si="573"/>
        <v>81</v>
      </c>
      <c r="K879" s="20">
        <f t="shared" si="573"/>
        <v>81</v>
      </c>
      <c r="L879" s="20">
        <f t="shared" si="573"/>
        <v>81</v>
      </c>
      <c r="M879" s="20">
        <f t="shared" si="573"/>
        <v>81</v>
      </c>
      <c r="N879" s="20">
        <f t="shared" si="573"/>
        <v>81</v>
      </c>
      <c r="O879" s="20">
        <f t="shared" si="573"/>
        <v>81</v>
      </c>
      <c r="P879" s="20">
        <f t="shared" si="573"/>
        <v>81</v>
      </c>
      <c r="Q879" s="20">
        <f t="shared" si="573"/>
        <v>81</v>
      </c>
      <c r="R879" s="20">
        <f t="shared" si="573"/>
        <v>81</v>
      </c>
      <c r="S879" s="20">
        <f t="shared" si="573"/>
        <v>81</v>
      </c>
      <c r="T879" s="20">
        <f t="shared" si="573"/>
        <v>81</v>
      </c>
      <c r="U879" s="20">
        <f t="shared" si="573"/>
        <v>81</v>
      </c>
      <c r="V879" s="20">
        <f t="shared" si="573"/>
        <v>81</v>
      </c>
      <c r="W879" s="20">
        <f t="shared" si="573"/>
        <v>81</v>
      </c>
    </row>
    <row r="880" spans="1:23" x14ac:dyDescent="0.3">
      <c r="B880" s="54" t="s">
        <v>51</v>
      </c>
      <c r="C880" s="56">
        <v>0</v>
      </c>
      <c r="D880" s="20">
        <f>D879*$C880</f>
        <v>0</v>
      </c>
      <c r="E880" s="20">
        <f t="shared" ref="E880:W880" si="574">E879*$C880</f>
        <v>0</v>
      </c>
      <c r="F880" s="20">
        <f t="shared" si="574"/>
        <v>0</v>
      </c>
      <c r="G880" s="20">
        <f t="shared" si="574"/>
        <v>0</v>
      </c>
      <c r="H880" s="20">
        <f t="shared" si="574"/>
        <v>0</v>
      </c>
      <c r="I880" s="20">
        <f t="shared" si="574"/>
        <v>0</v>
      </c>
      <c r="J880" s="20">
        <f t="shared" si="574"/>
        <v>0</v>
      </c>
      <c r="K880" s="20">
        <f t="shared" si="574"/>
        <v>0</v>
      </c>
      <c r="L880" s="20">
        <f t="shared" si="574"/>
        <v>0</v>
      </c>
      <c r="M880" s="20">
        <f t="shared" si="574"/>
        <v>0</v>
      </c>
      <c r="N880" s="20">
        <f t="shared" si="574"/>
        <v>0</v>
      </c>
      <c r="O880" s="20">
        <f t="shared" si="574"/>
        <v>0</v>
      </c>
      <c r="P880" s="20">
        <f t="shared" si="574"/>
        <v>0</v>
      </c>
      <c r="Q880" s="20">
        <f t="shared" si="574"/>
        <v>0</v>
      </c>
      <c r="R880" s="20">
        <f t="shared" si="574"/>
        <v>0</v>
      </c>
      <c r="S880" s="20">
        <f t="shared" si="574"/>
        <v>0</v>
      </c>
      <c r="T880" s="20">
        <f t="shared" si="574"/>
        <v>0</v>
      </c>
      <c r="U880" s="20">
        <f t="shared" si="574"/>
        <v>0</v>
      </c>
      <c r="V880" s="20">
        <f t="shared" si="574"/>
        <v>0</v>
      </c>
      <c r="W880" s="20">
        <f t="shared" si="574"/>
        <v>0</v>
      </c>
    </row>
    <row r="881" spans="2:23" x14ac:dyDescent="0.3">
      <c r="B881" s="54" t="s">
        <v>67</v>
      </c>
      <c r="C881" s="55"/>
      <c r="D881" s="20">
        <f>D879-D880</f>
        <v>81</v>
      </c>
      <c r="E881" s="20">
        <f t="shared" ref="E881:W881" si="575">E879-E880</f>
        <v>81</v>
      </c>
      <c r="F881" s="20">
        <f t="shared" si="575"/>
        <v>81</v>
      </c>
      <c r="G881" s="20">
        <f t="shared" si="575"/>
        <v>81</v>
      </c>
      <c r="H881" s="20">
        <f t="shared" si="575"/>
        <v>81</v>
      </c>
      <c r="I881" s="20">
        <f t="shared" si="575"/>
        <v>81</v>
      </c>
      <c r="J881" s="20">
        <f t="shared" si="575"/>
        <v>81</v>
      </c>
      <c r="K881" s="20">
        <f t="shared" si="575"/>
        <v>81</v>
      </c>
      <c r="L881" s="20">
        <f t="shared" si="575"/>
        <v>81</v>
      </c>
      <c r="M881" s="20">
        <f t="shared" si="575"/>
        <v>81</v>
      </c>
      <c r="N881" s="20">
        <f t="shared" si="575"/>
        <v>81</v>
      </c>
      <c r="O881" s="20">
        <f t="shared" si="575"/>
        <v>81</v>
      </c>
      <c r="P881" s="20">
        <f t="shared" si="575"/>
        <v>81</v>
      </c>
      <c r="Q881" s="20">
        <f t="shared" si="575"/>
        <v>81</v>
      </c>
      <c r="R881" s="20">
        <f t="shared" si="575"/>
        <v>81</v>
      </c>
      <c r="S881" s="20">
        <f t="shared" si="575"/>
        <v>81</v>
      </c>
      <c r="T881" s="20">
        <f t="shared" si="575"/>
        <v>81</v>
      </c>
      <c r="U881" s="20">
        <f t="shared" si="575"/>
        <v>81</v>
      </c>
      <c r="V881" s="20">
        <f t="shared" si="575"/>
        <v>81</v>
      </c>
      <c r="W881" s="20">
        <f t="shared" si="575"/>
        <v>81</v>
      </c>
    </row>
    <row r="882" spans="2:23" x14ac:dyDescent="0.3">
      <c r="B882" s="54" t="s">
        <v>66</v>
      </c>
      <c r="C882" s="56">
        <v>7.0000000000000007E-2</v>
      </c>
      <c r="D882" s="20">
        <f>D881*$C882</f>
        <v>5.6700000000000008</v>
      </c>
      <c r="E882" s="20">
        <f t="shared" ref="E882:W882" si="576">E881*$C882</f>
        <v>5.6700000000000008</v>
      </c>
      <c r="F882" s="20">
        <f t="shared" si="576"/>
        <v>5.6700000000000008</v>
      </c>
      <c r="G882" s="20">
        <f t="shared" si="576"/>
        <v>5.6700000000000008</v>
      </c>
      <c r="H882" s="20">
        <f t="shared" si="576"/>
        <v>5.6700000000000008</v>
      </c>
      <c r="I882" s="20">
        <f t="shared" si="576"/>
        <v>5.6700000000000008</v>
      </c>
      <c r="J882" s="20">
        <f t="shared" si="576"/>
        <v>5.6700000000000008</v>
      </c>
      <c r="K882" s="20">
        <f t="shared" si="576"/>
        <v>5.6700000000000008</v>
      </c>
      <c r="L882" s="20">
        <f t="shared" si="576"/>
        <v>5.6700000000000008</v>
      </c>
      <c r="M882" s="20">
        <f t="shared" si="576"/>
        <v>5.6700000000000008</v>
      </c>
      <c r="N882" s="20">
        <f t="shared" si="576"/>
        <v>5.6700000000000008</v>
      </c>
      <c r="O882" s="20">
        <f t="shared" si="576"/>
        <v>5.6700000000000008</v>
      </c>
      <c r="P882" s="20">
        <f t="shared" si="576"/>
        <v>5.6700000000000008</v>
      </c>
      <c r="Q882" s="20">
        <f t="shared" si="576"/>
        <v>5.6700000000000008</v>
      </c>
      <c r="R882" s="20">
        <f t="shared" si="576"/>
        <v>5.6700000000000008</v>
      </c>
      <c r="S882" s="20">
        <f t="shared" si="576"/>
        <v>5.6700000000000008</v>
      </c>
      <c r="T882" s="20">
        <f t="shared" si="576"/>
        <v>5.6700000000000008</v>
      </c>
      <c r="U882" s="20">
        <f t="shared" si="576"/>
        <v>5.6700000000000008</v>
      </c>
      <c r="V882" s="20">
        <f t="shared" si="576"/>
        <v>5.6700000000000008</v>
      </c>
      <c r="W882" s="20">
        <f t="shared" si="576"/>
        <v>5.6700000000000008</v>
      </c>
    </row>
    <row r="883" spans="2:23" x14ac:dyDescent="0.3">
      <c r="B883" s="54" t="s">
        <v>68</v>
      </c>
      <c r="C883" s="55"/>
      <c r="D883" s="20">
        <f>D881+D882</f>
        <v>86.67</v>
      </c>
      <c r="E883" s="20">
        <f t="shared" ref="E883:W883" si="577">E881+E882</f>
        <v>86.67</v>
      </c>
      <c r="F883" s="20">
        <f t="shared" si="577"/>
        <v>86.67</v>
      </c>
      <c r="G883" s="20">
        <f t="shared" si="577"/>
        <v>86.67</v>
      </c>
      <c r="H883" s="20">
        <f t="shared" si="577"/>
        <v>86.67</v>
      </c>
      <c r="I883" s="20">
        <f t="shared" si="577"/>
        <v>86.67</v>
      </c>
      <c r="J883" s="20">
        <f t="shared" si="577"/>
        <v>86.67</v>
      </c>
      <c r="K883" s="20">
        <f t="shared" si="577"/>
        <v>86.67</v>
      </c>
      <c r="L883" s="20">
        <f t="shared" si="577"/>
        <v>86.67</v>
      </c>
      <c r="M883" s="20">
        <f t="shared" si="577"/>
        <v>86.67</v>
      </c>
      <c r="N883" s="20">
        <f t="shared" si="577"/>
        <v>86.67</v>
      </c>
      <c r="O883" s="20">
        <f t="shared" si="577"/>
        <v>86.67</v>
      </c>
      <c r="P883" s="20">
        <f t="shared" si="577"/>
        <v>86.67</v>
      </c>
      <c r="Q883" s="20">
        <f t="shared" si="577"/>
        <v>86.67</v>
      </c>
      <c r="R883" s="20">
        <f t="shared" si="577"/>
        <v>86.67</v>
      </c>
      <c r="S883" s="20">
        <f t="shared" si="577"/>
        <v>86.67</v>
      </c>
      <c r="T883" s="20">
        <f t="shared" si="577"/>
        <v>86.67</v>
      </c>
      <c r="U883" s="20">
        <f t="shared" si="577"/>
        <v>86.67</v>
      </c>
      <c r="V883" s="20">
        <f t="shared" si="577"/>
        <v>86.67</v>
      </c>
      <c r="W883" s="20">
        <f t="shared" si="577"/>
        <v>86.67</v>
      </c>
    </row>
    <row r="884" spans="2:23" ht="23" x14ac:dyDescent="0.35">
      <c r="B884" s="54" t="s">
        <v>52</v>
      </c>
      <c r="C884" s="55"/>
      <c r="D884" s="379"/>
      <c r="E884" s="379"/>
      <c r="F884" s="379"/>
      <c r="G884" s="379"/>
      <c r="H884" s="379"/>
      <c r="I884" s="379"/>
      <c r="J884" s="379"/>
      <c r="K884" s="379"/>
      <c r="L884" s="379"/>
      <c r="M884" s="379"/>
      <c r="N884" s="379"/>
      <c r="O884" s="379"/>
      <c r="P884" s="379"/>
      <c r="Q884" s="379"/>
      <c r="R884" s="379"/>
      <c r="S884" s="379"/>
      <c r="T884" s="379"/>
      <c r="U884" s="379"/>
      <c r="V884" s="379"/>
      <c r="W884" s="379"/>
    </row>
    <row r="885" spans="2:23" x14ac:dyDescent="0.3">
      <c r="B885" s="57" t="s">
        <v>53</v>
      </c>
      <c r="C885" s="58"/>
      <c r="D885" s="25">
        <f>SUM(D883:D884)</f>
        <v>86.67</v>
      </c>
      <c r="E885" s="26">
        <f t="shared" ref="E885:W885" si="578">SUM(E883:E884)</f>
        <v>86.67</v>
      </c>
      <c r="F885" s="26">
        <f t="shared" si="578"/>
        <v>86.67</v>
      </c>
      <c r="G885" s="26">
        <f t="shared" si="578"/>
        <v>86.67</v>
      </c>
      <c r="H885" s="26">
        <f t="shared" si="578"/>
        <v>86.67</v>
      </c>
      <c r="I885" s="26">
        <f t="shared" si="578"/>
        <v>86.67</v>
      </c>
      <c r="J885" s="26">
        <f t="shared" si="578"/>
        <v>86.67</v>
      </c>
      <c r="K885" s="26">
        <f t="shared" si="578"/>
        <v>86.67</v>
      </c>
      <c r="L885" s="26">
        <f t="shared" si="578"/>
        <v>86.67</v>
      </c>
      <c r="M885" s="26">
        <f t="shared" si="578"/>
        <v>86.67</v>
      </c>
      <c r="N885" s="26">
        <f t="shared" si="578"/>
        <v>86.67</v>
      </c>
      <c r="O885" s="26">
        <f t="shared" si="578"/>
        <v>86.67</v>
      </c>
      <c r="P885" s="26">
        <f t="shared" si="578"/>
        <v>86.67</v>
      </c>
      <c r="Q885" s="26">
        <f t="shared" si="578"/>
        <v>86.67</v>
      </c>
      <c r="R885" s="26">
        <f t="shared" si="578"/>
        <v>86.67</v>
      </c>
      <c r="S885" s="26">
        <f t="shared" si="578"/>
        <v>86.67</v>
      </c>
      <c r="T885" s="26">
        <f t="shared" si="578"/>
        <v>86.67</v>
      </c>
      <c r="U885" s="26">
        <f t="shared" si="578"/>
        <v>86.67</v>
      </c>
      <c r="V885" s="26">
        <f t="shared" si="578"/>
        <v>86.67</v>
      </c>
      <c r="W885" s="26">
        <f t="shared" si="578"/>
        <v>86.67</v>
      </c>
    </row>
    <row r="886" spans="2:23" x14ac:dyDescent="0.3">
      <c r="B886" s="54" t="s">
        <v>54</v>
      </c>
      <c r="C886" s="55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</row>
    <row r="887" spans="2:23" x14ac:dyDescent="0.3">
      <c r="B887" s="59" t="s">
        <v>55</v>
      </c>
      <c r="C887" s="60"/>
      <c r="D887" s="27">
        <f>D885</f>
        <v>86.67</v>
      </c>
      <c r="E887" s="41">
        <f t="shared" ref="E887:W887" si="579">E885</f>
        <v>86.67</v>
      </c>
      <c r="F887" s="41">
        <f t="shared" si="579"/>
        <v>86.67</v>
      </c>
      <c r="G887" s="41">
        <f t="shared" si="579"/>
        <v>86.67</v>
      </c>
      <c r="H887" s="41">
        <f t="shared" si="579"/>
        <v>86.67</v>
      </c>
      <c r="I887" s="41">
        <f t="shared" si="579"/>
        <v>86.67</v>
      </c>
      <c r="J887" s="41">
        <f t="shared" si="579"/>
        <v>86.67</v>
      </c>
      <c r="K887" s="41">
        <f t="shared" si="579"/>
        <v>86.67</v>
      </c>
      <c r="L887" s="41">
        <f t="shared" si="579"/>
        <v>86.67</v>
      </c>
      <c r="M887" s="41">
        <f t="shared" si="579"/>
        <v>86.67</v>
      </c>
      <c r="N887" s="41">
        <f t="shared" si="579"/>
        <v>86.67</v>
      </c>
      <c r="O887" s="41">
        <f t="shared" si="579"/>
        <v>86.67</v>
      </c>
      <c r="P887" s="41">
        <f t="shared" si="579"/>
        <v>86.67</v>
      </c>
      <c r="Q887" s="41">
        <f t="shared" si="579"/>
        <v>86.67</v>
      </c>
      <c r="R887" s="41">
        <f t="shared" si="579"/>
        <v>86.67</v>
      </c>
      <c r="S887" s="41">
        <f t="shared" si="579"/>
        <v>86.67</v>
      </c>
      <c r="T887" s="41">
        <f t="shared" si="579"/>
        <v>86.67</v>
      </c>
      <c r="U887" s="41">
        <f t="shared" si="579"/>
        <v>86.67</v>
      </c>
      <c r="V887" s="41">
        <f t="shared" si="579"/>
        <v>86.67</v>
      </c>
      <c r="W887" s="41">
        <f t="shared" si="579"/>
        <v>86.67</v>
      </c>
    </row>
    <row r="888" spans="2:23" x14ac:dyDescent="0.3">
      <c r="B888" s="171" t="s">
        <v>194</v>
      </c>
      <c r="C888" s="55"/>
      <c r="D888" s="285">
        <v>46.911608787999995</v>
      </c>
      <c r="E888" s="285">
        <v>46.802608788000001</v>
      </c>
      <c r="F888" s="285">
        <v>46.802608788000001</v>
      </c>
      <c r="G888" s="285">
        <v>46.802608788000001</v>
      </c>
      <c r="H888" s="285">
        <v>46.802608788000001</v>
      </c>
      <c r="I888" s="285">
        <v>46.911608787999995</v>
      </c>
      <c r="J888" s="285">
        <v>46.911608787999995</v>
      </c>
      <c r="K888" s="285">
        <v>46.911608787999995</v>
      </c>
      <c r="L888" s="285">
        <v>46.911608787999995</v>
      </c>
      <c r="M888" s="285">
        <v>46.911608787999995</v>
      </c>
      <c r="N888" s="285">
        <v>48.110608788</v>
      </c>
      <c r="O888" s="285">
        <v>48.110608788</v>
      </c>
      <c r="P888" s="285">
        <v>48.110608788</v>
      </c>
      <c r="Q888" s="285">
        <v>48.110608788</v>
      </c>
      <c r="R888" s="285">
        <v>48.110608788</v>
      </c>
      <c r="S888" s="285">
        <v>48.110608788</v>
      </c>
      <c r="T888" s="285">
        <v>52.934609580000007</v>
      </c>
      <c r="U888" s="285">
        <v>53.098109579999999</v>
      </c>
      <c r="V888" s="285">
        <v>52.771109580000008</v>
      </c>
      <c r="W888" s="285">
        <v>48.110608788</v>
      </c>
    </row>
    <row r="889" spans="2:23" x14ac:dyDescent="0.3">
      <c r="B889" s="61" t="s">
        <v>195</v>
      </c>
      <c r="C889" s="55"/>
      <c r="D889" s="400">
        <v>47.5</v>
      </c>
      <c r="E889" s="400">
        <v>47.5</v>
      </c>
      <c r="F889" s="400">
        <v>47.5</v>
      </c>
      <c r="G889" s="400">
        <v>47.5</v>
      </c>
      <c r="H889" s="400">
        <v>47.5</v>
      </c>
      <c r="I889" s="400">
        <v>47.5</v>
      </c>
      <c r="J889" s="400">
        <v>47.5</v>
      </c>
      <c r="K889" s="400">
        <v>47.5</v>
      </c>
      <c r="L889" s="400">
        <v>47.5</v>
      </c>
      <c r="M889" s="400">
        <v>47.5</v>
      </c>
      <c r="N889" s="285">
        <v>48.551990520000004</v>
      </c>
      <c r="O889" s="285">
        <v>48.551990520000004</v>
      </c>
      <c r="P889" s="285">
        <v>48.551990520000004</v>
      </c>
      <c r="Q889" s="285">
        <v>48.551990520000004</v>
      </c>
      <c r="R889" s="285">
        <v>48.551990520000004</v>
      </c>
      <c r="S889" s="285">
        <v>48.551990520000004</v>
      </c>
      <c r="T889" s="400">
        <v>53.5</v>
      </c>
      <c r="U889" s="400">
        <v>53.5</v>
      </c>
      <c r="V889" s="400">
        <v>53.5</v>
      </c>
      <c r="W889" s="285">
        <v>48.551990520000004</v>
      </c>
    </row>
    <row r="890" spans="2:23" x14ac:dyDescent="0.3">
      <c r="B890" s="61" t="s">
        <v>196</v>
      </c>
      <c r="C890" s="62"/>
      <c r="D890" s="285">
        <v>48.202753983999997</v>
      </c>
      <c r="E890" s="285">
        <v>48.090753983999996</v>
      </c>
      <c r="F890" s="285">
        <v>48.090753983999996</v>
      </c>
      <c r="G890" s="285">
        <v>48.090753983999996</v>
      </c>
      <c r="H890" s="285">
        <v>48.090753983999996</v>
      </c>
      <c r="I890" s="285">
        <v>48.202753983999997</v>
      </c>
      <c r="J890" s="285">
        <v>48.202753983999997</v>
      </c>
      <c r="K890" s="285">
        <v>48.202753983999997</v>
      </c>
      <c r="L890" s="285">
        <v>48.202753983999997</v>
      </c>
      <c r="M890" s="285">
        <v>48.202753983999997</v>
      </c>
      <c r="N890" s="285">
        <v>50</v>
      </c>
      <c r="O890" s="285">
        <v>50</v>
      </c>
      <c r="P890" s="285">
        <v>50</v>
      </c>
      <c r="Q890" s="285">
        <v>50</v>
      </c>
      <c r="R890" s="285">
        <v>50</v>
      </c>
      <c r="S890" s="285">
        <v>50</v>
      </c>
      <c r="T890" s="285">
        <v>54.391525440000002</v>
      </c>
      <c r="U890" s="285">
        <v>54.559525440000002</v>
      </c>
      <c r="V890" s="285">
        <v>54.22352544000001</v>
      </c>
      <c r="W890" s="285">
        <v>50</v>
      </c>
    </row>
    <row r="891" spans="2:23" x14ac:dyDescent="0.3">
      <c r="B891" s="61" t="s">
        <v>197</v>
      </c>
      <c r="C891" s="62"/>
      <c r="D891" s="285">
        <v>49.493899179999993</v>
      </c>
      <c r="E891" s="285">
        <v>49.378899179999991</v>
      </c>
      <c r="F891" s="285">
        <v>49.378899179999991</v>
      </c>
      <c r="G891" s="285">
        <v>49.378899179999991</v>
      </c>
      <c r="H891" s="285">
        <v>49.378899179999991</v>
      </c>
      <c r="I891" s="285">
        <v>49.493899179999993</v>
      </c>
      <c r="J891" s="285">
        <v>49.493899179999993</v>
      </c>
      <c r="K891" s="285">
        <v>49.493899179999993</v>
      </c>
      <c r="L891" s="285">
        <v>49.493899179999993</v>
      </c>
      <c r="M891" s="285">
        <v>49.493899179999993</v>
      </c>
      <c r="N891" s="285">
        <v>50.758899179999993</v>
      </c>
      <c r="O891" s="285">
        <v>50.758899179999993</v>
      </c>
      <c r="P891" s="285">
        <v>50.758899179999993</v>
      </c>
      <c r="Q891" s="285">
        <v>50.758899179999993</v>
      </c>
      <c r="R891" s="285">
        <v>50.758899179999993</v>
      </c>
      <c r="S891" s="285">
        <v>50.758899179999993</v>
      </c>
      <c r="T891" s="285">
        <v>55.848441299999998</v>
      </c>
      <c r="U891" s="285">
        <v>56.020941299999997</v>
      </c>
      <c r="V891" s="285">
        <v>55.675941299999998</v>
      </c>
      <c r="W891" s="285">
        <v>50.758899179999993</v>
      </c>
    </row>
    <row r="892" spans="2:23" x14ac:dyDescent="0.3">
      <c r="B892" s="63" t="s">
        <v>198</v>
      </c>
      <c r="C892" s="62"/>
      <c r="D892" s="31">
        <f>D888-D887</f>
        <v>-39.758391212000006</v>
      </c>
      <c r="E892" s="31">
        <f t="shared" ref="E892:W892" si="580">E888-E887</f>
        <v>-39.867391212000001</v>
      </c>
      <c r="F892" s="31">
        <f t="shared" si="580"/>
        <v>-39.867391212000001</v>
      </c>
      <c r="G892" s="31">
        <f t="shared" si="580"/>
        <v>-39.867391212000001</v>
      </c>
      <c r="H892" s="31">
        <f t="shared" si="580"/>
        <v>-39.867391212000001</v>
      </c>
      <c r="I892" s="31">
        <f t="shared" si="580"/>
        <v>-39.758391212000006</v>
      </c>
      <c r="J892" s="31">
        <f t="shared" si="580"/>
        <v>-39.758391212000006</v>
      </c>
      <c r="K892" s="31">
        <f t="shared" si="580"/>
        <v>-39.758391212000006</v>
      </c>
      <c r="L892" s="31">
        <f t="shared" si="580"/>
        <v>-39.758391212000006</v>
      </c>
      <c r="M892" s="31">
        <f t="shared" si="580"/>
        <v>-39.758391212000006</v>
      </c>
      <c r="N892" s="31">
        <f t="shared" si="580"/>
        <v>-38.559391212000001</v>
      </c>
      <c r="O892" s="31">
        <f t="shared" si="580"/>
        <v>-38.559391212000001</v>
      </c>
      <c r="P892" s="31">
        <f t="shared" si="580"/>
        <v>-38.559391212000001</v>
      </c>
      <c r="Q892" s="31">
        <f t="shared" si="580"/>
        <v>-38.559391212000001</v>
      </c>
      <c r="R892" s="31">
        <f t="shared" si="580"/>
        <v>-38.559391212000001</v>
      </c>
      <c r="S892" s="31">
        <f t="shared" si="580"/>
        <v>-38.559391212000001</v>
      </c>
      <c r="T892" s="31">
        <f t="shared" si="580"/>
        <v>-33.735390419999995</v>
      </c>
      <c r="U892" s="31">
        <f t="shared" si="580"/>
        <v>-33.571890420000003</v>
      </c>
      <c r="V892" s="31">
        <f t="shared" si="580"/>
        <v>-33.898890419999994</v>
      </c>
      <c r="W892" s="31">
        <f t="shared" si="580"/>
        <v>-38.559391212000001</v>
      </c>
    </row>
    <row r="893" spans="2:23" x14ac:dyDescent="0.3">
      <c r="B893" s="63" t="s">
        <v>199</v>
      </c>
      <c r="C893" s="64"/>
      <c r="D893" s="31">
        <f>D889-D887</f>
        <v>-39.17</v>
      </c>
      <c r="E893" s="32">
        <f t="shared" ref="E893:W893" si="581">E889-E887</f>
        <v>-39.17</v>
      </c>
      <c r="F893" s="32">
        <f t="shared" si="581"/>
        <v>-39.17</v>
      </c>
      <c r="G893" s="32">
        <f t="shared" si="581"/>
        <v>-39.17</v>
      </c>
      <c r="H893" s="32">
        <f t="shared" si="581"/>
        <v>-39.17</v>
      </c>
      <c r="I893" s="32">
        <f t="shared" si="581"/>
        <v>-39.17</v>
      </c>
      <c r="J893" s="32">
        <f t="shared" si="581"/>
        <v>-39.17</v>
      </c>
      <c r="K893" s="32">
        <f t="shared" si="581"/>
        <v>-39.17</v>
      </c>
      <c r="L893" s="32">
        <f t="shared" si="581"/>
        <v>-39.17</v>
      </c>
      <c r="M893" s="32">
        <f t="shared" si="581"/>
        <v>-39.17</v>
      </c>
      <c r="N893" s="32">
        <f t="shared" si="581"/>
        <v>-38.118009479999998</v>
      </c>
      <c r="O893" s="32">
        <f t="shared" si="581"/>
        <v>-38.118009479999998</v>
      </c>
      <c r="P893" s="32">
        <f t="shared" si="581"/>
        <v>-38.118009479999998</v>
      </c>
      <c r="Q893" s="32">
        <f t="shared" si="581"/>
        <v>-38.118009479999998</v>
      </c>
      <c r="R893" s="32">
        <f t="shared" si="581"/>
        <v>-38.118009479999998</v>
      </c>
      <c r="S893" s="32">
        <f t="shared" si="581"/>
        <v>-38.118009479999998</v>
      </c>
      <c r="T893" s="32">
        <f t="shared" si="581"/>
        <v>-33.17</v>
      </c>
      <c r="U893" s="32">
        <f t="shared" si="581"/>
        <v>-33.17</v>
      </c>
      <c r="V893" s="32">
        <f t="shared" si="581"/>
        <v>-33.17</v>
      </c>
      <c r="W893" s="32">
        <f t="shared" si="581"/>
        <v>-38.118009479999998</v>
      </c>
    </row>
    <row r="894" spans="2:23" x14ac:dyDescent="0.3">
      <c r="B894" s="63" t="s">
        <v>200</v>
      </c>
      <c r="C894" s="64"/>
      <c r="D894" s="31">
        <f>D890-D887</f>
        <v>-38.467246016000004</v>
      </c>
      <c r="E894" s="32">
        <f t="shared" ref="E894:W894" si="582">E890-E887</f>
        <v>-38.579246016000006</v>
      </c>
      <c r="F894" s="32">
        <f t="shared" si="582"/>
        <v>-38.579246016000006</v>
      </c>
      <c r="G894" s="32">
        <f t="shared" si="582"/>
        <v>-38.579246016000006</v>
      </c>
      <c r="H894" s="32">
        <f t="shared" si="582"/>
        <v>-38.579246016000006</v>
      </c>
      <c r="I894" s="32">
        <f t="shared" si="582"/>
        <v>-38.467246016000004</v>
      </c>
      <c r="J894" s="32">
        <f t="shared" si="582"/>
        <v>-38.467246016000004</v>
      </c>
      <c r="K894" s="32">
        <f t="shared" si="582"/>
        <v>-38.467246016000004</v>
      </c>
      <c r="L894" s="32">
        <f t="shared" si="582"/>
        <v>-38.467246016000004</v>
      </c>
      <c r="M894" s="32">
        <f t="shared" si="582"/>
        <v>-38.467246016000004</v>
      </c>
      <c r="N894" s="32">
        <f t="shared" si="582"/>
        <v>-36.67</v>
      </c>
      <c r="O894" s="32">
        <f t="shared" si="582"/>
        <v>-36.67</v>
      </c>
      <c r="P894" s="32">
        <f t="shared" si="582"/>
        <v>-36.67</v>
      </c>
      <c r="Q894" s="32">
        <f t="shared" si="582"/>
        <v>-36.67</v>
      </c>
      <c r="R894" s="32">
        <f t="shared" si="582"/>
        <v>-36.67</v>
      </c>
      <c r="S894" s="32">
        <f t="shared" si="582"/>
        <v>-36.67</v>
      </c>
      <c r="T894" s="32">
        <f t="shared" si="582"/>
        <v>-32.278474559999999</v>
      </c>
      <c r="U894" s="32">
        <f t="shared" si="582"/>
        <v>-32.11047456</v>
      </c>
      <c r="V894" s="32">
        <f t="shared" si="582"/>
        <v>-32.446474559999992</v>
      </c>
      <c r="W894" s="32">
        <f t="shared" si="582"/>
        <v>-36.67</v>
      </c>
    </row>
    <row r="895" spans="2:23" x14ac:dyDescent="0.3">
      <c r="B895" s="63" t="s">
        <v>201</v>
      </c>
      <c r="C895" s="64"/>
      <c r="D895" s="31">
        <f>D891-D887</f>
        <v>-37.176100820000009</v>
      </c>
      <c r="E895" s="32">
        <f t="shared" ref="E895:W895" si="583">E891-E887</f>
        <v>-37.291100820000011</v>
      </c>
      <c r="F895" s="32">
        <f t="shared" si="583"/>
        <v>-37.291100820000011</v>
      </c>
      <c r="G895" s="32">
        <f t="shared" si="583"/>
        <v>-37.291100820000011</v>
      </c>
      <c r="H895" s="32">
        <f t="shared" si="583"/>
        <v>-37.291100820000011</v>
      </c>
      <c r="I895" s="32">
        <f t="shared" si="583"/>
        <v>-37.176100820000009</v>
      </c>
      <c r="J895" s="32">
        <f t="shared" si="583"/>
        <v>-37.176100820000009</v>
      </c>
      <c r="K895" s="32">
        <f t="shared" si="583"/>
        <v>-37.176100820000009</v>
      </c>
      <c r="L895" s="32">
        <f t="shared" si="583"/>
        <v>-37.176100820000009</v>
      </c>
      <c r="M895" s="32">
        <f t="shared" si="583"/>
        <v>-37.176100820000009</v>
      </c>
      <c r="N895" s="32">
        <f t="shared" si="583"/>
        <v>-35.911100820000009</v>
      </c>
      <c r="O895" s="32">
        <f t="shared" si="583"/>
        <v>-35.911100820000009</v>
      </c>
      <c r="P895" s="32">
        <f t="shared" si="583"/>
        <v>-35.911100820000009</v>
      </c>
      <c r="Q895" s="32">
        <f t="shared" si="583"/>
        <v>-35.911100820000009</v>
      </c>
      <c r="R895" s="32">
        <f t="shared" si="583"/>
        <v>-35.911100820000009</v>
      </c>
      <c r="S895" s="32">
        <f t="shared" si="583"/>
        <v>-35.911100820000009</v>
      </c>
      <c r="T895" s="32">
        <f t="shared" si="583"/>
        <v>-30.821558700000004</v>
      </c>
      <c r="U895" s="32">
        <f t="shared" si="583"/>
        <v>-30.649058700000005</v>
      </c>
      <c r="V895" s="32">
        <f t="shared" si="583"/>
        <v>-30.994058700000004</v>
      </c>
      <c r="W895" s="32">
        <f t="shared" si="583"/>
        <v>-35.911100820000009</v>
      </c>
    </row>
    <row r="896" spans="2:23" x14ac:dyDescent="0.3">
      <c r="B896" s="97" t="s">
        <v>202</v>
      </c>
      <c r="C896" s="98"/>
      <c r="D896" s="99">
        <f>D892/D888</f>
        <v>-0.84751711227115745</v>
      </c>
      <c r="E896" s="99">
        <f t="shared" ref="E896:W896" si="584">E892/E888</f>
        <v>-0.85181985031188767</v>
      </c>
      <c r="F896" s="99">
        <f t="shared" si="584"/>
        <v>-0.85181985031188767</v>
      </c>
      <c r="G896" s="99">
        <f t="shared" si="584"/>
        <v>-0.85181985031188767</v>
      </c>
      <c r="H896" s="99">
        <f t="shared" si="584"/>
        <v>-0.85181985031188767</v>
      </c>
      <c r="I896" s="99">
        <f t="shared" si="584"/>
        <v>-0.84751711227115745</v>
      </c>
      <c r="J896" s="99">
        <f t="shared" si="584"/>
        <v>-0.84751711227115745</v>
      </c>
      <c r="K896" s="99">
        <f t="shared" si="584"/>
        <v>-0.84751711227115745</v>
      </c>
      <c r="L896" s="99">
        <f t="shared" si="584"/>
        <v>-0.84751711227115745</v>
      </c>
      <c r="M896" s="99">
        <f t="shared" si="584"/>
        <v>-0.84751711227115745</v>
      </c>
      <c r="N896" s="99">
        <f t="shared" si="584"/>
        <v>-0.80147377435842559</v>
      </c>
      <c r="O896" s="99">
        <f t="shared" si="584"/>
        <v>-0.80147377435842559</v>
      </c>
      <c r="P896" s="99">
        <f t="shared" si="584"/>
        <v>-0.80147377435842559</v>
      </c>
      <c r="Q896" s="99">
        <f t="shared" si="584"/>
        <v>-0.80147377435842559</v>
      </c>
      <c r="R896" s="99">
        <f t="shared" si="584"/>
        <v>-0.80147377435842559</v>
      </c>
      <c r="S896" s="99">
        <f t="shared" si="584"/>
        <v>-0.80147377435842559</v>
      </c>
      <c r="T896" s="99">
        <f t="shared" si="584"/>
        <v>-0.63730309314959133</v>
      </c>
      <c r="U896" s="99">
        <f t="shared" si="584"/>
        <v>-0.6322615001842784</v>
      </c>
      <c r="V896" s="99">
        <f t="shared" si="584"/>
        <v>-0.64237592671061639</v>
      </c>
      <c r="W896" s="99">
        <f t="shared" si="584"/>
        <v>-0.80147377435842559</v>
      </c>
    </row>
    <row r="897" spans="1:23" x14ac:dyDescent="0.3">
      <c r="B897" s="97" t="s">
        <v>203</v>
      </c>
      <c r="C897" s="98"/>
      <c r="D897" s="99">
        <f>D893/D889</f>
        <v>-0.82463157894736849</v>
      </c>
      <c r="E897" s="99">
        <f t="shared" ref="E897:W897" si="585">E893/E889</f>
        <v>-0.82463157894736849</v>
      </c>
      <c r="F897" s="99">
        <f t="shared" si="585"/>
        <v>-0.82463157894736849</v>
      </c>
      <c r="G897" s="99">
        <f t="shared" si="585"/>
        <v>-0.82463157894736849</v>
      </c>
      <c r="H897" s="99">
        <f t="shared" si="585"/>
        <v>-0.82463157894736849</v>
      </c>
      <c r="I897" s="99">
        <f t="shared" si="585"/>
        <v>-0.82463157894736849</v>
      </c>
      <c r="J897" s="99">
        <f t="shared" si="585"/>
        <v>-0.82463157894736849</v>
      </c>
      <c r="K897" s="99">
        <f t="shared" si="585"/>
        <v>-0.82463157894736849</v>
      </c>
      <c r="L897" s="99">
        <f t="shared" si="585"/>
        <v>-0.82463157894736849</v>
      </c>
      <c r="M897" s="99">
        <f t="shared" si="585"/>
        <v>-0.82463157894736849</v>
      </c>
      <c r="N897" s="99">
        <f t="shared" si="585"/>
        <v>-0.78509674004607621</v>
      </c>
      <c r="O897" s="99">
        <f t="shared" si="585"/>
        <v>-0.78509674004607621</v>
      </c>
      <c r="P897" s="99">
        <f t="shared" si="585"/>
        <v>-0.78509674004607621</v>
      </c>
      <c r="Q897" s="99">
        <f t="shared" si="585"/>
        <v>-0.78509674004607621</v>
      </c>
      <c r="R897" s="99">
        <f t="shared" si="585"/>
        <v>-0.78509674004607621</v>
      </c>
      <c r="S897" s="99">
        <f t="shared" si="585"/>
        <v>-0.78509674004607621</v>
      </c>
      <c r="T897" s="99">
        <f t="shared" si="585"/>
        <v>-0.62</v>
      </c>
      <c r="U897" s="99">
        <f t="shared" si="585"/>
        <v>-0.62</v>
      </c>
      <c r="V897" s="99">
        <f t="shared" si="585"/>
        <v>-0.62</v>
      </c>
      <c r="W897" s="99">
        <f t="shared" si="585"/>
        <v>-0.78509674004607621</v>
      </c>
    </row>
    <row r="898" spans="1:23" x14ac:dyDescent="0.3">
      <c r="B898" s="97" t="s">
        <v>204</v>
      </c>
      <c r="C898" s="98"/>
      <c r="D898" s="99">
        <f>D894/D890</f>
        <v>-0.79803004676389422</v>
      </c>
      <c r="E898" s="99">
        <f t="shared" ref="E898:W898" si="586">E894/E890</f>
        <v>-0.8022175328928195</v>
      </c>
      <c r="F898" s="99">
        <f t="shared" si="586"/>
        <v>-0.8022175328928195</v>
      </c>
      <c r="G898" s="99">
        <f t="shared" si="586"/>
        <v>-0.8022175328928195</v>
      </c>
      <c r="H898" s="99">
        <f t="shared" si="586"/>
        <v>-0.8022175328928195</v>
      </c>
      <c r="I898" s="99">
        <f t="shared" si="586"/>
        <v>-0.79803004676389422</v>
      </c>
      <c r="J898" s="99">
        <f t="shared" si="586"/>
        <v>-0.79803004676389422</v>
      </c>
      <c r="K898" s="99">
        <f t="shared" si="586"/>
        <v>-0.79803004676389422</v>
      </c>
      <c r="L898" s="99">
        <f t="shared" si="586"/>
        <v>-0.79803004676389422</v>
      </c>
      <c r="M898" s="99">
        <f t="shared" si="586"/>
        <v>-0.79803004676389422</v>
      </c>
      <c r="N898" s="99">
        <f t="shared" si="586"/>
        <v>-0.73340000000000005</v>
      </c>
      <c r="O898" s="99">
        <f t="shared" si="586"/>
        <v>-0.73340000000000005</v>
      </c>
      <c r="P898" s="99">
        <f t="shared" si="586"/>
        <v>-0.73340000000000005</v>
      </c>
      <c r="Q898" s="99">
        <f t="shared" si="586"/>
        <v>-0.73340000000000005</v>
      </c>
      <c r="R898" s="99">
        <f t="shared" si="586"/>
        <v>-0.73340000000000005</v>
      </c>
      <c r="S898" s="99">
        <f t="shared" si="586"/>
        <v>-0.73340000000000005</v>
      </c>
      <c r="T898" s="99">
        <f t="shared" si="586"/>
        <v>-0.59344676029737031</v>
      </c>
      <c r="U898" s="99">
        <f t="shared" si="586"/>
        <v>-0.58854021000077084</v>
      </c>
      <c r="V898" s="99">
        <f t="shared" si="586"/>
        <v>-0.59838371438801052</v>
      </c>
      <c r="W898" s="99">
        <f t="shared" si="586"/>
        <v>-0.73340000000000005</v>
      </c>
    </row>
    <row r="899" spans="1:23" x14ac:dyDescent="0.3">
      <c r="B899" s="97" t="s">
        <v>205</v>
      </c>
      <c r="C899" s="98"/>
      <c r="D899" s="99">
        <f>D895/D891</f>
        <v>-0.75112491510918411</v>
      </c>
      <c r="E899" s="99">
        <f t="shared" ref="E899:W899" si="587">E895/E891</f>
        <v>-0.75520316246952868</v>
      </c>
      <c r="F899" s="99">
        <f t="shared" si="587"/>
        <v>-0.75520316246952868</v>
      </c>
      <c r="G899" s="99">
        <f t="shared" si="587"/>
        <v>-0.75520316246952868</v>
      </c>
      <c r="H899" s="99">
        <f t="shared" si="587"/>
        <v>-0.75520316246952868</v>
      </c>
      <c r="I899" s="99">
        <f t="shared" si="587"/>
        <v>-0.75112491510918411</v>
      </c>
      <c r="J899" s="99">
        <f t="shared" si="587"/>
        <v>-0.75112491510918411</v>
      </c>
      <c r="K899" s="99">
        <f t="shared" si="587"/>
        <v>-0.75112491510918411</v>
      </c>
      <c r="L899" s="99">
        <f t="shared" si="587"/>
        <v>-0.75112491510918411</v>
      </c>
      <c r="M899" s="99">
        <f t="shared" si="587"/>
        <v>-0.75112491510918411</v>
      </c>
      <c r="N899" s="99">
        <f t="shared" si="587"/>
        <v>-0.70748383830494277</v>
      </c>
      <c r="O899" s="99">
        <f t="shared" si="587"/>
        <v>-0.70748383830494277</v>
      </c>
      <c r="P899" s="99">
        <f t="shared" si="587"/>
        <v>-0.70748383830494277</v>
      </c>
      <c r="Q899" s="99">
        <f t="shared" si="587"/>
        <v>-0.70748383830494277</v>
      </c>
      <c r="R899" s="99">
        <f t="shared" si="587"/>
        <v>-0.70748383830494277</v>
      </c>
      <c r="S899" s="99">
        <f t="shared" si="587"/>
        <v>-0.70748383830494277</v>
      </c>
      <c r="T899" s="99">
        <f t="shared" si="587"/>
        <v>-0.5518785839417869</v>
      </c>
      <c r="U899" s="99">
        <f t="shared" si="587"/>
        <v>-0.54710003060944656</v>
      </c>
      <c r="V899" s="99">
        <f t="shared" si="587"/>
        <v>-0.55668674792571504</v>
      </c>
      <c r="W899" s="99">
        <f t="shared" si="587"/>
        <v>-0.70748383830494277</v>
      </c>
    </row>
    <row r="900" spans="1:23" ht="21" thickBot="1" x14ac:dyDescent="0.35"/>
    <row r="901" spans="1:23" ht="21" thickBot="1" x14ac:dyDescent="0.35">
      <c r="A901" s="19" t="s">
        <v>308</v>
      </c>
      <c r="B901" s="367" t="s">
        <v>216</v>
      </c>
      <c r="C901" s="68"/>
      <c r="D901" s="17" t="s">
        <v>5</v>
      </c>
      <c r="E901" s="18" t="s">
        <v>6</v>
      </c>
      <c r="F901" s="18" t="s">
        <v>7</v>
      </c>
      <c r="G901" s="18" t="s">
        <v>8</v>
      </c>
      <c r="H901" s="18" t="s">
        <v>9</v>
      </c>
      <c r="I901" s="18" t="s">
        <v>10</v>
      </c>
      <c r="J901" s="18" t="s">
        <v>11</v>
      </c>
      <c r="K901" s="18" t="s">
        <v>12</v>
      </c>
      <c r="L901" s="18" t="s">
        <v>13</v>
      </c>
      <c r="M901" s="18" t="s">
        <v>14</v>
      </c>
      <c r="N901" s="18" t="s">
        <v>15</v>
      </c>
      <c r="O901" s="18" t="s">
        <v>16</v>
      </c>
      <c r="P901" s="18" t="s">
        <v>17</v>
      </c>
      <c r="Q901" s="18" t="s">
        <v>18</v>
      </c>
      <c r="R901" s="18" t="s">
        <v>19</v>
      </c>
      <c r="S901" s="18" t="s">
        <v>20</v>
      </c>
      <c r="T901" s="18" t="s">
        <v>21</v>
      </c>
      <c r="U901" s="18" t="s">
        <v>22</v>
      </c>
      <c r="V901" s="18" t="s">
        <v>23</v>
      </c>
      <c r="W901" s="18" t="s">
        <v>166</v>
      </c>
    </row>
    <row r="902" spans="1:23" x14ac:dyDescent="0.3">
      <c r="B902" s="54" t="s">
        <v>50</v>
      </c>
      <c r="C902" s="55"/>
      <c r="D902" s="20">
        <v>110</v>
      </c>
      <c r="E902" s="21">
        <v>110</v>
      </c>
      <c r="F902" s="21">
        <v>110</v>
      </c>
      <c r="G902" s="21">
        <v>110</v>
      </c>
      <c r="H902" s="21">
        <v>110</v>
      </c>
      <c r="I902" s="21">
        <v>110</v>
      </c>
      <c r="J902" s="21">
        <v>110</v>
      </c>
      <c r="K902" s="21">
        <v>110</v>
      </c>
      <c r="L902" s="21">
        <v>110</v>
      </c>
      <c r="M902" s="21">
        <v>110</v>
      </c>
      <c r="N902" s="21">
        <v>110</v>
      </c>
      <c r="O902" s="21">
        <v>110</v>
      </c>
      <c r="P902" s="21">
        <v>110</v>
      </c>
      <c r="Q902" s="21">
        <v>110</v>
      </c>
      <c r="R902" s="21">
        <v>110</v>
      </c>
      <c r="S902" s="21">
        <v>110</v>
      </c>
      <c r="T902" s="21">
        <v>110</v>
      </c>
      <c r="U902" s="21">
        <v>110</v>
      </c>
      <c r="V902" s="21">
        <v>110</v>
      </c>
      <c r="W902" s="21">
        <v>110</v>
      </c>
    </row>
    <row r="903" spans="1:23" x14ac:dyDescent="0.3">
      <c r="B903" s="54" t="s">
        <v>51</v>
      </c>
      <c r="C903" s="55"/>
      <c r="D903" s="385"/>
      <c r="E903" s="385"/>
      <c r="F903" s="385"/>
      <c r="G903" s="385"/>
      <c r="H903" s="385"/>
      <c r="I903" s="385"/>
      <c r="J903" s="385"/>
      <c r="K903" s="385"/>
      <c r="L903" s="385"/>
      <c r="M903" s="385"/>
      <c r="N903" s="385"/>
      <c r="O903" s="385"/>
      <c r="P903" s="385"/>
      <c r="Q903" s="385"/>
      <c r="R903" s="385"/>
      <c r="S903" s="385"/>
      <c r="T903" s="385"/>
      <c r="U903" s="385"/>
      <c r="V903" s="385"/>
      <c r="W903" s="385"/>
    </row>
    <row r="904" spans="1:23" x14ac:dyDescent="0.3">
      <c r="B904" s="54"/>
      <c r="C904" s="55"/>
      <c r="D904" s="20">
        <f t="shared" ref="D904:W904" si="588">D902*(1-D903)</f>
        <v>110</v>
      </c>
      <c r="E904" s="20">
        <f t="shared" si="588"/>
        <v>110</v>
      </c>
      <c r="F904" s="20">
        <f t="shared" si="588"/>
        <v>110</v>
      </c>
      <c r="G904" s="20">
        <f t="shared" si="588"/>
        <v>110</v>
      </c>
      <c r="H904" s="20">
        <f t="shared" si="588"/>
        <v>110</v>
      </c>
      <c r="I904" s="20">
        <f t="shared" si="588"/>
        <v>110</v>
      </c>
      <c r="J904" s="20">
        <f t="shared" si="588"/>
        <v>110</v>
      </c>
      <c r="K904" s="20">
        <f t="shared" si="588"/>
        <v>110</v>
      </c>
      <c r="L904" s="20">
        <f t="shared" si="588"/>
        <v>110</v>
      </c>
      <c r="M904" s="20">
        <f t="shared" si="588"/>
        <v>110</v>
      </c>
      <c r="N904" s="20">
        <f t="shared" si="588"/>
        <v>110</v>
      </c>
      <c r="O904" s="20">
        <f t="shared" si="588"/>
        <v>110</v>
      </c>
      <c r="P904" s="20">
        <f t="shared" si="588"/>
        <v>110</v>
      </c>
      <c r="Q904" s="20">
        <f t="shared" si="588"/>
        <v>110</v>
      </c>
      <c r="R904" s="20">
        <f t="shared" si="588"/>
        <v>110</v>
      </c>
      <c r="S904" s="20">
        <f t="shared" si="588"/>
        <v>110</v>
      </c>
      <c r="T904" s="20">
        <f t="shared" si="588"/>
        <v>110</v>
      </c>
      <c r="U904" s="20">
        <f t="shared" si="588"/>
        <v>110</v>
      </c>
      <c r="V904" s="20">
        <f t="shared" si="588"/>
        <v>110</v>
      </c>
      <c r="W904" s="20">
        <f t="shared" si="588"/>
        <v>110</v>
      </c>
    </row>
    <row r="905" spans="1:23" x14ac:dyDescent="0.3">
      <c r="B905" s="54" t="s">
        <v>51</v>
      </c>
      <c r="C905" s="56">
        <v>0</v>
      </c>
      <c r="D905" s="20">
        <f>D904*$C905</f>
        <v>0</v>
      </c>
      <c r="E905" s="20">
        <f t="shared" ref="E905:W905" si="589">E904*$C905</f>
        <v>0</v>
      </c>
      <c r="F905" s="20">
        <f t="shared" si="589"/>
        <v>0</v>
      </c>
      <c r="G905" s="20">
        <f t="shared" si="589"/>
        <v>0</v>
      </c>
      <c r="H905" s="20">
        <f t="shared" si="589"/>
        <v>0</v>
      </c>
      <c r="I905" s="20">
        <f t="shared" si="589"/>
        <v>0</v>
      </c>
      <c r="J905" s="20">
        <f t="shared" si="589"/>
        <v>0</v>
      </c>
      <c r="K905" s="20">
        <f t="shared" si="589"/>
        <v>0</v>
      </c>
      <c r="L905" s="20">
        <f t="shared" si="589"/>
        <v>0</v>
      </c>
      <c r="M905" s="20">
        <f t="shared" si="589"/>
        <v>0</v>
      </c>
      <c r="N905" s="20">
        <f t="shared" si="589"/>
        <v>0</v>
      </c>
      <c r="O905" s="20">
        <f t="shared" si="589"/>
        <v>0</v>
      </c>
      <c r="P905" s="20">
        <f t="shared" si="589"/>
        <v>0</v>
      </c>
      <c r="Q905" s="20">
        <f t="shared" si="589"/>
        <v>0</v>
      </c>
      <c r="R905" s="20">
        <f t="shared" si="589"/>
        <v>0</v>
      </c>
      <c r="S905" s="20">
        <f t="shared" si="589"/>
        <v>0</v>
      </c>
      <c r="T905" s="20">
        <f t="shared" si="589"/>
        <v>0</v>
      </c>
      <c r="U905" s="20">
        <f t="shared" si="589"/>
        <v>0</v>
      </c>
      <c r="V905" s="20">
        <f t="shared" si="589"/>
        <v>0</v>
      </c>
      <c r="W905" s="20">
        <f t="shared" si="589"/>
        <v>0</v>
      </c>
    </row>
    <row r="906" spans="1:23" x14ac:dyDescent="0.3">
      <c r="B906" s="54" t="s">
        <v>67</v>
      </c>
      <c r="C906" s="55"/>
      <c r="D906" s="20">
        <f>D904-D905</f>
        <v>110</v>
      </c>
      <c r="E906" s="20">
        <f t="shared" ref="E906:W906" si="590">E904-E905</f>
        <v>110</v>
      </c>
      <c r="F906" s="20">
        <f t="shared" si="590"/>
        <v>110</v>
      </c>
      <c r="G906" s="20">
        <f t="shared" si="590"/>
        <v>110</v>
      </c>
      <c r="H906" s="20">
        <f t="shared" si="590"/>
        <v>110</v>
      </c>
      <c r="I906" s="20">
        <f t="shared" si="590"/>
        <v>110</v>
      </c>
      <c r="J906" s="20">
        <f t="shared" si="590"/>
        <v>110</v>
      </c>
      <c r="K906" s="20">
        <f t="shared" si="590"/>
        <v>110</v>
      </c>
      <c r="L906" s="20">
        <f t="shared" si="590"/>
        <v>110</v>
      </c>
      <c r="M906" s="20">
        <f t="shared" si="590"/>
        <v>110</v>
      </c>
      <c r="N906" s="20">
        <f t="shared" si="590"/>
        <v>110</v>
      </c>
      <c r="O906" s="20">
        <f t="shared" si="590"/>
        <v>110</v>
      </c>
      <c r="P906" s="20">
        <f t="shared" si="590"/>
        <v>110</v>
      </c>
      <c r="Q906" s="20">
        <f t="shared" si="590"/>
        <v>110</v>
      </c>
      <c r="R906" s="20">
        <f t="shared" si="590"/>
        <v>110</v>
      </c>
      <c r="S906" s="20">
        <f t="shared" si="590"/>
        <v>110</v>
      </c>
      <c r="T906" s="20">
        <f t="shared" si="590"/>
        <v>110</v>
      </c>
      <c r="U906" s="20">
        <f t="shared" si="590"/>
        <v>110</v>
      </c>
      <c r="V906" s="20">
        <f t="shared" si="590"/>
        <v>110</v>
      </c>
      <c r="W906" s="20">
        <f t="shared" si="590"/>
        <v>110</v>
      </c>
    </row>
    <row r="907" spans="1:23" x14ac:dyDescent="0.3">
      <c r="B907" s="54" t="s">
        <v>66</v>
      </c>
      <c r="C907" s="56">
        <v>7.0000000000000007E-2</v>
      </c>
      <c r="D907" s="20">
        <f>D906*$C907</f>
        <v>7.7000000000000011</v>
      </c>
      <c r="E907" s="20">
        <f t="shared" ref="E907:W907" si="591">E906*$C907</f>
        <v>7.7000000000000011</v>
      </c>
      <c r="F907" s="20">
        <f t="shared" si="591"/>
        <v>7.7000000000000011</v>
      </c>
      <c r="G907" s="20">
        <f t="shared" si="591"/>
        <v>7.7000000000000011</v>
      </c>
      <c r="H907" s="20">
        <f t="shared" si="591"/>
        <v>7.7000000000000011</v>
      </c>
      <c r="I907" s="20">
        <f t="shared" si="591"/>
        <v>7.7000000000000011</v>
      </c>
      <c r="J907" s="20">
        <f t="shared" si="591"/>
        <v>7.7000000000000011</v>
      </c>
      <c r="K907" s="20">
        <f t="shared" si="591"/>
        <v>7.7000000000000011</v>
      </c>
      <c r="L907" s="20">
        <f t="shared" si="591"/>
        <v>7.7000000000000011</v>
      </c>
      <c r="M907" s="20">
        <f t="shared" si="591"/>
        <v>7.7000000000000011</v>
      </c>
      <c r="N907" s="20">
        <f t="shared" si="591"/>
        <v>7.7000000000000011</v>
      </c>
      <c r="O907" s="20">
        <f t="shared" si="591"/>
        <v>7.7000000000000011</v>
      </c>
      <c r="P907" s="20">
        <f t="shared" si="591"/>
        <v>7.7000000000000011</v>
      </c>
      <c r="Q907" s="20">
        <f t="shared" si="591"/>
        <v>7.7000000000000011</v>
      </c>
      <c r="R907" s="20">
        <f t="shared" si="591"/>
        <v>7.7000000000000011</v>
      </c>
      <c r="S907" s="20">
        <f t="shared" si="591"/>
        <v>7.7000000000000011</v>
      </c>
      <c r="T907" s="20">
        <f t="shared" si="591"/>
        <v>7.7000000000000011</v>
      </c>
      <c r="U907" s="20">
        <f t="shared" si="591"/>
        <v>7.7000000000000011</v>
      </c>
      <c r="V907" s="20">
        <f t="shared" si="591"/>
        <v>7.7000000000000011</v>
      </c>
      <c r="W907" s="20">
        <f t="shared" si="591"/>
        <v>7.7000000000000011</v>
      </c>
    </row>
    <row r="908" spans="1:23" x14ac:dyDescent="0.3">
      <c r="B908" s="54" t="s">
        <v>68</v>
      </c>
      <c r="C908" s="55"/>
      <c r="D908" s="20">
        <f>D906+D907</f>
        <v>117.7</v>
      </c>
      <c r="E908" s="20">
        <f t="shared" ref="E908:W908" si="592">E906+E907</f>
        <v>117.7</v>
      </c>
      <c r="F908" s="20">
        <f t="shared" si="592"/>
        <v>117.7</v>
      </c>
      <c r="G908" s="20">
        <f t="shared" si="592"/>
        <v>117.7</v>
      </c>
      <c r="H908" s="20">
        <f t="shared" si="592"/>
        <v>117.7</v>
      </c>
      <c r="I908" s="20">
        <f t="shared" si="592"/>
        <v>117.7</v>
      </c>
      <c r="J908" s="20">
        <f t="shared" si="592"/>
        <v>117.7</v>
      </c>
      <c r="K908" s="20">
        <f t="shared" si="592"/>
        <v>117.7</v>
      </c>
      <c r="L908" s="20">
        <f t="shared" si="592"/>
        <v>117.7</v>
      </c>
      <c r="M908" s="20">
        <f t="shared" si="592"/>
        <v>117.7</v>
      </c>
      <c r="N908" s="20">
        <f t="shared" si="592"/>
        <v>117.7</v>
      </c>
      <c r="O908" s="20">
        <f t="shared" si="592"/>
        <v>117.7</v>
      </c>
      <c r="P908" s="20">
        <f t="shared" si="592"/>
        <v>117.7</v>
      </c>
      <c r="Q908" s="20">
        <f t="shared" si="592"/>
        <v>117.7</v>
      </c>
      <c r="R908" s="20">
        <f t="shared" si="592"/>
        <v>117.7</v>
      </c>
      <c r="S908" s="20">
        <f t="shared" si="592"/>
        <v>117.7</v>
      </c>
      <c r="T908" s="20">
        <f t="shared" si="592"/>
        <v>117.7</v>
      </c>
      <c r="U908" s="20">
        <f t="shared" si="592"/>
        <v>117.7</v>
      </c>
      <c r="V908" s="20">
        <f t="shared" si="592"/>
        <v>117.7</v>
      </c>
      <c r="W908" s="20">
        <f t="shared" si="592"/>
        <v>117.7</v>
      </c>
    </row>
    <row r="909" spans="1:23" ht="23" x14ac:dyDescent="0.35">
      <c r="B909" s="54" t="s">
        <v>52</v>
      </c>
      <c r="C909" s="55"/>
      <c r="D909" s="379"/>
      <c r="E909" s="379"/>
      <c r="F909" s="379"/>
      <c r="G909" s="379"/>
      <c r="H909" s="379"/>
      <c r="I909" s="379"/>
      <c r="J909" s="379"/>
      <c r="K909" s="379"/>
      <c r="L909" s="379"/>
      <c r="M909" s="379"/>
      <c r="N909" s="379"/>
      <c r="O909" s="379"/>
      <c r="P909" s="379"/>
      <c r="Q909" s="379"/>
      <c r="R909" s="379"/>
      <c r="S909" s="379"/>
      <c r="T909" s="379"/>
      <c r="U909" s="379"/>
      <c r="V909" s="379"/>
      <c r="W909" s="379"/>
    </row>
    <row r="910" spans="1:23" x14ac:dyDescent="0.3">
      <c r="B910" s="57" t="s">
        <v>53</v>
      </c>
      <c r="C910" s="58"/>
      <c r="D910" s="25">
        <f>SUM(D908:D909)</f>
        <v>117.7</v>
      </c>
      <c r="E910" s="26">
        <f t="shared" ref="E910:W910" si="593">SUM(E908:E909)</f>
        <v>117.7</v>
      </c>
      <c r="F910" s="26">
        <f t="shared" si="593"/>
        <v>117.7</v>
      </c>
      <c r="G910" s="26">
        <f t="shared" si="593"/>
        <v>117.7</v>
      </c>
      <c r="H910" s="26">
        <f t="shared" si="593"/>
        <v>117.7</v>
      </c>
      <c r="I910" s="26">
        <f t="shared" si="593"/>
        <v>117.7</v>
      </c>
      <c r="J910" s="26">
        <f t="shared" si="593"/>
        <v>117.7</v>
      </c>
      <c r="K910" s="26">
        <f t="shared" si="593"/>
        <v>117.7</v>
      </c>
      <c r="L910" s="26">
        <f t="shared" si="593"/>
        <v>117.7</v>
      </c>
      <c r="M910" s="26">
        <f t="shared" si="593"/>
        <v>117.7</v>
      </c>
      <c r="N910" s="26">
        <f t="shared" si="593"/>
        <v>117.7</v>
      </c>
      <c r="O910" s="26">
        <f t="shared" si="593"/>
        <v>117.7</v>
      </c>
      <c r="P910" s="26">
        <f t="shared" si="593"/>
        <v>117.7</v>
      </c>
      <c r="Q910" s="26">
        <f t="shared" si="593"/>
        <v>117.7</v>
      </c>
      <c r="R910" s="26">
        <f t="shared" si="593"/>
        <v>117.7</v>
      </c>
      <c r="S910" s="26">
        <f t="shared" si="593"/>
        <v>117.7</v>
      </c>
      <c r="T910" s="26">
        <f t="shared" si="593"/>
        <v>117.7</v>
      </c>
      <c r="U910" s="26">
        <f t="shared" si="593"/>
        <v>117.7</v>
      </c>
      <c r="V910" s="26">
        <f t="shared" si="593"/>
        <v>117.7</v>
      </c>
      <c r="W910" s="26">
        <f t="shared" si="593"/>
        <v>117.7</v>
      </c>
    </row>
    <row r="911" spans="1:23" x14ac:dyDescent="0.3">
      <c r="B911" s="54" t="s">
        <v>54</v>
      </c>
      <c r="C911" s="55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</row>
    <row r="912" spans="1:23" x14ac:dyDescent="0.3">
      <c r="B912" s="59" t="s">
        <v>55</v>
      </c>
      <c r="C912" s="60"/>
      <c r="D912" s="27">
        <f>D910</f>
        <v>117.7</v>
      </c>
      <c r="E912" s="41">
        <f t="shared" ref="E912:W912" si="594">E910</f>
        <v>117.7</v>
      </c>
      <c r="F912" s="41">
        <f t="shared" si="594"/>
        <v>117.7</v>
      </c>
      <c r="G912" s="41">
        <f t="shared" si="594"/>
        <v>117.7</v>
      </c>
      <c r="H912" s="41">
        <f t="shared" si="594"/>
        <v>117.7</v>
      </c>
      <c r="I912" s="41">
        <f t="shared" si="594"/>
        <v>117.7</v>
      </c>
      <c r="J912" s="41">
        <f t="shared" si="594"/>
        <v>117.7</v>
      </c>
      <c r="K912" s="41">
        <f t="shared" si="594"/>
        <v>117.7</v>
      </c>
      <c r="L912" s="41">
        <f t="shared" si="594"/>
        <v>117.7</v>
      </c>
      <c r="M912" s="41">
        <f t="shared" si="594"/>
        <v>117.7</v>
      </c>
      <c r="N912" s="41">
        <f t="shared" si="594"/>
        <v>117.7</v>
      </c>
      <c r="O912" s="41">
        <f t="shared" si="594"/>
        <v>117.7</v>
      </c>
      <c r="P912" s="41">
        <f t="shared" si="594"/>
        <v>117.7</v>
      </c>
      <c r="Q912" s="41">
        <f t="shared" si="594"/>
        <v>117.7</v>
      </c>
      <c r="R912" s="41">
        <f t="shared" si="594"/>
        <v>117.7</v>
      </c>
      <c r="S912" s="41">
        <f t="shared" si="594"/>
        <v>117.7</v>
      </c>
      <c r="T912" s="41">
        <f t="shared" si="594"/>
        <v>117.7</v>
      </c>
      <c r="U912" s="41">
        <f t="shared" si="594"/>
        <v>117.7</v>
      </c>
      <c r="V912" s="41">
        <f t="shared" si="594"/>
        <v>117.7</v>
      </c>
      <c r="W912" s="41">
        <f t="shared" si="594"/>
        <v>117.7</v>
      </c>
    </row>
    <row r="913" spans="2:23" x14ac:dyDescent="0.3">
      <c r="B913" s="171" t="s">
        <v>194</v>
      </c>
      <c r="C913" s="55"/>
      <c r="D913" s="285">
        <v>63.55102428</v>
      </c>
      <c r="E913" s="285">
        <v>63.442024279999998</v>
      </c>
      <c r="F913" s="285">
        <v>63.442024279999998</v>
      </c>
      <c r="G913" s="285">
        <v>63.442024279999998</v>
      </c>
      <c r="H913" s="285">
        <v>63.442024279999998</v>
      </c>
      <c r="I913" s="285">
        <v>63.55102428</v>
      </c>
      <c r="J913" s="285">
        <v>63.55102428</v>
      </c>
      <c r="K913" s="285">
        <v>63.55102428</v>
      </c>
      <c r="L913" s="285">
        <v>63.55102428</v>
      </c>
      <c r="M913" s="285">
        <v>63.55102428</v>
      </c>
      <c r="N913" s="285">
        <v>64.750024280000005</v>
      </c>
      <c r="O913" s="285">
        <v>64.750024280000005</v>
      </c>
      <c r="P913" s="285">
        <v>64.750024280000005</v>
      </c>
      <c r="Q913" s="285">
        <v>64.750024280000005</v>
      </c>
      <c r="R913" s="285">
        <v>64.750024280000005</v>
      </c>
      <c r="S913" s="285">
        <v>64.750024280000005</v>
      </c>
      <c r="T913" s="285">
        <v>71.82796980000002</v>
      </c>
      <c r="U913" s="285">
        <v>71.991469800000019</v>
      </c>
      <c r="V913" s="285">
        <v>71.66446980000002</v>
      </c>
      <c r="W913" s="285">
        <v>64.750024280000005</v>
      </c>
    </row>
    <row r="914" spans="2:23" x14ac:dyDescent="0.3">
      <c r="B914" s="61" t="s">
        <v>195</v>
      </c>
      <c r="C914" s="55"/>
      <c r="D914" s="400">
        <v>64.5</v>
      </c>
      <c r="E914" s="400">
        <v>64.5</v>
      </c>
      <c r="F914" s="400">
        <v>64.5</v>
      </c>
      <c r="G914" s="400">
        <v>64.5</v>
      </c>
      <c r="H914" s="400">
        <v>64.5</v>
      </c>
      <c r="I914" s="400">
        <v>64.5</v>
      </c>
      <c r="J914" s="400">
        <v>64.5</v>
      </c>
      <c r="K914" s="400">
        <v>64.5</v>
      </c>
      <c r="L914" s="400">
        <v>64.5</v>
      </c>
      <c r="M914" s="400">
        <v>64.5</v>
      </c>
      <c r="N914" s="285">
        <v>66</v>
      </c>
      <c r="O914" s="285">
        <v>66</v>
      </c>
      <c r="P914" s="285">
        <v>66</v>
      </c>
      <c r="Q914" s="285">
        <v>66</v>
      </c>
      <c r="R914" s="285">
        <v>66</v>
      </c>
      <c r="S914" s="285">
        <v>66</v>
      </c>
      <c r="T914" s="285">
        <v>73</v>
      </c>
      <c r="U914" s="285">
        <v>72.65194200000002</v>
      </c>
      <c r="V914" s="285">
        <v>73</v>
      </c>
      <c r="W914" s="285">
        <v>66</v>
      </c>
    </row>
    <row r="915" spans="2:23" x14ac:dyDescent="0.3">
      <c r="B915" s="61" t="s">
        <v>196</v>
      </c>
      <c r="C915" s="62"/>
      <c r="D915" s="285">
        <v>65.300135040000001</v>
      </c>
      <c r="E915" s="285">
        <v>65.188135040000006</v>
      </c>
      <c r="F915" s="285">
        <v>65.188135040000006</v>
      </c>
      <c r="G915" s="285">
        <v>65.188135040000006</v>
      </c>
      <c r="H915" s="285">
        <v>65.188135040000006</v>
      </c>
      <c r="I915" s="285">
        <v>65.300135040000001</v>
      </c>
      <c r="J915" s="285">
        <v>65.300135040000001</v>
      </c>
      <c r="K915" s="285">
        <v>65.300135040000001</v>
      </c>
      <c r="L915" s="285">
        <v>65.300135040000001</v>
      </c>
      <c r="M915" s="285">
        <v>65.300135040000001</v>
      </c>
      <c r="N915" s="285">
        <v>66.53213504</v>
      </c>
      <c r="O915" s="285">
        <v>66.53213504</v>
      </c>
      <c r="P915" s="285">
        <v>66.53213504</v>
      </c>
      <c r="Q915" s="285">
        <v>66.53213504</v>
      </c>
      <c r="R915" s="285">
        <v>66.53213504</v>
      </c>
      <c r="S915" s="285">
        <v>66.53213504</v>
      </c>
      <c r="T915" s="285">
        <v>73.804886400000029</v>
      </c>
      <c r="U915" s="285">
        <v>73.972886400000021</v>
      </c>
      <c r="V915" s="285">
        <v>73.636886400000023</v>
      </c>
      <c r="W915" s="285">
        <v>66.53213504</v>
      </c>
    </row>
    <row r="916" spans="2:23" x14ac:dyDescent="0.3">
      <c r="B916" s="61" t="s">
        <v>197</v>
      </c>
      <c r="C916" s="62"/>
      <c r="D916" s="285">
        <v>67.049245799999994</v>
      </c>
      <c r="E916" s="285">
        <v>66.934245799999985</v>
      </c>
      <c r="F916" s="285">
        <v>66.934245799999985</v>
      </c>
      <c r="G916" s="285">
        <v>66.934245799999985</v>
      </c>
      <c r="H916" s="285">
        <v>66.934245799999985</v>
      </c>
      <c r="I916" s="285">
        <v>67.049245799999994</v>
      </c>
      <c r="J916" s="285">
        <v>67.049245799999994</v>
      </c>
      <c r="K916" s="285">
        <v>67.049245799999994</v>
      </c>
      <c r="L916" s="285">
        <v>67.049245799999994</v>
      </c>
      <c r="M916" s="285">
        <v>67.049245799999994</v>
      </c>
      <c r="N916" s="285">
        <v>68.314245799999995</v>
      </c>
      <c r="O916" s="285">
        <v>68.314245799999995</v>
      </c>
      <c r="P916" s="285">
        <v>68.314245799999995</v>
      </c>
      <c r="Q916" s="285">
        <v>68.314245799999995</v>
      </c>
      <c r="R916" s="285">
        <v>68.314245799999995</v>
      </c>
      <c r="S916" s="285">
        <v>68.314245799999995</v>
      </c>
      <c r="T916" s="285">
        <v>75.781803000000011</v>
      </c>
      <c r="U916" s="285">
        <v>75.95430300000001</v>
      </c>
      <c r="V916" s="285">
        <v>75.609303000000011</v>
      </c>
      <c r="W916" s="285">
        <v>68.314245799999995</v>
      </c>
    </row>
    <row r="917" spans="2:23" x14ac:dyDescent="0.3">
      <c r="B917" s="63" t="s">
        <v>198</v>
      </c>
      <c r="C917" s="62"/>
      <c r="D917" s="31">
        <f>D913-D912</f>
        <v>-54.148975720000003</v>
      </c>
      <c r="E917" s="31">
        <f t="shared" ref="E917:W917" si="595">E913-E912</f>
        <v>-54.257975720000005</v>
      </c>
      <c r="F917" s="31">
        <f t="shared" si="595"/>
        <v>-54.257975720000005</v>
      </c>
      <c r="G917" s="31">
        <f t="shared" si="595"/>
        <v>-54.257975720000005</v>
      </c>
      <c r="H917" s="31">
        <f t="shared" si="595"/>
        <v>-54.257975720000005</v>
      </c>
      <c r="I917" s="31">
        <f t="shared" si="595"/>
        <v>-54.148975720000003</v>
      </c>
      <c r="J917" s="31">
        <f t="shared" si="595"/>
        <v>-54.148975720000003</v>
      </c>
      <c r="K917" s="31">
        <f t="shared" si="595"/>
        <v>-54.148975720000003</v>
      </c>
      <c r="L917" s="31">
        <f t="shared" si="595"/>
        <v>-54.148975720000003</v>
      </c>
      <c r="M917" s="31">
        <f t="shared" si="595"/>
        <v>-54.148975720000003</v>
      </c>
      <c r="N917" s="31">
        <f t="shared" si="595"/>
        <v>-52.949975719999998</v>
      </c>
      <c r="O917" s="31">
        <f t="shared" si="595"/>
        <v>-52.949975719999998</v>
      </c>
      <c r="P917" s="31">
        <f t="shared" si="595"/>
        <v>-52.949975719999998</v>
      </c>
      <c r="Q917" s="31">
        <f t="shared" si="595"/>
        <v>-52.949975719999998</v>
      </c>
      <c r="R917" s="31">
        <f t="shared" si="595"/>
        <v>-52.949975719999998</v>
      </c>
      <c r="S917" s="31">
        <f t="shared" si="595"/>
        <v>-52.949975719999998</v>
      </c>
      <c r="T917" s="31">
        <f t="shared" si="595"/>
        <v>-45.872030199999983</v>
      </c>
      <c r="U917" s="31">
        <f t="shared" si="595"/>
        <v>-45.708530199999984</v>
      </c>
      <c r="V917" s="31">
        <f t="shared" si="595"/>
        <v>-46.035530199999982</v>
      </c>
      <c r="W917" s="31">
        <f t="shared" si="595"/>
        <v>-52.949975719999998</v>
      </c>
    </row>
    <row r="918" spans="2:23" x14ac:dyDescent="0.3">
      <c r="B918" s="63" t="s">
        <v>199</v>
      </c>
      <c r="C918" s="64"/>
      <c r="D918" s="31">
        <f>D914-D912</f>
        <v>-53.2</v>
      </c>
      <c r="E918" s="32">
        <f t="shared" ref="E918:W918" si="596">E914-E912</f>
        <v>-53.2</v>
      </c>
      <c r="F918" s="32">
        <f t="shared" si="596"/>
        <v>-53.2</v>
      </c>
      <c r="G918" s="32">
        <f t="shared" si="596"/>
        <v>-53.2</v>
      </c>
      <c r="H918" s="32">
        <f t="shared" si="596"/>
        <v>-53.2</v>
      </c>
      <c r="I918" s="32">
        <f t="shared" si="596"/>
        <v>-53.2</v>
      </c>
      <c r="J918" s="32">
        <f t="shared" si="596"/>
        <v>-53.2</v>
      </c>
      <c r="K918" s="32">
        <f t="shared" si="596"/>
        <v>-53.2</v>
      </c>
      <c r="L918" s="32">
        <f t="shared" si="596"/>
        <v>-53.2</v>
      </c>
      <c r="M918" s="32">
        <f t="shared" si="596"/>
        <v>-53.2</v>
      </c>
      <c r="N918" s="32">
        <f t="shared" si="596"/>
        <v>-51.7</v>
      </c>
      <c r="O918" s="32">
        <f t="shared" si="596"/>
        <v>-51.7</v>
      </c>
      <c r="P918" s="32">
        <f t="shared" si="596"/>
        <v>-51.7</v>
      </c>
      <c r="Q918" s="32">
        <f t="shared" si="596"/>
        <v>-51.7</v>
      </c>
      <c r="R918" s="32">
        <f t="shared" si="596"/>
        <v>-51.7</v>
      </c>
      <c r="S918" s="32">
        <f t="shared" si="596"/>
        <v>-51.7</v>
      </c>
      <c r="T918" s="32">
        <f t="shared" si="596"/>
        <v>-44.7</v>
      </c>
      <c r="U918" s="32">
        <f t="shared" si="596"/>
        <v>-45.048057999999983</v>
      </c>
      <c r="V918" s="32">
        <f t="shared" si="596"/>
        <v>-44.7</v>
      </c>
      <c r="W918" s="32">
        <f t="shared" si="596"/>
        <v>-51.7</v>
      </c>
    </row>
    <row r="919" spans="2:23" x14ac:dyDescent="0.3">
      <c r="B919" s="63" t="s">
        <v>200</v>
      </c>
      <c r="C919" s="64"/>
      <c r="D919" s="31">
        <f>D915-D912</f>
        <v>-52.399864960000002</v>
      </c>
      <c r="E919" s="32">
        <f t="shared" ref="E919:W919" si="597">E915-E912</f>
        <v>-52.511864959999997</v>
      </c>
      <c r="F919" s="32">
        <f t="shared" si="597"/>
        <v>-52.511864959999997</v>
      </c>
      <c r="G919" s="32">
        <f t="shared" si="597"/>
        <v>-52.511864959999997</v>
      </c>
      <c r="H919" s="32">
        <f t="shared" si="597"/>
        <v>-52.511864959999997</v>
      </c>
      <c r="I919" s="32">
        <f t="shared" si="597"/>
        <v>-52.399864960000002</v>
      </c>
      <c r="J919" s="32">
        <f t="shared" si="597"/>
        <v>-52.399864960000002</v>
      </c>
      <c r="K919" s="32">
        <f t="shared" si="597"/>
        <v>-52.399864960000002</v>
      </c>
      <c r="L919" s="32">
        <f t="shared" si="597"/>
        <v>-52.399864960000002</v>
      </c>
      <c r="M919" s="32">
        <f t="shared" si="597"/>
        <v>-52.399864960000002</v>
      </c>
      <c r="N919" s="32">
        <f t="shared" si="597"/>
        <v>-51.167864960000003</v>
      </c>
      <c r="O919" s="32">
        <f t="shared" si="597"/>
        <v>-51.167864960000003</v>
      </c>
      <c r="P919" s="32">
        <f t="shared" si="597"/>
        <v>-51.167864960000003</v>
      </c>
      <c r="Q919" s="32">
        <f t="shared" si="597"/>
        <v>-51.167864960000003</v>
      </c>
      <c r="R919" s="32">
        <f t="shared" si="597"/>
        <v>-51.167864960000003</v>
      </c>
      <c r="S919" s="32">
        <f t="shared" si="597"/>
        <v>-51.167864960000003</v>
      </c>
      <c r="T919" s="32">
        <f t="shared" si="597"/>
        <v>-43.895113599999974</v>
      </c>
      <c r="U919" s="32">
        <f t="shared" si="597"/>
        <v>-43.727113599999981</v>
      </c>
      <c r="V919" s="32">
        <f t="shared" si="597"/>
        <v>-44.06311359999998</v>
      </c>
      <c r="W919" s="32">
        <f t="shared" si="597"/>
        <v>-51.167864960000003</v>
      </c>
    </row>
    <row r="920" spans="2:23" x14ac:dyDescent="0.3">
      <c r="B920" s="63" t="s">
        <v>201</v>
      </c>
      <c r="C920" s="64"/>
      <c r="D920" s="31">
        <f>D916-D912</f>
        <v>-50.650754200000009</v>
      </c>
      <c r="E920" s="32">
        <f t="shared" ref="E920:W920" si="598">E916-E912</f>
        <v>-50.765754200000018</v>
      </c>
      <c r="F920" s="32">
        <f t="shared" si="598"/>
        <v>-50.765754200000018</v>
      </c>
      <c r="G920" s="32">
        <f t="shared" si="598"/>
        <v>-50.765754200000018</v>
      </c>
      <c r="H920" s="32">
        <f t="shared" si="598"/>
        <v>-50.765754200000018</v>
      </c>
      <c r="I920" s="32">
        <f t="shared" si="598"/>
        <v>-50.650754200000009</v>
      </c>
      <c r="J920" s="32">
        <f t="shared" si="598"/>
        <v>-50.650754200000009</v>
      </c>
      <c r="K920" s="32">
        <f t="shared" si="598"/>
        <v>-50.650754200000009</v>
      </c>
      <c r="L920" s="32">
        <f t="shared" si="598"/>
        <v>-50.650754200000009</v>
      </c>
      <c r="M920" s="32">
        <f t="shared" si="598"/>
        <v>-50.650754200000009</v>
      </c>
      <c r="N920" s="32">
        <f t="shared" si="598"/>
        <v>-49.385754200000008</v>
      </c>
      <c r="O920" s="32">
        <f t="shared" si="598"/>
        <v>-49.385754200000008</v>
      </c>
      <c r="P920" s="32">
        <f t="shared" si="598"/>
        <v>-49.385754200000008</v>
      </c>
      <c r="Q920" s="32">
        <f t="shared" si="598"/>
        <v>-49.385754200000008</v>
      </c>
      <c r="R920" s="32">
        <f t="shared" si="598"/>
        <v>-49.385754200000008</v>
      </c>
      <c r="S920" s="32">
        <f t="shared" si="598"/>
        <v>-49.385754200000008</v>
      </c>
      <c r="T920" s="32">
        <f t="shared" si="598"/>
        <v>-41.918196999999992</v>
      </c>
      <c r="U920" s="32">
        <f t="shared" si="598"/>
        <v>-41.745696999999993</v>
      </c>
      <c r="V920" s="32">
        <f t="shared" si="598"/>
        <v>-42.090696999999992</v>
      </c>
      <c r="W920" s="32">
        <f t="shared" si="598"/>
        <v>-49.385754200000008</v>
      </c>
    </row>
    <row r="921" spans="2:23" x14ac:dyDescent="0.3">
      <c r="B921" s="97" t="s">
        <v>202</v>
      </c>
      <c r="C921" s="98"/>
      <c r="D921" s="99">
        <f>D917/D913</f>
        <v>-0.852055121588986</v>
      </c>
      <c r="E921" s="99">
        <f t="shared" ref="E921:W921" si="599">E917/E913</f>
        <v>-0.85523714502761772</v>
      </c>
      <c r="F921" s="99">
        <f t="shared" si="599"/>
        <v>-0.85523714502761772</v>
      </c>
      <c r="G921" s="99">
        <f t="shared" si="599"/>
        <v>-0.85523714502761772</v>
      </c>
      <c r="H921" s="99">
        <f t="shared" si="599"/>
        <v>-0.85523714502761772</v>
      </c>
      <c r="I921" s="99">
        <f t="shared" si="599"/>
        <v>-0.852055121588986</v>
      </c>
      <c r="J921" s="99">
        <f t="shared" si="599"/>
        <v>-0.852055121588986</v>
      </c>
      <c r="K921" s="99">
        <f t="shared" si="599"/>
        <v>-0.852055121588986</v>
      </c>
      <c r="L921" s="99">
        <f t="shared" si="599"/>
        <v>-0.852055121588986</v>
      </c>
      <c r="M921" s="99">
        <f t="shared" si="599"/>
        <v>-0.852055121588986</v>
      </c>
      <c r="N921" s="99">
        <f t="shared" si="599"/>
        <v>-0.8177599361357335</v>
      </c>
      <c r="O921" s="99">
        <f t="shared" si="599"/>
        <v>-0.8177599361357335</v>
      </c>
      <c r="P921" s="99">
        <f t="shared" si="599"/>
        <v>-0.8177599361357335</v>
      </c>
      <c r="Q921" s="99">
        <f t="shared" si="599"/>
        <v>-0.8177599361357335</v>
      </c>
      <c r="R921" s="99">
        <f t="shared" si="599"/>
        <v>-0.8177599361357335</v>
      </c>
      <c r="S921" s="99">
        <f t="shared" si="599"/>
        <v>-0.8177599361357335</v>
      </c>
      <c r="T921" s="99">
        <f t="shared" si="599"/>
        <v>-0.63863743229451508</v>
      </c>
      <c r="U921" s="99">
        <f t="shared" si="599"/>
        <v>-0.63491591888571186</v>
      </c>
      <c r="V921" s="99">
        <f t="shared" si="599"/>
        <v>-0.64237592671061616</v>
      </c>
      <c r="W921" s="99">
        <f t="shared" si="599"/>
        <v>-0.8177599361357335</v>
      </c>
    </row>
    <row r="922" spans="2:23" x14ac:dyDescent="0.3">
      <c r="B922" s="97" t="s">
        <v>203</v>
      </c>
      <c r="C922" s="98"/>
      <c r="D922" s="99">
        <f>D918/D914</f>
        <v>-0.82480620155038764</v>
      </c>
      <c r="E922" s="99">
        <f t="shared" ref="E922:W922" si="600">E918/E914</f>
        <v>-0.82480620155038764</v>
      </c>
      <c r="F922" s="99">
        <f t="shared" si="600"/>
        <v>-0.82480620155038764</v>
      </c>
      <c r="G922" s="99">
        <f t="shared" si="600"/>
        <v>-0.82480620155038764</v>
      </c>
      <c r="H922" s="99">
        <f t="shared" si="600"/>
        <v>-0.82480620155038764</v>
      </c>
      <c r="I922" s="99">
        <f t="shared" si="600"/>
        <v>-0.82480620155038764</v>
      </c>
      <c r="J922" s="99">
        <f t="shared" si="600"/>
        <v>-0.82480620155038764</v>
      </c>
      <c r="K922" s="99">
        <f t="shared" si="600"/>
        <v>-0.82480620155038764</v>
      </c>
      <c r="L922" s="99">
        <f t="shared" si="600"/>
        <v>-0.82480620155038764</v>
      </c>
      <c r="M922" s="99">
        <f t="shared" si="600"/>
        <v>-0.82480620155038764</v>
      </c>
      <c r="N922" s="99">
        <f t="shared" si="600"/>
        <v>-0.78333333333333333</v>
      </c>
      <c r="O922" s="99">
        <f t="shared" si="600"/>
        <v>-0.78333333333333333</v>
      </c>
      <c r="P922" s="99">
        <f t="shared" si="600"/>
        <v>-0.78333333333333333</v>
      </c>
      <c r="Q922" s="99">
        <f t="shared" si="600"/>
        <v>-0.78333333333333333</v>
      </c>
      <c r="R922" s="99">
        <f t="shared" si="600"/>
        <v>-0.78333333333333333</v>
      </c>
      <c r="S922" s="99">
        <f t="shared" si="600"/>
        <v>-0.78333333333333333</v>
      </c>
      <c r="T922" s="99">
        <f t="shared" si="600"/>
        <v>-0.61232876712328776</v>
      </c>
      <c r="U922" s="99">
        <f t="shared" si="600"/>
        <v>-0.62005304689584173</v>
      </c>
      <c r="V922" s="99">
        <f t="shared" si="600"/>
        <v>-0.61232876712328776</v>
      </c>
      <c r="W922" s="99">
        <f t="shared" si="600"/>
        <v>-0.78333333333333333</v>
      </c>
    </row>
    <row r="923" spans="2:23" x14ac:dyDescent="0.3">
      <c r="B923" s="97" t="s">
        <v>204</v>
      </c>
      <c r="C923" s="98"/>
      <c r="D923" s="99">
        <f>D919/D915</f>
        <v>-0.80244650226070957</v>
      </c>
      <c r="E923" s="99">
        <f t="shared" ref="E923:W923" si="601">E919/E915</f>
        <v>-0.80554329292866345</v>
      </c>
      <c r="F923" s="99">
        <f t="shared" si="601"/>
        <v>-0.80554329292866345</v>
      </c>
      <c r="G923" s="99">
        <f t="shared" si="601"/>
        <v>-0.80554329292866345</v>
      </c>
      <c r="H923" s="99">
        <f t="shared" si="601"/>
        <v>-0.80554329292866345</v>
      </c>
      <c r="I923" s="99">
        <f t="shared" si="601"/>
        <v>-0.80244650226070957</v>
      </c>
      <c r="J923" s="99">
        <f t="shared" si="601"/>
        <v>-0.80244650226070957</v>
      </c>
      <c r="K923" s="99">
        <f t="shared" si="601"/>
        <v>-0.80244650226070957</v>
      </c>
      <c r="L923" s="99">
        <f t="shared" si="601"/>
        <v>-0.80244650226070957</v>
      </c>
      <c r="M923" s="99">
        <f t="shared" si="601"/>
        <v>-0.80244650226070957</v>
      </c>
      <c r="N923" s="99">
        <f t="shared" si="601"/>
        <v>-0.76906993784638367</v>
      </c>
      <c r="O923" s="99">
        <f t="shared" si="601"/>
        <v>-0.76906993784638367</v>
      </c>
      <c r="P923" s="99">
        <f t="shared" si="601"/>
        <v>-0.76906993784638367</v>
      </c>
      <c r="Q923" s="99">
        <f t="shared" si="601"/>
        <v>-0.76906993784638367</v>
      </c>
      <c r="R923" s="99">
        <f t="shared" si="601"/>
        <v>-0.76906993784638367</v>
      </c>
      <c r="S923" s="99">
        <f t="shared" si="601"/>
        <v>-0.76906993784638367</v>
      </c>
      <c r="T923" s="99">
        <f t="shared" si="601"/>
        <v>-0.59474535821519747</v>
      </c>
      <c r="U923" s="99">
        <f t="shared" si="601"/>
        <v>-0.59112352820127312</v>
      </c>
      <c r="V923" s="99">
        <f t="shared" si="601"/>
        <v>-0.59838371438801041</v>
      </c>
      <c r="W923" s="99">
        <f t="shared" si="601"/>
        <v>-0.76906993784638367</v>
      </c>
    </row>
    <row r="924" spans="2:23" x14ac:dyDescent="0.3">
      <c r="B924" s="97" t="s">
        <v>205</v>
      </c>
      <c r="C924" s="98"/>
      <c r="D924" s="99">
        <f>D920/D916</f>
        <v>-0.75542615872347385</v>
      </c>
      <c r="E924" s="99">
        <f t="shared" ref="E924:W924" si="602">E920/E916</f>
        <v>-0.75844216354791627</v>
      </c>
      <c r="F924" s="99">
        <f t="shared" si="602"/>
        <v>-0.75844216354791627</v>
      </c>
      <c r="G924" s="99">
        <f t="shared" si="602"/>
        <v>-0.75844216354791627</v>
      </c>
      <c r="H924" s="99">
        <f t="shared" si="602"/>
        <v>-0.75844216354791627</v>
      </c>
      <c r="I924" s="99">
        <f t="shared" si="602"/>
        <v>-0.75542615872347385</v>
      </c>
      <c r="J924" s="99">
        <f t="shared" si="602"/>
        <v>-0.75542615872347385</v>
      </c>
      <c r="K924" s="99">
        <f t="shared" si="602"/>
        <v>-0.75542615872347385</v>
      </c>
      <c r="L924" s="99">
        <f t="shared" si="602"/>
        <v>-0.75542615872347385</v>
      </c>
      <c r="M924" s="99">
        <f t="shared" si="602"/>
        <v>-0.75542615872347385</v>
      </c>
      <c r="N924" s="99">
        <f t="shared" si="602"/>
        <v>-0.72292028729386937</v>
      </c>
      <c r="O924" s="99">
        <f t="shared" si="602"/>
        <v>-0.72292028729386937</v>
      </c>
      <c r="P924" s="99">
        <f t="shared" si="602"/>
        <v>-0.72292028729386937</v>
      </c>
      <c r="Q924" s="99">
        <f t="shared" si="602"/>
        <v>-0.72292028729386937</v>
      </c>
      <c r="R924" s="99">
        <f t="shared" si="602"/>
        <v>-0.72292028729386937</v>
      </c>
      <c r="S924" s="99">
        <f t="shared" si="602"/>
        <v>-0.72292028729386937</v>
      </c>
      <c r="T924" s="99">
        <f t="shared" si="602"/>
        <v>-0.5531433053921927</v>
      </c>
      <c r="U924" s="99">
        <f t="shared" si="602"/>
        <v>-0.54961595790037054</v>
      </c>
      <c r="V924" s="99">
        <f t="shared" si="602"/>
        <v>-0.55668674792571471</v>
      </c>
      <c r="W924" s="99">
        <f t="shared" si="602"/>
        <v>-0.72292028729386937</v>
      </c>
    </row>
    <row r="925" spans="2:23" ht="21" thickBot="1" x14ac:dyDescent="0.35"/>
    <row r="926" spans="2:23" ht="21" thickBot="1" x14ac:dyDescent="0.35">
      <c r="B926" s="67"/>
      <c r="C926" s="68"/>
      <c r="D926" s="17" t="s">
        <v>5</v>
      </c>
      <c r="E926" s="18" t="s">
        <v>6</v>
      </c>
      <c r="F926" s="18" t="s">
        <v>7</v>
      </c>
      <c r="G926" s="18" t="s">
        <v>8</v>
      </c>
      <c r="H926" s="18" t="s">
        <v>9</v>
      </c>
      <c r="I926" s="18" t="s">
        <v>10</v>
      </c>
      <c r="J926" s="18" t="s">
        <v>11</v>
      </c>
      <c r="K926" s="18" t="s">
        <v>12</v>
      </c>
      <c r="L926" s="18" t="s">
        <v>13</v>
      </c>
      <c r="M926" s="18" t="s">
        <v>14</v>
      </c>
      <c r="N926" s="18" t="s">
        <v>15</v>
      </c>
      <c r="O926" s="18" t="s">
        <v>16</v>
      </c>
      <c r="P926" s="18" t="s">
        <v>17</v>
      </c>
      <c r="Q926" s="18" t="s">
        <v>18</v>
      </c>
      <c r="R926" s="18" t="s">
        <v>19</v>
      </c>
      <c r="S926" s="18" t="s">
        <v>20</v>
      </c>
      <c r="T926" s="18" t="s">
        <v>21</v>
      </c>
      <c r="U926" s="18" t="s">
        <v>22</v>
      </c>
      <c r="V926" s="18" t="s">
        <v>23</v>
      </c>
      <c r="W926" s="18" t="s">
        <v>166</v>
      </c>
    </row>
    <row r="927" spans="2:23" x14ac:dyDescent="0.3">
      <c r="B927" s="54" t="s">
        <v>50</v>
      </c>
      <c r="C927" s="55"/>
      <c r="D927" s="20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</row>
    <row r="928" spans="2:23" x14ac:dyDescent="0.3">
      <c r="B928" s="54" t="s">
        <v>51</v>
      </c>
      <c r="C928" s="55"/>
      <c r="D928" s="23"/>
      <c r="E928" s="23"/>
      <c r="F928" s="23"/>
      <c r="G928" s="23"/>
      <c r="H928" s="23"/>
      <c r="I928" s="95"/>
      <c r="J928" s="95"/>
      <c r="K928" s="95"/>
      <c r="L928" s="95"/>
      <c r="M928" s="95"/>
      <c r="N928" s="23"/>
      <c r="O928" s="23"/>
      <c r="P928" s="23"/>
      <c r="Q928" s="23"/>
      <c r="R928" s="95"/>
      <c r="S928" s="95"/>
      <c r="T928" s="95"/>
      <c r="U928" s="95"/>
      <c r="V928" s="95"/>
      <c r="W928" s="95"/>
    </row>
    <row r="929" spans="2:23" x14ac:dyDescent="0.3">
      <c r="B929" s="54"/>
      <c r="C929" s="55"/>
      <c r="D929" s="20">
        <f t="shared" ref="D929:W929" si="603">D927*(1-D928)</f>
        <v>0</v>
      </c>
      <c r="E929" s="20">
        <f t="shared" si="603"/>
        <v>0</v>
      </c>
      <c r="F929" s="20">
        <f t="shared" si="603"/>
        <v>0</v>
      </c>
      <c r="G929" s="20">
        <f t="shared" si="603"/>
        <v>0</v>
      </c>
      <c r="H929" s="20">
        <f t="shared" si="603"/>
        <v>0</v>
      </c>
      <c r="I929" s="20">
        <f t="shared" si="603"/>
        <v>0</v>
      </c>
      <c r="J929" s="20">
        <f t="shared" si="603"/>
        <v>0</v>
      </c>
      <c r="K929" s="20">
        <f t="shared" si="603"/>
        <v>0</v>
      </c>
      <c r="L929" s="20">
        <f t="shared" si="603"/>
        <v>0</v>
      </c>
      <c r="M929" s="20">
        <f t="shared" si="603"/>
        <v>0</v>
      </c>
      <c r="N929" s="20">
        <f t="shared" si="603"/>
        <v>0</v>
      </c>
      <c r="O929" s="20">
        <f t="shared" si="603"/>
        <v>0</v>
      </c>
      <c r="P929" s="20">
        <f t="shared" si="603"/>
        <v>0</v>
      </c>
      <c r="Q929" s="20">
        <f t="shared" si="603"/>
        <v>0</v>
      </c>
      <c r="R929" s="20">
        <f t="shared" si="603"/>
        <v>0</v>
      </c>
      <c r="S929" s="20">
        <f t="shared" si="603"/>
        <v>0</v>
      </c>
      <c r="T929" s="20">
        <f t="shared" si="603"/>
        <v>0</v>
      </c>
      <c r="U929" s="20">
        <f t="shared" si="603"/>
        <v>0</v>
      </c>
      <c r="V929" s="20">
        <f t="shared" si="603"/>
        <v>0</v>
      </c>
      <c r="W929" s="20">
        <f t="shared" si="603"/>
        <v>0</v>
      </c>
    </row>
    <row r="930" spans="2:23" x14ac:dyDescent="0.3">
      <c r="B930" s="54" t="s">
        <v>51</v>
      </c>
      <c r="C930" s="56">
        <v>0.02</v>
      </c>
      <c r="D930" s="20">
        <f>D929*$C930</f>
        <v>0</v>
      </c>
      <c r="E930" s="20">
        <f t="shared" ref="E930:W930" si="604">E929*$C930</f>
        <v>0</v>
      </c>
      <c r="F930" s="20">
        <f t="shared" si="604"/>
        <v>0</v>
      </c>
      <c r="G930" s="20">
        <f t="shared" si="604"/>
        <v>0</v>
      </c>
      <c r="H930" s="20">
        <f t="shared" si="604"/>
        <v>0</v>
      </c>
      <c r="I930" s="20">
        <f t="shared" si="604"/>
        <v>0</v>
      </c>
      <c r="J930" s="20">
        <f t="shared" si="604"/>
        <v>0</v>
      </c>
      <c r="K930" s="20">
        <f t="shared" si="604"/>
        <v>0</v>
      </c>
      <c r="L930" s="20">
        <f t="shared" si="604"/>
        <v>0</v>
      </c>
      <c r="M930" s="20">
        <f t="shared" si="604"/>
        <v>0</v>
      </c>
      <c r="N930" s="20">
        <f t="shared" si="604"/>
        <v>0</v>
      </c>
      <c r="O930" s="20">
        <f t="shared" si="604"/>
        <v>0</v>
      </c>
      <c r="P930" s="20">
        <f t="shared" si="604"/>
        <v>0</v>
      </c>
      <c r="Q930" s="20">
        <f t="shared" si="604"/>
        <v>0</v>
      </c>
      <c r="R930" s="20">
        <f t="shared" si="604"/>
        <v>0</v>
      </c>
      <c r="S930" s="20">
        <f t="shared" si="604"/>
        <v>0</v>
      </c>
      <c r="T930" s="20">
        <f t="shared" si="604"/>
        <v>0</v>
      </c>
      <c r="U930" s="20">
        <f t="shared" si="604"/>
        <v>0</v>
      </c>
      <c r="V930" s="20">
        <f t="shared" si="604"/>
        <v>0</v>
      </c>
      <c r="W930" s="20">
        <f t="shared" si="604"/>
        <v>0</v>
      </c>
    </row>
    <row r="931" spans="2:23" x14ac:dyDescent="0.3">
      <c r="B931" s="54" t="s">
        <v>67</v>
      </c>
      <c r="C931" s="55"/>
      <c r="D931" s="20">
        <f>D929-D930</f>
        <v>0</v>
      </c>
      <c r="E931" s="20">
        <f t="shared" ref="E931:W931" si="605">E929-E930</f>
        <v>0</v>
      </c>
      <c r="F931" s="20">
        <f t="shared" si="605"/>
        <v>0</v>
      </c>
      <c r="G931" s="20">
        <f t="shared" si="605"/>
        <v>0</v>
      </c>
      <c r="H931" s="20">
        <f t="shared" si="605"/>
        <v>0</v>
      </c>
      <c r="I931" s="20">
        <f t="shared" si="605"/>
        <v>0</v>
      </c>
      <c r="J931" s="20">
        <f t="shared" si="605"/>
        <v>0</v>
      </c>
      <c r="K931" s="20">
        <f t="shared" si="605"/>
        <v>0</v>
      </c>
      <c r="L931" s="20">
        <f t="shared" si="605"/>
        <v>0</v>
      </c>
      <c r="M931" s="20">
        <f t="shared" si="605"/>
        <v>0</v>
      </c>
      <c r="N931" s="20">
        <f t="shared" si="605"/>
        <v>0</v>
      </c>
      <c r="O931" s="20">
        <f t="shared" si="605"/>
        <v>0</v>
      </c>
      <c r="P931" s="20">
        <f t="shared" si="605"/>
        <v>0</v>
      </c>
      <c r="Q931" s="20">
        <f t="shared" si="605"/>
        <v>0</v>
      </c>
      <c r="R931" s="20">
        <f t="shared" si="605"/>
        <v>0</v>
      </c>
      <c r="S931" s="20">
        <f t="shared" si="605"/>
        <v>0</v>
      </c>
      <c r="T931" s="20">
        <f t="shared" si="605"/>
        <v>0</v>
      </c>
      <c r="U931" s="20">
        <f t="shared" si="605"/>
        <v>0</v>
      </c>
      <c r="V931" s="20">
        <f t="shared" si="605"/>
        <v>0</v>
      </c>
      <c r="W931" s="20">
        <f t="shared" si="605"/>
        <v>0</v>
      </c>
    </row>
    <row r="932" spans="2:23" x14ac:dyDescent="0.3">
      <c r="B932" s="54" t="s">
        <v>66</v>
      </c>
      <c r="C932" s="56">
        <v>7.0000000000000007E-2</v>
      </c>
      <c r="D932" s="20">
        <f>D931*$C932</f>
        <v>0</v>
      </c>
      <c r="E932" s="20">
        <f t="shared" ref="E932:W932" si="606">E931*$C932</f>
        <v>0</v>
      </c>
      <c r="F932" s="20">
        <f t="shared" si="606"/>
        <v>0</v>
      </c>
      <c r="G932" s="20">
        <f t="shared" si="606"/>
        <v>0</v>
      </c>
      <c r="H932" s="20">
        <f t="shared" si="606"/>
        <v>0</v>
      </c>
      <c r="I932" s="20">
        <f t="shared" si="606"/>
        <v>0</v>
      </c>
      <c r="J932" s="20">
        <f t="shared" si="606"/>
        <v>0</v>
      </c>
      <c r="K932" s="20">
        <f t="shared" si="606"/>
        <v>0</v>
      </c>
      <c r="L932" s="20">
        <f t="shared" si="606"/>
        <v>0</v>
      </c>
      <c r="M932" s="20">
        <f t="shared" si="606"/>
        <v>0</v>
      </c>
      <c r="N932" s="20">
        <f t="shared" si="606"/>
        <v>0</v>
      </c>
      <c r="O932" s="20">
        <f t="shared" si="606"/>
        <v>0</v>
      </c>
      <c r="P932" s="20">
        <f t="shared" si="606"/>
        <v>0</v>
      </c>
      <c r="Q932" s="20">
        <f t="shared" si="606"/>
        <v>0</v>
      </c>
      <c r="R932" s="20">
        <f t="shared" si="606"/>
        <v>0</v>
      </c>
      <c r="S932" s="20">
        <f t="shared" si="606"/>
        <v>0</v>
      </c>
      <c r="T932" s="20">
        <f t="shared" si="606"/>
        <v>0</v>
      </c>
      <c r="U932" s="20">
        <f t="shared" si="606"/>
        <v>0</v>
      </c>
      <c r="V932" s="20">
        <f t="shared" si="606"/>
        <v>0</v>
      </c>
      <c r="W932" s="20">
        <f t="shared" si="606"/>
        <v>0</v>
      </c>
    </row>
    <row r="933" spans="2:23" x14ac:dyDescent="0.3">
      <c r="B933" s="54" t="s">
        <v>68</v>
      </c>
      <c r="C933" s="55"/>
      <c r="D933" s="20">
        <f>D931+D932</f>
        <v>0</v>
      </c>
      <c r="E933" s="20">
        <f t="shared" ref="E933:W933" si="607">E931+E932</f>
        <v>0</v>
      </c>
      <c r="F933" s="20">
        <f t="shared" si="607"/>
        <v>0</v>
      </c>
      <c r="G933" s="20">
        <f t="shared" si="607"/>
        <v>0</v>
      </c>
      <c r="H933" s="20">
        <f t="shared" si="607"/>
        <v>0</v>
      </c>
      <c r="I933" s="20">
        <f t="shared" si="607"/>
        <v>0</v>
      </c>
      <c r="J933" s="20">
        <f t="shared" si="607"/>
        <v>0</v>
      </c>
      <c r="K933" s="20">
        <f t="shared" si="607"/>
        <v>0</v>
      </c>
      <c r="L933" s="20">
        <f t="shared" si="607"/>
        <v>0</v>
      </c>
      <c r="M933" s="20">
        <f t="shared" si="607"/>
        <v>0</v>
      </c>
      <c r="N933" s="20">
        <f t="shared" si="607"/>
        <v>0</v>
      </c>
      <c r="O933" s="20">
        <f t="shared" si="607"/>
        <v>0</v>
      </c>
      <c r="P933" s="20">
        <f t="shared" si="607"/>
        <v>0</v>
      </c>
      <c r="Q933" s="20">
        <f t="shared" si="607"/>
        <v>0</v>
      </c>
      <c r="R933" s="20">
        <f t="shared" si="607"/>
        <v>0</v>
      </c>
      <c r="S933" s="20">
        <f t="shared" si="607"/>
        <v>0</v>
      </c>
      <c r="T933" s="20">
        <f t="shared" si="607"/>
        <v>0</v>
      </c>
      <c r="U933" s="20">
        <f t="shared" si="607"/>
        <v>0</v>
      </c>
      <c r="V933" s="20">
        <f t="shared" si="607"/>
        <v>0</v>
      </c>
      <c r="W933" s="20">
        <f t="shared" si="607"/>
        <v>0</v>
      </c>
    </row>
    <row r="934" spans="2:23" x14ac:dyDescent="0.3">
      <c r="B934" s="54" t="s">
        <v>52</v>
      </c>
      <c r="C934" s="55"/>
      <c r="D934" s="21">
        <v>0</v>
      </c>
      <c r="E934" s="21">
        <v>0</v>
      </c>
      <c r="F934" s="21">
        <v>0</v>
      </c>
      <c r="G934" s="21">
        <v>0</v>
      </c>
      <c r="H934" s="21">
        <v>0</v>
      </c>
      <c r="I934" s="21">
        <v>0</v>
      </c>
      <c r="J934" s="21">
        <v>0</v>
      </c>
      <c r="K934" s="21">
        <v>0</v>
      </c>
      <c r="L934" s="21">
        <v>0</v>
      </c>
      <c r="M934" s="21">
        <v>0</v>
      </c>
      <c r="N934" s="21">
        <v>0</v>
      </c>
      <c r="O934" s="21">
        <v>0</v>
      </c>
      <c r="P934" s="21">
        <v>0</v>
      </c>
      <c r="Q934" s="21">
        <v>0</v>
      </c>
      <c r="R934" s="21">
        <v>0</v>
      </c>
      <c r="S934" s="21">
        <v>0</v>
      </c>
      <c r="T934" s="21">
        <v>0</v>
      </c>
      <c r="U934" s="21">
        <v>0</v>
      </c>
      <c r="V934" s="21">
        <v>0</v>
      </c>
      <c r="W934" s="21">
        <v>0</v>
      </c>
    </row>
    <row r="935" spans="2:23" x14ac:dyDescent="0.3">
      <c r="B935" s="57" t="s">
        <v>53</v>
      </c>
      <c r="C935" s="58"/>
      <c r="D935" s="25">
        <f>SUM(D933:D934)</f>
        <v>0</v>
      </c>
      <c r="E935" s="26">
        <f t="shared" ref="E935:W935" si="608">SUM(E933:E934)</f>
        <v>0</v>
      </c>
      <c r="F935" s="26">
        <f t="shared" si="608"/>
        <v>0</v>
      </c>
      <c r="G935" s="26">
        <f t="shared" si="608"/>
        <v>0</v>
      </c>
      <c r="H935" s="26">
        <f t="shared" si="608"/>
        <v>0</v>
      </c>
      <c r="I935" s="26">
        <f t="shared" si="608"/>
        <v>0</v>
      </c>
      <c r="J935" s="26">
        <f t="shared" si="608"/>
        <v>0</v>
      </c>
      <c r="K935" s="26">
        <f t="shared" si="608"/>
        <v>0</v>
      </c>
      <c r="L935" s="26">
        <f t="shared" si="608"/>
        <v>0</v>
      </c>
      <c r="M935" s="26">
        <f t="shared" si="608"/>
        <v>0</v>
      </c>
      <c r="N935" s="26">
        <f t="shared" si="608"/>
        <v>0</v>
      </c>
      <c r="O935" s="26">
        <f t="shared" si="608"/>
        <v>0</v>
      </c>
      <c r="P935" s="26">
        <f t="shared" si="608"/>
        <v>0</v>
      </c>
      <c r="Q935" s="26">
        <f t="shared" si="608"/>
        <v>0</v>
      </c>
      <c r="R935" s="26">
        <f t="shared" si="608"/>
        <v>0</v>
      </c>
      <c r="S935" s="26">
        <f t="shared" si="608"/>
        <v>0</v>
      </c>
      <c r="T935" s="26">
        <f t="shared" si="608"/>
        <v>0</v>
      </c>
      <c r="U935" s="26">
        <f t="shared" si="608"/>
        <v>0</v>
      </c>
      <c r="V935" s="26">
        <f t="shared" si="608"/>
        <v>0</v>
      </c>
      <c r="W935" s="26">
        <f t="shared" si="608"/>
        <v>0</v>
      </c>
    </row>
    <row r="936" spans="2:23" x14ac:dyDescent="0.3">
      <c r="B936" s="54" t="s">
        <v>54</v>
      </c>
      <c r="C936" s="55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</row>
    <row r="937" spans="2:23" x14ac:dyDescent="0.3">
      <c r="B937" s="59" t="s">
        <v>55</v>
      </c>
      <c r="C937" s="60"/>
      <c r="D937" s="27">
        <f>SUM(D935:D936)</f>
        <v>0</v>
      </c>
      <c r="E937" s="41">
        <f t="shared" ref="E937:W937" si="609">SUM(E935:E936)</f>
        <v>0</v>
      </c>
      <c r="F937" s="41">
        <f t="shared" si="609"/>
        <v>0</v>
      </c>
      <c r="G937" s="41">
        <f t="shared" si="609"/>
        <v>0</v>
      </c>
      <c r="H937" s="41">
        <f t="shared" si="609"/>
        <v>0</v>
      </c>
      <c r="I937" s="41">
        <f t="shared" si="609"/>
        <v>0</v>
      </c>
      <c r="J937" s="41">
        <f t="shared" si="609"/>
        <v>0</v>
      </c>
      <c r="K937" s="41">
        <f t="shared" si="609"/>
        <v>0</v>
      </c>
      <c r="L937" s="41">
        <f t="shared" si="609"/>
        <v>0</v>
      </c>
      <c r="M937" s="41">
        <f t="shared" si="609"/>
        <v>0</v>
      </c>
      <c r="N937" s="41">
        <f t="shared" si="609"/>
        <v>0</v>
      </c>
      <c r="O937" s="41">
        <f t="shared" si="609"/>
        <v>0</v>
      </c>
      <c r="P937" s="41">
        <f t="shared" si="609"/>
        <v>0</v>
      </c>
      <c r="Q937" s="41">
        <f t="shared" si="609"/>
        <v>0</v>
      </c>
      <c r="R937" s="41">
        <f t="shared" si="609"/>
        <v>0</v>
      </c>
      <c r="S937" s="41">
        <f t="shared" si="609"/>
        <v>0</v>
      </c>
      <c r="T937" s="41">
        <f t="shared" si="609"/>
        <v>0</v>
      </c>
      <c r="U937" s="41">
        <f t="shared" si="609"/>
        <v>0</v>
      </c>
      <c r="V937" s="41">
        <f t="shared" si="609"/>
        <v>0</v>
      </c>
      <c r="W937" s="41">
        <f t="shared" si="609"/>
        <v>0</v>
      </c>
    </row>
    <row r="938" spans="2:23" x14ac:dyDescent="0.3">
      <c r="B938" s="171" t="s">
        <v>194</v>
      </c>
      <c r="C938" s="55"/>
      <c r="D938" s="20">
        <f>D937*1.05</f>
        <v>0</v>
      </c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</row>
    <row r="939" spans="2:23" x14ac:dyDescent="0.3">
      <c r="B939" s="61" t="s">
        <v>195</v>
      </c>
      <c r="C939" s="55"/>
      <c r="D939" s="94">
        <f>D937*1.08</f>
        <v>0</v>
      </c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</row>
    <row r="940" spans="2:23" x14ac:dyDescent="0.3">
      <c r="B940" s="61" t="s">
        <v>196</v>
      </c>
      <c r="C940" s="62"/>
      <c r="D940" s="28">
        <f>D937*1.1</f>
        <v>0</v>
      </c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</row>
    <row r="941" spans="2:23" x14ac:dyDescent="0.3">
      <c r="B941" s="61" t="s">
        <v>197</v>
      </c>
      <c r="C941" s="62"/>
      <c r="D941" s="28">
        <f>D937*1.15</f>
        <v>0</v>
      </c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</row>
    <row r="942" spans="2:23" x14ac:dyDescent="0.3">
      <c r="B942" s="63" t="s">
        <v>198</v>
      </c>
      <c r="C942" s="62"/>
      <c r="D942" s="31">
        <f>D938-D937</f>
        <v>0</v>
      </c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</row>
    <row r="943" spans="2:23" x14ac:dyDescent="0.3">
      <c r="B943" s="63" t="s">
        <v>199</v>
      </c>
      <c r="C943" s="64"/>
      <c r="D943" s="31">
        <f>D939-D937</f>
        <v>0</v>
      </c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</row>
    <row r="944" spans="2:23" x14ac:dyDescent="0.3">
      <c r="B944" s="63" t="s">
        <v>200</v>
      </c>
      <c r="C944" s="64"/>
      <c r="D944" s="31">
        <f>D940-D937</f>
        <v>0</v>
      </c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</row>
    <row r="945" spans="2:23" x14ac:dyDescent="0.3">
      <c r="B945" s="63" t="s">
        <v>201</v>
      </c>
      <c r="C945" s="64"/>
      <c r="D945" s="31">
        <f>D941-D937</f>
        <v>0</v>
      </c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</row>
    <row r="946" spans="2:23" x14ac:dyDescent="0.3">
      <c r="B946" s="97" t="s">
        <v>202</v>
      </c>
      <c r="C946" s="98"/>
      <c r="D946" s="101" t="e">
        <f>D942/D938</f>
        <v>#DIV/0!</v>
      </c>
      <c r="E946" s="102"/>
      <c r="F946" s="102"/>
      <c r="G946" s="102"/>
      <c r="H946" s="102"/>
      <c r="I946" s="102"/>
      <c r="J946" s="102"/>
      <c r="K946" s="102"/>
      <c r="L946" s="102"/>
      <c r="M946" s="102"/>
      <c r="N946" s="102"/>
      <c r="O946" s="102"/>
      <c r="P946" s="102"/>
      <c r="Q946" s="102"/>
      <c r="R946" s="102"/>
      <c r="S946" s="102"/>
      <c r="T946" s="102"/>
      <c r="U946" s="102"/>
      <c r="V946" s="102"/>
      <c r="W946" s="102"/>
    </row>
    <row r="947" spans="2:23" x14ac:dyDescent="0.3">
      <c r="B947" s="97" t="s">
        <v>203</v>
      </c>
      <c r="C947" s="98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</row>
    <row r="948" spans="2:23" x14ac:dyDescent="0.3">
      <c r="B948" s="97" t="s">
        <v>204</v>
      </c>
      <c r="C948" s="98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</row>
    <row r="949" spans="2:23" x14ac:dyDescent="0.3">
      <c r="B949" s="97" t="s">
        <v>205</v>
      </c>
      <c r="C949" s="98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</row>
    <row r="950" spans="2:23" ht="21" thickBot="1" x14ac:dyDescent="0.35"/>
    <row r="951" spans="2:23" ht="21" thickBot="1" x14ac:dyDescent="0.35">
      <c r="B951" s="67"/>
      <c r="C951" s="68"/>
      <c r="D951" s="17" t="s">
        <v>5</v>
      </c>
      <c r="E951" s="18" t="s">
        <v>6</v>
      </c>
      <c r="F951" s="18" t="s">
        <v>7</v>
      </c>
      <c r="G951" s="18" t="s">
        <v>8</v>
      </c>
      <c r="H951" s="18" t="s">
        <v>9</v>
      </c>
      <c r="I951" s="18" t="s">
        <v>10</v>
      </c>
      <c r="J951" s="18" t="s">
        <v>11</v>
      </c>
      <c r="K951" s="18" t="s">
        <v>12</v>
      </c>
      <c r="L951" s="18" t="s">
        <v>13</v>
      </c>
      <c r="M951" s="18" t="s">
        <v>14</v>
      </c>
      <c r="N951" s="18" t="s">
        <v>15</v>
      </c>
      <c r="O951" s="18" t="s">
        <v>16</v>
      </c>
      <c r="P951" s="18" t="s">
        <v>17</v>
      </c>
      <c r="Q951" s="18" t="s">
        <v>18</v>
      </c>
      <c r="R951" s="18" t="s">
        <v>19</v>
      </c>
      <c r="S951" s="18" t="s">
        <v>20</v>
      </c>
      <c r="T951" s="18" t="s">
        <v>21</v>
      </c>
      <c r="U951" s="18" t="s">
        <v>22</v>
      </c>
      <c r="V951" s="18" t="s">
        <v>23</v>
      </c>
      <c r="W951" s="18" t="s">
        <v>166</v>
      </c>
    </row>
    <row r="952" spans="2:23" x14ac:dyDescent="0.3">
      <c r="B952" s="54" t="s">
        <v>50</v>
      </c>
      <c r="C952" s="55"/>
      <c r="D952" s="20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</row>
    <row r="953" spans="2:23" x14ac:dyDescent="0.3">
      <c r="B953" s="54" t="s">
        <v>51</v>
      </c>
      <c r="C953" s="55"/>
      <c r="D953" s="23"/>
      <c r="E953" s="23"/>
      <c r="F953" s="23"/>
      <c r="G953" s="23"/>
      <c r="H953" s="23"/>
      <c r="I953" s="95"/>
      <c r="J953" s="95"/>
      <c r="K953" s="95"/>
      <c r="L953" s="95"/>
      <c r="M953" s="95"/>
      <c r="N953" s="23"/>
      <c r="O953" s="23"/>
      <c r="P953" s="23"/>
      <c r="Q953" s="23"/>
      <c r="R953" s="95"/>
      <c r="S953" s="95"/>
      <c r="T953" s="95"/>
      <c r="U953" s="95"/>
      <c r="V953" s="95"/>
      <c r="W953" s="95"/>
    </row>
    <row r="954" spans="2:23" x14ac:dyDescent="0.3">
      <c r="B954" s="54"/>
      <c r="C954" s="55"/>
      <c r="D954" s="20">
        <f t="shared" ref="D954:W954" si="610">D952*(1-D953)</f>
        <v>0</v>
      </c>
      <c r="E954" s="20">
        <f t="shared" si="610"/>
        <v>0</v>
      </c>
      <c r="F954" s="20">
        <f t="shared" si="610"/>
        <v>0</v>
      </c>
      <c r="G954" s="20">
        <f t="shared" si="610"/>
        <v>0</v>
      </c>
      <c r="H954" s="20">
        <f t="shared" si="610"/>
        <v>0</v>
      </c>
      <c r="I954" s="20">
        <f t="shared" si="610"/>
        <v>0</v>
      </c>
      <c r="J954" s="20">
        <f t="shared" si="610"/>
        <v>0</v>
      </c>
      <c r="K954" s="20">
        <f t="shared" si="610"/>
        <v>0</v>
      </c>
      <c r="L954" s="20">
        <f t="shared" si="610"/>
        <v>0</v>
      </c>
      <c r="M954" s="20">
        <f t="shared" si="610"/>
        <v>0</v>
      </c>
      <c r="N954" s="20">
        <f t="shared" si="610"/>
        <v>0</v>
      </c>
      <c r="O954" s="20">
        <f t="shared" si="610"/>
        <v>0</v>
      </c>
      <c r="P954" s="20">
        <f t="shared" si="610"/>
        <v>0</v>
      </c>
      <c r="Q954" s="20">
        <f t="shared" si="610"/>
        <v>0</v>
      </c>
      <c r="R954" s="20">
        <f t="shared" si="610"/>
        <v>0</v>
      </c>
      <c r="S954" s="20">
        <f t="shared" si="610"/>
        <v>0</v>
      </c>
      <c r="T954" s="20">
        <f t="shared" si="610"/>
        <v>0</v>
      </c>
      <c r="U954" s="20">
        <f t="shared" si="610"/>
        <v>0</v>
      </c>
      <c r="V954" s="20">
        <f t="shared" si="610"/>
        <v>0</v>
      </c>
      <c r="W954" s="20">
        <f t="shared" si="610"/>
        <v>0</v>
      </c>
    </row>
    <row r="955" spans="2:23" x14ac:dyDescent="0.3">
      <c r="B955" s="54" t="s">
        <v>51</v>
      </c>
      <c r="C955" s="56">
        <v>0.02</v>
      </c>
      <c r="D955" s="20">
        <f>D954*$C955</f>
        <v>0</v>
      </c>
      <c r="E955" s="20">
        <f t="shared" ref="E955:W955" si="611">E954*$C955</f>
        <v>0</v>
      </c>
      <c r="F955" s="20">
        <f t="shared" si="611"/>
        <v>0</v>
      </c>
      <c r="G955" s="20">
        <f t="shared" si="611"/>
        <v>0</v>
      </c>
      <c r="H955" s="20">
        <f t="shared" si="611"/>
        <v>0</v>
      </c>
      <c r="I955" s="20">
        <f t="shared" si="611"/>
        <v>0</v>
      </c>
      <c r="J955" s="20">
        <f t="shared" si="611"/>
        <v>0</v>
      </c>
      <c r="K955" s="20">
        <f t="shared" si="611"/>
        <v>0</v>
      </c>
      <c r="L955" s="20">
        <f t="shared" si="611"/>
        <v>0</v>
      </c>
      <c r="M955" s="20">
        <f t="shared" si="611"/>
        <v>0</v>
      </c>
      <c r="N955" s="20">
        <f t="shared" si="611"/>
        <v>0</v>
      </c>
      <c r="O955" s="20">
        <f t="shared" si="611"/>
        <v>0</v>
      </c>
      <c r="P955" s="20">
        <f t="shared" si="611"/>
        <v>0</v>
      </c>
      <c r="Q955" s="20">
        <f t="shared" si="611"/>
        <v>0</v>
      </c>
      <c r="R955" s="20">
        <f t="shared" si="611"/>
        <v>0</v>
      </c>
      <c r="S955" s="20">
        <f t="shared" si="611"/>
        <v>0</v>
      </c>
      <c r="T955" s="20">
        <f t="shared" si="611"/>
        <v>0</v>
      </c>
      <c r="U955" s="20">
        <f t="shared" si="611"/>
        <v>0</v>
      </c>
      <c r="V955" s="20">
        <f t="shared" si="611"/>
        <v>0</v>
      </c>
      <c r="W955" s="20">
        <f t="shared" si="611"/>
        <v>0</v>
      </c>
    </row>
    <row r="956" spans="2:23" x14ac:dyDescent="0.3">
      <c r="B956" s="54" t="s">
        <v>67</v>
      </c>
      <c r="C956" s="55"/>
      <c r="D956" s="20">
        <f>D954-D955</f>
        <v>0</v>
      </c>
      <c r="E956" s="20">
        <f t="shared" ref="E956:W956" si="612">E954-E955</f>
        <v>0</v>
      </c>
      <c r="F956" s="20">
        <f t="shared" si="612"/>
        <v>0</v>
      </c>
      <c r="G956" s="20">
        <f t="shared" si="612"/>
        <v>0</v>
      </c>
      <c r="H956" s="20">
        <f t="shared" si="612"/>
        <v>0</v>
      </c>
      <c r="I956" s="20">
        <f t="shared" si="612"/>
        <v>0</v>
      </c>
      <c r="J956" s="20">
        <f t="shared" si="612"/>
        <v>0</v>
      </c>
      <c r="K956" s="20">
        <f t="shared" si="612"/>
        <v>0</v>
      </c>
      <c r="L956" s="20">
        <f t="shared" si="612"/>
        <v>0</v>
      </c>
      <c r="M956" s="20">
        <f t="shared" si="612"/>
        <v>0</v>
      </c>
      <c r="N956" s="20">
        <f t="shared" si="612"/>
        <v>0</v>
      </c>
      <c r="O956" s="20">
        <f t="shared" si="612"/>
        <v>0</v>
      </c>
      <c r="P956" s="20">
        <f t="shared" si="612"/>
        <v>0</v>
      </c>
      <c r="Q956" s="20">
        <f t="shared" si="612"/>
        <v>0</v>
      </c>
      <c r="R956" s="20">
        <f t="shared" si="612"/>
        <v>0</v>
      </c>
      <c r="S956" s="20">
        <f t="shared" si="612"/>
        <v>0</v>
      </c>
      <c r="T956" s="20">
        <f t="shared" si="612"/>
        <v>0</v>
      </c>
      <c r="U956" s="20">
        <f t="shared" si="612"/>
        <v>0</v>
      </c>
      <c r="V956" s="20">
        <f t="shared" si="612"/>
        <v>0</v>
      </c>
      <c r="W956" s="20">
        <f t="shared" si="612"/>
        <v>0</v>
      </c>
    </row>
    <row r="957" spans="2:23" x14ac:dyDescent="0.3">
      <c r="B957" s="54" t="s">
        <v>66</v>
      </c>
      <c r="C957" s="56">
        <v>7.0000000000000007E-2</v>
      </c>
      <c r="D957" s="20">
        <f>D956*$C957</f>
        <v>0</v>
      </c>
      <c r="E957" s="20">
        <f t="shared" ref="E957:W957" si="613">E956*$C957</f>
        <v>0</v>
      </c>
      <c r="F957" s="20">
        <f t="shared" si="613"/>
        <v>0</v>
      </c>
      <c r="G957" s="20">
        <f t="shared" si="613"/>
        <v>0</v>
      </c>
      <c r="H957" s="20">
        <f t="shared" si="613"/>
        <v>0</v>
      </c>
      <c r="I957" s="20">
        <f t="shared" si="613"/>
        <v>0</v>
      </c>
      <c r="J957" s="20">
        <f t="shared" si="613"/>
        <v>0</v>
      </c>
      <c r="K957" s="20">
        <f t="shared" si="613"/>
        <v>0</v>
      </c>
      <c r="L957" s="20">
        <f t="shared" si="613"/>
        <v>0</v>
      </c>
      <c r="M957" s="20">
        <f t="shared" si="613"/>
        <v>0</v>
      </c>
      <c r="N957" s="20">
        <f t="shared" si="613"/>
        <v>0</v>
      </c>
      <c r="O957" s="20">
        <f t="shared" si="613"/>
        <v>0</v>
      </c>
      <c r="P957" s="20">
        <f t="shared" si="613"/>
        <v>0</v>
      </c>
      <c r="Q957" s="20">
        <f t="shared" si="613"/>
        <v>0</v>
      </c>
      <c r="R957" s="20">
        <f t="shared" si="613"/>
        <v>0</v>
      </c>
      <c r="S957" s="20">
        <f t="shared" si="613"/>
        <v>0</v>
      </c>
      <c r="T957" s="20">
        <f t="shared" si="613"/>
        <v>0</v>
      </c>
      <c r="U957" s="20">
        <f t="shared" si="613"/>
        <v>0</v>
      </c>
      <c r="V957" s="20">
        <f t="shared" si="613"/>
        <v>0</v>
      </c>
      <c r="W957" s="20">
        <f t="shared" si="613"/>
        <v>0</v>
      </c>
    </row>
    <row r="958" spans="2:23" x14ac:dyDescent="0.3">
      <c r="B958" s="54" t="s">
        <v>68</v>
      </c>
      <c r="C958" s="55"/>
      <c r="D958" s="20">
        <f>D956+D957</f>
        <v>0</v>
      </c>
      <c r="E958" s="20">
        <f t="shared" ref="E958:W958" si="614">E956+E957</f>
        <v>0</v>
      </c>
      <c r="F958" s="20">
        <f t="shared" si="614"/>
        <v>0</v>
      </c>
      <c r="G958" s="20">
        <f t="shared" si="614"/>
        <v>0</v>
      </c>
      <c r="H958" s="20">
        <f t="shared" si="614"/>
        <v>0</v>
      </c>
      <c r="I958" s="20">
        <f t="shared" si="614"/>
        <v>0</v>
      </c>
      <c r="J958" s="20">
        <f t="shared" si="614"/>
        <v>0</v>
      </c>
      <c r="K958" s="20">
        <f t="shared" si="614"/>
        <v>0</v>
      </c>
      <c r="L958" s="20">
        <f t="shared" si="614"/>
        <v>0</v>
      </c>
      <c r="M958" s="20">
        <f t="shared" si="614"/>
        <v>0</v>
      </c>
      <c r="N958" s="20">
        <f t="shared" si="614"/>
        <v>0</v>
      </c>
      <c r="O958" s="20">
        <f t="shared" si="614"/>
        <v>0</v>
      </c>
      <c r="P958" s="20">
        <f t="shared" si="614"/>
        <v>0</v>
      </c>
      <c r="Q958" s="20">
        <f t="shared" si="614"/>
        <v>0</v>
      </c>
      <c r="R958" s="20">
        <f t="shared" si="614"/>
        <v>0</v>
      </c>
      <c r="S958" s="20">
        <f t="shared" si="614"/>
        <v>0</v>
      </c>
      <c r="T958" s="20">
        <f t="shared" si="614"/>
        <v>0</v>
      </c>
      <c r="U958" s="20">
        <f t="shared" si="614"/>
        <v>0</v>
      </c>
      <c r="V958" s="20">
        <f t="shared" si="614"/>
        <v>0</v>
      </c>
      <c r="W958" s="20">
        <f t="shared" si="614"/>
        <v>0</v>
      </c>
    </row>
    <row r="959" spans="2:23" x14ac:dyDescent="0.3">
      <c r="B959" s="54" t="s">
        <v>52</v>
      </c>
      <c r="C959" s="55"/>
      <c r="D959" s="21">
        <v>0</v>
      </c>
      <c r="E959" s="21">
        <v>0</v>
      </c>
      <c r="F959" s="21">
        <v>0</v>
      </c>
      <c r="G959" s="21">
        <v>0</v>
      </c>
      <c r="H959" s="21">
        <v>0</v>
      </c>
      <c r="I959" s="21">
        <v>0</v>
      </c>
      <c r="J959" s="21">
        <v>0</v>
      </c>
      <c r="K959" s="21">
        <v>0</v>
      </c>
      <c r="L959" s="21">
        <v>0</v>
      </c>
      <c r="M959" s="21">
        <v>0</v>
      </c>
      <c r="N959" s="21">
        <v>0</v>
      </c>
      <c r="O959" s="21">
        <v>0</v>
      </c>
      <c r="P959" s="21">
        <v>0</v>
      </c>
      <c r="Q959" s="21">
        <v>0</v>
      </c>
      <c r="R959" s="21">
        <v>0</v>
      </c>
      <c r="S959" s="21">
        <v>0</v>
      </c>
      <c r="T959" s="21">
        <v>0</v>
      </c>
      <c r="U959" s="21">
        <v>0</v>
      </c>
      <c r="V959" s="21">
        <v>0</v>
      </c>
      <c r="W959" s="21">
        <v>0</v>
      </c>
    </row>
    <row r="960" spans="2:23" x14ac:dyDescent="0.3">
      <c r="B960" s="57" t="s">
        <v>53</v>
      </c>
      <c r="C960" s="58"/>
      <c r="D960" s="25">
        <f>SUM(D958:D959)</f>
        <v>0</v>
      </c>
      <c r="E960" s="26">
        <f t="shared" ref="E960:W960" si="615">SUM(E958:E959)</f>
        <v>0</v>
      </c>
      <c r="F960" s="26">
        <f t="shared" si="615"/>
        <v>0</v>
      </c>
      <c r="G960" s="26">
        <f t="shared" si="615"/>
        <v>0</v>
      </c>
      <c r="H960" s="26">
        <f t="shared" si="615"/>
        <v>0</v>
      </c>
      <c r="I960" s="26">
        <f t="shared" si="615"/>
        <v>0</v>
      </c>
      <c r="J960" s="26">
        <f t="shared" si="615"/>
        <v>0</v>
      </c>
      <c r="K960" s="26">
        <f t="shared" si="615"/>
        <v>0</v>
      </c>
      <c r="L960" s="26">
        <f t="shared" si="615"/>
        <v>0</v>
      </c>
      <c r="M960" s="26">
        <f t="shared" si="615"/>
        <v>0</v>
      </c>
      <c r="N960" s="26">
        <f t="shared" si="615"/>
        <v>0</v>
      </c>
      <c r="O960" s="26">
        <f t="shared" si="615"/>
        <v>0</v>
      </c>
      <c r="P960" s="26">
        <f t="shared" si="615"/>
        <v>0</v>
      </c>
      <c r="Q960" s="26">
        <f t="shared" si="615"/>
        <v>0</v>
      </c>
      <c r="R960" s="26">
        <f t="shared" si="615"/>
        <v>0</v>
      </c>
      <c r="S960" s="26">
        <f t="shared" si="615"/>
        <v>0</v>
      </c>
      <c r="T960" s="26">
        <f t="shared" si="615"/>
        <v>0</v>
      </c>
      <c r="U960" s="26">
        <f t="shared" si="615"/>
        <v>0</v>
      </c>
      <c r="V960" s="26">
        <f t="shared" si="615"/>
        <v>0</v>
      </c>
      <c r="W960" s="26">
        <f t="shared" si="615"/>
        <v>0</v>
      </c>
    </row>
    <row r="961" spans="2:23" x14ac:dyDescent="0.3">
      <c r="B961" s="54" t="s">
        <v>54</v>
      </c>
      <c r="C961" s="55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</row>
    <row r="962" spans="2:23" x14ac:dyDescent="0.3">
      <c r="B962" s="59" t="s">
        <v>55</v>
      </c>
      <c r="C962" s="60"/>
      <c r="D962" s="27">
        <f>SUM(D960:D961)</f>
        <v>0</v>
      </c>
      <c r="E962" s="41">
        <f t="shared" ref="E962:W962" si="616">SUM(E960:E961)</f>
        <v>0</v>
      </c>
      <c r="F962" s="41">
        <f t="shared" si="616"/>
        <v>0</v>
      </c>
      <c r="G962" s="41">
        <f t="shared" si="616"/>
        <v>0</v>
      </c>
      <c r="H962" s="41">
        <f t="shared" si="616"/>
        <v>0</v>
      </c>
      <c r="I962" s="41">
        <f t="shared" si="616"/>
        <v>0</v>
      </c>
      <c r="J962" s="41">
        <f t="shared" si="616"/>
        <v>0</v>
      </c>
      <c r="K962" s="41">
        <f t="shared" si="616"/>
        <v>0</v>
      </c>
      <c r="L962" s="41">
        <f t="shared" si="616"/>
        <v>0</v>
      </c>
      <c r="M962" s="41">
        <f t="shared" si="616"/>
        <v>0</v>
      </c>
      <c r="N962" s="41">
        <f t="shared" si="616"/>
        <v>0</v>
      </c>
      <c r="O962" s="41">
        <f t="shared" si="616"/>
        <v>0</v>
      </c>
      <c r="P962" s="41">
        <f t="shared" si="616"/>
        <v>0</v>
      </c>
      <c r="Q962" s="41">
        <f t="shared" si="616"/>
        <v>0</v>
      </c>
      <c r="R962" s="41">
        <f t="shared" si="616"/>
        <v>0</v>
      </c>
      <c r="S962" s="41">
        <f t="shared" si="616"/>
        <v>0</v>
      </c>
      <c r="T962" s="41">
        <f t="shared" si="616"/>
        <v>0</v>
      </c>
      <c r="U962" s="41">
        <f t="shared" si="616"/>
        <v>0</v>
      </c>
      <c r="V962" s="41">
        <f t="shared" si="616"/>
        <v>0</v>
      </c>
      <c r="W962" s="41">
        <f t="shared" si="616"/>
        <v>0</v>
      </c>
    </row>
    <row r="963" spans="2:23" x14ac:dyDescent="0.3">
      <c r="B963" s="171" t="s">
        <v>194</v>
      </c>
      <c r="C963" s="55"/>
      <c r="D963" s="20">
        <f>D962*1.05</f>
        <v>0</v>
      </c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</row>
    <row r="964" spans="2:23" x14ac:dyDescent="0.3">
      <c r="B964" s="61" t="s">
        <v>195</v>
      </c>
      <c r="C964" s="55"/>
      <c r="D964" s="94">
        <f>D962*1.08</f>
        <v>0</v>
      </c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</row>
    <row r="965" spans="2:23" x14ac:dyDescent="0.3">
      <c r="B965" s="61" t="s">
        <v>196</v>
      </c>
      <c r="C965" s="62"/>
      <c r="D965" s="28">
        <f>D962*1.1</f>
        <v>0</v>
      </c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</row>
    <row r="966" spans="2:23" x14ac:dyDescent="0.3">
      <c r="B966" s="61" t="s">
        <v>197</v>
      </c>
      <c r="C966" s="62"/>
      <c r="D966" s="28">
        <f>D962*1.15</f>
        <v>0</v>
      </c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</row>
    <row r="967" spans="2:23" x14ac:dyDescent="0.3">
      <c r="B967" s="63" t="s">
        <v>198</v>
      </c>
      <c r="C967" s="62"/>
      <c r="D967" s="31">
        <f>D963-D962</f>
        <v>0</v>
      </c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</row>
    <row r="968" spans="2:23" x14ac:dyDescent="0.3">
      <c r="B968" s="63" t="s">
        <v>199</v>
      </c>
      <c r="C968" s="64"/>
      <c r="D968" s="31">
        <f>D964-D962</f>
        <v>0</v>
      </c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</row>
    <row r="969" spans="2:23" x14ac:dyDescent="0.3">
      <c r="B969" s="63" t="s">
        <v>200</v>
      </c>
      <c r="C969" s="64"/>
      <c r="D969" s="31">
        <f>D965-D962</f>
        <v>0</v>
      </c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</row>
    <row r="970" spans="2:23" x14ac:dyDescent="0.3">
      <c r="B970" s="63" t="s">
        <v>201</v>
      </c>
      <c r="C970" s="64"/>
      <c r="D970" s="31">
        <f>D966-D962</f>
        <v>0</v>
      </c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</row>
    <row r="971" spans="2:23" x14ac:dyDescent="0.3">
      <c r="B971" s="97" t="s">
        <v>202</v>
      </c>
      <c r="C971" s="98"/>
      <c r="D971" s="101" t="e">
        <f>D967/D963</f>
        <v>#DIV/0!</v>
      </c>
      <c r="E971" s="102"/>
      <c r="F971" s="102"/>
      <c r="G971" s="102"/>
      <c r="H971" s="102"/>
      <c r="I971" s="102"/>
      <c r="J971" s="102"/>
      <c r="K971" s="102"/>
      <c r="L971" s="102"/>
      <c r="M971" s="102"/>
      <c r="N971" s="102"/>
      <c r="O971" s="102"/>
      <c r="P971" s="102"/>
      <c r="Q971" s="102"/>
      <c r="R971" s="102"/>
      <c r="S971" s="102"/>
      <c r="T971" s="102"/>
      <c r="U971" s="102"/>
      <c r="V971" s="102"/>
      <c r="W971" s="102"/>
    </row>
    <row r="972" spans="2:23" x14ac:dyDescent="0.3">
      <c r="B972" s="97" t="s">
        <v>203</v>
      </c>
      <c r="C972" s="98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</row>
    <row r="973" spans="2:23" x14ac:dyDescent="0.3">
      <c r="B973" s="97" t="s">
        <v>204</v>
      </c>
      <c r="C973" s="98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</row>
    <row r="974" spans="2:23" x14ac:dyDescent="0.3">
      <c r="B974" s="97" t="s">
        <v>205</v>
      </c>
      <c r="C974" s="98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</row>
    <row r="975" spans="2:23" ht="21" thickBot="1" x14ac:dyDescent="0.35"/>
    <row r="976" spans="2:23" ht="21" thickBot="1" x14ac:dyDescent="0.35">
      <c r="B976" s="67"/>
      <c r="C976" s="68"/>
      <c r="D976" s="17" t="s">
        <v>5</v>
      </c>
      <c r="E976" s="18" t="s">
        <v>6</v>
      </c>
      <c r="F976" s="18" t="s">
        <v>7</v>
      </c>
      <c r="G976" s="18" t="s">
        <v>8</v>
      </c>
      <c r="H976" s="18" t="s">
        <v>9</v>
      </c>
      <c r="I976" s="18" t="s">
        <v>10</v>
      </c>
      <c r="J976" s="18" t="s">
        <v>11</v>
      </c>
      <c r="K976" s="18" t="s">
        <v>12</v>
      </c>
      <c r="L976" s="18" t="s">
        <v>13</v>
      </c>
      <c r="M976" s="18" t="s">
        <v>14</v>
      </c>
      <c r="N976" s="18" t="s">
        <v>15</v>
      </c>
      <c r="O976" s="18" t="s">
        <v>16</v>
      </c>
      <c r="P976" s="18" t="s">
        <v>17</v>
      </c>
      <c r="Q976" s="18" t="s">
        <v>18</v>
      </c>
      <c r="R976" s="18" t="s">
        <v>19</v>
      </c>
      <c r="S976" s="18" t="s">
        <v>20</v>
      </c>
      <c r="T976" s="18" t="s">
        <v>21</v>
      </c>
      <c r="U976" s="18" t="s">
        <v>22</v>
      </c>
      <c r="V976" s="18" t="s">
        <v>23</v>
      </c>
      <c r="W976" s="18" t="s">
        <v>166</v>
      </c>
    </row>
    <row r="977" spans="2:23" x14ac:dyDescent="0.3">
      <c r="B977" s="54" t="s">
        <v>50</v>
      </c>
      <c r="C977" s="55"/>
      <c r="D977" s="20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</row>
    <row r="978" spans="2:23" x14ac:dyDescent="0.3">
      <c r="B978" s="54" t="s">
        <v>51</v>
      </c>
      <c r="C978" s="55"/>
      <c r="D978" s="23"/>
      <c r="E978" s="23"/>
      <c r="F978" s="23"/>
      <c r="G978" s="23"/>
      <c r="H978" s="23"/>
      <c r="I978" s="95"/>
      <c r="J978" s="95"/>
      <c r="K978" s="95"/>
      <c r="L978" s="95"/>
      <c r="M978" s="95"/>
      <c r="N978" s="23"/>
      <c r="O978" s="23"/>
      <c r="P978" s="23"/>
      <c r="Q978" s="23"/>
      <c r="R978" s="95"/>
      <c r="S978" s="95"/>
      <c r="T978" s="95"/>
      <c r="U978" s="95"/>
      <c r="V978" s="95"/>
      <c r="W978" s="95"/>
    </row>
    <row r="979" spans="2:23" x14ac:dyDescent="0.3">
      <c r="B979" s="54"/>
      <c r="C979" s="55"/>
      <c r="D979" s="20">
        <f t="shared" ref="D979:W979" si="617">D977*(1-D978)</f>
        <v>0</v>
      </c>
      <c r="E979" s="20">
        <f t="shared" si="617"/>
        <v>0</v>
      </c>
      <c r="F979" s="20">
        <f t="shared" si="617"/>
        <v>0</v>
      </c>
      <c r="G979" s="20">
        <f t="shared" si="617"/>
        <v>0</v>
      </c>
      <c r="H979" s="20">
        <f t="shared" si="617"/>
        <v>0</v>
      </c>
      <c r="I979" s="20">
        <f t="shared" si="617"/>
        <v>0</v>
      </c>
      <c r="J979" s="20">
        <f t="shared" si="617"/>
        <v>0</v>
      </c>
      <c r="K979" s="20">
        <f t="shared" si="617"/>
        <v>0</v>
      </c>
      <c r="L979" s="20">
        <f t="shared" si="617"/>
        <v>0</v>
      </c>
      <c r="M979" s="20">
        <f t="shared" si="617"/>
        <v>0</v>
      </c>
      <c r="N979" s="20">
        <f t="shared" si="617"/>
        <v>0</v>
      </c>
      <c r="O979" s="20">
        <f t="shared" si="617"/>
        <v>0</v>
      </c>
      <c r="P979" s="20">
        <f t="shared" si="617"/>
        <v>0</v>
      </c>
      <c r="Q979" s="20">
        <f t="shared" si="617"/>
        <v>0</v>
      </c>
      <c r="R979" s="20">
        <f t="shared" si="617"/>
        <v>0</v>
      </c>
      <c r="S979" s="20">
        <f t="shared" si="617"/>
        <v>0</v>
      </c>
      <c r="T979" s="20">
        <f t="shared" si="617"/>
        <v>0</v>
      </c>
      <c r="U979" s="20">
        <f t="shared" si="617"/>
        <v>0</v>
      </c>
      <c r="V979" s="20">
        <f t="shared" si="617"/>
        <v>0</v>
      </c>
      <c r="W979" s="20">
        <f t="shared" si="617"/>
        <v>0</v>
      </c>
    </row>
    <row r="980" spans="2:23" x14ac:dyDescent="0.3">
      <c r="B980" s="54" t="s">
        <v>51</v>
      </c>
      <c r="C980" s="56">
        <v>0.02</v>
      </c>
      <c r="D980" s="20">
        <f>D979*$C980</f>
        <v>0</v>
      </c>
      <c r="E980" s="20">
        <f t="shared" ref="E980:W980" si="618">E979*$C980</f>
        <v>0</v>
      </c>
      <c r="F980" s="20">
        <f t="shared" si="618"/>
        <v>0</v>
      </c>
      <c r="G980" s="20">
        <f t="shared" si="618"/>
        <v>0</v>
      </c>
      <c r="H980" s="20">
        <f t="shared" si="618"/>
        <v>0</v>
      </c>
      <c r="I980" s="20">
        <f t="shared" si="618"/>
        <v>0</v>
      </c>
      <c r="J980" s="20">
        <f t="shared" si="618"/>
        <v>0</v>
      </c>
      <c r="K980" s="20">
        <f t="shared" si="618"/>
        <v>0</v>
      </c>
      <c r="L980" s="20">
        <f t="shared" si="618"/>
        <v>0</v>
      </c>
      <c r="M980" s="20">
        <f t="shared" si="618"/>
        <v>0</v>
      </c>
      <c r="N980" s="20">
        <f t="shared" si="618"/>
        <v>0</v>
      </c>
      <c r="O980" s="20">
        <f t="shared" si="618"/>
        <v>0</v>
      </c>
      <c r="P980" s="20">
        <f t="shared" si="618"/>
        <v>0</v>
      </c>
      <c r="Q980" s="20">
        <f t="shared" si="618"/>
        <v>0</v>
      </c>
      <c r="R980" s="20">
        <f t="shared" si="618"/>
        <v>0</v>
      </c>
      <c r="S980" s="20">
        <f t="shared" si="618"/>
        <v>0</v>
      </c>
      <c r="T980" s="20">
        <f t="shared" si="618"/>
        <v>0</v>
      </c>
      <c r="U980" s="20">
        <f t="shared" si="618"/>
        <v>0</v>
      </c>
      <c r="V980" s="20">
        <f t="shared" si="618"/>
        <v>0</v>
      </c>
      <c r="W980" s="20">
        <f t="shared" si="618"/>
        <v>0</v>
      </c>
    </row>
    <row r="981" spans="2:23" x14ac:dyDescent="0.3">
      <c r="B981" s="54" t="s">
        <v>67</v>
      </c>
      <c r="C981" s="55"/>
      <c r="D981" s="20">
        <f>D979-D980</f>
        <v>0</v>
      </c>
      <c r="E981" s="20">
        <f t="shared" ref="E981:W981" si="619">E979-E980</f>
        <v>0</v>
      </c>
      <c r="F981" s="20">
        <f t="shared" si="619"/>
        <v>0</v>
      </c>
      <c r="G981" s="20">
        <f t="shared" si="619"/>
        <v>0</v>
      </c>
      <c r="H981" s="20">
        <f t="shared" si="619"/>
        <v>0</v>
      </c>
      <c r="I981" s="20">
        <f t="shared" si="619"/>
        <v>0</v>
      </c>
      <c r="J981" s="20">
        <f t="shared" si="619"/>
        <v>0</v>
      </c>
      <c r="K981" s="20">
        <f t="shared" si="619"/>
        <v>0</v>
      </c>
      <c r="L981" s="20">
        <f t="shared" si="619"/>
        <v>0</v>
      </c>
      <c r="M981" s="20">
        <f t="shared" si="619"/>
        <v>0</v>
      </c>
      <c r="N981" s="20">
        <f t="shared" si="619"/>
        <v>0</v>
      </c>
      <c r="O981" s="20">
        <f t="shared" si="619"/>
        <v>0</v>
      </c>
      <c r="P981" s="20">
        <f t="shared" si="619"/>
        <v>0</v>
      </c>
      <c r="Q981" s="20">
        <f t="shared" si="619"/>
        <v>0</v>
      </c>
      <c r="R981" s="20">
        <f t="shared" si="619"/>
        <v>0</v>
      </c>
      <c r="S981" s="20">
        <f t="shared" si="619"/>
        <v>0</v>
      </c>
      <c r="T981" s="20">
        <f t="shared" si="619"/>
        <v>0</v>
      </c>
      <c r="U981" s="20">
        <f t="shared" si="619"/>
        <v>0</v>
      </c>
      <c r="V981" s="20">
        <f t="shared" si="619"/>
        <v>0</v>
      </c>
      <c r="W981" s="20">
        <f t="shared" si="619"/>
        <v>0</v>
      </c>
    </row>
    <row r="982" spans="2:23" x14ac:dyDescent="0.3">
      <c r="B982" s="54" t="s">
        <v>66</v>
      </c>
      <c r="C982" s="56">
        <v>7.0000000000000007E-2</v>
      </c>
      <c r="D982" s="20">
        <f>D981*$C982</f>
        <v>0</v>
      </c>
      <c r="E982" s="20">
        <f t="shared" ref="E982:W982" si="620">E981*$C982</f>
        <v>0</v>
      </c>
      <c r="F982" s="20">
        <f t="shared" si="620"/>
        <v>0</v>
      </c>
      <c r="G982" s="20">
        <f t="shared" si="620"/>
        <v>0</v>
      </c>
      <c r="H982" s="20">
        <f t="shared" si="620"/>
        <v>0</v>
      </c>
      <c r="I982" s="20">
        <f t="shared" si="620"/>
        <v>0</v>
      </c>
      <c r="J982" s="20">
        <f t="shared" si="620"/>
        <v>0</v>
      </c>
      <c r="K982" s="20">
        <f t="shared" si="620"/>
        <v>0</v>
      </c>
      <c r="L982" s="20">
        <f t="shared" si="620"/>
        <v>0</v>
      </c>
      <c r="M982" s="20">
        <f t="shared" si="620"/>
        <v>0</v>
      </c>
      <c r="N982" s="20">
        <f t="shared" si="620"/>
        <v>0</v>
      </c>
      <c r="O982" s="20">
        <f t="shared" si="620"/>
        <v>0</v>
      </c>
      <c r="P982" s="20">
        <f t="shared" si="620"/>
        <v>0</v>
      </c>
      <c r="Q982" s="20">
        <f t="shared" si="620"/>
        <v>0</v>
      </c>
      <c r="R982" s="20">
        <f t="shared" si="620"/>
        <v>0</v>
      </c>
      <c r="S982" s="20">
        <f t="shared" si="620"/>
        <v>0</v>
      </c>
      <c r="T982" s="20">
        <f t="shared" si="620"/>
        <v>0</v>
      </c>
      <c r="U982" s="20">
        <f t="shared" si="620"/>
        <v>0</v>
      </c>
      <c r="V982" s="20">
        <f t="shared" si="620"/>
        <v>0</v>
      </c>
      <c r="W982" s="20">
        <f t="shared" si="620"/>
        <v>0</v>
      </c>
    </row>
    <row r="983" spans="2:23" x14ac:dyDescent="0.3">
      <c r="B983" s="54" t="s">
        <v>68</v>
      </c>
      <c r="C983" s="55"/>
      <c r="D983" s="20">
        <f>D981+D982</f>
        <v>0</v>
      </c>
      <c r="E983" s="20">
        <f t="shared" ref="E983:W983" si="621">E981+E982</f>
        <v>0</v>
      </c>
      <c r="F983" s="20">
        <f t="shared" si="621"/>
        <v>0</v>
      </c>
      <c r="G983" s="20">
        <f t="shared" si="621"/>
        <v>0</v>
      </c>
      <c r="H983" s="20">
        <f t="shared" si="621"/>
        <v>0</v>
      </c>
      <c r="I983" s="20">
        <f t="shared" si="621"/>
        <v>0</v>
      </c>
      <c r="J983" s="20">
        <f t="shared" si="621"/>
        <v>0</v>
      </c>
      <c r="K983" s="20">
        <f t="shared" si="621"/>
        <v>0</v>
      </c>
      <c r="L983" s="20">
        <f t="shared" si="621"/>
        <v>0</v>
      </c>
      <c r="M983" s="20">
        <f t="shared" si="621"/>
        <v>0</v>
      </c>
      <c r="N983" s="20">
        <f t="shared" si="621"/>
        <v>0</v>
      </c>
      <c r="O983" s="20">
        <f t="shared" si="621"/>
        <v>0</v>
      </c>
      <c r="P983" s="20">
        <f t="shared" si="621"/>
        <v>0</v>
      </c>
      <c r="Q983" s="20">
        <f t="shared" si="621"/>
        <v>0</v>
      </c>
      <c r="R983" s="20">
        <f t="shared" si="621"/>
        <v>0</v>
      </c>
      <c r="S983" s="20">
        <f t="shared" si="621"/>
        <v>0</v>
      </c>
      <c r="T983" s="20">
        <f t="shared" si="621"/>
        <v>0</v>
      </c>
      <c r="U983" s="20">
        <f t="shared" si="621"/>
        <v>0</v>
      </c>
      <c r="V983" s="20">
        <f t="shared" si="621"/>
        <v>0</v>
      </c>
      <c r="W983" s="20">
        <f t="shared" si="621"/>
        <v>0</v>
      </c>
    </row>
    <row r="984" spans="2:23" x14ac:dyDescent="0.3">
      <c r="B984" s="54" t="s">
        <v>52</v>
      </c>
      <c r="C984" s="55"/>
      <c r="D984" s="21">
        <v>0</v>
      </c>
      <c r="E984" s="21">
        <v>0</v>
      </c>
      <c r="F984" s="21">
        <v>0</v>
      </c>
      <c r="G984" s="21">
        <v>0</v>
      </c>
      <c r="H984" s="21">
        <v>0</v>
      </c>
      <c r="I984" s="21">
        <v>0</v>
      </c>
      <c r="J984" s="21">
        <v>0</v>
      </c>
      <c r="K984" s="21">
        <v>0</v>
      </c>
      <c r="L984" s="21">
        <v>0</v>
      </c>
      <c r="M984" s="21">
        <v>0</v>
      </c>
      <c r="N984" s="21">
        <v>0</v>
      </c>
      <c r="O984" s="21">
        <v>0</v>
      </c>
      <c r="P984" s="21">
        <v>0</v>
      </c>
      <c r="Q984" s="21">
        <v>0</v>
      </c>
      <c r="R984" s="21">
        <v>0</v>
      </c>
      <c r="S984" s="21">
        <v>0</v>
      </c>
      <c r="T984" s="21">
        <v>0</v>
      </c>
      <c r="U984" s="21">
        <v>0</v>
      </c>
      <c r="V984" s="21">
        <v>0</v>
      </c>
      <c r="W984" s="21">
        <v>0</v>
      </c>
    </row>
    <row r="985" spans="2:23" x14ac:dyDescent="0.3">
      <c r="B985" s="57" t="s">
        <v>53</v>
      </c>
      <c r="C985" s="58"/>
      <c r="D985" s="25">
        <f>SUM(D983:D984)</f>
        <v>0</v>
      </c>
      <c r="E985" s="26">
        <f t="shared" ref="E985:W985" si="622">SUM(E983:E984)</f>
        <v>0</v>
      </c>
      <c r="F985" s="26">
        <f t="shared" si="622"/>
        <v>0</v>
      </c>
      <c r="G985" s="26">
        <f t="shared" si="622"/>
        <v>0</v>
      </c>
      <c r="H985" s="26">
        <f t="shared" si="622"/>
        <v>0</v>
      </c>
      <c r="I985" s="26">
        <f t="shared" si="622"/>
        <v>0</v>
      </c>
      <c r="J985" s="26">
        <f t="shared" si="622"/>
        <v>0</v>
      </c>
      <c r="K985" s="26">
        <f t="shared" si="622"/>
        <v>0</v>
      </c>
      <c r="L985" s="26">
        <f t="shared" si="622"/>
        <v>0</v>
      </c>
      <c r="M985" s="26">
        <f t="shared" si="622"/>
        <v>0</v>
      </c>
      <c r="N985" s="26">
        <f t="shared" si="622"/>
        <v>0</v>
      </c>
      <c r="O985" s="26">
        <f t="shared" si="622"/>
        <v>0</v>
      </c>
      <c r="P985" s="26">
        <f t="shared" si="622"/>
        <v>0</v>
      </c>
      <c r="Q985" s="26">
        <f t="shared" si="622"/>
        <v>0</v>
      </c>
      <c r="R985" s="26">
        <f t="shared" si="622"/>
        <v>0</v>
      </c>
      <c r="S985" s="26">
        <f t="shared" si="622"/>
        <v>0</v>
      </c>
      <c r="T985" s="26">
        <f t="shared" si="622"/>
        <v>0</v>
      </c>
      <c r="U985" s="26">
        <f t="shared" si="622"/>
        <v>0</v>
      </c>
      <c r="V985" s="26">
        <f t="shared" si="622"/>
        <v>0</v>
      </c>
      <c r="W985" s="26">
        <f t="shared" si="622"/>
        <v>0</v>
      </c>
    </row>
    <row r="986" spans="2:23" x14ac:dyDescent="0.3">
      <c r="B986" s="54" t="s">
        <v>54</v>
      </c>
      <c r="C986" s="55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</row>
    <row r="987" spans="2:23" x14ac:dyDescent="0.3">
      <c r="B987" s="59" t="s">
        <v>55</v>
      </c>
      <c r="C987" s="60"/>
      <c r="D987" s="27">
        <f>SUM(D985:D986)</f>
        <v>0</v>
      </c>
      <c r="E987" s="41">
        <f t="shared" ref="E987:W987" si="623">SUM(E985:E986)</f>
        <v>0</v>
      </c>
      <c r="F987" s="41">
        <f t="shared" si="623"/>
        <v>0</v>
      </c>
      <c r="G987" s="41">
        <f t="shared" si="623"/>
        <v>0</v>
      </c>
      <c r="H987" s="41">
        <f t="shared" si="623"/>
        <v>0</v>
      </c>
      <c r="I987" s="41">
        <f t="shared" si="623"/>
        <v>0</v>
      </c>
      <c r="J987" s="41">
        <f t="shared" si="623"/>
        <v>0</v>
      </c>
      <c r="K987" s="41">
        <f t="shared" si="623"/>
        <v>0</v>
      </c>
      <c r="L987" s="41">
        <f t="shared" si="623"/>
        <v>0</v>
      </c>
      <c r="M987" s="41">
        <f t="shared" si="623"/>
        <v>0</v>
      </c>
      <c r="N987" s="41">
        <f t="shared" si="623"/>
        <v>0</v>
      </c>
      <c r="O987" s="41">
        <f t="shared" si="623"/>
        <v>0</v>
      </c>
      <c r="P987" s="41">
        <f t="shared" si="623"/>
        <v>0</v>
      </c>
      <c r="Q987" s="41">
        <f t="shared" si="623"/>
        <v>0</v>
      </c>
      <c r="R987" s="41">
        <f t="shared" si="623"/>
        <v>0</v>
      </c>
      <c r="S987" s="41">
        <f t="shared" si="623"/>
        <v>0</v>
      </c>
      <c r="T987" s="41">
        <f t="shared" si="623"/>
        <v>0</v>
      </c>
      <c r="U987" s="41">
        <f t="shared" si="623"/>
        <v>0</v>
      </c>
      <c r="V987" s="41">
        <f t="shared" si="623"/>
        <v>0</v>
      </c>
      <c r="W987" s="41">
        <f t="shared" si="623"/>
        <v>0</v>
      </c>
    </row>
    <row r="988" spans="2:23" x14ac:dyDescent="0.3">
      <c r="B988" s="171" t="s">
        <v>194</v>
      </c>
      <c r="C988" s="55"/>
      <c r="D988" s="20">
        <f>D987*1.05</f>
        <v>0</v>
      </c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</row>
    <row r="989" spans="2:23" x14ac:dyDescent="0.3">
      <c r="B989" s="61" t="s">
        <v>195</v>
      </c>
      <c r="C989" s="55"/>
      <c r="D989" s="94">
        <f>D987*1.08</f>
        <v>0</v>
      </c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</row>
    <row r="990" spans="2:23" x14ac:dyDescent="0.3">
      <c r="B990" s="61" t="s">
        <v>196</v>
      </c>
      <c r="C990" s="62"/>
      <c r="D990" s="28">
        <f>D987*1.1</f>
        <v>0</v>
      </c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</row>
    <row r="991" spans="2:23" x14ac:dyDescent="0.3">
      <c r="B991" s="61" t="s">
        <v>197</v>
      </c>
      <c r="C991" s="62"/>
      <c r="D991" s="28">
        <f>D987*1.15</f>
        <v>0</v>
      </c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</row>
    <row r="992" spans="2:23" x14ac:dyDescent="0.3">
      <c r="B992" s="63" t="s">
        <v>198</v>
      </c>
      <c r="C992" s="62"/>
      <c r="D992" s="31">
        <f>D988-D987</f>
        <v>0</v>
      </c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</row>
    <row r="993" spans="2:23" x14ac:dyDescent="0.3">
      <c r="B993" s="63" t="s">
        <v>199</v>
      </c>
      <c r="C993" s="64"/>
      <c r="D993" s="31">
        <f>D989-D987</f>
        <v>0</v>
      </c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</row>
    <row r="994" spans="2:23" x14ac:dyDescent="0.3">
      <c r="B994" s="63" t="s">
        <v>200</v>
      </c>
      <c r="C994" s="64"/>
      <c r="D994" s="31">
        <f>D990-D987</f>
        <v>0</v>
      </c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</row>
    <row r="995" spans="2:23" x14ac:dyDescent="0.3">
      <c r="B995" s="63" t="s">
        <v>201</v>
      </c>
      <c r="C995" s="64"/>
      <c r="D995" s="31">
        <f>D991-D987</f>
        <v>0</v>
      </c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</row>
    <row r="996" spans="2:23" x14ac:dyDescent="0.3">
      <c r="B996" s="97" t="s">
        <v>202</v>
      </c>
      <c r="C996" s="98"/>
      <c r="D996" s="101" t="e">
        <f>D992/D988</f>
        <v>#DIV/0!</v>
      </c>
      <c r="E996" s="102"/>
      <c r="F996" s="102"/>
      <c r="G996" s="102"/>
      <c r="H996" s="102"/>
      <c r="I996" s="102"/>
      <c r="J996" s="102"/>
      <c r="K996" s="102"/>
      <c r="L996" s="102"/>
      <c r="M996" s="102"/>
      <c r="N996" s="102"/>
      <c r="O996" s="102"/>
      <c r="P996" s="102"/>
      <c r="Q996" s="102"/>
      <c r="R996" s="102"/>
      <c r="S996" s="102"/>
      <c r="T996" s="102"/>
      <c r="U996" s="102"/>
      <c r="V996" s="102"/>
      <c r="W996" s="102"/>
    </row>
    <row r="997" spans="2:23" x14ac:dyDescent="0.3">
      <c r="B997" s="97" t="s">
        <v>203</v>
      </c>
      <c r="C997" s="98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</row>
    <row r="998" spans="2:23" x14ac:dyDescent="0.3">
      <c r="B998" s="97" t="s">
        <v>204</v>
      </c>
      <c r="C998" s="98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</row>
    <row r="999" spans="2:23" x14ac:dyDescent="0.3">
      <c r="B999" s="97" t="s">
        <v>205</v>
      </c>
      <c r="C999" s="98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  <c r="R999" s="105"/>
      <c r="S999" s="105"/>
      <c r="T999" s="105"/>
      <c r="U999" s="105"/>
      <c r="V999" s="105"/>
      <c r="W999" s="105"/>
    </row>
    <row r="1000" spans="2:23" ht="21" thickBot="1" x14ac:dyDescent="0.35"/>
    <row r="1001" spans="2:23" ht="21" thickBot="1" x14ac:dyDescent="0.35">
      <c r="B1001" s="67"/>
      <c r="C1001" s="68"/>
      <c r="D1001" s="17" t="s">
        <v>5</v>
      </c>
      <c r="E1001" s="18" t="s">
        <v>6</v>
      </c>
      <c r="F1001" s="18" t="s">
        <v>7</v>
      </c>
      <c r="G1001" s="18" t="s">
        <v>8</v>
      </c>
      <c r="H1001" s="18" t="s">
        <v>9</v>
      </c>
      <c r="I1001" s="18" t="s">
        <v>10</v>
      </c>
      <c r="J1001" s="18" t="s">
        <v>11</v>
      </c>
      <c r="K1001" s="18" t="s">
        <v>12</v>
      </c>
      <c r="L1001" s="18" t="s">
        <v>13</v>
      </c>
      <c r="M1001" s="18" t="s">
        <v>14</v>
      </c>
      <c r="N1001" s="18" t="s">
        <v>15</v>
      </c>
      <c r="O1001" s="18" t="s">
        <v>16</v>
      </c>
      <c r="P1001" s="18" t="s">
        <v>17</v>
      </c>
      <c r="Q1001" s="18" t="s">
        <v>18</v>
      </c>
      <c r="R1001" s="18" t="s">
        <v>19</v>
      </c>
      <c r="S1001" s="18" t="s">
        <v>20</v>
      </c>
      <c r="T1001" s="18" t="s">
        <v>21</v>
      </c>
      <c r="U1001" s="18" t="s">
        <v>22</v>
      </c>
      <c r="V1001" s="18" t="s">
        <v>23</v>
      </c>
      <c r="W1001" s="18" t="s">
        <v>166</v>
      </c>
    </row>
    <row r="1002" spans="2:23" x14ac:dyDescent="0.3">
      <c r="B1002" s="54" t="s">
        <v>50</v>
      </c>
      <c r="C1002" s="55"/>
      <c r="D1002" s="20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</row>
    <row r="1003" spans="2:23" x14ac:dyDescent="0.3">
      <c r="B1003" s="54" t="s">
        <v>51</v>
      </c>
      <c r="C1003" s="55"/>
      <c r="D1003" s="23"/>
      <c r="E1003" s="23"/>
      <c r="F1003" s="23"/>
      <c r="G1003" s="23"/>
      <c r="H1003" s="23"/>
      <c r="I1003" s="95"/>
      <c r="J1003" s="95"/>
      <c r="K1003" s="95"/>
      <c r="L1003" s="95"/>
      <c r="M1003" s="95"/>
      <c r="N1003" s="23"/>
      <c r="O1003" s="23"/>
      <c r="P1003" s="23"/>
      <c r="Q1003" s="23"/>
      <c r="R1003" s="95"/>
      <c r="S1003" s="95"/>
      <c r="T1003" s="95"/>
      <c r="U1003" s="95"/>
      <c r="V1003" s="95"/>
      <c r="W1003" s="95"/>
    </row>
    <row r="1004" spans="2:23" x14ac:dyDescent="0.3">
      <c r="B1004" s="54"/>
      <c r="C1004" s="55"/>
      <c r="D1004" s="20">
        <f t="shared" ref="D1004:W1004" si="624">D1002*(1-D1003)</f>
        <v>0</v>
      </c>
      <c r="E1004" s="20">
        <f t="shared" si="624"/>
        <v>0</v>
      </c>
      <c r="F1004" s="20">
        <f t="shared" si="624"/>
        <v>0</v>
      </c>
      <c r="G1004" s="20">
        <f t="shared" si="624"/>
        <v>0</v>
      </c>
      <c r="H1004" s="20">
        <f t="shared" si="624"/>
        <v>0</v>
      </c>
      <c r="I1004" s="20">
        <f t="shared" si="624"/>
        <v>0</v>
      </c>
      <c r="J1004" s="20">
        <f t="shared" si="624"/>
        <v>0</v>
      </c>
      <c r="K1004" s="20">
        <f t="shared" si="624"/>
        <v>0</v>
      </c>
      <c r="L1004" s="20">
        <f t="shared" si="624"/>
        <v>0</v>
      </c>
      <c r="M1004" s="20">
        <f t="shared" si="624"/>
        <v>0</v>
      </c>
      <c r="N1004" s="20">
        <f t="shared" si="624"/>
        <v>0</v>
      </c>
      <c r="O1004" s="20">
        <f t="shared" si="624"/>
        <v>0</v>
      </c>
      <c r="P1004" s="20">
        <f t="shared" si="624"/>
        <v>0</v>
      </c>
      <c r="Q1004" s="20">
        <f t="shared" si="624"/>
        <v>0</v>
      </c>
      <c r="R1004" s="20">
        <f t="shared" si="624"/>
        <v>0</v>
      </c>
      <c r="S1004" s="20">
        <f t="shared" si="624"/>
        <v>0</v>
      </c>
      <c r="T1004" s="20">
        <f t="shared" si="624"/>
        <v>0</v>
      </c>
      <c r="U1004" s="20">
        <f t="shared" si="624"/>
        <v>0</v>
      </c>
      <c r="V1004" s="20">
        <f t="shared" si="624"/>
        <v>0</v>
      </c>
      <c r="W1004" s="20">
        <f t="shared" si="624"/>
        <v>0</v>
      </c>
    </row>
    <row r="1005" spans="2:23" x14ac:dyDescent="0.3">
      <c r="B1005" s="54" t="s">
        <v>51</v>
      </c>
      <c r="C1005" s="56">
        <v>0.02</v>
      </c>
      <c r="D1005" s="20">
        <f>D1004*$C1005</f>
        <v>0</v>
      </c>
      <c r="E1005" s="20">
        <f t="shared" ref="E1005:W1005" si="625">E1004*$C1005</f>
        <v>0</v>
      </c>
      <c r="F1005" s="20">
        <f t="shared" si="625"/>
        <v>0</v>
      </c>
      <c r="G1005" s="20">
        <f t="shared" si="625"/>
        <v>0</v>
      </c>
      <c r="H1005" s="20">
        <f t="shared" si="625"/>
        <v>0</v>
      </c>
      <c r="I1005" s="20">
        <f t="shared" si="625"/>
        <v>0</v>
      </c>
      <c r="J1005" s="20">
        <f t="shared" si="625"/>
        <v>0</v>
      </c>
      <c r="K1005" s="20">
        <f t="shared" si="625"/>
        <v>0</v>
      </c>
      <c r="L1005" s="20">
        <f t="shared" si="625"/>
        <v>0</v>
      </c>
      <c r="M1005" s="20">
        <f t="shared" si="625"/>
        <v>0</v>
      </c>
      <c r="N1005" s="20">
        <f t="shared" si="625"/>
        <v>0</v>
      </c>
      <c r="O1005" s="20">
        <f t="shared" si="625"/>
        <v>0</v>
      </c>
      <c r="P1005" s="20">
        <f t="shared" si="625"/>
        <v>0</v>
      </c>
      <c r="Q1005" s="20">
        <f t="shared" si="625"/>
        <v>0</v>
      </c>
      <c r="R1005" s="20">
        <f t="shared" si="625"/>
        <v>0</v>
      </c>
      <c r="S1005" s="20">
        <f t="shared" si="625"/>
        <v>0</v>
      </c>
      <c r="T1005" s="20">
        <f t="shared" si="625"/>
        <v>0</v>
      </c>
      <c r="U1005" s="20">
        <f t="shared" si="625"/>
        <v>0</v>
      </c>
      <c r="V1005" s="20">
        <f t="shared" si="625"/>
        <v>0</v>
      </c>
      <c r="W1005" s="20">
        <f t="shared" si="625"/>
        <v>0</v>
      </c>
    </row>
    <row r="1006" spans="2:23" x14ac:dyDescent="0.3">
      <c r="B1006" s="54" t="s">
        <v>67</v>
      </c>
      <c r="C1006" s="55"/>
      <c r="D1006" s="20">
        <f>D1004-D1005</f>
        <v>0</v>
      </c>
      <c r="E1006" s="20">
        <f t="shared" ref="E1006:W1006" si="626">E1004-E1005</f>
        <v>0</v>
      </c>
      <c r="F1006" s="20">
        <f t="shared" si="626"/>
        <v>0</v>
      </c>
      <c r="G1006" s="20">
        <f t="shared" si="626"/>
        <v>0</v>
      </c>
      <c r="H1006" s="20">
        <f t="shared" si="626"/>
        <v>0</v>
      </c>
      <c r="I1006" s="20">
        <f t="shared" si="626"/>
        <v>0</v>
      </c>
      <c r="J1006" s="20">
        <f t="shared" si="626"/>
        <v>0</v>
      </c>
      <c r="K1006" s="20">
        <f t="shared" si="626"/>
        <v>0</v>
      </c>
      <c r="L1006" s="20">
        <f t="shared" si="626"/>
        <v>0</v>
      </c>
      <c r="M1006" s="20">
        <f t="shared" si="626"/>
        <v>0</v>
      </c>
      <c r="N1006" s="20">
        <f t="shared" si="626"/>
        <v>0</v>
      </c>
      <c r="O1006" s="20">
        <f t="shared" si="626"/>
        <v>0</v>
      </c>
      <c r="P1006" s="20">
        <f t="shared" si="626"/>
        <v>0</v>
      </c>
      <c r="Q1006" s="20">
        <f t="shared" si="626"/>
        <v>0</v>
      </c>
      <c r="R1006" s="20">
        <f t="shared" si="626"/>
        <v>0</v>
      </c>
      <c r="S1006" s="20">
        <f t="shared" si="626"/>
        <v>0</v>
      </c>
      <c r="T1006" s="20">
        <f t="shared" si="626"/>
        <v>0</v>
      </c>
      <c r="U1006" s="20">
        <f t="shared" si="626"/>
        <v>0</v>
      </c>
      <c r="V1006" s="20">
        <f t="shared" si="626"/>
        <v>0</v>
      </c>
      <c r="W1006" s="20">
        <f t="shared" si="626"/>
        <v>0</v>
      </c>
    </row>
    <row r="1007" spans="2:23" x14ac:dyDescent="0.3">
      <c r="B1007" s="54" t="s">
        <v>66</v>
      </c>
      <c r="C1007" s="56">
        <v>7.0000000000000007E-2</v>
      </c>
      <c r="D1007" s="20">
        <f>D1006*$C1007</f>
        <v>0</v>
      </c>
      <c r="E1007" s="20">
        <f t="shared" ref="E1007:W1007" si="627">E1006*$C1007</f>
        <v>0</v>
      </c>
      <c r="F1007" s="20">
        <f t="shared" si="627"/>
        <v>0</v>
      </c>
      <c r="G1007" s="20">
        <f t="shared" si="627"/>
        <v>0</v>
      </c>
      <c r="H1007" s="20">
        <f t="shared" si="627"/>
        <v>0</v>
      </c>
      <c r="I1007" s="20">
        <f t="shared" si="627"/>
        <v>0</v>
      </c>
      <c r="J1007" s="20">
        <f t="shared" si="627"/>
        <v>0</v>
      </c>
      <c r="K1007" s="20">
        <f t="shared" si="627"/>
        <v>0</v>
      </c>
      <c r="L1007" s="20">
        <f t="shared" si="627"/>
        <v>0</v>
      </c>
      <c r="M1007" s="20">
        <f t="shared" si="627"/>
        <v>0</v>
      </c>
      <c r="N1007" s="20">
        <f t="shared" si="627"/>
        <v>0</v>
      </c>
      <c r="O1007" s="20">
        <f t="shared" si="627"/>
        <v>0</v>
      </c>
      <c r="P1007" s="20">
        <f t="shared" si="627"/>
        <v>0</v>
      </c>
      <c r="Q1007" s="20">
        <f t="shared" si="627"/>
        <v>0</v>
      </c>
      <c r="R1007" s="20">
        <f t="shared" si="627"/>
        <v>0</v>
      </c>
      <c r="S1007" s="20">
        <f t="shared" si="627"/>
        <v>0</v>
      </c>
      <c r="T1007" s="20">
        <f t="shared" si="627"/>
        <v>0</v>
      </c>
      <c r="U1007" s="20">
        <f t="shared" si="627"/>
        <v>0</v>
      </c>
      <c r="V1007" s="20">
        <f t="shared" si="627"/>
        <v>0</v>
      </c>
      <c r="W1007" s="20">
        <f t="shared" si="627"/>
        <v>0</v>
      </c>
    </row>
    <row r="1008" spans="2:23" x14ac:dyDescent="0.3">
      <c r="B1008" s="54" t="s">
        <v>68</v>
      </c>
      <c r="C1008" s="55"/>
      <c r="D1008" s="20">
        <f>D1006+D1007</f>
        <v>0</v>
      </c>
      <c r="E1008" s="20">
        <f t="shared" ref="E1008:W1008" si="628">E1006+E1007</f>
        <v>0</v>
      </c>
      <c r="F1008" s="20">
        <f t="shared" si="628"/>
        <v>0</v>
      </c>
      <c r="G1008" s="20">
        <f t="shared" si="628"/>
        <v>0</v>
      </c>
      <c r="H1008" s="20">
        <f t="shared" si="628"/>
        <v>0</v>
      </c>
      <c r="I1008" s="20">
        <f t="shared" si="628"/>
        <v>0</v>
      </c>
      <c r="J1008" s="20">
        <f t="shared" si="628"/>
        <v>0</v>
      </c>
      <c r="K1008" s="20">
        <f t="shared" si="628"/>
        <v>0</v>
      </c>
      <c r="L1008" s="20">
        <f t="shared" si="628"/>
        <v>0</v>
      </c>
      <c r="M1008" s="20">
        <f t="shared" si="628"/>
        <v>0</v>
      </c>
      <c r="N1008" s="20">
        <f t="shared" si="628"/>
        <v>0</v>
      </c>
      <c r="O1008" s="20">
        <f t="shared" si="628"/>
        <v>0</v>
      </c>
      <c r="P1008" s="20">
        <f t="shared" si="628"/>
        <v>0</v>
      </c>
      <c r="Q1008" s="20">
        <f t="shared" si="628"/>
        <v>0</v>
      </c>
      <c r="R1008" s="20">
        <f t="shared" si="628"/>
        <v>0</v>
      </c>
      <c r="S1008" s="20">
        <f t="shared" si="628"/>
        <v>0</v>
      </c>
      <c r="T1008" s="20">
        <f t="shared" si="628"/>
        <v>0</v>
      </c>
      <c r="U1008" s="20">
        <f t="shared" si="628"/>
        <v>0</v>
      </c>
      <c r="V1008" s="20">
        <f t="shared" si="628"/>
        <v>0</v>
      </c>
      <c r="W1008" s="20">
        <f t="shared" si="628"/>
        <v>0</v>
      </c>
    </row>
    <row r="1009" spans="2:23" x14ac:dyDescent="0.3">
      <c r="B1009" s="54" t="s">
        <v>52</v>
      </c>
      <c r="C1009" s="55"/>
      <c r="D1009" s="21">
        <v>0</v>
      </c>
      <c r="E1009" s="21">
        <v>0</v>
      </c>
      <c r="F1009" s="21">
        <v>0</v>
      </c>
      <c r="G1009" s="21">
        <v>0</v>
      </c>
      <c r="H1009" s="21">
        <v>0</v>
      </c>
      <c r="I1009" s="21">
        <v>0</v>
      </c>
      <c r="J1009" s="21">
        <v>0</v>
      </c>
      <c r="K1009" s="21">
        <v>0</v>
      </c>
      <c r="L1009" s="21">
        <v>0</v>
      </c>
      <c r="M1009" s="21">
        <v>0</v>
      </c>
      <c r="N1009" s="21">
        <v>0</v>
      </c>
      <c r="O1009" s="21">
        <v>0</v>
      </c>
      <c r="P1009" s="21">
        <v>0</v>
      </c>
      <c r="Q1009" s="21">
        <v>0</v>
      </c>
      <c r="R1009" s="21">
        <v>0</v>
      </c>
      <c r="S1009" s="21">
        <v>0</v>
      </c>
      <c r="T1009" s="21">
        <v>0</v>
      </c>
      <c r="U1009" s="21">
        <v>0</v>
      </c>
      <c r="V1009" s="21">
        <v>0</v>
      </c>
      <c r="W1009" s="21">
        <v>0</v>
      </c>
    </row>
    <row r="1010" spans="2:23" x14ac:dyDescent="0.3">
      <c r="B1010" s="57" t="s">
        <v>53</v>
      </c>
      <c r="C1010" s="58"/>
      <c r="D1010" s="25">
        <f>SUM(D1008:D1009)</f>
        <v>0</v>
      </c>
      <c r="E1010" s="26">
        <f t="shared" ref="E1010:W1010" si="629">SUM(E1008:E1009)</f>
        <v>0</v>
      </c>
      <c r="F1010" s="26">
        <f t="shared" si="629"/>
        <v>0</v>
      </c>
      <c r="G1010" s="26">
        <f t="shared" si="629"/>
        <v>0</v>
      </c>
      <c r="H1010" s="26">
        <f t="shared" si="629"/>
        <v>0</v>
      </c>
      <c r="I1010" s="26">
        <f t="shared" si="629"/>
        <v>0</v>
      </c>
      <c r="J1010" s="26">
        <f t="shared" si="629"/>
        <v>0</v>
      </c>
      <c r="K1010" s="26">
        <f t="shared" si="629"/>
        <v>0</v>
      </c>
      <c r="L1010" s="26">
        <f t="shared" si="629"/>
        <v>0</v>
      </c>
      <c r="M1010" s="26">
        <f t="shared" si="629"/>
        <v>0</v>
      </c>
      <c r="N1010" s="26">
        <f t="shared" si="629"/>
        <v>0</v>
      </c>
      <c r="O1010" s="26">
        <f t="shared" si="629"/>
        <v>0</v>
      </c>
      <c r="P1010" s="26">
        <f t="shared" si="629"/>
        <v>0</v>
      </c>
      <c r="Q1010" s="26">
        <f t="shared" si="629"/>
        <v>0</v>
      </c>
      <c r="R1010" s="26">
        <f t="shared" si="629"/>
        <v>0</v>
      </c>
      <c r="S1010" s="26">
        <f t="shared" si="629"/>
        <v>0</v>
      </c>
      <c r="T1010" s="26">
        <f t="shared" si="629"/>
        <v>0</v>
      </c>
      <c r="U1010" s="26">
        <f t="shared" si="629"/>
        <v>0</v>
      </c>
      <c r="V1010" s="26">
        <f t="shared" si="629"/>
        <v>0</v>
      </c>
      <c r="W1010" s="26">
        <f t="shared" si="629"/>
        <v>0</v>
      </c>
    </row>
    <row r="1011" spans="2:23" x14ac:dyDescent="0.3">
      <c r="B1011" s="54" t="s">
        <v>54</v>
      </c>
      <c r="C1011" s="55"/>
      <c r="D1011" s="21"/>
      <c r="E1011" s="21"/>
      <c r="F1011" s="21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</row>
    <row r="1012" spans="2:23" x14ac:dyDescent="0.3">
      <c r="B1012" s="59" t="s">
        <v>55</v>
      </c>
      <c r="C1012" s="60"/>
      <c r="D1012" s="27">
        <f>SUM(D1010:D1011)</f>
        <v>0</v>
      </c>
      <c r="E1012" s="41">
        <f t="shared" ref="E1012:W1012" si="630">SUM(E1010:E1011)</f>
        <v>0</v>
      </c>
      <c r="F1012" s="41">
        <f t="shared" si="630"/>
        <v>0</v>
      </c>
      <c r="G1012" s="41">
        <f t="shared" si="630"/>
        <v>0</v>
      </c>
      <c r="H1012" s="41">
        <f t="shared" si="630"/>
        <v>0</v>
      </c>
      <c r="I1012" s="41">
        <f t="shared" si="630"/>
        <v>0</v>
      </c>
      <c r="J1012" s="41">
        <f t="shared" si="630"/>
        <v>0</v>
      </c>
      <c r="K1012" s="41">
        <f t="shared" si="630"/>
        <v>0</v>
      </c>
      <c r="L1012" s="41">
        <f t="shared" si="630"/>
        <v>0</v>
      </c>
      <c r="M1012" s="41">
        <f t="shared" si="630"/>
        <v>0</v>
      </c>
      <c r="N1012" s="41">
        <f t="shared" si="630"/>
        <v>0</v>
      </c>
      <c r="O1012" s="41">
        <f t="shared" si="630"/>
        <v>0</v>
      </c>
      <c r="P1012" s="41">
        <f t="shared" si="630"/>
        <v>0</v>
      </c>
      <c r="Q1012" s="41">
        <f t="shared" si="630"/>
        <v>0</v>
      </c>
      <c r="R1012" s="41">
        <f t="shared" si="630"/>
        <v>0</v>
      </c>
      <c r="S1012" s="41">
        <f t="shared" si="630"/>
        <v>0</v>
      </c>
      <c r="T1012" s="41">
        <f t="shared" si="630"/>
        <v>0</v>
      </c>
      <c r="U1012" s="41">
        <f t="shared" si="630"/>
        <v>0</v>
      </c>
      <c r="V1012" s="41">
        <f t="shared" si="630"/>
        <v>0</v>
      </c>
      <c r="W1012" s="41">
        <f t="shared" si="630"/>
        <v>0</v>
      </c>
    </row>
    <row r="1013" spans="2:23" x14ac:dyDescent="0.3">
      <c r="B1013" s="171" t="s">
        <v>194</v>
      </c>
      <c r="C1013" s="55"/>
      <c r="D1013" s="20">
        <f>D1012*1.05</f>
        <v>0</v>
      </c>
      <c r="E1013" s="21"/>
      <c r="F1013" s="21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</row>
    <row r="1014" spans="2:23" x14ac:dyDescent="0.3">
      <c r="B1014" s="61" t="s">
        <v>195</v>
      </c>
      <c r="C1014" s="55"/>
      <c r="D1014" s="94">
        <f>D1012*1.08</f>
        <v>0</v>
      </c>
      <c r="E1014" s="82"/>
      <c r="F1014" s="82"/>
      <c r="G1014" s="82"/>
      <c r="H1014" s="82"/>
      <c r="I1014" s="82"/>
      <c r="J1014" s="82"/>
      <c r="K1014" s="82"/>
      <c r="L1014" s="82"/>
      <c r="M1014" s="82"/>
      <c r="N1014" s="82"/>
      <c r="O1014" s="82"/>
      <c r="P1014" s="82"/>
      <c r="Q1014" s="82"/>
      <c r="R1014" s="82"/>
      <c r="S1014" s="82"/>
      <c r="T1014" s="82"/>
      <c r="U1014" s="82"/>
      <c r="V1014" s="82"/>
      <c r="W1014" s="82"/>
    </row>
    <row r="1015" spans="2:23" x14ac:dyDescent="0.3">
      <c r="B1015" s="61" t="s">
        <v>196</v>
      </c>
      <c r="C1015" s="62"/>
      <c r="D1015" s="28">
        <f>D1012*1.1</f>
        <v>0</v>
      </c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</row>
    <row r="1016" spans="2:23" x14ac:dyDescent="0.3">
      <c r="B1016" s="61" t="s">
        <v>197</v>
      </c>
      <c r="C1016" s="62"/>
      <c r="D1016" s="28">
        <f>D1012*1.15</f>
        <v>0</v>
      </c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</row>
    <row r="1017" spans="2:23" x14ac:dyDescent="0.3">
      <c r="B1017" s="63" t="s">
        <v>198</v>
      </c>
      <c r="C1017" s="62"/>
      <c r="D1017" s="31">
        <f>D1013-D1012</f>
        <v>0</v>
      </c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</row>
    <row r="1018" spans="2:23" x14ac:dyDescent="0.3">
      <c r="B1018" s="63" t="s">
        <v>199</v>
      </c>
      <c r="C1018" s="64"/>
      <c r="D1018" s="31">
        <f>D1014-D1012</f>
        <v>0</v>
      </c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</row>
    <row r="1019" spans="2:23" x14ac:dyDescent="0.3">
      <c r="B1019" s="63" t="s">
        <v>200</v>
      </c>
      <c r="C1019" s="64"/>
      <c r="D1019" s="31">
        <f>D1015-D1012</f>
        <v>0</v>
      </c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  <c r="P1019" s="32"/>
      <c r="Q1019" s="32"/>
      <c r="R1019" s="32"/>
      <c r="S1019" s="32"/>
      <c r="T1019" s="32"/>
      <c r="U1019" s="32"/>
      <c r="V1019" s="32"/>
      <c r="W1019" s="32"/>
    </row>
    <row r="1020" spans="2:23" x14ac:dyDescent="0.3">
      <c r="B1020" s="63" t="s">
        <v>201</v>
      </c>
      <c r="C1020" s="64"/>
      <c r="D1020" s="31">
        <f>D1016-D1012</f>
        <v>0</v>
      </c>
      <c r="E1020" s="32"/>
      <c r="F1020" s="32"/>
      <c r="G1020" s="32"/>
      <c r="H1020" s="32"/>
      <c r="I1020" s="32"/>
      <c r="J1020" s="32"/>
      <c r="K1020" s="32"/>
      <c r="L1020" s="32"/>
      <c r="M1020" s="32"/>
      <c r="N1020" s="32"/>
      <c r="O1020" s="32"/>
      <c r="P1020" s="32"/>
      <c r="Q1020" s="32"/>
      <c r="R1020" s="32"/>
      <c r="S1020" s="32"/>
      <c r="T1020" s="32"/>
      <c r="U1020" s="32"/>
      <c r="V1020" s="32"/>
      <c r="W1020" s="32"/>
    </row>
    <row r="1021" spans="2:23" x14ac:dyDescent="0.3">
      <c r="B1021" s="97" t="s">
        <v>202</v>
      </c>
      <c r="C1021" s="98"/>
      <c r="D1021" s="101" t="e">
        <f>D1017/D1013</f>
        <v>#DIV/0!</v>
      </c>
      <c r="E1021" s="102"/>
      <c r="F1021" s="102"/>
      <c r="G1021" s="102"/>
      <c r="H1021" s="102"/>
      <c r="I1021" s="102"/>
      <c r="J1021" s="102"/>
      <c r="K1021" s="102"/>
      <c r="L1021" s="102"/>
      <c r="M1021" s="102"/>
      <c r="N1021" s="102"/>
      <c r="O1021" s="102"/>
      <c r="P1021" s="102"/>
      <c r="Q1021" s="102"/>
      <c r="R1021" s="102"/>
      <c r="S1021" s="102"/>
      <c r="T1021" s="102"/>
      <c r="U1021" s="102"/>
      <c r="V1021" s="102"/>
      <c r="W1021" s="102"/>
    </row>
    <row r="1022" spans="2:23" x14ac:dyDescent="0.3">
      <c r="B1022" s="97" t="s">
        <v>203</v>
      </c>
      <c r="C1022" s="98"/>
      <c r="D1022" s="105"/>
      <c r="E1022" s="105"/>
      <c r="F1022" s="105"/>
      <c r="G1022" s="105"/>
      <c r="H1022" s="105"/>
      <c r="I1022" s="105"/>
      <c r="J1022" s="105"/>
      <c r="K1022" s="105"/>
      <c r="L1022" s="105"/>
      <c r="M1022" s="105"/>
      <c r="N1022" s="105"/>
      <c r="O1022" s="105"/>
      <c r="P1022" s="105"/>
      <c r="Q1022" s="105"/>
      <c r="R1022" s="105"/>
      <c r="S1022" s="105"/>
      <c r="T1022" s="105"/>
      <c r="U1022" s="105"/>
      <c r="V1022" s="105"/>
      <c r="W1022" s="105"/>
    </row>
    <row r="1023" spans="2:23" x14ac:dyDescent="0.3">
      <c r="B1023" s="97" t="s">
        <v>204</v>
      </c>
      <c r="C1023" s="98"/>
      <c r="D1023" s="105"/>
      <c r="E1023" s="105"/>
      <c r="F1023" s="105"/>
      <c r="G1023" s="105"/>
      <c r="H1023" s="105"/>
      <c r="I1023" s="105"/>
      <c r="J1023" s="105"/>
      <c r="K1023" s="105"/>
      <c r="L1023" s="105"/>
      <c r="M1023" s="105"/>
      <c r="N1023" s="105"/>
      <c r="O1023" s="105"/>
      <c r="P1023" s="105"/>
      <c r="Q1023" s="105"/>
      <c r="R1023" s="105"/>
      <c r="S1023" s="105"/>
      <c r="T1023" s="105"/>
      <c r="U1023" s="105"/>
      <c r="V1023" s="105"/>
      <c r="W1023" s="105"/>
    </row>
    <row r="1024" spans="2:23" x14ac:dyDescent="0.3">
      <c r="B1024" s="97" t="s">
        <v>205</v>
      </c>
      <c r="C1024" s="98"/>
      <c r="D1024" s="105"/>
      <c r="E1024" s="105"/>
      <c r="F1024" s="105"/>
      <c r="G1024" s="105"/>
      <c r="H1024" s="105"/>
      <c r="I1024" s="105"/>
      <c r="J1024" s="105"/>
      <c r="K1024" s="105"/>
      <c r="L1024" s="105"/>
      <c r="M1024" s="105"/>
      <c r="N1024" s="105"/>
      <c r="O1024" s="105"/>
      <c r="P1024" s="105"/>
      <c r="Q1024" s="105"/>
      <c r="R1024" s="105"/>
      <c r="S1024" s="105"/>
      <c r="T1024" s="105"/>
      <c r="U1024" s="105"/>
      <c r="V1024" s="105"/>
      <c r="W1024" s="105"/>
    </row>
  </sheetData>
  <sheetProtection sheet="1" objects="1" scenarios="1"/>
  <phoneticPr fontId="2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5608-6A76-43E8-945D-F1E5C0AA2913}">
  <sheetPr codeName="Sheet2">
    <tabColor rgb="FF92D050"/>
  </sheetPr>
  <dimension ref="A1:CJ18"/>
  <sheetViews>
    <sheetView tabSelected="1" topLeftCell="BZ1" workbookViewId="0">
      <selection activeCell="CE1" sqref="CE1"/>
    </sheetView>
  </sheetViews>
  <sheetFormatPr baseColWidth="10" defaultColWidth="9" defaultRowHeight="19" x14ac:dyDescent="0.25"/>
  <cols>
    <col min="1" max="8" width="19.796875" bestFit="1" customWidth="1"/>
    <col min="9" max="9" width="28.796875" bestFit="1" customWidth="1"/>
    <col min="10" max="10" width="19.796875" bestFit="1" customWidth="1"/>
    <col min="11" max="11" width="20.3984375" bestFit="1" customWidth="1"/>
    <col min="12" max="12" width="29.796875" bestFit="1" customWidth="1"/>
    <col min="13" max="13" width="23" bestFit="1" customWidth="1"/>
    <col min="14" max="14" width="24" bestFit="1" customWidth="1"/>
    <col min="15" max="15" width="27.796875" bestFit="1" customWidth="1"/>
    <col min="16" max="16" width="28.3984375" bestFit="1" customWidth="1"/>
    <col min="17" max="19" width="19.796875" bestFit="1" customWidth="1"/>
    <col min="20" max="20" width="23.796875" bestFit="1" customWidth="1"/>
    <col min="21" max="23" width="25" bestFit="1" customWidth="1"/>
    <col min="24" max="24" width="29" bestFit="1" customWidth="1"/>
    <col min="25" max="25" width="19.796875" bestFit="1" customWidth="1"/>
    <col min="26" max="29" width="23.3984375" bestFit="1" customWidth="1"/>
    <col min="30" max="34" width="19.796875" bestFit="1" customWidth="1"/>
    <col min="35" max="35" width="37.796875" bestFit="1" customWidth="1"/>
    <col min="36" max="36" width="34.796875" bestFit="1" customWidth="1"/>
    <col min="37" max="37" width="40" bestFit="1" customWidth="1"/>
    <col min="38" max="48" width="19.796875" bestFit="1" customWidth="1"/>
    <col min="49" max="49" width="26.3984375" bestFit="1" customWidth="1"/>
    <col min="50" max="57" width="19.796875" bestFit="1" customWidth="1"/>
    <col min="58" max="58" width="20" bestFit="1" customWidth="1"/>
    <col min="59" max="59" width="19.796875" bestFit="1" customWidth="1"/>
    <col min="60" max="60" width="36.19921875" bestFit="1" customWidth="1"/>
    <col min="61" max="61" width="27.3984375" bestFit="1" customWidth="1"/>
    <col min="62" max="63" width="19.796875" bestFit="1" customWidth="1"/>
    <col min="64" max="64" width="25.59765625" bestFit="1" customWidth="1"/>
    <col min="65" max="65" width="30.59765625" bestFit="1" customWidth="1"/>
    <col min="66" max="66" width="25.59765625" bestFit="1" customWidth="1"/>
    <col min="67" max="67" width="24" bestFit="1" customWidth="1"/>
    <col min="68" max="72" width="25" bestFit="1" customWidth="1"/>
    <col min="73" max="75" width="30.59765625" bestFit="1" customWidth="1"/>
    <col min="76" max="78" width="35.796875" bestFit="1" customWidth="1"/>
    <col min="79" max="79" width="19.796875" bestFit="1" customWidth="1"/>
    <col min="80" max="80" width="29.3984375" bestFit="1" customWidth="1"/>
    <col min="81" max="83" width="19.796875" bestFit="1" customWidth="1"/>
    <col min="84" max="88" width="36.3984375" bestFit="1" customWidth="1"/>
  </cols>
  <sheetData>
    <row r="1" spans="1:88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114</v>
      </c>
      <c r="H1" t="s">
        <v>115</v>
      </c>
      <c r="I1" t="s">
        <v>96</v>
      </c>
      <c r="J1" t="s">
        <v>30</v>
      </c>
      <c r="K1" t="s">
        <v>31</v>
      </c>
      <c r="L1" t="s">
        <v>232</v>
      </c>
      <c r="M1" t="s">
        <v>206</v>
      </c>
      <c r="N1" t="s">
        <v>207</v>
      </c>
      <c r="O1" t="s">
        <v>208</v>
      </c>
      <c r="P1" t="s">
        <v>98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234</v>
      </c>
      <c r="AD1" t="s">
        <v>126</v>
      </c>
      <c r="AE1" t="s">
        <v>127</v>
      </c>
      <c r="AF1" t="s">
        <v>116</v>
      </c>
      <c r="AG1" t="s">
        <v>117</v>
      </c>
      <c r="AH1" t="s">
        <v>132</v>
      </c>
      <c r="AI1" t="s">
        <v>218</v>
      </c>
      <c r="AJ1" t="s">
        <v>213</v>
      </c>
      <c r="AK1" t="s">
        <v>216</v>
      </c>
      <c r="AL1" t="s">
        <v>34</v>
      </c>
      <c r="AM1" s="15" t="s">
        <v>35</v>
      </c>
      <c r="AN1" s="15" t="s">
        <v>36</v>
      </c>
      <c r="AO1" s="15" t="s">
        <v>37</v>
      </c>
      <c r="AP1" s="15" t="s">
        <v>38</v>
      </c>
      <c r="AQ1" s="15" t="s">
        <v>39</v>
      </c>
      <c r="AR1" s="15" t="s">
        <v>40</v>
      </c>
      <c r="AS1" s="15" t="s">
        <v>113</v>
      </c>
      <c r="AT1" s="15" t="s">
        <v>45</v>
      </c>
      <c r="AU1" s="15" t="s">
        <v>46</v>
      </c>
      <c r="AV1" s="15" t="s">
        <v>47</v>
      </c>
      <c r="AW1" s="15" t="s">
        <v>97</v>
      </c>
      <c r="AX1" s="15" t="s">
        <v>131</v>
      </c>
      <c r="AY1" s="15" t="s">
        <v>48</v>
      </c>
      <c r="AZ1" s="15" t="s">
        <v>49</v>
      </c>
      <c r="BA1" s="15" t="s">
        <v>62</v>
      </c>
      <c r="BB1" s="15" t="s">
        <v>63</v>
      </c>
      <c r="BC1" s="15" t="s">
        <v>64</v>
      </c>
      <c r="BD1" s="15" t="s">
        <v>65</v>
      </c>
      <c r="BE1" s="15" t="s">
        <v>109</v>
      </c>
      <c r="BF1" s="15" t="s">
        <v>110</v>
      </c>
      <c r="BG1" s="15" t="s">
        <v>111</v>
      </c>
      <c r="BH1" s="15" t="s">
        <v>236</v>
      </c>
      <c r="BI1" s="15" t="s">
        <v>230</v>
      </c>
      <c r="BJ1" s="15" t="s">
        <v>125</v>
      </c>
      <c r="BK1" s="15" t="s">
        <v>129</v>
      </c>
      <c r="BL1" s="15" t="s">
        <v>229</v>
      </c>
      <c r="BM1" s="15" t="s">
        <v>141</v>
      </c>
      <c r="BN1" s="15" t="s">
        <v>160</v>
      </c>
      <c r="BO1" s="15" t="s">
        <v>154</v>
      </c>
      <c r="BP1" s="15" t="s">
        <v>155</v>
      </c>
      <c r="BQ1" s="15" t="s">
        <v>156</v>
      </c>
      <c r="BR1" s="15" t="s">
        <v>157</v>
      </c>
      <c r="BS1" s="15" t="s">
        <v>158</v>
      </c>
      <c r="BT1" s="15" t="s">
        <v>159</v>
      </c>
      <c r="BU1" s="15" t="s">
        <v>161</v>
      </c>
      <c r="BV1" s="15" t="s">
        <v>140</v>
      </c>
      <c r="BW1" s="15" t="s">
        <v>162</v>
      </c>
      <c r="BX1" s="15" t="s">
        <v>163</v>
      </c>
      <c r="BY1" s="15" t="s">
        <v>164</v>
      </c>
      <c r="BZ1" s="15" t="s">
        <v>165</v>
      </c>
      <c r="CA1" s="15" t="s">
        <v>190</v>
      </c>
      <c r="CB1" s="15" t="s">
        <v>219</v>
      </c>
      <c r="CC1" s="15" t="s">
        <v>225</v>
      </c>
      <c r="CD1" s="15" t="s">
        <v>226</v>
      </c>
      <c r="CE1" s="15" t="s">
        <v>118</v>
      </c>
      <c r="CF1" s="15" t="s">
        <v>122</v>
      </c>
      <c r="CG1" s="15" t="s">
        <v>123</v>
      </c>
      <c r="CH1" s="15" t="s">
        <v>124</v>
      </c>
      <c r="CI1" s="15" t="s">
        <v>220</v>
      </c>
      <c r="CJ1" s="15" t="s">
        <v>220</v>
      </c>
    </row>
    <row r="2" spans="1:88" x14ac:dyDescent="0.25">
      <c r="A2" t="s">
        <v>239</v>
      </c>
      <c r="B2" t="s">
        <v>241</v>
      </c>
      <c r="C2" t="s">
        <v>242</v>
      </c>
      <c r="D2" t="s">
        <v>247</v>
      </c>
      <c r="E2" t="s">
        <v>249</v>
      </c>
      <c r="F2" t="s">
        <v>251</v>
      </c>
      <c r="G2" t="s">
        <v>256</v>
      </c>
      <c r="H2" t="s">
        <v>257</v>
      </c>
      <c r="I2" t="s">
        <v>258</v>
      </c>
      <c r="J2" t="s">
        <v>262</v>
      </c>
      <c r="K2" t="s">
        <v>279</v>
      </c>
      <c r="L2" t="s">
        <v>281</v>
      </c>
      <c r="M2" t="s">
        <v>283</v>
      </c>
      <c r="N2" t="s">
        <v>284</v>
      </c>
      <c r="O2" t="s">
        <v>285</v>
      </c>
      <c r="P2" t="s">
        <v>286</v>
      </c>
      <c r="Q2" t="s">
        <v>287</v>
      </c>
      <c r="R2" t="s">
        <v>288</v>
      </c>
      <c r="S2" t="s">
        <v>289</v>
      </c>
      <c r="T2" t="s">
        <v>290</v>
      </c>
      <c r="U2" t="s">
        <v>291</v>
      </c>
      <c r="V2" t="s">
        <v>292</v>
      </c>
      <c r="W2" t="s">
        <v>293</v>
      </c>
      <c r="X2" t="s">
        <v>294</v>
      </c>
      <c r="Y2" t="s">
        <v>295</v>
      </c>
      <c r="Z2" t="s">
        <v>296</v>
      </c>
      <c r="AA2" t="s">
        <v>297</v>
      </c>
      <c r="AB2" t="s">
        <v>298</v>
      </c>
      <c r="AC2" t="s">
        <v>299</v>
      </c>
      <c r="AD2" t="s">
        <v>300</v>
      </c>
      <c r="AE2" t="s">
        <v>301</v>
      </c>
      <c r="AF2" t="s">
        <v>303</v>
      </c>
      <c r="AG2" t="s">
        <v>304</v>
      </c>
      <c r="AH2" t="s">
        <v>305</v>
      </c>
      <c r="AI2" t="s">
        <v>306</v>
      </c>
      <c r="AJ2" t="s">
        <v>307</v>
      </c>
      <c r="AK2" t="s">
        <v>308</v>
      </c>
      <c r="AL2" s="15" t="s">
        <v>309</v>
      </c>
      <c r="AM2" s="15" t="s">
        <v>310</v>
      </c>
      <c r="AN2" s="15" t="s">
        <v>311</v>
      </c>
      <c r="AO2" s="15" t="s">
        <v>312</v>
      </c>
      <c r="AP2" s="15" t="s">
        <v>313</v>
      </c>
      <c r="AQ2" s="15" t="s">
        <v>314</v>
      </c>
      <c r="AR2" s="15" t="s">
        <v>315</v>
      </c>
      <c r="AS2" s="15" t="s">
        <v>316</v>
      </c>
      <c r="AT2" s="15" t="s">
        <v>317</v>
      </c>
      <c r="AU2" s="15" t="s">
        <v>319</v>
      </c>
      <c r="AV2" s="15" t="s">
        <v>320</v>
      </c>
      <c r="AW2" s="15" t="s">
        <v>321</v>
      </c>
      <c r="AX2" s="15" t="s">
        <v>322</v>
      </c>
      <c r="AY2" s="15" t="s">
        <v>323</v>
      </c>
      <c r="AZ2" s="15" t="s">
        <v>349</v>
      </c>
      <c r="BA2" s="15" t="s">
        <v>324</v>
      </c>
      <c r="BB2" t="s">
        <v>325</v>
      </c>
      <c r="BC2" s="15" t="s">
        <v>326</v>
      </c>
      <c r="BD2" s="15" t="s">
        <v>327</v>
      </c>
      <c r="BE2" s="15" t="s">
        <v>328</v>
      </c>
      <c r="BF2" s="15" t="s">
        <v>329</v>
      </c>
      <c r="BG2" s="15" t="s">
        <v>330</v>
      </c>
      <c r="BH2" s="15" t="s">
        <v>331</v>
      </c>
      <c r="BI2" s="15" t="s">
        <v>332</v>
      </c>
      <c r="BJ2" s="15" t="s">
        <v>333</v>
      </c>
      <c r="BK2" s="15" t="s">
        <v>334</v>
      </c>
      <c r="BL2" s="15" t="s">
        <v>335</v>
      </c>
      <c r="BM2" t="s">
        <v>336</v>
      </c>
      <c r="BO2" s="15" t="s">
        <v>337</v>
      </c>
      <c r="BP2" t="s">
        <v>338</v>
      </c>
      <c r="BQ2" s="15" t="s">
        <v>339</v>
      </c>
      <c r="BR2" s="15" t="s">
        <v>340</v>
      </c>
      <c r="BS2" s="15" t="s">
        <v>341</v>
      </c>
      <c r="BT2" s="15" t="s">
        <v>342</v>
      </c>
      <c r="BU2" s="15" t="s">
        <v>343</v>
      </c>
      <c r="BV2" s="15" t="s">
        <v>344</v>
      </c>
      <c r="CA2" s="15" t="s">
        <v>345</v>
      </c>
      <c r="CB2" s="15" t="s">
        <v>346</v>
      </c>
      <c r="CC2" s="15" t="s">
        <v>347</v>
      </c>
      <c r="CD2" s="15" t="s">
        <v>348</v>
      </c>
      <c r="CE2" s="15" t="s">
        <v>350</v>
      </c>
      <c r="CF2" s="15" t="s">
        <v>351</v>
      </c>
      <c r="CG2" s="15" t="s">
        <v>352</v>
      </c>
      <c r="CH2" s="15" t="s">
        <v>353</v>
      </c>
      <c r="CI2" s="15" t="s">
        <v>353</v>
      </c>
      <c r="CJ2" s="15" t="s">
        <v>354</v>
      </c>
    </row>
    <row r="3" spans="1:88" x14ac:dyDescent="0.25">
      <c r="A3" t="s">
        <v>240</v>
      </c>
      <c r="C3" t="s">
        <v>243</v>
      </c>
      <c r="D3" t="s">
        <v>248</v>
      </c>
      <c r="E3" t="s">
        <v>250</v>
      </c>
      <c r="F3" t="s">
        <v>252</v>
      </c>
      <c r="I3" t="s">
        <v>259</v>
      </c>
      <c r="J3" t="s">
        <v>263</v>
      </c>
      <c r="K3" t="s">
        <v>280</v>
      </c>
      <c r="L3" t="s">
        <v>282</v>
      </c>
      <c r="AE3" t="s">
        <v>302</v>
      </c>
      <c r="AT3" t="s">
        <v>318</v>
      </c>
    </row>
    <row r="4" spans="1:88" x14ac:dyDescent="0.25">
      <c r="C4" t="s">
        <v>244</v>
      </c>
      <c r="F4" t="s">
        <v>253</v>
      </c>
      <c r="I4" t="s">
        <v>260</v>
      </c>
      <c r="J4" t="s">
        <v>264</v>
      </c>
    </row>
    <row r="5" spans="1:88" x14ac:dyDescent="0.25">
      <c r="C5" t="s">
        <v>245</v>
      </c>
      <c r="F5" t="s">
        <v>254</v>
      </c>
      <c r="I5" t="s">
        <v>261</v>
      </c>
      <c r="J5" t="s">
        <v>265</v>
      </c>
    </row>
    <row r="6" spans="1:88" x14ac:dyDescent="0.25">
      <c r="C6" t="s">
        <v>246</v>
      </c>
      <c r="F6" t="s">
        <v>255</v>
      </c>
      <c r="J6" t="s">
        <v>266</v>
      </c>
    </row>
    <row r="7" spans="1:88" x14ac:dyDescent="0.25">
      <c r="J7" t="s">
        <v>267</v>
      </c>
    </row>
    <row r="8" spans="1:88" x14ac:dyDescent="0.25">
      <c r="J8" t="s">
        <v>268</v>
      </c>
    </row>
    <row r="9" spans="1:88" x14ac:dyDescent="0.25">
      <c r="J9" t="s">
        <v>269</v>
      </c>
    </row>
    <row r="10" spans="1:88" x14ac:dyDescent="0.25">
      <c r="J10" t="s">
        <v>270</v>
      </c>
    </row>
    <row r="11" spans="1:88" x14ac:dyDescent="0.25">
      <c r="J11" t="s">
        <v>271</v>
      </c>
    </row>
    <row r="12" spans="1:88" x14ac:dyDescent="0.25">
      <c r="J12" t="s">
        <v>272</v>
      </c>
    </row>
    <row r="13" spans="1:88" x14ac:dyDescent="0.25">
      <c r="J13" t="s">
        <v>273</v>
      </c>
    </row>
    <row r="14" spans="1:88" x14ac:dyDescent="0.25">
      <c r="J14" t="s">
        <v>274</v>
      </c>
    </row>
    <row r="15" spans="1:88" x14ac:dyDescent="0.25">
      <c r="J15" t="s">
        <v>275</v>
      </c>
    </row>
    <row r="16" spans="1:88" x14ac:dyDescent="0.25">
      <c r="J16" t="s">
        <v>276</v>
      </c>
    </row>
    <row r="17" spans="10:10" x14ac:dyDescent="0.25">
      <c r="J17" t="s">
        <v>277</v>
      </c>
    </row>
    <row r="18" spans="10:10" x14ac:dyDescent="0.25">
      <c r="J18" t="s">
        <v>278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92D050"/>
  </sheetPr>
  <dimension ref="A1:AS1509"/>
  <sheetViews>
    <sheetView zoomScaleNormal="100" workbookViewId="0">
      <pane xSplit="3" ySplit="1" topLeftCell="F2" activePane="bottomRight" state="frozen"/>
      <selection pane="topRight" activeCell="C1" sqref="C1"/>
      <selection pane="bottomLeft" activeCell="A2" sqref="A2"/>
      <selection pane="bottomRight" activeCell="A1213" sqref="A1213"/>
    </sheetView>
  </sheetViews>
  <sheetFormatPr baseColWidth="10" defaultColWidth="9.19921875" defaultRowHeight="20" x14ac:dyDescent="0.3"/>
  <cols>
    <col min="1" max="1" width="23.59765625" style="22" customWidth="1"/>
    <col min="2" max="2" width="32" style="22" customWidth="1"/>
    <col min="3" max="3" width="7.19921875" style="22" customWidth="1"/>
    <col min="4" max="20" width="8.796875" style="22" customWidth="1"/>
    <col min="21" max="21" width="9.796875" style="22" customWidth="1"/>
    <col min="22" max="23" width="8.796875" style="22" customWidth="1"/>
    <col min="24" max="24" width="4.59765625" style="22" customWidth="1"/>
    <col min="25" max="25" width="10.19921875" style="22" bestFit="1" customWidth="1"/>
    <col min="26" max="16384" width="9.19921875" style="22"/>
  </cols>
  <sheetData>
    <row r="1" spans="1:45" s="19" customFormat="1" ht="21" thickBot="1" x14ac:dyDescent="0.35">
      <c r="A1" s="19" t="s">
        <v>309</v>
      </c>
      <c r="B1" s="67" t="s">
        <v>34</v>
      </c>
      <c r="C1" s="68"/>
      <c r="D1" s="17" t="s">
        <v>5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10</v>
      </c>
      <c r="J1" s="18" t="s">
        <v>11</v>
      </c>
      <c r="K1" s="18" t="s">
        <v>12</v>
      </c>
      <c r="L1" s="18" t="s">
        <v>13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397" t="s">
        <v>21</v>
      </c>
      <c r="U1" s="397" t="s">
        <v>22</v>
      </c>
      <c r="V1" s="397" t="s">
        <v>23</v>
      </c>
      <c r="W1" s="18" t="s">
        <v>166</v>
      </c>
      <c r="Y1" s="19" t="s">
        <v>5</v>
      </c>
      <c r="Z1" s="19" t="s">
        <v>6</v>
      </c>
      <c r="AA1" s="19" t="s">
        <v>7</v>
      </c>
      <c r="AB1" s="19" t="s">
        <v>8</v>
      </c>
      <c r="AC1" s="19" t="s">
        <v>9</v>
      </c>
      <c r="AD1" s="19" t="s">
        <v>10</v>
      </c>
      <c r="AE1" s="19" t="s">
        <v>11</v>
      </c>
      <c r="AF1" s="19" t="s">
        <v>12</v>
      </c>
      <c r="AG1" s="19" t="s">
        <v>13</v>
      </c>
      <c r="AH1" s="19" t="s">
        <v>14</v>
      </c>
      <c r="AI1" s="19" t="s">
        <v>15</v>
      </c>
      <c r="AJ1" s="19" t="s">
        <v>16</v>
      </c>
      <c r="AK1" s="19" t="s">
        <v>17</v>
      </c>
      <c r="AL1" s="19" t="s">
        <v>18</v>
      </c>
      <c r="AM1" s="19" t="s">
        <v>19</v>
      </c>
      <c r="AN1" s="19" t="s">
        <v>20</v>
      </c>
      <c r="AO1" s="19" t="s">
        <v>21</v>
      </c>
      <c r="AP1" s="19" t="s">
        <v>22</v>
      </c>
      <c r="AQ1" s="19" t="s">
        <v>23</v>
      </c>
      <c r="AR1" s="19" t="s">
        <v>166</v>
      </c>
    </row>
    <row r="2" spans="1:45" x14ac:dyDescent="0.3">
      <c r="B2" s="54" t="s">
        <v>50</v>
      </c>
      <c r="C2" s="55"/>
      <c r="D2" s="20">
        <v>175</v>
      </c>
      <c r="E2" s="21">
        <f>D2</f>
        <v>175</v>
      </c>
      <c r="F2" s="21">
        <f>D2</f>
        <v>175</v>
      </c>
      <c r="G2" s="21">
        <f>D2</f>
        <v>175</v>
      </c>
      <c r="H2" s="21">
        <f>E2</f>
        <v>175</v>
      </c>
      <c r="I2" s="21">
        <f>D2</f>
        <v>175</v>
      </c>
      <c r="J2" s="21">
        <f>D2</f>
        <v>175</v>
      </c>
      <c r="K2" s="21">
        <f>D2</f>
        <v>175</v>
      </c>
      <c r="L2" s="21">
        <f>D2</f>
        <v>175</v>
      </c>
      <c r="M2" s="21">
        <f>D2</f>
        <v>175</v>
      </c>
      <c r="N2" s="21">
        <f>D2</f>
        <v>175</v>
      </c>
      <c r="O2" s="21">
        <f>D2</f>
        <v>175</v>
      </c>
      <c r="P2" s="21">
        <f>D2</f>
        <v>175</v>
      </c>
      <c r="Q2" s="21">
        <f>D2</f>
        <v>175</v>
      </c>
      <c r="R2" s="21">
        <f>D2</f>
        <v>175</v>
      </c>
      <c r="S2" s="21">
        <f>D2</f>
        <v>175</v>
      </c>
      <c r="T2" s="21"/>
      <c r="U2" s="21"/>
      <c r="V2" s="21"/>
      <c r="W2" s="21">
        <f>J2</f>
        <v>175</v>
      </c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90"/>
      <c r="AO2" s="390"/>
      <c r="AP2" s="390"/>
      <c r="AQ2" s="390"/>
      <c r="AR2" s="390"/>
      <c r="AS2" s="390"/>
    </row>
    <row r="3" spans="1:45" x14ac:dyDescent="0.3">
      <c r="B3" s="54" t="s">
        <v>51</v>
      </c>
      <c r="C3" s="55"/>
      <c r="D3" s="383">
        <v>0.26</v>
      </c>
      <c r="E3" s="383">
        <f>D3</f>
        <v>0.26</v>
      </c>
      <c r="F3" s="383">
        <f>D3</f>
        <v>0.26</v>
      </c>
      <c r="G3" s="383">
        <f>D3</f>
        <v>0.26</v>
      </c>
      <c r="H3" s="383">
        <f>D3</f>
        <v>0.26</v>
      </c>
      <c r="I3" s="383">
        <f>D3</f>
        <v>0.26</v>
      </c>
      <c r="J3" s="383">
        <f>D3</f>
        <v>0.26</v>
      </c>
      <c r="K3" s="383">
        <f>D3</f>
        <v>0.26</v>
      </c>
      <c r="L3" s="383">
        <f>D3</f>
        <v>0.26</v>
      </c>
      <c r="M3" s="383">
        <f>D3</f>
        <v>0.26</v>
      </c>
      <c r="N3" s="383">
        <f>D3</f>
        <v>0.26</v>
      </c>
      <c r="O3" s="383">
        <f>D3</f>
        <v>0.26</v>
      </c>
      <c r="P3" s="383">
        <f>D3</f>
        <v>0.26</v>
      </c>
      <c r="Q3" s="383">
        <f>D3</f>
        <v>0.26</v>
      </c>
      <c r="R3" s="383">
        <f>D3</f>
        <v>0.26</v>
      </c>
      <c r="S3" s="383">
        <f>D3</f>
        <v>0.26</v>
      </c>
      <c r="T3" s="382"/>
      <c r="U3" s="382"/>
      <c r="V3" s="382"/>
      <c r="W3" s="383">
        <f>J3</f>
        <v>0.26</v>
      </c>
      <c r="Y3" s="390"/>
      <c r="Z3" s="390"/>
      <c r="AA3" s="390"/>
      <c r="AB3" s="390"/>
      <c r="AC3" s="390"/>
      <c r="AD3" s="390"/>
      <c r="AE3" s="390"/>
      <c r="AF3" s="390"/>
      <c r="AG3" s="390"/>
      <c r="AH3" s="390"/>
      <c r="AI3" s="390"/>
      <c r="AJ3" s="390"/>
      <c r="AK3" s="390"/>
      <c r="AL3" s="390"/>
      <c r="AM3" s="390"/>
      <c r="AN3" s="390"/>
      <c r="AO3" s="390"/>
      <c r="AP3" s="390"/>
      <c r="AQ3" s="390"/>
      <c r="AR3" s="390"/>
      <c r="AS3" s="390"/>
    </row>
    <row r="4" spans="1:45" x14ac:dyDescent="0.3">
      <c r="B4" s="54" t="s">
        <v>56</v>
      </c>
      <c r="C4" s="55"/>
      <c r="D4" s="24">
        <v>0</v>
      </c>
      <c r="E4" s="24">
        <v>0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0</v>
      </c>
      <c r="M4" s="21">
        <v>0</v>
      </c>
      <c r="N4" s="21">
        <v>0</v>
      </c>
      <c r="O4" s="21">
        <v>0</v>
      </c>
      <c r="P4" s="21">
        <v>0</v>
      </c>
      <c r="Q4" s="21">
        <v>0</v>
      </c>
      <c r="R4" s="21">
        <v>0</v>
      </c>
      <c r="S4" s="21">
        <v>0</v>
      </c>
      <c r="T4" s="21"/>
      <c r="U4" s="21"/>
      <c r="V4" s="21"/>
      <c r="W4" s="21">
        <v>0</v>
      </c>
      <c r="Y4" s="390"/>
      <c r="Z4" s="390"/>
      <c r="AA4" s="390"/>
      <c r="AB4" s="390"/>
      <c r="AC4" s="390"/>
      <c r="AD4" s="390"/>
      <c r="AE4" s="390"/>
      <c r="AF4" s="390"/>
      <c r="AG4" s="390"/>
      <c r="AH4" s="390"/>
      <c r="AI4" s="390"/>
      <c r="AJ4" s="390"/>
      <c r="AK4" s="390"/>
      <c r="AL4" s="390"/>
      <c r="AM4" s="390"/>
      <c r="AN4" s="390"/>
      <c r="AO4" s="390"/>
      <c r="AP4" s="390"/>
      <c r="AQ4" s="390"/>
      <c r="AR4" s="390"/>
      <c r="AS4" s="390"/>
    </row>
    <row r="5" spans="1:45" x14ac:dyDescent="0.3">
      <c r="B5" s="177" t="s">
        <v>67</v>
      </c>
      <c r="C5" s="178"/>
      <c r="D5" s="323">
        <f>D2-(D2*D3)</f>
        <v>129.5</v>
      </c>
      <c r="E5" s="323">
        <f t="shared" ref="E5:S5" si="0">E2-(E2*E3)</f>
        <v>129.5</v>
      </c>
      <c r="F5" s="323">
        <f t="shared" si="0"/>
        <v>129.5</v>
      </c>
      <c r="G5" s="323">
        <f t="shared" si="0"/>
        <v>129.5</v>
      </c>
      <c r="H5" s="323">
        <f t="shared" si="0"/>
        <v>129.5</v>
      </c>
      <c r="I5" s="323">
        <f t="shared" si="0"/>
        <v>129.5</v>
      </c>
      <c r="J5" s="323">
        <f t="shared" si="0"/>
        <v>129.5</v>
      </c>
      <c r="K5" s="323">
        <f t="shared" si="0"/>
        <v>129.5</v>
      </c>
      <c r="L5" s="323">
        <f t="shared" si="0"/>
        <v>129.5</v>
      </c>
      <c r="M5" s="323">
        <f t="shared" si="0"/>
        <v>129.5</v>
      </c>
      <c r="N5" s="323">
        <f t="shared" si="0"/>
        <v>129.5</v>
      </c>
      <c r="O5" s="323">
        <f t="shared" si="0"/>
        <v>129.5</v>
      </c>
      <c r="P5" s="323">
        <f t="shared" si="0"/>
        <v>129.5</v>
      </c>
      <c r="Q5" s="323">
        <f t="shared" si="0"/>
        <v>129.5</v>
      </c>
      <c r="R5" s="323">
        <f t="shared" si="0"/>
        <v>129.5</v>
      </c>
      <c r="S5" s="323">
        <f t="shared" si="0"/>
        <v>129.5</v>
      </c>
      <c r="T5" s="323">
        <v>141.71</v>
      </c>
      <c r="U5" s="323">
        <v>141.71</v>
      </c>
      <c r="V5" s="323">
        <v>141.71</v>
      </c>
      <c r="W5" s="323">
        <f>W2-(W2*W3)</f>
        <v>129.5</v>
      </c>
      <c r="Y5" s="390"/>
      <c r="Z5" s="390"/>
      <c r="AA5" s="390"/>
      <c r="AB5" s="390"/>
      <c r="AC5" s="390"/>
      <c r="AD5" s="390"/>
      <c r="AE5" s="390"/>
      <c r="AF5" s="390"/>
      <c r="AG5" s="390"/>
      <c r="AH5" s="390"/>
      <c r="AI5" s="390"/>
      <c r="AJ5" s="390"/>
      <c r="AK5" s="390"/>
      <c r="AL5" s="390"/>
      <c r="AM5" s="390"/>
      <c r="AN5" s="390"/>
      <c r="AO5" s="390"/>
      <c r="AP5" s="390"/>
      <c r="AQ5" s="390"/>
      <c r="AR5" s="390"/>
      <c r="AS5" s="390"/>
    </row>
    <row r="6" spans="1:45" x14ac:dyDescent="0.3">
      <c r="B6" s="54" t="s">
        <v>66</v>
      </c>
      <c r="C6" s="56">
        <v>7.0000000000000007E-2</v>
      </c>
      <c r="D6" s="24">
        <f>D5*$C6</f>
        <v>9.0650000000000013</v>
      </c>
      <c r="E6" s="24">
        <f t="shared" ref="E6:V6" si="1">E5*$C6</f>
        <v>9.0650000000000013</v>
      </c>
      <c r="F6" s="24">
        <f t="shared" si="1"/>
        <v>9.0650000000000013</v>
      </c>
      <c r="G6" s="24">
        <f t="shared" si="1"/>
        <v>9.0650000000000013</v>
      </c>
      <c r="H6" s="24">
        <f t="shared" si="1"/>
        <v>9.0650000000000013</v>
      </c>
      <c r="I6" s="24">
        <f t="shared" si="1"/>
        <v>9.0650000000000013</v>
      </c>
      <c r="J6" s="24">
        <f t="shared" si="1"/>
        <v>9.0650000000000013</v>
      </c>
      <c r="K6" s="24">
        <f t="shared" si="1"/>
        <v>9.0650000000000013</v>
      </c>
      <c r="L6" s="24">
        <f t="shared" si="1"/>
        <v>9.0650000000000013</v>
      </c>
      <c r="M6" s="24">
        <f t="shared" si="1"/>
        <v>9.0650000000000013</v>
      </c>
      <c r="N6" s="24">
        <f t="shared" si="1"/>
        <v>9.0650000000000013</v>
      </c>
      <c r="O6" s="24">
        <f t="shared" si="1"/>
        <v>9.0650000000000013</v>
      </c>
      <c r="P6" s="24">
        <f t="shared" si="1"/>
        <v>9.0650000000000013</v>
      </c>
      <c r="Q6" s="24">
        <f t="shared" si="1"/>
        <v>9.0650000000000013</v>
      </c>
      <c r="R6" s="24">
        <f t="shared" si="1"/>
        <v>9.0650000000000013</v>
      </c>
      <c r="S6" s="24">
        <f t="shared" si="1"/>
        <v>9.0650000000000013</v>
      </c>
      <c r="T6" s="24">
        <f t="shared" si="1"/>
        <v>9.9197000000000006</v>
      </c>
      <c r="U6" s="24">
        <f t="shared" si="1"/>
        <v>9.9197000000000006</v>
      </c>
      <c r="V6" s="24">
        <f t="shared" si="1"/>
        <v>9.9197000000000006</v>
      </c>
      <c r="W6" s="24">
        <f>W5*$C6</f>
        <v>9.0650000000000013</v>
      </c>
      <c r="Y6" s="390"/>
      <c r="Z6" s="390"/>
      <c r="AA6" s="390"/>
      <c r="AB6" s="390"/>
      <c r="AC6" s="390"/>
      <c r="AD6" s="390"/>
      <c r="AE6" s="390"/>
      <c r="AF6" s="390"/>
      <c r="AG6" s="390"/>
      <c r="AH6" s="390"/>
      <c r="AI6" s="390"/>
      <c r="AJ6" s="390"/>
      <c r="AK6" s="390"/>
      <c r="AL6" s="390"/>
      <c r="AM6" s="390"/>
      <c r="AN6" s="390"/>
      <c r="AO6" s="390"/>
      <c r="AP6" s="390"/>
      <c r="AQ6" s="390"/>
      <c r="AR6" s="390"/>
      <c r="AS6" s="390"/>
    </row>
    <row r="7" spans="1:45" x14ac:dyDescent="0.3">
      <c r="B7" s="54" t="s">
        <v>68</v>
      </c>
      <c r="C7" s="55"/>
      <c r="D7" s="21">
        <f>D5+D6</f>
        <v>138.565</v>
      </c>
      <c r="E7" s="21">
        <f t="shared" ref="E7:S7" si="2">E5+E6</f>
        <v>138.565</v>
      </c>
      <c r="F7" s="21">
        <f t="shared" si="2"/>
        <v>138.565</v>
      </c>
      <c r="G7" s="21">
        <f t="shared" si="2"/>
        <v>138.565</v>
      </c>
      <c r="H7" s="21">
        <f t="shared" si="2"/>
        <v>138.565</v>
      </c>
      <c r="I7" s="21">
        <f t="shared" si="2"/>
        <v>138.565</v>
      </c>
      <c r="J7" s="21">
        <f t="shared" si="2"/>
        <v>138.565</v>
      </c>
      <c r="K7" s="21">
        <f t="shared" si="2"/>
        <v>138.565</v>
      </c>
      <c r="L7" s="21">
        <f t="shared" si="2"/>
        <v>138.565</v>
      </c>
      <c r="M7" s="21">
        <f t="shared" si="2"/>
        <v>138.565</v>
      </c>
      <c r="N7" s="21">
        <f t="shared" si="2"/>
        <v>138.565</v>
      </c>
      <c r="O7" s="21">
        <f t="shared" si="2"/>
        <v>138.565</v>
      </c>
      <c r="P7" s="21">
        <f t="shared" si="2"/>
        <v>138.565</v>
      </c>
      <c r="Q7" s="21">
        <f t="shared" si="2"/>
        <v>138.565</v>
      </c>
      <c r="R7" s="21">
        <f t="shared" si="2"/>
        <v>138.565</v>
      </c>
      <c r="S7" s="21">
        <f t="shared" si="2"/>
        <v>138.565</v>
      </c>
      <c r="T7" s="21">
        <f>T5+T6</f>
        <v>151.62970000000001</v>
      </c>
      <c r="U7" s="21">
        <f>U5+U6</f>
        <v>151.62970000000001</v>
      </c>
      <c r="V7" s="21">
        <f>V5+V6</f>
        <v>151.62970000000001</v>
      </c>
      <c r="W7" s="21">
        <f>W5+W6</f>
        <v>138.565</v>
      </c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</row>
    <row r="8" spans="1:45" x14ac:dyDescent="0.3">
      <c r="B8" s="54" t="s">
        <v>52</v>
      </c>
      <c r="C8" s="55"/>
      <c r="D8" s="387">
        <f>Y10</f>
        <v>6.9611111111111112</v>
      </c>
      <c r="E8" s="388">
        <f>Z10</f>
        <v>15.812222222222223</v>
      </c>
      <c r="F8" s="388">
        <f>AA10</f>
        <v>18.975000000000001</v>
      </c>
      <c r="G8" s="388">
        <f>AB10</f>
        <v>12.65</v>
      </c>
      <c r="H8" s="388">
        <f t="shared" ref="H8:S8" si="3">AC10</f>
        <v>6.7766666666666664</v>
      </c>
      <c r="I8" s="388">
        <f t="shared" si="3"/>
        <v>9.0355555555555558</v>
      </c>
      <c r="J8" s="388">
        <f t="shared" si="3"/>
        <v>14.005555555555556</v>
      </c>
      <c r="K8" s="388">
        <f t="shared" si="3"/>
        <v>11.475555555555555</v>
      </c>
      <c r="L8" s="388">
        <f t="shared" si="3"/>
        <v>13.553333333333333</v>
      </c>
      <c r="M8" s="388">
        <f t="shared" si="3"/>
        <v>6.5055555555555555</v>
      </c>
      <c r="N8" s="388">
        <f t="shared" si="3"/>
        <v>7.2288888888888891</v>
      </c>
      <c r="O8" s="388">
        <f t="shared" si="3"/>
        <v>16.989444444444445</v>
      </c>
      <c r="P8" s="388">
        <f t="shared" si="3"/>
        <v>6.5055555555555555</v>
      </c>
      <c r="Q8" s="388">
        <f t="shared" si="3"/>
        <v>6.5055555555555555</v>
      </c>
      <c r="R8" s="388">
        <f t="shared" si="3"/>
        <v>8.5838888888888896</v>
      </c>
      <c r="S8" s="388">
        <f t="shared" si="3"/>
        <v>8.1322222222222216</v>
      </c>
      <c r="T8" s="388">
        <f>AO10</f>
        <v>0</v>
      </c>
      <c r="U8" s="388">
        <f t="shared" ref="U8" si="4">AP10</f>
        <v>16.989444444444445</v>
      </c>
      <c r="V8" s="388">
        <f t="shared" ref="V8" si="5">AQ10</f>
        <v>0</v>
      </c>
      <c r="W8" s="388">
        <f t="shared" ref="W8" si="6">AR10</f>
        <v>6.5055555555555555</v>
      </c>
      <c r="X8" s="38"/>
      <c r="Y8" s="390">
        <v>12530</v>
      </c>
      <c r="Z8" s="390">
        <v>28462</v>
      </c>
      <c r="AA8" s="390">
        <v>34155</v>
      </c>
      <c r="AB8" s="390">
        <v>22770</v>
      </c>
      <c r="AC8" s="390">
        <v>12198</v>
      </c>
      <c r="AD8" s="390">
        <v>16264</v>
      </c>
      <c r="AE8" s="390">
        <v>25210</v>
      </c>
      <c r="AF8" s="390">
        <v>20656</v>
      </c>
      <c r="AG8" s="390">
        <v>24396</v>
      </c>
      <c r="AH8" s="390">
        <v>11710</v>
      </c>
      <c r="AI8" s="390">
        <v>13012</v>
      </c>
      <c r="AJ8" s="390">
        <v>30581</v>
      </c>
      <c r="AK8" s="396">
        <v>11710</v>
      </c>
      <c r="AL8" s="396">
        <v>11710</v>
      </c>
      <c r="AM8" s="390">
        <v>15451</v>
      </c>
      <c r="AN8" s="390">
        <v>14638</v>
      </c>
      <c r="AO8" s="390"/>
      <c r="AP8" s="396">
        <v>30581</v>
      </c>
      <c r="AQ8" s="390"/>
      <c r="AR8" s="396">
        <v>11710</v>
      </c>
      <c r="AS8" s="390"/>
    </row>
    <row r="9" spans="1:45" x14ac:dyDescent="0.3">
      <c r="B9" s="57" t="s">
        <v>53</v>
      </c>
      <c r="C9" s="58"/>
      <c r="D9" s="25">
        <f>SUM(D7:D8)</f>
        <v>145.52611111111111</v>
      </c>
      <c r="E9" s="26">
        <f t="shared" ref="E9:V9" si="7">SUM(E7:E8)</f>
        <v>154.37722222222223</v>
      </c>
      <c r="F9" s="26">
        <f t="shared" si="7"/>
        <v>157.54</v>
      </c>
      <c r="G9" s="26">
        <f t="shared" si="7"/>
        <v>151.215</v>
      </c>
      <c r="H9" s="26">
        <f>SUM(H7:H8)</f>
        <v>145.34166666666667</v>
      </c>
      <c r="I9" s="26">
        <f t="shared" si="7"/>
        <v>147.60055555555556</v>
      </c>
      <c r="J9" s="26">
        <f t="shared" si="7"/>
        <v>152.57055555555556</v>
      </c>
      <c r="K9" s="26">
        <f t="shared" si="7"/>
        <v>150.04055555555556</v>
      </c>
      <c r="L9" s="26">
        <f t="shared" si="7"/>
        <v>152.11833333333334</v>
      </c>
      <c r="M9" s="26">
        <f t="shared" si="7"/>
        <v>145.07055555555556</v>
      </c>
      <c r="N9" s="26">
        <f t="shared" si="7"/>
        <v>145.79388888888889</v>
      </c>
      <c r="O9" s="26">
        <f t="shared" si="7"/>
        <v>155.55444444444444</v>
      </c>
      <c r="P9" s="26">
        <f t="shared" si="7"/>
        <v>145.07055555555556</v>
      </c>
      <c r="Q9" s="26">
        <f t="shared" si="7"/>
        <v>145.07055555555556</v>
      </c>
      <c r="R9" s="26">
        <f t="shared" si="7"/>
        <v>147.14888888888888</v>
      </c>
      <c r="S9" s="26">
        <f t="shared" si="7"/>
        <v>146.69722222222222</v>
      </c>
      <c r="T9" s="26">
        <f t="shared" si="7"/>
        <v>151.62970000000001</v>
      </c>
      <c r="U9" s="26">
        <f t="shared" si="7"/>
        <v>168.61914444444446</v>
      </c>
      <c r="V9" s="26">
        <f t="shared" si="7"/>
        <v>151.62970000000001</v>
      </c>
      <c r="W9" s="26">
        <f>SUM(W7:W8)</f>
        <v>145.07055555555556</v>
      </c>
      <c r="Y9" s="390">
        <v>1800</v>
      </c>
      <c r="Z9" s="390">
        <v>1800</v>
      </c>
      <c r="AA9" s="390">
        <v>1800</v>
      </c>
      <c r="AB9" s="390">
        <v>1800</v>
      </c>
      <c r="AC9" s="390">
        <v>1800</v>
      </c>
      <c r="AD9" s="390">
        <v>1800</v>
      </c>
      <c r="AE9" s="390">
        <v>1800</v>
      </c>
      <c r="AF9" s="390">
        <v>1800</v>
      </c>
      <c r="AG9" s="390">
        <v>1800</v>
      </c>
      <c r="AH9" s="390">
        <v>1800</v>
      </c>
      <c r="AI9" s="390">
        <v>1800</v>
      </c>
      <c r="AJ9" s="390">
        <v>1800</v>
      </c>
      <c r="AK9" s="390">
        <v>1800</v>
      </c>
      <c r="AL9" s="390">
        <v>1800</v>
      </c>
      <c r="AM9" s="390">
        <v>1800</v>
      </c>
      <c r="AN9" s="390">
        <v>1800</v>
      </c>
      <c r="AO9" s="390"/>
      <c r="AP9" s="390">
        <v>1800</v>
      </c>
      <c r="AQ9" s="390"/>
      <c r="AR9" s="390">
        <v>1800</v>
      </c>
      <c r="AS9" s="390"/>
    </row>
    <row r="10" spans="1:45" x14ac:dyDescent="0.3">
      <c r="B10" s="54" t="s">
        <v>54</v>
      </c>
      <c r="C10" s="55"/>
      <c r="D10" s="20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Y10" s="389">
        <f>Y8/Y9</f>
        <v>6.9611111111111112</v>
      </c>
      <c r="Z10" s="389">
        <f t="shared" ref="Z10:AR10" si="8">Z8/Z9</f>
        <v>15.812222222222223</v>
      </c>
      <c r="AA10" s="389">
        <f t="shared" si="8"/>
        <v>18.975000000000001</v>
      </c>
      <c r="AB10" s="389">
        <f t="shared" si="8"/>
        <v>12.65</v>
      </c>
      <c r="AC10" s="389">
        <f t="shared" si="8"/>
        <v>6.7766666666666664</v>
      </c>
      <c r="AD10" s="389">
        <f t="shared" si="8"/>
        <v>9.0355555555555558</v>
      </c>
      <c r="AE10" s="389">
        <f t="shared" si="8"/>
        <v>14.005555555555556</v>
      </c>
      <c r="AF10" s="389">
        <f t="shared" si="8"/>
        <v>11.475555555555555</v>
      </c>
      <c r="AG10" s="389">
        <f t="shared" si="8"/>
        <v>13.553333333333333</v>
      </c>
      <c r="AH10" s="389">
        <f t="shared" si="8"/>
        <v>6.5055555555555555</v>
      </c>
      <c r="AI10" s="389">
        <f t="shared" si="8"/>
        <v>7.2288888888888891</v>
      </c>
      <c r="AJ10" s="389">
        <f t="shared" si="8"/>
        <v>16.989444444444445</v>
      </c>
      <c r="AK10" s="389">
        <f t="shared" si="8"/>
        <v>6.5055555555555555</v>
      </c>
      <c r="AL10" s="389">
        <f t="shared" si="8"/>
        <v>6.5055555555555555</v>
      </c>
      <c r="AM10" s="389">
        <f t="shared" si="8"/>
        <v>8.5838888888888896</v>
      </c>
      <c r="AN10" s="389">
        <f t="shared" si="8"/>
        <v>8.1322222222222216</v>
      </c>
      <c r="AO10" s="390"/>
      <c r="AP10" s="389">
        <f t="shared" si="8"/>
        <v>16.989444444444445</v>
      </c>
      <c r="AQ10" s="390"/>
      <c r="AR10" s="389">
        <f t="shared" si="8"/>
        <v>6.5055555555555555</v>
      </c>
      <c r="AS10" s="390"/>
    </row>
    <row r="11" spans="1:45" x14ac:dyDescent="0.3">
      <c r="B11" s="59" t="s">
        <v>55</v>
      </c>
      <c r="C11" s="60"/>
      <c r="D11" s="27">
        <f>D9+D10</f>
        <v>145.52611111111111</v>
      </c>
      <c r="E11" s="27">
        <f t="shared" ref="E11:V11" si="9">E9+E10</f>
        <v>154.37722222222223</v>
      </c>
      <c r="F11" s="27">
        <f t="shared" si="9"/>
        <v>157.54</v>
      </c>
      <c r="G11" s="27">
        <f t="shared" si="9"/>
        <v>151.215</v>
      </c>
      <c r="H11" s="27">
        <f t="shared" si="9"/>
        <v>145.34166666666667</v>
      </c>
      <c r="I11" s="27">
        <f t="shared" si="9"/>
        <v>147.60055555555556</v>
      </c>
      <c r="J11" s="27">
        <f t="shared" si="9"/>
        <v>152.57055555555556</v>
      </c>
      <c r="K11" s="27">
        <f t="shared" si="9"/>
        <v>150.04055555555556</v>
      </c>
      <c r="L11" s="27">
        <f t="shared" si="9"/>
        <v>152.11833333333334</v>
      </c>
      <c r="M11" s="27">
        <f t="shared" si="9"/>
        <v>145.07055555555556</v>
      </c>
      <c r="N11" s="27">
        <f t="shared" si="9"/>
        <v>145.79388888888889</v>
      </c>
      <c r="O11" s="27">
        <f t="shared" si="9"/>
        <v>155.55444444444444</v>
      </c>
      <c r="P11" s="27">
        <f t="shared" si="9"/>
        <v>145.07055555555556</v>
      </c>
      <c r="Q11" s="27">
        <f t="shared" si="9"/>
        <v>145.07055555555556</v>
      </c>
      <c r="R11" s="27">
        <f t="shared" si="9"/>
        <v>147.14888888888888</v>
      </c>
      <c r="S11" s="27">
        <f t="shared" si="9"/>
        <v>146.69722222222222</v>
      </c>
      <c r="T11" s="27">
        <f t="shared" si="9"/>
        <v>151.62970000000001</v>
      </c>
      <c r="U11" s="27">
        <f t="shared" si="9"/>
        <v>168.61914444444446</v>
      </c>
      <c r="V11" s="27">
        <f t="shared" si="9"/>
        <v>151.62970000000001</v>
      </c>
      <c r="W11" s="27">
        <f>W9+W10</f>
        <v>145.07055555555556</v>
      </c>
      <c r="Y11" s="390"/>
      <c r="Z11" s="390"/>
      <c r="AA11" s="390"/>
      <c r="AB11" s="390"/>
      <c r="AC11" s="390"/>
      <c r="AD11" s="390"/>
      <c r="AE11" s="390"/>
      <c r="AF11" s="390"/>
      <c r="AG11" s="390"/>
      <c r="AH11" s="390"/>
      <c r="AI11" s="390"/>
      <c r="AJ11" s="390"/>
      <c r="AK11" s="390"/>
      <c r="AL11" s="390"/>
      <c r="AM11" s="390"/>
      <c r="AN11" s="390"/>
      <c r="AO11" s="390"/>
      <c r="AP11" s="390"/>
      <c r="AQ11" s="390"/>
      <c r="AR11" s="390"/>
      <c r="AS11" s="390"/>
    </row>
    <row r="12" spans="1:45" x14ac:dyDescent="0.3">
      <c r="B12" s="61" t="s">
        <v>101</v>
      </c>
      <c r="C12" s="55"/>
      <c r="D12" s="43">
        <v>0</v>
      </c>
      <c r="E12" s="408">
        <v>0</v>
      </c>
      <c r="F12" s="408">
        <v>0</v>
      </c>
      <c r="G12" s="408">
        <v>0</v>
      </c>
      <c r="H12" s="408">
        <v>0</v>
      </c>
      <c r="I12" s="408">
        <v>0</v>
      </c>
      <c r="J12" s="408">
        <v>0</v>
      </c>
      <c r="K12" s="408">
        <v>0</v>
      </c>
      <c r="L12" s="408">
        <v>0</v>
      </c>
      <c r="M12" s="408">
        <v>0</v>
      </c>
      <c r="N12" s="408">
        <v>0</v>
      </c>
      <c r="O12" s="408">
        <v>0</v>
      </c>
      <c r="P12" s="408">
        <v>0</v>
      </c>
      <c r="Q12" s="408">
        <v>0</v>
      </c>
      <c r="R12" s="408">
        <v>0</v>
      </c>
      <c r="S12" s="408">
        <v>0</v>
      </c>
      <c r="T12" s="408">
        <v>0</v>
      </c>
      <c r="U12" s="408">
        <v>0</v>
      </c>
      <c r="V12" s="408">
        <v>0</v>
      </c>
      <c r="W12" s="408">
        <v>0</v>
      </c>
      <c r="Y12" s="409"/>
      <c r="Z12" s="409"/>
      <c r="AA12" s="409"/>
      <c r="AB12" s="409"/>
      <c r="AC12" s="409"/>
      <c r="AD12" s="409"/>
      <c r="AE12" s="409"/>
      <c r="AF12" s="409"/>
      <c r="AG12" s="409"/>
      <c r="AH12" s="409"/>
      <c r="AI12" s="409"/>
      <c r="AJ12" s="409"/>
      <c r="AK12" s="409"/>
      <c r="AL12" s="409"/>
      <c r="AM12" s="409"/>
      <c r="AN12" s="409"/>
      <c r="AO12" s="409"/>
      <c r="AP12" s="409"/>
      <c r="AQ12" s="409"/>
      <c r="AR12" s="409"/>
      <c r="AS12" s="409"/>
    </row>
    <row r="13" spans="1:45" x14ac:dyDescent="0.3">
      <c r="B13" s="61" t="s">
        <v>194</v>
      </c>
      <c r="C13" s="55"/>
      <c r="D13" s="20">
        <v>156</v>
      </c>
      <c r="E13" s="21">
        <v>165</v>
      </c>
      <c r="F13" s="21">
        <v>168</v>
      </c>
      <c r="G13" s="21">
        <v>162</v>
      </c>
      <c r="H13" s="21">
        <v>156</v>
      </c>
      <c r="I13" s="21">
        <v>158</v>
      </c>
      <c r="J13" s="21">
        <v>163</v>
      </c>
      <c r="K13" s="21">
        <v>161</v>
      </c>
      <c r="L13" s="21">
        <v>163</v>
      </c>
      <c r="M13" s="21">
        <v>156</v>
      </c>
      <c r="N13" s="21">
        <v>156</v>
      </c>
      <c r="O13" s="21">
        <v>166</v>
      </c>
      <c r="P13" s="21">
        <v>156</v>
      </c>
      <c r="Q13" s="21">
        <v>156</v>
      </c>
      <c r="R13" s="21">
        <v>158</v>
      </c>
      <c r="S13" s="21">
        <v>157</v>
      </c>
      <c r="T13" s="21">
        <v>162</v>
      </c>
      <c r="U13" s="21">
        <v>179</v>
      </c>
      <c r="V13" s="21">
        <v>162</v>
      </c>
      <c r="W13" s="21">
        <v>156</v>
      </c>
      <c r="Y13" s="390"/>
      <c r="Z13" s="390"/>
      <c r="AA13" s="390"/>
      <c r="AB13" s="390"/>
      <c r="AC13" s="390"/>
      <c r="AD13" s="390"/>
      <c r="AE13" s="390"/>
      <c r="AF13" s="390"/>
      <c r="AG13" s="390"/>
      <c r="AH13" s="390"/>
      <c r="AI13" s="390"/>
      <c r="AJ13" s="390"/>
      <c r="AK13" s="390"/>
      <c r="AL13" s="390"/>
      <c r="AM13" s="390"/>
      <c r="AN13" s="390"/>
      <c r="AO13" s="390"/>
      <c r="AP13" s="390"/>
      <c r="AQ13" s="390"/>
      <c r="AR13" s="390"/>
      <c r="AS13" s="390"/>
    </row>
    <row r="14" spans="1:45" x14ac:dyDescent="0.3">
      <c r="B14" s="61" t="s">
        <v>195</v>
      </c>
      <c r="C14" s="55"/>
      <c r="D14" s="106">
        <v>159</v>
      </c>
      <c r="E14" s="21">
        <v>168</v>
      </c>
      <c r="F14" s="21">
        <v>171</v>
      </c>
      <c r="G14" s="21">
        <v>165</v>
      </c>
      <c r="H14" s="21">
        <v>159</v>
      </c>
      <c r="I14" s="21">
        <v>161</v>
      </c>
      <c r="J14" s="21">
        <v>166</v>
      </c>
      <c r="K14" s="21">
        <v>164</v>
      </c>
      <c r="L14" s="21">
        <v>166</v>
      </c>
      <c r="M14" s="21">
        <v>159</v>
      </c>
      <c r="N14" s="21">
        <v>159</v>
      </c>
      <c r="O14" s="21">
        <v>169</v>
      </c>
      <c r="P14" s="21">
        <v>159</v>
      </c>
      <c r="Q14" s="21">
        <v>159</v>
      </c>
      <c r="R14" s="21">
        <v>161</v>
      </c>
      <c r="S14" s="21">
        <v>160</v>
      </c>
      <c r="T14" s="21">
        <v>165</v>
      </c>
      <c r="U14" s="21">
        <v>182</v>
      </c>
      <c r="V14" s="21">
        <v>165</v>
      </c>
      <c r="W14" s="21">
        <v>159</v>
      </c>
      <c r="Y14" s="390"/>
      <c r="Z14" s="390"/>
      <c r="AA14" s="390"/>
      <c r="AB14" s="390"/>
      <c r="AC14" s="390"/>
      <c r="AD14" s="390"/>
      <c r="AE14" s="390"/>
      <c r="AF14" s="390"/>
      <c r="AG14" s="390"/>
      <c r="AH14" s="390"/>
      <c r="AI14" s="390"/>
      <c r="AJ14" s="390"/>
      <c r="AK14" s="390"/>
      <c r="AL14" s="390"/>
      <c r="AM14" s="390"/>
      <c r="AN14" s="390"/>
      <c r="AO14" s="390"/>
      <c r="AP14" s="390"/>
      <c r="AQ14" s="390"/>
      <c r="AR14" s="390"/>
      <c r="AS14" s="390"/>
    </row>
    <row r="15" spans="1:45" s="30" customFormat="1" x14ac:dyDescent="0.3">
      <c r="B15" s="61" t="s">
        <v>196</v>
      </c>
      <c r="C15" s="62"/>
      <c r="D15" s="28">
        <v>161</v>
      </c>
      <c r="E15" s="29">
        <v>170</v>
      </c>
      <c r="F15" s="29">
        <v>173</v>
      </c>
      <c r="G15" s="29">
        <v>167</v>
      </c>
      <c r="H15" s="29">
        <v>161</v>
      </c>
      <c r="I15" s="29">
        <v>163</v>
      </c>
      <c r="J15" s="29">
        <v>168</v>
      </c>
      <c r="K15" s="29">
        <v>166</v>
      </c>
      <c r="L15" s="29">
        <v>168</v>
      </c>
      <c r="M15" s="29">
        <v>161</v>
      </c>
      <c r="N15" s="29">
        <v>161</v>
      </c>
      <c r="O15" s="29">
        <v>171</v>
      </c>
      <c r="P15" s="29">
        <v>161</v>
      </c>
      <c r="Q15" s="29">
        <v>161</v>
      </c>
      <c r="R15" s="29">
        <v>163</v>
      </c>
      <c r="S15" s="29">
        <v>162</v>
      </c>
      <c r="T15" s="29">
        <v>167</v>
      </c>
      <c r="U15" s="29">
        <v>184</v>
      </c>
      <c r="V15" s="29">
        <v>167</v>
      </c>
      <c r="W15" s="29">
        <v>161</v>
      </c>
      <c r="Y15" s="391"/>
      <c r="Z15" s="391"/>
      <c r="AA15" s="391"/>
      <c r="AB15" s="391"/>
      <c r="AC15" s="391"/>
      <c r="AD15" s="391"/>
      <c r="AE15" s="391"/>
      <c r="AF15" s="391"/>
      <c r="AG15" s="391"/>
      <c r="AH15" s="391"/>
      <c r="AI15" s="391"/>
      <c r="AJ15" s="391"/>
      <c r="AK15" s="391"/>
      <c r="AL15" s="391"/>
      <c r="AM15" s="391"/>
      <c r="AN15" s="391"/>
      <c r="AO15" s="391"/>
      <c r="AP15" s="391"/>
      <c r="AQ15" s="391"/>
      <c r="AR15" s="391"/>
      <c r="AS15" s="391"/>
    </row>
    <row r="16" spans="1:45" s="30" customFormat="1" x14ac:dyDescent="0.3">
      <c r="B16" s="61" t="s">
        <v>197</v>
      </c>
      <c r="C16" s="62"/>
      <c r="D16" s="28">
        <v>163</v>
      </c>
      <c r="E16" s="28">
        <v>172</v>
      </c>
      <c r="F16" s="28">
        <v>175</v>
      </c>
      <c r="G16" s="28">
        <v>169</v>
      </c>
      <c r="H16" s="28">
        <v>163</v>
      </c>
      <c r="I16" s="28">
        <v>165</v>
      </c>
      <c r="J16" s="28">
        <v>170</v>
      </c>
      <c r="K16" s="28">
        <v>168</v>
      </c>
      <c r="L16" s="28">
        <v>170</v>
      </c>
      <c r="M16" s="28">
        <v>163</v>
      </c>
      <c r="N16" s="28">
        <v>163</v>
      </c>
      <c r="O16" s="28">
        <v>173</v>
      </c>
      <c r="P16" s="28">
        <v>163</v>
      </c>
      <c r="Q16" s="28">
        <v>163</v>
      </c>
      <c r="R16" s="28">
        <v>165</v>
      </c>
      <c r="S16" s="28">
        <v>164</v>
      </c>
      <c r="T16" s="28">
        <v>169</v>
      </c>
      <c r="U16" s="28">
        <v>186</v>
      </c>
      <c r="V16" s="28">
        <v>169</v>
      </c>
      <c r="W16" s="28">
        <v>163</v>
      </c>
      <c r="Y16" s="391"/>
      <c r="Z16" s="391"/>
      <c r="AA16" s="391"/>
      <c r="AB16" s="391"/>
      <c r="AC16" s="391"/>
      <c r="AD16" s="391"/>
      <c r="AE16" s="391"/>
      <c r="AF16" s="391"/>
      <c r="AG16" s="391"/>
      <c r="AH16" s="391"/>
      <c r="AI16" s="391"/>
      <c r="AJ16" s="391"/>
      <c r="AK16" s="391"/>
      <c r="AL16" s="391"/>
      <c r="AM16" s="391"/>
      <c r="AN16" s="391"/>
      <c r="AO16" s="391"/>
      <c r="AP16" s="391"/>
      <c r="AQ16" s="391"/>
      <c r="AR16" s="391"/>
      <c r="AS16" s="391"/>
    </row>
    <row r="17" spans="1:45" x14ac:dyDescent="0.3">
      <c r="B17" s="63" t="s">
        <v>103</v>
      </c>
      <c r="C17" s="55"/>
      <c r="D17" s="43">
        <v>0</v>
      </c>
      <c r="E17" s="408">
        <v>0</v>
      </c>
      <c r="F17" s="408">
        <v>0</v>
      </c>
      <c r="G17" s="408">
        <v>0</v>
      </c>
      <c r="H17" s="408">
        <v>0</v>
      </c>
      <c r="I17" s="408">
        <v>0</v>
      </c>
      <c r="J17" s="408">
        <v>0</v>
      </c>
      <c r="K17" s="408">
        <v>0</v>
      </c>
      <c r="L17" s="408">
        <v>0</v>
      </c>
      <c r="M17" s="408">
        <v>0</v>
      </c>
      <c r="N17" s="408">
        <v>0</v>
      </c>
      <c r="O17" s="408">
        <v>0</v>
      </c>
      <c r="P17" s="408">
        <v>0</v>
      </c>
      <c r="Q17" s="408">
        <v>0</v>
      </c>
      <c r="R17" s="408">
        <v>0</v>
      </c>
      <c r="S17" s="408">
        <v>0</v>
      </c>
      <c r="T17" s="408">
        <v>0</v>
      </c>
      <c r="U17" s="408">
        <v>0</v>
      </c>
      <c r="V17" s="408">
        <v>0</v>
      </c>
      <c r="W17" s="408">
        <v>0</v>
      </c>
      <c r="Y17" s="409"/>
      <c r="Z17" s="409"/>
      <c r="AA17" s="409"/>
      <c r="AB17" s="409"/>
      <c r="AC17" s="409"/>
      <c r="AD17" s="409"/>
      <c r="AE17" s="409"/>
      <c r="AF17" s="409"/>
      <c r="AG17" s="409"/>
      <c r="AH17" s="409"/>
      <c r="AI17" s="409"/>
      <c r="AJ17" s="409"/>
      <c r="AK17" s="409"/>
      <c r="AL17" s="409"/>
      <c r="AM17" s="409"/>
      <c r="AN17" s="409"/>
      <c r="AO17" s="409"/>
      <c r="AP17" s="409"/>
      <c r="AQ17" s="409"/>
      <c r="AR17" s="409"/>
      <c r="AS17" s="409"/>
    </row>
    <row r="18" spans="1:45" s="33" customFormat="1" x14ac:dyDescent="0.3">
      <c r="B18" s="63" t="s">
        <v>198</v>
      </c>
      <c r="C18" s="64"/>
      <c r="D18" s="31">
        <f>+D13-D$11</f>
        <v>10.473888888888894</v>
      </c>
      <c r="E18" s="32">
        <f t="shared" ref="E18:W18" si="10">+E13-E$11</f>
        <v>10.62277777777777</v>
      </c>
      <c r="F18" s="32">
        <f t="shared" si="10"/>
        <v>10.460000000000008</v>
      </c>
      <c r="G18" s="32">
        <f t="shared" si="10"/>
        <v>10.784999999999997</v>
      </c>
      <c r="H18" s="32">
        <f t="shared" si="10"/>
        <v>10.658333333333331</v>
      </c>
      <c r="I18" s="32">
        <f t="shared" si="10"/>
        <v>10.399444444444441</v>
      </c>
      <c r="J18" s="32">
        <f t="shared" si="10"/>
        <v>10.429444444444442</v>
      </c>
      <c r="K18" s="32">
        <f t="shared" si="10"/>
        <v>10.959444444444443</v>
      </c>
      <c r="L18" s="32">
        <f t="shared" si="10"/>
        <v>10.881666666666661</v>
      </c>
      <c r="M18" s="32">
        <f t="shared" si="10"/>
        <v>10.929444444444442</v>
      </c>
      <c r="N18" s="32">
        <f t="shared" si="10"/>
        <v>10.206111111111113</v>
      </c>
      <c r="O18" s="32">
        <f t="shared" si="10"/>
        <v>10.445555555555558</v>
      </c>
      <c r="P18" s="32">
        <f t="shared" si="10"/>
        <v>10.929444444444442</v>
      </c>
      <c r="Q18" s="32">
        <f t="shared" si="10"/>
        <v>10.929444444444442</v>
      </c>
      <c r="R18" s="32">
        <f t="shared" si="10"/>
        <v>10.851111111111123</v>
      </c>
      <c r="S18" s="32">
        <f t="shared" si="10"/>
        <v>10.302777777777777</v>
      </c>
      <c r="T18" s="32">
        <f t="shared" si="10"/>
        <v>10.370299999999986</v>
      </c>
      <c r="U18" s="32">
        <f t="shared" si="10"/>
        <v>10.380855555555542</v>
      </c>
      <c r="V18" s="32">
        <f t="shared" si="10"/>
        <v>10.370299999999986</v>
      </c>
      <c r="W18" s="32">
        <f t="shared" si="10"/>
        <v>10.929444444444442</v>
      </c>
      <c r="Y18" s="392"/>
      <c r="Z18" s="392"/>
      <c r="AA18" s="392"/>
      <c r="AB18" s="392"/>
      <c r="AC18" s="392"/>
      <c r="AD18" s="392"/>
      <c r="AE18" s="392"/>
      <c r="AF18" s="392"/>
      <c r="AG18" s="392"/>
      <c r="AH18" s="392"/>
      <c r="AI18" s="392"/>
      <c r="AJ18" s="392"/>
      <c r="AK18" s="392"/>
      <c r="AL18" s="392"/>
      <c r="AM18" s="392"/>
      <c r="AN18" s="392"/>
      <c r="AO18" s="392"/>
      <c r="AP18" s="392"/>
      <c r="AQ18" s="392"/>
      <c r="AR18" s="392"/>
      <c r="AS18" s="392"/>
    </row>
    <row r="19" spans="1:45" s="33" customFormat="1" x14ac:dyDescent="0.3">
      <c r="B19" s="63" t="s">
        <v>199</v>
      </c>
      <c r="C19" s="64"/>
      <c r="D19" s="31">
        <f t="shared" ref="D19:W19" si="11">+D14-D$11</f>
        <v>13.473888888888894</v>
      </c>
      <c r="E19" s="32">
        <f t="shared" si="11"/>
        <v>13.62277777777777</v>
      </c>
      <c r="F19" s="32">
        <f t="shared" si="11"/>
        <v>13.460000000000008</v>
      </c>
      <c r="G19" s="32">
        <f t="shared" si="11"/>
        <v>13.784999999999997</v>
      </c>
      <c r="H19" s="32">
        <f t="shared" si="11"/>
        <v>13.658333333333331</v>
      </c>
      <c r="I19" s="32">
        <f t="shared" si="11"/>
        <v>13.399444444444441</v>
      </c>
      <c r="J19" s="32">
        <f t="shared" si="11"/>
        <v>13.429444444444442</v>
      </c>
      <c r="K19" s="32">
        <f t="shared" si="11"/>
        <v>13.959444444444443</v>
      </c>
      <c r="L19" s="32">
        <f t="shared" si="11"/>
        <v>13.881666666666661</v>
      </c>
      <c r="M19" s="32">
        <f t="shared" si="11"/>
        <v>13.929444444444442</v>
      </c>
      <c r="N19" s="32">
        <f t="shared" si="11"/>
        <v>13.206111111111113</v>
      </c>
      <c r="O19" s="32">
        <f t="shared" si="11"/>
        <v>13.445555555555558</v>
      </c>
      <c r="P19" s="32">
        <f t="shared" si="11"/>
        <v>13.929444444444442</v>
      </c>
      <c r="Q19" s="32">
        <f t="shared" si="11"/>
        <v>13.929444444444442</v>
      </c>
      <c r="R19" s="32">
        <f t="shared" si="11"/>
        <v>13.851111111111123</v>
      </c>
      <c r="S19" s="32">
        <f t="shared" si="11"/>
        <v>13.302777777777777</v>
      </c>
      <c r="T19" s="32">
        <f t="shared" si="11"/>
        <v>13.370299999999986</v>
      </c>
      <c r="U19" s="32">
        <f t="shared" si="11"/>
        <v>13.380855555555542</v>
      </c>
      <c r="V19" s="32">
        <f t="shared" si="11"/>
        <v>13.370299999999986</v>
      </c>
      <c r="W19" s="32">
        <f t="shared" si="11"/>
        <v>13.929444444444442</v>
      </c>
      <c r="Y19" s="392"/>
      <c r="Z19" s="392"/>
      <c r="AA19" s="392"/>
      <c r="AB19" s="392"/>
      <c r="AC19" s="392"/>
      <c r="AD19" s="392"/>
      <c r="AE19" s="392"/>
      <c r="AF19" s="392"/>
      <c r="AG19" s="392"/>
      <c r="AH19" s="392"/>
      <c r="AI19" s="392"/>
      <c r="AJ19" s="392"/>
      <c r="AK19" s="392"/>
      <c r="AL19" s="392"/>
      <c r="AM19" s="392"/>
      <c r="AN19" s="392"/>
      <c r="AO19" s="392"/>
      <c r="AP19" s="392"/>
      <c r="AQ19" s="392"/>
      <c r="AR19" s="392"/>
      <c r="AS19" s="392"/>
    </row>
    <row r="20" spans="1:45" s="33" customFormat="1" x14ac:dyDescent="0.3">
      <c r="B20" s="63" t="s">
        <v>200</v>
      </c>
      <c r="C20" s="64"/>
      <c r="D20" s="31">
        <f t="shared" ref="D20:W20" si="12">+D15-D$11</f>
        <v>15.473888888888894</v>
      </c>
      <c r="E20" s="32">
        <f t="shared" si="12"/>
        <v>15.62277777777777</v>
      </c>
      <c r="F20" s="32">
        <f t="shared" si="12"/>
        <v>15.460000000000008</v>
      </c>
      <c r="G20" s="32">
        <f t="shared" si="12"/>
        <v>15.784999999999997</v>
      </c>
      <c r="H20" s="32">
        <f t="shared" si="12"/>
        <v>15.658333333333331</v>
      </c>
      <c r="I20" s="32">
        <f t="shared" si="12"/>
        <v>15.399444444444441</v>
      </c>
      <c r="J20" s="32">
        <f t="shared" si="12"/>
        <v>15.429444444444442</v>
      </c>
      <c r="K20" s="32">
        <f t="shared" si="12"/>
        <v>15.959444444444443</v>
      </c>
      <c r="L20" s="32">
        <f t="shared" si="12"/>
        <v>15.881666666666661</v>
      </c>
      <c r="M20" s="32">
        <f t="shared" si="12"/>
        <v>15.929444444444442</v>
      </c>
      <c r="N20" s="32">
        <f t="shared" si="12"/>
        <v>15.206111111111113</v>
      </c>
      <c r="O20" s="32">
        <f t="shared" si="12"/>
        <v>15.445555555555558</v>
      </c>
      <c r="P20" s="32">
        <f t="shared" si="12"/>
        <v>15.929444444444442</v>
      </c>
      <c r="Q20" s="32">
        <f t="shared" si="12"/>
        <v>15.929444444444442</v>
      </c>
      <c r="R20" s="32">
        <f t="shared" si="12"/>
        <v>15.851111111111123</v>
      </c>
      <c r="S20" s="32">
        <f t="shared" si="12"/>
        <v>15.302777777777777</v>
      </c>
      <c r="T20" s="32">
        <f t="shared" si="12"/>
        <v>15.370299999999986</v>
      </c>
      <c r="U20" s="32">
        <f t="shared" si="12"/>
        <v>15.380855555555542</v>
      </c>
      <c r="V20" s="32">
        <f t="shared" si="12"/>
        <v>15.370299999999986</v>
      </c>
      <c r="W20" s="32">
        <f t="shared" si="12"/>
        <v>15.929444444444442</v>
      </c>
      <c r="Y20" s="392"/>
      <c r="Z20" s="392"/>
      <c r="AA20" s="392"/>
      <c r="AB20" s="392"/>
      <c r="AC20" s="392"/>
      <c r="AD20" s="392"/>
      <c r="AE20" s="392"/>
      <c r="AF20" s="392"/>
      <c r="AG20" s="392"/>
      <c r="AH20" s="392"/>
      <c r="AI20" s="392"/>
      <c r="AJ20" s="392"/>
      <c r="AK20" s="392"/>
      <c r="AL20" s="392"/>
      <c r="AM20" s="392"/>
      <c r="AN20" s="392"/>
      <c r="AO20" s="392"/>
      <c r="AP20" s="392"/>
      <c r="AQ20" s="392"/>
      <c r="AR20" s="392"/>
      <c r="AS20" s="392"/>
    </row>
    <row r="21" spans="1:45" s="33" customFormat="1" x14ac:dyDescent="0.3">
      <c r="B21" s="63" t="s">
        <v>201</v>
      </c>
      <c r="C21" s="64"/>
      <c r="D21" s="31">
        <f>+D16-D$11</f>
        <v>17.473888888888894</v>
      </c>
      <c r="E21" s="34">
        <f t="shared" ref="E21:W21" si="13">+E16-E$11</f>
        <v>17.62277777777777</v>
      </c>
      <c r="F21" s="34">
        <f t="shared" si="13"/>
        <v>17.460000000000008</v>
      </c>
      <c r="G21" s="34">
        <f t="shared" si="13"/>
        <v>17.784999999999997</v>
      </c>
      <c r="H21" s="34">
        <f t="shared" si="13"/>
        <v>17.658333333333331</v>
      </c>
      <c r="I21" s="34">
        <f t="shared" si="13"/>
        <v>17.399444444444441</v>
      </c>
      <c r="J21" s="34">
        <f t="shared" si="13"/>
        <v>17.429444444444442</v>
      </c>
      <c r="K21" s="34">
        <f t="shared" si="13"/>
        <v>17.959444444444443</v>
      </c>
      <c r="L21" s="34">
        <f t="shared" si="13"/>
        <v>17.881666666666661</v>
      </c>
      <c r="M21" s="34">
        <f t="shared" si="13"/>
        <v>17.929444444444442</v>
      </c>
      <c r="N21" s="34">
        <f t="shared" si="13"/>
        <v>17.206111111111113</v>
      </c>
      <c r="O21" s="34">
        <f t="shared" si="13"/>
        <v>17.445555555555558</v>
      </c>
      <c r="P21" s="34">
        <f t="shared" si="13"/>
        <v>17.929444444444442</v>
      </c>
      <c r="Q21" s="34">
        <f t="shared" si="13"/>
        <v>17.929444444444442</v>
      </c>
      <c r="R21" s="34">
        <f t="shared" si="13"/>
        <v>17.851111111111123</v>
      </c>
      <c r="S21" s="34">
        <f t="shared" si="13"/>
        <v>17.302777777777777</v>
      </c>
      <c r="T21" s="34">
        <f t="shared" si="13"/>
        <v>17.370299999999986</v>
      </c>
      <c r="U21" s="34">
        <f t="shared" si="13"/>
        <v>17.380855555555542</v>
      </c>
      <c r="V21" s="34">
        <f t="shared" si="13"/>
        <v>17.370299999999986</v>
      </c>
      <c r="W21" s="34">
        <f t="shared" si="13"/>
        <v>17.929444444444442</v>
      </c>
      <c r="Y21" s="392"/>
      <c r="Z21" s="392"/>
      <c r="AA21" s="392"/>
      <c r="AB21" s="392"/>
      <c r="AC21" s="392"/>
      <c r="AD21" s="392"/>
      <c r="AE21" s="392"/>
      <c r="AF21" s="392"/>
      <c r="AG21" s="392"/>
      <c r="AH21" s="392"/>
      <c r="AI21" s="392"/>
      <c r="AJ21" s="392"/>
      <c r="AK21" s="392"/>
      <c r="AL21" s="392"/>
      <c r="AM21" s="392"/>
      <c r="AN21" s="392"/>
      <c r="AO21" s="392"/>
      <c r="AP21" s="392"/>
      <c r="AQ21" s="392"/>
      <c r="AR21" s="392"/>
      <c r="AS21" s="392"/>
    </row>
    <row r="22" spans="1:45" x14ac:dyDescent="0.3">
      <c r="B22" s="65" t="s">
        <v>108</v>
      </c>
      <c r="C22" s="55"/>
      <c r="D22" s="43">
        <v>0</v>
      </c>
      <c r="E22" s="408">
        <v>0</v>
      </c>
      <c r="F22" s="408">
        <v>0</v>
      </c>
      <c r="G22" s="408">
        <v>0</v>
      </c>
      <c r="H22" s="408">
        <v>0</v>
      </c>
      <c r="I22" s="408">
        <v>0</v>
      </c>
      <c r="J22" s="408">
        <v>0</v>
      </c>
      <c r="K22" s="408">
        <v>0</v>
      </c>
      <c r="L22" s="408">
        <v>0</v>
      </c>
      <c r="M22" s="408">
        <v>0</v>
      </c>
      <c r="N22" s="408">
        <v>0</v>
      </c>
      <c r="O22" s="408">
        <v>0</v>
      </c>
      <c r="P22" s="408">
        <v>0</v>
      </c>
      <c r="Q22" s="408">
        <v>0</v>
      </c>
      <c r="R22" s="408">
        <v>0</v>
      </c>
      <c r="S22" s="408">
        <v>0</v>
      </c>
      <c r="T22" s="408">
        <v>0</v>
      </c>
      <c r="U22" s="408">
        <v>0</v>
      </c>
      <c r="V22" s="408">
        <v>0</v>
      </c>
      <c r="W22" s="408">
        <v>0</v>
      </c>
      <c r="Y22" s="409"/>
      <c r="Z22" s="409"/>
      <c r="AA22" s="409"/>
      <c r="AB22" s="409"/>
      <c r="AC22" s="409"/>
      <c r="AD22" s="409"/>
      <c r="AE22" s="409"/>
      <c r="AF22" s="409"/>
      <c r="AG22" s="409"/>
      <c r="AH22" s="409"/>
      <c r="AI22" s="409"/>
      <c r="AJ22" s="409"/>
      <c r="AK22" s="409"/>
      <c r="AL22" s="409"/>
      <c r="AM22" s="409"/>
      <c r="AN22" s="409"/>
      <c r="AO22" s="409"/>
      <c r="AP22" s="409"/>
      <c r="AQ22" s="409"/>
      <c r="AR22" s="409"/>
      <c r="AS22" s="409"/>
    </row>
    <row r="23" spans="1:45" s="36" customFormat="1" x14ac:dyDescent="0.3">
      <c r="B23" s="65" t="s">
        <v>202</v>
      </c>
      <c r="C23" s="66"/>
      <c r="D23" s="368">
        <f>+D18/D$13</f>
        <v>6.7140313390313427E-2</v>
      </c>
      <c r="E23" s="368">
        <f t="shared" ref="E23:W23" si="14">+E18/E$13</f>
        <v>6.438047138047133E-2</v>
      </c>
      <c r="F23" s="368">
        <f t="shared" si="14"/>
        <v>6.226190476190481E-2</v>
      </c>
      <c r="G23" s="368">
        <f t="shared" si="14"/>
        <v>6.6574074074074049E-2</v>
      </c>
      <c r="H23" s="368">
        <f t="shared" si="14"/>
        <v>6.8322649572649566E-2</v>
      </c>
      <c r="I23" s="368">
        <f t="shared" si="14"/>
        <v>6.5819268635724307E-2</v>
      </c>
      <c r="J23" s="368">
        <f t="shared" si="14"/>
        <v>6.3984321745057929E-2</v>
      </c>
      <c r="K23" s="368">
        <f t="shared" si="14"/>
        <v>6.8071083505866103E-2</v>
      </c>
      <c r="L23" s="368">
        <f t="shared" si="14"/>
        <v>6.675869120654393E-2</v>
      </c>
      <c r="M23" s="368">
        <f t="shared" si="14"/>
        <v>7.0060541310541291E-2</v>
      </c>
      <c r="N23" s="368">
        <f t="shared" si="14"/>
        <v>6.5423789173789187E-2</v>
      </c>
      <c r="O23" s="368">
        <f t="shared" si="14"/>
        <v>6.2925033467202157E-2</v>
      </c>
      <c r="P23" s="368">
        <f t="shared" si="14"/>
        <v>7.0060541310541291E-2</v>
      </c>
      <c r="Q23" s="368">
        <f t="shared" si="14"/>
        <v>7.0060541310541291E-2</v>
      </c>
      <c r="R23" s="368">
        <f t="shared" si="14"/>
        <v>6.8677918424753945E-2</v>
      </c>
      <c r="S23" s="368">
        <f t="shared" si="14"/>
        <v>6.562278839348902E-2</v>
      </c>
      <c r="T23" s="368">
        <f t="shared" si="14"/>
        <v>6.4014197530864111E-2</v>
      </c>
      <c r="U23" s="368">
        <f t="shared" si="14"/>
        <v>5.7993606455617554E-2</v>
      </c>
      <c r="V23" s="368">
        <f t="shared" si="14"/>
        <v>6.4014197530864111E-2</v>
      </c>
      <c r="W23" s="368">
        <f t="shared" si="14"/>
        <v>7.0060541310541291E-2</v>
      </c>
      <c r="Y23" s="393"/>
      <c r="Z23" s="393"/>
      <c r="AA23" s="393"/>
      <c r="AB23" s="393"/>
      <c r="AC23" s="393"/>
      <c r="AD23" s="393"/>
      <c r="AE23" s="393"/>
      <c r="AF23" s="393"/>
      <c r="AG23" s="393"/>
      <c r="AH23" s="393"/>
      <c r="AI23" s="393"/>
      <c r="AJ23" s="393"/>
      <c r="AK23" s="393"/>
      <c r="AL23" s="393"/>
      <c r="AM23" s="393"/>
      <c r="AN23" s="393"/>
      <c r="AO23" s="393"/>
      <c r="AP23" s="393"/>
      <c r="AQ23" s="393"/>
      <c r="AR23" s="393"/>
      <c r="AS23" s="393"/>
    </row>
    <row r="24" spans="1:45" s="36" customFormat="1" x14ac:dyDescent="0.3">
      <c r="B24" s="65" t="s">
        <v>203</v>
      </c>
      <c r="C24" s="66"/>
      <c r="D24" s="368">
        <f>+D19/D$14</f>
        <v>8.4741439552760339E-2</v>
      </c>
      <c r="E24" s="368">
        <f t="shared" ref="E24:W24" si="15">+E19/E$14</f>
        <v>8.1087962962962917E-2</v>
      </c>
      <c r="F24" s="368">
        <f t="shared" si="15"/>
        <v>7.8713450292397708E-2</v>
      </c>
      <c r="G24" s="368">
        <f t="shared" si="15"/>
        <v>8.354545454545452E-2</v>
      </c>
      <c r="H24" s="368">
        <f t="shared" si="15"/>
        <v>8.590146750524108E-2</v>
      </c>
      <c r="I24" s="368">
        <f t="shared" si="15"/>
        <v>8.3226363008971682E-2</v>
      </c>
      <c r="J24" s="368">
        <f t="shared" si="15"/>
        <v>8.0900267737617118E-2</v>
      </c>
      <c r="K24" s="368">
        <f t="shared" si="15"/>
        <v>8.5118563685636847E-2</v>
      </c>
      <c r="L24" s="368">
        <f t="shared" si="15"/>
        <v>8.3624497991967833E-2</v>
      </c>
      <c r="M24" s="368">
        <f t="shared" si="15"/>
        <v>8.7606568832983914E-2</v>
      </c>
      <c r="N24" s="368">
        <f t="shared" si="15"/>
        <v>8.3057302585604481E-2</v>
      </c>
      <c r="O24" s="368">
        <f t="shared" si="15"/>
        <v>7.9559500328731117E-2</v>
      </c>
      <c r="P24" s="368">
        <f t="shared" si="15"/>
        <v>8.7606568832983914E-2</v>
      </c>
      <c r="Q24" s="368">
        <f t="shared" si="15"/>
        <v>8.7606568832983914E-2</v>
      </c>
      <c r="R24" s="368">
        <f t="shared" si="15"/>
        <v>8.6031746031746112E-2</v>
      </c>
      <c r="S24" s="368">
        <f t="shared" si="15"/>
        <v>8.3142361111111104E-2</v>
      </c>
      <c r="T24" s="368">
        <f t="shared" si="15"/>
        <v>8.1032121212121125E-2</v>
      </c>
      <c r="U24" s="368">
        <f t="shared" si="15"/>
        <v>7.3521184371184295E-2</v>
      </c>
      <c r="V24" s="368">
        <f t="shared" si="15"/>
        <v>8.1032121212121125E-2</v>
      </c>
      <c r="W24" s="368">
        <f t="shared" si="15"/>
        <v>8.7606568832983914E-2</v>
      </c>
      <c r="Y24" s="393"/>
      <c r="Z24" s="393"/>
      <c r="AA24" s="393"/>
      <c r="AB24" s="393"/>
      <c r="AC24" s="393"/>
      <c r="AD24" s="393"/>
      <c r="AE24" s="393"/>
      <c r="AF24" s="393"/>
      <c r="AG24" s="393"/>
      <c r="AH24" s="393"/>
      <c r="AI24" s="393"/>
      <c r="AJ24" s="393"/>
      <c r="AK24" s="393"/>
      <c r="AL24" s="393"/>
      <c r="AM24" s="393"/>
      <c r="AN24" s="393"/>
      <c r="AO24" s="393"/>
      <c r="AP24" s="393"/>
      <c r="AQ24" s="393"/>
      <c r="AR24" s="393"/>
      <c r="AS24" s="393"/>
    </row>
    <row r="25" spans="1:45" s="36" customFormat="1" x14ac:dyDescent="0.3">
      <c r="B25" s="65" t="s">
        <v>204</v>
      </c>
      <c r="C25" s="66"/>
      <c r="D25" s="368">
        <f>+D20/D$15</f>
        <v>9.6111111111111147E-2</v>
      </c>
      <c r="E25" s="368">
        <f t="shared" ref="E25:W25" si="16">+E20/E$15</f>
        <v>9.1898692810457469E-2</v>
      </c>
      <c r="F25" s="368">
        <f t="shared" si="16"/>
        <v>8.9364161849711035E-2</v>
      </c>
      <c r="G25" s="368">
        <f t="shared" si="16"/>
        <v>9.4520958083832318E-2</v>
      </c>
      <c r="H25" s="368">
        <f t="shared" si="16"/>
        <v>9.7256728778467902E-2</v>
      </c>
      <c r="I25" s="368">
        <f t="shared" si="16"/>
        <v>9.4475119291070192E-2</v>
      </c>
      <c r="J25" s="368">
        <f t="shared" si="16"/>
        <v>9.1841931216931211E-2</v>
      </c>
      <c r="K25" s="368">
        <f t="shared" si="16"/>
        <v>9.614123159303882E-2</v>
      </c>
      <c r="L25" s="368">
        <f t="shared" si="16"/>
        <v>9.4533730158730123E-2</v>
      </c>
      <c r="M25" s="368">
        <f t="shared" si="16"/>
        <v>9.8940648723257404E-2</v>
      </c>
      <c r="N25" s="368">
        <f t="shared" si="16"/>
        <v>9.4447895100069026E-2</v>
      </c>
      <c r="O25" s="368">
        <f t="shared" si="16"/>
        <v>9.0324886289798581E-2</v>
      </c>
      <c r="P25" s="368">
        <f t="shared" si="16"/>
        <v>9.8940648723257404E-2</v>
      </c>
      <c r="Q25" s="368">
        <f t="shared" si="16"/>
        <v>9.8940648723257404E-2</v>
      </c>
      <c r="R25" s="368">
        <f t="shared" si="16"/>
        <v>9.7246080436264565E-2</v>
      </c>
      <c r="S25" s="368">
        <f t="shared" si="16"/>
        <v>9.4461591220850474E-2</v>
      </c>
      <c r="T25" s="368">
        <f t="shared" si="16"/>
        <v>9.203772455089812E-2</v>
      </c>
      <c r="U25" s="368">
        <f t="shared" si="16"/>
        <v>8.3591606280193159E-2</v>
      </c>
      <c r="V25" s="368">
        <f t="shared" si="16"/>
        <v>9.203772455089812E-2</v>
      </c>
      <c r="W25" s="368">
        <f t="shared" si="16"/>
        <v>9.8940648723257404E-2</v>
      </c>
      <c r="Y25" s="393"/>
      <c r="Z25" s="393"/>
      <c r="AA25" s="393"/>
      <c r="AB25" s="393"/>
      <c r="AC25" s="393"/>
      <c r="AD25" s="393"/>
      <c r="AE25" s="393"/>
      <c r="AF25" s="393"/>
      <c r="AG25" s="393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  <c r="AR25" s="393"/>
      <c r="AS25" s="393"/>
    </row>
    <row r="26" spans="1:45" s="36" customFormat="1" x14ac:dyDescent="0.3">
      <c r="B26" s="65" t="s">
        <v>205</v>
      </c>
      <c r="C26" s="66"/>
      <c r="D26" s="368">
        <f>+D21/D$16</f>
        <v>0.10720177232447174</v>
      </c>
      <c r="E26" s="368">
        <f t="shared" ref="E26:W26" si="17">+E21/E$16</f>
        <v>0.10245801033591727</v>
      </c>
      <c r="F26" s="368">
        <f t="shared" si="17"/>
        <v>9.9771428571428622E-2</v>
      </c>
      <c r="G26" s="368">
        <f t="shared" si="17"/>
        <v>0.10523668639053252</v>
      </c>
      <c r="H26" s="368">
        <f t="shared" si="17"/>
        <v>0.10833333333333332</v>
      </c>
      <c r="I26" s="368">
        <f t="shared" si="17"/>
        <v>0.10545117845117843</v>
      </c>
      <c r="J26" s="368">
        <f t="shared" si="17"/>
        <v>0.10252614379084966</v>
      </c>
      <c r="K26" s="368">
        <f t="shared" si="17"/>
        <v>0.10690145502645503</v>
      </c>
      <c r="L26" s="368">
        <f t="shared" si="17"/>
        <v>0.10518627450980389</v>
      </c>
      <c r="M26" s="368">
        <f t="shared" si="17"/>
        <v>0.10999659168370823</v>
      </c>
      <c r="N26" s="368">
        <f t="shared" si="17"/>
        <v>0.10555896387184732</v>
      </c>
      <c r="O26" s="368">
        <f t="shared" si="17"/>
        <v>0.1008413615928067</v>
      </c>
      <c r="P26" s="368">
        <f t="shared" si="17"/>
        <v>0.10999659168370823</v>
      </c>
      <c r="Q26" s="368">
        <f t="shared" si="17"/>
        <v>0.10999659168370823</v>
      </c>
      <c r="R26" s="368">
        <f t="shared" si="17"/>
        <v>0.10818855218855226</v>
      </c>
      <c r="S26" s="368">
        <f t="shared" si="17"/>
        <v>0.10550474254742546</v>
      </c>
      <c r="T26" s="368">
        <f t="shared" si="17"/>
        <v>0.10278284023668631</v>
      </c>
      <c r="U26" s="368">
        <f t="shared" si="17"/>
        <v>9.3445459976105066E-2</v>
      </c>
      <c r="V26" s="368">
        <f t="shared" si="17"/>
        <v>0.10278284023668631</v>
      </c>
      <c r="W26" s="368">
        <f t="shared" si="17"/>
        <v>0.10999659168370823</v>
      </c>
      <c r="Y26" s="393"/>
      <c r="Z26" s="393"/>
      <c r="AA26" s="393"/>
      <c r="AB26" s="393"/>
      <c r="AC26" s="393"/>
      <c r="AD26" s="393"/>
      <c r="AE26" s="393"/>
      <c r="AF26" s="393"/>
      <c r="AG26" s="393"/>
      <c r="AH26" s="393"/>
      <c r="AI26" s="393"/>
      <c r="AJ26" s="393"/>
      <c r="AK26" s="393"/>
      <c r="AL26" s="393"/>
      <c r="AM26" s="393"/>
      <c r="AN26" s="393"/>
      <c r="AO26" s="393"/>
      <c r="AP26" s="393"/>
      <c r="AQ26" s="393"/>
      <c r="AR26" s="393"/>
      <c r="AS26" s="393"/>
    </row>
    <row r="27" spans="1:45" x14ac:dyDescent="0.3">
      <c r="D27" s="37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Y27" s="390"/>
      <c r="Z27" s="390"/>
      <c r="AA27" s="390"/>
      <c r="AB27" s="390"/>
      <c r="AC27" s="390"/>
      <c r="AD27" s="390"/>
      <c r="AE27" s="390"/>
      <c r="AF27" s="390"/>
      <c r="AG27" s="390"/>
      <c r="AH27" s="390"/>
      <c r="AI27" s="390"/>
      <c r="AJ27" s="390"/>
      <c r="AK27" s="390"/>
      <c r="AL27" s="390"/>
      <c r="AM27" s="390"/>
      <c r="AN27" s="390"/>
      <c r="AO27" s="390"/>
      <c r="AP27" s="390"/>
      <c r="AQ27" s="390"/>
      <c r="AR27" s="390"/>
      <c r="AS27" s="390"/>
    </row>
    <row r="28" spans="1:45" ht="21" thickBot="1" x14ac:dyDescent="0.35">
      <c r="D28" s="37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Y28" s="390"/>
      <c r="Z28" s="390"/>
      <c r="AA28" s="390"/>
      <c r="AB28" s="390"/>
      <c r="AC28" s="390"/>
      <c r="AD28" s="390"/>
      <c r="AE28" s="390"/>
      <c r="AF28" s="390"/>
      <c r="AG28" s="390"/>
      <c r="AH28" s="390"/>
      <c r="AI28" s="390"/>
      <c r="AJ28" s="390"/>
      <c r="AK28" s="390"/>
      <c r="AL28" s="390"/>
      <c r="AM28" s="390"/>
      <c r="AN28" s="390"/>
      <c r="AO28" s="390"/>
      <c r="AP28" s="390"/>
      <c r="AQ28" s="390"/>
      <c r="AR28" s="390"/>
      <c r="AS28" s="390"/>
    </row>
    <row r="29" spans="1:45" ht="21" thickBot="1" x14ac:dyDescent="0.35">
      <c r="A29" s="15" t="s">
        <v>310</v>
      </c>
      <c r="B29" s="67" t="s">
        <v>35</v>
      </c>
      <c r="C29" s="68"/>
      <c r="D29" s="17" t="s">
        <v>5</v>
      </c>
      <c r="E29" s="18" t="s">
        <v>6</v>
      </c>
      <c r="F29" s="18" t="s">
        <v>7</v>
      </c>
      <c r="G29" s="18" t="s">
        <v>8</v>
      </c>
      <c r="H29" s="18" t="s">
        <v>9</v>
      </c>
      <c r="I29" s="18" t="s">
        <v>10</v>
      </c>
      <c r="J29" s="18" t="s">
        <v>11</v>
      </c>
      <c r="K29" s="18" t="s">
        <v>12</v>
      </c>
      <c r="L29" s="18" t="s">
        <v>13</v>
      </c>
      <c r="M29" s="18" t="s">
        <v>14</v>
      </c>
      <c r="N29" s="18" t="s">
        <v>15</v>
      </c>
      <c r="O29" s="18" t="s">
        <v>16</v>
      </c>
      <c r="P29" s="18" t="s">
        <v>17</v>
      </c>
      <c r="Q29" s="18" t="s">
        <v>18</v>
      </c>
      <c r="R29" s="18" t="s">
        <v>19</v>
      </c>
      <c r="S29" s="18" t="s">
        <v>20</v>
      </c>
      <c r="T29" s="18" t="s">
        <v>21</v>
      </c>
      <c r="U29" s="18" t="s">
        <v>22</v>
      </c>
      <c r="V29" s="18" t="s">
        <v>23</v>
      </c>
      <c r="W29" s="18" t="s">
        <v>166</v>
      </c>
      <c r="Y29" s="390"/>
      <c r="Z29" s="390"/>
      <c r="AA29" s="390"/>
      <c r="AB29" s="390"/>
      <c r="AC29" s="390"/>
      <c r="AD29" s="390"/>
      <c r="AE29" s="390"/>
      <c r="AF29" s="390"/>
      <c r="AG29" s="390"/>
      <c r="AH29" s="390"/>
      <c r="AI29" s="390"/>
      <c r="AJ29" s="390"/>
      <c r="AK29" s="390"/>
      <c r="AL29" s="390"/>
      <c r="AM29" s="390"/>
      <c r="AN29" s="390"/>
      <c r="AO29" s="390"/>
      <c r="AP29" s="390"/>
      <c r="AQ29" s="390"/>
      <c r="AR29" s="390"/>
      <c r="AS29" s="390"/>
    </row>
    <row r="30" spans="1:45" x14ac:dyDescent="0.3">
      <c r="B30" s="54" t="s">
        <v>50</v>
      </c>
      <c r="C30" s="55"/>
      <c r="D30" s="20">
        <v>89</v>
      </c>
      <c r="E30" s="21">
        <v>89</v>
      </c>
      <c r="F30" s="21">
        <v>89</v>
      </c>
      <c r="G30" s="21">
        <v>89</v>
      </c>
      <c r="H30" s="21">
        <v>89</v>
      </c>
      <c r="I30" s="21">
        <v>89</v>
      </c>
      <c r="J30" s="21">
        <v>89</v>
      </c>
      <c r="K30" s="21">
        <v>89</v>
      </c>
      <c r="L30" s="21">
        <v>89</v>
      </c>
      <c r="M30" s="21">
        <v>89</v>
      </c>
      <c r="N30" s="21">
        <v>89</v>
      </c>
      <c r="O30" s="21">
        <v>89</v>
      </c>
      <c r="P30" s="21">
        <v>89</v>
      </c>
      <c r="Q30" s="21">
        <v>89</v>
      </c>
      <c r="R30" s="21">
        <v>89</v>
      </c>
      <c r="S30" s="21">
        <v>89</v>
      </c>
      <c r="T30" s="21"/>
      <c r="U30" s="21"/>
      <c r="V30" s="21"/>
      <c r="W30" s="21">
        <v>89</v>
      </c>
      <c r="Y30" s="390"/>
      <c r="Z30" s="390"/>
      <c r="AA30" s="390"/>
      <c r="AB30" s="390"/>
      <c r="AC30" s="390"/>
      <c r="AD30" s="390"/>
      <c r="AE30" s="390"/>
      <c r="AF30" s="390"/>
      <c r="AG30" s="390"/>
      <c r="AH30" s="390"/>
      <c r="AI30" s="390"/>
      <c r="AJ30" s="390"/>
      <c r="AK30" s="390"/>
      <c r="AL30" s="390"/>
      <c r="AM30" s="390"/>
      <c r="AN30" s="390"/>
      <c r="AO30" s="390"/>
      <c r="AP30" s="390"/>
      <c r="AQ30" s="390"/>
      <c r="AR30" s="390"/>
      <c r="AS30" s="390"/>
    </row>
    <row r="31" spans="1:45" x14ac:dyDescent="0.3">
      <c r="B31" s="54" t="s">
        <v>51</v>
      </c>
      <c r="C31" s="55"/>
      <c r="D31" s="322">
        <v>0.26</v>
      </c>
      <c r="E31" s="322">
        <f>D31</f>
        <v>0.26</v>
      </c>
      <c r="F31" s="322">
        <f>D31</f>
        <v>0.26</v>
      </c>
      <c r="G31" s="322">
        <f>D31</f>
        <v>0.26</v>
      </c>
      <c r="H31" s="322">
        <f>D31</f>
        <v>0.26</v>
      </c>
      <c r="I31" s="322">
        <f>D31</f>
        <v>0.26</v>
      </c>
      <c r="J31" s="322">
        <f>D31</f>
        <v>0.26</v>
      </c>
      <c r="K31" s="322">
        <f>D31</f>
        <v>0.26</v>
      </c>
      <c r="L31" s="322">
        <f>D31</f>
        <v>0.26</v>
      </c>
      <c r="M31" s="322">
        <f>D31</f>
        <v>0.26</v>
      </c>
      <c r="N31" s="322">
        <f>D31</f>
        <v>0.26</v>
      </c>
      <c r="O31" s="322">
        <f>D31</f>
        <v>0.26</v>
      </c>
      <c r="P31" s="322">
        <f>D31</f>
        <v>0.26</v>
      </c>
      <c r="Q31" s="322">
        <f>D31</f>
        <v>0.26</v>
      </c>
      <c r="R31" s="322">
        <f>D31</f>
        <v>0.26</v>
      </c>
      <c r="S31" s="322">
        <f>D31</f>
        <v>0.26</v>
      </c>
      <c r="T31" s="218"/>
      <c r="U31" s="218"/>
      <c r="V31" s="218"/>
      <c r="W31" s="322">
        <f>J31</f>
        <v>0.26</v>
      </c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  <c r="AM31" s="390"/>
      <c r="AN31" s="390"/>
      <c r="AO31" s="390"/>
      <c r="AP31" s="390"/>
      <c r="AQ31" s="390"/>
      <c r="AR31" s="390"/>
      <c r="AS31" s="390"/>
    </row>
    <row r="32" spans="1:45" x14ac:dyDescent="0.3">
      <c r="B32" s="54" t="s">
        <v>56</v>
      </c>
      <c r="C32" s="55"/>
      <c r="D32" s="24">
        <v>0</v>
      </c>
      <c r="E32" s="24">
        <v>0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0</v>
      </c>
      <c r="M32" s="21">
        <v>0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/>
      <c r="U32" s="21"/>
      <c r="V32" s="21"/>
      <c r="W32" s="21">
        <v>0</v>
      </c>
      <c r="Y32" s="390"/>
      <c r="Z32" s="390"/>
      <c r="AA32" s="390"/>
      <c r="AB32" s="390"/>
      <c r="AC32" s="390"/>
      <c r="AD32" s="390"/>
      <c r="AE32" s="390"/>
      <c r="AF32" s="390"/>
      <c r="AG32" s="390"/>
      <c r="AH32" s="390"/>
      <c r="AI32" s="390"/>
      <c r="AJ32" s="390"/>
      <c r="AK32" s="390"/>
      <c r="AL32" s="390"/>
      <c r="AM32" s="390"/>
      <c r="AN32" s="390"/>
      <c r="AO32" s="390"/>
      <c r="AP32" s="390"/>
      <c r="AQ32" s="390"/>
      <c r="AR32" s="390"/>
      <c r="AS32" s="390"/>
    </row>
    <row r="33" spans="2:45" x14ac:dyDescent="0.3">
      <c r="B33" s="177" t="s">
        <v>67</v>
      </c>
      <c r="C33" s="178"/>
      <c r="D33" s="323">
        <f>D30-(D30*D31)</f>
        <v>65.86</v>
      </c>
      <c r="E33" s="323">
        <f t="shared" ref="E33:W33" si="18">E30-(E30*E31)</f>
        <v>65.86</v>
      </c>
      <c r="F33" s="323">
        <f t="shared" si="18"/>
        <v>65.86</v>
      </c>
      <c r="G33" s="323">
        <f t="shared" si="18"/>
        <v>65.86</v>
      </c>
      <c r="H33" s="323">
        <f t="shared" si="18"/>
        <v>65.86</v>
      </c>
      <c r="I33" s="323">
        <f t="shared" si="18"/>
        <v>65.86</v>
      </c>
      <c r="J33" s="323">
        <f t="shared" si="18"/>
        <v>65.86</v>
      </c>
      <c r="K33" s="323">
        <f t="shared" si="18"/>
        <v>65.86</v>
      </c>
      <c r="L33" s="323">
        <f t="shared" si="18"/>
        <v>65.86</v>
      </c>
      <c r="M33" s="323">
        <f t="shared" si="18"/>
        <v>65.86</v>
      </c>
      <c r="N33" s="323">
        <f t="shared" si="18"/>
        <v>65.86</v>
      </c>
      <c r="O33" s="323">
        <f t="shared" si="18"/>
        <v>65.86</v>
      </c>
      <c r="P33" s="323">
        <f t="shared" si="18"/>
        <v>65.86</v>
      </c>
      <c r="Q33" s="323">
        <f t="shared" si="18"/>
        <v>65.86</v>
      </c>
      <c r="R33" s="323">
        <f t="shared" si="18"/>
        <v>65.86</v>
      </c>
      <c r="S33" s="323">
        <f t="shared" si="18"/>
        <v>65.86</v>
      </c>
      <c r="T33" s="323">
        <v>72.05</v>
      </c>
      <c r="U33" s="323">
        <v>72.05</v>
      </c>
      <c r="V33" s="323">
        <v>72.05</v>
      </c>
      <c r="W33" s="323">
        <f t="shared" si="18"/>
        <v>65.86</v>
      </c>
      <c r="Y33" s="390"/>
      <c r="Z33" s="390"/>
      <c r="AA33" s="390"/>
      <c r="AB33" s="390"/>
      <c r="AC33" s="390"/>
      <c r="AD33" s="390"/>
      <c r="AE33" s="390"/>
      <c r="AF33" s="390"/>
      <c r="AG33" s="390"/>
      <c r="AH33" s="390"/>
      <c r="AI33" s="390"/>
      <c r="AJ33" s="390"/>
      <c r="AK33" s="390"/>
      <c r="AL33" s="390"/>
      <c r="AM33" s="390"/>
      <c r="AN33" s="390"/>
      <c r="AO33" s="390"/>
      <c r="AP33" s="390"/>
      <c r="AQ33" s="390"/>
      <c r="AR33" s="390"/>
      <c r="AS33" s="390"/>
    </row>
    <row r="34" spans="2:45" x14ac:dyDescent="0.3">
      <c r="B34" s="54" t="s">
        <v>66</v>
      </c>
      <c r="C34" s="56">
        <v>7.0000000000000007E-2</v>
      </c>
      <c r="D34" s="24">
        <f t="shared" ref="D34:W34" si="19">D33*$C34</f>
        <v>4.6102000000000007</v>
      </c>
      <c r="E34" s="24">
        <f t="shared" si="19"/>
        <v>4.6102000000000007</v>
      </c>
      <c r="F34" s="24">
        <f t="shared" si="19"/>
        <v>4.6102000000000007</v>
      </c>
      <c r="G34" s="24">
        <f t="shared" si="19"/>
        <v>4.6102000000000007</v>
      </c>
      <c r="H34" s="24">
        <f t="shared" si="19"/>
        <v>4.6102000000000007</v>
      </c>
      <c r="I34" s="24">
        <f t="shared" si="19"/>
        <v>4.6102000000000007</v>
      </c>
      <c r="J34" s="24">
        <f t="shared" si="19"/>
        <v>4.6102000000000007</v>
      </c>
      <c r="K34" s="24">
        <f t="shared" si="19"/>
        <v>4.6102000000000007</v>
      </c>
      <c r="L34" s="24">
        <f t="shared" si="19"/>
        <v>4.6102000000000007</v>
      </c>
      <c r="M34" s="24">
        <f t="shared" si="19"/>
        <v>4.6102000000000007</v>
      </c>
      <c r="N34" s="24">
        <f t="shared" si="19"/>
        <v>4.6102000000000007</v>
      </c>
      <c r="O34" s="24">
        <f t="shared" si="19"/>
        <v>4.6102000000000007</v>
      </c>
      <c r="P34" s="24">
        <f t="shared" si="19"/>
        <v>4.6102000000000007</v>
      </c>
      <c r="Q34" s="24">
        <f t="shared" si="19"/>
        <v>4.6102000000000007</v>
      </c>
      <c r="R34" s="24">
        <f t="shared" si="19"/>
        <v>4.6102000000000007</v>
      </c>
      <c r="S34" s="24">
        <f t="shared" si="19"/>
        <v>4.6102000000000007</v>
      </c>
      <c r="T34" s="24">
        <f t="shared" si="19"/>
        <v>5.0434999999999999</v>
      </c>
      <c r="U34" s="24">
        <f t="shared" si="19"/>
        <v>5.0434999999999999</v>
      </c>
      <c r="V34" s="24">
        <f t="shared" si="19"/>
        <v>5.0434999999999999</v>
      </c>
      <c r="W34" s="24">
        <f t="shared" si="19"/>
        <v>4.6102000000000007</v>
      </c>
      <c r="Y34" s="390"/>
      <c r="Z34" s="390"/>
      <c r="AA34" s="390"/>
      <c r="AB34" s="390"/>
      <c r="AC34" s="390"/>
      <c r="AD34" s="390"/>
      <c r="AE34" s="390"/>
      <c r="AF34" s="390"/>
      <c r="AG34" s="390"/>
      <c r="AH34" s="390"/>
      <c r="AI34" s="390"/>
      <c r="AJ34" s="390"/>
      <c r="AK34" s="390"/>
      <c r="AL34" s="390"/>
      <c r="AM34" s="390"/>
      <c r="AN34" s="390"/>
      <c r="AO34" s="390"/>
      <c r="AP34" s="390"/>
      <c r="AQ34" s="390"/>
      <c r="AR34" s="390"/>
      <c r="AS34" s="390"/>
    </row>
    <row r="35" spans="2:45" x14ac:dyDescent="0.3">
      <c r="B35" s="54" t="s">
        <v>68</v>
      </c>
      <c r="C35" s="55"/>
      <c r="D35" s="21">
        <f t="shared" ref="D35:W35" si="20">D33+D34</f>
        <v>70.470200000000006</v>
      </c>
      <c r="E35" s="21">
        <f t="shared" si="20"/>
        <v>70.470200000000006</v>
      </c>
      <c r="F35" s="21">
        <f t="shared" si="20"/>
        <v>70.470200000000006</v>
      </c>
      <c r="G35" s="21">
        <f t="shared" si="20"/>
        <v>70.470200000000006</v>
      </c>
      <c r="H35" s="21">
        <f t="shared" si="20"/>
        <v>70.470200000000006</v>
      </c>
      <c r="I35" s="21">
        <f t="shared" si="20"/>
        <v>70.470200000000006</v>
      </c>
      <c r="J35" s="21">
        <f t="shared" si="20"/>
        <v>70.470200000000006</v>
      </c>
      <c r="K35" s="21">
        <f t="shared" si="20"/>
        <v>70.470200000000006</v>
      </c>
      <c r="L35" s="21">
        <f t="shared" si="20"/>
        <v>70.470200000000006</v>
      </c>
      <c r="M35" s="21">
        <f t="shared" si="20"/>
        <v>70.470200000000006</v>
      </c>
      <c r="N35" s="21">
        <f t="shared" si="20"/>
        <v>70.470200000000006</v>
      </c>
      <c r="O35" s="21">
        <f t="shared" si="20"/>
        <v>70.470200000000006</v>
      </c>
      <c r="P35" s="21">
        <f t="shared" si="20"/>
        <v>70.470200000000006</v>
      </c>
      <c r="Q35" s="21">
        <f t="shared" si="20"/>
        <v>70.470200000000006</v>
      </c>
      <c r="R35" s="21">
        <f t="shared" si="20"/>
        <v>70.470200000000006</v>
      </c>
      <c r="S35" s="21">
        <f t="shared" si="20"/>
        <v>70.470200000000006</v>
      </c>
      <c r="T35" s="21">
        <f t="shared" si="20"/>
        <v>77.093499999999992</v>
      </c>
      <c r="U35" s="21">
        <f t="shared" si="20"/>
        <v>77.093499999999992</v>
      </c>
      <c r="V35" s="21">
        <f t="shared" si="20"/>
        <v>77.093499999999992</v>
      </c>
      <c r="W35" s="21">
        <f t="shared" si="20"/>
        <v>70.470200000000006</v>
      </c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  <c r="AL35" s="390"/>
      <c r="AM35" s="390"/>
      <c r="AN35" s="390"/>
      <c r="AO35" s="390"/>
      <c r="AP35" s="390"/>
      <c r="AQ35" s="390"/>
      <c r="AR35" s="390"/>
      <c r="AS35" s="390"/>
    </row>
    <row r="36" spans="2:45" x14ac:dyDescent="0.3">
      <c r="B36" s="54" t="s">
        <v>52</v>
      </c>
      <c r="C36" s="55"/>
      <c r="D36" s="398">
        <f>Y38</f>
        <v>3.4805555555555556</v>
      </c>
      <c r="E36" s="398">
        <f t="shared" ref="E36:W36" si="21">Z38</f>
        <v>7.9061111111111115</v>
      </c>
      <c r="F36" s="398">
        <f t="shared" si="21"/>
        <v>9.4875000000000007</v>
      </c>
      <c r="G36" s="398">
        <f t="shared" si="21"/>
        <v>6.3250000000000002</v>
      </c>
      <c r="H36" s="398">
        <f t="shared" si="21"/>
        <v>3.3883333333333332</v>
      </c>
      <c r="I36" s="398">
        <f t="shared" si="21"/>
        <v>4.5177777777777779</v>
      </c>
      <c r="J36" s="398">
        <f t="shared" si="21"/>
        <v>7.0027777777777782</v>
      </c>
      <c r="K36" s="398">
        <f t="shared" si="21"/>
        <v>5.7377777777777776</v>
      </c>
      <c r="L36" s="398">
        <f t="shared" si="21"/>
        <v>6.7766666666666664</v>
      </c>
      <c r="M36" s="398">
        <f t="shared" si="21"/>
        <v>3.2527777777777778</v>
      </c>
      <c r="N36" s="398">
        <f t="shared" si="21"/>
        <v>3.6144444444444446</v>
      </c>
      <c r="O36" s="398">
        <f t="shared" si="21"/>
        <v>8.4947222222222223</v>
      </c>
      <c r="P36" s="398">
        <f t="shared" si="21"/>
        <v>3.2527777777777778</v>
      </c>
      <c r="Q36" s="398">
        <f t="shared" si="21"/>
        <v>3.2527777777777778</v>
      </c>
      <c r="R36" s="398">
        <f t="shared" si="21"/>
        <v>4.2919444444444448</v>
      </c>
      <c r="S36" s="398">
        <f t="shared" si="21"/>
        <v>4.0661111111111108</v>
      </c>
      <c r="T36" s="398">
        <f t="shared" si="21"/>
        <v>0</v>
      </c>
      <c r="U36" s="398">
        <f t="shared" si="21"/>
        <v>8.4947222222222223</v>
      </c>
      <c r="V36" s="398">
        <f t="shared" si="21"/>
        <v>0</v>
      </c>
      <c r="W36" s="398">
        <f t="shared" si="21"/>
        <v>3.2527777777777778</v>
      </c>
      <c r="Y36" s="390">
        <v>12530</v>
      </c>
      <c r="Z36" s="390">
        <v>28462</v>
      </c>
      <c r="AA36" s="390">
        <v>34155</v>
      </c>
      <c r="AB36" s="390">
        <v>22770</v>
      </c>
      <c r="AC36" s="390">
        <v>12198</v>
      </c>
      <c r="AD36" s="390">
        <v>16264</v>
      </c>
      <c r="AE36" s="390">
        <v>25210</v>
      </c>
      <c r="AF36" s="390">
        <v>20656</v>
      </c>
      <c r="AG36" s="390">
        <v>24396</v>
      </c>
      <c r="AH36" s="390">
        <v>11710</v>
      </c>
      <c r="AI36" s="390">
        <v>13012</v>
      </c>
      <c r="AJ36" s="390">
        <v>30581</v>
      </c>
      <c r="AK36" s="396">
        <v>11710</v>
      </c>
      <c r="AL36" s="396">
        <v>11710</v>
      </c>
      <c r="AM36" s="390">
        <v>15451</v>
      </c>
      <c r="AN36" s="390">
        <v>14638</v>
      </c>
      <c r="AO36" s="390"/>
      <c r="AP36" s="396">
        <v>30581</v>
      </c>
      <c r="AQ36" s="390"/>
      <c r="AR36" s="396">
        <v>11710</v>
      </c>
      <c r="AS36" s="390"/>
    </row>
    <row r="37" spans="2:45" x14ac:dyDescent="0.3">
      <c r="B37" s="57" t="s">
        <v>53</v>
      </c>
      <c r="C37" s="58"/>
      <c r="D37" s="25">
        <f>SUM(D35:D36)</f>
        <v>73.95075555555556</v>
      </c>
      <c r="E37" s="26">
        <f t="shared" ref="E37:V37" si="22">SUM(E35:E36)</f>
        <v>78.376311111111121</v>
      </c>
      <c r="F37" s="26">
        <f t="shared" si="22"/>
        <v>79.957700000000003</v>
      </c>
      <c r="G37" s="26">
        <f t="shared" si="22"/>
        <v>76.795200000000008</v>
      </c>
      <c r="H37" s="26">
        <f t="shared" si="22"/>
        <v>73.858533333333341</v>
      </c>
      <c r="I37" s="26">
        <f t="shared" si="22"/>
        <v>74.987977777777786</v>
      </c>
      <c r="J37" s="26">
        <f t="shared" si="22"/>
        <v>77.472977777777785</v>
      </c>
      <c r="K37" s="26">
        <f t="shared" si="22"/>
        <v>76.207977777777785</v>
      </c>
      <c r="L37" s="26">
        <f t="shared" si="22"/>
        <v>77.246866666666676</v>
      </c>
      <c r="M37" s="26">
        <f t="shared" si="22"/>
        <v>73.722977777777785</v>
      </c>
      <c r="N37" s="26">
        <f t="shared" si="22"/>
        <v>74.08464444444445</v>
      </c>
      <c r="O37" s="26">
        <f t="shared" si="22"/>
        <v>78.964922222222228</v>
      </c>
      <c r="P37" s="26">
        <f t="shared" si="22"/>
        <v>73.722977777777785</v>
      </c>
      <c r="Q37" s="26">
        <f t="shared" si="22"/>
        <v>73.722977777777785</v>
      </c>
      <c r="R37" s="26">
        <f t="shared" si="22"/>
        <v>74.762144444444445</v>
      </c>
      <c r="S37" s="26">
        <f t="shared" si="22"/>
        <v>74.536311111111118</v>
      </c>
      <c r="T37" s="26">
        <f t="shared" si="22"/>
        <v>77.093499999999992</v>
      </c>
      <c r="U37" s="26">
        <f t="shared" si="22"/>
        <v>85.588222222222214</v>
      </c>
      <c r="V37" s="26">
        <f t="shared" si="22"/>
        <v>77.093499999999992</v>
      </c>
      <c r="W37" s="26">
        <f>SUM(W35:W36)</f>
        <v>73.722977777777785</v>
      </c>
      <c r="Y37" s="390">
        <v>3600</v>
      </c>
      <c r="Z37" s="390">
        <v>3600</v>
      </c>
      <c r="AA37" s="390">
        <v>3600</v>
      </c>
      <c r="AB37" s="390">
        <v>3600</v>
      </c>
      <c r="AC37" s="390">
        <v>3600</v>
      </c>
      <c r="AD37" s="390">
        <v>3600</v>
      </c>
      <c r="AE37" s="390">
        <v>3600</v>
      </c>
      <c r="AF37" s="390">
        <v>3600</v>
      </c>
      <c r="AG37" s="390">
        <v>3600</v>
      </c>
      <c r="AH37" s="390">
        <v>3600</v>
      </c>
      <c r="AI37" s="390">
        <v>3600</v>
      </c>
      <c r="AJ37" s="390">
        <v>3600</v>
      </c>
      <c r="AK37" s="390">
        <v>3600</v>
      </c>
      <c r="AL37" s="390">
        <v>3600</v>
      </c>
      <c r="AM37" s="390">
        <v>3600</v>
      </c>
      <c r="AN37" s="390">
        <v>3600</v>
      </c>
      <c r="AO37" s="390"/>
      <c r="AP37" s="390">
        <v>3600</v>
      </c>
      <c r="AQ37" s="390"/>
      <c r="AR37" s="390">
        <v>3600</v>
      </c>
      <c r="AS37" s="390"/>
    </row>
    <row r="38" spans="2:45" x14ac:dyDescent="0.3">
      <c r="B38" s="54" t="s">
        <v>54</v>
      </c>
      <c r="C38" s="55"/>
      <c r="D38" s="20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Y38" s="389">
        <f>Y36/Y37</f>
        <v>3.4805555555555556</v>
      </c>
      <c r="Z38" s="389">
        <f t="shared" ref="Z38" si="23">Z36/Z37</f>
        <v>7.9061111111111115</v>
      </c>
      <c r="AA38" s="389">
        <f t="shared" ref="AA38" si="24">AA36/AA37</f>
        <v>9.4875000000000007</v>
      </c>
      <c r="AB38" s="389">
        <f t="shared" ref="AB38" si="25">AB36/AB37</f>
        <v>6.3250000000000002</v>
      </c>
      <c r="AC38" s="389">
        <f t="shared" ref="AC38" si="26">AC36/AC37</f>
        <v>3.3883333333333332</v>
      </c>
      <c r="AD38" s="389">
        <f t="shared" ref="AD38" si="27">AD36/AD37</f>
        <v>4.5177777777777779</v>
      </c>
      <c r="AE38" s="389">
        <f t="shared" ref="AE38" si="28">AE36/AE37</f>
        <v>7.0027777777777782</v>
      </c>
      <c r="AF38" s="389">
        <f t="shared" ref="AF38" si="29">AF36/AF37</f>
        <v>5.7377777777777776</v>
      </c>
      <c r="AG38" s="389">
        <f t="shared" ref="AG38" si="30">AG36/AG37</f>
        <v>6.7766666666666664</v>
      </c>
      <c r="AH38" s="389">
        <f t="shared" ref="AH38" si="31">AH36/AH37</f>
        <v>3.2527777777777778</v>
      </c>
      <c r="AI38" s="389">
        <f t="shared" ref="AI38" si="32">AI36/AI37</f>
        <v>3.6144444444444446</v>
      </c>
      <c r="AJ38" s="389">
        <f t="shared" ref="AJ38" si="33">AJ36/AJ37</f>
        <v>8.4947222222222223</v>
      </c>
      <c r="AK38" s="389">
        <f t="shared" ref="AK38" si="34">AK36/AK37</f>
        <v>3.2527777777777778</v>
      </c>
      <c r="AL38" s="389">
        <f t="shared" ref="AL38" si="35">AL36/AL37</f>
        <v>3.2527777777777778</v>
      </c>
      <c r="AM38" s="389">
        <f t="shared" ref="AM38" si="36">AM36/AM37</f>
        <v>4.2919444444444448</v>
      </c>
      <c r="AN38" s="389">
        <f t="shared" ref="AN38" si="37">AN36/AN37</f>
        <v>4.0661111111111108</v>
      </c>
      <c r="AO38" s="390"/>
      <c r="AP38" s="389">
        <f t="shared" ref="AP38" si="38">AP36/AP37</f>
        <v>8.4947222222222223</v>
      </c>
      <c r="AQ38" s="390"/>
      <c r="AR38" s="389">
        <f t="shared" ref="AR38" si="39">AR36/AR37</f>
        <v>3.2527777777777778</v>
      </c>
      <c r="AS38" s="390"/>
    </row>
    <row r="39" spans="2:45" x14ac:dyDescent="0.3">
      <c r="B39" s="59" t="s">
        <v>55</v>
      </c>
      <c r="C39" s="60"/>
      <c r="D39" s="27">
        <f>D37+D38</f>
        <v>73.95075555555556</v>
      </c>
      <c r="E39" s="27">
        <f t="shared" ref="E39:W39" si="40">E37+E38</f>
        <v>78.376311111111121</v>
      </c>
      <c r="F39" s="27">
        <f t="shared" si="40"/>
        <v>79.957700000000003</v>
      </c>
      <c r="G39" s="27">
        <f t="shared" si="40"/>
        <v>76.795200000000008</v>
      </c>
      <c r="H39" s="27">
        <f t="shared" si="40"/>
        <v>73.858533333333341</v>
      </c>
      <c r="I39" s="27">
        <f t="shared" si="40"/>
        <v>74.987977777777786</v>
      </c>
      <c r="J39" s="27">
        <f t="shared" si="40"/>
        <v>77.472977777777785</v>
      </c>
      <c r="K39" s="27">
        <f t="shared" si="40"/>
        <v>76.207977777777785</v>
      </c>
      <c r="L39" s="27">
        <f t="shared" si="40"/>
        <v>77.246866666666676</v>
      </c>
      <c r="M39" s="27">
        <f t="shared" si="40"/>
        <v>73.722977777777785</v>
      </c>
      <c r="N39" s="27">
        <f t="shared" si="40"/>
        <v>74.08464444444445</v>
      </c>
      <c r="O39" s="27">
        <f t="shared" si="40"/>
        <v>78.964922222222228</v>
      </c>
      <c r="P39" s="27">
        <f t="shared" si="40"/>
        <v>73.722977777777785</v>
      </c>
      <c r="Q39" s="27">
        <f t="shared" si="40"/>
        <v>73.722977777777785</v>
      </c>
      <c r="R39" s="27">
        <f t="shared" si="40"/>
        <v>74.762144444444445</v>
      </c>
      <c r="S39" s="27">
        <f t="shared" si="40"/>
        <v>74.536311111111118</v>
      </c>
      <c r="T39" s="27">
        <f t="shared" si="40"/>
        <v>77.093499999999992</v>
      </c>
      <c r="U39" s="27">
        <f t="shared" si="40"/>
        <v>85.588222222222214</v>
      </c>
      <c r="V39" s="27">
        <f t="shared" si="40"/>
        <v>77.093499999999992</v>
      </c>
      <c r="W39" s="27">
        <f t="shared" si="40"/>
        <v>73.722977777777785</v>
      </c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90"/>
      <c r="AO39" s="390"/>
      <c r="AP39" s="390"/>
      <c r="AQ39" s="390"/>
      <c r="AR39" s="390"/>
      <c r="AS39" s="390"/>
    </row>
    <row r="40" spans="2:45" x14ac:dyDescent="0.3">
      <c r="B40" s="61" t="s">
        <v>101</v>
      </c>
      <c r="C40" s="55"/>
      <c r="D40" s="43">
        <v>0</v>
      </c>
      <c r="E40" s="408">
        <v>0</v>
      </c>
      <c r="F40" s="408">
        <v>0</v>
      </c>
      <c r="G40" s="408">
        <v>0</v>
      </c>
      <c r="H40" s="408">
        <v>0</v>
      </c>
      <c r="I40" s="408">
        <v>0</v>
      </c>
      <c r="J40" s="408">
        <v>0</v>
      </c>
      <c r="K40" s="408">
        <v>0</v>
      </c>
      <c r="L40" s="408">
        <v>0</v>
      </c>
      <c r="M40" s="408">
        <v>0</v>
      </c>
      <c r="N40" s="408">
        <v>0</v>
      </c>
      <c r="O40" s="408">
        <v>0</v>
      </c>
      <c r="P40" s="408">
        <v>0</v>
      </c>
      <c r="Q40" s="408">
        <v>0</v>
      </c>
      <c r="R40" s="408">
        <v>0</v>
      </c>
      <c r="S40" s="408">
        <v>0</v>
      </c>
      <c r="T40" s="408">
        <v>0</v>
      </c>
      <c r="U40" s="408">
        <v>0</v>
      </c>
      <c r="V40" s="408">
        <v>0</v>
      </c>
      <c r="W40" s="408">
        <v>0</v>
      </c>
      <c r="Y40" s="409"/>
      <c r="Z40" s="409"/>
      <c r="AA40" s="409"/>
      <c r="AB40" s="409"/>
      <c r="AC40" s="409"/>
      <c r="AD40" s="409"/>
      <c r="AE40" s="409"/>
      <c r="AF40" s="409"/>
      <c r="AG40" s="409"/>
      <c r="AH40" s="409"/>
      <c r="AI40" s="409"/>
      <c r="AJ40" s="409"/>
      <c r="AK40" s="409"/>
      <c r="AL40" s="409"/>
      <c r="AM40" s="409"/>
      <c r="AN40" s="409"/>
      <c r="AO40" s="409"/>
      <c r="AP40" s="409"/>
      <c r="AQ40" s="409"/>
      <c r="AR40" s="409"/>
      <c r="AS40" s="409"/>
    </row>
    <row r="41" spans="2:45" x14ac:dyDescent="0.3">
      <c r="B41" s="171" t="s">
        <v>194</v>
      </c>
      <c r="C41" s="55"/>
      <c r="D41" s="20">
        <v>79</v>
      </c>
      <c r="E41" s="21">
        <v>84</v>
      </c>
      <c r="F41" s="21">
        <v>85</v>
      </c>
      <c r="G41" s="21">
        <v>82</v>
      </c>
      <c r="H41" s="21">
        <v>79</v>
      </c>
      <c r="I41" s="21">
        <v>80</v>
      </c>
      <c r="J41" s="21">
        <v>83</v>
      </c>
      <c r="K41" s="21">
        <v>82</v>
      </c>
      <c r="L41" s="21">
        <v>83</v>
      </c>
      <c r="M41" s="21">
        <v>79</v>
      </c>
      <c r="N41" s="21">
        <v>80</v>
      </c>
      <c r="O41" s="21">
        <v>84</v>
      </c>
      <c r="P41" s="21">
        <v>79</v>
      </c>
      <c r="Q41" s="21">
        <v>79</v>
      </c>
      <c r="R41" s="21">
        <v>80</v>
      </c>
      <c r="S41" s="21">
        <v>80</v>
      </c>
      <c r="T41" s="21">
        <v>83</v>
      </c>
      <c r="U41" s="21">
        <v>91</v>
      </c>
      <c r="V41" s="21">
        <v>83</v>
      </c>
      <c r="W41" s="21">
        <v>79</v>
      </c>
      <c r="Y41" s="390"/>
      <c r="Z41" s="390"/>
      <c r="AA41" s="390"/>
      <c r="AB41" s="390"/>
      <c r="AC41" s="390"/>
      <c r="AD41" s="390"/>
      <c r="AE41" s="390"/>
      <c r="AF41" s="390"/>
      <c r="AG41" s="390"/>
      <c r="AH41" s="390"/>
      <c r="AI41" s="390"/>
      <c r="AJ41" s="390"/>
      <c r="AK41" s="390"/>
      <c r="AL41" s="390"/>
      <c r="AM41" s="390"/>
      <c r="AN41" s="390"/>
      <c r="AO41" s="390"/>
      <c r="AP41" s="390"/>
      <c r="AQ41" s="390"/>
      <c r="AR41" s="390"/>
      <c r="AS41" s="390"/>
    </row>
    <row r="42" spans="2:45" x14ac:dyDescent="0.3">
      <c r="B42" s="61" t="s">
        <v>195</v>
      </c>
      <c r="C42" s="55"/>
      <c r="D42" s="106">
        <v>81</v>
      </c>
      <c r="E42" s="21">
        <v>86</v>
      </c>
      <c r="F42" s="21">
        <v>87</v>
      </c>
      <c r="G42" s="21">
        <v>84</v>
      </c>
      <c r="H42" s="21">
        <v>81</v>
      </c>
      <c r="I42" s="21">
        <v>82</v>
      </c>
      <c r="J42" s="21">
        <v>85</v>
      </c>
      <c r="K42" s="21">
        <v>84</v>
      </c>
      <c r="L42" s="21">
        <v>85</v>
      </c>
      <c r="M42" s="21">
        <v>81</v>
      </c>
      <c r="N42" s="21">
        <v>82</v>
      </c>
      <c r="O42" s="21">
        <v>86</v>
      </c>
      <c r="P42" s="21">
        <v>81</v>
      </c>
      <c r="Q42" s="21">
        <v>81</v>
      </c>
      <c r="R42" s="21">
        <v>82</v>
      </c>
      <c r="S42" s="21">
        <v>82</v>
      </c>
      <c r="T42" s="21">
        <v>85</v>
      </c>
      <c r="U42" s="21">
        <v>93</v>
      </c>
      <c r="V42" s="21">
        <v>85</v>
      </c>
      <c r="W42" s="21">
        <v>81</v>
      </c>
      <c r="Y42" s="390"/>
      <c r="Z42" s="390"/>
      <c r="AA42" s="390"/>
      <c r="AB42" s="390"/>
      <c r="AC42" s="390"/>
      <c r="AD42" s="390"/>
      <c r="AE42" s="390"/>
      <c r="AF42" s="390"/>
      <c r="AG42" s="390"/>
      <c r="AH42" s="390"/>
      <c r="AI42" s="390"/>
      <c r="AJ42" s="390"/>
      <c r="AK42" s="390"/>
      <c r="AL42" s="390"/>
      <c r="AM42" s="390"/>
      <c r="AN42" s="390"/>
      <c r="AO42" s="390"/>
      <c r="AP42" s="390"/>
      <c r="AQ42" s="390"/>
      <c r="AR42" s="390"/>
      <c r="AS42" s="390"/>
    </row>
    <row r="43" spans="2:45" s="30" customFormat="1" x14ac:dyDescent="0.3">
      <c r="B43" s="61" t="s">
        <v>196</v>
      </c>
      <c r="C43" s="62"/>
      <c r="D43" s="28">
        <v>82</v>
      </c>
      <c r="E43" s="29">
        <v>87</v>
      </c>
      <c r="F43" s="29">
        <v>88</v>
      </c>
      <c r="G43" s="29">
        <v>85</v>
      </c>
      <c r="H43" s="29">
        <v>82</v>
      </c>
      <c r="I43" s="29">
        <v>83</v>
      </c>
      <c r="J43" s="29">
        <v>86</v>
      </c>
      <c r="K43" s="29">
        <v>85</v>
      </c>
      <c r="L43" s="29">
        <v>86</v>
      </c>
      <c r="M43" s="29">
        <v>82</v>
      </c>
      <c r="N43" s="29">
        <v>83</v>
      </c>
      <c r="O43" s="29">
        <v>87</v>
      </c>
      <c r="P43" s="29">
        <v>82</v>
      </c>
      <c r="Q43" s="29">
        <v>82</v>
      </c>
      <c r="R43" s="29">
        <v>83</v>
      </c>
      <c r="S43" s="29">
        <v>83</v>
      </c>
      <c r="T43" s="29">
        <v>86</v>
      </c>
      <c r="U43" s="29">
        <v>94</v>
      </c>
      <c r="V43" s="29">
        <v>86</v>
      </c>
      <c r="W43" s="29">
        <v>82</v>
      </c>
      <c r="Y43" s="391"/>
      <c r="Z43" s="391"/>
      <c r="AA43" s="391"/>
      <c r="AB43" s="391"/>
      <c r="AC43" s="391"/>
      <c r="AD43" s="391"/>
      <c r="AE43" s="391"/>
      <c r="AF43" s="391"/>
      <c r="AG43" s="391"/>
      <c r="AH43" s="391"/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</row>
    <row r="44" spans="2:45" s="30" customFormat="1" x14ac:dyDescent="0.3">
      <c r="B44" s="61" t="s">
        <v>197</v>
      </c>
      <c r="C44" s="62"/>
      <c r="D44" s="28">
        <v>83</v>
      </c>
      <c r="E44" s="29">
        <v>88</v>
      </c>
      <c r="F44" s="29">
        <v>89</v>
      </c>
      <c r="G44" s="29">
        <v>86</v>
      </c>
      <c r="H44" s="29">
        <v>83</v>
      </c>
      <c r="I44" s="29">
        <v>84</v>
      </c>
      <c r="J44" s="29">
        <v>87</v>
      </c>
      <c r="K44" s="29">
        <v>86</v>
      </c>
      <c r="L44" s="29">
        <v>87</v>
      </c>
      <c r="M44" s="29">
        <v>83</v>
      </c>
      <c r="N44" s="29">
        <v>84</v>
      </c>
      <c r="O44" s="29">
        <v>88</v>
      </c>
      <c r="P44" s="29">
        <v>83</v>
      </c>
      <c r="Q44" s="29">
        <v>83</v>
      </c>
      <c r="R44" s="29">
        <v>84</v>
      </c>
      <c r="S44" s="29">
        <v>84</v>
      </c>
      <c r="T44" s="29">
        <v>87</v>
      </c>
      <c r="U44" s="29">
        <v>95</v>
      </c>
      <c r="V44" s="29">
        <v>87</v>
      </c>
      <c r="W44" s="29">
        <v>83</v>
      </c>
      <c r="Y44" s="391"/>
      <c r="Z44" s="391"/>
      <c r="AA44" s="391"/>
      <c r="AB44" s="391"/>
      <c r="AC44" s="391"/>
      <c r="AD44" s="391"/>
      <c r="AE44" s="391"/>
      <c r="AF44" s="391"/>
      <c r="AG44" s="391"/>
      <c r="AH44" s="391"/>
      <c r="AI44" s="391"/>
      <c r="AJ44" s="391"/>
      <c r="AK44" s="391"/>
      <c r="AL44" s="391"/>
      <c r="AM44" s="391"/>
      <c r="AN44" s="391"/>
      <c r="AO44" s="391"/>
      <c r="AP44" s="391"/>
      <c r="AQ44" s="391"/>
      <c r="AR44" s="391"/>
      <c r="AS44" s="391"/>
    </row>
    <row r="45" spans="2:45" x14ac:dyDescent="0.3">
      <c r="B45" s="63" t="s">
        <v>103</v>
      </c>
      <c r="C45" s="55"/>
      <c r="D45" s="43">
        <v>0</v>
      </c>
      <c r="E45" s="408">
        <v>0</v>
      </c>
      <c r="F45" s="408">
        <v>0</v>
      </c>
      <c r="G45" s="408">
        <v>0</v>
      </c>
      <c r="H45" s="408">
        <v>0</v>
      </c>
      <c r="I45" s="408">
        <v>0</v>
      </c>
      <c r="J45" s="408">
        <v>0</v>
      </c>
      <c r="K45" s="408">
        <v>0</v>
      </c>
      <c r="L45" s="408">
        <v>0</v>
      </c>
      <c r="M45" s="408">
        <v>0</v>
      </c>
      <c r="N45" s="408">
        <v>0</v>
      </c>
      <c r="O45" s="408">
        <v>0</v>
      </c>
      <c r="P45" s="408">
        <v>0</v>
      </c>
      <c r="Q45" s="408">
        <v>0</v>
      </c>
      <c r="R45" s="408">
        <v>0</v>
      </c>
      <c r="S45" s="408">
        <v>0</v>
      </c>
      <c r="T45" s="408">
        <v>0</v>
      </c>
      <c r="U45" s="408">
        <v>0</v>
      </c>
      <c r="V45" s="408">
        <v>0</v>
      </c>
      <c r="W45" s="408">
        <v>0</v>
      </c>
      <c r="Y45" s="409"/>
      <c r="Z45" s="409"/>
      <c r="AA45" s="409"/>
      <c r="AB45" s="409"/>
      <c r="AC45" s="409"/>
      <c r="AD45" s="409"/>
      <c r="AE45" s="409"/>
      <c r="AF45" s="409"/>
      <c r="AG45" s="409"/>
      <c r="AH45" s="409"/>
      <c r="AI45" s="409"/>
      <c r="AJ45" s="409"/>
      <c r="AK45" s="409"/>
      <c r="AL45" s="409"/>
      <c r="AM45" s="409"/>
      <c r="AN45" s="409"/>
      <c r="AO45" s="409"/>
      <c r="AP45" s="409"/>
      <c r="AQ45" s="409"/>
      <c r="AR45" s="409"/>
      <c r="AS45" s="409"/>
    </row>
    <row r="46" spans="2:45" s="33" customFormat="1" x14ac:dyDescent="0.3">
      <c r="B46" s="63" t="s">
        <v>198</v>
      </c>
      <c r="C46" s="64"/>
      <c r="D46" s="31">
        <f t="shared" ref="D46:W46" si="41">+D41-D$39</f>
        <v>5.0492444444444402</v>
      </c>
      <c r="E46" s="32">
        <f t="shared" si="41"/>
        <v>5.6236888888888785</v>
      </c>
      <c r="F46" s="32">
        <f t="shared" si="41"/>
        <v>5.0422999999999973</v>
      </c>
      <c r="G46" s="32">
        <f t="shared" si="41"/>
        <v>5.2047999999999917</v>
      </c>
      <c r="H46" s="32">
        <f t="shared" si="41"/>
        <v>5.1414666666666591</v>
      </c>
      <c r="I46" s="32">
        <f t="shared" si="41"/>
        <v>5.0120222222222139</v>
      </c>
      <c r="J46" s="32">
        <f t="shared" si="41"/>
        <v>5.5270222222222145</v>
      </c>
      <c r="K46" s="32">
        <f t="shared" si="41"/>
        <v>5.7920222222222151</v>
      </c>
      <c r="L46" s="32">
        <f t="shared" si="41"/>
        <v>5.7531333333333237</v>
      </c>
      <c r="M46" s="32">
        <f t="shared" si="41"/>
        <v>5.2770222222222145</v>
      </c>
      <c r="N46" s="32">
        <f t="shared" si="41"/>
        <v>5.9153555555555499</v>
      </c>
      <c r="O46" s="32">
        <f t="shared" si="41"/>
        <v>5.0350777777777722</v>
      </c>
      <c r="P46" s="32">
        <f t="shared" si="41"/>
        <v>5.2770222222222145</v>
      </c>
      <c r="Q46" s="32">
        <f t="shared" si="41"/>
        <v>5.2770222222222145</v>
      </c>
      <c r="R46" s="32">
        <f t="shared" si="41"/>
        <v>5.237855555555555</v>
      </c>
      <c r="S46" s="32">
        <f t="shared" si="41"/>
        <v>5.4636888888888819</v>
      </c>
      <c r="T46" s="32">
        <f t="shared" si="41"/>
        <v>5.9065000000000083</v>
      </c>
      <c r="U46" s="32">
        <f t="shared" si="41"/>
        <v>5.411777777777786</v>
      </c>
      <c r="V46" s="32">
        <f t="shared" si="41"/>
        <v>5.9065000000000083</v>
      </c>
      <c r="W46" s="32">
        <f t="shared" si="41"/>
        <v>5.2770222222222145</v>
      </c>
      <c r="Y46" s="392"/>
      <c r="Z46" s="392"/>
      <c r="AA46" s="392"/>
      <c r="AB46" s="392"/>
      <c r="AC46" s="392"/>
      <c r="AD46" s="392"/>
      <c r="AE46" s="392"/>
      <c r="AF46" s="392"/>
      <c r="AG46" s="392"/>
      <c r="AH46" s="392"/>
      <c r="AI46" s="392"/>
      <c r="AJ46" s="392"/>
      <c r="AK46" s="392"/>
      <c r="AL46" s="392"/>
      <c r="AM46" s="392"/>
      <c r="AN46" s="392"/>
      <c r="AO46" s="392"/>
      <c r="AP46" s="392"/>
      <c r="AQ46" s="392"/>
      <c r="AR46" s="392"/>
      <c r="AS46" s="392"/>
    </row>
    <row r="47" spans="2:45" s="33" customFormat="1" x14ac:dyDescent="0.3">
      <c r="B47" s="63" t="s">
        <v>199</v>
      </c>
      <c r="C47" s="64"/>
      <c r="D47" s="31">
        <f t="shared" ref="D47:W47" si="42">+D42-D$39</f>
        <v>7.0492444444444402</v>
      </c>
      <c r="E47" s="32">
        <f t="shared" si="42"/>
        <v>7.6236888888888785</v>
      </c>
      <c r="F47" s="32">
        <f t="shared" si="42"/>
        <v>7.0422999999999973</v>
      </c>
      <c r="G47" s="32">
        <f t="shared" si="42"/>
        <v>7.2047999999999917</v>
      </c>
      <c r="H47" s="32">
        <f t="shared" si="42"/>
        <v>7.1414666666666591</v>
      </c>
      <c r="I47" s="32">
        <f t="shared" si="42"/>
        <v>7.0120222222222139</v>
      </c>
      <c r="J47" s="32">
        <f t="shared" si="42"/>
        <v>7.5270222222222145</v>
      </c>
      <c r="K47" s="32">
        <f t="shared" si="42"/>
        <v>7.7920222222222151</v>
      </c>
      <c r="L47" s="32">
        <f t="shared" si="42"/>
        <v>7.7531333333333237</v>
      </c>
      <c r="M47" s="32">
        <f t="shared" si="42"/>
        <v>7.2770222222222145</v>
      </c>
      <c r="N47" s="32">
        <f t="shared" si="42"/>
        <v>7.9153555555555499</v>
      </c>
      <c r="O47" s="32">
        <f t="shared" si="42"/>
        <v>7.0350777777777722</v>
      </c>
      <c r="P47" s="32">
        <f t="shared" si="42"/>
        <v>7.2770222222222145</v>
      </c>
      <c r="Q47" s="32">
        <f t="shared" si="42"/>
        <v>7.2770222222222145</v>
      </c>
      <c r="R47" s="32">
        <f t="shared" si="42"/>
        <v>7.237855555555555</v>
      </c>
      <c r="S47" s="32">
        <f t="shared" si="42"/>
        <v>7.4636888888888819</v>
      </c>
      <c r="T47" s="32">
        <f t="shared" si="42"/>
        <v>7.9065000000000083</v>
      </c>
      <c r="U47" s="32">
        <f t="shared" si="42"/>
        <v>7.411777777777786</v>
      </c>
      <c r="V47" s="32">
        <f t="shared" si="42"/>
        <v>7.9065000000000083</v>
      </c>
      <c r="W47" s="32">
        <f t="shared" si="42"/>
        <v>7.2770222222222145</v>
      </c>
      <c r="Y47" s="392"/>
      <c r="Z47" s="392"/>
      <c r="AA47" s="392"/>
      <c r="AB47" s="392"/>
      <c r="AC47" s="392"/>
      <c r="AD47" s="392"/>
      <c r="AE47" s="392"/>
      <c r="AF47" s="392"/>
      <c r="AG47" s="392"/>
      <c r="AH47" s="392"/>
      <c r="AI47" s="392"/>
      <c r="AJ47" s="392"/>
      <c r="AK47" s="392"/>
      <c r="AL47" s="392"/>
      <c r="AM47" s="392"/>
      <c r="AN47" s="392"/>
      <c r="AO47" s="392"/>
      <c r="AP47" s="392"/>
      <c r="AQ47" s="392"/>
      <c r="AR47" s="392"/>
      <c r="AS47" s="392"/>
    </row>
    <row r="48" spans="2:45" s="33" customFormat="1" x14ac:dyDescent="0.3">
      <c r="B48" s="63" t="s">
        <v>200</v>
      </c>
      <c r="C48" s="64"/>
      <c r="D48" s="31">
        <f t="shared" ref="D48:W48" si="43">+D43-D$39</f>
        <v>8.0492444444444402</v>
      </c>
      <c r="E48" s="32">
        <f t="shared" si="43"/>
        <v>8.6236888888888785</v>
      </c>
      <c r="F48" s="32">
        <f t="shared" si="43"/>
        <v>8.0422999999999973</v>
      </c>
      <c r="G48" s="32">
        <f t="shared" si="43"/>
        <v>8.2047999999999917</v>
      </c>
      <c r="H48" s="32">
        <f t="shared" si="43"/>
        <v>8.1414666666666591</v>
      </c>
      <c r="I48" s="32">
        <f t="shared" si="43"/>
        <v>8.0120222222222139</v>
      </c>
      <c r="J48" s="32">
        <f t="shared" si="43"/>
        <v>8.5270222222222145</v>
      </c>
      <c r="K48" s="32">
        <f t="shared" si="43"/>
        <v>8.7920222222222151</v>
      </c>
      <c r="L48" s="32">
        <f t="shared" si="43"/>
        <v>8.7531333333333237</v>
      </c>
      <c r="M48" s="32">
        <f t="shared" si="43"/>
        <v>8.2770222222222145</v>
      </c>
      <c r="N48" s="32">
        <f t="shared" si="43"/>
        <v>8.9153555555555499</v>
      </c>
      <c r="O48" s="32">
        <f t="shared" si="43"/>
        <v>8.0350777777777722</v>
      </c>
      <c r="P48" s="32">
        <f t="shared" si="43"/>
        <v>8.2770222222222145</v>
      </c>
      <c r="Q48" s="32">
        <f t="shared" si="43"/>
        <v>8.2770222222222145</v>
      </c>
      <c r="R48" s="32">
        <f t="shared" si="43"/>
        <v>8.237855555555555</v>
      </c>
      <c r="S48" s="32">
        <f t="shared" si="43"/>
        <v>8.4636888888888819</v>
      </c>
      <c r="T48" s="32">
        <f t="shared" si="43"/>
        <v>8.9065000000000083</v>
      </c>
      <c r="U48" s="32">
        <f t="shared" si="43"/>
        <v>8.411777777777786</v>
      </c>
      <c r="V48" s="32">
        <f t="shared" si="43"/>
        <v>8.9065000000000083</v>
      </c>
      <c r="W48" s="32">
        <f t="shared" si="43"/>
        <v>8.2770222222222145</v>
      </c>
      <c r="Y48" s="392"/>
      <c r="Z48" s="392"/>
      <c r="AA48" s="392"/>
      <c r="AB48" s="392"/>
      <c r="AC48" s="392"/>
      <c r="AD48" s="392"/>
      <c r="AE48" s="392"/>
      <c r="AF48" s="392"/>
      <c r="AG48" s="392"/>
      <c r="AH48" s="392"/>
      <c r="AI48" s="392"/>
      <c r="AJ48" s="392"/>
      <c r="AK48" s="392"/>
      <c r="AL48" s="392"/>
      <c r="AM48" s="392"/>
      <c r="AN48" s="392"/>
      <c r="AO48" s="392"/>
      <c r="AP48" s="392"/>
      <c r="AQ48" s="392"/>
      <c r="AR48" s="392"/>
      <c r="AS48" s="392"/>
    </row>
    <row r="49" spans="1:45" s="33" customFormat="1" x14ac:dyDescent="0.3">
      <c r="B49" s="63" t="s">
        <v>201</v>
      </c>
      <c r="C49" s="64"/>
      <c r="D49" s="31">
        <f t="shared" ref="D49:W49" si="44">+D44-D$39</f>
        <v>9.0492444444444402</v>
      </c>
      <c r="E49" s="32">
        <f t="shared" si="44"/>
        <v>9.6236888888888785</v>
      </c>
      <c r="F49" s="32">
        <f t="shared" si="44"/>
        <v>9.0422999999999973</v>
      </c>
      <c r="G49" s="32">
        <f t="shared" si="44"/>
        <v>9.2047999999999917</v>
      </c>
      <c r="H49" s="32">
        <f t="shared" si="44"/>
        <v>9.1414666666666591</v>
      </c>
      <c r="I49" s="32">
        <f t="shared" si="44"/>
        <v>9.0120222222222139</v>
      </c>
      <c r="J49" s="32">
        <f t="shared" si="44"/>
        <v>9.5270222222222145</v>
      </c>
      <c r="K49" s="32">
        <f t="shared" si="44"/>
        <v>9.7920222222222151</v>
      </c>
      <c r="L49" s="32">
        <f t="shared" si="44"/>
        <v>9.7531333333333237</v>
      </c>
      <c r="M49" s="32">
        <f t="shared" si="44"/>
        <v>9.2770222222222145</v>
      </c>
      <c r="N49" s="32">
        <f t="shared" si="44"/>
        <v>9.9153555555555499</v>
      </c>
      <c r="O49" s="32">
        <f t="shared" si="44"/>
        <v>9.0350777777777722</v>
      </c>
      <c r="P49" s="32">
        <f t="shared" si="44"/>
        <v>9.2770222222222145</v>
      </c>
      <c r="Q49" s="32">
        <f t="shared" si="44"/>
        <v>9.2770222222222145</v>
      </c>
      <c r="R49" s="32">
        <f t="shared" si="44"/>
        <v>9.237855555555555</v>
      </c>
      <c r="S49" s="32">
        <f t="shared" si="44"/>
        <v>9.4636888888888819</v>
      </c>
      <c r="T49" s="32">
        <f t="shared" si="44"/>
        <v>9.9065000000000083</v>
      </c>
      <c r="U49" s="32">
        <f t="shared" si="44"/>
        <v>9.411777777777786</v>
      </c>
      <c r="V49" s="32">
        <f t="shared" si="44"/>
        <v>9.9065000000000083</v>
      </c>
      <c r="W49" s="32">
        <f t="shared" si="44"/>
        <v>9.2770222222222145</v>
      </c>
      <c r="Y49" s="392"/>
      <c r="Z49" s="392"/>
      <c r="AA49" s="392"/>
      <c r="AB49" s="392"/>
      <c r="AC49" s="392"/>
      <c r="AD49" s="392"/>
      <c r="AE49" s="392"/>
      <c r="AF49" s="392"/>
      <c r="AG49" s="392"/>
      <c r="AH49" s="392"/>
      <c r="AI49" s="392"/>
      <c r="AJ49" s="392"/>
      <c r="AK49" s="392"/>
      <c r="AL49" s="392"/>
      <c r="AM49" s="392"/>
      <c r="AN49" s="392"/>
      <c r="AO49" s="392"/>
      <c r="AP49" s="392"/>
      <c r="AQ49" s="392"/>
      <c r="AR49" s="392"/>
      <c r="AS49" s="392"/>
    </row>
    <row r="50" spans="1:45" x14ac:dyDescent="0.3">
      <c r="B50" s="65" t="s">
        <v>108</v>
      </c>
      <c r="C50" s="55"/>
      <c r="D50" s="43">
        <v>0</v>
      </c>
      <c r="E50" s="408">
        <v>0</v>
      </c>
      <c r="F50" s="408">
        <v>0</v>
      </c>
      <c r="G50" s="408">
        <v>0</v>
      </c>
      <c r="H50" s="408">
        <v>0</v>
      </c>
      <c r="I50" s="408">
        <v>0</v>
      </c>
      <c r="J50" s="408">
        <v>0</v>
      </c>
      <c r="K50" s="408">
        <v>0</v>
      </c>
      <c r="L50" s="408">
        <v>0</v>
      </c>
      <c r="M50" s="408">
        <v>0</v>
      </c>
      <c r="N50" s="408">
        <v>0</v>
      </c>
      <c r="O50" s="408">
        <v>0</v>
      </c>
      <c r="P50" s="408">
        <v>0</v>
      </c>
      <c r="Q50" s="408">
        <v>0</v>
      </c>
      <c r="R50" s="408">
        <v>0</v>
      </c>
      <c r="S50" s="408">
        <v>0</v>
      </c>
      <c r="T50" s="408">
        <v>0</v>
      </c>
      <c r="U50" s="408">
        <v>0</v>
      </c>
      <c r="V50" s="408">
        <v>0</v>
      </c>
      <c r="W50" s="408">
        <v>0</v>
      </c>
      <c r="Y50" s="409"/>
      <c r="Z50" s="409"/>
      <c r="AA50" s="409"/>
      <c r="AB50" s="409"/>
      <c r="AC50" s="409"/>
      <c r="AD50" s="409"/>
      <c r="AE50" s="409"/>
      <c r="AF50" s="409"/>
      <c r="AG50" s="409"/>
      <c r="AH50" s="409"/>
      <c r="AI50" s="409"/>
      <c r="AJ50" s="409"/>
      <c r="AK50" s="409"/>
      <c r="AL50" s="409"/>
      <c r="AM50" s="409"/>
      <c r="AN50" s="409"/>
      <c r="AO50" s="409"/>
      <c r="AP50" s="409"/>
      <c r="AQ50" s="409"/>
      <c r="AR50" s="409"/>
      <c r="AS50" s="409"/>
    </row>
    <row r="51" spans="1:45" s="36" customFormat="1" x14ac:dyDescent="0.3">
      <c r="B51" s="65" t="s">
        <v>202</v>
      </c>
      <c r="C51" s="66"/>
      <c r="D51" s="35">
        <f>+D46/D$41</f>
        <v>6.3914486638537216E-2</v>
      </c>
      <c r="E51" s="35">
        <f t="shared" ref="E51:W51" si="45">+E46/E$41</f>
        <v>6.6948677248677119E-2</v>
      </c>
      <c r="F51" s="35">
        <f t="shared" si="45"/>
        <v>5.9321176470588204E-2</v>
      </c>
      <c r="G51" s="35">
        <f t="shared" si="45"/>
        <v>6.3473170731707218E-2</v>
      </c>
      <c r="H51" s="35">
        <f t="shared" si="45"/>
        <v>6.508185654008429E-2</v>
      </c>
      <c r="I51" s="35">
        <f t="shared" si="45"/>
        <v>6.265027777777768E-2</v>
      </c>
      <c r="J51" s="35">
        <f t="shared" si="45"/>
        <v>6.6590629183400168E-2</v>
      </c>
      <c r="K51" s="35">
        <f t="shared" si="45"/>
        <v>7.0634417344173361E-2</v>
      </c>
      <c r="L51" s="35">
        <f t="shared" si="45"/>
        <v>6.9314859437750884E-2</v>
      </c>
      <c r="M51" s="35">
        <f t="shared" si="45"/>
        <v>6.6797749648382462E-2</v>
      </c>
      <c r="N51" s="35">
        <f t="shared" si="45"/>
        <v>7.394194444444438E-2</v>
      </c>
      <c r="O51" s="35">
        <f t="shared" si="45"/>
        <v>5.9941402116402052E-2</v>
      </c>
      <c r="P51" s="35">
        <f t="shared" si="45"/>
        <v>6.6797749648382462E-2</v>
      </c>
      <c r="Q51" s="35">
        <f t="shared" si="45"/>
        <v>6.6797749648382462E-2</v>
      </c>
      <c r="R51" s="35">
        <f t="shared" si="45"/>
        <v>6.5473194444444438E-2</v>
      </c>
      <c r="S51" s="35">
        <f t="shared" si="45"/>
        <v>6.829611111111103E-2</v>
      </c>
      <c r="T51" s="35">
        <f t="shared" si="45"/>
        <v>7.1162650602409741E-2</v>
      </c>
      <c r="U51" s="35">
        <f t="shared" si="45"/>
        <v>5.947008547008556E-2</v>
      </c>
      <c r="V51" s="35">
        <f t="shared" si="45"/>
        <v>7.1162650602409741E-2</v>
      </c>
      <c r="W51" s="35">
        <f t="shared" si="45"/>
        <v>6.6797749648382462E-2</v>
      </c>
      <c r="Y51" s="393"/>
      <c r="Z51" s="393"/>
      <c r="AA51" s="393"/>
      <c r="AB51" s="393"/>
      <c r="AC51" s="393"/>
      <c r="AD51" s="393"/>
      <c r="AE51" s="393"/>
      <c r="AF51" s="393"/>
      <c r="AG51" s="393"/>
      <c r="AH51" s="393"/>
      <c r="AI51" s="393"/>
      <c r="AJ51" s="393"/>
      <c r="AK51" s="393"/>
      <c r="AL51" s="393"/>
      <c r="AM51" s="393"/>
      <c r="AN51" s="393"/>
      <c r="AO51" s="393"/>
      <c r="AP51" s="393"/>
      <c r="AQ51" s="393"/>
      <c r="AR51" s="393"/>
      <c r="AS51" s="393"/>
    </row>
    <row r="52" spans="1:45" s="36" customFormat="1" x14ac:dyDescent="0.3">
      <c r="B52" s="65" t="s">
        <v>203</v>
      </c>
      <c r="C52" s="66"/>
      <c r="D52" s="35">
        <f>+D47/D$42</f>
        <v>8.7027709190672098E-2</v>
      </c>
      <c r="E52" s="35">
        <f t="shared" ref="E52:W52" si="46">+E47/E$42</f>
        <v>8.8647545219638121E-2</v>
      </c>
      <c r="F52" s="35">
        <f t="shared" si="46"/>
        <v>8.0945977011494225E-2</v>
      </c>
      <c r="G52" s="35">
        <f t="shared" si="46"/>
        <v>8.5771428571428471E-2</v>
      </c>
      <c r="H52" s="35">
        <f>+H47/H$42</f>
        <v>8.8166255144032826E-2</v>
      </c>
      <c r="I52" s="35">
        <f t="shared" si="46"/>
        <v>8.5512466124661152E-2</v>
      </c>
      <c r="J52" s="35">
        <f t="shared" si="46"/>
        <v>8.855320261437899E-2</v>
      </c>
      <c r="K52" s="35">
        <f t="shared" si="46"/>
        <v>9.2762169312169226E-2</v>
      </c>
      <c r="L52" s="35">
        <f t="shared" si="46"/>
        <v>9.1213333333333216E-2</v>
      </c>
      <c r="M52" s="35">
        <f t="shared" si="46"/>
        <v>8.9839780521261903E-2</v>
      </c>
      <c r="N52" s="35">
        <f t="shared" si="46"/>
        <v>9.6528726287262806E-2</v>
      </c>
      <c r="O52" s="35">
        <f t="shared" si="46"/>
        <v>8.1803229974160147E-2</v>
      </c>
      <c r="P52" s="35">
        <f t="shared" si="46"/>
        <v>8.9839780521261903E-2</v>
      </c>
      <c r="Q52" s="35">
        <f t="shared" si="46"/>
        <v>8.9839780521261903E-2</v>
      </c>
      <c r="R52" s="35">
        <f t="shared" si="46"/>
        <v>8.8266531165311649E-2</v>
      </c>
      <c r="S52" s="35">
        <f t="shared" si="46"/>
        <v>9.1020596205961979E-2</v>
      </c>
      <c r="T52" s="35">
        <f t="shared" si="46"/>
        <v>9.3017647058823621E-2</v>
      </c>
      <c r="U52" s="35">
        <f t="shared" si="46"/>
        <v>7.9696535244922428E-2</v>
      </c>
      <c r="V52" s="35">
        <f t="shared" si="46"/>
        <v>9.3017647058823621E-2</v>
      </c>
      <c r="W52" s="35">
        <f t="shared" si="46"/>
        <v>8.9839780521261903E-2</v>
      </c>
      <c r="Y52" s="393"/>
      <c r="Z52" s="393"/>
      <c r="AA52" s="393"/>
      <c r="AB52" s="393"/>
      <c r="AC52" s="393"/>
      <c r="AD52" s="393"/>
      <c r="AE52" s="393"/>
      <c r="AF52" s="393"/>
      <c r="AG52" s="393"/>
      <c r="AH52" s="393"/>
      <c r="AI52" s="393"/>
      <c r="AJ52" s="393"/>
      <c r="AK52" s="393"/>
      <c r="AL52" s="393"/>
      <c r="AM52" s="393"/>
      <c r="AN52" s="393"/>
      <c r="AO52" s="393"/>
      <c r="AP52" s="393"/>
      <c r="AQ52" s="393"/>
      <c r="AR52" s="393"/>
      <c r="AS52" s="393"/>
    </row>
    <row r="53" spans="1:45" s="36" customFormat="1" x14ac:dyDescent="0.3">
      <c r="B53" s="65" t="s">
        <v>204</v>
      </c>
      <c r="C53" s="66"/>
      <c r="D53" s="35">
        <f>+D48/D$43</f>
        <v>9.8161517615176094E-2</v>
      </c>
      <c r="E53" s="35">
        <f t="shared" ref="E53:W53" si="47">+E48/E$43</f>
        <v>9.9122860791826195E-2</v>
      </c>
      <c r="F53" s="35">
        <f t="shared" si="47"/>
        <v>9.1389772727272695E-2</v>
      </c>
      <c r="G53" s="35">
        <f t="shared" si="47"/>
        <v>9.6527058823529313E-2</v>
      </c>
      <c r="H53" s="35">
        <f t="shared" si="47"/>
        <v>9.9286178861788532E-2</v>
      </c>
      <c r="I53" s="35">
        <f t="shared" si="47"/>
        <v>9.6530388219544752E-2</v>
      </c>
      <c r="J53" s="35">
        <f>+J48/J$43</f>
        <v>9.9151421188630406E-2</v>
      </c>
      <c r="K53" s="35">
        <f t="shared" si="47"/>
        <v>0.10343555555555548</v>
      </c>
      <c r="L53" s="35">
        <f t="shared" si="47"/>
        <v>0.10178062015503865</v>
      </c>
      <c r="M53" s="35">
        <f t="shared" si="47"/>
        <v>0.10093929539295383</v>
      </c>
      <c r="N53" s="35">
        <f t="shared" si="47"/>
        <v>0.10741392235609096</v>
      </c>
      <c r="O53" s="35">
        <f t="shared" si="47"/>
        <v>9.2357215836526119E-2</v>
      </c>
      <c r="P53" s="35">
        <f t="shared" si="47"/>
        <v>0.10093929539295383</v>
      </c>
      <c r="Q53" s="35">
        <f t="shared" si="47"/>
        <v>0.10093929539295383</v>
      </c>
      <c r="R53" s="35">
        <f t="shared" si="47"/>
        <v>9.9251271753681383E-2</v>
      </c>
      <c r="S53" s="35">
        <f t="shared" si="47"/>
        <v>0.10197215528781785</v>
      </c>
      <c r="T53" s="35">
        <f t="shared" si="47"/>
        <v>0.10356395348837219</v>
      </c>
      <c r="U53" s="35">
        <f t="shared" si="47"/>
        <v>8.9486997635933888E-2</v>
      </c>
      <c r="V53" s="35">
        <f t="shared" si="47"/>
        <v>0.10356395348837219</v>
      </c>
      <c r="W53" s="35">
        <f t="shared" si="47"/>
        <v>0.10093929539295383</v>
      </c>
      <c r="Y53" s="393"/>
      <c r="Z53" s="393"/>
      <c r="AA53" s="393"/>
      <c r="AB53" s="393"/>
      <c r="AC53" s="393"/>
      <c r="AD53" s="393"/>
      <c r="AE53" s="393"/>
      <c r="AF53" s="393"/>
      <c r="AG53" s="393"/>
      <c r="AH53" s="393"/>
      <c r="AI53" s="393"/>
      <c r="AJ53" s="393"/>
      <c r="AK53" s="393"/>
      <c r="AL53" s="393"/>
      <c r="AM53" s="393"/>
      <c r="AN53" s="393"/>
      <c r="AO53" s="393"/>
      <c r="AP53" s="393"/>
      <c r="AQ53" s="393"/>
      <c r="AR53" s="393"/>
      <c r="AS53" s="393"/>
    </row>
    <row r="54" spans="1:45" s="36" customFormat="1" x14ac:dyDescent="0.3">
      <c r="B54" s="65" t="s">
        <v>205</v>
      </c>
      <c r="C54" s="66"/>
      <c r="D54" s="35">
        <f>+D49/D$44</f>
        <v>0.10902704149933061</v>
      </c>
      <c r="E54" s="35">
        <f t="shared" ref="E54:W54" si="48">+E49/E$44</f>
        <v>0.10936010101010089</v>
      </c>
      <c r="F54" s="35">
        <f t="shared" si="48"/>
        <v>0.10159887640449435</v>
      </c>
      <c r="G54" s="35">
        <f t="shared" si="48"/>
        <v>0.10703255813953479</v>
      </c>
      <c r="H54" s="35">
        <f t="shared" si="48"/>
        <v>0.11013815261044167</v>
      </c>
      <c r="I54" s="35">
        <f t="shared" si="48"/>
        <v>0.10728597883597873</v>
      </c>
      <c r="J54" s="35">
        <f t="shared" si="48"/>
        <v>0.10950600255427832</v>
      </c>
      <c r="K54" s="35">
        <f t="shared" si="48"/>
        <v>0.11386072351421181</v>
      </c>
      <c r="L54" s="35">
        <f t="shared" si="48"/>
        <v>0.11210498084291176</v>
      </c>
      <c r="M54" s="35">
        <f t="shared" si="48"/>
        <v>0.11177135207496644</v>
      </c>
      <c r="N54" s="35">
        <f t="shared" si="48"/>
        <v>0.11803994708994703</v>
      </c>
      <c r="O54" s="35">
        <f t="shared" si="48"/>
        <v>0.10267133838383832</v>
      </c>
      <c r="P54" s="35">
        <f t="shared" si="48"/>
        <v>0.11177135207496644</v>
      </c>
      <c r="Q54" s="35">
        <f t="shared" si="48"/>
        <v>0.11177135207496644</v>
      </c>
      <c r="R54" s="35">
        <f t="shared" si="48"/>
        <v>0.10997447089947089</v>
      </c>
      <c r="S54" s="35">
        <f t="shared" si="48"/>
        <v>0.11266296296296288</v>
      </c>
      <c r="T54" s="35">
        <f t="shared" si="48"/>
        <v>0.11386781609195412</v>
      </c>
      <c r="U54" s="35">
        <f t="shared" si="48"/>
        <v>9.9071345029239852E-2</v>
      </c>
      <c r="V54" s="35">
        <f t="shared" si="48"/>
        <v>0.11386781609195412</v>
      </c>
      <c r="W54" s="35">
        <f t="shared" si="48"/>
        <v>0.11177135207496644</v>
      </c>
      <c r="Y54" s="393"/>
      <c r="Z54" s="393"/>
      <c r="AA54" s="393"/>
      <c r="AB54" s="393"/>
      <c r="AC54" s="393"/>
      <c r="AD54" s="393"/>
      <c r="AE54" s="393"/>
      <c r="AF54" s="393"/>
      <c r="AG54" s="393"/>
      <c r="AH54" s="393"/>
      <c r="AI54" s="393"/>
      <c r="AJ54" s="393"/>
      <c r="AK54" s="393"/>
      <c r="AL54" s="393"/>
      <c r="AM54" s="393"/>
      <c r="AN54" s="393"/>
      <c r="AO54" s="393"/>
      <c r="AP54" s="393"/>
      <c r="AQ54" s="393"/>
      <c r="AR54" s="393"/>
      <c r="AS54" s="393"/>
    </row>
    <row r="55" spans="1:45" ht="21" thickBot="1" x14ac:dyDescent="0.35"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Y55" s="390"/>
      <c r="Z55" s="390"/>
      <c r="AA55" s="390"/>
      <c r="AB55" s="390"/>
      <c r="AC55" s="390"/>
      <c r="AD55" s="390"/>
      <c r="AE55" s="390"/>
      <c r="AF55" s="390"/>
      <c r="AG55" s="390"/>
      <c r="AH55" s="390"/>
      <c r="AI55" s="390"/>
      <c r="AJ55" s="390"/>
      <c r="AK55" s="390"/>
      <c r="AL55" s="390"/>
      <c r="AM55" s="390"/>
      <c r="AN55" s="390"/>
      <c r="AO55" s="390"/>
      <c r="AP55" s="390"/>
      <c r="AQ55" s="390"/>
      <c r="AR55" s="390"/>
      <c r="AS55" s="390"/>
    </row>
    <row r="56" spans="1:45" ht="21" thickBot="1" x14ac:dyDescent="0.35">
      <c r="A56" s="15" t="s">
        <v>311</v>
      </c>
      <c r="B56" s="67" t="s">
        <v>36</v>
      </c>
      <c r="C56" s="68"/>
      <c r="D56" s="17" t="s">
        <v>5</v>
      </c>
      <c r="E56" s="18" t="s">
        <v>6</v>
      </c>
      <c r="F56" s="18" t="s">
        <v>7</v>
      </c>
      <c r="G56" s="18" t="s">
        <v>8</v>
      </c>
      <c r="H56" s="18" t="s">
        <v>9</v>
      </c>
      <c r="I56" s="18" t="s">
        <v>10</v>
      </c>
      <c r="J56" s="18" t="s">
        <v>11</v>
      </c>
      <c r="K56" s="18" t="s">
        <v>12</v>
      </c>
      <c r="L56" s="18" t="s">
        <v>13</v>
      </c>
      <c r="M56" s="18" t="s">
        <v>14</v>
      </c>
      <c r="N56" s="18" t="s">
        <v>15</v>
      </c>
      <c r="O56" s="18" t="s">
        <v>16</v>
      </c>
      <c r="P56" s="18" t="s">
        <v>17</v>
      </c>
      <c r="Q56" s="18" t="s">
        <v>18</v>
      </c>
      <c r="R56" s="18" t="s">
        <v>19</v>
      </c>
      <c r="S56" s="18" t="s">
        <v>20</v>
      </c>
      <c r="T56" s="18" t="s">
        <v>21</v>
      </c>
      <c r="U56" s="18" t="s">
        <v>22</v>
      </c>
      <c r="V56" s="18" t="s">
        <v>23</v>
      </c>
      <c r="W56" s="18" t="s">
        <v>166</v>
      </c>
      <c r="Y56" s="390"/>
      <c r="Z56" s="390"/>
      <c r="AA56" s="390"/>
      <c r="AB56" s="390"/>
      <c r="AC56" s="390"/>
      <c r="AD56" s="390"/>
      <c r="AE56" s="390"/>
      <c r="AF56" s="390"/>
      <c r="AG56" s="390"/>
      <c r="AH56" s="390"/>
      <c r="AI56" s="390"/>
      <c r="AJ56" s="390"/>
      <c r="AK56" s="390"/>
      <c r="AL56" s="390"/>
      <c r="AM56" s="390"/>
      <c r="AN56" s="390"/>
      <c r="AO56" s="390"/>
      <c r="AP56" s="390"/>
      <c r="AQ56" s="390"/>
      <c r="AR56" s="390"/>
      <c r="AS56" s="390"/>
    </row>
    <row r="57" spans="1:45" x14ac:dyDescent="0.3">
      <c r="B57" s="54" t="s">
        <v>50</v>
      </c>
      <c r="C57" s="55"/>
      <c r="D57" s="20">
        <v>89</v>
      </c>
      <c r="E57" s="21">
        <v>89</v>
      </c>
      <c r="F57" s="21">
        <v>89</v>
      </c>
      <c r="G57" s="21">
        <v>89</v>
      </c>
      <c r="H57" s="21">
        <v>89</v>
      </c>
      <c r="I57" s="21">
        <v>89</v>
      </c>
      <c r="J57" s="21">
        <v>89</v>
      </c>
      <c r="K57" s="21">
        <v>89</v>
      </c>
      <c r="L57" s="21">
        <v>89</v>
      </c>
      <c r="M57" s="21">
        <v>89</v>
      </c>
      <c r="N57" s="21">
        <v>89</v>
      </c>
      <c r="O57" s="21">
        <v>89</v>
      </c>
      <c r="P57" s="21">
        <v>89</v>
      </c>
      <c r="Q57" s="21">
        <v>89</v>
      </c>
      <c r="R57" s="21">
        <v>89</v>
      </c>
      <c r="S57" s="21">
        <v>89</v>
      </c>
      <c r="T57" s="21"/>
      <c r="U57" s="21"/>
      <c r="V57" s="21"/>
      <c r="W57" s="21">
        <v>89</v>
      </c>
      <c r="Y57" s="390"/>
      <c r="Z57" s="390"/>
      <c r="AA57" s="390"/>
      <c r="AB57" s="390"/>
      <c r="AC57" s="390"/>
      <c r="AD57" s="390"/>
      <c r="AE57" s="390"/>
      <c r="AF57" s="390"/>
      <c r="AG57" s="390"/>
      <c r="AH57" s="390"/>
      <c r="AI57" s="390"/>
      <c r="AJ57" s="390"/>
      <c r="AK57" s="390"/>
      <c r="AL57" s="390"/>
      <c r="AM57" s="390"/>
      <c r="AN57" s="390"/>
      <c r="AO57" s="390"/>
      <c r="AP57" s="390"/>
      <c r="AQ57" s="390"/>
      <c r="AR57" s="390"/>
      <c r="AS57" s="390"/>
    </row>
    <row r="58" spans="1:45" x14ac:dyDescent="0.3">
      <c r="B58" s="54" t="s">
        <v>51</v>
      </c>
      <c r="C58" s="55"/>
      <c r="D58" s="218">
        <v>0.26</v>
      </c>
      <c r="E58" s="218">
        <f>D58</f>
        <v>0.26</v>
      </c>
      <c r="F58" s="218">
        <f>D58</f>
        <v>0.26</v>
      </c>
      <c r="G58" s="218">
        <f>D58</f>
        <v>0.26</v>
      </c>
      <c r="H58" s="218">
        <f>D58</f>
        <v>0.26</v>
      </c>
      <c r="I58" s="218">
        <f>D58</f>
        <v>0.26</v>
      </c>
      <c r="J58" s="218">
        <f>D58</f>
        <v>0.26</v>
      </c>
      <c r="K58" s="218">
        <f>D58</f>
        <v>0.26</v>
      </c>
      <c r="L58" s="218">
        <f>D58</f>
        <v>0.26</v>
      </c>
      <c r="M58" s="218">
        <f>D58</f>
        <v>0.26</v>
      </c>
      <c r="N58" s="218">
        <f>D58</f>
        <v>0.26</v>
      </c>
      <c r="O58" s="218">
        <f>D58</f>
        <v>0.26</v>
      </c>
      <c r="P58" s="218">
        <f>D58</f>
        <v>0.26</v>
      </c>
      <c r="Q58" s="218">
        <f>D58</f>
        <v>0.26</v>
      </c>
      <c r="R58" s="218">
        <f>D58</f>
        <v>0.26</v>
      </c>
      <c r="S58" s="218">
        <f>D58</f>
        <v>0.26</v>
      </c>
      <c r="T58" s="218"/>
      <c r="U58" s="218"/>
      <c r="V58" s="218"/>
      <c r="W58" s="218">
        <f>J58</f>
        <v>0.26</v>
      </c>
      <c r="Y58" s="390"/>
      <c r="Z58" s="390"/>
      <c r="AA58" s="390"/>
      <c r="AB58" s="390"/>
      <c r="AC58" s="390"/>
      <c r="AD58" s="390"/>
      <c r="AE58" s="390"/>
      <c r="AF58" s="390"/>
      <c r="AG58" s="390"/>
      <c r="AH58" s="390"/>
      <c r="AI58" s="390"/>
      <c r="AJ58" s="390"/>
      <c r="AK58" s="390"/>
      <c r="AL58" s="390"/>
      <c r="AM58" s="390"/>
      <c r="AN58" s="390"/>
      <c r="AO58" s="390"/>
      <c r="AP58" s="390"/>
      <c r="AQ58" s="390"/>
      <c r="AR58" s="390"/>
      <c r="AS58" s="390"/>
    </row>
    <row r="59" spans="1:45" x14ac:dyDescent="0.3">
      <c r="B59" s="54" t="s">
        <v>56</v>
      </c>
      <c r="C59" s="55"/>
      <c r="D59" s="24">
        <v>0</v>
      </c>
      <c r="E59" s="24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/>
      <c r="U59" s="21"/>
      <c r="V59" s="21"/>
      <c r="W59" s="21">
        <v>0</v>
      </c>
      <c r="Y59" s="390"/>
      <c r="Z59" s="390"/>
      <c r="AA59" s="390"/>
      <c r="AB59" s="390"/>
      <c r="AC59" s="390"/>
      <c r="AD59" s="390"/>
      <c r="AE59" s="390"/>
      <c r="AF59" s="390"/>
      <c r="AG59" s="390"/>
      <c r="AH59" s="390"/>
      <c r="AI59" s="390"/>
      <c r="AJ59" s="390"/>
      <c r="AK59" s="390"/>
      <c r="AL59" s="390"/>
      <c r="AM59" s="390"/>
      <c r="AN59" s="390"/>
      <c r="AO59" s="390"/>
      <c r="AP59" s="390"/>
      <c r="AQ59" s="390"/>
      <c r="AR59" s="390"/>
      <c r="AS59" s="390"/>
    </row>
    <row r="60" spans="1:45" x14ac:dyDescent="0.3">
      <c r="B60" s="177" t="s">
        <v>67</v>
      </c>
      <c r="C60" s="178"/>
      <c r="D60" s="323">
        <f>D57-(D57*D58)</f>
        <v>65.86</v>
      </c>
      <c r="E60" s="323">
        <f t="shared" ref="E60:W60" si="49">E57-(E57*E58)</f>
        <v>65.86</v>
      </c>
      <c r="F60" s="323">
        <f t="shared" si="49"/>
        <v>65.86</v>
      </c>
      <c r="G60" s="323">
        <f t="shared" si="49"/>
        <v>65.86</v>
      </c>
      <c r="H60" s="323">
        <f t="shared" si="49"/>
        <v>65.86</v>
      </c>
      <c r="I60" s="323">
        <f t="shared" si="49"/>
        <v>65.86</v>
      </c>
      <c r="J60" s="323">
        <f t="shared" si="49"/>
        <v>65.86</v>
      </c>
      <c r="K60" s="323">
        <f t="shared" si="49"/>
        <v>65.86</v>
      </c>
      <c r="L60" s="323">
        <f t="shared" si="49"/>
        <v>65.86</v>
      </c>
      <c r="M60" s="323">
        <f t="shared" si="49"/>
        <v>65.86</v>
      </c>
      <c r="N60" s="323">
        <f t="shared" si="49"/>
        <v>65.86</v>
      </c>
      <c r="O60" s="323">
        <f t="shared" si="49"/>
        <v>65.86</v>
      </c>
      <c r="P60" s="323">
        <f t="shared" si="49"/>
        <v>65.86</v>
      </c>
      <c r="Q60" s="323">
        <f t="shared" si="49"/>
        <v>65.86</v>
      </c>
      <c r="R60" s="323">
        <f t="shared" si="49"/>
        <v>65.86</v>
      </c>
      <c r="S60" s="323">
        <f t="shared" si="49"/>
        <v>65.86</v>
      </c>
      <c r="T60" s="323">
        <v>72.05</v>
      </c>
      <c r="U60" s="323">
        <v>72.05</v>
      </c>
      <c r="V60" s="323">
        <v>72.05</v>
      </c>
      <c r="W60" s="323">
        <f t="shared" si="49"/>
        <v>65.86</v>
      </c>
      <c r="Y60" s="390"/>
      <c r="Z60" s="390"/>
      <c r="AA60" s="390"/>
      <c r="AB60" s="390"/>
      <c r="AC60" s="390"/>
      <c r="AD60" s="390"/>
      <c r="AE60" s="390"/>
      <c r="AF60" s="390"/>
      <c r="AG60" s="390"/>
      <c r="AH60" s="390"/>
      <c r="AI60" s="390"/>
      <c r="AJ60" s="390"/>
      <c r="AK60" s="390"/>
      <c r="AL60" s="390"/>
      <c r="AM60" s="390"/>
      <c r="AN60" s="390"/>
      <c r="AO60" s="390"/>
      <c r="AP60" s="390"/>
      <c r="AQ60" s="390"/>
      <c r="AR60" s="390"/>
      <c r="AS60" s="390"/>
    </row>
    <row r="61" spans="1:45" x14ac:dyDescent="0.3">
      <c r="B61" s="54" t="s">
        <v>66</v>
      </c>
      <c r="C61" s="56">
        <v>7.0000000000000007E-2</v>
      </c>
      <c r="D61" s="24">
        <f t="shared" ref="D61:W61" si="50">D60*$C61</f>
        <v>4.6102000000000007</v>
      </c>
      <c r="E61" s="24">
        <f t="shared" si="50"/>
        <v>4.6102000000000007</v>
      </c>
      <c r="F61" s="24">
        <f t="shared" si="50"/>
        <v>4.6102000000000007</v>
      </c>
      <c r="G61" s="24">
        <f t="shared" si="50"/>
        <v>4.6102000000000007</v>
      </c>
      <c r="H61" s="24">
        <f t="shared" si="50"/>
        <v>4.6102000000000007</v>
      </c>
      <c r="I61" s="24">
        <f t="shared" si="50"/>
        <v>4.6102000000000007</v>
      </c>
      <c r="J61" s="24">
        <f t="shared" si="50"/>
        <v>4.6102000000000007</v>
      </c>
      <c r="K61" s="24">
        <f t="shared" si="50"/>
        <v>4.6102000000000007</v>
      </c>
      <c r="L61" s="24">
        <f t="shared" si="50"/>
        <v>4.6102000000000007</v>
      </c>
      <c r="M61" s="24">
        <f t="shared" si="50"/>
        <v>4.6102000000000007</v>
      </c>
      <c r="N61" s="24">
        <f t="shared" si="50"/>
        <v>4.6102000000000007</v>
      </c>
      <c r="O61" s="24">
        <f t="shared" si="50"/>
        <v>4.6102000000000007</v>
      </c>
      <c r="P61" s="24">
        <f t="shared" si="50"/>
        <v>4.6102000000000007</v>
      </c>
      <c r="Q61" s="24">
        <f t="shared" si="50"/>
        <v>4.6102000000000007</v>
      </c>
      <c r="R61" s="24">
        <f t="shared" si="50"/>
        <v>4.6102000000000007</v>
      </c>
      <c r="S61" s="24">
        <f t="shared" si="50"/>
        <v>4.6102000000000007</v>
      </c>
      <c r="T61" s="24">
        <f t="shared" si="50"/>
        <v>5.0434999999999999</v>
      </c>
      <c r="U61" s="24">
        <f t="shared" si="50"/>
        <v>5.0434999999999999</v>
      </c>
      <c r="V61" s="24">
        <f t="shared" si="50"/>
        <v>5.0434999999999999</v>
      </c>
      <c r="W61" s="24">
        <f t="shared" si="50"/>
        <v>4.6102000000000007</v>
      </c>
      <c r="Y61" s="390"/>
      <c r="Z61" s="390"/>
      <c r="AA61" s="390"/>
      <c r="AB61" s="390"/>
      <c r="AC61" s="390"/>
      <c r="AD61" s="390"/>
      <c r="AE61" s="390"/>
      <c r="AF61" s="390"/>
      <c r="AG61" s="390"/>
      <c r="AH61" s="390"/>
      <c r="AI61" s="390"/>
      <c r="AJ61" s="390"/>
      <c r="AK61" s="390"/>
      <c r="AL61" s="390"/>
      <c r="AM61" s="390"/>
      <c r="AN61" s="390"/>
      <c r="AO61" s="390"/>
      <c r="AP61" s="390"/>
      <c r="AQ61" s="390"/>
      <c r="AR61" s="390"/>
      <c r="AS61" s="390"/>
    </row>
    <row r="62" spans="1:45" x14ac:dyDescent="0.3">
      <c r="B62" s="54" t="s">
        <v>68</v>
      </c>
      <c r="C62" s="55"/>
      <c r="D62" s="21">
        <f t="shared" ref="D62:W62" si="51">D60+D61</f>
        <v>70.470200000000006</v>
      </c>
      <c r="E62" s="21">
        <f t="shared" si="51"/>
        <v>70.470200000000006</v>
      </c>
      <c r="F62" s="21">
        <f t="shared" si="51"/>
        <v>70.470200000000006</v>
      </c>
      <c r="G62" s="21">
        <f t="shared" si="51"/>
        <v>70.470200000000006</v>
      </c>
      <c r="H62" s="21">
        <f t="shared" si="51"/>
        <v>70.470200000000006</v>
      </c>
      <c r="I62" s="21">
        <f t="shared" si="51"/>
        <v>70.470200000000006</v>
      </c>
      <c r="J62" s="21">
        <f t="shared" si="51"/>
        <v>70.470200000000006</v>
      </c>
      <c r="K62" s="21">
        <f t="shared" si="51"/>
        <v>70.470200000000006</v>
      </c>
      <c r="L62" s="21">
        <f t="shared" si="51"/>
        <v>70.470200000000006</v>
      </c>
      <c r="M62" s="21">
        <f t="shared" si="51"/>
        <v>70.470200000000006</v>
      </c>
      <c r="N62" s="21">
        <f t="shared" si="51"/>
        <v>70.470200000000006</v>
      </c>
      <c r="O62" s="21">
        <f t="shared" si="51"/>
        <v>70.470200000000006</v>
      </c>
      <c r="P62" s="21">
        <f t="shared" si="51"/>
        <v>70.470200000000006</v>
      </c>
      <c r="Q62" s="21">
        <f t="shared" si="51"/>
        <v>70.470200000000006</v>
      </c>
      <c r="R62" s="21">
        <f t="shared" si="51"/>
        <v>70.470200000000006</v>
      </c>
      <c r="S62" s="21">
        <f t="shared" si="51"/>
        <v>70.470200000000006</v>
      </c>
      <c r="T62" s="21">
        <f t="shared" si="51"/>
        <v>77.093499999999992</v>
      </c>
      <c r="U62" s="21">
        <f t="shared" si="51"/>
        <v>77.093499999999992</v>
      </c>
      <c r="V62" s="21">
        <f t="shared" si="51"/>
        <v>77.093499999999992</v>
      </c>
      <c r="W62" s="21">
        <f t="shared" si="51"/>
        <v>70.470200000000006</v>
      </c>
      <c r="Y62" s="390"/>
      <c r="Z62" s="390"/>
      <c r="AA62" s="390"/>
      <c r="AB62" s="390"/>
      <c r="AC62" s="390"/>
      <c r="AD62" s="390"/>
      <c r="AE62" s="390"/>
      <c r="AF62" s="390"/>
      <c r="AG62" s="390"/>
      <c r="AH62" s="390"/>
      <c r="AI62" s="390"/>
      <c r="AJ62" s="390"/>
      <c r="AK62" s="390"/>
      <c r="AL62" s="390"/>
      <c r="AM62" s="390"/>
      <c r="AN62" s="390"/>
      <c r="AO62" s="390"/>
      <c r="AP62" s="390"/>
      <c r="AQ62" s="390"/>
      <c r="AR62" s="390"/>
      <c r="AS62" s="390"/>
    </row>
    <row r="63" spans="1:45" x14ac:dyDescent="0.3">
      <c r="B63" s="54" t="s">
        <v>52</v>
      </c>
      <c r="C63" s="55"/>
      <c r="D63" s="398">
        <f>Y65</f>
        <v>3.4805555555555556</v>
      </c>
      <c r="E63" s="398">
        <f t="shared" ref="E63:W63" si="52">Z65</f>
        <v>7.9061111111111115</v>
      </c>
      <c r="F63" s="398">
        <f t="shared" si="52"/>
        <v>9.4875000000000007</v>
      </c>
      <c r="G63" s="398">
        <f t="shared" si="52"/>
        <v>6.3250000000000002</v>
      </c>
      <c r="H63" s="398">
        <f t="shared" si="52"/>
        <v>3.3883333333333332</v>
      </c>
      <c r="I63" s="398">
        <f t="shared" si="52"/>
        <v>4.5177777777777779</v>
      </c>
      <c r="J63" s="398">
        <f t="shared" si="52"/>
        <v>7.0027777777777782</v>
      </c>
      <c r="K63" s="398">
        <f t="shared" si="52"/>
        <v>5.7377777777777776</v>
      </c>
      <c r="L63" s="398">
        <f t="shared" si="52"/>
        <v>6.7766666666666664</v>
      </c>
      <c r="M63" s="398">
        <f t="shared" si="52"/>
        <v>3.2527777777777778</v>
      </c>
      <c r="N63" s="398">
        <f t="shared" si="52"/>
        <v>3.6144444444444446</v>
      </c>
      <c r="O63" s="398">
        <f t="shared" si="52"/>
        <v>8.4947222222222223</v>
      </c>
      <c r="P63" s="398">
        <f t="shared" si="52"/>
        <v>3.2527777777777778</v>
      </c>
      <c r="Q63" s="398">
        <f t="shared" si="52"/>
        <v>3.2527777777777778</v>
      </c>
      <c r="R63" s="398">
        <f t="shared" si="52"/>
        <v>4.2919444444444448</v>
      </c>
      <c r="S63" s="398">
        <f t="shared" si="52"/>
        <v>4.0661111111111108</v>
      </c>
      <c r="T63" s="398">
        <f t="shared" si="52"/>
        <v>0</v>
      </c>
      <c r="U63" s="398">
        <f t="shared" si="52"/>
        <v>8.4947222222222223</v>
      </c>
      <c r="V63" s="398">
        <f t="shared" si="52"/>
        <v>0</v>
      </c>
      <c r="W63" s="398">
        <f t="shared" si="52"/>
        <v>3.2527777777777778</v>
      </c>
      <c r="Y63" s="390">
        <v>12530</v>
      </c>
      <c r="Z63" s="390">
        <v>28462</v>
      </c>
      <c r="AA63" s="390">
        <v>34155</v>
      </c>
      <c r="AB63" s="390">
        <v>22770</v>
      </c>
      <c r="AC63" s="390">
        <v>12198</v>
      </c>
      <c r="AD63" s="390">
        <v>16264</v>
      </c>
      <c r="AE63" s="390">
        <v>25210</v>
      </c>
      <c r="AF63" s="390">
        <v>20656</v>
      </c>
      <c r="AG63" s="390">
        <v>24396</v>
      </c>
      <c r="AH63" s="390">
        <v>11710</v>
      </c>
      <c r="AI63" s="390">
        <v>13012</v>
      </c>
      <c r="AJ63" s="390">
        <v>30581</v>
      </c>
      <c r="AK63" s="396">
        <v>11710</v>
      </c>
      <c r="AL63" s="396">
        <v>11710</v>
      </c>
      <c r="AM63" s="390">
        <v>15451</v>
      </c>
      <c r="AN63" s="390">
        <v>14638</v>
      </c>
      <c r="AO63" s="390"/>
      <c r="AP63" s="396">
        <v>30581</v>
      </c>
      <c r="AQ63" s="390"/>
      <c r="AR63" s="396">
        <v>11710</v>
      </c>
      <c r="AS63" s="390"/>
    </row>
    <row r="64" spans="1:45" x14ac:dyDescent="0.3">
      <c r="B64" s="57" t="s">
        <v>53</v>
      </c>
      <c r="C64" s="58"/>
      <c r="D64" s="25">
        <f>SUM(D62:D63)</f>
        <v>73.95075555555556</v>
      </c>
      <c r="E64" s="26">
        <f t="shared" ref="E64:V64" si="53">SUM(E62:E63)</f>
        <v>78.376311111111121</v>
      </c>
      <c r="F64" s="26">
        <f t="shared" si="53"/>
        <v>79.957700000000003</v>
      </c>
      <c r="G64" s="26">
        <f t="shared" si="53"/>
        <v>76.795200000000008</v>
      </c>
      <c r="H64" s="26">
        <f t="shared" si="53"/>
        <v>73.858533333333341</v>
      </c>
      <c r="I64" s="26">
        <f t="shared" si="53"/>
        <v>74.987977777777786</v>
      </c>
      <c r="J64" s="26">
        <f t="shared" si="53"/>
        <v>77.472977777777785</v>
      </c>
      <c r="K64" s="26">
        <f t="shared" si="53"/>
        <v>76.207977777777785</v>
      </c>
      <c r="L64" s="26">
        <f t="shared" si="53"/>
        <v>77.246866666666676</v>
      </c>
      <c r="M64" s="26">
        <f t="shared" si="53"/>
        <v>73.722977777777785</v>
      </c>
      <c r="N64" s="26">
        <f t="shared" si="53"/>
        <v>74.08464444444445</v>
      </c>
      <c r="O64" s="26">
        <f t="shared" si="53"/>
        <v>78.964922222222228</v>
      </c>
      <c r="P64" s="26">
        <f t="shared" si="53"/>
        <v>73.722977777777785</v>
      </c>
      <c r="Q64" s="26">
        <f t="shared" si="53"/>
        <v>73.722977777777785</v>
      </c>
      <c r="R64" s="26">
        <f t="shared" si="53"/>
        <v>74.762144444444445</v>
      </c>
      <c r="S64" s="26">
        <f t="shared" si="53"/>
        <v>74.536311111111118</v>
      </c>
      <c r="T64" s="26">
        <f t="shared" si="53"/>
        <v>77.093499999999992</v>
      </c>
      <c r="U64" s="26">
        <f t="shared" si="53"/>
        <v>85.588222222222214</v>
      </c>
      <c r="V64" s="26">
        <f t="shared" si="53"/>
        <v>77.093499999999992</v>
      </c>
      <c r="W64" s="26">
        <f>SUM(W62:W63)</f>
        <v>73.722977777777785</v>
      </c>
      <c r="Y64" s="390">
        <v>3600</v>
      </c>
      <c r="Z64" s="390">
        <v>3600</v>
      </c>
      <c r="AA64" s="390">
        <v>3600</v>
      </c>
      <c r="AB64" s="390">
        <v>3600</v>
      </c>
      <c r="AC64" s="390">
        <v>3600</v>
      </c>
      <c r="AD64" s="390">
        <v>3600</v>
      </c>
      <c r="AE64" s="390">
        <v>3600</v>
      </c>
      <c r="AF64" s="390">
        <v>3600</v>
      </c>
      <c r="AG64" s="390">
        <v>3600</v>
      </c>
      <c r="AH64" s="390">
        <v>3600</v>
      </c>
      <c r="AI64" s="390">
        <v>3600</v>
      </c>
      <c r="AJ64" s="390">
        <v>3600</v>
      </c>
      <c r="AK64" s="390">
        <v>3600</v>
      </c>
      <c r="AL64" s="390">
        <v>3600</v>
      </c>
      <c r="AM64" s="390">
        <v>3600</v>
      </c>
      <c r="AN64" s="390">
        <v>3600</v>
      </c>
      <c r="AO64" s="390"/>
      <c r="AP64" s="390">
        <v>3600</v>
      </c>
      <c r="AQ64" s="390"/>
      <c r="AR64" s="390">
        <v>3600</v>
      </c>
      <c r="AS64" s="390"/>
    </row>
    <row r="65" spans="2:45" x14ac:dyDescent="0.3">
      <c r="B65" s="54" t="s">
        <v>54</v>
      </c>
      <c r="C65" s="55"/>
      <c r="D65" s="20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Y65" s="389">
        <f>Y63/Y64</f>
        <v>3.4805555555555556</v>
      </c>
      <c r="Z65" s="389">
        <f t="shared" ref="Z65" si="54">Z63/Z64</f>
        <v>7.9061111111111115</v>
      </c>
      <c r="AA65" s="389">
        <f t="shared" ref="AA65" si="55">AA63/AA64</f>
        <v>9.4875000000000007</v>
      </c>
      <c r="AB65" s="389">
        <f t="shared" ref="AB65" si="56">AB63/AB64</f>
        <v>6.3250000000000002</v>
      </c>
      <c r="AC65" s="389">
        <f t="shared" ref="AC65" si="57">AC63/AC64</f>
        <v>3.3883333333333332</v>
      </c>
      <c r="AD65" s="389">
        <f t="shared" ref="AD65" si="58">AD63/AD64</f>
        <v>4.5177777777777779</v>
      </c>
      <c r="AE65" s="389">
        <f t="shared" ref="AE65" si="59">AE63/AE64</f>
        <v>7.0027777777777782</v>
      </c>
      <c r="AF65" s="389">
        <f t="shared" ref="AF65" si="60">AF63/AF64</f>
        <v>5.7377777777777776</v>
      </c>
      <c r="AG65" s="389">
        <f t="shared" ref="AG65" si="61">AG63/AG64</f>
        <v>6.7766666666666664</v>
      </c>
      <c r="AH65" s="389">
        <f t="shared" ref="AH65" si="62">AH63/AH64</f>
        <v>3.2527777777777778</v>
      </c>
      <c r="AI65" s="389">
        <f t="shared" ref="AI65" si="63">AI63/AI64</f>
        <v>3.6144444444444446</v>
      </c>
      <c r="AJ65" s="389">
        <f t="shared" ref="AJ65" si="64">AJ63/AJ64</f>
        <v>8.4947222222222223</v>
      </c>
      <c r="AK65" s="389">
        <f t="shared" ref="AK65" si="65">AK63/AK64</f>
        <v>3.2527777777777778</v>
      </c>
      <c r="AL65" s="389">
        <f t="shared" ref="AL65" si="66">AL63/AL64</f>
        <v>3.2527777777777778</v>
      </c>
      <c r="AM65" s="389">
        <f t="shared" ref="AM65" si="67">AM63/AM64</f>
        <v>4.2919444444444448</v>
      </c>
      <c r="AN65" s="389">
        <f t="shared" ref="AN65" si="68">AN63/AN64</f>
        <v>4.0661111111111108</v>
      </c>
      <c r="AO65" s="390"/>
      <c r="AP65" s="389">
        <f t="shared" ref="AP65" si="69">AP63/AP64</f>
        <v>8.4947222222222223</v>
      </c>
      <c r="AQ65" s="390"/>
      <c r="AR65" s="389">
        <f t="shared" ref="AR65" si="70">AR63/AR64</f>
        <v>3.2527777777777778</v>
      </c>
      <c r="AS65" s="390"/>
    </row>
    <row r="66" spans="2:45" x14ac:dyDescent="0.3">
      <c r="B66" s="59" t="s">
        <v>55</v>
      </c>
      <c r="C66" s="60"/>
      <c r="D66" s="27">
        <f>SUM(D64:D65)</f>
        <v>73.95075555555556</v>
      </c>
      <c r="E66" s="41">
        <f t="shared" ref="E66:V66" si="71">SUM(E64:E65)</f>
        <v>78.376311111111121</v>
      </c>
      <c r="F66" s="41">
        <f t="shared" si="71"/>
        <v>79.957700000000003</v>
      </c>
      <c r="G66" s="41">
        <f t="shared" si="71"/>
        <v>76.795200000000008</v>
      </c>
      <c r="H66" s="41">
        <f t="shared" si="71"/>
        <v>73.858533333333341</v>
      </c>
      <c r="I66" s="41">
        <f t="shared" si="71"/>
        <v>74.987977777777786</v>
      </c>
      <c r="J66" s="41">
        <f t="shared" si="71"/>
        <v>77.472977777777785</v>
      </c>
      <c r="K66" s="41">
        <f t="shared" si="71"/>
        <v>76.207977777777785</v>
      </c>
      <c r="L66" s="41">
        <f t="shared" si="71"/>
        <v>77.246866666666676</v>
      </c>
      <c r="M66" s="41">
        <f t="shared" si="71"/>
        <v>73.722977777777785</v>
      </c>
      <c r="N66" s="41">
        <f t="shared" si="71"/>
        <v>74.08464444444445</v>
      </c>
      <c r="O66" s="41">
        <f t="shared" si="71"/>
        <v>78.964922222222228</v>
      </c>
      <c r="P66" s="41">
        <f t="shared" si="71"/>
        <v>73.722977777777785</v>
      </c>
      <c r="Q66" s="41">
        <f t="shared" si="71"/>
        <v>73.722977777777785</v>
      </c>
      <c r="R66" s="41">
        <f t="shared" si="71"/>
        <v>74.762144444444445</v>
      </c>
      <c r="S66" s="41">
        <f t="shared" si="71"/>
        <v>74.536311111111118</v>
      </c>
      <c r="T66" s="41">
        <f t="shared" si="71"/>
        <v>77.093499999999992</v>
      </c>
      <c r="U66" s="41">
        <f t="shared" si="71"/>
        <v>85.588222222222214</v>
      </c>
      <c r="V66" s="41">
        <f t="shared" si="71"/>
        <v>77.093499999999992</v>
      </c>
      <c r="W66" s="41">
        <f>SUM(W64:W65)</f>
        <v>73.722977777777785</v>
      </c>
      <c r="Y66" s="390"/>
      <c r="Z66" s="390"/>
      <c r="AA66" s="390"/>
      <c r="AB66" s="390"/>
      <c r="AC66" s="390"/>
      <c r="AD66" s="390"/>
      <c r="AE66" s="390"/>
      <c r="AF66" s="390"/>
      <c r="AG66" s="390"/>
      <c r="AH66" s="390"/>
      <c r="AI66" s="390"/>
      <c r="AJ66" s="390"/>
      <c r="AK66" s="390"/>
      <c r="AL66" s="390"/>
      <c r="AM66" s="390"/>
      <c r="AN66" s="390"/>
      <c r="AO66" s="390"/>
      <c r="AP66" s="390"/>
      <c r="AQ66" s="390"/>
      <c r="AR66" s="390"/>
      <c r="AS66" s="390"/>
    </row>
    <row r="67" spans="2:45" x14ac:dyDescent="0.3">
      <c r="B67" s="61" t="s">
        <v>101</v>
      </c>
      <c r="C67" s="55"/>
      <c r="D67" s="43">
        <v>0</v>
      </c>
      <c r="E67" s="408">
        <v>0</v>
      </c>
      <c r="F67" s="408">
        <v>0</v>
      </c>
      <c r="G67" s="408">
        <v>0</v>
      </c>
      <c r="H67" s="408">
        <v>0</v>
      </c>
      <c r="I67" s="408">
        <v>0</v>
      </c>
      <c r="J67" s="408">
        <v>0</v>
      </c>
      <c r="K67" s="408">
        <v>0</v>
      </c>
      <c r="L67" s="408">
        <v>0</v>
      </c>
      <c r="M67" s="408">
        <v>0</v>
      </c>
      <c r="N67" s="408">
        <v>0</v>
      </c>
      <c r="O67" s="408">
        <v>0</v>
      </c>
      <c r="P67" s="408">
        <v>0</v>
      </c>
      <c r="Q67" s="408">
        <v>0</v>
      </c>
      <c r="R67" s="408">
        <v>0</v>
      </c>
      <c r="S67" s="408">
        <v>0</v>
      </c>
      <c r="T67" s="408">
        <v>0</v>
      </c>
      <c r="U67" s="408">
        <v>0</v>
      </c>
      <c r="V67" s="408">
        <v>0</v>
      </c>
      <c r="W67" s="408">
        <v>0</v>
      </c>
      <c r="Y67" s="409"/>
      <c r="Z67" s="409"/>
      <c r="AA67" s="409"/>
      <c r="AB67" s="409"/>
      <c r="AC67" s="409"/>
      <c r="AD67" s="409"/>
      <c r="AE67" s="409"/>
      <c r="AF67" s="409"/>
      <c r="AG67" s="409"/>
      <c r="AH67" s="409"/>
      <c r="AI67" s="409"/>
      <c r="AJ67" s="409"/>
      <c r="AK67" s="409"/>
      <c r="AL67" s="409"/>
      <c r="AM67" s="409"/>
      <c r="AN67" s="409"/>
      <c r="AO67" s="409"/>
      <c r="AP67" s="409"/>
      <c r="AQ67" s="409"/>
      <c r="AR67" s="409"/>
      <c r="AS67" s="409"/>
    </row>
    <row r="68" spans="2:45" x14ac:dyDescent="0.3">
      <c r="B68" s="171" t="s">
        <v>194</v>
      </c>
      <c r="C68" s="55"/>
      <c r="D68" s="20">
        <v>78</v>
      </c>
      <c r="E68" s="21">
        <v>83</v>
      </c>
      <c r="F68" s="21">
        <v>84</v>
      </c>
      <c r="G68" s="21">
        <v>81</v>
      </c>
      <c r="H68" s="21">
        <v>78</v>
      </c>
      <c r="I68" s="21">
        <v>79</v>
      </c>
      <c r="J68" s="21">
        <v>82</v>
      </c>
      <c r="K68" s="21">
        <v>81</v>
      </c>
      <c r="L68" s="21">
        <v>82</v>
      </c>
      <c r="M68" s="21">
        <v>78</v>
      </c>
      <c r="N68" s="21">
        <v>79</v>
      </c>
      <c r="O68" s="21">
        <v>83</v>
      </c>
      <c r="P68" s="21">
        <v>78</v>
      </c>
      <c r="Q68" s="21">
        <v>78</v>
      </c>
      <c r="R68" s="21">
        <v>79</v>
      </c>
      <c r="S68" s="21">
        <v>79</v>
      </c>
      <c r="T68" s="21">
        <v>82</v>
      </c>
      <c r="U68" s="21">
        <v>90</v>
      </c>
      <c r="V68" s="21">
        <v>82</v>
      </c>
      <c r="W68" s="21">
        <v>78</v>
      </c>
      <c r="Y68" s="390"/>
      <c r="Z68" s="390"/>
      <c r="AA68" s="390"/>
      <c r="AB68" s="390"/>
      <c r="AC68" s="390"/>
      <c r="AD68" s="390"/>
      <c r="AE68" s="390"/>
      <c r="AF68" s="390"/>
      <c r="AG68" s="390"/>
      <c r="AH68" s="390"/>
      <c r="AI68" s="390"/>
      <c r="AJ68" s="390"/>
      <c r="AK68" s="390"/>
      <c r="AL68" s="390"/>
      <c r="AM68" s="390"/>
      <c r="AN68" s="390"/>
      <c r="AO68" s="390"/>
      <c r="AP68" s="390"/>
      <c r="AQ68" s="390"/>
      <c r="AR68" s="390"/>
      <c r="AS68" s="390"/>
    </row>
    <row r="69" spans="2:45" x14ac:dyDescent="0.3">
      <c r="B69" s="61" t="s">
        <v>195</v>
      </c>
      <c r="C69" s="55"/>
      <c r="D69" s="106">
        <v>80</v>
      </c>
      <c r="E69" s="21">
        <v>85</v>
      </c>
      <c r="F69" s="21">
        <v>86</v>
      </c>
      <c r="G69" s="21">
        <v>83</v>
      </c>
      <c r="H69" s="21">
        <v>80</v>
      </c>
      <c r="I69" s="21">
        <v>81</v>
      </c>
      <c r="J69" s="21">
        <v>84</v>
      </c>
      <c r="K69" s="21">
        <v>83</v>
      </c>
      <c r="L69" s="21">
        <v>84</v>
      </c>
      <c r="M69" s="21">
        <v>80</v>
      </c>
      <c r="N69" s="21">
        <v>81</v>
      </c>
      <c r="O69" s="21">
        <v>85</v>
      </c>
      <c r="P69" s="21">
        <v>80</v>
      </c>
      <c r="Q69" s="21">
        <v>80</v>
      </c>
      <c r="R69" s="21">
        <v>81</v>
      </c>
      <c r="S69" s="21">
        <v>81</v>
      </c>
      <c r="T69" s="21">
        <v>84</v>
      </c>
      <c r="U69" s="21">
        <v>92</v>
      </c>
      <c r="V69" s="21">
        <v>84</v>
      </c>
      <c r="W69" s="21">
        <v>80</v>
      </c>
      <c r="Y69" s="390"/>
      <c r="Z69" s="390"/>
      <c r="AA69" s="390"/>
      <c r="AB69" s="390"/>
      <c r="AC69" s="390"/>
      <c r="AD69" s="390"/>
      <c r="AE69" s="390"/>
      <c r="AF69" s="390"/>
      <c r="AG69" s="390"/>
      <c r="AH69" s="390"/>
      <c r="AI69" s="390"/>
      <c r="AJ69" s="390"/>
      <c r="AK69" s="390"/>
      <c r="AL69" s="390"/>
      <c r="AM69" s="390"/>
      <c r="AN69" s="390"/>
      <c r="AO69" s="390"/>
      <c r="AP69" s="390"/>
      <c r="AQ69" s="390"/>
      <c r="AR69" s="390"/>
      <c r="AS69" s="390"/>
    </row>
    <row r="70" spans="2:45" s="30" customFormat="1" x14ac:dyDescent="0.3">
      <c r="B70" s="61" t="s">
        <v>196</v>
      </c>
      <c r="C70" s="62"/>
      <c r="D70" s="28">
        <v>81</v>
      </c>
      <c r="E70" s="29">
        <v>86</v>
      </c>
      <c r="F70" s="29">
        <v>87</v>
      </c>
      <c r="G70" s="29">
        <v>84</v>
      </c>
      <c r="H70" s="29">
        <v>81</v>
      </c>
      <c r="I70" s="29">
        <v>82</v>
      </c>
      <c r="J70" s="29">
        <v>85</v>
      </c>
      <c r="K70" s="29">
        <v>84</v>
      </c>
      <c r="L70" s="29">
        <v>85</v>
      </c>
      <c r="M70" s="29">
        <v>81</v>
      </c>
      <c r="N70" s="29">
        <v>82</v>
      </c>
      <c r="O70" s="29">
        <v>86</v>
      </c>
      <c r="P70" s="29">
        <v>81</v>
      </c>
      <c r="Q70" s="29">
        <v>81</v>
      </c>
      <c r="R70" s="29">
        <v>82</v>
      </c>
      <c r="S70" s="29">
        <v>82</v>
      </c>
      <c r="T70" s="29">
        <v>85</v>
      </c>
      <c r="U70" s="29">
        <v>93</v>
      </c>
      <c r="V70" s="29">
        <v>85</v>
      </c>
      <c r="W70" s="29">
        <v>81</v>
      </c>
      <c r="Y70" s="391"/>
      <c r="Z70" s="391"/>
      <c r="AA70" s="391"/>
      <c r="AB70" s="391"/>
      <c r="AC70" s="391"/>
      <c r="AD70" s="391"/>
      <c r="AE70" s="391"/>
      <c r="AF70" s="391"/>
      <c r="AG70" s="391"/>
      <c r="AH70" s="391"/>
      <c r="AI70" s="391"/>
      <c r="AJ70" s="391"/>
      <c r="AK70" s="391"/>
      <c r="AL70" s="391"/>
      <c r="AM70" s="391"/>
      <c r="AN70" s="391"/>
      <c r="AO70" s="391"/>
      <c r="AP70" s="391"/>
      <c r="AQ70" s="391"/>
      <c r="AR70" s="391"/>
      <c r="AS70" s="391"/>
    </row>
    <row r="71" spans="2:45" s="30" customFormat="1" x14ac:dyDescent="0.3">
      <c r="B71" s="61" t="s">
        <v>197</v>
      </c>
      <c r="C71" s="62"/>
      <c r="D71" s="28">
        <v>83</v>
      </c>
      <c r="E71" s="29">
        <v>88</v>
      </c>
      <c r="F71" s="29">
        <v>89</v>
      </c>
      <c r="G71" s="29">
        <v>86</v>
      </c>
      <c r="H71" s="29">
        <v>83</v>
      </c>
      <c r="I71" s="29">
        <v>84</v>
      </c>
      <c r="J71" s="29">
        <v>87</v>
      </c>
      <c r="K71" s="29">
        <v>86</v>
      </c>
      <c r="L71" s="29">
        <v>87</v>
      </c>
      <c r="M71" s="29">
        <v>83</v>
      </c>
      <c r="N71" s="29">
        <v>84</v>
      </c>
      <c r="O71" s="29">
        <v>88</v>
      </c>
      <c r="P71" s="29">
        <v>83</v>
      </c>
      <c r="Q71" s="29">
        <v>83</v>
      </c>
      <c r="R71" s="29">
        <v>84</v>
      </c>
      <c r="S71" s="29">
        <v>84</v>
      </c>
      <c r="T71" s="29">
        <v>87</v>
      </c>
      <c r="U71" s="29">
        <v>95</v>
      </c>
      <c r="V71" s="29">
        <v>87</v>
      </c>
      <c r="W71" s="29">
        <v>83</v>
      </c>
      <c r="Y71" s="391"/>
      <c r="Z71" s="391"/>
      <c r="AA71" s="391"/>
      <c r="AB71" s="391"/>
      <c r="AC71" s="391"/>
      <c r="AD71" s="391"/>
      <c r="AE71" s="391"/>
      <c r="AF71" s="391"/>
      <c r="AG71" s="391"/>
      <c r="AH71" s="391"/>
      <c r="AI71" s="391"/>
      <c r="AJ71" s="391"/>
      <c r="AK71" s="391"/>
      <c r="AL71" s="391"/>
      <c r="AM71" s="391"/>
      <c r="AN71" s="391"/>
      <c r="AO71" s="391"/>
      <c r="AP71" s="391"/>
      <c r="AQ71" s="391"/>
      <c r="AR71" s="391"/>
      <c r="AS71" s="391"/>
    </row>
    <row r="72" spans="2:45" x14ac:dyDescent="0.3">
      <c r="B72" s="63" t="s">
        <v>103</v>
      </c>
      <c r="C72" s="55"/>
      <c r="D72" s="43">
        <v>0</v>
      </c>
      <c r="E72" s="408">
        <v>0</v>
      </c>
      <c r="F72" s="408">
        <v>0</v>
      </c>
      <c r="G72" s="408">
        <v>0</v>
      </c>
      <c r="H72" s="408">
        <v>0</v>
      </c>
      <c r="I72" s="408">
        <v>0</v>
      </c>
      <c r="J72" s="408">
        <v>0</v>
      </c>
      <c r="K72" s="408">
        <v>0</v>
      </c>
      <c r="L72" s="408">
        <v>0</v>
      </c>
      <c r="M72" s="408">
        <v>0</v>
      </c>
      <c r="N72" s="408">
        <v>0</v>
      </c>
      <c r="O72" s="408">
        <v>0</v>
      </c>
      <c r="P72" s="408">
        <v>0</v>
      </c>
      <c r="Q72" s="408">
        <v>0</v>
      </c>
      <c r="R72" s="408">
        <v>0</v>
      </c>
      <c r="S72" s="408">
        <v>0</v>
      </c>
      <c r="T72" s="408">
        <v>0</v>
      </c>
      <c r="U72" s="408">
        <v>0</v>
      </c>
      <c r="V72" s="408">
        <v>0</v>
      </c>
      <c r="W72" s="408">
        <v>0</v>
      </c>
      <c r="Y72" s="409"/>
      <c r="Z72" s="409"/>
      <c r="AA72" s="409"/>
      <c r="AB72" s="409"/>
      <c r="AC72" s="409"/>
      <c r="AD72" s="409"/>
      <c r="AE72" s="409"/>
      <c r="AF72" s="409"/>
      <c r="AG72" s="409"/>
      <c r="AH72" s="409"/>
      <c r="AI72" s="409"/>
      <c r="AJ72" s="409"/>
      <c r="AK72" s="409"/>
      <c r="AL72" s="409"/>
      <c r="AM72" s="409"/>
      <c r="AN72" s="409"/>
      <c r="AO72" s="409"/>
      <c r="AP72" s="409"/>
      <c r="AQ72" s="409"/>
      <c r="AR72" s="409"/>
      <c r="AS72" s="409"/>
    </row>
    <row r="73" spans="2:45" s="33" customFormat="1" x14ac:dyDescent="0.3">
      <c r="B73" s="63" t="s">
        <v>198</v>
      </c>
      <c r="C73" s="64"/>
      <c r="D73" s="31">
        <f>+D68-D$66</f>
        <v>4.0492444444444402</v>
      </c>
      <c r="E73" s="32">
        <f t="shared" ref="E73:W73" si="72">+E68-E$66</f>
        <v>4.6236888888888785</v>
      </c>
      <c r="F73" s="32">
        <f t="shared" si="72"/>
        <v>4.0422999999999973</v>
      </c>
      <c r="G73" s="32">
        <f t="shared" si="72"/>
        <v>4.2047999999999917</v>
      </c>
      <c r="H73" s="32">
        <f t="shared" si="72"/>
        <v>4.1414666666666591</v>
      </c>
      <c r="I73" s="32">
        <f t="shared" si="72"/>
        <v>4.0120222222222139</v>
      </c>
      <c r="J73" s="32">
        <f t="shared" si="72"/>
        <v>4.5270222222222145</v>
      </c>
      <c r="K73" s="32">
        <f t="shared" si="72"/>
        <v>4.7920222222222151</v>
      </c>
      <c r="L73" s="32">
        <f t="shared" si="72"/>
        <v>4.7531333333333237</v>
      </c>
      <c r="M73" s="32">
        <f t="shared" si="72"/>
        <v>4.2770222222222145</v>
      </c>
      <c r="N73" s="32">
        <f t="shared" si="72"/>
        <v>4.9153555555555499</v>
      </c>
      <c r="O73" s="32">
        <f t="shared" si="72"/>
        <v>4.0350777777777722</v>
      </c>
      <c r="P73" s="32">
        <f t="shared" si="72"/>
        <v>4.2770222222222145</v>
      </c>
      <c r="Q73" s="32">
        <f t="shared" si="72"/>
        <v>4.2770222222222145</v>
      </c>
      <c r="R73" s="32">
        <f t="shared" si="72"/>
        <v>4.237855555555555</v>
      </c>
      <c r="S73" s="32">
        <f t="shared" si="72"/>
        <v>4.4636888888888819</v>
      </c>
      <c r="T73" s="32">
        <f t="shared" si="72"/>
        <v>4.9065000000000083</v>
      </c>
      <c r="U73" s="32">
        <f t="shared" si="72"/>
        <v>4.411777777777786</v>
      </c>
      <c r="V73" s="32">
        <f t="shared" si="72"/>
        <v>4.9065000000000083</v>
      </c>
      <c r="W73" s="32">
        <f t="shared" si="72"/>
        <v>4.2770222222222145</v>
      </c>
      <c r="Y73" s="392"/>
      <c r="Z73" s="392"/>
      <c r="AA73" s="392"/>
      <c r="AB73" s="392"/>
      <c r="AC73" s="392"/>
      <c r="AD73" s="392"/>
      <c r="AE73" s="392"/>
      <c r="AF73" s="392"/>
      <c r="AG73" s="392"/>
      <c r="AH73" s="392"/>
      <c r="AI73" s="392"/>
      <c r="AJ73" s="392"/>
      <c r="AK73" s="392"/>
      <c r="AL73" s="392"/>
      <c r="AM73" s="392"/>
      <c r="AN73" s="392"/>
      <c r="AO73" s="392"/>
      <c r="AP73" s="392"/>
      <c r="AQ73" s="392"/>
      <c r="AR73" s="392"/>
      <c r="AS73" s="392"/>
    </row>
    <row r="74" spans="2:45" s="33" customFormat="1" x14ac:dyDescent="0.3">
      <c r="B74" s="63" t="s">
        <v>199</v>
      </c>
      <c r="C74" s="64"/>
      <c r="D74" s="31">
        <f>+D69-D$66</f>
        <v>6.0492444444444402</v>
      </c>
      <c r="E74" s="32">
        <f t="shared" ref="E74:W74" si="73">+E69-E$66</f>
        <v>6.6236888888888785</v>
      </c>
      <c r="F74" s="32">
        <f t="shared" si="73"/>
        <v>6.0422999999999973</v>
      </c>
      <c r="G74" s="32">
        <f t="shared" si="73"/>
        <v>6.2047999999999917</v>
      </c>
      <c r="H74" s="32">
        <f t="shared" si="73"/>
        <v>6.1414666666666591</v>
      </c>
      <c r="I74" s="32">
        <f t="shared" si="73"/>
        <v>6.0120222222222139</v>
      </c>
      <c r="J74" s="32">
        <f t="shared" si="73"/>
        <v>6.5270222222222145</v>
      </c>
      <c r="K74" s="32">
        <f t="shared" si="73"/>
        <v>6.7920222222222151</v>
      </c>
      <c r="L74" s="32">
        <f t="shared" si="73"/>
        <v>6.7531333333333237</v>
      </c>
      <c r="M74" s="32">
        <f t="shared" si="73"/>
        <v>6.2770222222222145</v>
      </c>
      <c r="N74" s="32">
        <f t="shared" si="73"/>
        <v>6.9153555555555499</v>
      </c>
      <c r="O74" s="32">
        <f t="shared" si="73"/>
        <v>6.0350777777777722</v>
      </c>
      <c r="P74" s="32">
        <f t="shared" si="73"/>
        <v>6.2770222222222145</v>
      </c>
      <c r="Q74" s="32">
        <f t="shared" si="73"/>
        <v>6.2770222222222145</v>
      </c>
      <c r="R74" s="32">
        <f t="shared" si="73"/>
        <v>6.237855555555555</v>
      </c>
      <c r="S74" s="32">
        <f t="shared" si="73"/>
        <v>6.4636888888888819</v>
      </c>
      <c r="T74" s="32">
        <f t="shared" si="73"/>
        <v>6.9065000000000083</v>
      </c>
      <c r="U74" s="32">
        <f t="shared" si="73"/>
        <v>6.411777777777786</v>
      </c>
      <c r="V74" s="32">
        <f t="shared" si="73"/>
        <v>6.9065000000000083</v>
      </c>
      <c r="W74" s="32">
        <f t="shared" si="73"/>
        <v>6.2770222222222145</v>
      </c>
      <c r="Y74" s="392"/>
      <c r="Z74" s="392"/>
      <c r="AA74" s="392"/>
      <c r="AB74" s="392"/>
      <c r="AC74" s="392"/>
      <c r="AD74" s="392"/>
      <c r="AE74" s="392"/>
      <c r="AF74" s="392"/>
      <c r="AG74" s="392"/>
      <c r="AH74" s="392"/>
      <c r="AI74" s="392"/>
      <c r="AJ74" s="392"/>
      <c r="AK74" s="392"/>
      <c r="AL74" s="392"/>
      <c r="AM74" s="392"/>
      <c r="AN74" s="392"/>
      <c r="AO74" s="392"/>
      <c r="AP74" s="392"/>
      <c r="AQ74" s="392"/>
      <c r="AR74" s="392"/>
      <c r="AS74" s="392"/>
    </row>
    <row r="75" spans="2:45" s="33" customFormat="1" x14ac:dyDescent="0.3">
      <c r="B75" s="63" t="s">
        <v>200</v>
      </c>
      <c r="C75" s="64"/>
      <c r="D75" s="31">
        <f>+D70-D$66</f>
        <v>7.0492444444444402</v>
      </c>
      <c r="E75" s="32">
        <f t="shared" ref="E75:W75" si="74">+E70-E$66</f>
        <v>7.6236888888888785</v>
      </c>
      <c r="F75" s="32">
        <f t="shared" si="74"/>
        <v>7.0422999999999973</v>
      </c>
      <c r="G75" s="32">
        <f t="shared" si="74"/>
        <v>7.2047999999999917</v>
      </c>
      <c r="H75" s="32">
        <f t="shared" si="74"/>
        <v>7.1414666666666591</v>
      </c>
      <c r="I75" s="32">
        <f t="shared" si="74"/>
        <v>7.0120222222222139</v>
      </c>
      <c r="J75" s="32">
        <f t="shared" si="74"/>
        <v>7.5270222222222145</v>
      </c>
      <c r="K75" s="32">
        <f t="shared" si="74"/>
        <v>7.7920222222222151</v>
      </c>
      <c r="L75" s="32">
        <f t="shared" si="74"/>
        <v>7.7531333333333237</v>
      </c>
      <c r="M75" s="32">
        <f t="shared" si="74"/>
        <v>7.2770222222222145</v>
      </c>
      <c r="N75" s="32">
        <f t="shared" si="74"/>
        <v>7.9153555555555499</v>
      </c>
      <c r="O75" s="32">
        <f t="shared" si="74"/>
        <v>7.0350777777777722</v>
      </c>
      <c r="P75" s="32">
        <f t="shared" si="74"/>
        <v>7.2770222222222145</v>
      </c>
      <c r="Q75" s="32">
        <f t="shared" si="74"/>
        <v>7.2770222222222145</v>
      </c>
      <c r="R75" s="32">
        <f t="shared" si="74"/>
        <v>7.237855555555555</v>
      </c>
      <c r="S75" s="32">
        <f t="shared" si="74"/>
        <v>7.4636888888888819</v>
      </c>
      <c r="T75" s="32">
        <f t="shared" si="74"/>
        <v>7.9065000000000083</v>
      </c>
      <c r="U75" s="32">
        <f t="shared" si="74"/>
        <v>7.411777777777786</v>
      </c>
      <c r="V75" s="32">
        <f t="shared" si="74"/>
        <v>7.9065000000000083</v>
      </c>
      <c r="W75" s="32">
        <f t="shared" si="74"/>
        <v>7.2770222222222145</v>
      </c>
      <c r="Y75" s="392"/>
      <c r="Z75" s="392"/>
      <c r="AA75" s="392"/>
      <c r="AB75" s="392"/>
      <c r="AC75" s="392"/>
      <c r="AD75" s="392"/>
      <c r="AE75" s="392"/>
      <c r="AF75" s="392"/>
      <c r="AG75" s="392"/>
      <c r="AH75" s="392"/>
      <c r="AI75" s="392"/>
      <c r="AJ75" s="392"/>
      <c r="AK75" s="392"/>
      <c r="AL75" s="392"/>
      <c r="AM75" s="392"/>
      <c r="AN75" s="392"/>
      <c r="AO75" s="392"/>
      <c r="AP75" s="392"/>
      <c r="AQ75" s="392"/>
      <c r="AR75" s="392"/>
      <c r="AS75" s="392"/>
    </row>
    <row r="76" spans="2:45" s="33" customFormat="1" x14ac:dyDescent="0.3">
      <c r="B76" s="63" t="s">
        <v>201</v>
      </c>
      <c r="C76" s="64"/>
      <c r="D76" s="31">
        <f>+D71-D$66</f>
        <v>9.0492444444444402</v>
      </c>
      <c r="E76" s="34">
        <f t="shared" ref="E76:W76" si="75">+E71-E$66</f>
        <v>9.6236888888888785</v>
      </c>
      <c r="F76" s="34">
        <f t="shared" si="75"/>
        <v>9.0422999999999973</v>
      </c>
      <c r="G76" s="34">
        <f t="shared" si="75"/>
        <v>9.2047999999999917</v>
      </c>
      <c r="H76" s="34">
        <f t="shared" si="75"/>
        <v>9.1414666666666591</v>
      </c>
      <c r="I76" s="34">
        <f t="shared" si="75"/>
        <v>9.0120222222222139</v>
      </c>
      <c r="J76" s="34">
        <f t="shared" si="75"/>
        <v>9.5270222222222145</v>
      </c>
      <c r="K76" s="34">
        <f t="shared" si="75"/>
        <v>9.7920222222222151</v>
      </c>
      <c r="L76" s="34">
        <f t="shared" si="75"/>
        <v>9.7531333333333237</v>
      </c>
      <c r="M76" s="34">
        <f t="shared" si="75"/>
        <v>9.2770222222222145</v>
      </c>
      <c r="N76" s="34">
        <f t="shared" si="75"/>
        <v>9.9153555555555499</v>
      </c>
      <c r="O76" s="34">
        <f t="shared" si="75"/>
        <v>9.0350777777777722</v>
      </c>
      <c r="P76" s="34">
        <f t="shared" si="75"/>
        <v>9.2770222222222145</v>
      </c>
      <c r="Q76" s="34">
        <f t="shared" si="75"/>
        <v>9.2770222222222145</v>
      </c>
      <c r="R76" s="34">
        <f t="shared" si="75"/>
        <v>9.237855555555555</v>
      </c>
      <c r="S76" s="34">
        <f t="shared" si="75"/>
        <v>9.4636888888888819</v>
      </c>
      <c r="T76" s="34">
        <f t="shared" si="75"/>
        <v>9.9065000000000083</v>
      </c>
      <c r="U76" s="34">
        <f t="shared" si="75"/>
        <v>9.411777777777786</v>
      </c>
      <c r="V76" s="34">
        <f t="shared" si="75"/>
        <v>9.9065000000000083</v>
      </c>
      <c r="W76" s="34">
        <f t="shared" si="75"/>
        <v>9.2770222222222145</v>
      </c>
      <c r="Y76" s="392"/>
      <c r="Z76" s="392"/>
      <c r="AA76" s="392"/>
      <c r="AB76" s="392"/>
      <c r="AC76" s="392"/>
      <c r="AD76" s="392"/>
      <c r="AE76" s="392"/>
      <c r="AF76" s="392"/>
      <c r="AG76" s="392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</row>
    <row r="77" spans="2:45" x14ac:dyDescent="0.3">
      <c r="B77" s="65" t="s">
        <v>108</v>
      </c>
      <c r="C77" s="55"/>
      <c r="D77" s="43">
        <v>0</v>
      </c>
      <c r="E77" s="408">
        <v>0</v>
      </c>
      <c r="F77" s="408">
        <v>0</v>
      </c>
      <c r="G77" s="408">
        <v>0</v>
      </c>
      <c r="H77" s="408">
        <v>0</v>
      </c>
      <c r="I77" s="408">
        <v>0</v>
      </c>
      <c r="J77" s="408">
        <v>0</v>
      </c>
      <c r="K77" s="408">
        <v>0</v>
      </c>
      <c r="L77" s="408">
        <v>0</v>
      </c>
      <c r="M77" s="408">
        <v>0</v>
      </c>
      <c r="N77" s="408">
        <v>0</v>
      </c>
      <c r="O77" s="408">
        <v>0</v>
      </c>
      <c r="P77" s="408">
        <v>0</v>
      </c>
      <c r="Q77" s="408">
        <v>0</v>
      </c>
      <c r="R77" s="408">
        <v>0</v>
      </c>
      <c r="S77" s="408">
        <v>0</v>
      </c>
      <c r="T77" s="408">
        <v>0</v>
      </c>
      <c r="U77" s="408">
        <v>0</v>
      </c>
      <c r="V77" s="408">
        <v>0</v>
      </c>
      <c r="W77" s="408">
        <v>0</v>
      </c>
      <c r="Y77" s="409"/>
      <c r="Z77" s="409"/>
      <c r="AA77" s="409"/>
      <c r="AB77" s="409"/>
      <c r="AC77" s="409"/>
      <c r="AD77" s="409"/>
      <c r="AE77" s="409"/>
      <c r="AF77" s="409"/>
      <c r="AG77" s="409"/>
      <c r="AH77" s="409"/>
      <c r="AI77" s="409"/>
      <c r="AJ77" s="409"/>
      <c r="AK77" s="409"/>
      <c r="AL77" s="409"/>
      <c r="AM77" s="409"/>
      <c r="AN77" s="409"/>
      <c r="AO77" s="409"/>
      <c r="AP77" s="409"/>
      <c r="AQ77" s="409"/>
      <c r="AR77" s="409"/>
      <c r="AS77" s="409"/>
    </row>
    <row r="78" spans="2:45" s="36" customFormat="1" x14ac:dyDescent="0.3">
      <c r="B78" s="65" t="s">
        <v>202</v>
      </c>
      <c r="C78" s="66"/>
      <c r="D78" s="35">
        <f>+D73/D$68</f>
        <v>5.1913390313390262E-2</v>
      </c>
      <c r="E78" s="35">
        <f t="shared" ref="E78:W78" si="76">+E73/E$68</f>
        <v>5.5707095046853956E-2</v>
      </c>
      <c r="F78" s="35">
        <f t="shared" si="76"/>
        <v>4.8122619047619018E-2</v>
      </c>
      <c r="G78" s="35">
        <f>+G73/G$68</f>
        <v>5.1911111111111005E-2</v>
      </c>
      <c r="H78" s="35">
        <f t="shared" si="76"/>
        <v>5.30957264957264E-2</v>
      </c>
      <c r="I78" s="35">
        <f t="shared" si="76"/>
        <v>5.0785091420534355E-2</v>
      </c>
      <c r="J78" s="35">
        <f t="shared" si="76"/>
        <v>5.5207588075880665E-2</v>
      </c>
      <c r="K78" s="35">
        <f t="shared" si="76"/>
        <v>5.9160768175582905E-2</v>
      </c>
      <c r="L78" s="35">
        <f t="shared" si="76"/>
        <v>5.7965040650406384E-2</v>
      </c>
      <c r="M78" s="35">
        <f t="shared" si="76"/>
        <v>5.4833618233618132E-2</v>
      </c>
      <c r="N78" s="35">
        <f t="shared" si="76"/>
        <v>6.2219690576652532E-2</v>
      </c>
      <c r="O78" s="35">
        <f t="shared" si="76"/>
        <v>4.8615394912985208E-2</v>
      </c>
      <c r="P78" s="35">
        <f t="shared" si="76"/>
        <v>5.4833618233618132E-2</v>
      </c>
      <c r="Q78" s="35">
        <f t="shared" si="76"/>
        <v>5.4833618233618132E-2</v>
      </c>
      <c r="R78" s="35">
        <f t="shared" si="76"/>
        <v>5.3643741209563986E-2</v>
      </c>
      <c r="S78" s="35">
        <f t="shared" si="76"/>
        <v>5.6502390998593444E-2</v>
      </c>
      <c r="T78" s="35">
        <f t="shared" si="76"/>
        <v>5.9835365853658638E-2</v>
      </c>
      <c r="U78" s="35">
        <f t="shared" si="76"/>
        <v>4.9019753086419843E-2</v>
      </c>
      <c r="V78" s="35">
        <f t="shared" si="76"/>
        <v>5.9835365853658638E-2</v>
      </c>
      <c r="W78" s="35">
        <f t="shared" si="76"/>
        <v>5.4833618233618132E-2</v>
      </c>
      <c r="Y78" s="393"/>
      <c r="Z78" s="393"/>
      <c r="AA78" s="393"/>
      <c r="AB78" s="393"/>
      <c r="AC78" s="393"/>
      <c r="AD78" s="393"/>
      <c r="AE78" s="393"/>
      <c r="AF78" s="393"/>
      <c r="AG78" s="393"/>
      <c r="AH78" s="393"/>
      <c r="AI78" s="393"/>
      <c r="AJ78" s="393"/>
      <c r="AK78" s="393"/>
      <c r="AL78" s="393"/>
      <c r="AM78" s="393"/>
      <c r="AN78" s="393"/>
      <c r="AO78" s="393"/>
      <c r="AP78" s="393"/>
      <c r="AQ78" s="393"/>
      <c r="AR78" s="393"/>
      <c r="AS78" s="393"/>
    </row>
    <row r="79" spans="2:45" s="36" customFormat="1" x14ac:dyDescent="0.3">
      <c r="B79" s="65" t="s">
        <v>203</v>
      </c>
      <c r="C79" s="66"/>
      <c r="D79" s="35">
        <f>+D74/D$69</f>
        <v>7.5615555555555505E-2</v>
      </c>
      <c r="E79" s="35">
        <f t="shared" ref="E79:W79" si="77">+E74/E$69</f>
        <v>7.7925751633986809E-2</v>
      </c>
      <c r="F79" s="35">
        <f t="shared" si="77"/>
        <v>7.0259302325581363E-2</v>
      </c>
      <c r="G79" s="35">
        <f t="shared" si="77"/>
        <v>7.4756626506023993E-2</v>
      </c>
      <c r="H79" s="35">
        <f t="shared" si="77"/>
        <v>7.6768333333333244E-2</v>
      </c>
      <c r="I79" s="35">
        <f t="shared" si="77"/>
        <v>7.4222496570644614E-2</v>
      </c>
      <c r="J79" s="35">
        <f t="shared" si="77"/>
        <v>7.7702645502645412E-2</v>
      </c>
      <c r="K79" s="35">
        <f t="shared" si="77"/>
        <v>8.183159303882187E-2</v>
      </c>
      <c r="L79" s="35">
        <f t="shared" si="77"/>
        <v>8.0394444444444324E-2</v>
      </c>
      <c r="M79" s="35">
        <f t="shared" si="77"/>
        <v>7.8462777777777687E-2</v>
      </c>
      <c r="N79" s="35">
        <f t="shared" si="77"/>
        <v>8.5374759945130246E-2</v>
      </c>
      <c r="O79" s="35">
        <f t="shared" si="77"/>
        <v>7.1000915032679676E-2</v>
      </c>
      <c r="P79" s="35">
        <f t="shared" si="77"/>
        <v>7.8462777777777687E-2</v>
      </c>
      <c r="Q79" s="35">
        <f t="shared" si="77"/>
        <v>7.8462777777777687E-2</v>
      </c>
      <c r="R79" s="35">
        <f t="shared" si="77"/>
        <v>7.7010562414266112E-2</v>
      </c>
      <c r="S79" s="35">
        <f t="shared" si="77"/>
        <v>7.979862825788743E-2</v>
      </c>
      <c r="T79" s="35">
        <f t="shared" si="77"/>
        <v>8.2220238095238193E-2</v>
      </c>
      <c r="U79" s="35">
        <f t="shared" si="77"/>
        <v>6.9693236714975931E-2</v>
      </c>
      <c r="V79" s="35">
        <f t="shared" si="77"/>
        <v>8.2220238095238193E-2</v>
      </c>
      <c r="W79" s="35">
        <f t="shared" si="77"/>
        <v>7.8462777777777687E-2</v>
      </c>
      <c r="Y79" s="393"/>
      <c r="Z79" s="393"/>
      <c r="AA79" s="393"/>
      <c r="AB79" s="393"/>
      <c r="AC79" s="393"/>
      <c r="AD79" s="393"/>
      <c r="AE79" s="393"/>
      <c r="AF79" s="393"/>
      <c r="AG79" s="393"/>
      <c r="AH79" s="393"/>
      <c r="AI79" s="393"/>
      <c r="AJ79" s="393"/>
      <c r="AK79" s="393"/>
      <c r="AL79" s="393"/>
      <c r="AM79" s="393"/>
      <c r="AN79" s="393"/>
      <c r="AO79" s="393"/>
      <c r="AP79" s="393"/>
      <c r="AQ79" s="393"/>
      <c r="AR79" s="393"/>
      <c r="AS79" s="393"/>
    </row>
    <row r="80" spans="2:45" s="36" customFormat="1" x14ac:dyDescent="0.3">
      <c r="B80" s="65" t="s">
        <v>204</v>
      </c>
      <c r="C80" s="66"/>
      <c r="D80" s="35">
        <f>+D75/D$70</f>
        <v>8.7027709190672098E-2</v>
      </c>
      <c r="E80" s="35">
        <f t="shared" ref="E80:W80" si="78">+E75/E$70</f>
        <v>8.8647545219638121E-2</v>
      </c>
      <c r="F80" s="35">
        <f t="shared" si="78"/>
        <v>8.0945977011494225E-2</v>
      </c>
      <c r="G80" s="35">
        <f t="shared" si="78"/>
        <v>8.5771428571428471E-2</v>
      </c>
      <c r="H80" s="35">
        <f t="shared" si="78"/>
        <v>8.8166255144032826E-2</v>
      </c>
      <c r="I80" s="35">
        <f>+I75/I$70</f>
        <v>8.5512466124661152E-2</v>
      </c>
      <c r="J80" s="35">
        <f t="shared" si="78"/>
        <v>8.855320261437899E-2</v>
      </c>
      <c r="K80" s="35">
        <f t="shared" si="78"/>
        <v>9.2762169312169226E-2</v>
      </c>
      <c r="L80" s="35">
        <f t="shared" si="78"/>
        <v>9.1213333333333216E-2</v>
      </c>
      <c r="M80" s="35">
        <f t="shared" si="78"/>
        <v>8.9839780521261903E-2</v>
      </c>
      <c r="N80" s="35">
        <f t="shared" si="78"/>
        <v>9.6528726287262806E-2</v>
      </c>
      <c r="O80" s="35">
        <f t="shared" si="78"/>
        <v>8.1803229974160147E-2</v>
      </c>
      <c r="P80" s="35">
        <f t="shared" si="78"/>
        <v>8.9839780521261903E-2</v>
      </c>
      <c r="Q80" s="35">
        <f t="shared" si="78"/>
        <v>8.9839780521261903E-2</v>
      </c>
      <c r="R80" s="35">
        <f t="shared" si="78"/>
        <v>8.8266531165311649E-2</v>
      </c>
      <c r="S80" s="35">
        <f t="shared" si="78"/>
        <v>9.1020596205961979E-2</v>
      </c>
      <c r="T80" s="35">
        <f t="shared" si="78"/>
        <v>9.3017647058823621E-2</v>
      </c>
      <c r="U80" s="35">
        <f t="shared" si="78"/>
        <v>7.9696535244922428E-2</v>
      </c>
      <c r="V80" s="35">
        <f t="shared" si="78"/>
        <v>9.3017647058823621E-2</v>
      </c>
      <c r="W80" s="35">
        <f t="shared" si="78"/>
        <v>8.9839780521261903E-2</v>
      </c>
      <c r="Y80" s="393"/>
      <c r="Z80" s="393"/>
      <c r="AA80" s="393"/>
      <c r="AB80" s="393"/>
      <c r="AC80" s="393"/>
      <c r="AD80" s="393"/>
      <c r="AE80" s="393"/>
      <c r="AF80" s="393"/>
      <c r="AG80" s="393"/>
      <c r="AH80" s="393"/>
      <c r="AI80" s="393"/>
      <c r="AJ80" s="393"/>
      <c r="AK80" s="393"/>
      <c r="AL80" s="393"/>
      <c r="AM80" s="393"/>
      <c r="AN80" s="393"/>
      <c r="AO80" s="393"/>
      <c r="AP80" s="393"/>
      <c r="AQ80" s="393"/>
      <c r="AR80" s="393"/>
      <c r="AS80" s="393"/>
    </row>
    <row r="81" spans="1:45" s="36" customFormat="1" x14ac:dyDescent="0.3">
      <c r="B81" s="65" t="s">
        <v>205</v>
      </c>
      <c r="C81" s="66"/>
      <c r="D81" s="35">
        <f>+D76/D$71</f>
        <v>0.10902704149933061</v>
      </c>
      <c r="E81" s="35">
        <f t="shared" ref="E81:W81" si="79">+E76/E$71</f>
        <v>0.10936010101010089</v>
      </c>
      <c r="F81" s="35">
        <f t="shared" si="79"/>
        <v>0.10159887640449435</v>
      </c>
      <c r="G81" s="35">
        <f t="shared" si="79"/>
        <v>0.10703255813953479</v>
      </c>
      <c r="H81" s="35">
        <f t="shared" si="79"/>
        <v>0.11013815261044167</v>
      </c>
      <c r="I81" s="35">
        <f t="shared" si="79"/>
        <v>0.10728597883597873</v>
      </c>
      <c r="J81" s="35">
        <f t="shared" si="79"/>
        <v>0.10950600255427832</v>
      </c>
      <c r="K81" s="35">
        <f t="shared" si="79"/>
        <v>0.11386072351421181</v>
      </c>
      <c r="L81" s="35">
        <f t="shared" si="79"/>
        <v>0.11210498084291176</v>
      </c>
      <c r="M81" s="35">
        <f t="shared" si="79"/>
        <v>0.11177135207496644</v>
      </c>
      <c r="N81" s="35">
        <f t="shared" si="79"/>
        <v>0.11803994708994703</v>
      </c>
      <c r="O81" s="35">
        <f t="shared" si="79"/>
        <v>0.10267133838383832</v>
      </c>
      <c r="P81" s="35">
        <f t="shared" si="79"/>
        <v>0.11177135207496644</v>
      </c>
      <c r="Q81" s="35">
        <f t="shared" si="79"/>
        <v>0.11177135207496644</v>
      </c>
      <c r="R81" s="35">
        <f t="shared" si="79"/>
        <v>0.10997447089947089</v>
      </c>
      <c r="S81" s="35">
        <f t="shared" si="79"/>
        <v>0.11266296296296288</v>
      </c>
      <c r="T81" s="35">
        <f t="shared" si="79"/>
        <v>0.11386781609195412</v>
      </c>
      <c r="U81" s="35">
        <f t="shared" si="79"/>
        <v>9.9071345029239852E-2</v>
      </c>
      <c r="V81" s="35">
        <f t="shared" si="79"/>
        <v>0.11386781609195412</v>
      </c>
      <c r="W81" s="35">
        <f t="shared" si="79"/>
        <v>0.11177135207496644</v>
      </c>
      <c r="Y81" s="393"/>
      <c r="Z81" s="393"/>
      <c r="AA81" s="393"/>
      <c r="AB81" s="393"/>
      <c r="AC81" s="393"/>
      <c r="AD81" s="393"/>
      <c r="AE81" s="393"/>
      <c r="AF81" s="393"/>
      <c r="AG81" s="393"/>
      <c r="AH81" s="393"/>
      <c r="AI81" s="393"/>
      <c r="AJ81" s="393"/>
      <c r="AK81" s="393"/>
      <c r="AL81" s="393"/>
      <c r="AM81" s="393"/>
      <c r="AN81" s="393"/>
      <c r="AO81" s="393"/>
      <c r="AP81" s="393"/>
      <c r="AQ81" s="393"/>
      <c r="AR81" s="393"/>
      <c r="AS81" s="393"/>
    </row>
    <row r="82" spans="1:45" x14ac:dyDescent="0.3">
      <c r="B82" s="54"/>
      <c r="C82" s="55"/>
      <c r="D82" s="20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Y82" s="390"/>
      <c r="Z82" s="390"/>
      <c r="AA82" s="390"/>
      <c r="AB82" s="390"/>
      <c r="AC82" s="390"/>
      <c r="AD82" s="390"/>
      <c r="AE82" s="390"/>
      <c r="AF82" s="390"/>
      <c r="AG82" s="390"/>
      <c r="AH82" s="390"/>
      <c r="AI82" s="390"/>
      <c r="AJ82" s="390"/>
      <c r="AK82" s="390"/>
      <c r="AL82" s="390"/>
      <c r="AM82" s="390"/>
      <c r="AN82" s="390"/>
      <c r="AO82" s="390"/>
      <c r="AP82" s="390"/>
      <c r="AQ82" s="390"/>
      <c r="AR82" s="390"/>
      <c r="AS82" s="390"/>
    </row>
    <row r="83" spans="1:45" ht="21" thickBot="1" x14ac:dyDescent="0.35">
      <c r="Y83" s="390"/>
      <c r="Z83" s="390"/>
      <c r="AA83" s="390"/>
      <c r="AB83" s="390"/>
      <c r="AC83" s="390"/>
      <c r="AD83" s="390"/>
      <c r="AE83" s="390"/>
      <c r="AF83" s="390"/>
      <c r="AG83" s="390"/>
      <c r="AH83" s="390"/>
      <c r="AI83" s="390"/>
      <c r="AJ83" s="390"/>
      <c r="AK83" s="390"/>
      <c r="AL83" s="390"/>
      <c r="AM83" s="390"/>
      <c r="AN83" s="390"/>
      <c r="AO83" s="390"/>
      <c r="AP83" s="390"/>
      <c r="AQ83" s="390"/>
      <c r="AR83" s="390"/>
      <c r="AS83" s="390"/>
    </row>
    <row r="84" spans="1:45" ht="21" thickBot="1" x14ac:dyDescent="0.35">
      <c r="A84" s="15" t="s">
        <v>312</v>
      </c>
      <c r="B84" s="67" t="s">
        <v>37</v>
      </c>
      <c r="C84" s="68"/>
      <c r="D84" s="17" t="s">
        <v>5</v>
      </c>
      <c r="E84" s="18" t="s">
        <v>6</v>
      </c>
      <c r="F84" s="18" t="s">
        <v>7</v>
      </c>
      <c r="G84" s="18" t="s">
        <v>8</v>
      </c>
      <c r="H84" s="18" t="s">
        <v>9</v>
      </c>
      <c r="I84" s="18" t="s">
        <v>10</v>
      </c>
      <c r="J84" s="18" t="s">
        <v>11</v>
      </c>
      <c r="K84" s="18" t="s">
        <v>12</v>
      </c>
      <c r="L84" s="18" t="s">
        <v>13</v>
      </c>
      <c r="M84" s="18" t="s">
        <v>14</v>
      </c>
      <c r="N84" s="18" t="s">
        <v>15</v>
      </c>
      <c r="O84" s="18" t="s">
        <v>16</v>
      </c>
      <c r="P84" s="18" t="s">
        <v>17</v>
      </c>
      <c r="Q84" s="18" t="s">
        <v>18</v>
      </c>
      <c r="R84" s="18" t="s">
        <v>19</v>
      </c>
      <c r="S84" s="18" t="s">
        <v>20</v>
      </c>
      <c r="T84" s="18" t="s">
        <v>21</v>
      </c>
      <c r="U84" s="18" t="s">
        <v>22</v>
      </c>
      <c r="V84" s="18" t="s">
        <v>23</v>
      </c>
      <c r="W84" s="18" t="s">
        <v>166</v>
      </c>
      <c r="Y84" s="390"/>
      <c r="Z84" s="390"/>
      <c r="AA84" s="390"/>
      <c r="AB84" s="390"/>
      <c r="AC84" s="390"/>
      <c r="AD84" s="390"/>
      <c r="AE84" s="390"/>
      <c r="AF84" s="390"/>
      <c r="AG84" s="390"/>
      <c r="AH84" s="390"/>
      <c r="AI84" s="390"/>
      <c r="AJ84" s="390"/>
      <c r="AK84" s="390"/>
      <c r="AL84" s="390"/>
      <c r="AM84" s="390"/>
      <c r="AN84" s="390"/>
      <c r="AO84" s="390"/>
      <c r="AP84" s="390"/>
      <c r="AQ84" s="390"/>
      <c r="AR84" s="390"/>
      <c r="AS84" s="390"/>
    </row>
    <row r="85" spans="1:45" s="42" customFormat="1" x14ac:dyDescent="0.3">
      <c r="B85" s="69" t="s">
        <v>50</v>
      </c>
      <c r="C85" s="70"/>
      <c r="D85" s="20">
        <v>265</v>
      </c>
      <c r="E85" s="20">
        <v>265</v>
      </c>
      <c r="F85" s="20">
        <v>265</v>
      </c>
      <c r="G85" s="20">
        <v>265</v>
      </c>
      <c r="H85" s="20">
        <v>265</v>
      </c>
      <c r="I85" s="20">
        <v>265</v>
      </c>
      <c r="J85" s="20">
        <v>265</v>
      </c>
      <c r="K85" s="20">
        <v>265</v>
      </c>
      <c r="L85" s="20">
        <v>265</v>
      </c>
      <c r="M85" s="20">
        <v>265</v>
      </c>
      <c r="N85" s="20">
        <v>265</v>
      </c>
      <c r="O85" s="20">
        <v>265</v>
      </c>
      <c r="P85" s="20">
        <v>265</v>
      </c>
      <c r="Q85" s="20">
        <v>265</v>
      </c>
      <c r="R85" s="20">
        <v>265</v>
      </c>
      <c r="S85" s="20">
        <v>265</v>
      </c>
      <c r="T85" s="20"/>
      <c r="U85" s="20"/>
      <c r="V85" s="20"/>
      <c r="W85" s="20">
        <v>265</v>
      </c>
      <c r="Y85" s="390"/>
      <c r="Z85" s="390"/>
      <c r="AA85" s="390"/>
      <c r="AB85" s="390"/>
      <c r="AC85" s="390"/>
      <c r="AD85" s="390"/>
      <c r="AE85" s="390"/>
      <c r="AF85" s="390"/>
      <c r="AG85" s="390"/>
      <c r="AH85" s="390"/>
      <c r="AI85" s="390"/>
      <c r="AJ85" s="390"/>
      <c r="AK85" s="390"/>
      <c r="AL85" s="390"/>
      <c r="AM85" s="390"/>
      <c r="AN85" s="390"/>
      <c r="AO85" s="390"/>
      <c r="AP85" s="390"/>
      <c r="AQ85" s="390"/>
      <c r="AR85" s="390"/>
      <c r="AS85" s="390"/>
    </row>
    <row r="86" spans="1:45" x14ac:dyDescent="0.3">
      <c r="B86" s="54" t="s">
        <v>51</v>
      </c>
      <c r="C86" s="55"/>
      <c r="D86" s="322">
        <v>0.26</v>
      </c>
      <c r="E86" s="322">
        <f>D86</f>
        <v>0.26</v>
      </c>
      <c r="F86" s="322">
        <f>D86</f>
        <v>0.26</v>
      </c>
      <c r="G86" s="322">
        <f>D86</f>
        <v>0.26</v>
      </c>
      <c r="H86" s="322">
        <f>D86</f>
        <v>0.26</v>
      </c>
      <c r="I86" s="322">
        <f>D86</f>
        <v>0.26</v>
      </c>
      <c r="J86" s="322">
        <f>D86</f>
        <v>0.26</v>
      </c>
      <c r="K86" s="322">
        <f>D86</f>
        <v>0.26</v>
      </c>
      <c r="L86" s="322">
        <f>D86</f>
        <v>0.26</v>
      </c>
      <c r="M86" s="322">
        <f>D86</f>
        <v>0.26</v>
      </c>
      <c r="N86" s="322">
        <f>D86</f>
        <v>0.26</v>
      </c>
      <c r="O86" s="322">
        <f>D86</f>
        <v>0.26</v>
      </c>
      <c r="P86" s="322">
        <f>D86</f>
        <v>0.26</v>
      </c>
      <c r="Q86" s="322">
        <f>D86</f>
        <v>0.26</v>
      </c>
      <c r="R86" s="322">
        <f>D86</f>
        <v>0.26</v>
      </c>
      <c r="S86" s="322">
        <f>D86</f>
        <v>0.26</v>
      </c>
      <c r="T86" s="218"/>
      <c r="U86" s="218"/>
      <c r="V86" s="218"/>
      <c r="W86" s="322">
        <f>J86</f>
        <v>0.26</v>
      </c>
      <c r="Y86" s="390"/>
      <c r="Z86" s="390"/>
      <c r="AA86" s="390"/>
      <c r="AB86" s="390"/>
      <c r="AC86" s="390"/>
      <c r="AD86" s="390"/>
      <c r="AE86" s="390"/>
      <c r="AF86" s="390"/>
      <c r="AG86" s="390"/>
      <c r="AH86" s="390"/>
      <c r="AI86" s="390"/>
      <c r="AJ86" s="390"/>
      <c r="AK86" s="390"/>
      <c r="AL86" s="390"/>
      <c r="AM86" s="390"/>
      <c r="AN86" s="390"/>
      <c r="AO86" s="390"/>
      <c r="AP86" s="390"/>
      <c r="AQ86" s="390"/>
      <c r="AR86" s="390"/>
      <c r="AS86" s="390"/>
    </row>
    <row r="87" spans="1:45" x14ac:dyDescent="0.3">
      <c r="B87" s="54" t="s">
        <v>56</v>
      </c>
      <c r="C87" s="55"/>
      <c r="D87" s="21">
        <v>0</v>
      </c>
      <c r="E87" s="21">
        <v>0</v>
      </c>
      <c r="F87" s="21">
        <v>0</v>
      </c>
      <c r="G87" s="21">
        <v>0</v>
      </c>
      <c r="H87" s="21">
        <v>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Y87" s="390"/>
      <c r="Z87" s="390"/>
      <c r="AA87" s="390"/>
      <c r="AB87" s="390"/>
      <c r="AC87" s="390"/>
      <c r="AD87" s="390"/>
      <c r="AE87" s="390"/>
      <c r="AF87" s="390"/>
      <c r="AG87" s="390"/>
      <c r="AH87" s="390"/>
      <c r="AI87" s="390"/>
      <c r="AJ87" s="390"/>
      <c r="AK87" s="390"/>
      <c r="AL87" s="390"/>
      <c r="AM87" s="390"/>
      <c r="AN87" s="390"/>
      <c r="AO87" s="390"/>
      <c r="AP87" s="390"/>
      <c r="AQ87" s="390"/>
      <c r="AR87" s="390"/>
      <c r="AS87" s="390"/>
    </row>
    <row r="88" spans="1:45" x14ac:dyDescent="0.3">
      <c r="B88" s="177" t="s">
        <v>67</v>
      </c>
      <c r="C88" s="178"/>
      <c r="D88" s="323">
        <f>D85-(D85*D86)</f>
        <v>196.1</v>
      </c>
      <c r="E88" s="323">
        <f t="shared" ref="E88:W88" si="80">E85-(E85*E86)</f>
        <v>196.1</v>
      </c>
      <c r="F88" s="323">
        <f t="shared" si="80"/>
        <v>196.1</v>
      </c>
      <c r="G88" s="323">
        <f t="shared" si="80"/>
        <v>196.1</v>
      </c>
      <c r="H88" s="323">
        <f t="shared" si="80"/>
        <v>196.1</v>
      </c>
      <c r="I88" s="323">
        <f t="shared" si="80"/>
        <v>196.1</v>
      </c>
      <c r="J88" s="323">
        <f t="shared" si="80"/>
        <v>196.1</v>
      </c>
      <c r="K88" s="323">
        <f t="shared" si="80"/>
        <v>196.1</v>
      </c>
      <c r="L88" s="323">
        <f t="shared" si="80"/>
        <v>196.1</v>
      </c>
      <c r="M88" s="323">
        <f t="shared" si="80"/>
        <v>196.1</v>
      </c>
      <c r="N88" s="323">
        <f t="shared" si="80"/>
        <v>196.1</v>
      </c>
      <c r="O88" s="323">
        <f t="shared" si="80"/>
        <v>196.1</v>
      </c>
      <c r="P88" s="323">
        <f t="shared" si="80"/>
        <v>196.1</v>
      </c>
      <c r="Q88" s="323">
        <f t="shared" si="80"/>
        <v>196.1</v>
      </c>
      <c r="R88" s="323">
        <f t="shared" si="80"/>
        <v>196.1</v>
      </c>
      <c r="S88" s="323">
        <f t="shared" si="80"/>
        <v>196.1</v>
      </c>
      <c r="T88" s="323">
        <v>214.46</v>
      </c>
      <c r="U88" s="323">
        <v>214.46</v>
      </c>
      <c r="V88" s="323">
        <v>214.46</v>
      </c>
      <c r="W88" s="323">
        <f t="shared" si="80"/>
        <v>196.1</v>
      </c>
      <c r="Y88" s="390"/>
      <c r="Z88" s="390"/>
      <c r="AA88" s="390"/>
      <c r="AB88" s="390"/>
      <c r="AC88" s="390"/>
      <c r="AD88" s="390"/>
      <c r="AE88" s="390"/>
      <c r="AF88" s="390"/>
      <c r="AG88" s="390"/>
      <c r="AH88" s="390"/>
      <c r="AI88" s="390"/>
      <c r="AJ88" s="390"/>
      <c r="AK88" s="390"/>
      <c r="AL88" s="390"/>
      <c r="AM88" s="390"/>
      <c r="AN88" s="390"/>
      <c r="AO88" s="390"/>
      <c r="AP88" s="390"/>
      <c r="AQ88" s="390"/>
      <c r="AR88" s="390"/>
      <c r="AS88" s="390"/>
    </row>
    <row r="89" spans="1:45" x14ac:dyDescent="0.3">
      <c r="B89" s="54" t="s">
        <v>66</v>
      </c>
      <c r="C89" s="56">
        <v>7.0000000000000007E-2</v>
      </c>
      <c r="D89" s="24">
        <f t="shared" ref="D89:W89" si="81">D88*$C89</f>
        <v>13.727</v>
      </c>
      <c r="E89" s="24">
        <f t="shared" si="81"/>
        <v>13.727</v>
      </c>
      <c r="F89" s="24">
        <f t="shared" si="81"/>
        <v>13.727</v>
      </c>
      <c r="G89" s="24">
        <f t="shared" si="81"/>
        <v>13.727</v>
      </c>
      <c r="H89" s="24">
        <f t="shared" si="81"/>
        <v>13.727</v>
      </c>
      <c r="I89" s="24">
        <f t="shared" si="81"/>
        <v>13.727</v>
      </c>
      <c r="J89" s="24">
        <f t="shared" si="81"/>
        <v>13.727</v>
      </c>
      <c r="K89" s="24">
        <f t="shared" si="81"/>
        <v>13.727</v>
      </c>
      <c r="L89" s="24">
        <f t="shared" si="81"/>
        <v>13.727</v>
      </c>
      <c r="M89" s="24">
        <f t="shared" si="81"/>
        <v>13.727</v>
      </c>
      <c r="N89" s="24">
        <f t="shared" si="81"/>
        <v>13.727</v>
      </c>
      <c r="O89" s="24">
        <f t="shared" si="81"/>
        <v>13.727</v>
      </c>
      <c r="P89" s="24">
        <f t="shared" si="81"/>
        <v>13.727</v>
      </c>
      <c r="Q89" s="24">
        <f t="shared" si="81"/>
        <v>13.727</v>
      </c>
      <c r="R89" s="24">
        <f t="shared" si="81"/>
        <v>13.727</v>
      </c>
      <c r="S89" s="24">
        <f t="shared" si="81"/>
        <v>13.727</v>
      </c>
      <c r="T89" s="24">
        <f t="shared" si="81"/>
        <v>15.012200000000002</v>
      </c>
      <c r="U89" s="24">
        <f t="shared" si="81"/>
        <v>15.012200000000002</v>
      </c>
      <c r="V89" s="24">
        <f t="shared" si="81"/>
        <v>15.012200000000002</v>
      </c>
      <c r="W89" s="24">
        <f t="shared" si="81"/>
        <v>13.727</v>
      </c>
      <c r="Y89" s="390"/>
      <c r="Z89" s="390"/>
      <c r="AA89" s="390"/>
      <c r="AB89" s="390"/>
      <c r="AC89" s="390"/>
      <c r="AD89" s="390"/>
      <c r="AE89" s="390"/>
      <c r="AF89" s="390"/>
      <c r="AG89" s="390"/>
      <c r="AH89" s="390"/>
      <c r="AI89" s="390"/>
      <c r="AJ89" s="390"/>
      <c r="AK89" s="390"/>
      <c r="AL89" s="390"/>
      <c r="AM89" s="390"/>
      <c r="AN89" s="390"/>
      <c r="AO89" s="390"/>
      <c r="AP89" s="390"/>
      <c r="AQ89" s="390"/>
      <c r="AR89" s="390"/>
      <c r="AS89" s="390"/>
    </row>
    <row r="90" spans="1:45" x14ac:dyDescent="0.3">
      <c r="B90" s="54" t="s">
        <v>68</v>
      </c>
      <c r="C90" s="55"/>
      <c r="D90" s="21">
        <f t="shared" ref="D90:W90" si="82">D88+D89</f>
        <v>209.827</v>
      </c>
      <c r="E90" s="21">
        <f t="shared" si="82"/>
        <v>209.827</v>
      </c>
      <c r="F90" s="21">
        <f t="shared" si="82"/>
        <v>209.827</v>
      </c>
      <c r="G90" s="21">
        <f t="shared" si="82"/>
        <v>209.827</v>
      </c>
      <c r="H90" s="21">
        <f t="shared" si="82"/>
        <v>209.827</v>
      </c>
      <c r="I90" s="21">
        <f t="shared" si="82"/>
        <v>209.827</v>
      </c>
      <c r="J90" s="21">
        <f t="shared" si="82"/>
        <v>209.827</v>
      </c>
      <c r="K90" s="21">
        <f t="shared" si="82"/>
        <v>209.827</v>
      </c>
      <c r="L90" s="21">
        <f t="shared" si="82"/>
        <v>209.827</v>
      </c>
      <c r="M90" s="21">
        <f t="shared" si="82"/>
        <v>209.827</v>
      </c>
      <c r="N90" s="21">
        <f t="shared" si="82"/>
        <v>209.827</v>
      </c>
      <c r="O90" s="21">
        <f t="shared" si="82"/>
        <v>209.827</v>
      </c>
      <c r="P90" s="21">
        <f t="shared" si="82"/>
        <v>209.827</v>
      </c>
      <c r="Q90" s="21">
        <f t="shared" si="82"/>
        <v>209.827</v>
      </c>
      <c r="R90" s="21">
        <f t="shared" si="82"/>
        <v>209.827</v>
      </c>
      <c r="S90" s="21">
        <f t="shared" si="82"/>
        <v>209.827</v>
      </c>
      <c r="T90" s="21">
        <f t="shared" si="82"/>
        <v>229.47220000000002</v>
      </c>
      <c r="U90" s="21">
        <f t="shared" si="82"/>
        <v>229.47220000000002</v>
      </c>
      <c r="V90" s="21">
        <f t="shared" si="82"/>
        <v>229.47220000000002</v>
      </c>
      <c r="W90" s="21">
        <f t="shared" si="82"/>
        <v>209.827</v>
      </c>
      <c r="Y90" s="390"/>
      <c r="Z90" s="390"/>
      <c r="AA90" s="390"/>
      <c r="AB90" s="390"/>
      <c r="AC90" s="390"/>
      <c r="AD90" s="390"/>
      <c r="AE90" s="390"/>
      <c r="AF90" s="390"/>
      <c r="AG90" s="390"/>
      <c r="AH90" s="390"/>
      <c r="AI90" s="390"/>
      <c r="AJ90" s="390"/>
      <c r="AK90" s="390"/>
      <c r="AL90" s="390"/>
      <c r="AM90" s="390"/>
      <c r="AN90" s="390"/>
      <c r="AO90" s="390"/>
      <c r="AP90" s="390"/>
      <c r="AQ90" s="390"/>
      <c r="AR90" s="390"/>
      <c r="AS90" s="390"/>
    </row>
    <row r="91" spans="1:45" x14ac:dyDescent="0.3">
      <c r="B91" s="54" t="s">
        <v>52</v>
      </c>
      <c r="C91" s="55"/>
      <c r="D91" s="398">
        <f>Y93</f>
        <v>10.441666666666666</v>
      </c>
      <c r="E91" s="398">
        <f t="shared" ref="E91:W91" si="83">Z93</f>
        <v>23.718333333333334</v>
      </c>
      <c r="F91" s="398">
        <f t="shared" si="83"/>
        <v>28.462499999999999</v>
      </c>
      <c r="G91" s="398">
        <f t="shared" si="83"/>
        <v>18.975000000000001</v>
      </c>
      <c r="H91" s="398">
        <f t="shared" si="83"/>
        <v>10.164999999999999</v>
      </c>
      <c r="I91" s="398">
        <f t="shared" si="83"/>
        <v>13.553333333333333</v>
      </c>
      <c r="J91" s="398">
        <f t="shared" si="83"/>
        <v>21.008333333333333</v>
      </c>
      <c r="K91" s="398">
        <f t="shared" si="83"/>
        <v>17.213333333333335</v>
      </c>
      <c r="L91" s="398">
        <f t="shared" si="83"/>
        <v>20.329999999999998</v>
      </c>
      <c r="M91" s="398">
        <f t="shared" si="83"/>
        <v>9.7583333333333329</v>
      </c>
      <c r="N91" s="398">
        <f t="shared" si="83"/>
        <v>10.843333333333334</v>
      </c>
      <c r="O91" s="398">
        <f t="shared" si="83"/>
        <v>25.484166666666667</v>
      </c>
      <c r="P91" s="398">
        <f t="shared" si="83"/>
        <v>9.7583333333333329</v>
      </c>
      <c r="Q91" s="398">
        <f t="shared" si="83"/>
        <v>9.7583333333333329</v>
      </c>
      <c r="R91" s="398">
        <f t="shared" si="83"/>
        <v>12.875833333333333</v>
      </c>
      <c r="S91" s="398">
        <f t="shared" si="83"/>
        <v>12.198333333333334</v>
      </c>
      <c r="T91" s="398">
        <f t="shared" si="83"/>
        <v>0</v>
      </c>
      <c r="U91" s="398">
        <f t="shared" si="83"/>
        <v>25.484166666666667</v>
      </c>
      <c r="V91" s="398">
        <f t="shared" si="83"/>
        <v>0</v>
      </c>
      <c r="W91" s="398">
        <f t="shared" si="83"/>
        <v>9.7583333333333329</v>
      </c>
      <c r="Y91" s="390">
        <v>12530</v>
      </c>
      <c r="Z91" s="390">
        <v>28462</v>
      </c>
      <c r="AA91" s="390">
        <v>34155</v>
      </c>
      <c r="AB91" s="390">
        <v>22770</v>
      </c>
      <c r="AC91" s="390">
        <v>12198</v>
      </c>
      <c r="AD91" s="390">
        <v>16264</v>
      </c>
      <c r="AE91" s="390">
        <v>25210</v>
      </c>
      <c r="AF91" s="390">
        <v>20656</v>
      </c>
      <c r="AG91" s="390">
        <v>24396</v>
      </c>
      <c r="AH91" s="390">
        <v>11710</v>
      </c>
      <c r="AI91" s="390">
        <v>13012</v>
      </c>
      <c r="AJ91" s="390">
        <v>30581</v>
      </c>
      <c r="AK91" s="396">
        <v>11710</v>
      </c>
      <c r="AL91" s="396">
        <v>11710</v>
      </c>
      <c r="AM91" s="390">
        <v>15451</v>
      </c>
      <c r="AN91" s="390">
        <v>14638</v>
      </c>
      <c r="AO91" s="390"/>
      <c r="AP91" s="396">
        <v>30581</v>
      </c>
      <c r="AQ91" s="390"/>
      <c r="AR91" s="396">
        <v>11710</v>
      </c>
      <c r="AS91" s="390"/>
    </row>
    <row r="92" spans="1:45" x14ac:dyDescent="0.3">
      <c r="B92" s="57" t="s">
        <v>53</v>
      </c>
      <c r="C92" s="58"/>
      <c r="D92" s="25">
        <f>SUM(D90:D91)</f>
        <v>220.26866666666666</v>
      </c>
      <c r="E92" s="26">
        <f t="shared" ref="E92:V92" si="84">SUM(E90:E91)</f>
        <v>233.54533333333333</v>
      </c>
      <c r="F92" s="26">
        <f t="shared" si="84"/>
        <v>238.2895</v>
      </c>
      <c r="G92" s="26">
        <f t="shared" si="84"/>
        <v>228.80199999999999</v>
      </c>
      <c r="H92" s="26">
        <f t="shared" si="84"/>
        <v>219.99199999999999</v>
      </c>
      <c r="I92" s="26">
        <f t="shared" si="84"/>
        <v>223.38033333333334</v>
      </c>
      <c r="J92" s="26">
        <f t="shared" si="84"/>
        <v>230.83533333333332</v>
      </c>
      <c r="K92" s="26">
        <f t="shared" si="84"/>
        <v>227.04033333333334</v>
      </c>
      <c r="L92" s="26">
        <f t="shared" si="84"/>
        <v>230.15699999999998</v>
      </c>
      <c r="M92" s="26">
        <f t="shared" si="84"/>
        <v>219.58533333333332</v>
      </c>
      <c r="N92" s="26">
        <f t="shared" si="84"/>
        <v>220.67033333333333</v>
      </c>
      <c r="O92" s="26">
        <f t="shared" si="84"/>
        <v>235.31116666666668</v>
      </c>
      <c r="P92" s="26">
        <f t="shared" si="84"/>
        <v>219.58533333333332</v>
      </c>
      <c r="Q92" s="26">
        <f t="shared" si="84"/>
        <v>219.58533333333332</v>
      </c>
      <c r="R92" s="26">
        <f t="shared" si="84"/>
        <v>222.70283333333333</v>
      </c>
      <c r="S92" s="26">
        <f t="shared" si="84"/>
        <v>222.02533333333332</v>
      </c>
      <c r="T92" s="26">
        <f t="shared" si="84"/>
        <v>229.47220000000002</v>
      </c>
      <c r="U92" s="26">
        <f t="shared" si="84"/>
        <v>254.95636666666667</v>
      </c>
      <c r="V92" s="26">
        <f t="shared" si="84"/>
        <v>229.47220000000002</v>
      </c>
      <c r="W92" s="26">
        <f>SUM(W90:W91)</f>
        <v>219.58533333333332</v>
      </c>
      <c r="Y92" s="390">
        <v>1200</v>
      </c>
      <c r="Z92" s="390">
        <v>1200</v>
      </c>
      <c r="AA92" s="390">
        <v>1200</v>
      </c>
      <c r="AB92" s="390">
        <v>1200</v>
      </c>
      <c r="AC92" s="390">
        <v>1200</v>
      </c>
      <c r="AD92" s="390">
        <v>1200</v>
      </c>
      <c r="AE92" s="390">
        <v>1200</v>
      </c>
      <c r="AF92" s="390">
        <v>1200</v>
      </c>
      <c r="AG92" s="390">
        <v>1200</v>
      </c>
      <c r="AH92" s="390">
        <v>1200</v>
      </c>
      <c r="AI92" s="390">
        <v>1200</v>
      </c>
      <c r="AJ92" s="390">
        <v>1200</v>
      </c>
      <c r="AK92" s="390">
        <v>1200</v>
      </c>
      <c r="AL92" s="390">
        <v>1200</v>
      </c>
      <c r="AM92" s="390">
        <v>1200</v>
      </c>
      <c r="AN92" s="390">
        <v>1200</v>
      </c>
      <c r="AO92" s="390"/>
      <c r="AP92" s="390">
        <v>1200</v>
      </c>
      <c r="AQ92" s="390"/>
      <c r="AR92" s="390">
        <v>1200</v>
      </c>
      <c r="AS92" s="390"/>
    </row>
    <row r="93" spans="1:45" x14ac:dyDescent="0.3">
      <c r="B93" s="54" t="s">
        <v>54</v>
      </c>
      <c r="C93" s="55"/>
      <c r="D93" s="20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Y93" s="389">
        <f>Y91/Y92</f>
        <v>10.441666666666666</v>
      </c>
      <c r="Z93" s="389">
        <f t="shared" ref="Z93" si="85">Z91/Z92</f>
        <v>23.718333333333334</v>
      </c>
      <c r="AA93" s="389">
        <f t="shared" ref="AA93" si="86">AA91/AA92</f>
        <v>28.462499999999999</v>
      </c>
      <c r="AB93" s="389">
        <f t="shared" ref="AB93" si="87">AB91/AB92</f>
        <v>18.975000000000001</v>
      </c>
      <c r="AC93" s="389">
        <f t="shared" ref="AC93" si="88">AC91/AC92</f>
        <v>10.164999999999999</v>
      </c>
      <c r="AD93" s="389">
        <f t="shared" ref="AD93" si="89">AD91/AD92</f>
        <v>13.553333333333333</v>
      </c>
      <c r="AE93" s="389">
        <f t="shared" ref="AE93" si="90">AE91/AE92</f>
        <v>21.008333333333333</v>
      </c>
      <c r="AF93" s="389">
        <f t="shared" ref="AF93" si="91">AF91/AF92</f>
        <v>17.213333333333335</v>
      </c>
      <c r="AG93" s="389">
        <f t="shared" ref="AG93" si="92">AG91/AG92</f>
        <v>20.329999999999998</v>
      </c>
      <c r="AH93" s="389">
        <f t="shared" ref="AH93" si="93">AH91/AH92</f>
        <v>9.7583333333333329</v>
      </c>
      <c r="AI93" s="389">
        <f t="shared" ref="AI93" si="94">AI91/AI92</f>
        <v>10.843333333333334</v>
      </c>
      <c r="AJ93" s="389">
        <f t="shared" ref="AJ93" si="95">AJ91/AJ92</f>
        <v>25.484166666666667</v>
      </c>
      <c r="AK93" s="389">
        <f t="shared" ref="AK93" si="96">AK91/AK92</f>
        <v>9.7583333333333329</v>
      </c>
      <c r="AL93" s="389">
        <f t="shared" ref="AL93" si="97">AL91/AL92</f>
        <v>9.7583333333333329</v>
      </c>
      <c r="AM93" s="389">
        <f t="shared" ref="AM93" si="98">AM91/AM92</f>
        <v>12.875833333333333</v>
      </c>
      <c r="AN93" s="389">
        <f t="shared" ref="AN93" si="99">AN91/AN92</f>
        <v>12.198333333333334</v>
      </c>
      <c r="AO93" s="390"/>
      <c r="AP93" s="389">
        <f t="shared" ref="AP93" si="100">AP91/AP92</f>
        <v>25.484166666666667</v>
      </c>
      <c r="AQ93" s="390"/>
      <c r="AR93" s="389">
        <f t="shared" ref="AR93" si="101">AR91/AR92</f>
        <v>9.7583333333333329</v>
      </c>
      <c r="AS93" s="390"/>
    </row>
    <row r="94" spans="1:45" x14ac:dyDescent="0.3">
      <c r="B94" s="59" t="s">
        <v>55</v>
      </c>
      <c r="C94" s="60"/>
      <c r="D94" s="27">
        <f t="shared" ref="D94:W94" si="102">SUM(D92:D93)</f>
        <v>220.26866666666666</v>
      </c>
      <c r="E94" s="41">
        <f t="shared" si="102"/>
        <v>233.54533333333333</v>
      </c>
      <c r="F94" s="41">
        <f t="shared" si="102"/>
        <v>238.2895</v>
      </c>
      <c r="G94" s="41">
        <f t="shared" si="102"/>
        <v>228.80199999999999</v>
      </c>
      <c r="H94" s="41">
        <f t="shared" si="102"/>
        <v>219.99199999999999</v>
      </c>
      <c r="I94" s="41">
        <f t="shared" si="102"/>
        <v>223.38033333333334</v>
      </c>
      <c r="J94" s="41">
        <f t="shared" si="102"/>
        <v>230.83533333333332</v>
      </c>
      <c r="K94" s="41">
        <f t="shared" si="102"/>
        <v>227.04033333333334</v>
      </c>
      <c r="L94" s="41">
        <f t="shared" si="102"/>
        <v>230.15699999999998</v>
      </c>
      <c r="M94" s="41">
        <f t="shared" si="102"/>
        <v>219.58533333333332</v>
      </c>
      <c r="N94" s="41">
        <f t="shared" si="102"/>
        <v>220.67033333333333</v>
      </c>
      <c r="O94" s="41">
        <f t="shared" si="102"/>
        <v>235.31116666666668</v>
      </c>
      <c r="P94" s="41">
        <f t="shared" si="102"/>
        <v>219.58533333333332</v>
      </c>
      <c r="Q94" s="41">
        <f t="shared" si="102"/>
        <v>219.58533333333332</v>
      </c>
      <c r="R94" s="41">
        <f t="shared" si="102"/>
        <v>222.70283333333333</v>
      </c>
      <c r="S94" s="41">
        <f t="shared" si="102"/>
        <v>222.02533333333332</v>
      </c>
      <c r="T94" s="41">
        <f t="shared" si="102"/>
        <v>229.47220000000002</v>
      </c>
      <c r="U94" s="41">
        <f t="shared" si="102"/>
        <v>254.95636666666667</v>
      </c>
      <c r="V94" s="41">
        <f t="shared" si="102"/>
        <v>229.47220000000002</v>
      </c>
      <c r="W94" s="41">
        <f t="shared" si="102"/>
        <v>219.58533333333332</v>
      </c>
      <c r="Y94" s="390"/>
      <c r="Z94" s="390"/>
      <c r="AA94" s="390"/>
      <c r="AB94" s="390"/>
      <c r="AC94" s="390"/>
      <c r="AD94" s="390"/>
      <c r="AE94" s="390"/>
      <c r="AF94" s="390"/>
      <c r="AG94" s="390"/>
      <c r="AH94" s="390"/>
      <c r="AI94" s="390"/>
      <c r="AJ94" s="390"/>
      <c r="AK94" s="390"/>
      <c r="AL94" s="390"/>
      <c r="AM94" s="390"/>
      <c r="AN94" s="390"/>
      <c r="AO94" s="390"/>
      <c r="AP94" s="390"/>
      <c r="AQ94" s="390"/>
      <c r="AR94" s="390"/>
      <c r="AS94" s="390"/>
    </row>
    <row r="95" spans="1:45" x14ac:dyDescent="0.3">
      <c r="B95" s="61" t="s">
        <v>101</v>
      </c>
      <c r="C95" s="55"/>
      <c r="D95" s="43">
        <v>0</v>
      </c>
      <c r="E95" s="408">
        <v>0</v>
      </c>
      <c r="F95" s="408">
        <v>0</v>
      </c>
      <c r="G95" s="408">
        <v>0</v>
      </c>
      <c r="H95" s="408">
        <v>0</v>
      </c>
      <c r="I95" s="408">
        <v>0</v>
      </c>
      <c r="J95" s="408">
        <v>0</v>
      </c>
      <c r="K95" s="408">
        <v>0</v>
      </c>
      <c r="L95" s="408">
        <v>0</v>
      </c>
      <c r="M95" s="408">
        <v>0</v>
      </c>
      <c r="N95" s="408">
        <v>0</v>
      </c>
      <c r="O95" s="408">
        <v>0</v>
      </c>
      <c r="P95" s="408">
        <v>0</v>
      </c>
      <c r="Q95" s="408">
        <v>0</v>
      </c>
      <c r="R95" s="408">
        <v>0</v>
      </c>
      <c r="S95" s="408">
        <v>0</v>
      </c>
      <c r="T95" s="408">
        <v>0</v>
      </c>
      <c r="U95" s="408">
        <v>0</v>
      </c>
      <c r="V95" s="408">
        <v>0</v>
      </c>
      <c r="W95" s="408">
        <v>0</v>
      </c>
      <c r="Y95" s="409"/>
      <c r="Z95" s="409"/>
      <c r="AA95" s="409"/>
      <c r="AB95" s="409"/>
      <c r="AC95" s="409"/>
      <c r="AD95" s="409"/>
      <c r="AE95" s="409"/>
      <c r="AF95" s="409"/>
      <c r="AG95" s="409"/>
      <c r="AH95" s="409"/>
      <c r="AI95" s="409"/>
      <c r="AJ95" s="409"/>
      <c r="AK95" s="409"/>
      <c r="AL95" s="409"/>
      <c r="AM95" s="409"/>
      <c r="AN95" s="409"/>
      <c r="AO95" s="409"/>
      <c r="AP95" s="409"/>
      <c r="AQ95" s="409"/>
      <c r="AR95" s="409"/>
      <c r="AS95" s="409"/>
    </row>
    <row r="96" spans="1:45" x14ac:dyDescent="0.3">
      <c r="B96" s="171" t="s">
        <v>194</v>
      </c>
      <c r="C96" s="55"/>
      <c r="D96" s="43">
        <v>237</v>
      </c>
      <c r="E96" s="21">
        <v>250</v>
      </c>
      <c r="F96" s="21">
        <v>255</v>
      </c>
      <c r="G96" s="21">
        <v>245</v>
      </c>
      <c r="H96" s="21">
        <v>236</v>
      </c>
      <c r="I96" s="21">
        <v>240</v>
      </c>
      <c r="J96" s="21">
        <v>247</v>
      </c>
      <c r="K96" s="21">
        <v>244</v>
      </c>
      <c r="L96" s="21">
        <v>247</v>
      </c>
      <c r="M96" s="21">
        <v>236</v>
      </c>
      <c r="N96" s="21">
        <v>237</v>
      </c>
      <c r="O96" s="21">
        <v>252</v>
      </c>
      <c r="P96" s="21">
        <v>236</v>
      </c>
      <c r="Q96" s="21">
        <v>236</v>
      </c>
      <c r="R96" s="21">
        <v>239</v>
      </c>
      <c r="S96" s="21">
        <v>239</v>
      </c>
      <c r="T96" s="21">
        <v>246</v>
      </c>
      <c r="U96" s="21">
        <v>271</v>
      </c>
      <c r="V96" s="21">
        <v>246</v>
      </c>
      <c r="W96" s="21">
        <v>236</v>
      </c>
      <c r="X96" s="42"/>
      <c r="Y96" s="390"/>
      <c r="Z96" s="390"/>
      <c r="AA96" s="390"/>
      <c r="AB96" s="390"/>
      <c r="AC96" s="390"/>
      <c r="AD96" s="390"/>
      <c r="AE96" s="390"/>
      <c r="AF96" s="390"/>
      <c r="AG96" s="390"/>
      <c r="AH96" s="390"/>
      <c r="AI96" s="390"/>
      <c r="AJ96" s="390"/>
      <c r="AK96" s="390"/>
      <c r="AL96" s="390"/>
      <c r="AM96" s="390"/>
      <c r="AN96" s="390"/>
      <c r="AO96" s="390"/>
      <c r="AP96" s="390"/>
      <c r="AQ96" s="390"/>
      <c r="AR96" s="390"/>
      <c r="AS96" s="390"/>
    </row>
    <row r="97" spans="1:45" x14ac:dyDescent="0.3">
      <c r="B97" s="61" t="s">
        <v>195</v>
      </c>
      <c r="C97" s="55"/>
      <c r="D97" s="106">
        <v>241</v>
      </c>
      <c r="E97" s="21">
        <v>254</v>
      </c>
      <c r="F97" s="21">
        <v>259</v>
      </c>
      <c r="G97" s="21">
        <v>249</v>
      </c>
      <c r="H97" s="21">
        <v>240</v>
      </c>
      <c r="I97" s="21">
        <v>244</v>
      </c>
      <c r="J97" s="21">
        <v>251</v>
      </c>
      <c r="K97" s="21">
        <v>248</v>
      </c>
      <c r="L97" s="21">
        <v>251</v>
      </c>
      <c r="M97" s="21">
        <v>240</v>
      </c>
      <c r="N97" s="21">
        <v>241</v>
      </c>
      <c r="O97" s="21">
        <v>256</v>
      </c>
      <c r="P97" s="21">
        <v>240</v>
      </c>
      <c r="Q97" s="21">
        <v>240</v>
      </c>
      <c r="R97" s="21">
        <v>243</v>
      </c>
      <c r="S97" s="21">
        <v>243</v>
      </c>
      <c r="T97" s="21">
        <v>250</v>
      </c>
      <c r="U97" s="21">
        <v>275</v>
      </c>
      <c r="V97" s="21">
        <v>250</v>
      </c>
      <c r="W97" s="21">
        <v>240</v>
      </c>
      <c r="Y97" s="390"/>
      <c r="Z97" s="390"/>
      <c r="AA97" s="390"/>
      <c r="AB97" s="390"/>
      <c r="AC97" s="390"/>
      <c r="AD97" s="390"/>
      <c r="AE97" s="390"/>
      <c r="AF97" s="390"/>
      <c r="AG97" s="390"/>
      <c r="AH97" s="390"/>
      <c r="AI97" s="390"/>
      <c r="AJ97" s="390"/>
      <c r="AK97" s="390"/>
      <c r="AL97" s="390"/>
      <c r="AM97" s="390"/>
      <c r="AN97" s="390"/>
      <c r="AO97" s="390"/>
      <c r="AP97" s="390"/>
      <c r="AQ97" s="390"/>
      <c r="AR97" s="390"/>
      <c r="AS97" s="390"/>
    </row>
    <row r="98" spans="1:45" s="30" customFormat="1" x14ac:dyDescent="0.3">
      <c r="B98" s="61" t="s">
        <v>196</v>
      </c>
      <c r="C98" s="62"/>
      <c r="D98" s="28">
        <v>243</v>
      </c>
      <c r="E98" s="28">
        <v>256</v>
      </c>
      <c r="F98" s="28">
        <v>261</v>
      </c>
      <c r="G98" s="28">
        <v>251</v>
      </c>
      <c r="H98" s="28">
        <v>242</v>
      </c>
      <c r="I98" s="28">
        <v>246</v>
      </c>
      <c r="J98" s="28">
        <v>253</v>
      </c>
      <c r="K98" s="28">
        <v>250</v>
      </c>
      <c r="L98" s="28">
        <v>253</v>
      </c>
      <c r="M98" s="28">
        <v>242</v>
      </c>
      <c r="N98" s="28">
        <v>243</v>
      </c>
      <c r="O98" s="28">
        <v>258</v>
      </c>
      <c r="P98" s="28">
        <v>242</v>
      </c>
      <c r="Q98" s="28">
        <v>242</v>
      </c>
      <c r="R98" s="28">
        <v>245</v>
      </c>
      <c r="S98" s="28">
        <v>245</v>
      </c>
      <c r="T98" s="28">
        <v>252</v>
      </c>
      <c r="U98" s="28">
        <v>277</v>
      </c>
      <c r="V98" s="28">
        <v>252</v>
      </c>
      <c r="W98" s="28">
        <v>242</v>
      </c>
      <c r="Y98" s="391"/>
      <c r="Z98" s="391"/>
      <c r="AA98" s="391"/>
      <c r="AB98" s="391"/>
      <c r="AC98" s="391"/>
      <c r="AD98" s="391"/>
      <c r="AE98" s="391"/>
      <c r="AF98" s="391"/>
      <c r="AG98" s="391"/>
      <c r="AH98" s="391"/>
      <c r="AI98" s="391"/>
      <c r="AJ98" s="391"/>
      <c r="AK98" s="391"/>
      <c r="AL98" s="391"/>
      <c r="AM98" s="391"/>
      <c r="AN98" s="391"/>
      <c r="AO98" s="391"/>
      <c r="AP98" s="391"/>
      <c r="AQ98" s="391"/>
      <c r="AR98" s="391"/>
      <c r="AS98" s="391"/>
    </row>
    <row r="99" spans="1:45" s="30" customFormat="1" x14ac:dyDescent="0.3">
      <c r="B99" s="61" t="s">
        <v>197</v>
      </c>
      <c r="C99" s="62"/>
      <c r="D99" s="28">
        <v>245</v>
      </c>
      <c r="E99" s="28">
        <v>258</v>
      </c>
      <c r="F99" s="28">
        <v>263</v>
      </c>
      <c r="G99" s="28">
        <v>253</v>
      </c>
      <c r="H99" s="28">
        <v>244</v>
      </c>
      <c r="I99" s="28">
        <v>248</v>
      </c>
      <c r="J99" s="28">
        <v>255</v>
      </c>
      <c r="K99" s="28">
        <v>252</v>
      </c>
      <c r="L99" s="28">
        <v>255</v>
      </c>
      <c r="M99" s="28">
        <v>244</v>
      </c>
      <c r="N99" s="28">
        <v>245</v>
      </c>
      <c r="O99" s="28">
        <v>260</v>
      </c>
      <c r="P99" s="28">
        <v>244</v>
      </c>
      <c r="Q99" s="28">
        <v>244</v>
      </c>
      <c r="R99" s="28">
        <v>247</v>
      </c>
      <c r="S99" s="28">
        <v>247</v>
      </c>
      <c r="T99" s="28">
        <v>254</v>
      </c>
      <c r="U99" s="28">
        <v>279</v>
      </c>
      <c r="V99" s="28">
        <v>254</v>
      </c>
      <c r="W99" s="28">
        <v>244</v>
      </c>
      <c r="Y99" s="391"/>
      <c r="Z99" s="391"/>
      <c r="AA99" s="391"/>
      <c r="AB99" s="391"/>
      <c r="AC99" s="391"/>
      <c r="AD99" s="391"/>
      <c r="AE99" s="391"/>
      <c r="AF99" s="391"/>
      <c r="AG99" s="391"/>
      <c r="AH99" s="391"/>
      <c r="AI99" s="391"/>
      <c r="AJ99" s="391"/>
      <c r="AK99" s="391"/>
      <c r="AL99" s="391"/>
      <c r="AM99" s="391"/>
      <c r="AN99" s="391"/>
      <c r="AO99" s="391"/>
      <c r="AP99" s="391"/>
      <c r="AQ99" s="391"/>
      <c r="AR99" s="391"/>
      <c r="AS99" s="391"/>
    </row>
    <row r="100" spans="1:45" x14ac:dyDescent="0.3">
      <c r="B100" s="63" t="s">
        <v>103</v>
      </c>
      <c r="C100" s="55"/>
      <c r="D100" s="43">
        <v>0</v>
      </c>
      <c r="E100" s="408">
        <v>0</v>
      </c>
      <c r="F100" s="408">
        <v>0</v>
      </c>
      <c r="G100" s="408">
        <v>0</v>
      </c>
      <c r="H100" s="408">
        <v>0</v>
      </c>
      <c r="I100" s="408">
        <v>0</v>
      </c>
      <c r="J100" s="408">
        <v>0</v>
      </c>
      <c r="K100" s="408">
        <v>0</v>
      </c>
      <c r="L100" s="408">
        <v>0</v>
      </c>
      <c r="M100" s="408">
        <v>0</v>
      </c>
      <c r="N100" s="408">
        <v>0</v>
      </c>
      <c r="O100" s="408">
        <v>0</v>
      </c>
      <c r="P100" s="408">
        <v>0</v>
      </c>
      <c r="Q100" s="408">
        <v>0</v>
      </c>
      <c r="R100" s="408">
        <v>0</v>
      </c>
      <c r="S100" s="408">
        <v>0</v>
      </c>
      <c r="T100" s="408">
        <v>0</v>
      </c>
      <c r="U100" s="408">
        <v>0</v>
      </c>
      <c r="V100" s="408">
        <v>0</v>
      </c>
      <c r="W100" s="408">
        <v>0</v>
      </c>
      <c r="Y100" s="409"/>
      <c r="Z100" s="409"/>
      <c r="AA100" s="409"/>
      <c r="AB100" s="409"/>
      <c r="AC100" s="409"/>
      <c r="AD100" s="409"/>
      <c r="AE100" s="409"/>
      <c r="AF100" s="409"/>
      <c r="AG100" s="409"/>
      <c r="AH100" s="409"/>
      <c r="AI100" s="409"/>
      <c r="AJ100" s="409"/>
      <c r="AK100" s="409"/>
      <c r="AL100" s="409"/>
      <c r="AM100" s="409"/>
      <c r="AN100" s="409"/>
      <c r="AO100" s="409"/>
      <c r="AP100" s="409"/>
      <c r="AQ100" s="409"/>
      <c r="AR100" s="409"/>
      <c r="AS100" s="409"/>
    </row>
    <row r="101" spans="1:45" s="33" customFormat="1" x14ac:dyDescent="0.3">
      <c r="B101" s="63" t="s">
        <v>198</v>
      </c>
      <c r="C101" s="64"/>
      <c r="D101" s="31">
        <f t="shared" ref="D101:W101" si="103">+D96-D$94</f>
        <v>16.731333333333339</v>
      </c>
      <c r="E101" s="32">
        <f t="shared" si="103"/>
        <v>16.454666666666668</v>
      </c>
      <c r="F101" s="32">
        <f t="shared" si="103"/>
        <v>16.710499999999996</v>
      </c>
      <c r="G101" s="32">
        <f t="shared" si="103"/>
        <v>16.198000000000008</v>
      </c>
      <c r="H101" s="32">
        <f t="shared" si="103"/>
        <v>16.00800000000001</v>
      </c>
      <c r="I101" s="32">
        <f t="shared" si="103"/>
        <v>16.61966666666666</v>
      </c>
      <c r="J101" s="32">
        <f t="shared" si="103"/>
        <v>16.164666666666676</v>
      </c>
      <c r="K101" s="32">
        <f t="shared" si="103"/>
        <v>16.959666666666664</v>
      </c>
      <c r="L101" s="32">
        <f t="shared" si="103"/>
        <v>16.843000000000018</v>
      </c>
      <c r="M101" s="32">
        <f t="shared" si="103"/>
        <v>16.414666666666676</v>
      </c>
      <c r="N101" s="32">
        <f t="shared" si="103"/>
        <v>16.329666666666668</v>
      </c>
      <c r="O101" s="32">
        <f t="shared" si="103"/>
        <v>16.688833333333321</v>
      </c>
      <c r="P101" s="32">
        <f t="shared" si="103"/>
        <v>16.414666666666676</v>
      </c>
      <c r="Q101" s="32">
        <f t="shared" si="103"/>
        <v>16.414666666666676</v>
      </c>
      <c r="R101" s="32">
        <f t="shared" si="103"/>
        <v>16.297166666666669</v>
      </c>
      <c r="S101" s="32">
        <f t="shared" si="103"/>
        <v>16.974666666666678</v>
      </c>
      <c r="T101" s="32">
        <f t="shared" si="103"/>
        <v>16.527799999999985</v>
      </c>
      <c r="U101" s="32">
        <f t="shared" si="103"/>
        <v>16.043633333333332</v>
      </c>
      <c r="V101" s="32">
        <f t="shared" si="103"/>
        <v>16.527799999999985</v>
      </c>
      <c r="W101" s="32">
        <f t="shared" si="103"/>
        <v>16.414666666666676</v>
      </c>
      <c r="Y101" s="392"/>
      <c r="Z101" s="392"/>
      <c r="AA101" s="392"/>
      <c r="AB101" s="392"/>
      <c r="AC101" s="392"/>
      <c r="AD101" s="392"/>
      <c r="AE101" s="392"/>
      <c r="AF101" s="392"/>
      <c r="AG101" s="392"/>
      <c r="AH101" s="392"/>
      <c r="AI101" s="392"/>
      <c r="AJ101" s="392"/>
      <c r="AK101" s="392"/>
      <c r="AL101" s="392"/>
      <c r="AM101" s="392"/>
      <c r="AN101" s="392"/>
      <c r="AO101" s="392"/>
      <c r="AP101" s="392"/>
      <c r="AQ101" s="392"/>
      <c r="AR101" s="392"/>
      <c r="AS101" s="392"/>
    </row>
    <row r="102" spans="1:45" s="33" customFormat="1" x14ac:dyDescent="0.3">
      <c r="B102" s="63" t="s">
        <v>199</v>
      </c>
      <c r="C102" s="64"/>
      <c r="D102" s="31">
        <f>+D97-D$94</f>
        <v>20.731333333333339</v>
      </c>
      <c r="E102" s="32">
        <f t="shared" ref="E102:W102" si="104">+E97-E$94</f>
        <v>20.454666666666668</v>
      </c>
      <c r="F102" s="32">
        <f t="shared" si="104"/>
        <v>20.710499999999996</v>
      </c>
      <c r="G102" s="32">
        <f t="shared" si="104"/>
        <v>20.198000000000008</v>
      </c>
      <c r="H102" s="32">
        <f t="shared" si="104"/>
        <v>20.00800000000001</v>
      </c>
      <c r="I102" s="32">
        <f t="shared" si="104"/>
        <v>20.61966666666666</v>
      </c>
      <c r="J102" s="32">
        <f t="shared" si="104"/>
        <v>20.164666666666676</v>
      </c>
      <c r="K102" s="32">
        <f t="shared" si="104"/>
        <v>20.959666666666664</v>
      </c>
      <c r="L102" s="32">
        <f t="shared" si="104"/>
        <v>20.843000000000018</v>
      </c>
      <c r="M102" s="32">
        <f t="shared" si="104"/>
        <v>20.414666666666676</v>
      </c>
      <c r="N102" s="32">
        <f t="shared" si="104"/>
        <v>20.329666666666668</v>
      </c>
      <c r="O102" s="32">
        <f t="shared" si="104"/>
        <v>20.688833333333321</v>
      </c>
      <c r="P102" s="32">
        <f t="shared" si="104"/>
        <v>20.414666666666676</v>
      </c>
      <c r="Q102" s="32">
        <f t="shared" si="104"/>
        <v>20.414666666666676</v>
      </c>
      <c r="R102" s="32">
        <f t="shared" si="104"/>
        <v>20.297166666666669</v>
      </c>
      <c r="S102" s="32">
        <f t="shared" si="104"/>
        <v>20.974666666666678</v>
      </c>
      <c r="T102" s="32">
        <f t="shared" si="104"/>
        <v>20.527799999999985</v>
      </c>
      <c r="U102" s="32">
        <f t="shared" si="104"/>
        <v>20.043633333333332</v>
      </c>
      <c r="V102" s="32">
        <f t="shared" si="104"/>
        <v>20.527799999999985</v>
      </c>
      <c r="W102" s="32">
        <f t="shared" si="104"/>
        <v>20.414666666666676</v>
      </c>
      <c r="Y102" s="392"/>
      <c r="Z102" s="392"/>
      <c r="AA102" s="392"/>
      <c r="AB102" s="392"/>
      <c r="AC102" s="392"/>
      <c r="AD102" s="392"/>
      <c r="AE102" s="392"/>
      <c r="AF102" s="392"/>
      <c r="AG102" s="392"/>
      <c r="AH102" s="392"/>
      <c r="AI102" s="392"/>
      <c r="AJ102" s="392"/>
      <c r="AK102" s="392"/>
      <c r="AL102" s="392"/>
      <c r="AM102" s="392"/>
      <c r="AN102" s="392"/>
      <c r="AO102" s="392"/>
      <c r="AP102" s="392"/>
      <c r="AQ102" s="392"/>
      <c r="AR102" s="392"/>
      <c r="AS102" s="392"/>
    </row>
    <row r="103" spans="1:45" s="33" customFormat="1" x14ac:dyDescent="0.3">
      <c r="B103" s="63" t="s">
        <v>200</v>
      </c>
      <c r="C103" s="64"/>
      <c r="D103" s="31">
        <f t="shared" ref="D103:W103" si="105">+D98-D$94</f>
        <v>22.731333333333339</v>
      </c>
      <c r="E103" s="32">
        <f t="shared" si="105"/>
        <v>22.454666666666668</v>
      </c>
      <c r="F103" s="32">
        <f t="shared" si="105"/>
        <v>22.710499999999996</v>
      </c>
      <c r="G103" s="32">
        <f t="shared" si="105"/>
        <v>22.198000000000008</v>
      </c>
      <c r="H103" s="32">
        <f t="shared" si="105"/>
        <v>22.00800000000001</v>
      </c>
      <c r="I103" s="32">
        <f t="shared" si="105"/>
        <v>22.61966666666666</v>
      </c>
      <c r="J103" s="32">
        <f t="shared" si="105"/>
        <v>22.164666666666676</v>
      </c>
      <c r="K103" s="32">
        <f t="shared" si="105"/>
        <v>22.959666666666664</v>
      </c>
      <c r="L103" s="32">
        <f t="shared" si="105"/>
        <v>22.843000000000018</v>
      </c>
      <c r="M103" s="32">
        <f t="shared" si="105"/>
        <v>22.414666666666676</v>
      </c>
      <c r="N103" s="32">
        <f t="shared" si="105"/>
        <v>22.329666666666668</v>
      </c>
      <c r="O103" s="32">
        <f t="shared" si="105"/>
        <v>22.688833333333321</v>
      </c>
      <c r="P103" s="32">
        <f t="shared" si="105"/>
        <v>22.414666666666676</v>
      </c>
      <c r="Q103" s="32">
        <f t="shared" si="105"/>
        <v>22.414666666666676</v>
      </c>
      <c r="R103" s="32">
        <f t="shared" si="105"/>
        <v>22.297166666666669</v>
      </c>
      <c r="S103" s="32">
        <f t="shared" si="105"/>
        <v>22.974666666666678</v>
      </c>
      <c r="T103" s="32">
        <f t="shared" si="105"/>
        <v>22.527799999999985</v>
      </c>
      <c r="U103" s="32">
        <f t="shared" si="105"/>
        <v>22.043633333333332</v>
      </c>
      <c r="V103" s="32">
        <f t="shared" si="105"/>
        <v>22.527799999999985</v>
      </c>
      <c r="W103" s="32">
        <f t="shared" si="105"/>
        <v>22.414666666666676</v>
      </c>
      <c r="Y103" s="392"/>
      <c r="Z103" s="392"/>
      <c r="AA103" s="392"/>
      <c r="AB103" s="392"/>
      <c r="AC103" s="392"/>
      <c r="AD103" s="392"/>
      <c r="AE103" s="392"/>
      <c r="AF103" s="392"/>
      <c r="AG103" s="392"/>
      <c r="AH103" s="392"/>
      <c r="AI103" s="392"/>
      <c r="AJ103" s="392"/>
      <c r="AK103" s="392"/>
      <c r="AL103" s="392"/>
      <c r="AM103" s="392"/>
      <c r="AN103" s="392"/>
      <c r="AO103" s="392"/>
      <c r="AP103" s="392"/>
      <c r="AQ103" s="392"/>
      <c r="AR103" s="392"/>
      <c r="AS103" s="392"/>
    </row>
    <row r="104" spans="1:45" s="33" customFormat="1" x14ac:dyDescent="0.3">
      <c r="B104" s="63" t="s">
        <v>201</v>
      </c>
      <c r="C104" s="64"/>
      <c r="D104" s="31">
        <f>+D99-D$94</f>
        <v>24.731333333333339</v>
      </c>
      <c r="E104" s="34">
        <f t="shared" ref="E104:W104" si="106">+E99-E$94</f>
        <v>24.454666666666668</v>
      </c>
      <c r="F104" s="34">
        <f t="shared" si="106"/>
        <v>24.710499999999996</v>
      </c>
      <c r="G104" s="34">
        <f t="shared" si="106"/>
        <v>24.198000000000008</v>
      </c>
      <c r="H104" s="34">
        <f t="shared" si="106"/>
        <v>24.00800000000001</v>
      </c>
      <c r="I104" s="34">
        <f t="shared" si="106"/>
        <v>24.61966666666666</v>
      </c>
      <c r="J104" s="34">
        <f t="shared" si="106"/>
        <v>24.164666666666676</v>
      </c>
      <c r="K104" s="34">
        <f t="shared" si="106"/>
        <v>24.959666666666664</v>
      </c>
      <c r="L104" s="34">
        <f t="shared" si="106"/>
        <v>24.843000000000018</v>
      </c>
      <c r="M104" s="34">
        <f t="shared" si="106"/>
        <v>24.414666666666676</v>
      </c>
      <c r="N104" s="34">
        <f t="shared" si="106"/>
        <v>24.329666666666668</v>
      </c>
      <c r="O104" s="34">
        <f t="shared" si="106"/>
        <v>24.688833333333321</v>
      </c>
      <c r="P104" s="34">
        <f t="shared" si="106"/>
        <v>24.414666666666676</v>
      </c>
      <c r="Q104" s="34">
        <f t="shared" si="106"/>
        <v>24.414666666666676</v>
      </c>
      <c r="R104" s="34">
        <f t="shared" si="106"/>
        <v>24.297166666666669</v>
      </c>
      <c r="S104" s="34">
        <f t="shared" si="106"/>
        <v>24.974666666666678</v>
      </c>
      <c r="T104" s="34">
        <f t="shared" si="106"/>
        <v>24.527799999999985</v>
      </c>
      <c r="U104" s="34">
        <f t="shared" si="106"/>
        <v>24.043633333333332</v>
      </c>
      <c r="V104" s="34">
        <f t="shared" si="106"/>
        <v>24.527799999999985</v>
      </c>
      <c r="W104" s="34">
        <f t="shared" si="106"/>
        <v>24.414666666666676</v>
      </c>
      <c r="Y104" s="392"/>
      <c r="Z104" s="392"/>
      <c r="AA104" s="392"/>
      <c r="AB104" s="392"/>
      <c r="AC104" s="392"/>
      <c r="AD104" s="392"/>
      <c r="AE104" s="392"/>
      <c r="AF104" s="392"/>
      <c r="AG104" s="392"/>
      <c r="AH104" s="392"/>
      <c r="AI104" s="392"/>
      <c r="AJ104" s="392"/>
      <c r="AK104" s="392"/>
      <c r="AL104" s="392"/>
      <c r="AM104" s="392"/>
      <c r="AN104" s="392"/>
      <c r="AO104" s="392"/>
      <c r="AP104" s="392"/>
      <c r="AQ104" s="392"/>
      <c r="AR104" s="392"/>
      <c r="AS104" s="392"/>
    </row>
    <row r="105" spans="1:45" x14ac:dyDescent="0.3">
      <c r="B105" s="65" t="s">
        <v>108</v>
      </c>
      <c r="C105" s="55"/>
      <c r="D105" s="43">
        <v>0</v>
      </c>
      <c r="E105" s="408">
        <v>0</v>
      </c>
      <c r="F105" s="408">
        <v>0</v>
      </c>
      <c r="G105" s="408">
        <v>0</v>
      </c>
      <c r="H105" s="408">
        <v>0</v>
      </c>
      <c r="I105" s="408">
        <v>0</v>
      </c>
      <c r="J105" s="408">
        <v>0</v>
      </c>
      <c r="K105" s="408">
        <v>0</v>
      </c>
      <c r="L105" s="408">
        <v>0</v>
      </c>
      <c r="M105" s="408">
        <v>0</v>
      </c>
      <c r="N105" s="408">
        <v>0</v>
      </c>
      <c r="O105" s="408">
        <v>0</v>
      </c>
      <c r="P105" s="408">
        <v>0</v>
      </c>
      <c r="Q105" s="408">
        <v>0</v>
      </c>
      <c r="R105" s="408">
        <v>0</v>
      </c>
      <c r="S105" s="408">
        <v>0</v>
      </c>
      <c r="T105" s="408">
        <v>0</v>
      </c>
      <c r="U105" s="408">
        <v>0</v>
      </c>
      <c r="V105" s="408">
        <v>0</v>
      </c>
      <c r="W105" s="408">
        <v>0</v>
      </c>
      <c r="Y105" s="409"/>
      <c r="Z105" s="409"/>
      <c r="AA105" s="409"/>
      <c r="AB105" s="409"/>
      <c r="AC105" s="409"/>
      <c r="AD105" s="409"/>
      <c r="AE105" s="409"/>
      <c r="AF105" s="409"/>
      <c r="AG105" s="409"/>
      <c r="AH105" s="409"/>
      <c r="AI105" s="409"/>
      <c r="AJ105" s="409"/>
      <c r="AK105" s="409"/>
      <c r="AL105" s="409"/>
      <c r="AM105" s="409"/>
      <c r="AN105" s="409"/>
      <c r="AO105" s="409"/>
      <c r="AP105" s="409"/>
      <c r="AQ105" s="409"/>
      <c r="AR105" s="409"/>
      <c r="AS105" s="409"/>
    </row>
    <row r="106" spans="1:45" s="36" customFormat="1" x14ac:dyDescent="0.3">
      <c r="B106" s="65" t="s">
        <v>202</v>
      </c>
      <c r="C106" s="66"/>
      <c r="D106" s="35">
        <f>+D101/D$96</f>
        <v>7.0596343178621679E-2</v>
      </c>
      <c r="E106" s="35">
        <f t="shared" ref="E106:W106" si="107">+E101/E$96</f>
        <v>6.5818666666666678E-2</v>
      </c>
      <c r="F106" s="35">
        <f>+F101/F$96</f>
        <v>6.5531372549019598E-2</v>
      </c>
      <c r="G106" s="35">
        <f t="shared" si="107"/>
        <v>6.611428571428575E-2</v>
      </c>
      <c r="H106" s="35">
        <f t="shared" si="107"/>
        <v>6.7830508474576306E-2</v>
      </c>
      <c r="I106" s="35">
        <f t="shared" si="107"/>
        <v>6.924861111111108E-2</v>
      </c>
      <c r="J106" s="35">
        <f t="shared" si="107"/>
        <v>6.5443994601889377E-2</v>
      </c>
      <c r="K106" s="35">
        <f t="shared" si="107"/>
        <v>6.9506830601092889E-2</v>
      </c>
      <c r="L106" s="35">
        <f>+L101/L$96</f>
        <v>6.8190283400809792E-2</v>
      </c>
      <c r="M106" s="35">
        <f t="shared" si="107"/>
        <v>6.9553672316384221E-2</v>
      </c>
      <c r="N106" s="35">
        <f>+N101/N$96</f>
        <v>6.8901547116737002E-2</v>
      </c>
      <c r="O106" s="35">
        <f t="shared" si="107"/>
        <v>6.6225529100529049E-2</v>
      </c>
      <c r="P106" s="35">
        <f t="shared" si="107"/>
        <v>6.9553672316384221E-2</v>
      </c>
      <c r="Q106" s="35">
        <f t="shared" si="107"/>
        <v>6.9553672316384221E-2</v>
      </c>
      <c r="R106" s="35">
        <f t="shared" si="107"/>
        <v>6.8188981868898199E-2</v>
      </c>
      <c r="S106" s="35">
        <f t="shared" si="107"/>
        <v>7.1023709902371043E-2</v>
      </c>
      <c r="T106" s="35">
        <f t="shared" si="107"/>
        <v>6.7186178861788556E-2</v>
      </c>
      <c r="U106" s="35">
        <f t="shared" si="107"/>
        <v>5.9201599015990154E-2</v>
      </c>
      <c r="V106" s="35">
        <f t="shared" si="107"/>
        <v>6.7186178861788556E-2</v>
      </c>
      <c r="W106" s="35">
        <f t="shared" si="107"/>
        <v>6.9553672316384221E-2</v>
      </c>
      <c r="Y106" s="393"/>
      <c r="Z106" s="393"/>
      <c r="AA106" s="393"/>
      <c r="AB106" s="393"/>
      <c r="AC106" s="393"/>
      <c r="AD106" s="393"/>
      <c r="AE106" s="393"/>
      <c r="AF106" s="393"/>
      <c r="AG106" s="393"/>
      <c r="AH106" s="393"/>
      <c r="AI106" s="393"/>
      <c r="AJ106" s="393"/>
      <c r="AK106" s="393"/>
      <c r="AL106" s="393"/>
      <c r="AM106" s="393"/>
      <c r="AN106" s="393"/>
      <c r="AO106" s="393"/>
      <c r="AP106" s="393"/>
      <c r="AQ106" s="393"/>
      <c r="AR106" s="393"/>
      <c r="AS106" s="393"/>
    </row>
    <row r="107" spans="1:45" s="36" customFormat="1" x14ac:dyDescent="0.3">
      <c r="B107" s="65" t="s">
        <v>203</v>
      </c>
      <c r="C107" s="66"/>
      <c r="D107" s="35">
        <f>+D102/D$97</f>
        <v>8.6022130013831286E-2</v>
      </c>
      <c r="E107" s="35">
        <f t="shared" ref="E107:W107" si="108">+E102/E$97</f>
        <v>8.0530183727034133E-2</v>
      </c>
      <c r="F107" s="35">
        <f t="shared" si="108"/>
        <v>7.9963320463320442E-2</v>
      </c>
      <c r="G107" s="35">
        <f t="shared" si="108"/>
        <v>8.1116465863453849E-2</v>
      </c>
      <c r="H107" s="35">
        <f t="shared" si="108"/>
        <v>8.3366666666666714E-2</v>
      </c>
      <c r="I107" s="35">
        <f t="shared" si="108"/>
        <v>8.4506830601092875E-2</v>
      </c>
      <c r="J107" s="35">
        <f t="shared" si="108"/>
        <v>8.0337317397078389E-2</v>
      </c>
      <c r="K107" s="35">
        <f t="shared" si="108"/>
        <v>8.4514784946236543E-2</v>
      </c>
      <c r="L107" s="35">
        <f t="shared" si="108"/>
        <v>8.3039840637450277E-2</v>
      </c>
      <c r="M107" s="35">
        <f t="shared" si="108"/>
        <v>8.5061111111111157E-2</v>
      </c>
      <c r="N107" s="35">
        <f t="shared" si="108"/>
        <v>8.4355463347164594E-2</v>
      </c>
      <c r="O107" s="35">
        <f t="shared" si="108"/>
        <v>8.0815755208333284E-2</v>
      </c>
      <c r="P107" s="35">
        <f t="shared" si="108"/>
        <v>8.5061111111111157E-2</v>
      </c>
      <c r="Q107" s="35">
        <f t="shared" si="108"/>
        <v>8.5061111111111157E-2</v>
      </c>
      <c r="R107" s="35">
        <f t="shared" si="108"/>
        <v>8.352743484224967E-2</v>
      </c>
      <c r="S107" s="35">
        <f t="shared" si="108"/>
        <v>8.6315500685871099E-2</v>
      </c>
      <c r="T107" s="35">
        <f t="shared" si="108"/>
        <v>8.211119999999994E-2</v>
      </c>
      <c r="U107" s="35">
        <f t="shared" si="108"/>
        <v>7.2885939393939392E-2</v>
      </c>
      <c r="V107" s="35">
        <f t="shared" si="108"/>
        <v>8.211119999999994E-2</v>
      </c>
      <c r="W107" s="35">
        <f t="shared" si="108"/>
        <v>8.5061111111111157E-2</v>
      </c>
      <c r="Y107" s="393"/>
      <c r="Z107" s="393"/>
      <c r="AA107" s="393"/>
      <c r="AB107" s="393"/>
      <c r="AC107" s="393"/>
      <c r="AD107" s="393"/>
      <c r="AE107" s="393"/>
      <c r="AF107" s="393"/>
      <c r="AG107" s="393"/>
      <c r="AH107" s="393"/>
      <c r="AI107" s="393"/>
      <c r="AJ107" s="393"/>
      <c r="AK107" s="393"/>
      <c r="AL107" s="393"/>
      <c r="AM107" s="393"/>
      <c r="AN107" s="393"/>
      <c r="AO107" s="393"/>
      <c r="AP107" s="393"/>
      <c r="AQ107" s="393"/>
      <c r="AR107" s="393"/>
      <c r="AS107" s="393"/>
    </row>
    <row r="108" spans="1:45" s="36" customFormat="1" x14ac:dyDescent="0.3">
      <c r="B108" s="65" t="s">
        <v>204</v>
      </c>
      <c r="C108" s="66"/>
      <c r="D108" s="35">
        <f>+D103/D$98</f>
        <v>9.3544581618655712E-2</v>
      </c>
      <c r="E108" s="35">
        <f t="shared" ref="E108:W108" si="109">+E103/E$98</f>
        <v>8.7713541666666672E-2</v>
      </c>
      <c r="F108" s="35">
        <f t="shared" si="109"/>
        <v>8.7013409961685814E-2</v>
      </c>
      <c r="G108" s="35">
        <f t="shared" si="109"/>
        <v>8.8438247011952215E-2</v>
      </c>
      <c r="H108" s="35">
        <f t="shared" si="109"/>
        <v>9.0942148760330618E-2</v>
      </c>
      <c r="I108" s="35">
        <f t="shared" si="109"/>
        <v>9.1949864498644965E-2</v>
      </c>
      <c r="J108" s="35">
        <f t="shared" si="109"/>
        <v>8.76073781291173E-2</v>
      </c>
      <c r="K108" s="35">
        <f t="shared" si="109"/>
        <v>9.1838666666666652E-2</v>
      </c>
      <c r="L108" s="35">
        <f t="shared" si="109"/>
        <v>9.0288537549407188E-2</v>
      </c>
      <c r="M108" s="35">
        <f t="shared" si="109"/>
        <v>9.2622589531680483E-2</v>
      </c>
      <c r="N108" s="35">
        <f t="shared" si="109"/>
        <v>9.189163237311386E-2</v>
      </c>
      <c r="O108" s="35">
        <f t="shared" si="109"/>
        <v>8.794121447028419E-2</v>
      </c>
      <c r="P108" s="35">
        <f t="shared" si="109"/>
        <v>9.2622589531680483E-2</v>
      </c>
      <c r="Q108" s="35">
        <f t="shared" si="109"/>
        <v>9.2622589531680483E-2</v>
      </c>
      <c r="R108" s="35">
        <f t="shared" si="109"/>
        <v>9.100884353741498E-2</v>
      </c>
      <c r="S108" s="35">
        <f t="shared" si="109"/>
        <v>9.3774149659863998E-2</v>
      </c>
      <c r="T108" s="35">
        <f t="shared" si="109"/>
        <v>8.9396031746031682E-2</v>
      </c>
      <c r="U108" s="35">
        <f t="shared" si="109"/>
        <v>7.9579903730445239E-2</v>
      </c>
      <c r="V108" s="35">
        <f t="shared" si="109"/>
        <v>8.9396031746031682E-2</v>
      </c>
      <c r="W108" s="35">
        <f t="shared" si="109"/>
        <v>9.2622589531680483E-2</v>
      </c>
      <c r="Y108" s="393"/>
      <c r="Z108" s="393"/>
      <c r="AA108" s="393"/>
      <c r="AB108" s="393"/>
      <c r="AC108" s="393"/>
      <c r="AD108" s="393"/>
      <c r="AE108" s="393"/>
      <c r="AF108" s="393"/>
      <c r="AG108" s="393"/>
      <c r="AH108" s="393"/>
      <c r="AI108" s="393"/>
      <c r="AJ108" s="393"/>
      <c r="AK108" s="393"/>
      <c r="AL108" s="393"/>
      <c r="AM108" s="393"/>
      <c r="AN108" s="393"/>
      <c r="AO108" s="393"/>
      <c r="AP108" s="393"/>
      <c r="AQ108" s="393"/>
      <c r="AR108" s="393"/>
      <c r="AS108" s="393"/>
    </row>
    <row r="109" spans="1:45" s="36" customFormat="1" x14ac:dyDescent="0.3">
      <c r="B109" s="65" t="s">
        <v>205</v>
      </c>
      <c r="C109" s="66"/>
      <c r="D109" s="35">
        <f>+D104/D$99</f>
        <v>0.10094421768707486</v>
      </c>
      <c r="E109" s="35">
        <f t="shared" ref="E109:W109" si="110">+E104/E$99</f>
        <v>9.4785529715762276E-2</v>
      </c>
      <c r="F109" s="35">
        <f t="shared" si="110"/>
        <v>9.3956273764258538E-2</v>
      </c>
      <c r="G109" s="35">
        <f t="shared" si="110"/>
        <v>9.5644268774703584E-2</v>
      </c>
      <c r="H109" s="35">
        <f t="shared" si="110"/>
        <v>9.8393442622950855E-2</v>
      </c>
      <c r="I109" s="35">
        <f>+I104/I$99</f>
        <v>9.9272849462365559E-2</v>
      </c>
      <c r="J109" s="35">
        <f t="shared" si="110"/>
        <v>9.4763398692810488E-2</v>
      </c>
      <c r="K109" s="35">
        <f t="shared" si="110"/>
        <v>9.9046296296296285E-2</v>
      </c>
      <c r="L109" s="35">
        <f t="shared" si="110"/>
        <v>9.742352941176477E-2</v>
      </c>
      <c r="M109" s="35">
        <f t="shared" si="110"/>
        <v>0.10006010928961752</v>
      </c>
      <c r="N109" s="35">
        <f t="shared" si="110"/>
        <v>9.930476190476191E-2</v>
      </c>
      <c r="O109" s="35">
        <f t="shared" si="110"/>
        <v>9.495705128205123E-2</v>
      </c>
      <c r="P109" s="35">
        <f t="shared" si="110"/>
        <v>0.10006010928961752</v>
      </c>
      <c r="Q109" s="35">
        <f t="shared" si="110"/>
        <v>0.10006010928961752</v>
      </c>
      <c r="R109" s="35">
        <f t="shared" si="110"/>
        <v>9.8369095816464247E-2</v>
      </c>
      <c r="S109" s="35">
        <f t="shared" si="110"/>
        <v>0.10111201079622137</v>
      </c>
      <c r="T109" s="35">
        <f t="shared" si="110"/>
        <v>9.6566141732283409E-2</v>
      </c>
      <c r="U109" s="35">
        <f t="shared" si="110"/>
        <v>8.6177897252090796E-2</v>
      </c>
      <c r="V109" s="35">
        <f t="shared" si="110"/>
        <v>9.6566141732283409E-2</v>
      </c>
      <c r="W109" s="35">
        <f t="shared" si="110"/>
        <v>0.10006010928961752</v>
      </c>
      <c r="Y109" s="393"/>
      <c r="Z109" s="393"/>
      <c r="AA109" s="393"/>
      <c r="AB109" s="393"/>
      <c r="AC109" s="393"/>
      <c r="AD109" s="393"/>
      <c r="AE109" s="393"/>
      <c r="AF109" s="393"/>
      <c r="AG109" s="393"/>
      <c r="AH109" s="393"/>
      <c r="AI109" s="393"/>
      <c r="AJ109" s="393"/>
      <c r="AK109" s="393"/>
      <c r="AL109" s="393"/>
      <c r="AM109" s="393"/>
      <c r="AN109" s="393"/>
      <c r="AO109" s="393"/>
      <c r="AP109" s="393"/>
      <c r="AQ109" s="393"/>
      <c r="AR109" s="393"/>
      <c r="AS109" s="393"/>
    </row>
    <row r="110" spans="1:45" x14ac:dyDescent="0.3">
      <c r="B110" s="54"/>
      <c r="C110" s="55"/>
      <c r="D110" s="20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Y110" s="390"/>
      <c r="Z110" s="390"/>
      <c r="AA110" s="390"/>
      <c r="AB110" s="390"/>
      <c r="AC110" s="390"/>
      <c r="AD110" s="390"/>
      <c r="AE110" s="390"/>
      <c r="AF110" s="390"/>
      <c r="AG110" s="390"/>
      <c r="AH110" s="390"/>
      <c r="AI110" s="390"/>
      <c r="AJ110" s="390"/>
      <c r="AK110" s="390"/>
      <c r="AL110" s="390"/>
      <c r="AM110" s="390"/>
      <c r="AN110" s="390"/>
      <c r="AO110" s="390"/>
      <c r="AP110" s="390"/>
      <c r="AQ110" s="390"/>
      <c r="AR110" s="390"/>
      <c r="AS110" s="390"/>
    </row>
    <row r="111" spans="1:45" ht="21" thickBot="1" x14ac:dyDescent="0.35">
      <c r="Y111" s="390"/>
      <c r="Z111" s="390"/>
      <c r="AA111" s="390"/>
      <c r="AB111" s="390"/>
      <c r="AC111" s="390"/>
      <c r="AD111" s="390"/>
      <c r="AE111" s="390"/>
      <c r="AF111" s="390"/>
      <c r="AG111" s="390"/>
      <c r="AH111" s="390"/>
      <c r="AI111" s="390"/>
      <c r="AJ111" s="390"/>
      <c r="AK111" s="390"/>
      <c r="AL111" s="390"/>
      <c r="AM111" s="390"/>
      <c r="AN111" s="390"/>
      <c r="AO111" s="390"/>
      <c r="AP111" s="390"/>
      <c r="AQ111" s="390"/>
      <c r="AR111" s="390"/>
      <c r="AS111" s="390"/>
    </row>
    <row r="112" spans="1:45" ht="21" thickBot="1" x14ac:dyDescent="0.35">
      <c r="A112" s="15" t="s">
        <v>313</v>
      </c>
      <c r="B112" s="74" t="s">
        <v>38</v>
      </c>
      <c r="C112" s="68"/>
      <c r="D112" s="17" t="s">
        <v>5</v>
      </c>
      <c r="E112" s="18" t="s">
        <v>6</v>
      </c>
      <c r="F112" s="18" t="s">
        <v>7</v>
      </c>
      <c r="G112" s="18" t="s">
        <v>8</v>
      </c>
      <c r="H112" s="18" t="s">
        <v>9</v>
      </c>
      <c r="I112" s="18" t="s">
        <v>10</v>
      </c>
      <c r="J112" s="18" t="s">
        <v>11</v>
      </c>
      <c r="K112" s="18" t="s">
        <v>12</v>
      </c>
      <c r="L112" s="18" t="s">
        <v>13</v>
      </c>
      <c r="M112" s="18" t="s">
        <v>14</v>
      </c>
      <c r="N112" s="18" t="s">
        <v>15</v>
      </c>
      <c r="O112" s="18" t="s">
        <v>16</v>
      </c>
      <c r="P112" s="18" t="s">
        <v>17</v>
      </c>
      <c r="Q112" s="18" t="s">
        <v>18</v>
      </c>
      <c r="R112" s="18" t="s">
        <v>19</v>
      </c>
      <c r="S112" s="18" t="s">
        <v>20</v>
      </c>
      <c r="T112" s="18" t="s">
        <v>21</v>
      </c>
      <c r="U112" s="18" t="s">
        <v>22</v>
      </c>
      <c r="V112" s="18" t="s">
        <v>23</v>
      </c>
      <c r="W112" s="18" t="s">
        <v>166</v>
      </c>
      <c r="Y112" s="390"/>
      <c r="Z112" s="390"/>
      <c r="AA112" s="390"/>
      <c r="AB112" s="390"/>
      <c r="AC112" s="390"/>
      <c r="AD112" s="390"/>
      <c r="AE112" s="390"/>
      <c r="AF112" s="390"/>
      <c r="AG112" s="390"/>
      <c r="AH112" s="390"/>
      <c r="AI112" s="390"/>
      <c r="AJ112" s="390"/>
      <c r="AK112" s="390"/>
      <c r="AL112" s="390"/>
      <c r="AM112" s="390"/>
      <c r="AN112" s="390"/>
      <c r="AO112" s="390"/>
      <c r="AP112" s="390"/>
      <c r="AQ112" s="390"/>
      <c r="AR112" s="390"/>
      <c r="AS112" s="390"/>
    </row>
    <row r="113" spans="2:45" x14ac:dyDescent="0.3">
      <c r="B113" s="54" t="s">
        <v>50</v>
      </c>
      <c r="C113" s="55"/>
      <c r="D113" s="20">
        <v>365</v>
      </c>
      <c r="E113" s="21">
        <v>365</v>
      </c>
      <c r="F113" s="21">
        <v>365</v>
      </c>
      <c r="G113" s="21">
        <v>365</v>
      </c>
      <c r="H113" s="21">
        <v>365</v>
      </c>
      <c r="I113" s="21">
        <v>365</v>
      </c>
      <c r="J113" s="21">
        <v>365</v>
      </c>
      <c r="K113" s="21">
        <v>365</v>
      </c>
      <c r="L113" s="21">
        <v>365</v>
      </c>
      <c r="M113" s="21">
        <v>365</v>
      </c>
      <c r="N113" s="21">
        <v>365</v>
      </c>
      <c r="O113" s="21">
        <v>365</v>
      </c>
      <c r="P113" s="21">
        <v>365</v>
      </c>
      <c r="Q113" s="21">
        <v>365</v>
      </c>
      <c r="R113" s="21">
        <v>365</v>
      </c>
      <c r="S113" s="21">
        <v>365</v>
      </c>
      <c r="T113" s="21"/>
      <c r="U113" s="21"/>
      <c r="V113" s="21"/>
      <c r="W113" s="21">
        <v>365</v>
      </c>
      <c r="Y113" s="390"/>
      <c r="Z113" s="390"/>
      <c r="AA113" s="390"/>
      <c r="AB113" s="390"/>
      <c r="AC113" s="390"/>
      <c r="AD113" s="390"/>
      <c r="AE113" s="390"/>
      <c r="AF113" s="390"/>
      <c r="AG113" s="390"/>
      <c r="AH113" s="390"/>
      <c r="AI113" s="390"/>
      <c r="AJ113" s="390"/>
      <c r="AK113" s="390"/>
      <c r="AL113" s="390"/>
      <c r="AM113" s="390"/>
      <c r="AN113" s="390"/>
      <c r="AO113" s="390"/>
      <c r="AP113" s="390"/>
      <c r="AQ113" s="390"/>
      <c r="AR113" s="390"/>
      <c r="AS113" s="390"/>
    </row>
    <row r="114" spans="2:45" x14ac:dyDescent="0.3">
      <c r="B114" s="54" t="s">
        <v>51</v>
      </c>
      <c r="C114" s="55"/>
      <c r="D114" s="218">
        <v>0.24</v>
      </c>
      <c r="E114" s="218">
        <f>D114</f>
        <v>0.24</v>
      </c>
      <c r="F114" s="218">
        <f>D114</f>
        <v>0.24</v>
      </c>
      <c r="G114" s="218">
        <f>D114</f>
        <v>0.24</v>
      </c>
      <c r="H114" s="218">
        <f>E114</f>
        <v>0.24</v>
      </c>
      <c r="I114" s="218">
        <f>D114</f>
        <v>0.24</v>
      </c>
      <c r="J114" s="218">
        <f>D114</f>
        <v>0.24</v>
      </c>
      <c r="K114" s="218">
        <f>D114</f>
        <v>0.24</v>
      </c>
      <c r="L114" s="218">
        <f>D114</f>
        <v>0.24</v>
      </c>
      <c r="M114" s="218">
        <f>D114</f>
        <v>0.24</v>
      </c>
      <c r="N114" s="218">
        <f>D114</f>
        <v>0.24</v>
      </c>
      <c r="O114" s="218">
        <f>D114</f>
        <v>0.24</v>
      </c>
      <c r="P114" s="218">
        <f>D114</f>
        <v>0.24</v>
      </c>
      <c r="Q114" s="218">
        <f>D114</f>
        <v>0.24</v>
      </c>
      <c r="R114" s="218">
        <f>D114</f>
        <v>0.24</v>
      </c>
      <c r="S114" s="218">
        <f>D114</f>
        <v>0.24</v>
      </c>
      <c r="T114" s="218"/>
      <c r="U114" s="218"/>
      <c r="V114" s="218"/>
      <c r="W114" s="218">
        <f>J114</f>
        <v>0.24</v>
      </c>
      <c r="Y114" s="390"/>
      <c r="Z114" s="390"/>
      <c r="AA114" s="390"/>
      <c r="AB114" s="390"/>
      <c r="AC114" s="390"/>
      <c r="AD114" s="390"/>
      <c r="AE114" s="390"/>
      <c r="AF114" s="390"/>
      <c r="AG114" s="390"/>
      <c r="AH114" s="390"/>
      <c r="AI114" s="390"/>
      <c r="AJ114" s="390"/>
      <c r="AK114" s="390"/>
      <c r="AL114" s="390"/>
      <c r="AM114" s="390"/>
      <c r="AN114" s="390"/>
      <c r="AO114" s="390"/>
      <c r="AP114" s="390"/>
      <c r="AQ114" s="390"/>
      <c r="AR114" s="390"/>
      <c r="AS114" s="390"/>
    </row>
    <row r="115" spans="2:45" x14ac:dyDescent="0.3">
      <c r="B115" s="54" t="s">
        <v>58</v>
      </c>
      <c r="C115" s="55"/>
      <c r="D115" s="21">
        <v>0</v>
      </c>
      <c r="E115" s="21">
        <v>0</v>
      </c>
      <c r="F115" s="21">
        <v>0</v>
      </c>
      <c r="G115" s="21">
        <v>0</v>
      </c>
      <c r="H115" s="21">
        <v>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/>
      <c r="U115" s="21"/>
      <c r="V115" s="21"/>
      <c r="W115" s="21">
        <v>0</v>
      </c>
      <c r="Y115" s="390"/>
      <c r="Z115" s="390"/>
      <c r="AA115" s="390"/>
      <c r="AB115" s="390"/>
      <c r="AC115" s="390"/>
      <c r="AD115" s="390"/>
      <c r="AE115" s="390"/>
      <c r="AF115" s="390"/>
      <c r="AG115" s="390"/>
      <c r="AH115" s="390"/>
      <c r="AI115" s="390"/>
      <c r="AJ115" s="390"/>
      <c r="AK115" s="390"/>
      <c r="AL115" s="390"/>
      <c r="AM115" s="390"/>
      <c r="AN115" s="390"/>
      <c r="AO115" s="390"/>
      <c r="AP115" s="390"/>
      <c r="AQ115" s="390"/>
      <c r="AR115" s="390"/>
      <c r="AS115" s="390"/>
    </row>
    <row r="116" spans="2:45" x14ac:dyDescent="0.3">
      <c r="B116" s="177" t="s">
        <v>67</v>
      </c>
      <c r="C116" s="178"/>
      <c r="D116" s="323">
        <f>D113-(D113*D114)</f>
        <v>277.39999999999998</v>
      </c>
      <c r="E116" s="323">
        <f t="shared" ref="E116:W116" si="111">E113-(E113*E114)</f>
        <v>277.39999999999998</v>
      </c>
      <c r="F116" s="323">
        <f t="shared" si="111"/>
        <v>277.39999999999998</v>
      </c>
      <c r="G116" s="323">
        <f t="shared" si="111"/>
        <v>277.39999999999998</v>
      </c>
      <c r="H116" s="323">
        <f t="shared" si="111"/>
        <v>277.39999999999998</v>
      </c>
      <c r="I116" s="323">
        <f t="shared" si="111"/>
        <v>277.39999999999998</v>
      </c>
      <c r="J116" s="323">
        <f t="shared" si="111"/>
        <v>277.39999999999998</v>
      </c>
      <c r="K116" s="323">
        <f t="shared" si="111"/>
        <v>277.39999999999998</v>
      </c>
      <c r="L116" s="323">
        <f t="shared" si="111"/>
        <v>277.39999999999998</v>
      </c>
      <c r="M116" s="323">
        <f t="shared" si="111"/>
        <v>277.39999999999998</v>
      </c>
      <c r="N116" s="323">
        <f t="shared" si="111"/>
        <v>277.39999999999998</v>
      </c>
      <c r="O116" s="323">
        <f t="shared" si="111"/>
        <v>277.39999999999998</v>
      </c>
      <c r="P116" s="323">
        <f t="shared" si="111"/>
        <v>277.39999999999998</v>
      </c>
      <c r="Q116" s="323">
        <f t="shared" si="111"/>
        <v>277.39999999999998</v>
      </c>
      <c r="R116" s="323">
        <f t="shared" si="111"/>
        <v>277.39999999999998</v>
      </c>
      <c r="S116" s="323">
        <f t="shared" si="111"/>
        <v>277.39999999999998</v>
      </c>
      <c r="T116" s="323">
        <v>288.08999999999997</v>
      </c>
      <c r="U116" s="323">
        <v>288.08999999999997</v>
      </c>
      <c r="V116" s="323">
        <v>288.08999999999997</v>
      </c>
      <c r="W116" s="323">
        <f t="shared" si="111"/>
        <v>277.39999999999998</v>
      </c>
      <c r="Y116" s="390"/>
      <c r="Z116" s="390"/>
      <c r="AA116" s="390"/>
      <c r="AB116" s="390"/>
      <c r="AC116" s="390"/>
      <c r="AD116" s="390"/>
      <c r="AE116" s="390"/>
      <c r="AF116" s="390"/>
      <c r="AG116" s="390"/>
      <c r="AH116" s="390"/>
      <c r="AI116" s="390"/>
      <c r="AJ116" s="390"/>
      <c r="AK116" s="390"/>
      <c r="AL116" s="390"/>
      <c r="AM116" s="390"/>
      <c r="AN116" s="390"/>
      <c r="AO116" s="390"/>
      <c r="AP116" s="390"/>
      <c r="AQ116" s="390"/>
      <c r="AR116" s="390"/>
      <c r="AS116" s="390"/>
    </row>
    <row r="117" spans="2:45" x14ac:dyDescent="0.3">
      <c r="B117" s="54" t="s">
        <v>66</v>
      </c>
      <c r="C117" s="56">
        <v>7.0000000000000007E-2</v>
      </c>
      <c r="D117" s="24">
        <f t="shared" ref="D117:W117" si="112">D116*$C117</f>
        <v>19.417999999999999</v>
      </c>
      <c r="E117" s="24">
        <f t="shared" si="112"/>
        <v>19.417999999999999</v>
      </c>
      <c r="F117" s="24">
        <f t="shared" si="112"/>
        <v>19.417999999999999</v>
      </c>
      <c r="G117" s="24">
        <f t="shared" si="112"/>
        <v>19.417999999999999</v>
      </c>
      <c r="H117" s="24">
        <f t="shared" si="112"/>
        <v>19.417999999999999</v>
      </c>
      <c r="I117" s="24">
        <f t="shared" si="112"/>
        <v>19.417999999999999</v>
      </c>
      <c r="J117" s="24">
        <f t="shared" si="112"/>
        <v>19.417999999999999</v>
      </c>
      <c r="K117" s="24">
        <f t="shared" si="112"/>
        <v>19.417999999999999</v>
      </c>
      <c r="L117" s="24">
        <f t="shared" si="112"/>
        <v>19.417999999999999</v>
      </c>
      <c r="M117" s="24">
        <f t="shared" si="112"/>
        <v>19.417999999999999</v>
      </c>
      <c r="N117" s="24">
        <f t="shared" si="112"/>
        <v>19.417999999999999</v>
      </c>
      <c r="O117" s="24">
        <f t="shared" si="112"/>
        <v>19.417999999999999</v>
      </c>
      <c r="P117" s="24">
        <f t="shared" si="112"/>
        <v>19.417999999999999</v>
      </c>
      <c r="Q117" s="24">
        <f t="shared" si="112"/>
        <v>19.417999999999999</v>
      </c>
      <c r="R117" s="24">
        <f t="shared" si="112"/>
        <v>19.417999999999999</v>
      </c>
      <c r="S117" s="24">
        <f t="shared" si="112"/>
        <v>19.417999999999999</v>
      </c>
      <c r="T117" s="24">
        <f t="shared" si="112"/>
        <v>20.1663</v>
      </c>
      <c r="U117" s="24">
        <f t="shared" si="112"/>
        <v>20.1663</v>
      </c>
      <c r="V117" s="24">
        <f t="shared" si="112"/>
        <v>20.1663</v>
      </c>
      <c r="W117" s="24">
        <f t="shared" si="112"/>
        <v>19.417999999999999</v>
      </c>
      <c r="Y117" s="390"/>
      <c r="Z117" s="390"/>
      <c r="AA117" s="390"/>
      <c r="AB117" s="390"/>
      <c r="AC117" s="390"/>
      <c r="AD117" s="390"/>
      <c r="AE117" s="390"/>
      <c r="AF117" s="390"/>
      <c r="AG117" s="390"/>
      <c r="AH117" s="390"/>
      <c r="AI117" s="390"/>
      <c r="AJ117" s="390"/>
      <c r="AK117" s="390"/>
      <c r="AL117" s="390"/>
      <c r="AM117" s="390"/>
      <c r="AN117" s="390"/>
      <c r="AO117" s="390"/>
      <c r="AP117" s="390"/>
      <c r="AQ117" s="390"/>
      <c r="AR117" s="390"/>
      <c r="AS117" s="390"/>
    </row>
    <row r="118" spans="2:45" x14ac:dyDescent="0.3">
      <c r="B118" s="54" t="s">
        <v>68</v>
      </c>
      <c r="C118" s="55"/>
      <c r="D118" s="21">
        <f t="shared" ref="D118:W118" si="113">D116+D117</f>
        <v>296.81799999999998</v>
      </c>
      <c r="E118" s="21">
        <f t="shared" si="113"/>
        <v>296.81799999999998</v>
      </c>
      <c r="F118" s="21">
        <f t="shared" si="113"/>
        <v>296.81799999999998</v>
      </c>
      <c r="G118" s="21">
        <f t="shared" si="113"/>
        <v>296.81799999999998</v>
      </c>
      <c r="H118" s="21">
        <f t="shared" si="113"/>
        <v>296.81799999999998</v>
      </c>
      <c r="I118" s="21">
        <f t="shared" si="113"/>
        <v>296.81799999999998</v>
      </c>
      <c r="J118" s="21">
        <f t="shared" si="113"/>
        <v>296.81799999999998</v>
      </c>
      <c r="K118" s="21">
        <f t="shared" si="113"/>
        <v>296.81799999999998</v>
      </c>
      <c r="L118" s="21">
        <f t="shared" si="113"/>
        <v>296.81799999999998</v>
      </c>
      <c r="M118" s="21">
        <f t="shared" si="113"/>
        <v>296.81799999999998</v>
      </c>
      <c r="N118" s="21">
        <f t="shared" si="113"/>
        <v>296.81799999999998</v>
      </c>
      <c r="O118" s="21">
        <f t="shared" si="113"/>
        <v>296.81799999999998</v>
      </c>
      <c r="P118" s="21">
        <f t="shared" si="113"/>
        <v>296.81799999999998</v>
      </c>
      <c r="Q118" s="21">
        <f t="shared" si="113"/>
        <v>296.81799999999998</v>
      </c>
      <c r="R118" s="21">
        <f t="shared" si="113"/>
        <v>296.81799999999998</v>
      </c>
      <c r="S118" s="21">
        <f t="shared" si="113"/>
        <v>296.81799999999998</v>
      </c>
      <c r="T118" s="21">
        <f t="shared" si="113"/>
        <v>308.25629999999995</v>
      </c>
      <c r="U118" s="21">
        <f t="shared" si="113"/>
        <v>308.25629999999995</v>
      </c>
      <c r="V118" s="21">
        <f t="shared" si="113"/>
        <v>308.25629999999995</v>
      </c>
      <c r="W118" s="21">
        <f t="shared" si="113"/>
        <v>296.81799999999998</v>
      </c>
      <c r="Y118" s="390"/>
      <c r="Z118" s="390"/>
      <c r="AA118" s="390"/>
      <c r="AB118" s="390"/>
      <c r="AC118" s="390"/>
      <c r="AD118" s="390"/>
      <c r="AE118" s="390"/>
      <c r="AF118" s="390"/>
      <c r="AG118" s="390"/>
      <c r="AH118" s="390"/>
      <c r="AI118" s="390"/>
      <c r="AJ118" s="390"/>
      <c r="AK118" s="390"/>
      <c r="AL118" s="390"/>
      <c r="AM118" s="390"/>
      <c r="AN118" s="390"/>
      <c r="AO118" s="390"/>
      <c r="AP118" s="390"/>
      <c r="AQ118" s="390"/>
      <c r="AR118" s="390"/>
      <c r="AS118" s="390"/>
    </row>
    <row r="119" spans="2:45" x14ac:dyDescent="0.3">
      <c r="B119" s="54" t="s">
        <v>52</v>
      </c>
      <c r="C119" s="55"/>
      <c r="D119" s="398">
        <f>Y121</f>
        <v>13.76923076923077</v>
      </c>
      <c r="E119" s="398">
        <f t="shared" ref="E119:W119" si="114">Z121</f>
        <v>31.276923076923076</v>
      </c>
      <c r="F119" s="398">
        <f t="shared" si="114"/>
        <v>37.532967032967036</v>
      </c>
      <c r="G119" s="398">
        <f t="shared" si="114"/>
        <v>25.021978021978022</v>
      </c>
      <c r="H119" s="398">
        <f t="shared" si="114"/>
        <v>13.404395604395605</v>
      </c>
      <c r="I119" s="398">
        <f t="shared" si="114"/>
        <v>17.872527472527473</v>
      </c>
      <c r="J119" s="398">
        <f t="shared" si="114"/>
        <v>27.703296703296704</v>
      </c>
      <c r="K119" s="398">
        <f t="shared" si="114"/>
        <v>22.6989010989011</v>
      </c>
      <c r="L119" s="398">
        <f t="shared" si="114"/>
        <v>26.808791208791209</v>
      </c>
      <c r="M119" s="398">
        <f t="shared" si="114"/>
        <v>12.868131868131869</v>
      </c>
      <c r="N119" s="398">
        <f t="shared" si="114"/>
        <v>14.2989010989011</v>
      </c>
      <c r="O119" s="398">
        <f t="shared" si="114"/>
        <v>33.605494505494505</v>
      </c>
      <c r="P119" s="398">
        <f t="shared" si="114"/>
        <v>12.868131868131869</v>
      </c>
      <c r="Q119" s="398">
        <f t="shared" si="114"/>
        <v>12.868131868131869</v>
      </c>
      <c r="R119" s="398">
        <f t="shared" si="114"/>
        <v>16.979120879120877</v>
      </c>
      <c r="S119" s="398">
        <f t="shared" si="114"/>
        <v>16.085714285714285</v>
      </c>
      <c r="T119" s="398">
        <f t="shared" si="114"/>
        <v>0</v>
      </c>
      <c r="U119" s="398">
        <f t="shared" si="114"/>
        <v>33.605494505494505</v>
      </c>
      <c r="V119" s="398">
        <f t="shared" si="114"/>
        <v>0</v>
      </c>
      <c r="W119" s="398">
        <f t="shared" si="114"/>
        <v>12.868131868131869</v>
      </c>
      <c r="Y119" s="390">
        <v>12530</v>
      </c>
      <c r="Z119" s="390">
        <v>28462</v>
      </c>
      <c r="AA119" s="390">
        <v>34155</v>
      </c>
      <c r="AB119" s="390">
        <v>22770</v>
      </c>
      <c r="AC119" s="390">
        <v>12198</v>
      </c>
      <c r="AD119" s="390">
        <v>16264</v>
      </c>
      <c r="AE119" s="390">
        <v>25210</v>
      </c>
      <c r="AF119" s="390">
        <v>20656</v>
      </c>
      <c r="AG119" s="390">
        <v>24396</v>
      </c>
      <c r="AH119" s="390">
        <v>11710</v>
      </c>
      <c r="AI119" s="390">
        <v>13012</v>
      </c>
      <c r="AJ119" s="390">
        <v>30581</v>
      </c>
      <c r="AK119" s="396">
        <v>11710</v>
      </c>
      <c r="AL119" s="396">
        <v>11710</v>
      </c>
      <c r="AM119" s="390">
        <v>15451</v>
      </c>
      <c r="AN119" s="390">
        <v>14638</v>
      </c>
      <c r="AO119" s="390"/>
      <c r="AP119" s="396">
        <v>30581</v>
      </c>
      <c r="AQ119" s="390"/>
      <c r="AR119" s="396">
        <v>11710</v>
      </c>
      <c r="AS119" s="390"/>
    </row>
    <row r="120" spans="2:45" x14ac:dyDescent="0.3">
      <c r="B120" s="57" t="s">
        <v>53</v>
      </c>
      <c r="C120" s="58"/>
      <c r="D120" s="25">
        <f>SUM(D118:D119)</f>
        <v>310.58723076923076</v>
      </c>
      <c r="E120" s="26">
        <f t="shared" ref="E120:V120" si="115">SUM(E118:E119)</f>
        <v>328.09492307692307</v>
      </c>
      <c r="F120" s="26">
        <f t="shared" si="115"/>
        <v>334.35096703296699</v>
      </c>
      <c r="G120" s="26">
        <f t="shared" si="115"/>
        <v>321.83997802197803</v>
      </c>
      <c r="H120" s="26">
        <f t="shared" si="115"/>
        <v>310.22239560439562</v>
      </c>
      <c r="I120" s="26">
        <f t="shared" si="115"/>
        <v>314.69052747252744</v>
      </c>
      <c r="J120" s="26">
        <f t="shared" si="115"/>
        <v>324.52129670329668</v>
      </c>
      <c r="K120" s="26">
        <f t="shared" si="115"/>
        <v>319.51690109890109</v>
      </c>
      <c r="L120" s="26">
        <f t="shared" si="115"/>
        <v>323.62679120879119</v>
      </c>
      <c r="M120" s="26">
        <f t="shared" si="115"/>
        <v>309.68613186813184</v>
      </c>
      <c r="N120" s="26">
        <f t="shared" si="115"/>
        <v>311.11690109890111</v>
      </c>
      <c r="O120" s="26">
        <f t="shared" si="115"/>
        <v>330.42349450549449</v>
      </c>
      <c r="P120" s="26">
        <f t="shared" si="115"/>
        <v>309.68613186813184</v>
      </c>
      <c r="Q120" s="26">
        <f t="shared" si="115"/>
        <v>309.68613186813184</v>
      </c>
      <c r="R120" s="26">
        <f t="shared" si="115"/>
        <v>313.79712087912088</v>
      </c>
      <c r="S120" s="26">
        <f t="shared" si="115"/>
        <v>312.90371428571427</v>
      </c>
      <c r="T120" s="26">
        <f t="shared" si="115"/>
        <v>308.25629999999995</v>
      </c>
      <c r="U120" s="26">
        <f t="shared" si="115"/>
        <v>341.86179450549446</v>
      </c>
      <c r="V120" s="26">
        <f t="shared" si="115"/>
        <v>308.25629999999995</v>
      </c>
      <c r="W120" s="26">
        <f>SUM(W118:W119)</f>
        <v>309.68613186813184</v>
      </c>
      <c r="Y120" s="390">
        <v>910</v>
      </c>
      <c r="Z120" s="390">
        <v>910</v>
      </c>
      <c r="AA120" s="390">
        <v>910</v>
      </c>
      <c r="AB120" s="390">
        <v>910</v>
      </c>
      <c r="AC120" s="390">
        <v>910</v>
      </c>
      <c r="AD120" s="390">
        <v>910</v>
      </c>
      <c r="AE120" s="390">
        <v>910</v>
      </c>
      <c r="AF120" s="390">
        <v>910</v>
      </c>
      <c r="AG120" s="390">
        <v>910</v>
      </c>
      <c r="AH120" s="390">
        <v>910</v>
      </c>
      <c r="AI120" s="390">
        <v>910</v>
      </c>
      <c r="AJ120" s="390">
        <v>910</v>
      </c>
      <c r="AK120" s="390">
        <v>910</v>
      </c>
      <c r="AL120" s="390">
        <v>910</v>
      </c>
      <c r="AM120" s="390">
        <v>910</v>
      </c>
      <c r="AN120" s="390">
        <v>910</v>
      </c>
      <c r="AO120" s="390"/>
      <c r="AP120" s="390">
        <v>910</v>
      </c>
      <c r="AQ120" s="390"/>
      <c r="AR120" s="390">
        <v>910</v>
      </c>
      <c r="AS120" s="390"/>
    </row>
    <row r="121" spans="2:45" x14ac:dyDescent="0.3">
      <c r="B121" s="54" t="s">
        <v>54</v>
      </c>
      <c r="C121" s="55"/>
      <c r="D121" s="20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Y121" s="389">
        <f>Y119/Y120</f>
        <v>13.76923076923077</v>
      </c>
      <c r="Z121" s="389">
        <f t="shared" ref="Z121" si="116">Z119/Z120</f>
        <v>31.276923076923076</v>
      </c>
      <c r="AA121" s="389">
        <f t="shared" ref="AA121" si="117">AA119/AA120</f>
        <v>37.532967032967036</v>
      </c>
      <c r="AB121" s="389">
        <f t="shared" ref="AB121" si="118">AB119/AB120</f>
        <v>25.021978021978022</v>
      </c>
      <c r="AC121" s="389">
        <f t="shared" ref="AC121" si="119">AC119/AC120</f>
        <v>13.404395604395605</v>
      </c>
      <c r="AD121" s="389">
        <f t="shared" ref="AD121" si="120">AD119/AD120</f>
        <v>17.872527472527473</v>
      </c>
      <c r="AE121" s="389">
        <f t="shared" ref="AE121" si="121">AE119/AE120</f>
        <v>27.703296703296704</v>
      </c>
      <c r="AF121" s="389">
        <f t="shared" ref="AF121" si="122">AF119/AF120</f>
        <v>22.6989010989011</v>
      </c>
      <c r="AG121" s="389">
        <f t="shared" ref="AG121" si="123">AG119/AG120</f>
        <v>26.808791208791209</v>
      </c>
      <c r="AH121" s="389">
        <f t="shared" ref="AH121" si="124">AH119/AH120</f>
        <v>12.868131868131869</v>
      </c>
      <c r="AI121" s="389">
        <f t="shared" ref="AI121" si="125">AI119/AI120</f>
        <v>14.2989010989011</v>
      </c>
      <c r="AJ121" s="389">
        <f t="shared" ref="AJ121" si="126">AJ119/AJ120</f>
        <v>33.605494505494505</v>
      </c>
      <c r="AK121" s="389">
        <f t="shared" ref="AK121" si="127">AK119/AK120</f>
        <v>12.868131868131869</v>
      </c>
      <c r="AL121" s="389">
        <f t="shared" ref="AL121" si="128">AL119/AL120</f>
        <v>12.868131868131869</v>
      </c>
      <c r="AM121" s="389">
        <f t="shared" ref="AM121" si="129">AM119/AM120</f>
        <v>16.979120879120877</v>
      </c>
      <c r="AN121" s="389">
        <f t="shared" ref="AN121" si="130">AN119/AN120</f>
        <v>16.085714285714285</v>
      </c>
      <c r="AO121" s="390"/>
      <c r="AP121" s="389">
        <f t="shared" ref="AP121" si="131">AP119/AP120</f>
        <v>33.605494505494505</v>
      </c>
      <c r="AQ121" s="390"/>
      <c r="AR121" s="389">
        <f t="shared" ref="AR121" si="132">AR119/AR120</f>
        <v>12.868131868131869</v>
      </c>
      <c r="AS121" s="390"/>
    </row>
    <row r="122" spans="2:45" x14ac:dyDescent="0.3">
      <c r="B122" s="59" t="s">
        <v>55</v>
      </c>
      <c r="C122" s="60"/>
      <c r="D122" s="27">
        <f t="shared" ref="D122:W122" si="133">SUM(D120:D121)</f>
        <v>310.58723076923076</v>
      </c>
      <c r="E122" s="41">
        <f t="shared" si="133"/>
        <v>328.09492307692307</v>
      </c>
      <c r="F122" s="41">
        <f t="shared" si="133"/>
        <v>334.35096703296699</v>
      </c>
      <c r="G122" s="41">
        <f t="shared" si="133"/>
        <v>321.83997802197803</v>
      </c>
      <c r="H122" s="41">
        <f t="shared" si="133"/>
        <v>310.22239560439562</v>
      </c>
      <c r="I122" s="41">
        <f t="shared" si="133"/>
        <v>314.69052747252744</v>
      </c>
      <c r="J122" s="41">
        <f t="shared" si="133"/>
        <v>324.52129670329668</v>
      </c>
      <c r="K122" s="41">
        <f t="shared" si="133"/>
        <v>319.51690109890109</v>
      </c>
      <c r="L122" s="41">
        <f t="shared" si="133"/>
        <v>323.62679120879119</v>
      </c>
      <c r="M122" s="41">
        <f t="shared" si="133"/>
        <v>309.68613186813184</v>
      </c>
      <c r="N122" s="41">
        <f t="shared" si="133"/>
        <v>311.11690109890111</v>
      </c>
      <c r="O122" s="41">
        <f t="shared" si="133"/>
        <v>330.42349450549449</v>
      </c>
      <c r="P122" s="41">
        <f t="shared" si="133"/>
        <v>309.68613186813184</v>
      </c>
      <c r="Q122" s="41">
        <f t="shared" si="133"/>
        <v>309.68613186813184</v>
      </c>
      <c r="R122" s="41">
        <f t="shared" si="133"/>
        <v>313.79712087912088</v>
      </c>
      <c r="S122" s="41">
        <f t="shared" si="133"/>
        <v>312.90371428571427</v>
      </c>
      <c r="T122" s="41">
        <f t="shared" si="133"/>
        <v>308.25629999999995</v>
      </c>
      <c r="U122" s="41">
        <f t="shared" si="133"/>
        <v>341.86179450549446</v>
      </c>
      <c r="V122" s="41">
        <f t="shared" si="133"/>
        <v>308.25629999999995</v>
      </c>
      <c r="W122" s="41">
        <f t="shared" si="133"/>
        <v>309.68613186813184</v>
      </c>
      <c r="Y122" s="390"/>
      <c r="Z122" s="390"/>
      <c r="AA122" s="390"/>
      <c r="AB122" s="390"/>
      <c r="AC122" s="390"/>
      <c r="AD122" s="390"/>
      <c r="AE122" s="390"/>
      <c r="AF122" s="390"/>
      <c r="AG122" s="390"/>
      <c r="AH122" s="390"/>
      <c r="AI122" s="390"/>
      <c r="AJ122" s="390"/>
      <c r="AK122" s="390"/>
      <c r="AL122" s="390"/>
      <c r="AM122" s="390"/>
      <c r="AN122" s="390"/>
      <c r="AO122" s="390"/>
      <c r="AP122" s="390"/>
      <c r="AQ122" s="390"/>
      <c r="AR122" s="390"/>
      <c r="AS122" s="390"/>
    </row>
    <row r="123" spans="2:45" x14ac:dyDescent="0.3">
      <c r="B123" s="61" t="s">
        <v>101</v>
      </c>
      <c r="C123" s="55"/>
      <c r="D123" s="43">
        <v>0</v>
      </c>
      <c r="E123" s="408">
        <v>0</v>
      </c>
      <c r="F123" s="408">
        <v>0</v>
      </c>
      <c r="G123" s="408">
        <v>0</v>
      </c>
      <c r="H123" s="408">
        <v>0</v>
      </c>
      <c r="I123" s="408">
        <v>0</v>
      </c>
      <c r="J123" s="408">
        <v>0</v>
      </c>
      <c r="K123" s="408">
        <v>0</v>
      </c>
      <c r="L123" s="408">
        <v>0</v>
      </c>
      <c r="M123" s="408">
        <v>0</v>
      </c>
      <c r="N123" s="408">
        <v>0</v>
      </c>
      <c r="O123" s="408">
        <v>0</v>
      </c>
      <c r="P123" s="408">
        <v>0</v>
      </c>
      <c r="Q123" s="408">
        <v>0</v>
      </c>
      <c r="R123" s="408">
        <v>0</v>
      </c>
      <c r="S123" s="408">
        <v>0</v>
      </c>
      <c r="T123" s="408">
        <v>0</v>
      </c>
      <c r="U123" s="408">
        <v>0</v>
      </c>
      <c r="V123" s="408">
        <v>0</v>
      </c>
      <c r="W123" s="408">
        <v>0</v>
      </c>
      <c r="Y123" s="409"/>
      <c r="Z123" s="409"/>
      <c r="AA123" s="409"/>
      <c r="AB123" s="409"/>
      <c r="AC123" s="409"/>
      <c r="AD123" s="409"/>
      <c r="AE123" s="409"/>
      <c r="AF123" s="409"/>
      <c r="AG123" s="409"/>
      <c r="AH123" s="409"/>
      <c r="AI123" s="409"/>
      <c r="AJ123" s="409"/>
      <c r="AK123" s="409"/>
      <c r="AL123" s="409"/>
      <c r="AM123" s="409"/>
      <c r="AN123" s="409"/>
      <c r="AO123" s="409"/>
      <c r="AP123" s="409"/>
      <c r="AQ123" s="409"/>
      <c r="AR123" s="409"/>
      <c r="AS123" s="409"/>
    </row>
    <row r="124" spans="2:45" x14ac:dyDescent="0.3">
      <c r="B124" s="171" t="s">
        <v>194</v>
      </c>
      <c r="C124" s="55"/>
      <c r="D124" s="43">
        <v>331</v>
      </c>
      <c r="E124" s="21">
        <v>349</v>
      </c>
      <c r="F124" s="21">
        <v>355</v>
      </c>
      <c r="G124" s="21">
        <v>342</v>
      </c>
      <c r="H124" s="21">
        <v>331</v>
      </c>
      <c r="I124" s="21">
        <v>335</v>
      </c>
      <c r="J124" s="21">
        <v>345</v>
      </c>
      <c r="K124" s="21">
        <v>340</v>
      </c>
      <c r="L124" s="21">
        <v>344</v>
      </c>
      <c r="M124" s="21">
        <v>330</v>
      </c>
      <c r="N124" s="21">
        <v>332</v>
      </c>
      <c r="O124" s="21">
        <v>351</v>
      </c>
      <c r="P124" s="21">
        <v>330</v>
      </c>
      <c r="Q124" s="21">
        <v>330</v>
      </c>
      <c r="R124" s="21">
        <v>334</v>
      </c>
      <c r="S124" s="21">
        <v>333</v>
      </c>
      <c r="T124" s="21">
        <v>329</v>
      </c>
      <c r="U124" s="21">
        <v>362</v>
      </c>
      <c r="V124" s="21">
        <v>329</v>
      </c>
      <c r="W124" s="21">
        <v>330</v>
      </c>
      <c r="Y124" s="390"/>
      <c r="Z124" s="390"/>
      <c r="AA124" s="390"/>
      <c r="AB124" s="390"/>
      <c r="AC124" s="390"/>
      <c r="AD124" s="390"/>
      <c r="AE124" s="390"/>
      <c r="AF124" s="390"/>
      <c r="AG124" s="390"/>
      <c r="AH124" s="390"/>
      <c r="AI124" s="390"/>
      <c r="AJ124" s="390"/>
      <c r="AK124" s="390"/>
      <c r="AL124" s="390"/>
      <c r="AM124" s="390"/>
      <c r="AN124" s="390"/>
      <c r="AO124" s="390"/>
      <c r="AP124" s="390"/>
      <c r="AQ124" s="390"/>
      <c r="AR124" s="390"/>
      <c r="AS124" s="390"/>
    </row>
    <row r="125" spans="2:45" x14ac:dyDescent="0.3">
      <c r="B125" s="61" t="s">
        <v>195</v>
      </c>
      <c r="C125" s="55"/>
      <c r="D125" s="106">
        <v>336</v>
      </c>
      <c r="E125" s="21">
        <v>354</v>
      </c>
      <c r="F125" s="21">
        <v>360</v>
      </c>
      <c r="G125" s="21">
        <v>347</v>
      </c>
      <c r="H125" s="21">
        <v>336</v>
      </c>
      <c r="I125" s="21">
        <v>340</v>
      </c>
      <c r="J125" s="21">
        <v>350</v>
      </c>
      <c r="K125" s="21">
        <v>345</v>
      </c>
      <c r="L125" s="21">
        <v>349</v>
      </c>
      <c r="M125" s="21">
        <v>335</v>
      </c>
      <c r="N125" s="21">
        <v>337</v>
      </c>
      <c r="O125" s="21">
        <v>356</v>
      </c>
      <c r="P125" s="21">
        <v>335</v>
      </c>
      <c r="Q125" s="21">
        <v>335</v>
      </c>
      <c r="R125" s="21">
        <v>339</v>
      </c>
      <c r="S125" s="21">
        <v>338</v>
      </c>
      <c r="T125" s="21">
        <v>334</v>
      </c>
      <c r="U125" s="21">
        <v>367</v>
      </c>
      <c r="V125" s="21">
        <v>334</v>
      </c>
      <c r="W125" s="21">
        <v>335</v>
      </c>
      <c r="Y125" s="390"/>
      <c r="Z125" s="390"/>
      <c r="AA125" s="390"/>
      <c r="AB125" s="390"/>
      <c r="AC125" s="390"/>
      <c r="AD125" s="390"/>
      <c r="AE125" s="390"/>
      <c r="AF125" s="390"/>
      <c r="AG125" s="390"/>
      <c r="AH125" s="390"/>
      <c r="AI125" s="390"/>
      <c r="AJ125" s="390"/>
      <c r="AK125" s="390"/>
      <c r="AL125" s="390"/>
      <c r="AM125" s="390"/>
      <c r="AN125" s="390"/>
      <c r="AO125" s="390"/>
      <c r="AP125" s="390"/>
      <c r="AQ125" s="390"/>
      <c r="AR125" s="390"/>
      <c r="AS125" s="390"/>
    </row>
    <row r="126" spans="2:45" s="30" customFormat="1" x14ac:dyDescent="0.3">
      <c r="B126" s="61" t="s">
        <v>196</v>
      </c>
      <c r="C126" s="62"/>
      <c r="D126" s="28">
        <v>341</v>
      </c>
      <c r="E126" s="28">
        <v>359</v>
      </c>
      <c r="F126" s="28">
        <v>365</v>
      </c>
      <c r="G126" s="28">
        <v>352</v>
      </c>
      <c r="H126" s="28">
        <v>341</v>
      </c>
      <c r="I126" s="28">
        <v>345</v>
      </c>
      <c r="J126" s="28">
        <v>355</v>
      </c>
      <c r="K126" s="28">
        <v>350</v>
      </c>
      <c r="L126" s="28">
        <v>354</v>
      </c>
      <c r="M126" s="28">
        <v>340</v>
      </c>
      <c r="N126" s="28">
        <v>342</v>
      </c>
      <c r="O126" s="28">
        <v>361</v>
      </c>
      <c r="P126" s="28">
        <v>340</v>
      </c>
      <c r="Q126" s="28">
        <v>340</v>
      </c>
      <c r="R126" s="28">
        <v>344</v>
      </c>
      <c r="S126" s="28">
        <v>343</v>
      </c>
      <c r="T126" s="28">
        <v>339</v>
      </c>
      <c r="U126" s="28">
        <v>372</v>
      </c>
      <c r="V126" s="28">
        <v>339</v>
      </c>
      <c r="W126" s="28">
        <v>340</v>
      </c>
      <c r="Y126" s="391"/>
      <c r="Z126" s="391"/>
      <c r="AA126" s="391"/>
      <c r="AB126" s="391"/>
      <c r="AC126" s="391"/>
      <c r="AD126" s="391"/>
      <c r="AE126" s="391"/>
      <c r="AF126" s="391"/>
      <c r="AG126" s="391"/>
      <c r="AH126" s="391"/>
      <c r="AI126" s="391"/>
      <c r="AJ126" s="391"/>
      <c r="AK126" s="391"/>
      <c r="AL126" s="391"/>
      <c r="AM126" s="391"/>
      <c r="AN126" s="391"/>
      <c r="AO126" s="391"/>
      <c r="AP126" s="391"/>
      <c r="AQ126" s="391"/>
      <c r="AR126" s="391"/>
      <c r="AS126" s="391"/>
    </row>
    <row r="127" spans="2:45" s="30" customFormat="1" x14ac:dyDescent="0.3">
      <c r="B127" s="61" t="s">
        <v>197</v>
      </c>
      <c r="C127" s="62"/>
      <c r="D127" s="28">
        <v>345</v>
      </c>
      <c r="E127" s="28">
        <v>363</v>
      </c>
      <c r="F127" s="28">
        <v>369</v>
      </c>
      <c r="G127" s="28">
        <v>356</v>
      </c>
      <c r="H127" s="28">
        <v>345</v>
      </c>
      <c r="I127" s="28">
        <v>349</v>
      </c>
      <c r="J127" s="28">
        <v>359</v>
      </c>
      <c r="K127" s="28">
        <v>354</v>
      </c>
      <c r="L127" s="28">
        <v>358</v>
      </c>
      <c r="M127" s="28">
        <v>344</v>
      </c>
      <c r="N127" s="28">
        <v>346</v>
      </c>
      <c r="O127" s="28">
        <v>365</v>
      </c>
      <c r="P127" s="28">
        <v>344</v>
      </c>
      <c r="Q127" s="28">
        <v>344</v>
      </c>
      <c r="R127" s="28">
        <v>348</v>
      </c>
      <c r="S127" s="28">
        <v>347</v>
      </c>
      <c r="T127" s="28">
        <v>343</v>
      </c>
      <c r="U127" s="28">
        <v>376</v>
      </c>
      <c r="V127" s="28">
        <v>343</v>
      </c>
      <c r="W127" s="28">
        <v>344</v>
      </c>
      <c r="Y127" s="391"/>
      <c r="Z127" s="391"/>
      <c r="AA127" s="391"/>
      <c r="AB127" s="391"/>
      <c r="AC127" s="391"/>
      <c r="AD127" s="391"/>
      <c r="AE127" s="391"/>
      <c r="AF127" s="391"/>
      <c r="AG127" s="391"/>
      <c r="AH127" s="391"/>
      <c r="AI127" s="391"/>
      <c r="AJ127" s="391"/>
      <c r="AK127" s="391"/>
      <c r="AL127" s="391"/>
      <c r="AM127" s="391"/>
      <c r="AN127" s="391"/>
      <c r="AO127" s="391"/>
      <c r="AP127" s="391"/>
      <c r="AQ127" s="391"/>
      <c r="AR127" s="391"/>
      <c r="AS127" s="391"/>
    </row>
    <row r="128" spans="2:45" x14ac:dyDescent="0.3">
      <c r="B128" s="63" t="s">
        <v>103</v>
      </c>
      <c r="C128" s="55"/>
      <c r="D128" s="43">
        <v>0</v>
      </c>
      <c r="E128" s="408">
        <v>0</v>
      </c>
      <c r="F128" s="408">
        <v>0</v>
      </c>
      <c r="G128" s="408">
        <v>0</v>
      </c>
      <c r="H128" s="408">
        <v>0</v>
      </c>
      <c r="I128" s="408">
        <v>0</v>
      </c>
      <c r="J128" s="408">
        <v>0</v>
      </c>
      <c r="K128" s="408">
        <v>0</v>
      </c>
      <c r="L128" s="408">
        <v>0</v>
      </c>
      <c r="M128" s="408">
        <v>0</v>
      </c>
      <c r="N128" s="408">
        <v>0</v>
      </c>
      <c r="O128" s="408">
        <v>0</v>
      </c>
      <c r="P128" s="408">
        <v>0</v>
      </c>
      <c r="Q128" s="408">
        <v>0</v>
      </c>
      <c r="R128" s="408">
        <v>0</v>
      </c>
      <c r="S128" s="408">
        <v>0</v>
      </c>
      <c r="T128" s="408">
        <v>0</v>
      </c>
      <c r="U128" s="408">
        <v>0</v>
      </c>
      <c r="V128" s="408">
        <v>0</v>
      </c>
      <c r="W128" s="408">
        <v>0</v>
      </c>
      <c r="Y128" s="409"/>
      <c r="Z128" s="409"/>
      <c r="AA128" s="409"/>
      <c r="AB128" s="409"/>
      <c r="AC128" s="409"/>
      <c r="AD128" s="409"/>
      <c r="AE128" s="409"/>
      <c r="AF128" s="409"/>
      <c r="AG128" s="409"/>
      <c r="AH128" s="409"/>
      <c r="AI128" s="409"/>
      <c r="AJ128" s="409"/>
      <c r="AK128" s="409"/>
      <c r="AL128" s="409"/>
      <c r="AM128" s="409"/>
      <c r="AN128" s="409"/>
      <c r="AO128" s="409"/>
      <c r="AP128" s="409"/>
      <c r="AQ128" s="409"/>
      <c r="AR128" s="409"/>
      <c r="AS128" s="409"/>
    </row>
    <row r="129" spans="1:45" s="33" customFormat="1" x14ac:dyDescent="0.3">
      <c r="B129" s="63" t="s">
        <v>198</v>
      </c>
      <c r="C129" s="64"/>
      <c r="D129" s="31">
        <f t="shared" ref="D129:W129" si="134">+D124-D$122</f>
        <v>20.412769230769243</v>
      </c>
      <c r="E129" s="32">
        <f t="shared" si="134"/>
        <v>20.905076923076933</v>
      </c>
      <c r="F129" s="32">
        <f t="shared" si="134"/>
        <v>20.649032967033008</v>
      </c>
      <c r="G129" s="32">
        <f t="shared" si="134"/>
        <v>20.160021978021973</v>
      </c>
      <c r="H129" s="32">
        <f t="shared" si="134"/>
        <v>20.777604395604385</v>
      </c>
      <c r="I129" s="32">
        <f t="shared" si="134"/>
        <v>20.309472527472565</v>
      </c>
      <c r="J129" s="32">
        <f t="shared" si="134"/>
        <v>20.478703296703316</v>
      </c>
      <c r="K129" s="32">
        <f t="shared" si="134"/>
        <v>20.483098901098913</v>
      </c>
      <c r="L129" s="32">
        <f t="shared" si="134"/>
        <v>20.37320879120881</v>
      </c>
      <c r="M129" s="32">
        <f t="shared" si="134"/>
        <v>20.313868131868162</v>
      </c>
      <c r="N129" s="32">
        <f t="shared" si="134"/>
        <v>20.88309890109889</v>
      </c>
      <c r="O129" s="32">
        <f t="shared" si="134"/>
        <v>20.576505494505511</v>
      </c>
      <c r="P129" s="32">
        <f t="shared" si="134"/>
        <v>20.313868131868162</v>
      </c>
      <c r="Q129" s="32">
        <f t="shared" si="134"/>
        <v>20.313868131868162</v>
      </c>
      <c r="R129" s="32">
        <f t="shared" si="134"/>
        <v>20.202879120879118</v>
      </c>
      <c r="S129" s="32">
        <f t="shared" si="134"/>
        <v>20.096285714285727</v>
      </c>
      <c r="T129" s="32">
        <f t="shared" si="134"/>
        <v>20.743700000000047</v>
      </c>
      <c r="U129" s="32">
        <f t="shared" si="134"/>
        <v>20.138205494505542</v>
      </c>
      <c r="V129" s="32">
        <f t="shared" si="134"/>
        <v>20.743700000000047</v>
      </c>
      <c r="W129" s="32">
        <f t="shared" si="134"/>
        <v>20.313868131868162</v>
      </c>
      <c r="Y129" s="392"/>
      <c r="Z129" s="392"/>
      <c r="AA129" s="392"/>
      <c r="AB129" s="392"/>
      <c r="AC129" s="392"/>
      <c r="AD129" s="392"/>
      <c r="AE129" s="392"/>
      <c r="AF129" s="392"/>
      <c r="AG129" s="392"/>
      <c r="AH129" s="392"/>
      <c r="AI129" s="392"/>
      <c r="AJ129" s="392"/>
      <c r="AK129" s="392"/>
      <c r="AL129" s="392"/>
      <c r="AM129" s="392"/>
      <c r="AN129" s="392"/>
      <c r="AO129" s="392"/>
      <c r="AP129" s="392"/>
      <c r="AQ129" s="392"/>
      <c r="AR129" s="392"/>
      <c r="AS129" s="392"/>
    </row>
    <row r="130" spans="1:45" s="33" customFormat="1" x14ac:dyDescent="0.3">
      <c r="B130" s="63" t="s">
        <v>199</v>
      </c>
      <c r="C130" s="64"/>
      <c r="D130" s="31">
        <f t="shared" ref="D130:W130" si="135">+D125-D$122</f>
        <v>25.412769230769243</v>
      </c>
      <c r="E130" s="32">
        <f t="shared" si="135"/>
        <v>25.905076923076933</v>
      </c>
      <c r="F130" s="32">
        <f t="shared" si="135"/>
        <v>25.649032967033008</v>
      </c>
      <c r="G130" s="32">
        <f t="shared" si="135"/>
        <v>25.160021978021973</v>
      </c>
      <c r="H130" s="32">
        <f t="shared" si="135"/>
        <v>25.777604395604385</v>
      </c>
      <c r="I130" s="32">
        <f t="shared" si="135"/>
        <v>25.309472527472565</v>
      </c>
      <c r="J130" s="32">
        <f t="shared" si="135"/>
        <v>25.478703296703316</v>
      </c>
      <c r="K130" s="32">
        <f t="shared" si="135"/>
        <v>25.483098901098913</v>
      </c>
      <c r="L130" s="32">
        <f t="shared" si="135"/>
        <v>25.37320879120881</v>
      </c>
      <c r="M130" s="32">
        <f t="shared" si="135"/>
        <v>25.313868131868162</v>
      </c>
      <c r="N130" s="32">
        <f t="shared" si="135"/>
        <v>25.88309890109889</v>
      </c>
      <c r="O130" s="32">
        <f t="shared" si="135"/>
        <v>25.576505494505511</v>
      </c>
      <c r="P130" s="32">
        <f t="shared" si="135"/>
        <v>25.313868131868162</v>
      </c>
      <c r="Q130" s="32">
        <f t="shared" si="135"/>
        <v>25.313868131868162</v>
      </c>
      <c r="R130" s="32">
        <f t="shared" si="135"/>
        <v>25.202879120879118</v>
      </c>
      <c r="S130" s="32">
        <f t="shared" si="135"/>
        <v>25.096285714285727</v>
      </c>
      <c r="T130" s="32">
        <f t="shared" si="135"/>
        <v>25.743700000000047</v>
      </c>
      <c r="U130" s="32">
        <f t="shared" si="135"/>
        <v>25.138205494505542</v>
      </c>
      <c r="V130" s="32">
        <f t="shared" si="135"/>
        <v>25.743700000000047</v>
      </c>
      <c r="W130" s="32">
        <f t="shared" si="135"/>
        <v>25.313868131868162</v>
      </c>
      <c r="Y130" s="392"/>
      <c r="Z130" s="392"/>
      <c r="AA130" s="392"/>
      <c r="AB130" s="392"/>
      <c r="AC130" s="392"/>
      <c r="AD130" s="392"/>
      <c r="AE130" s="392"/>
      <c r="AF130" s="392"/>
      <c r="AG130" s="392"/>
      <c r="AH130" s="392"/>
      <c r="AI130" s="392"/>
      <c r="AJ130" s="392"/>
      <c r="AK130" s="392"/>
      <c r="AL130" s="392"/>
      <c r="AM130" s="392"/>
      <c r="AN130" s="392"/>
      <c r="AO130" s="392"/>
      <c r="AP130" s="392"/>
      <c r="AQ130" s="392"/>
      <c r="AR130" s="392"/>
      <c r="AS130" s="392"/>
    </row>
    <row r="131" spans="1:45" s="33" customFormat="1" x14ac:dyDescent="0.3">
      <c r="B131" s="63" t="s">
        <v>200</v>
      </c>
      <c r="C131" s="64"/>
      <c r="D131" s="31">
        <f t="shared" ref="D131:W131" si="136">+D126-D$122</f>
        <v>30.412769230769243</v>
      </c>
      <c r="E131" s="32">
        <f t="shared" si="136"/>
        <v>30.905076923076933</v>
      </c>
      <c r="F131" s="32">
        <f t="shared" si="136"/>
        <v>30.649032967033008</v>
      </c>
      <c r="G131" s="32">
        <f t="shared" si="136"/>
        <v>30.160021978021973</v>
      </c>
      <c r="H131" s="32">
        <f t="shared" si="136"/>
        <v>30.777604395604385</v>
      </c>
      <c r="I131" s="32">
        <f t="shared" si="136"/>
        <v>30.309472527472565</v>
      </c>
      <c r="J131" s="32">
        <f t="shared" si="136"/>
        <v>30.478703296703316</v>
      </c>
      <c r="K131" s="32">
        <f t="shared" si="136"/>
        <v>30.483098901098913</v>
      </c>
      <c r="L131" s="32">
        <f t="shared" si="136"/>
        <v>30.37320879120881</v>
      </c>
      <c r="M131" s="32">
        <f t="shared" si="136"/>
        <v>30.313868131868162</v>
      </c>
      <c r="N131" s="32">
        <f t="shared" si="136"/>
        <v>30.88309890109889</v>
      </c>
      <c r="O131" s="32">
        <f t="shared" si="136"/>
        <v>30.576505494505511</v>
      </c>
      <c r="P131" s="32">
        <f t="shared" si="136"/>
        <v>30.313868131868162</v>
      </c>
      <c r="Q131" s="32">
        <f t="shared" si="136"/>
        <v>30.313868131868162</v>
      </c>
      <c r="R131" s="32">
        <f t="shared" si="136"/>
        <v>30.202879120879118</v>
      </c>
      <c r="S131" s="32">
        <f t="shared" si="136"/>
        <v>30.096285714285727</v>
      </c>
      <c r="T131" s="32">
        <f t="shared" si="136"/>
        <v>30.743700000000047</v>
      </c>
      <c r="U131" s="32">
        <f t="shared" si="136"/>
        <v>30.138205494505542</v>
      </c>
      <c r="V131" s="32">
        <f t="shared" si="136"/>
        <v>30.743700000000047</v>
      </c>
      <c r="W131" s="32">
        <f t="shared" si="136"/>
        <v>30.313868131868162</v>
      </c>
      <c r="Y131" s="392"/>
      <c r="Z131" s="392"/>
      <c r="AA131" s="392"/>
      <c r="AB131" s="392"/>
      <c r="AC131" s="392"/>
      <c r="AD131" s="392"/>
      <c r="AE131" s="392"/>
      <c r="AF131" s="392"/>
      <c r="AG131" s="392"/>
      <c r="AH131" s="392"/>
      <c r="AI131" s="392"/>
      <c r="AJ131" s="392"/>
      <c r="AK131" s="392"/>
      <c r="AL131" s="392"/>
      <c r="AM131" s="392"/>
      <c r="AN131" s="392"/>
      <c r="AO131" s="392"/>
      <c r="AP131" s="392"/>
      <c r="AQ131" s="392"/>
      <c r="AR131" s="392"/>
      <c r="AS131" s="392"/>
    </row>
    <row r="132" spans="1:45" s="33" customFormat="1" x14ac:dyDescent="0.3">
      <c r="B132" s="63" t="s">
        <v>201</v>
      </c>
      <c r="C132" s="64"/>
      <c r="D132" s="31">
        <f>+D127-D$122</f>
        <v>34.412769230769243</v>
      </c>
      <c r="E132" s="34">
        <f t="shared" ref="E132:W132" si="137">+E127-E$122</f>
        <v>34.905076923076933</v>
      </c>
      <c r="F132" s="34">
        <f t="shared" si="137"/>
        <v>34.649032967033008</v>
      </c>
      <c r="G132" s="34">
        <f t="shared" si="137"/>
        <v>34.160021978021973</v>
      </c>
      <c r="H132" s="34">
        <f t="shared" si="137"/>
        <v>34.777604395604385</v>
      </c>
      <c r="I132" s="34">
        <f t="shared" si="137"/>
        <v>34.309472527472565</v>
      </c>
      <c r="J132" s="34">
        <f t="shared" si="137"/>
        <v>34.478703296703316</v>
      </c>
      <c r="K132" s="34">
        <f t="shared" si="137"/>
        <v>34.483098901098913</v>
      </c>
      <c r="L132" s="34">
        <f t="shared" si="137"/>
        <v>34.37320879120881</v>
      </c>
      <c r="M132" s="34">
        <f t="shared" si="137"/>
        <v>34.313868131868162</v>
      </c>
      <c r="N132" s="34">
        <f t="shared" si="137"/>
        <v>34.88309890109889</v>
      </c>
      <c r="O132" s="34">
        <f t="shared" si="137"/>
        <v>34.576505494505511</v>
      </c>
      <c r="P132" s="34">
        <f t="shared" si="137"/>
        <v>34.313868131868162</v>
      </c>
      <c r="Q132" s="34">
        <f t="shared" si="137"/>
        <v>34.313868131868162</v>
      </c>
      <c r="R132" s="34">
        <f t="shared" si="137"/>
        <v>34.202879120879118</v>
      </c>
      <c r="S132" s="34">
        <f t="shared" si="137"/>
        <v>34.096285714285727</v>
      </c>
      <c r="T132" s="34">
        <f t="shared" si="137"/>
        <v>34.743700000000047</v>
      </c>
      <c r="U132" s="34">
        <f t="shared" si="137"/>
        <v>34.138205494505542</v>
      </c>
      <c r="V132" s="34">
        <f t="shared" si="137"/>
        <v>34.743700000000047</v>
      </c>
      <c r="W132" s="34">
        <f t="shared" si="137"/>
        <v>34.313868131868162</v>
      </c>
      <c r="Y132" s="392"/>
      <c r="Z132" s="392"/>
      <c r="AA132" s="392"/>
      <c r="AB132" s="392"/>
      <c r="AC132" s="392"/>
      <c r="AD132" s="392"/>
      <c r="AE132" s="392"/>
      <c r="AF132" s="392"/>
      <c r="AG132" s="392"/>
      <c r="AH132" s="392"/>
      <c r="AI132" s="392"/>
      <c r="AJ132" s="392"/>
      <c r="AK132" s="392"/>
      <c r="AL132" s="392"/>
      <c r="AM132" s="392"/>
      <c r="AN132" s="392"/>
      <c r="AO132" s="392"/>
      <c r="AP132" s="392"/>
      <c r="AQ132" s="392"/>
      <c r="AR132" s="392"/>
      <c r="AS132" s="392"/>
    </row>
    <row r="133" spans="1:45" x14ac:dyDescent="0.3">
      <c r="B133" s="65" t="s">
        <v>108</v>
      </c>
      <c r="C133" s="55"/>
      <c r="D133" s="43">
        <v>0</v>
      </c>
      <c r="E133" s="408">
        <v>0</v>
      </c>
      <c r="F133" s="408">
        <v>0</v>
      </c>
      <c r="G133" s="408">
        <v>0</v>
      </c>
      <c r="H133" s="408">
        <v>0</v>
      </c>
      <c r="I133" s="408">
        <v>0</v>
      </c>
      <c r="J133" s="408">
        <v>0</v>
      </c>
      <c r="K133" s="408">
        <v>0</v>
      </c>
      <c r="L133" s="408">
        <v>0</v>
      </c>
      <c r="M133" s="408">
        <v>0</v>
      </c>
      <c r="N133" s="408">
        <v>0</v>
      </c>
      <c r="O133" s="408">
        <v>0</v>
      </c>
      <c r="P133" s="408">
        <v>0</v>
      </c>
      <c r="Q133" s="408">
        <v>0</v>
      </c>
      <c r="R133" s="408">
        <v>0</v>
      </c>
      <c r="S133" s="408">
        <v>0</v>
      </c>
      <c r="T133" s="408">
        <v>0</v>
      </c>
      <c r="U133" s="408">
        <v>0</v>
      </c>
      <c r="V133" s="408">
        <v>0</v>
      </c>
      <c r="W133" s="408">
        <v>0</v>
      </c>
      <c r="Y133" s="409"/>
      <c r="Z133" s="409"/>
      <c r="AA133" s="409"/>
      <c r="AB133" s="409"/>
      <c r="AC133" s="409"/>
      <c r="AD133" s="409"/>
      <c r="AE133" s="409"/>
      <c r="AF133" s="409"/>
      <c r="AG133" s="409"/>
      <c r="AH133" s="409"/>
      <c r="AI133" s="409"/>
      <c r="AJ133" s="409"/>
      <c r="AK133" s="409"/>
      <c r="AL133" s="409"/>
      <c r="AM133" s="409"/>
      <c r="AN133" s="409"/>
      <c r="AO133" s="409"/>
      <c r="AP133" s="409"/>
      <c r="AQ133" s="409"/>
      <c r="AR133" s="409"/>
      <c r="AS133" s="409"/>
    </row>
    <row r="134" spans="1:45" s="36" customFormat="1" x14ac:dyDescent="0.3">
      <c r="B134" s="65" t="s">
        <v>202</v>
      </c>
      <c r="C134" s="66"/>
      <c r="D134" s="35">
        <f>+D129/D$124</f>
        <v>6.1669997676040006E-2</v>
      </c>
      <c r="E134" s="35">
        <f t="shared" ref="E134:W134" si="138">+E129/E$124</f>
        <v>5.9899933877011272E-2</v>
      </c>
      <c r="F134" s="35">
        <f t="shared" si="138"/>
        <v>5.8166290047980303E-2</v>
      </c>
      <c r="G134" s="35">
        <f t="shared" si="138"/>
        <v>5.8947432684274777E-2</v>
      </c>
      <c r="H134" s="35">
        <f t="shared" si="138"/>
        <v>6.2772218717838016E-2</v>
      </c>
      <c r="I134" s="35">
        <f t="shared" si="138"/>
        <v>6.0625291126783776E-2</v>
      </c>
      <c r="J134" s="35">
        <f t="shared" si="138"/>
        <v>5.9358560280299469E-2</v>
      </c>
      <c r="K134" s="35">
        <f t="shared" si="138"/>
        <v>6.0244408532643859E-2</v>
      </c>
      <c r="L134" s="35">
        <f t="shared" si="138"/>
        <v>5.9224444160490726E-2</v>
      </c>
      <c r="M134" s="35">
        <f t="shared" si="138"/>
        <v>6.1557176157176249E-2</v>
      </c>
      <c r="N134" s="35">
        <f t="shared" si="138"/>
        <v>6.2900900304514729E-2</v>
      </c>
      <c r="O134" s="35">
        <f t="shared" si="138"/>
        <v>5.8622522776368979E-2</v>
      </c>
      <c r="P134" s="35">
        <f t="shared" si="138"/>
        <v>6.1557176157176249E-2</v>
      </c>
      <c r="Q134" s="35">
        <f t="shared" si="138"/>
        <v>6.1557176157176249E-2</v>
      </c>
      <c r="R134" s="35">
        <f t="shared" si="138"/>
        <v>6.0487662038560229E-2</v>
      </c>
      <c r="S134" s="35">
        <f t="shared" si="138"/>
        <v>6.0349206349206388E-2</v>
      </c>
      <c r="T134" s="35">
        <f t="shared" si="138"/>
        <v>6.3050759878419599E-2</v>
      </c>
      <c r="U134" s="35">
        <f t="shared" si="138"/>
        <v>5.5630401918523593E-2</v>
      </c>
      <c r="V134" s="35">
        <f t="shared" si="138"/>
        <v>6.3050759878419599E-2</v>
      </c>
      <c r="W134" s="35">
        <f t="shared" si="138"/>
        <v>6.1557176157176249E-2</v>
      </c>
      <c r="Y134" s="393"/>
      <c r="Z134" s="393"/>
      <c r="AA134" s="393"/>
      <c r="AB134" s="393"/>
      <c r="AC134" s="393"/>
      <c r="AD134" s="393"/>
      <c r="AE134" s="393"/>
      <c r="AF134" s="393"/>
      <c r="AG134" s="393"/>
      <c r="AH134" s="393"/>
      <c r="AI134" s="393"/>
      <c r="AJ134" s="393"/>
      <c r="AK134" s="393"/>
      <c r="AL134" s="393"/>
      <c r="AM134" s="393"/>
      <c r="AN134" s="393"/>
      <c r="AO134" s="393"/>
      <c r="AP134" s="393"/>
      <c r="AQ134" s="393"/>
      <c r="AR134" s="393"/>
      <c r="AS134" s="393"/>
    </row>
    <row r="135" spans="1:45" s="36" customFormat="1" x14ac:dyDescent="0.3">
      <c r="B135" s="65" t="s">
        <v>203</v>
      </c>
      <c r="C135" s="66"/>
      <c r="D135" s="35">
        <f>+D130/D$125</f>
        <v>7.5633241758241793E-2</v>
      </c>
      <c r="E135" s="35">
        <f t="shared" ref="E135:W135" si="139">+E130/E$125</f>
        <v>7.3178183398522417E-2</v>
      </c>
      <c r="F135" s="35">
        <f t="shared" si="139"/>
        <v>7.1247313797313916E-2</v>
      </c>
      <c r="G135" s="35">
        <f t="shared" si="139"/>
        <v>7.2507267948190124E-2</v>
      </c>
      <c r="H135" s="35">
        <f t="shared" si="139"/>
        <v>7.6719060701203531E-2</v>
      </c>
      <c r="I135" s="35">
        <f t="shared" si="139"/>
        <v>7.4439625080801666E-2</v>
      </c>
      <c r="J135" s="35">
        <f t="shared" si="139"/>
        <v>7.2796295133438049E-2</v>
      </c>
      <c r="K135" s="35">
        <f t="shared" si="139"/>
        <v>7.3864054785793956E-2</v>
      </c>
      <c r="L135" s="35">
        <f t="shared" si="139"/>
        <v>7.2702603986271666E-2</v>
      </c>
      <c r="M135" s="35">
        <f t="shared" si="139"/>
        <v>7.5563785468263173E-2</v>
      </c>
      <c r="N135" s="35">
        <f t="shared" si="139"/>
        <v>7.6804447777741508E-2</v>
      </c>
      <c r="O135" s="35">
        <f t="shared" si="139"/>
        <v>7.1844116557599758E-2</v>
      </c>
      <c r="P135" s="35">
        <f t="shared" si="139"/>
        <v>7.5563785468263173E-2</v>
      </c>
      <c r="Q135" s="35">
        <f t="shared" si="139"/>
        <v>7.5563785468263173E-2</v>
      </c>
      <c r="R135" s="35">
        <f t="shared" si="139"/>
        <v>7.4344776167785009E-2</v>
      </c>
      <c r="S135" s="35">
        <f t="shared" si="139"/>
        <v>7.424936601859683E-2</v>
      </c>
      <c r="T135" s="35">
        <f t="shared" si="139"/>
        <v>7.7076946107784566E-2</v>
      </c>
      <c r="U135" s="35">
        <f t="shared" si="139"/>
        <v>6.8496472737072323E-2</v>
      </c>
      <c r="V135" s="35">
        <f t="shared" si="139"/>
        <v>7.7076946107784566E-2</v>
      </c>
      <c r="W135" s="35">
        <f t="shared" si="139"/>
        <v>7.5563785468263173E-2</v>
      </c>
      <c r="Y135" s="393"/>
      <c r="Z135" s="393"/>
      <c r="AA135" s="393"/>
      <c r="AB135" s="393"/>
      <c r="AC135" s="393"/>
      <c r="AD135" s="393"/>
      <c r="AE135" s="393"/>
      <c r="AF135" s="393"/>
      <c r="AG135" s="393"/>
      <c r="AH135" s="393"/>
      <c r="AI135" s="393"/>
      <c r="AJ135" s="393"/>
      <c r="AK135" s="393"/>
      <c r="AL135" s="393"/>
      <c r="AM135" s="393"/>
      <c r="AN135" s="393"/>
      <c r="AO135" s="393"/>
      <c r="AP135" s="393"/>
      <c r="AQ135" s="393"/>
      <c r="AR135" s="393"/>
      <c r="AS135" s="393"/>
    </row>
    <row r="136" spans="1:45" s="36" customFormat="1" x14ac:dyDescent="0.3">
      <c r="B136" s="65" t="s">
        <v>204</v>
      </c>
      <c r="C136" s="66"/>
      <c r="D136" s="35">
        <f>+D131/D$126</f>
        <v>8.918700654184529E-2</v>
      </c>
      <c r="E136" s="35">
        <f t="shared" ref="E136:W136" si="140">+E131/E$126</f>
        <v>8.6086565245339641E-2</v>
      </c>
      <c r="F136" s="35">
        <f t="shared" si="140"/>
        <v>8.3969953334337002E-2</v>
      </c>
      <c r="G136" s="35">
        <f>+G131/G$126</f>
        <v>8.5681880619380604E-2</v>
      </c>
      <c r="H136" s="35">
        <f t="shared" si="140"/>
        <v>9.0256904385936615E-2</v>
      </c>
      <c r="I136" s="35">
        <f t="shared" si="140"/>
        <v>8.7853543557891489E-2</v>
      </c>
      <c r="J136" s="35">
        <f t="shared" si="140"/>
        <v>8.5855502244234688E-2</v>
      </c>
      <c r="K136" s="35">
        <f t="shared" si="140"/>
        <v>8.7094568288854035E-2</v>
      </c>
      <c r="L136" s="35">
        <f t="shared" si="140"/>
        <v>8.5800024833923197E-2</v>
      </c>
      <c r="M136" s="35">
        <f t="shared" si="140"/>
        <v>8.9158435681965187E-2</v>
      </c>
      <c r="N136" s="35">
        <f t="shared" si="140"/>
        <v>9.0301458775142951E-2</v>
      </c>
      <c r="O136" s="35">
        <f t="shared" si="140"/>
        <v>8.4699461203616377E-2</v>
      </c>
      <c r="P136" s="35">
        <f t="shared" si="140"/>
        <v>8.9158435681965187E-2</v>
      </c>
      <c r="Q136" s="35">
        <f t="shared" si="140"/>
        <v>8.9158435681965187E-2</v>
      </c>
      <c r="R136" s="35">
        <f t="shared" si="140"/>
        <v>8.7799067211857901E-2</v>
      </c>
      <c r="S136" s="35">
        <f t="shared" si="140"/>
        <v>8.7744273219491922E-2</v>
      </c>
      <c r="T136" s="35">
        <f t="shared" si="140"/>
        <v>9.0689380530973585E-2</v>
      </c>
      <c r="U136" s="35">
        <f t="shared" si="140"/>
        <v>8.1016681436842847E-2</v>
      </c>
      <c r="V136" s="35">
        <f t="shared" si="140"/>
        <v>9.0689380530973585E-2</v>
      </c>
      <c r="W136" s="35">
        <f t="shared" si="140"/>
        <v>8.9158435681965187E-2</v>
      </c>
      <c r="Y136" s="393"/>
      <c r="Z136" s="393"/>
      <c r="AA136" s="393"/>
      <c r="AB136" s="393"/>
      <c r="AC136" s="393"/>
      <c r="AD136" s="393"/>
      <c r="AE136" s="393"/>
      <c r="AF136" s="393"/>
      <c r="AG136" s="393"/>
      <c r="AH136" s="393"/>
      <c r="AI136" s="393"/>
      <c r="AJ136" s="393"/>
      <c r="AK136" s="393"/>
      <c r="AL136" s="393"/>
      <c r="AM136" s="393"/>
      <c r="AN136" s="393"/>
      <c r="AO136" s="393"/>
      <c r="AP136" s="393"/>
      <c r="AQ136" s="393"/>
      <c r="AR136" s="393"/>
      <c r="AS136" s="393"/>
    </row>
    <row r="137" spans="1:45" s="36" customFormat="1" x14ac:dyDescent="0.3">
      <c r="B137" s="65" t="s">
        <v>205</v>
      </c>
      <c r="C137" s="66"/>
      <c r="D137" s="35">
        <f>+D132/D$127</f>
        <v>9.9747157190635483E-2</v>
      </c>
      <c r="E137" s="35">
        <f t="shared" ref="E137:W137" si="141">+E132/E$127</f>
        <v>9.6157236702691273E-2</v>
      </c>
      <c r="F137" s="35">
        <f t="shared" si="141"/>
        <v>9.3899818338842839E-2</v>
      </c>
      <c r="G137" s="35">
        <f t="shared" si="141"/>
        <v>9.595511791579206E-2</v>
      </c>
      <c r="H137" s="35">
        <f t="shared" si="141"/>
        <v>0.10080465042204169</v>
      </c>
      <c r="I137" s="35">
        <f t="shared" si="141"/>
        <v>9.8307944204792455E-2</v>
      </c>
      <c r="J137" s="35">
        <f t="shared" si="141"/>
        <v>9.6040956258226506E-2</v>
      </c>
      <c r="K137" s="35">
        <f t="shared" si="141"/>
        <v>9.7409883901409353E-2</v>
      </c>
      <c r="L137" s="35">
        <f t="shared" si="141"/>
        <v>9.601454969611399E-2</v>
      </c>
      <c r="M137" s="35">
        <f t="shared" si="141"/>
        <v>9.9749616662407448E-2</v>
      </c>
      <c r="N137" s="35">
        <f t="shared" si="141"/>
        <v>0.10081820491647078</v>
      </c>
      <c r="O137" s="35">
        <f t="shared" si="141"/>
        <v>9.4730152039741125E-2</v>
      </c>
      <c r="P137" s="35">
        <f t="shared" si="141"/>
        <v>9.9749616662407448E-2</v>
      </c>
      <c r="Q137" s="35">
        <f t="shared" si="141"/>
        <v>9.9749616662407448E-2</v>
      </c>
      <c r="R137" s="35">
        <f t="shared" si="141"/>
        <v>9.8284135404825057E-2</v>
      </c>
      <c r="S137" s="35">
        <f t="shared" si="141"/>
        <v>9.8260189378345034E-2</v>
      </c>
      <c r="T137" s="35">
        <f t="shared" si="141"/>
        <v>0.10129358600583104</v>
      </c>
      <c r="U137" s="35">
        <f t="shared" si="141"/>
        <v>9.0793099719429629E-2</v>
      </c>
      <c r="V137" s="35">
        <f t="shared" si="141"/>
        <v>0.10129358600583104</v>
      </c>
      <c r="W137" s="35">
        <f t="shared" si="141"/>
        <v>9.9749616662407448E-2</v>
      </c>
      <c r="Y137" s="393"/>
      <c r="Z137" s="393"/>
      <c r="AA137" s="393"/>
      <c r="AB137" s="393"/>
      <c r="AC137" s="393"/>
      <c r="AD137" s="393"/>
      <c r="AE137" s="393"/>
      <c r="AF137" s="393"/>
      <c r="AG137" s="393"/>
      <c r="AH137" s="393"/>
      <c r="AI137" s="393"/>
      <c r="AJ137" s="393"/>
      <c r="AK137" s="393"/>
      <c r="AL137" s="393"/>
      <c r="AM137" s="393"/>
      <c r="AN137" s="393"/>
      <c r="AO137" s="393"/>
      <c r="AP137" s="393"/>
      <c r="AQ137" s="393"/>
      <c r="AR137" s="393"/>
      <c r="AS137" s="393"/>
    </row>
    <row r="138" spans="1:45" x14ac:dyDescent="0.3">
      <c r="B138" s="54"/>
      <c r="C138" s="55"/>
      <c r="D138" s="20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Y138" s="390"/>
      <c r="Z138" s="390"/>
      <c r="AA138" s="390"/>
      <c r="AB138" s="390"/>
      <c r="AC138" s="390"/>
      <c r="AD138" s="390"/>
      <c r="AE138" s="390"/>
      <c r="AF138" s="390"/>
      <c r="AG138" s="390"/>
      <c r="AH138" s="390"/>
      <c r="AI138" s="390"/>
      <c r="AJ138" s="390"/>
      <c r="AK138" s="390"/>
      <c r="AL138" s="390"/>
      <c r="AM138" s="390"/>
      <c r="AN138" s="390"/>
      <c r="AO138" s="390"/>
      <c r="AP138" s="390"/>
      <c r="AQ138" s="390"/>
      <c r="AR138" s="390"/>
      <c r="AS138" s="390"/>
    </row>
    <row r="139" spans="1:45" ht="14.25" customHeight="1" thickBot="1" x14ac:dyDescent="0.35">
      <c r="Y139" s="390"/>
      <c r="Z139" s="390"/>
      <c r="AA139" s="390"/>
      <c r="AB139" s="390"/>
      <c r="AC139" s="390"/>
      <c r="AD139" s="390"/>
      <c r="AE139" s="390"/>
      <c r="AF139" s="390"/>
      <c r="AG139" s="390"/>
      <c r="AH139" s="390"/>
      <c r="AI139" s="390"/>
      <c r="AJ139" s="390"/>
      <c r="AK139" s="390"/>
      <c r="AL139" s="390"/>
      <c r="AM139" s="390"/>
      <c r="AN139" s="390"/>
      <c r="AO139" s="390"/>
      <c r="AP139" s="390"/>
      <c r="AQ139" s="390"/>
      <c r="AR139" s="390"/>
      <c r="AS139" s="390"/>
    </row>
    <row r="140" spans="1:45" ht="21" thickBot="1" x14ac:dyDescent="0.35">
      <c r="A140" s="15" t="s">
        <v>314</v>
      </c>
      <c r="B140" s="74" t="s">
        <v>39</v>
      </c>
      <c r="C140" s="68"/>
      <c r="D140" s="17" t="s">
        <v>5</v>
      </c>
      <c r="E140" s="18" t="s">
        <v>6</v>
      </c>
      <c r="F140" s="18" t="s">
        <v>7</v>
      </c>
      <c r="G140" s="18" t="s">
        <v>8</v>
      </c>
      <c r="H140" s="18" t="s">
        <v>9</v>
      </c>
      <c r="I140" s="18" t="s">
        <v>10</v>
      </c>
      <c r="J140" s="18" t="s">
        <v>11</v>
      </c>
      <c r="K140" s="18" t="s">
        <v>12</v>
      </c>
      <c r="L140" s="18" t="s">
        <v>13</v>
      </c>
      <c r="M140" s="18" t="s">
        <v>14</v>
      </c>
      <c r="N140" s="18" t="s">
        <v>15</v>
      </c>
      <c r="O140" s="18" t="s">
        <v>16</v>
      </c>
      <c r="P140" s="18" t="s">
        <v>17</v>
      </c>
      <c r="Q140" s="18" t="s">
        <v>18</v>
      </c>
      <c r="R140" s="18" t="s">
        <v>19</v>
      </c>
      <c r="S140" s="18" t="s">
        <v>20</v>
      </c>
      <c r="T140" s="18" t="s">
        <v>21</v>
      </c>
      <c r="U140" s="18" t="s">
        <v>22</v>
      </c>
      <c r="V140" s="18" t="s">
        <v>23</v>
      </c>
      <c r="W140" s="18" t="s">
        <v>166</v>
      </c>
      <c r="Y140" s="390"/>
      <c r="Z140" s="390"/>
      <c r="AA140" s="390"/>
      <c r="AB140" s="390"/>
      <c r="AC140" s="390"/>
      <c r="AD140" s="390"/>
      <c r="AE140" s="390"/>
      <c r="AF140" s="390"/>
      <c r="AG140" s="390"/>
      <c r="AH140" s="390"/>
      <c r="AI140" s="390"/>
      <c r="AJ140" s="390"/>
      <c r="AK140" s="390"/>
      <c r="AL140" s="390"/>
      <c r="AM140" s="390"/>
      <c r="AN140" s="390"/>
      <c r="AO140" s="390"/>
      <c r="AP140" s="390"/>
      <c r="AQ140" s="390"/>
      <c r="AR140" s="390"/>
      <c r="AS140" s="390"/>
    </row>
    <row r="141" spans="1:45" x14ac:dyDescent="0.3">
      <c r="B141" s="54" t="s">
        <v>50</v>
      </c>
      <c r="C141" s="55"/>
      <c r="D141" s="20">
        <v>480</v>
      </c>
      <c r="E141" s="21">
        <f>D141</f>
        <v>480</v>
      </c>
      <c r="F141" s="21">
        <f>D141</f>
        <v>480</v>
      </c>
      <c r="G141" s="21">
        <f>D141</f>
        <v>480</v>
      </c>
      <c r="H141" s="21">
        <f>E141</f>
        <v>480</v>
      </c>
      <c r="I141" s="21">
        <f>D141</f>
        <v>480</v>
      </c>
      <c r="J141" s="21">
        <f>D141</f>
        <v>480</v>
      </c>
      <c r="K141" s="21">
        <f>D141</f>
        <v>480</v>
      </c>
      <c r="L141" s="21">
        <f>D141</f>
        <v>480</v>
      </c>
      <c r="M141" s="21">
        <f>D141</f>
        <v>480</v>
      </c>
      <c r="N141" s="21">
        <f>D141</f>
        <v>480</v>
      </c>
      <c r="O141" s="21">
        <f>D141</f>
        <v>480</v>
      </c>
      <c r="P141" s="21">
        <f>D141</f>
        <v>480</v>
      </c>
      <c r="Q141" s="21">
        <f>D141</f>
        <v>480</v>
      </c>
      <c r="R141" s="21">
        <f>D141</f>
        <v>480</v>
      </c>
      <c r="S141" s="21">
        <f>D141</f>
        <v>480</v>
      </c>
      <c r="T141" s="21"/>
      <c r="U141" s="21"/>
      <c r="V141" s="21"/>
      <c r="W141" s="21">
        <f>J141</f>
        <v>480</v>
      </c>
      <c r="Y141" s="390"/>
      <c r="Z141" s="390"/>
      <c r="AA141" s="390"/>
      <c r="AB141" s="390"/>
      <c r="AC141" s="390"/>
      <c r="AD141" s="390"/>
      <c r="AE141" s="390"/>
      <c r="AF141" s="390"/>
      <c r="AG141" s="390"/>
      <c r="AH141" s="390"/>
      <c r="AI141" s="390"/>
      <c r="AJ141" s="390"/>
      <c r="AK141" s="390"/>
      <c r="AL141" s="390"/>
      <c r="AM141" s="390"/>
      <c r="AN141" s="390"/>
      <c r="AO141" s="390"/>
      <c r="AP141" s="390"/>
      <c r="AQ141" s="390"/>
      <c r="AR141" s="390"/>
      <c r="AS141" s="390"/>
    </row>
    <row r="142" spans="1:45" x14ac:dyDescent="0.3">
      <c r="B142" s="54" t="s">
        <v>51</v>
      </c>
      <c r="C142" s="55"/>
      <c r="D142" s="218">
        <v>0.18</v>
      </c>
      <c r="E142" s="218">
        <f>D142</f>
        <v>0.18</v>
      </c>
      <c r="F142" s="218">
        <f>D142</f>
        <v>0.18</v>
      </c>
      <c r="G142" s="218">
        <f>D142</f>
        <v>0.18</v>
      </c>
      <c r="H142" s="218">
        <f>E142</f>
        <v>0.18</v>
      </c>
      <c r="I142" s="218">
        <f>D142</f>
        <v>0.18</v>
      </c>
      <c r="J142" s="218">
        <f>D142</f>
        <v>0.18</v>
      </c>
      <c r="K142" s="218">
        <f>D142</f>
        <v>0.18</v>
      </c>
      <c r="L142" s="218">
        <f>D142</f>
        <v>0.18</v>
      </c>
      <c r="M142" s="218">
        <f>D142</f>
        <v>0.18</v>
      </c>
      <c r="N142" s="218">
        <f>D142</f>
        <v>0.18</v>
      </c>
      <c r="O142" s="218">
        <f>D142</f>
        <v>0.18</v>
      </c>
      <c r="P142" s="218">
        <f>D142</f>
        <v>0.18</v>
      </c>
      <c r="Q142" s="218">
        <f>D142</f>
        <v>0.18</v>
      </c>
      <c r="R142" s="218">
        <f>D142</f>
        <v>0.18</v>
      </c>
      <c r="S142" s="218">
        <f>D142</f>
        <v>0.18</v>
      </c>
      <c r="T142" s="218"/>
      <c r="U142" s="218"/>
      <c r="V142" s="218"/>
      <c r="W142" s="218">
        <f>J142</f>
        <v>0.18</v>
      </c>
      <c r="Y142" s="390"/>
      <c r="Z142" s="390"/>
      <c r="AA142" s="390"/>
      <c r="AB142" s="390"/>
      <c r="AC142" s="390"/>
      <c r="AD142" s="390"/>
      <c r="AE142" s="390"/>
      <c r="AF142" s="390"/>
      <c r="AG142" s="390"/>
      <c r="AH142" s="390"/>
      <c r="AI142" s="390"/>
      <c r="AJ142" s="390"/>
      <c r="AK142" s="390"/>
      <c r="AL142" s="390"/>
      <c r="AM142" s="390"/>
      <c r="AN142" s="390"/>
      <c r="AO142" s="390"/>
      <c r="AP142" s="390"/>
      <c r="AQ142" s="390"/>
      <c r="AR142" s="390"/>
      <c r="AS142" s="390"/>
    </row>
    <row r="143" spans="1:45" x14ac:dyDescent="0.3">
      <c r="B143" s="54" t="s">
        <v>58</v>
      </c>
      <c r="C143" s="55"/>
      <c r="D143" s="21">
        <v>0</v>
      </c>
      <c r="E143" s="21">
        <v>0</v>
      </c>
      <c r="F143" s="21">
        <v>0</v>
      </c>
      <c r="G143" s="21">
        <v>0</v>
      </c>
      <c r="H143" s="21">
        <v>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/>
      <c r="U143" s="21"/>
      <c r="V143" s="21"/>
      <c r="W143" s="21">
        <v>0</v>
      </c>
      <c r="Y143" s="390"/>
      <c r="Z143" s="390"/>
      <c r="AA143" s="390"/>
      <c r="AB143" s="390"/>
      <c r="AC143" s="390"/>
      <c r="AD143" s="390"/>
      <c r="AE143" s="390"/>
      <c r="AF143" s="390"/>
      <c r="AG143" s="390"/>
      <c r="AH143" s="390"/>
      <c r="AI143" s="390"/>
      <c r="AJ143" s="390"/>
      <c r="AK143" s="390"/>
      <c r="AL143" s="390"/>
      <c r="AM143" s="390"/>
      <c r="AN143" s="390"/>
      <c r="AO143" s="390"/>
      <c r="AP143" s="390"/>
      <c r="AQ143" s="390"/>
      <c r="AR143" s="390"/>
      <c r="AS143" s="390"/>
    </row>
    <row r="144" spans="1:45" x14ac:dyDescent="0.3">
      <c r="B144" s="177" t="s">
        <v>67</v>
      </c>
      <c r="C144" s="178"/>
      <c r="D144" s="323">
        <f>D141-(D141*D142)</f>
        <v>393.6</v>
      </c>
      <c r="E144" s="323">
        <f t="shared" ref="E144:W144" si="142">E141-(E141*E142)</f>
        <v>393.6</v>
      </c>
      <c r="F144" s="323">
        <f t="shared" si="142"/>
        <v>393.6</v>
      </c>
      <c r="G144" s="323">
        <f t="shared" si="142"/>
        <v>393.6</v>
      </c>
      <c r="H144" s="323">
        <f t="shared" si="142"/>
        <v>393.6</v>
      </c>
      <c r="I144" s="323">
        <f t="shared" si="142"/>
        <v>393.6</v>
      </c>
      <c r="J144" s="323">
        <f t="shared" si="142"/>
        <v>393.6</v>
      </c>
      <c r="K144" s="323">
        <f t="shared" si="142"/>
        <v>393.6</v>
      </c>
      <c r="L144" s="323">
        <f t="shared" si="142"/>
        <v>393.6</v>
      </c>
      <c r="M144" s="323">
        <f t="shared" si="142"/>
        <v>393.6</v>
      </c>
      <c r="N144" s="323">
        <f t="shared" si="142"/>
        <v>393.6</v>
      </c>
      <c r="O144" s="323">
        <f t="shared" si="142"/>
        <v>393.6</v>
      </c>
      <c r="P144" s="323">
        <f t="shared" si="142"/>
        <v>393.6</v>
      </c>
      <c r="Q144" s="323">
        <f t="shared" si="142"/>
        <v>393.6</v>
      </c>
      <c r="R144" s="323">
        <f t="shared" si="142"/>
        <v>393.6</v>
      </c>
      <c r="S144" s="323">
        <f t="shared" si="142"/>
        <v>393.6</v>
      </c>
      <c r="T144" s="323">
        <v>391.56</v>
      </c>
      <c r="U144" s="323">
        <v>391.56</v>
      </c>
      <c r="V144" s="323">
        <v>391.56</v>
      </c>
      <c r="W144" s="323">
        <f t="shared" si="142"/>
        <v>393.6</v>
      </c>
      <c r="Y144" s="390"/>
      <c r="Z144" s="390"/>
      <c r="AA144" s="390"/>
      <c r="AB144" s="390"/>
      <c r="AC144" s="390"/>
      <c r="AD144" s="390"/>
      <c r="AE144" s="390"/>
      <c r="AF144" s="390"/>
      <c r="AG144" s="390"/>
      <c r="AH144" s="390"/>
      <c r="AI144" s="390"/>
      <c r="AJ144" s="390"/>
      <c r="AK144" s="390"/>
      <c r="AL144" s="390"/>
      <c r="AM144" s="390"/>
      <c r="AN144" s="390"/>
      <c r="AO144" s="390"/>
      <c r="AP144" s="390"/>
      <c r="AQ144" s="390"/>
      <c r="AR144" s="390"/>
      <c r="AS144" s="390"/>
    </row>
    <row r="145" spans="2:45" x14ac:dyDescent="0.3">
      <c r="B145" s="54" t="s">
        <v>66</v>
      </c>
      <c r="C145" s="56">
        <v>7.0000000000000007E-2</v>
      </c>
      <c r="D145" s="24">
        <f t="shared" ref="D145:W145" si="143">D144*$C145</f>
        <v>27.552000000000003</v>
      </c>
      <c r="E145" s="24">
        <f t="shared" si="143"/>
        <v>27.552000000000003</v>
      </c>
      <c r="F145" s="24">
        <f t="shared" si="143"/>
        <v>27.552000000000003</v>
      </c>
      <c r="G145" s="24">
        <f t="shared" si="143"/>
        <v>27.552000000000003</v>
      </c>
      <c r="H145" s="24">
        <f t="shared" si="143"/>
        <v>27.552000000000003</v>
      </c>
      <c r="I145" s="24">
        <f t="shared" si="143"/>
        <v>27.552000000000003</v>
      </c>
      <c r="J145" s="24">
        <f t="shared" si="143"/>
        <v>27.552000000000003</v>
      </c>
      <c r="K145" s="24">
        <f t="shared" si="143"/>
        <v>27.552000000000003</v>
      </c>
      <c r="L145" s="24">
        <f t="shared" si="143"/>
        <v>27.552000000000003</v>
      </c>
      <c r="M145" s="24">
        <f t="shared" si="143"/>
        <v>27.552000000000003</v>
      </c>
      <c r="N145" s="24">
        <f t="shared" si="143"/>
        <v>27.552000000000003</v>
      </c>
      <c r="O145" s="24">
        <f t="shared" si="143"/>
        <v>27.552000000000003</v>
      </c>
      <c r="P145" s="24">
        <f t="shared" si="143"/>
        <v>27.552000000000003</v>
      </c>
      <c r="Q145" s="24">
        <f t="shared" si="143"/>
        <v>27.552000000000003</v>
      </c>
      <c r="R145" s="24">
        <f t="shared" si="143"/>
        <v>27.552000000000003</v>
      </c>
      <c r="S145" s="24">
        <f t="shared" si="143"/>
        <v>27.552000000000003</v>
      </c>
      <c r="T145" s="24">
        <f t="shared" si="143"/>
        <v>27.409200000000002</v>
      </c>
      <c r="U145" s="24">
        <f t="shared" si="143"/>
        <v>27.409200000000002</v>
      </c>
      <c r="V145" s="24">
        <f t="shared" si="143"/>
        <v>27.409200000000002</v>
      </c>
      <c r="W145" s="24">
        <f t="shared" si="143"/>
        <v>27.552000000000003</v>
      </c>
      <c r="Y145" s="390"/>
      <c r="Z145" s="390"/>
      <c r="AA145" s="390"/>
      <c r="AB145" s="390"/>
      <c r="AC145" s="390"/>
      <c r="AD145" s="390"/>
      <c r="AE145" s="390"/>
      <c r="AF145" s="390"/>
      <c r="AG145" s="390"/>
      <c r="AH145" s="390"/>
      <c r="AI145" s="390"/>
      <c r="AJ145" s="390"/>
      <c r="AK145" s="390"/>
      <c r="AL145" s="390"/>
      <c r="AM145" s="390"/>
      <c r="AN145" s="390"/>
      <c r="AO145" s="390"/>
      <c r="AP145" s="390"/>
      <c r="AQ145" s="390"/>
      <c r="AR145" s="390"/>
      <c r="AS145" s="390"/>
    </row>
    <row r="146" spans="2:45" x14ac:dyDescent="0.3">
      <c r="B146" s="54" t="s">
        <v>68</v>
      </c>
      <c r="C146" s="55"/>
      <c r="D146" s="21">
        <f t="shared" ref="D146:W146" si="144">D144+D145</f>
        <v>421.15200000000004</v>
      </c>
      <c r="E146" s="21">
        <f t="shared" si="144"/>
        <v>421.15200000000004</v>
      </c>
      <c r="F146" s="21">
        <f t="shared" si="144"/>
        <v>421.15200000000004</v>
      </c>
      <c r="G146" s="21">
        <f t="shared" si="144"/>
        <v>421.15200000000004</v>
      </c>
      <c r="H146" s="21">
        <f t="shared" si="144"/>
        <v>421.15200000000004</v>
      </c>
      <c r="I146" s="21">
        <f t="shared" si="144"/>
        <v>421.15200000000004</v>
      </c>
      <c r="J146" s="21">
        <f t="shared" si="144"/>
        <v>421.15200000000004</v>
      </c>
      <c r="K146" s="21">
        <f t="shared" si="144"/>
        <v>421.15200000000004</v>
      </c>
      <c r="L146" s="21">
        <f t="shared" si="144"/>
        <v>421.15200000000004</v>
      </c>
      <c r="M146" s="21">
        <f t="shared" si="144"/>
        <v>421.15200000000004</v>
      </c>
      <c r="N146" s="21">
        <f t="shared" si="144"/>
        <v>421.15200000000004</v>
      </c>
      <c r="O146" s="21">
        <f t="shared" si="144"/>
        <v>421.15200000000004</v>
      </c>
      <c r="P146" s="21">
        <f t="shared" si="144"/>
        <v>421.15200000000004</v>
      </c>
      <c r="Q146" s="21">
        <f t="shared" si="144"/>
        <v>421.15200000000004</v>
      </c>
      <c r="R146" s="21">
        <f t="shared" si="144"/>
        <v>421.15200000000004</v>
      </c>
      <c r="S146" s="21">
        <f t="shared" si="144"/>
        <v>421.15200000000004</v>
      </c>
      <c r="T146" s="21">
        <f t="shared" si="144"/>
        <v>418.9692</v>
      </c>
      <c r="U146" s="21">
        <f t="shared" si="144"/>
        <v>418.9692</v>
      </c>
      <c r="V146" s="21">
        <f t="shared" si="144"/>
        <v>418.9692</v>
      </c>
      <c r="W146" s="21">
        <f t="shared" si="144"/>
        <v>421.15200000000004</v>
      </c>
      <c r="Y146" s="390"/>
      <c r="Z146" s="390"/>
      <c r="AA146" s="390"/>
      <c r="AB146" s="390"/>
      <c r="AC146" s="390"/>
      <c r="AD146" s="390"/>
      <c r="AE146" s="390"/>
      <c r="AF146" s="390"/>
      <c r="AG146" s="390"/>
      <c r="AH146" s="390"/>
      <c r="AI146" s="390"/>
      <c r="AJ146" s="390"/>
      <c r="AK146" s="390"/>
      <c r="AL146" s="390"/>
      <c r="AM146" s="390"/>
      <c r="AN146" s="390"/>
      <c r="AO146" s="390"/>
      <c r="AP146" s="390"/>
      <c r="AQ146" s="390"/>
      <c r="AR146" s="390"/>
      <c r="AS146" s="390"/>
    </row>
    <row r="147" spans="2:45" x14ac:dyDescent="0.3">
      <c r="B147" s="54" t="s">
        <v>52</v>
      </c>
      <c r="C147" s="55"/>
      <c r="D147" s="398">
        <f>Y149</f>
        <v>17.164383561643834</v>
      </c>
      <c r="E147" s="398">
        <f t="shared" ref="E147:W147" si="145">Z149</f>
        <v>38.989041095890414</v>
      </c>
      <c r="F147" s="398">
        <f t="shared" si="145"/>
        <v>46.787671232876711</v>
      </c>
      <c r="G147" s="398">
        <f t="shared" si="145"/>
        <v>31.19178082191781</v>
      </c>
      <c r="H147" s="398">
        <f t="shared" si="145"/>
        <v>16.709589041095889</v>
      </c>
      <c r="I147" s="398">
        <f t="shared" si="145"/>
        <v>22.279452054794522</v>
      </c>
      <c r="J147" s="398">
        <f t="shared" si="145"/>
        <v>34.534246575342465</v>
      </c>
      <c r="K147" s="398">
        <f t="shared" si="145"/>
        <v>28.295890410958904</v>
      </c>
      <c r="L147" s="398">
        <f t="shared" si="145"/>
        <v>33.419178082191777</v>
      </c>
      <c r="M147" s="398">
        <f t="shared" si="145"/>
        <v>16.041095890410958</v>
      </c>
      <c r="N147" s="398">
        <f t="shared" si="145"/>
        <v>17.824657534246576</v>
      </c>
      <c r="O147" s="398">
        <f t="shared" si="145"/>
        <v>41.891780821917806</v>
      </c>
      <c r="P147" s="398">
        <f t="shared" si="145"/>
        <v>16.041095890410958</v>
      </c>
      <c r="Q147" s="398">
        <f t="shared" si="145"/>
        <v>16.041095890410958</v>
      </c>
      <c r="R147" s="398">
        <f t="shared" si="145"/>
        <v>21.165753424657535</v>
      </c>
      <c r="S147" s="398">
        <f t="shared" si="145"/>
        <v>20.052054794520547</v>
      </c>
      <c r="T147" s="398">
        <f t="shared" si="145"/>
        <v>0</v>
      </c>
      <c r="U147" s="398">
        <f t="shared" si="145"/>
        <v>41.891780821917806</v>
      </c>
      <c r="V147" s="398">
        <f t="shared" si="145"/>
        <v>0</v>
      </c>
      <c r="W147" s="398">
        <f t="shared" si="145"/>
        <v>16.041095890410958</v>
      </c>
      <c r="Y147" s="390">
        <v>12530</v>
      </c>
      <c r="Z147" s="390">
        <v>28462</v>
      </c>
      <c r="AA147" s="390">
        <v>34155</v>
      </c>
      <c r="AB147" s="390">
        <v>22770</v>
      </c>
      <c r="AC147" s="390">
        <v>12198</v>
      </c>
      <c r="AD147" s="390">
        <v>16264</v>
      </c>
      <c r="AE147" s="390">
        <v>25210</v>
      </c>
      <c r="AF147" s="390">
        <v>20656</v>
      </c>
      <c r="AG147" s="390">
        <v>24396</v>
      </c>
      <c r="AH147" s="390">
        <v>11710</v>
      </c>
      <c r="AI147" s="390">
        <v>13012</v>
      </c>
      <c r="AJ147" s="390">
        <v>30581</v>
      </c>
      <c r="AK147" s="396">
        <v>11710</v>
      </c>
      <c r="AL147" s="396">
        <v>11710</v>
      </c>
      <c r="AM147" s="390">
        <v>15451</v>
      </c>
      <c r="AN147" s="390">
        <v>14638</v>
      </c>
      <c r="AO147" s="390"/>
      <c r="AP147" s="396">
        <v>30581</v>
      </c>
      <c r="AQ147" s="390"/>
      <c r="AR147" s="396">
        <v>11710</v>
      </c>
      <c r="AS147" s="390"/>
    </row>
    <row r="148" spans="2:45" x14ac:dyDescent="0.3">
      <c r="B148" s="57" t="s">
        <v>53</v>
      </c>
      <c r="C148" s="58"/>
      <c r="D148" s="25">
        <f>SUM(D146:D147)</f>
        <v>438.31638356164387</v>
      </c>
      <c r="E148" s="26">
        <f t="shared" ref="E148:V148" si="146">SUM(E146:E147)</f>
        <v>460.14104109589044</v>
      </c>
      <c r="F148" s="26">
        <f t="shared" si="146"/>
        <v>467.93967123287678</v>
      </c>
      <c r="G148" s="26">
        <f t="shared" si="146"/>
        <v>452.34378082191785</v>
      </c>
      <c r="H148" s="26">
        <f t="shared" si="146"/>
        <v>437.86158904109595</v>
      </c>
      <c r="I148" s="26">
        <f t="shared" si="146"/>
        <v>443.43145205479459</v>
      </c>
      <c r="J148" s="26">
        <f t="shared" si="146"/>
        <v>455.68624657534252</v>
      </c>
      <c r="K148" s="26">
        <f t="shared" si="146"/>
        <v>449.44789041095896</v>
      </c>
      <c r="L148" s="26">
        <f t="shared" si="146"/>
        <v>454.57117808219181</v>
      </c>
      <c r="M148" s="26">
        <f t="shared" si="146"/>
        <v>437.19309589041097</v>
      </c>
      <c r="N148" s="26">
        <f t="shared" si="146"/>
        <v>438.97665753424661</v>
      </c>
      <c r="O148" s="26">
        <f t="shared" si="146"/>
        <v>463.04378082191784</v>
      </c>
      <c r="P148" s="26">
        <f t="shared" si="146"/>
        <v>437.19309589041097</v>
      </c>
      <c r="Q148" s="26">
        <f t="shared" si="146"/>
        <v>437.19309589041097</v>
      </c>
      <c r="R148" s="26">
        <f t="shared" si="146"/>
        <v>442.31775342465755</v>
      </c>
      <c r="S148" s="26">
        <f t="shared" si="146"/>
        <v>441.20405479452057</v>
      </c>
      <c r="T148" s="26">
        <f t="shared" si="146"/>
        <v>418.9692</v>
      </c>
      <c r="U148" s="26">
        <f t="shared" si="146"/>
        <v>460.86098082191779</v>
      </c>
      <c r="V148" s="26">
        <f t="shared" si="146"/>
        <v>418.9692</v>
      </c>
      <c r="W148" s="26">
        <f>SUM(W146:W147)</f>
        <v>437.19309589041097</v>
      </c>
      <c r="Y148" s="390">
        <v>730</v>
      </c>
      <c r="Z148" s="390">
        <v>730</v>
      </c>
      <c r="AA148" s="390">
        <v>730</v>
      </c>
      <c r="AB148" s="390">
        <v>730</v>
      </c>
      <c r="AC148" s="390">
        <v>730</v>
      </c>
      <c r="AD148" s="390">
        <v>730</v>
      </c>
      <c r="AE148" s="390">
        <v>730</v>
      </c>
      <c r="AF148" s="390">
        <v>730</v>
      </c>
      <c r="AG148" s="390">
        <v>730</v>
      </c>
      <c r="AH148" s="390">
        <v>730</v>
      </c>
      <c r="AI148" s="390">
        <v>730</v>
      </c>
      <c r="AJ148" s="390">
        <v>730</v>
      </c>
      <c r="AK148" s="390">
        <v>730</v>
      </c>
      <c r="AL148" s="390">
        <v>730</v>
      </c>
      <c r="AM148" s="390">
        <v>730</v>
      </c>
      <c r="AN148" s="390">
        <v>730</v>
      </c>
      <c r="AO148" s="390"/>
      <c r="AP148" s="390">
        <v>730</v>
      </c>
      <c r="AQ148" s="390"/>
      <c r="AR148" s="390">
        <v>730</v>
      </c>
      <c r="AS148" s="390"/>
    </row>
    <row r="149" spans="2:45" x14ac:dyDescent="0.3">
      <c r="B149" s="54" t="s">
        <v>54</v>
      </c>
      <c r="C149" s="55"/>
      <c r="D149" s="20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Y149" s="389">
        <f>Y147/Y148</f>
        <v>17.164383561643834</v>
      </c>
      <c r="Z149" s="389">
        <f t="shared" ref="Z149" si="147">Z147/Z148</f>
        <v>38.989041095890414</v>
      </c>
      <c r="AA149" s="389">
        <f t="shared" ref="AA149" si="148">AA147/AA148</f>
        <v>46.787671232876711</v>
      </c>
      <c r="AB149" s="389">
        <f t="shared" ref="AB149" si="149">AB147/AB148</f>
        <v>31.19178082191781</v>
      </c>
      <c r="AC149" s="389">
        <f t="shared" ref="AC149" si="150">AC147/AC148</f>
        <v>16.709589041095889</v>
      </c>
      <c r="AD149" s="389">
        <f t="shared" ref="AD149" si="151">AD147/AD148</f>
        <v>22.279452054794522</v>
      </c>
      <c r="AE149" s="389">
        <f t="shared" ref="AE149" si="152">AE147/AE148</f>
        <v>34.534246575342465</v>
      </c>
      <c r="AF149" s="389">
        <f t="shared" ref="AF149" si="153">AF147/AF148</f>
        <v>28.295890410958904</v>
      </c>
      <c r="AG149" s="389">
        <f t="shared" ref="AG149" si="154">AG147/AG148</f>
        <v>33.419178082191777</v>
      </c>
      <c r="AH149" s="389">
        <f t="shared" ref="AH149" si="155">AH147/AH148</f>
        <v>16.041095890410958</v>
      </c>
      <c r="AI149" s="389">
        <f t="shared" ref="AI149" si="156">AI147/AI148</f>
        <v>17.824657534246576</v>
      </c>
      <c r="AJ149" s="389">
        <f t="shared" ref="AJ149" si="157">AJ147/AJ148</f>
        <v>41.891780821917806</v>
      </c>
      <c r="AK149" s="389">
        <f t="shared" ref="AK149" si="158">AK147/AK148</f>
        <v>16.041095890410958</v>
      </c>
      <c r="AL149" s="389">
        <f t="shared" ref="AL149" si="159">AL147/AL148</f>
        <v>16.041095890410958</v>
      </c>
      <c r="AM149" s="389">
        <f t="shared" ref="AM149" si="160">AM147/AM148</f>
        <v>21.165753424657535</v>
      </c>
      <c r="AN149" s="389">
        <f t="shared" ref="AN149" si="161">AN147/AN148</f>
        <v>20.052054794520547</v>
      </c>
      <c r="AO149" s="390"/>
      <c r="AP149" s="389">
        <f t="shared" ref="AP149" si="162">AP147/AP148</f>
        <v>41.891780821917806</v>
      </c>
      <c r="AQ149" s="390"/>
      <c r="AR149" s="389">
        <f t="shared" ref="AR149" si="163">AR147/AR148</f>
        <v>16.041095890410958</v>
      </c>
      <c r="AS149" s="390"/>
    </row>
    <row r="150" spans="2:45" x14ac:dyDescent="0.3">
      <c r="B150" s="59" t="s">
        <v>55</v>
      </c>
      <c r="C150" s="60"/>
      <c r="D150" s="27">
        <f t="shared" ref="D150:W150" si="164">SUM(D148:D149)</f>
        <v>438.31638356164387</v>
      </c>
      <c r="E150" s="41">
        <f t="shared" si="164"/>
        <v>460.14104109589044</v>
      </c>
      <c r="F150" s="41">
        <f t="shared" si="164"/>
        <v>467.93967123287678</v>
      </c>
      <c r="G150" s="41">
        <f t="shared" si="164"/>
        <v>452.34378082191785</v>
      </c>
      <c r="H150" s="41">
        <f t="shared" si="164"/>
        <v>437.86158904109595</v>
      </c>
      <c r="I150" s="41">
        <f t="shared" si="164"/>
        <v>443.43145205479459</v>
      </c>
      <c r="J150" s="41">
        <f t="shared" si="164"/>
        <v>455.68624657534252</v>
      </c>
      <c r="K150" s="41">
        <f t="shared" si="164"/>
        <v>449.44789041095896</v>
      </c>
      <c r="L150" s="41">
        <f t="shared" si="164"/>
        <v>454.57117808219181</v>
      </c>
      <c r="M150" s="41">
        <f t="shared" si="164"/>
        <v>437.19309589041097</v>
      </c>
      <c r="N150" s="41">
        <f t="shared" si="164"/>
        <v>438.97665753424661</v>
      </c>
      <c r="O150" s="41">
        <f t="shared" si="164"/>
        <v>463.04378082191784</v>
      </c>
      <c r="P150" s="41">
        <f t="shared" si="164"/>
        <v>437.19309589041097</v>
      </c>
      <c r="Q150" s="41">
        <f t="shared" si="164"/>
        <v>437.19309589041097</v>
      </c>
      <c r="R150" s="41">
        <f t="shared" si="164"/>
        <v>442.31775342465755</v>
      </c>
      <c r="S150" s="41">
        <f t="shared" si="164"/>
        <v>441.20405479452057</v>
      </c>
      <c r="T150" s="41">
        <f t="shared" si="164"/>
        <v>418.9692</v>
      </c>
      <c r="U150" s="41">
        <f t="shared" si="164"/>
        <v>460.86098082191779</v>
      </c>
      <c r="V150" s="41">
        <f t="shared" si="164"/>
        <v>418.9692</v>
      </c>
      <c r="W150" s="41">
        <f t="shared" si="164"/>
        <v>437.19309589041097</v>
      </c>
      <c r="Y150" s="390"/>
      <c r="Z150" s="390"/>
      <c r="AA150" s="390"/>
      <c r="AB150" s="390"/>
      <c r="AC150" s="390"/>
      <c r="AD150" s="390"/>
      <c r="AE150" s="390"/>
      <c r="AF150" s="390"/>
      <c r="AG150" s="390"/>
      <c r="AH150" s="390"/>
      <c r="AI150" s="390"/>
      <c r="AJ150" s="390"/>
      <c r="AK150" s="390"/>
      <c r="AL150" s="390"/>
      <c r="AM150" s="390"/>
      <c r="AN150" s="390"/>
      <c r="AO150" s="390"/>
      <c r="AP150" s="390"/>
      <c r="AQ150" s="390"/>
      <c r="AR150" s="390"/>
      <c r="AS150" s="390"/>
    </row>
    <row r="151" spans="2:45" x14ac:dyDescent="0.3">
      <c r="B151" s="61" t="s">
        <v>101</v>
      </c>
      <c r="C151" s="55"/>
      <c r="D151" s="43">
        <v>0</v>
      </c>
      <c r="E151" s="408">
        <v>0</v>
      </c>
      <c r="F151" s="408">
        <v>0</v>
      </c>
      <c r="G151" s="408">
        <v>0</v>
      </c>
      <c r="H151" s="408">
        <v>0</v>
      </c>
      <c r="I151" s="408">
        <v>0</v>
      </c>
      <c r="J151" s="408">
        <v>0</v>
      </c>
      <c r="K151" s="408">
        <v>0</v>
      </c>
      <c r="L151" s="408">
        <v>0</v>
      </c>
      <c r="M151" s="408">
        <v>0</v>
      </c>
      <c r="N151" s="408">
        <v>0</v>
      </c>
      <c r="O151" s="408">
        <v>0</v>
      </c>
      <c r="P151" s="408">
        <v>0</v>
      </c>
      <c r="Q151" s="408">
        <v>0</v>
      </c>
      <c r="R151" s="408">
        <v>0</v>
      </c>
      <c r="S151" s="408">
        <v>0</v>
      </c>
      <c r="T151" s="408">
        <v>0</v>
      </c>
      <c r="U151" s="408">
        <v>0</v>
      </c>
      <c r="V151" s="408">
        <v>0</v>
      </c>
      <c r="W151" s="408">
        <v>0</v>
      </c>
      <c r="Y151" s="409"/>
      <c r="Z151" s="409"/>
      <c r="AA151" s="409"/>
      <c r="AB151" s="409"/>
      <c r="AC151" s="409"/>
      <c r="AD151" s="409"/>
      <c r="AE151" s="409"/>
      <c r="AF151" s="409"/>
      <c r="AG151" s="409"/>
      <c r="AH151" s="409"/>
      <c r="AI151" s="409"/>
      <c r="AJ151" s="409"/>
      <c r="AK151" s="409"/>
      <c r="AL151" s="409"/>
      <c r="AM151" s="409"/>
      <c r="AN151" s="409"/>
      <c r="AO151" s="409"/>
      <c r="AP151" s="409"/>
      <c r="AQ151" s="409"/>
      <c r="AR151" s="409"/>
      <c r="AS151" s="409"/>
    </row>
    <row r="152" spans="2:45" x14ac:dyDescent="0.3">
      <c r="B152" s="171" t="s">
        <v>194</v>
      </c>
      <c r="C152" s="55"/>
      <c r="D152" s="20">
        <v>474</v>
      </c>
      <c r="E152" s="21">
        <v>496</v>
      </c>
      <c r="F152" s="21">
        <v>503</v>
      </c>
      <c r="G152" s="21">
        <v>488</v>
      </c>
      <c r="H152" s="21">
        <v>473</v>
      </c>
      <c r="I152" s="21">
        <v>479</v>
      </c>
      <c r="J152" s="21">
        <v>491</v>
      </c>
      <c r="K152" s="21">
        <v>485</v>
      </c>
      <c r="L152" s="21">
        <v>490</v>
      </c>
      <c r="M152" s="21">
        <v>473</v>
      </c>
      <c r="N152" s="21">
        <v>474</v>
      </c>
      <c r="O152" s="21">
        <v>499</v>
      </c>
      <c r="P152" s="21">
        <v>473</v>
      </c>
      <c r="Q152" s="21">
        <v>473</v>
      </c>
      <c r="R152" s="21">
        <v>478</v>
      </c>
      <c r="S152" s="21">
        <v>477</v>
      </c>
      <c r="T152" s="21">
        <v>454</v>
      </c>
      <c r="U152" s="21">
        <v>496</v>
      </c>
      <c r="V152" s="21">
        <v>454</v>
      </c>
      <c r="W152" s="21">
        <v>473</v>
      </c>
      <c r="Y152" s="390"/>
      <c r="Z152" s="390"/>
      <c r="AA152" s="390"/>
      <c r="AB152" s="390"/>
      <c r="AC152" s="390"/>
      <c r="AD152" s="390"/>
      <c r="AE152" s="390"/>
      <c r="AF152" s="390"/>
      <c r="AG152" s="390"/>
      <c r="AH152" s="390"/>
      <c r="AI152" s="390"/>
      <c r="AJ152" s="390"/>
      <c r="AK152" s="390"/>
      <c r="AL152" s="390"/>
      <c r="AM152" s="390"/>
      <c r="AN152" s="390"/>
      <c r="AO152" s="390"/>
      <c r="AP152" s="390"/>
      <c r="AQ152" s="390"/>
      <c r="AR152" s="390"/>
      <c r="AS152" s="390"/>
    </row>
    <row r="153" spans="2:45" x14ac:dyDescent="0.3">
      <c r="B153" s="61" t="s">
        <v>195</v>
      </c>
      <c r="C153" s="55"/>
      <c r="D153" s="106">
        <v>479</v>
      </c>
      <c r="E153" s="21">
        <v>501</v>
      </c>
      <c r="F153" s="21">
        <v>508</v>
      </c>
      <c r="G153" s="21">
        <v>493</v>
      </c>
      <c r="H153" s="21">
        <v>478</v>
      </c>
      <c r="I153" s="21">
        <v>484</v>
      </c>
      <c r="J153" s="21">
        <v>496</v>
      </c>
      <c r="K153" s="21">
        <v>490</v>
      </c>
      <c r="L153" s="21">
        <v>495</v>
      </c>
      <c r="M153" s="21">
        <v>478</v>
      </c>
      <c r="N153" s="21">
        <v>479</v>
      </c>
      <c r="O153" s="21">
        <v>504</v>
      </c>
      <c r="P153" s="21">
        <v>478</v>
      </c>
      <c r="Q153" s="21">
        <v>478</v>
      </c>
      <c r="R153" s="21">
        <v>483</v>
      </c>
      <c r="S153" s="21">
        <v>482</v>
      </c>
      <c r="T153" s="21">
        <v>459</v>
      </c>
      <c r="U153" s="21">
        <v>501</v>
      </c>
      <c r="V153" s="21">
        <v>459</v>
      </c>
      <c r="W153" s="21">
        <v>478</v>
      </c>
      <c r="Y153" s="390"/>
      <c r="Z153" s="390"/>
      <c r="AA153" s="390"/>
      <c r="AB153" s="390"/>
      <c r="AC153" s="390"/>
      <c r="AD153" s="390"/>
      <c r="AE153" s="390"/>
      <c r="AF153" s="390"/>
      <c r="AG153" s="390"/>
      <c r="AH153" s="390"/>
      <c r="AI153" s="390"/>
      <c r="AJ153" s="390"/>
      <c r="AK153" s="390"/>
      <c r="AL153" s="390"/>
      <c r="AM153" s="390"/>
      <c r="AN153" s="390"/>
      <c r="AO153" s="390"/>
      <c r="AP153" s="390"/>
      <c r="AQ153" s="390"/>
      <c r="AR153" s="390"/>
      <c r="AS153" s="390"/>
    </row>
    <row r="154" spans="2:45" s="30" customFormat="1" x14ac:dyDescent="0.3">
      <c r="B154" s="61" t="s">
        <v>196</v>
      </c>
      <c r="C154" s="62"/>
      <c r="D154" s="28">
        <v>484</v>
      </c>
      <c r="E154" s="28">
        <v>506</v>
      </c>
      <c r="F154" s="28">
        <v>513</v>
      </c>
      <c r="G154" s="28">
        <v>498</v>
      </c>
      <c r="H154" s="28">
        <v>483</v>
      </c>
      <c r="I154" s="28">
        <v>489</v>
      </c>
      <c r="J154" s="28">
        <v>501</v>
      </c>
      <c r="K154" s="28">
        <v>495</v>
      </c>
      <c r="L154" s="28">
        <v>500</v>
      </c>
      <c r="M154" s="28">
        <v>483</v>
      </c>
      <c r="N154" s="28">
        <v>484</v>
      </c>
      <c r="O154" s="28">
        <v>509</v>
      </c>
      <c r="P154" s="28">
        <v>483</v>
      </c>
      <c r="Q154" s="28">
        <v>483</v>
      </c>
      <c r="R154" s="28">
        <v>488</v>
      </c>
      <c r="S154" s="28">
        <v>487</v>
      </c>
      <c r="T154" s="28">
        <v>464</v>
      </c>
      <c r="U154" s="28">
        <v>506</v>
      </c>
      <c r="V154" s="28">
        <v>464</v>
      </c>
      <c r="W154" s="28">
        <v>483</v>
      </c>
      <c r="Y154" s="391"/>
      <c r="Z154" s="391"/>
      <c r="AA154" s="391"/>
      <c r="AB154" s="391"/>
      <c r="AC154" s="391"/>
      <c r="AD154" s="391"/>
      <c r="AE154" s="391"/>
      <c r="AF154" s="391"/>
      <c r="AG154" s="391"/>
      <c r="AH154" s="391"/>
      <c r="AI154" s="391"/>
      <c r="AJ154" s="391"/>
      <c r="AK154" s="391"/>
      <c r="AL154" s="391"/>
      <c r="AM154" s="391"/>
      <c r="AN154" s="391"/>
      <c r="AO154" s="391"/>
      <c r="AP154" s="391"/>
      <c r="AQ154" s="391"/>
      <c r="AR154" s="391"/>
      <c r="AS154" s="391"/>
    </row>
    <row r="155" spans="2:45" s="30" customFormat="1" x14ac:dyDescent="0.3">
      <c r="B155" s="61" t="s">
        <v>197</v>
      </c>
      <c r="C155" s="62"/>
      <c r="D155" s="28">
        <v>489</v>
      </c>
      <c r="E155" s="28">
        <v>511</v>
      </c>
      <c r="F155" s="28">
        <v>518</v>
      </c>
      <c r="G155" s="28">
        <v>503</v>
      </c>
      <c r="H155" s="28">
        <v>488</v>
      </c>
      <c r="I155" s="28">
        <v>494</v>
      </c>
      <c r="J155" s="28">
        <v>506</v>
      </c>
      <c r="K155" s="28">
        <v>500</v>
      </c>
      <c r="L155" s="28">
        <v>505</v>
      </c>
      <c r="M155" s="28">
        <v>488</v>
      </c>
      <c r="N155" s="28">
        <v>489</v>
      </c>
      <c r="O155" s="28">
        <v>514</v>
      </c>
      <c r="P155" s="28">
        <v>488</v>
      </c>
      <c r="Q155" s="28">
        <v>488</v>
      </c>
      <c r="R155" s="28">
        <v>493</v>
      </c>
      <c r="S155" s="28">
        <v>492</v>
      </c>
      <c r="T155" s="28">
        <v>469</v>
      </c>
      <c r="U155" s="28">
        <v>511</v>
      </c>
      <c r="V155" s="28">
        <v>469</v>
      </c>
      <c r="W155" s="28">
        <v>488</v>
      </c>
      <c r="Y155" s="391"/>
      <c r="Z155" s="391"/>
      <c r="AA155" s="391"/>
      <c r="AB155" s="391"/>
      <c r="AC155" s="391"/>
      <c r="AD155" s="391"/>
      <c r="AE155" s="391"/>
      <c r="AF155" s="391"/>
      <c r="AG155" s="391"/>
      <c r="AH155" s="391"/>
      <c r="AI155" s="391"/>
      <c r="AJ155" s="391"/>
      <c r="AK155" s="391"/>
      <c r="AL155" s="391"/>
      <c r="AM155" s="391"/>
      <c r="AN155" s="391"/>
      <c r="AO155" s="391"/>
      <c r="AP155" s="391"/>
      <c r="AQ155" s="391"/>
      <c r="AR155" s="391"/>
      <c r="AS155" s="391"/>
    </row>
    <row r="156" spans="2:45" x14ac:dyDescent="0.3">
      <c r="B156" s="63" t="s">
        <v>103</v>
      </c>
      <c r="C156" s="55"/>
      <c r="D156" s="43">
        <v>0</v>
      </c>
      <c r="E156" s="408">
        <v>0</v>
      </c>
      <c r="F156" s="408">
        <v>0</v>
      </c>
      <c r="G156" s="408">
        <v>0</v>
      </c>
      <c r="H156" s="408">
        <v>0</v>
      </c>
      <c r="I156" s="408">
        <v>0</v>
      </c>
      <c r="J156" s="408">
        <v>0</v>
      </c>
      <c r="K156" s="408">
        <v>0</v>
      </c>
      <c r="L156" s="408">
        <v>0</v>
      </c>
      <c r="M156" s="408">
        <v>0</v>
      </c>
      <c r="N156" s="408">
        <v>0</v>
      </c>
      <c r="O156" s="408">
        <v>0</v>
      </c>
      <c r="P156" s="408">
        <v>0</v>
      </c>
      <c r="Q156" s="408">
        <v>0</v>
      </c>
      <c r="R156" s="408">
        <v>0</v>
      </c>
      <c r="S156" s="408">
        <v>0</v>
      </c>
      <c r="T156" s="408">
        <v>0</v>
      </c>
      <c r="U156" s="408">
        <v>0</v>
      </c>
      <c r="V156" s="408">
        <v>0</v>
      </c>
      <c r="W156" s="408">
        <v>0</v>
      </c>
      <c r="Y156" s="409"/>
      <c r="Z156" s="409"/>
      <c r="AA156" s="409"/>
      <c r="AB156" s="409"/>
      <c r="AC156" s="409"/>
      <c r="AD156" s="409"/>
      <c r="AE156" s="409"/>
      <c r="AF156" s="409"/>
      <c r="AG156" s="409"/>
      <c r="AH156" s="409"/>
      <c r="AI156" s="409"/>
      <c r="AJ156" s="409"/>
      <c r="AK156" s="409"/>
      <c r="AL156" s="409"/>
      <c r="AM156" s="409"/>
      <c r="AN156" s="409"/>
      <c r="AO156" s="409"/>
      <c r="AP156" s="409"/>
      <c r="AQ156" s="409"/>
      <c r="AR156" s="409"/>
      <c r="AS156" s="409"/>
    </row>
    <row r="157" spans="2:45" s="33" customFormat="1" x14ac:dyDescent="0.3">
      <c r="B157" s="63" t="s">
        <v>198</v>
      </c>
      <c r="C157" s="64"/>
      <c r="D157" s="31">
        <f t="shared" ref="D157:W157" si="165">+D152-D$150</f>
        <v>35.683616438356125</v>
      </c>
      <c r="E157" s="32">
        <f t="shared" si="165"/>
        <v>35.858958904109556</v>
      </c>
      <c r="F157" s="32">
        <f t="shared" si="165"/>
        <v>35.060328767123224</v>
      </c>
      <c r="G157" s="32">
        <f t="shared" si="165"/>
        <v>35.656219178082154</v>
      </c>
      <c r="H157" s="32">
        <f t="shared" si="165"/>
        <v>35.138410958904046</v>
      </c>
      <c r="I157" s="32">
        <f t="shared" si="165"/>
        <v>35.56854794520541</v>
      </c>
      <c r="J157" s="32">
        <f t="shared" si="165"/>
        <v>35.313753424657477</v>
      </c>
      <c r="K157" s="32">
        <f t="shared" si="165"/>
        <v>35.552109589041038</v>
      </c>
      <c r="L157" s="32">
        <f t="shared" si="165"/>
        <v>35.428821917808193</v>
      </c>
      <c r="M157" s="32">
        <f t="shared" si="165"/>
        <v>35.806904109589027</v>
      </c>
      <c r="N157" s="32">
        <f t="shared" si="165"/>
        <v>35.023342465753387</v>
      </c>
      <c r="O157" s="32">
        <f t="shared" si="165"/>
        <v>35.956219178082165</v>
      </c>
      <c r="P157" s="32">
        <f t="shared" si="165"/>
        <v>35.806904109589027</v>
      </c>
      <c r="Q157" s="32">
        <f t="shared" si="165"/>
        <v>35.806904109589027</v>
      </c>
      <c r="R157" s="32">
        <f t="shared" si="165"/>
        <v>35.682246575342447</v>
      </c>
      <c r="S157" s="32">
        <f t="shared" si="165"/>
        <v>35.795945205479427</v>
      </c>
      <c r="T157" s="32">
        <f t="shared" si="165"/>
        <v>35.030799999999999</v>
      </c>
      <c r="U157" s="32">
        <f t="shared" si="165"/>
        <v>35.139019178082208</v>
      </c>
      <c r="V157" s="32">
        <f t="shared" si="165"/>
        <v>35.030799999999999</v>
      </c>
      <c r="W157" s="32">
        <f t="shared" si="165"/>
        <v>35.806904109589027</v>
      </c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</row>
    <row r="158" spans="2:45" s="33" customFormat="1" x14ac:dyDescent="0.3">
      <c r="B158" s="63" t="s">
        <v>199</v>
      </c>
      <c r="C158" s="64"/>
      <c r="D158" s="31">
        <f t="shared" ref="D158:W158" si="166">+D153-D$150</f>
        <v>40.683616438356125</v>
      </c>
      <c r="E158" s="32">
        <f t="shared" si="166"/>
        <v>40.858958904109556</v>
      </c>
      <c r="F158" s="32">
        <f t="shared" si="166"/>
        <v>40.060328767123224</v>
      </c>
      <c r="G158" s="32">
        <f t="shared" si="166"/>
        <v>40.656219178082154</v>
      </c>
      <c r="H158" s="32">
        <f t="shared" si="166"/>
        <v>40.138410958904046</v>
      </c>
      <c r="I158" s="32">
        <f t="shared" si="166"/>
        <v>40.56854794520541</v>
      </c>
      <c r="J158" s="32">
        <f t="shared" si="166"/>
        <v>40.313753424657477</v>
      </c>
      <c r="K158" s="32">
        <f t="shared" si="166"/>
        <v>40.552109589041038</v>
      </c>
      <c r="L158" s="32">
        <f t="shared" si="166"/>
        <v>40.428821917808193</v>
      </c>
      <c r="M158" s="32">
        <f t="shared" si="166"/>
        <v>40.806904109589027</v>
      </c>
      <c r="N158" s="32">
        <f t="shared" si="166"/>
        <v>40.023342465753387</v>
      </c>
      <c r="O158" s="32">
        <f t="shared" si="166"/>
        <v>40.956219178082165</v>
      </c>
      <c r="P158" s="32">
        <f t="shared" si="166"/>
        <v>40.806904109589027</v>
      </c>
      <c r="Q158" s="32">
        <f t="shared" si="166"/>
        <v>40.806904109589027</v>
      </c>
      <c r="R158" s="32">
        <f t="shared" si="166"/>
        <v>40.682246575342447</v>
      </c>
      <c r="S158" s="32">
        <f t="shared" si="166"/>
        <v>40.795945205479427</v>
      </c>
      <c r="T158" s="32">
        <f t="shared" si="166"/>
        <v>40.030799999999999</v>
      </c>
      <c r="U158" s="32">
        <f t="shared" si="166"/>
        <v>40.139019178082208</v>
      </c>
      <c r="V158" s="32">
        <f t="shared" si="166"/>
        <v>40.030799999999999</v>
      </c>
      <c r="W158" s="32">
        <f t="shared" si="166"/>
        <v>40.806904109589027</v>
      </c>
      <c r="Y158" s="392"/>
      <c r="Z158" s="392"/>
      <c r="AA158" s="392"/>
      <c r="AB158" s="392"/>
      <c r="AC158" s="392"/>
      <c r="AD158" s="392"/>
      <c r="AE158" s="392"/>
      <c r="AF158" s="392"/>
      <c r="AG158" s="392"/>
      <c r="AH158" s="392"/>
      <c r="AI158" s="392"/>
      <c r="AJ158" s="392"/>
      <c r="AK158" s="392"/>
      <c r="AL158" s="392"/>
      <c r="AM158" s="392"/>
      <c r="AN158" s="392"/>
      <c r="AO158" s="392"/>
      <c r="AP158" s="392"/>
      <c r="AQ158" s="392"/>
      <c r="AR158" s="392"/>
      <c r="AS158" s="392"/>
    </row>
    <row r="159" spans="2:45" s="33" customFormat="1" x14ac:dyDescent="0.3">
      <c r="B159" s="63" t="s">
        <v>200</v>
      </c>
      <c r="C159" s="64"/>
      <c r="D159" s="31">
        <f t="shared" ref="D159:W159" si="167">+D154-D$150</f>
        <v>45.683616438356125</v>
      </c>
      <c r="E159" s="32">
        <f t="shared" si="167"/>
        <v>45.858958904109556</v>
      </c>
      <c r="F159" s="32">
        <f t="shared" si="167"/>
        <v>45.060328767123224</v>
      </c>
      <c r="G159" s="32">
        <f t="shared" si="167"/>
        <v>45.656219178082154</v>
      </c>
      <c r="H159" s="32">
        <f t="shared" si="167"/>
        <v>45.138410958904046</v>
      </c>
      <c r="I159" s="32">
        <f t="shared" si="167"/>
        <v>45.56854794520541</v>
      </c>
      <c r="J159" s="32">
        <f>+J154-J$150</f>
        <v>45.313753424657477</v>
      </c>
      <c r="K159" s="32">
        <f t="shared" si="167"/>
        <v>45.552109589041038</v>
      </c>
      <c r="L159" s="32">
        <f t="shared" si="167"/>
        <v>45.428821917808193</v>
      </c>
      <c r="M159" s="32">
        <f t="shared" si="167"/>
        <v>45.806904109589027</v>
      </c>
      <c r="N159" s="32">
        <f t="shared" si="167"/>
        <v>45.023342465753387</v>
      </c>
      <c r="O159" s="32">
        <f t="shared" si="167"/>
        <v>45.956219178082165</v>
      </c>
      <c r="P159" s="32">
        <f t="shared" si="167"/>
        <v>45.806904109589027</v>
      </c>
      <c r="Q159" s="32">
        <f t="shared" si="167"/>
        <v>45.806904109589027</v>
      </c>
      <c r="R159" s="32">
        <f t="shared" si="167"/>
        <v>45.682246575342447</v>
      </c>
      <c r="S159" s="32">
        <f t="shared" si="167"/>
        <v>45.795945205479427</v>
      </c>
      <c r="T159" s="32">
        <f t="shared" si="167"/>
        <v>45.030799999999999</v>
      </c>
      <c r="U159" s="32">
        <f t="shared" si="167"/>
        <v>45.139019178082208</v>
      </c>
      <c r="V159" s="32">
        <f t="shared" si="167"/>
        <v>45.030799999999999</v>
      </c>
      <c r="W159" s="32">
        <f t="shared" si="167"/>
        <v>45.806904109589027</v>
      </c>
      <c r="Y159" s="392"/>
      <c r="Z159" s="392"/>
      <c r="AA159" s="392"/>
      <c r="AB159" s="392"/>
      <c r="AC159" s="392"/>
      <c r="AD159" s="392"/>
      <c r="AE159" s="392"/>
      <c r="AF159" s="392"/>
      <c r="AG159" s="392"/>
      <c r="AH159" s="392"/>
      <c r="AI159" s="392"/>
      <c r="AJ159" s="392"/>
      <c r="AK159" s="392"/>
      <c r="AL159" s="392"/>
      <c r="AM159" s="392"/>
      <c r="AN159" s="392"/>
      <c r="AO159" s="392"/>
      <c r="AP159" s="392"/>
      <c r="AQ159" s="392"/>
      <c r="AR159" s="392"/>
      <c r="AS159" s="392"/>
    </row>
    <row r="160" spans="2:45" s="33" customFormat="1" x14ac:dyDescent="0.3">
      <c r="B160" s="63" t="s">
        <v>201</v>
      </c>
      <c r="C160" s="64"/>
      <c r="D160" s="31">
        <f t="shared" ref="D160:W160" si="168">+D155-D$150</f>
        <v>50.683616438356125</v>
      </c>
      <c r="E160" s="34">
        <f t="shared" si="168"/>
        <v>50.858958904109556</v>
      </c>
      <c r="F160" s="34">
        <f t="shared" si="168"/>
        <v>50.060328767123224</v>
      </c>
      <c r="G160" s="34">
        <f t="shared" si="168"/>
        <v>50.656219178082154</v>
      </c>
      <c r="H160" s="34">
        <f t="shared" si="168"/>
        <v>50.138410958904046</v>
      </c>
      <c r="I160" s="34">
        <f t="shared" si="168"/>
        <v>50.56854794520541</v>
      </c>
      <c r="J160" s="34">
        <f t="shared" si="168"/>
        <v>50.313753424657477</v>
      </c>
      <c r="K160" s="34">
        <f t="shared" si="168"/>
        <v>50.552109589041038</v>
      </c>
      <c r="L160" s="34">
        <f t="shared" si="168"/>
        <v>50.428821917808193</v>
      </c>
      <c r="M160" s="34">
        <f t="shared" si="168"/>
        <v>50.806904109589027</v>
      </c>
      <c r="N160" s="34">
        <f t="shared" si="168"/>
        <v>50.023342465753387</v>
      </c>
      <c r="O160" s="34">
        <f t="shared" si="168"/>
        <v>50.956219178082165</v>
      </c>
      <c r="P160" s="34">
        <f t="shared" si="168"/>
        <v>50.806904109589027</v>
      </c>
      <c r="Q160" s="34">
        <f t="shared" si="168"/>
        <v>50.806904109589027</v>
      </c>
      <c r="R160" s="34">
        <f t="shared" si="168"/>
        <v>50.682246575342447</v>
      </c>
      <c r="S160" s="34">
        <f t="shared" si="168"/>
        <v>50.795945205479427</v>
      </c>
      <c r="T160" s="34">
        <f t="shared" si="168"/>
        <v>50.030799999999999</v>
      </c>
      <c r="U160" s="34">
        <f t="shared" si="168"/>
        <v>50.139019178082208</v>
      </c>
      <c r="V160" s="34">
        <f t="shared" si="168"/>
        <v>50.030799999999999</v>
      </c>
      <c r="W160" s="34">
        <f t="shared" si="168"/>
        <v>50.806904109589027</v>
      </c>
      <c r="Y160" s="392"/>
      <c r="Z160" s="392"/>
      <c r="AA160" s="392"/>
      <c r="AB160" s="392"/>
      <c r="AC160" s="392"/>
      <c r="AD160" s="392"/>
      <c r="AE160" s="392"/>
      <c r="AF160" s="392"/>
      <c r="AG160" s="392"/>
      <c r="AH160" s="392"/>
      <c r="AI160" s="392"/>
      <c r="AJ160" s="392"/>
      <c r="AK160" s="392"/>
      <c r="AL160" s="392"/>
      <c r="AM160" s="392"/>
      <c r="AN160" s="392"/>
      <c r="AO160" s="392"/>
      <c r="AP160" s="392"/>
      <c r="AQ160" s="392"/>
      <c r="AR160" s="392"/>
      <c r="AS160" s="392"/>
    </row>
    <row r="161" spans="1:45" x14ac:dyDescent="0.3">
      <c r="B161" s="65" t="s">
        <v>108</v>
      </c>
      <c r="C161" s="55"/>
      <c r="D161" s="43">
        <v>0</v>
      </c>
      <c r="E161" s="408">
        <v>0</v>
      </c>
      <c r="F161" s="408">
        <v>0</v>
      </c>
      <c r="G161" s="408">
        <v>0</v>
      </c>
      <c r="H161" s="408">
        <v>0</v>
      </c>
      <c r="I161" s="408">
        <v>0</v>
      </c>
      <c r="J161" s="408">
        <v>0</v>
      </c>
      <c r="K161" s="408">
        <v>0</v>
      </c>
      <c r="L161" s="408">
        <v>0</v>
      </c>
      <c r="M161" s="408">
        <v>0</v>
      </c>
      <c r="N161" s="408">
        <v>0</v>
      </c>
      <c r="O161" s="408">
        <v>0</v>
      </c>
      <c r="P161" s="408">
        <v>0</v>
      </c>
      <c r="Q161" s="408">
        <v>0</v>
      </c>
      <c r="R161" s="408">
        <v>0</v>
      </c>
      <c r="S161" s="408">
        <v>0</v>
      </c>
      <c r="T161" s="408">
        <v>0</v>
      </c>
      <c r="U161" s="408">
        <v>0</v>
      </c>
      <c r="V161" s="408">
        <v>0</v>
      </c>
      <c r="W161" s="408">
        <v>0</v>
      </c>
      <c r="Y161" s="409"/>
      <c r="Z161" s="409"/>
      <c r="AA161" s="409"/>
      <c r="AB161" s="409"/>
      <c r="AC161" s="409"/>
      <c r="AD161" s="409"/>
      <c r="AE161" s="409"/>
      <c r="AF161" s="409"/>
      <c r="AG161" s="409"/>
      <c r="AH161" s="409"/>
      <c r="AI161" s="409"/>
      <c r="AJ161" s="409"/>
      <c r="AK161" s="409"/>
      <c r="AL161" s="409"/>
      <c r="AM161" s="409"/>
      <c r="AN161" s="409"/>
      <c r="AO161" s="409"/>
      <c r="AP161" s="409"/>
      <c r="AQ161" s="409"/>
      <c r="AR161" s="409"/>
      <c r="AS161" s="409"/>
    </row>
    <row r="162" spans="1:45" s="36" customFormat="1" x14ac:dyDescent="0.3">
      <c r="B162" s="65" t="s">
        <v>202</v>
      </c>
      <c r="C162" s="66"/>
      <c r="D162" s="35">
        <f>+D157/D$152</f>
        <v>7.5281891220160602E-2</v>
      </c>
      <c r="E162" s="35">
        <f t="shared" ref="E162:W162" si="169">+E157/E$152</f>
        <v>7.2296288113124108E-2</v>
      </c>
      <c r="F162" s="35">
        <f t="shared" si="169"/>
        <v>6.9702442876984544E-2</v>
      </c>
      <c r="G162" s="35">
        <f t="shared" si="169"/>
        <v>7.3066022905906053E-2</v>
      </c>
      <c r="H162" s="35">
        <f>+H157/H$152</f>
        <v>7.4288395261953591E-2</v>
      </c>
      <c r="I162" s="35">
        <f t="shared" si="169"/>
        <v>7.4255841221723198E-2</v>
      </c>
      <c r="J162" s="35">
        <f t="shared" si="169"/>
        <v>7.1922104734536613E-2</v>
      </c>
      <c r="K162" s="35">
        <f t="shared" si="169"/>
        <v>7.3303318740290793E-2</v>
      </c>
      <c r="L162" s="35">
        <f t="shared" si="169"/>
        <v>7.2303718199608555E-2</v>
      </c>
      <c r="M162" s="35">
        <f t="shared" si="169"/>
        <v>7.570170002027278E-2</v>
      </c>
      <c r="N162" s="35">
        <f t="shared" si="169"/>
        <v>7.3888908155597857E-2</v>
      </c>
      <c r="O162" s="35">
        <f t="shared" si="169"/>
        <v>7.2056551459082491E-2</v>
      </c>
      <c r="P162" s="35">
        <f t="shared" si="169"/>
        <v>7.570170002027278E-2</v>
      </c>
      <c r="Q162" s="35">
        <f t="shared" si="169"/>
        <v>7.570170002027278E-2</v>
      </c>
      <c r="R162" s="35">
        <f t="shared" si="169"/>
        <v>7.4649051412850304E-2</v>
      </c>
      <c r="S162" s="35">
        <f t="shared" si="169"/>
        <v>7.5043910284023962E-2</v>
      </c>
      <c r="T162" s="35">
        <f t="shared" si="169"/>
        <v>7.7160352422907488E-2</v>
      </c>
      <c r="U162" s="35">
        <f t="shared" si="169"/>
        <v>7.0844796730004447E-2</v>
      </c>
      <c r="V162" s="35">
        <f t="shared" si="169"/>
        <v>7.7160352422907488E-2</v>
      </c>
      <c r="W162" s="35">
        <f t="shared" si="169"/>
        <v>7.570170002027278E-2</v>
      </c>
      <c r="Y162" s="393"/>
      <c r="Z162" s="393"/>
      <c r="AA162" s="393"/>
      <c r="AB162" s="393"/>
      <c r="AC162" s="393"/>
      <c r="AD162" s="393"/>
      <c r="AE162" s="393"/>
      <c r="AF162" s="393"/>
      <c r="AG162" s="393"/>
      <c r="AH162" s="393"/>
      <c r="AI162" s="393"/>
      <c r="AJ162" s="393"/>
      <c r="AK162" s="393"/>
      <c r="AL162" s="393"/>
      <c r="AM162" s="393"/>
      <c r="AN162" s="393"/>
      <c r="AO162" s="393"/>
      <c r="AP162" s="393"/>
      <c r="AQ162" s="393"/>
      <c r="AR162" s="393"/>
      <c r="AS162" s="393"/>
    </row>
    <row r="163" spans="1:45" s="36" customFormat="1" x14ac:dyDescent="0.3">
      <c r="B163" s="65" t="s">
        <v>203</v>
      </c>
      <c r="C163" s="66"/>
      <c r="D163" s="35">
        <f>+D158/D$153</f>
        <v>8.4934481082163102E-2</v>
      </c>
      <c r="E163" s="35">
        <f t="shared" ref="E163:W163" si="170">+E158/E$153</f>
        <v>8.1554808191835443E-2</v>
      </c>
      <c r="F163" s="35">
        <f t="shared" si="170"/>
        <v>7.8858914895911861E-2</v>
      </c>
      <c r="G163" s="35">
        <f t="shared" si="170"/>
        <v>8.2466976020450611E-2</v>
      </c>
      <c r="H163" s="35">
        <f t="shared" si="170"/>
        <v>8.3971571043732318E-2</v>
      </c>
      <c r="I163" s="35">
        <f t="shared" si="170"/>
        <v>8.3819313936374817E-2</v>
      </c>
      <c r="J163" s="35">
        <f t="shared" si="170"/>
        <v>8.1277728678744915E-2</v>
      </c>
      <c r="K163" s="35">
        <f t="shared" si="170"/>
        <v>8.2759407324573542E-2</v>
      </c>
      <c r="L163" s="35">
        <f t="shared" si="170"/>
        <v>8.1674387712743823E-2</v>
      </c>
      <c r="M163" s="35">
        <f t="shared" si="170"/>
        <v>8.5370092279474952E-2</v>
      </c>
      <c r="N163" s="35">
        <f t="shared" si="170"/>
        <v>8.3556038550633371E-2</v>
      </c>
      <c r="O163" s="35">
        <f t="shared" si="170"/>
        <v>8.1262339639051911E-2</v>
      </c>
      <c r="P163" s="35">
        <f t="shared" si="170"/>
        <v>8.5370092279474952E-2</v>
      </c>
      <c r="Q163" s="35">
        <f t="shared" si="170"/>
        <v>8.5370092279474952E-2</v>
      </c>
      <c r="R163" s="35">
        <f t="shared" si="170"/>
        <v>8.4228253779176906E-2</v>
      </c>
      <c r="S163" s="35">
        <f t="shared" si="170"/>
        <v>8.4638890467799641E-2</v>
      </c>
      <c r="T163" s="35">
        <f t="shared" si="170"/>
        <v>8.7213071895424835E-2</v>
      </c>
      <c r="U163" s="35">
        <f t="shared" si="170"/>
        <v>8.0117802750663089E-2</v>
      </c>
      <c r="V163" s="35">
        <f t="shared" si="170"/>
        <v>8.7213071895424835E-2</v>
      </c>
      <c r="W163" s="35">
        <f t="shared" si="170"/>
        <v>8.5370092279474952E-2</v>
      </c>
      <c r="Y163" s="393"/>
      <c r="Z163" s="393"/>
      <c r="AA163" s="393"/>
      <c r="AB163" s="393"/>
      <c r="AC163" s="393"/>
      <c r="AD163" s="393"/>
      <c r="AE163" s="393"/>
      <c r="AF163" s="393"/>
      <c r="AG163" s="393"/>
      <c r="AH163" s="393"/>
      <c r="AI163" s="393"/>
      <c r="AJ163" s="393"/>
      <c r="AK163" s="393"/>
      <c r="AL163" s="393"/>
      <c r="AM163" s="393"/>
      <c r="AN163" s="393"/>
      <c r="AO163" s="393"/>
      <c r="AP163" s="393"/>
      <c r="AQ163" s="393"/>
      <c r="AR163" s="393"/>
      <c r="AS163" s="393"/>
    </row>
    <row r="164" spans="1:45" s="36" customFormat="1" x14ac:dyDescent="0.3">
      <c r="B164" s="65" t="s">
        <v>204</v>
      </c>
      <c r="C164" s="66"/>
      <c r="D164" s="35">
        <f>+D159/D$154</f>
        <v>9.4387637269330832E-2</v>
      </c>
      <c r="E164" s="35">
        <f t="shared" ref="E164:W164" si="171">+E159/E$154</f>
        <v>9.0630353565433905E-2</v>
      </c>
      <c r="F164" s="35">
        <f t="shared" si="171"/>
        <v>8.7836898181526749E-2</v>
      </c>
      <c r="G164" s="35">
        <f t="shared" si="171"/>
        <v>9.1679154976068586E-2</v>
      </c>
      <c r="H164" s="35">
        <f t="shared" si="171"/>
        <v>9.3454266995660548E-2</v>
      </c>
      <c r="I164" s="35">
        <f t="shared" si="171"/>
        <v>9.3187214611872002E-2</v>
      </c>
      <c r="J164" s="35">
        <f>+J159/J$154</f>
        <v>9.0446613622070807E-2</v>
      </c>
      <c r="K164" s="35">
        <f t="shared" si="171"/>
        <v>9.2024463816244517E-2</v>
      </c>
      <c r="L164" s="35">
        <f t="shared" si="171"/>
        <v>9.0857643835616383E-2</v>
      </c>
      <c r="M164" s="35">
        <f t="shared" si="171"/>
        <v>9.4838310785898605E-2</v>
      </c>
      <c r="N164" s="35">
        <f t="shared" si="171"/>
        <v>9.3023434846597905E-2</v>
      </c>
      <c r="O164" s="35">
        <f t="shared" si="171"/>
        <v>9.0287267540436478E-2</v>
      </c>
      <c r="P164" s="35">
        <f t="shared" si="171"/>
        <v>9.4838310785898605E-2</v>
      </c>
      <c r="Q164" s="35">
        <f t="shared" si="171"/>
        <v>9.4838310785898605E-2</v>
      </c>
      <c r="R164" s="35">
        <f t="shared" si="171"/>
        <v>9.3611161015045991E-2</v>
      </c>
      <c r="S164" s="35">
        <f t="shared" si="171"/>
        <v>9.4036848471210327E-2</v>
      </c>
      <c r="T164" s="35">
        <f t="shared" si="171"/>
        <v>9.7049137931034479E-2</v>
      </c>
      <c r="U164" s="35">
        <f t="shared" si="171"/>
        <v>8.9207547782771165E-2</v>
      </c>
      <c r="V164" s="35">
        <f t="shared" si="171"/>
        <v>9.7049137931034479E-2</v>
      </c>
      <c r="W164" s="35">
        <f t="shared" si="171"/>
        <v>9.4838310785898605E-2</v>
      </c>
      <c r="Y164" s="393"/>
      <c r="Z164" s="393"/>
      <c r="AA164" s="393"/>
      <c r="AB164" s="393"/>
      <c r="AC164" s="393"/>
      <c r="AD164" s="393"/>
      <c r="AE164" s="393"/>
      <c r="AF164" s="393"/>
      <c r="AG164" s="393"/>
      <c r="AH164" s="393"/>
      <c r="AI164" s="393"/>
      <c r="AJ164" s="393"/>
      <c r="AK164" s="393"/>
      <c r="AL164" s="393"/>
      <c r="AM164" s="393"/>
      <c r="AN164" s="393"/>
      <c r="AO164" s="393"/>
      <c r="AP164" s="393"/>
      <c r="AQ164" s="393"/>
      <c r="AR164" s="393"/>
      <c r="AS164" s="393"/>
    </row>
    <row r="165" spans="1:45" s="36" customFormat="1" x14ac:dyDescent="0.3">
      <c r="B165" s="65" t="s">
        <v>205</v>
      </c>
      <c r="C165" s="66"/>
      <c r="D165" s="35">
        <f>+D160/D$155</f>
        <v>0.10364747737905138</v>
      </c>
      <c r="E165" s="35">
        <f t="shared" ref="E165:W165" si="172">+E160/E$155</f>
        <v>9.9528295311368989E-2</v>
      </c>
      <c r="F165" s="35">
        <f t="shared" si="172"/>
        <v>9.6641561326492709E-2</v>
      </c>
      <c r="G165" s="35">
        <f t="shared" si="172"/>
        <v>0.10070818922083927</v>
      </c>
      <c r="H165" s="35">
        <f t="shared" si="172"/>
        <v>0.10274264540759026</v>
      </c>
      <c r="I165" s="35">
        <f t="shared" si="172"/>
        <v>0.1023654816704563</v>
      </c>
      <c r="J165" s="35">
        <f t="shared" si="172"/>
        <v>9.9434295305647194E-2</v>
      </c>
      <c r="K165" s="35">
        <f t="shared" si="172"/>
        <v>0.10110421917808207</v>
      </c>
      <c r="L165" s="35">
        <f t="shared" si="172"/>
        <v>9.9859053302590484E-2</v>
      </c>
      <c r="M165" s="35">
        <f t="shared" si="172"/>
        <v>0.104112508421289</v>
      </c>
      <c r="N165" s="35">
        <f t="shared" si="172"/>
        <v>0.10229722385634639</v>
      </c>
      <c r="O165" s="35">
        <f t="shared" si="172"/>
        <v>9.9136613186930275E-2</v>
      </c>
      <c r="P165" s="35">
        <f t="shared" si="172"/>
        <v>0.104112508421289</v>
      </c>
      <c r="Q165" s="35">
        <f t="shared" si="172"/>
        <v>0.104112508421289</v>
      </c>
      <c r="R165" s="35">
        <f t="shared" si="172"/>
        <v>0.10280374558892991</v>
      </c>
      <c r="S165" s="35">
        <f t="shared" si="172"/>
        <v>0.10324379106804761</v>
      </c>
      <c r="T165" s="35">
        <f t="shared" si="172"/>
        <v>0.10667547974413646</v>
      </c>
      <c r="U165" s="35">
        <f t="shared" si="172"/>
        <v>9.811941130740158E-2</v>
      </c>
      <c r="V165" s="35">
        <f t="shared" si="172"/>
        <v>0.10667547974413646</v>
      </c>
      <c r="W165" s="35">
        <f t="shared" si="172"/>
        <v>0.104112508421289</v>
      </c>
      <c r="Y165" s="393"/>
      <c r="Z165" s="393"/>
      <c r="AA165" s="393"/>
      <c r="AB165" s="393"/>
      <c r="AC165" s="393"/>
      <c r="AD165" s="393"/>
      <c r="AE165" s="393"/>
      <c r="AF165" s="393"/>
      <c r="AG165" s="393"/>
      <c r="AH165" s="393"/>
      <c r="AI165" s="393"/>
      <c r="AJ165" s="393"/>
      <c r="AK165" s="393"/>
      <c r="AL165" s="393"/>
      <c r="AM165" s="393"/>
      <c r="AN165" s="393"/>
      <c r="AO165" s="393"/>
      <c r="AP165" s="393"/>
      <c r="AQ165" s="393"/>
      <c r="AR165" s="393"/>
      <c r="AS165" s="393"/>
    </row>
    <row r="166" spans="1:45" s="36" customFormat="1" ht="21" thickBot="1" x14ac:dyDescent="0.35">
      <c r="B166" s="71"/>
      <c r="C166" s="72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Y166" s="393"/>
      <c r="Z166" s="393"/>
      <c r="AA166" s="393"/>
      <c r="AB166" s="393"/>
      <c r="AC166" s="393"/>
      <c r="AD166" s="393"/>
      <c r="AE166" s="393"/>
      <c r="AF166" s="393"/>
      <c r="AG166" s="393"/>
      <c r="AH166" s="393"/>
      <c r="AI166" s="393"/>
      <c r="AJ166" s="393"/>
      <c r="AK166" s="393"/>
      <c r="AL166" s="393"/>
      <c r="AM166" s="393"/>
      <c r="AN166" s="393"/>
      <c r="AO166" s="393"/>
      <c r="AP166" s="393"/>
      <c r="AQ166" s="393"/>
      <c r="AR166" s="393"/>
      <c r="AS166" s="393"/>
    </row>
    <row r="167" spans="1:45" ht="21" thickBot="1" x14ac:dyDescent="0.35">
      <c r="A167" s="15" t="s">
        <v>315</v>
      </c>
      <c r="B167" s="74" t="s">
        <v>40</v>
      </c>
      <c r="C167" s="68"/>
      <c r="D167" s="17" t="s">
        <v>5</v>
      </c>
      <c r="E167" s="18" t="s">
        <v>6</v>
      </c>
      <c r="F167" s="18" t="s">
        <v>7</v>
      </c>
      <c r="G167" s="18" t="s">
        <v>8</v>
      </c>
      <c r="H167" s="18" t="s">
        <v>9</v>
      </c>
      <c r="I167" s="18" t="s">
        <v>10</v>
      </c>
      <c r="J167" s="18" t="s">
        <v>11</v>
      </c>
      <c r="K167" s="18" t="s">
        <v>12</v>
      </c>
      <c r="L167" s="18" t="s">
        <v>13</v>
      </c>
      <c r="M167" s="18" t="s">
        <v>14</v>
      </c>
      <c r="N167" s="18" t="s">
        <v>15</v>
      </c>
      <c r="O167" s="18" t="s">
        <v>16</v>
      </c>
      <c r="P167" s="18" t="s">
        <v>17</v>
      </c>
      <c r="Q167" s="18" t="s">
        <v>18</v>
      </c>
      <c r="R167" s="18" t="s">
        <v>19</v>
      </c>
      <c r="S167" s="18" t="s">
        <v>20</v>
      </c>
      <c r="T167" s="18" t="s">
        <v>21</v>
      </c>
      <c r="U167" s="18" t="s">
        <v>22</v>
      </c>
      <c r="V167" s="18" t="s">
        <v>23</v>
      </c>
      <c r="W167" s="18" t="s">
        <v>166</v>
      </c>
      <c r="Y167" s="390"/>
      <c r="Z167" s="390"/>
      <c r="AA167" s="390"/>
      <c r="AB167" s="390"/>
      <c r="AC167" s="390"/>
      <c r="AD167" s="390"/>
      <c r="AE167" s="390"/>
      <c r="AF167" s="390"/>
      <c r="AG167" s="390"/>
      <c r="AH167" s="390"/>
      <c r="AI167" s="390"/>
      <c r="AJ167" s="390"/>
      <c r="AK167" s="390"/>
      <c r="AL167" s="390"/>
      <c r="AM167" s="390"/>
      <c r="AN167" s="390"/>
      <c r="AO167" s="390"/>
      <c r="AP167" s="390"/>
      <c r="AQ167" s="390"/>
      <c r="AR167" s="390"/>
      <c r="AS167" s="390"/>
    </row>
    <row r="168" spans="1:45" x14ac:dyDescent="0.3">
      <c r="B168" s="54" t="s">
        <v>50</v>
      </c>
      <c r="C168" s="55"/>
      <c r="D168" s="20">
        <v>580</v>
      </c>
      <c r="E168" s="21">
        <f>D168</f>
        <v>580</v>
      </c>
      <c r="F168" s="21">
        <f>D168</f>
        <v>580</v>
      </c>
      <c r="G168" s="21">
        <f>D168</f>
        <v>580</v>
      </c>
      <c r="H168" s="21">
        <f>E168</f>
        <v>580</v>
      </c>
      <c r="I168" s="21">
        <f>D168</f>
        <v>580</v>
      </c>
      <c r="J168" s="21">
        <f>D168</f>
        <v>580</v>
      </c>
      <c r="K168" s="21">
        <f>D168</f>
        <v>580</v>
      </c>
      <c r="L168" s="21">
        <f>D168</f>
        <v>580</v>
      </c>
      <c r="M168" s="21">
        <f>D168</f>
        <v>580</v>
      </c>
      <c r="N168" s="21">
        <f>D168</f>
        <v>580</v>
      </c>
      <c r="O168" s="21">
        <f>D168</f>
        <v>580</v>
      </c>
      <c r="P168" s="21">
        <f>D168</f>
        <v>580</v>
      </c>
      <c r="Q168" s="21">
        <f>D168</f>
        <v>580</v>
      </c>
      <c r="R168" s="21">
        <f>D168</f>
        <v>580</v>
      </c>
      <c r="S168" s="21">
        <f>D168</f>
        <v>580</v>
      </c>
      <c r="T168" s="21"/>
      <c r="U168" s="21"/>
      <c r="V168" s="21"/>
      <c r="W168" s="21">
        <f>J168</f>
        <v>580</v>
      </c>
      <c r="Y168" s="390"/>
      <c r="Z168" s="390"/>
      <c r="AA168" s="390"/>
      <c r="AB168" s="390"/>
      <c r="AC168" s="390"/>
      <c r="AD168" s="390"/>
      <c r="AE168" s="390"/>
      <c r="AF168" s="390"/>
      <c r="AG168" s="390"/>
      <c r="AH168" s="390"/>
      <c r="AI168" s="390"/>
      <c r="AJ168" s="390"/>
      <c r="AK168" s="390"/>
      <c r="AL168" s="390"/>
      <c r="AM168" s="390"/>
      <c r="AN168" s="390"/>
      <c r="AO168" s="390"/>
      <c r="AP168" s="390"/>
      <c r="AQ168" s="390"/>
      <c r="AR168" s="390"/>
      <c r="AS168" s="390"/>
    </row>
    <row r="169" spans="1:45" x14ac:dyDescent="0.3">
      <c r="B169" s="54" t="s">
        <v>51</v>
      </c>
      <c r="C169" s="55"/>
      <c r="D169" s="218">
        <v>0.18</v>
      </c>
      <c r="E169" s="218">
        <f>D169</f>
        <v>0.18</v>
      </c>
      <c r="F169" s="218">
        <f>D169</f>
        <v>0.18</v>
      </c>
      <c r="G169" s="218">
        <f>D169</f>
        <v>0.18</v>
      </c>
      <c r="H169" s="218">
        <f>E169</f>
        <v>0.18</v>
      </c>
      <c r="I169" s="218">
        <f>D169</f>
        <v>0.18</v>
      </c>
      <c r="J169" s="218">
        <f>D169</f>
        <v>0.18</v>
      </c>
      <c r="K169" s="218">
        <f>D169</f>
        <v>0.18</v>
      </c>
      <c r="L169" s="218">
        <f>D169</f>
        <v>0.18</v>
      </c>
      <c r="M169" s="218">
        <f>D169</f>
        <v>0.18</v>
      </c>
      <c r="N169" s="218">
        <f>D169</f>
        <v>0.18</v>
      </c>
      <c r="O169" s="218">
        <f>D169</f>
        <v>0.18</v>
      </c>
      <c r="P169" s="218">
        <f>D169</f>
        <v>0.18</v>
      </c>
      <c r="Q169" s="218">
        <f>D169</f>
        <v>0.18</v>
      </c>
      <c r="R169" s="218">
        <f>D169</f>
        <v>0.18</v>
      </c>
      <c r="S169" s="218">
        <f>D169</f>
        <v>0.18</v>
      </c>
      <c r="T169" s="218"/>
      <c r="U169" s="218"/>
      <c r="V169" s="218"/>
      <c r="W169" s="218">
        <f>J169</f>
        <v>0.18</v>
      </c>
      <c r="Y169" s="390"/>
      <c r="Z169" s="390"/>
      <c r="AA169" s="390"/>
      <c r="AB169" s="390"/>
      <c r="AC169" s="390"/>
      <c r="AD169" s="390"/>
      <c r="AE169" s="390"/>
      <c r="AF169" s="390"/>
      <c r="AG169" s="390"/>
      <c r="AH169" s="390"/>
      <c r="AI169" s="390"/>
      <c r="AJ169" s="390"/>
      <c r="AK169" s="390"/>
      <c r="AL169" s="390"/>
      <c r="AM169" s="390"/>
      <c r="AN169" s="390"/>
      <c r="AO169" s="390"/>
      <c r="AP169" s="390"/>
      <c r="AQ169" s="390"/>
      <c r="AR169" s="390"/>
      <c r="AS169" s="390"/>
    </row>
    <row r="170" spans="1:45" x14ac:dyDescent="0.3">
      <c r="B170" s="54" t="s">
        <v>58</v>
      </c>
      <c r="C170" s="55"/>
      <c r="D170" s="21">
        <v>0</v>
      </c>
      <c r="E170" s="21">
        <v>0</v>
      </c>
      <c r="F170" s="21">
        <v>0</v>
      </c>
      <c r="G170" s="21">
        <v>0</v>
      </c>
      <c r="H170" s="21">
        <v>0</v>
      </c>
      <c r="I170" s="21">
        <v>0</v>
      </c>
      <c r="J170" s="21">
        <v>0</v>
      </c>
      <c r="K170" s="21">
        <v>0</v>
      </c>
      <c r="L170" s="21">
        <v>0</v>
      </c>
      <c r="M170" s="21">
        <v>0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>
        <v>0</v>
      </c>
      <c r="T170" s="21"/>
      <c r="U170" s="21"/>
      <c r="V170" s="21"/>
      <c r="W170" s="21">
        <v>0</v>
      </c>
      <c r="Y170" s="390"/>
      <c r="Z170" s="390"/>
      <c r="AA170" s="390"/>
      <c r="AB170" s="390"/>
      <c r="AC170" s="390"/>
      <c r="AD170" s="390"/>
      <c r="AE170" s="390"/>
      <c r="AF170" s="390"/>
      <c r="AG170" s="390"/>
      <c r="AH170" s="390"/>
      <c r="AI170" s="390"/>
      <c r="AJ170" s="390"/>
      <c r="AK170" s="390"/>
      <c r="AL170" s="390"/>
      <c r="AM170" s="390"/>
      <c r="AN170" s="390"/>
      <c r="AO170" s="390"/>
      <c r="AP170" s="390"/>
      <c r="AQ170" s="390"/>
      <c r="AR170" s="390"/>
      <c r="AS170" s="390"/>
    </row>
    <row r="171" spans="1:45" x14ac:dyDescent="0.3">
      <c r="B171" s="177" t="s">
        <v>67</v>
      </c>
      <c r="C171" s="178"/>
      <c r="D171" s="323">
        <f>D168-(D168*D169)</f>
        <v>475.6</v>
      </c>
      <c r="E171" s="323">
        <f t="shared" ref="E171:W171" si="173">E168-(E168*E169)</f>
        <v>475.6</v>
      </c>
      <c r="F171" s="323">
        <f t="shared" si="173"/>
        <v>475.6</v>
      </c>
      <c r="G171" s="323">
        <f t="shared" si="173"/>
        <v>475.6</v>
      </c>
      <c r="H171" s="323">
        <f t="shared" si="173"/>
        <v>475.6</v>
      </c>
      <c r="I171" s="323">
        <f t="shared" si="173"/>
        <v>475.6</v>
      </c>
      <c r="J171" s="323">
        <f t="shared" si="173"/>
        <v>475.6</v>
      </c>
      <c r="K171" s="323">
        <f t="shared" si="173"/>
        <v>475.6</v>
      </c>
      <c r="L171" s="323">
        <f t="shared" si="173"/>
        <v>475.6</v>
      </c>
      <c r="M171" s="323">
        <f t="shared" si="173"/>
        <v>475.6</v>
      </c>
      <c r="N171" s="323">
        <f t="shared" si="173"/>
        <v>475.6</v>
      </c>
      <c r="O171" s="323">
        <f t="shared" si="173"/>
        <v>475.6</v>
      </c>
      <c r="P171" s="323">
        <f t="shared" si="173"/>
        <v>475.6</v>
      </c>
      <c r="Q171" s="323">
        <f t="shared" si="173"/>
        <v>475.6</v>
      </c>
      <c r="R171" s="323">
        <f t="shared" si="173"/>
        <v>475.6</v>
      </c>
      <c r="S171" s="323">
        <f t="shared" si="173"/>
        <v>475.6</v>
      </c>
      <c r="T171" s="323">
        <v>472.99</v>
      </c>
      <c r="U171" s="323">
        <v>472.99</v>
      </c>
      <c r="V171" s="323">
        <v>472.99</v>
      </c>
      <c r="W171" s="323">
        <f t="shared" si="173"/>
        <v>475.6</v>
      </c>
      <c r="Y171" s="390"/>
      <c r="Z171" s="390"/>
      <c r="AA171" s="390"/>
      <c r="AB171" s="390"/>
      <c r="AC171" s="390"/>
      <c r="AD171" s="390"/>
      <c r="AE171" s="390"/>
      <c r="AF171" s="390"/>
      <c r="AG171" s="390"/>
      <c r="AH171" s="390"/>
      <c r="AI171" s="390"/>
      <c r="AJ171" s="390"/>
      <c r="AK171" s="390"/>
      <c r="AL171" s="390"/>
      <c r="AM171" s="390"/>
      <c r="AN171" s="390"/>
      <c r="AO171" s="390"/>
      <c r="AP171" s="390"/>
      <c r="AQ171" s="390"/>
      <c r="AR171" s="390"/>
      <c r="AS171" s="390"/>
    </row>
    <row r="172" spans="1:45" x14ac:dyDescent="0.3">
      <c r="B172" s="54" t="s">
        <v>66</v>
      </c>
      <c r="C172" s="56">
        <v>7.0000000000000007E-2</v>
      </c>
      <c r="D172" s="24">
        <f t="shared" ref="D172:W172" si="174">D171*$C172</f>
        <v>33.292000000000002</v>
      </c>
      <c r="E172" s="24">
        <f t="shared" si="174"/>
        <v>33.292000000000002</v>
      </c>
      <c r="F172" s="24">
        <f t="shared" si="174"/>
        <v>33.292000000000002</v>
      </c>
      <c r="G172" s="24">
        <f t="shared" si="174"/>
        <v>33.292000000000002</v>
      </c>
      <c r="H172" s="24">
        <f t="shared" si="174"/>
        <v>33.292000000000002</v>
      </c>
      <c r="I172" s="24">
        <f t="shared" si="174"/>
        <v>33.292000000000002</v>
      </c>
      <c r="J172" s="24">
        <f t="shared" si="174"/>
        <v>33.292000000000002</v>
      </c>
      <c r="K172" s="24">
        <f t="shared" si="174"/>
        <v>33.292000000000002</v>
      </c>
      <c r="L172" s="24">
        <f t="shared" si="174"/>
        <v>33.292000000000002</v>
      </c>
      <c r="M172" s="24">
        <f t="shared" si="174"/>
        <v>33.292000000000002</v>
      </c>
      <c r="N172" s="24">
        <f t="shared" si="174"/>
        <v>33.292000000000002</v>
      </c>
      <c r="O172" s="24">
        <f t="shared" si="174"/>
        <v>33.292000000000002</v>
      </c>
      <c r="P172" s="24">
        <f t="shared" si="174"/>
        <v>33.292000000000002</v>
      </c>
      <c r="Q172" s="24">
        <f t="shared" si="174"/>
        <v>33.292000000000002</v>
      </c>
      <c r="R172" s="24">
        <f t="shared" si="174"/>
        <v>33.292000000000002</v>
      </c>
      <c r="S172" s="24">
        <f t="shared" si="174"/>
        <v>33.292000000000002</v>
      </c>
      <c r="T172" s="24">
        <f t="shared" si="174"/>
        <v>33.109300000000005</v>
      </c>
      <c r="U172" s="24">
        <f t="shared" si="174"/>
        <v>33.109300000000005</v>
      </c>
      <c r="V172" s="24">
        <f t="shared" si="174"/>
        <v>33.109300000000005</v>
      </c>
      <c r="W172" s="24">
        <f t="shared" si="174"/>
        <v>33.292000000000002</v>
      </c>
      <c r="Y172" s="390"/>
      <c r="Z172" s="390"/>
      <c r="AA172" s="390"/>
      <c r="AB172" s="390"/>
      <c r="AC172" s="390"/>
      <c r="AD172" s="390"/>
      <c r="AE172" s="390"/>
      <c r="AF172" s="390"/>
      <c r="AG172" s="390"/>
      <c r="AH172" s="390"/>
      <c r="AI172" s="390"/>
      <c r="AJ172" s="390"/>
      <c r="AK172" s="390"/>
      <c r="AL172" s="390"/>
      <c r="AM172" s="390"/>
      <c r="AN172" s="390"/>
      <c r="AO172" s="390"/>
      <c r="AP172" s="390"/>
      <c r="AQ172" s="390"/>
      <c r="AR172" s="390"/>
      <c r="AS172" s="390"/>
    </row>
    <row r="173" spans="1:45" x14ac:dyDescent="0.3">
      <c r="B173" s="54" t="s">
        <v>68</v>
      </c>
      <c r="C173" s="55"/>
      <c r="D173" s="21">
        <f t="shared" ref="D173:W173" si="175">D171+D172</f>
        <v>508.89200000000005</v>
      </c>
      <c r="E173" s="21">
        <f t="shared" si="175"/>
        <v>508.89200000000005</v>
      </c>
      <c r="F173" s="21">
        <f t="shared" si="175"/>
        <v>508.89200000000005</v>
      </c>
      <c r="G173" s="21">
        <f t="shared" si="175"/>
        <v>508.89200000000005</v>
      </c>
      <c r="H173" s="21">
        <f t="shared" si="175"/>
        <v>508.89200000000005</v>
      </c>
      <c r="I173" s="21">
        <f t="shared" si="175"/>
        <v>508.89200000000005</v>
      </c>
      <c r="J173" s="21">
        <f t="shared" si="175"/>
        <v>508.89200000000005</v>
      </c>
      <c r="K173" s="21">
        <f t="shared" si="175"/>
        <v>508.89200000000005</v>
      </c>
      <c r="L173" s="21">
        <f t="shared" si="175"/>
        <v>508.89200000000005</v>
      </c>
      <c r="M173" s="21">
        <f t="shared" si="175"/>
        <v>508.89200000000005</v>
      </c>
      <c r="N173" s="21">
        <f t="shared" si="175"/>
        <v>508.89200000000005</v>
      </c>
      <c r="O173" s="21">
        <f t="shared" si="175"/>
        <v>508.89200000000005</v>
      </c>
      <c r="P173" s="21">
        <f t="shared" si="175"/>
        <v>508.89200000000005</v>
      </c>
      <c r="Q173" s="21">
        <f t="shared" si="175"/>
        <v>508.89200000000005</v>
      </c>
      <c r="R173" s="21">
        <f t="shared" si="175"/>
        <v>508.89200000000005</v>
      </c>
      <c r="S173" s="21">
        <f t="shared" si="175"/>
        <v>508.89200000000005</v>
      </c>
      <c r="T173" s="21">
        <f t="shared" si="175"/>
        <v>506.09930000000003</v>
      </c>
      <c r="U173" s="21">
        <f t="shared" si="175"/>
        <v>506.09930000000003</v>
      </c>
      <c r="V173" s="21">
        <f t="shared" si="175"/>
        <v>506.09930000000003</v>
      </c>
      <c r="W173" s="21">
        <f t="shared" si="175"/>
        <v>508.89200000000005</v>
      </c>
      <c r="Y173" s="390"/>
      <c r="Z173" s="390"/>
      <c r="AA173" s="390"/>
      <c r="AB173" s="390"/>
      <c r="AC173" s="390"/>
      <c r="AD173" s="390"/>
      <c r="AE173" s="390"/>
      <c r="AF173" s="390"/>
      <c r="AG173" s="390"/>
      <c r="AH173" s="390"/>
      <c r="AI173" s="390"/>
      <c r="AJ173" s="390"/>
      <c r="AK173" s="390"/>
      <c r="AL173" s="390"/>
      <c r="AM173" s="390"/>
      <c r="AN173" s="390"/>
      <c r="AO173" s="390"/>
      <c r="AP173" s="390"/>
      <c r="AQ173" s="390"/>
      <c r="AR173" s="390"/>
      <c r="AS173" s="390"/>
    </row>
    <row r="174" spans="1:45" x14ac:dyDescent="0.3">
      <c r="B174" s="54" t="s">
        <v>52</v>
      </c>
      <c r="C174" s="55"/>
      <c r="D174" s="398">
        <f>Y176</f>
        <v>20.540983606557376</v>
      </c>
      <c r="E174" s="398">
        <f t="shared" ref="E174:W174" si="176">Z176</f>
        <v>46.65901639344262</v>
      </c>
      <c r="F174" s="398">
        <f t="shared" si="176"/>
        <v>55.991803278688522</v>
      </c>
      <c r="G174" s="398">
        <f t="shared" si="176"/>
        <v>37.327868852459019</v>
      </c>
      <c r="H174" s="398">
        <f t="shared" si="176"/>
        <v>19.996721311475408</v>
      </c>
      <c r="I174" s="398">
        <f t="shared" si="176"/>
        <v>26.662295081967212</v>
      </c>
      <c r="J174" s="398">
        <f t="shared" si="176"/>
        <v>41.327868852459019</v>
      </c>
      <c r="K174" s="398">
        <f t="shared" si="176"/>
        <v>33.862295081967211</v>
      </c>
      <c r="L174" s="398">
        <f t="shared" si="176"/>
        <v>39.993442622950816</v>
      </c>
      <c r="M174" s="398">
        <f t="shared" si="176"/>
        <v>19.196721311475411</v>
      </c>
      <c r="N174" s="398">
        <f t="shared" si="176"/>
        <v>21.331147540983608</v>
      </c>
      <c r="O174" s="398">
        <f t="shared" si="176"/>
        <v>50.132786885245899</v>
      </c>
      <c r="P174" s="398">
        <f t="shared" si="176"/>
        <v>19.196721311475411</v>
      </c>
      <c r="Q174" s="398">
        <f t="shared" si="176"/>
        <v>19.196721311475411</v>
      </c>
      <c r="R174" s="398">
        <f t="shared" si="176"/>
        <v>25.32950819672131</v>
      </c>
      <c r="S174" s="398">
        <f t="shared" si="176"/>
        <v>23.996721311475408</v>
      </c>
      <c r="T174" s="398">
        <f t="shared" si="176"/>
        <v>0</v>
      </c>
      <c r="U174" s="398">
        <f t="shared" si="176"/>
        <v>50.132786885245899</v>
      </c>
      <c r="V174" s="398">
        <f t="shared" si="176"/>
        <v>0</v>
      </c>
      <c r="W174" s="398">
        <f t="shared" si="176"/>
        <v>19.196721311475411</v>
      </c>
      <c r="X174" s="195"/>
      <c r="Y174" s="390">
        <v>12530</v>
      </c>
      <c r="Z174" s="390">
        <v>28462</v>
      </c>
      <c r="AA174" s="390">
        <v>34155</v>
      </c>
      <c r="AB174" s="390">
        <v>22770</v>
      </c>
      <c r="AC174" s="390">
        <v>12198</v>
      </c>
      <c r="AD174" s="390">
        <v>16264</v>
      </c>
      <c r="AE174" s="390">
        <v>25210</v>
      </c>
      <c r="AF174" s="390">
        <v>20656</v>
      </c>
      <c r="AG174" s="390">
        <v>24396</v>
      </c>
      <c r="AH174" s="390">
        <v>11710</v>
      </c>
      <c r="AI174" s="390">
        <v>13012</v>
      </c>
      <c r="AJ174" s="390">
        <v>30581</v>
      </c>
      <c r="AK174" s="396">
        <v>11710</v>
      </c>
      <c r="AL174" s="396">
        <v>11710</v>
      </c>
      <c r="AM174" s="390">
        <v>15451</v>
      </c>
      <c r="AN174" s="390">
        <v>14638</v>
      </c>
      <c r="AO174" s="390"/>
      <c r="AP174" s="396">
        <v>30581</v>
      </c>
      <c r="AQ174" s="390"/>
      <c r="AR174" s="396">
        <v>11710</v>
      </c>
      <c r="AS174" s="390"/>
    </row>
    <row r="175" spans="1:45" x14ac:dyDescent="0.3">
      <c r="B175" s="57" t="s">
        <v>53</v>
      </c>
      <c r="C175" s="58"/>
      <c r="D175" s="25">
        <f>SUM(D173:D174)</f>
        <v>529.4329836065574</v>
      </c>
      <c r="E175" s="26">
        <f t="shared" ref="E175:V175" si="177">SUM(E173:E174)</f>
        <v>555.55101639344264</v>
      </c>
      <c r="F175" s="26">
        <f t="shared" si="177"/>
        <v>564.88380327868856</v>
      </c>
      <c r="G175" s="26">
        <f t="shared" si="177"/>
        <v>546.21986885245906</v>
      </c>
      <c r="H175" s="26">
        <f t="shared" si="177"/>
        <v>528.88872131147548</v>
      </c>
      <c r="I175" s="26">
        <f t="shared" si="177"/>
        <v>535.55429508196721</v>
      </c>
      <c r="J175" s="26">
        <f t="shared" si="177"/>
        <v>550.21986885245906</v>
      </c>
      <c r="K175" s="26">
        <f t="shared" si="177"/>
        <v>542.75429508196726</v>
      </c>
      <c r="L175" s="26">
        <f t="shared" si="177"/>
        <v>548.8854426229509</v>
      </c>
      <c r="M175" s="26">
        <f t="shared" si="177"/>
        <v>528.08872131147541</v>
      </c>
      <c r="N175" s="26">
        <f t="shared" si="177"/>
        <v>530.22314754098363</v>
      </c>
      <c r="O175" s="26">
        <f t="shared" si="177"/>
        <v>559.02478688524593</v>
      </c>
      <c r="P175" s="26">
        <f t="shared" si="177"/>
        <v>528.08872131147541</v>
      </c>
      <c r="Q175" s="26">
        <f t="shared" si="177"/>
        <v>528.08872131147541</v>
      </c>
      <c r="R175" s="26">
        <f t="shared" si="177"/>
        <v>534.2215081967214</v>
      </c>
      <c r="S175" s="26">
        <f t="shared" si="177"/>
        <v>532.88872131147548</v>
      </c>
      <c r="T175" s="26">
        <f t="shared" si="177"/>
        <v>506.09930000000003</v>
      </c>
      <c r="U175" s="26">
        <f t="shared" si="177"/>
        <v>556.23208688524596</v>
      </c>
      <c r="V175" s="26">
        <f t="shared" si="177"/>
        <v>506.09930000000003</v>
      </c>
      <c r="W175" s="26">
        <f>SUM(W173:W174)</f>
        <v>528.08872131147541</v>
      </c>
      <c r="Y175" s="390">
        <v>610</v>
      </c>
      <c r="Z175" s="390">
        <v>610</v>
      </c>
      <c r="AA175" s="390">
        <v>610</v>
      </c>
      <c r="AB175" s="390">
        <v>610</v>
      </c>
      <c r="AC175" s="390">
        <v>610</v>
      </c>
      <c r="AD175" s="390">
        <v>610</v>
      </c>
      <c r="AE175" s="390">
        <v>610</v>
      </c>
      <c r="AF175" s="390">
        <v>610</v>
      </c>
      <c r="AG175" s="390">
        <v>610</v>
      </c>
      <c r="AH175" s="390">
        <v>610</v>
      </c>
      <c r="AI175" s="390">
        <v>610</v>
      </c>
      <c r="AJ175" s="390">
        <v>610</v>
      </c>
      <c r="AK175" s="390">
        <v>610</v>
      </c>
      <c r="AL175" s="390">
        <v>610</v>
      </c>
      <c r="AM175" s="390">
        <v>610</v>
      </c>
      <c r="AN175" s="390">
        <v>610</v>
      </c>
      <c r="AO175" s="390"/>
      <c r="AP175" s="390">
        <v>610</v>
      </c>
      <c r="AQ175" s="390"/>
      <c r="AR175" s="390">
        <v>610</v>
      </c>
      <c r="AS175" s="390"/>
    </row>
    <row r="176" spans="1:45" x14ac:dyDescent="0.3">
      <c r="B176" s="54" t="s">
        <v>54</v>
      </c>
      <c r="C176" s="55"/>
      <c r="D176" s="20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Y176" s="389">
        <f>Y174/Y175</f>
        <v>20.540983606557376</v>
      </c>
      <c r="Z176" s="389">
        <f t="shared" ref="Z176" si="178">Z174/Z175</f>
        <v>46.65901639344262</v>
      </c>
      <c r="AA176" s="389">
        <f t="shared" ref="AA176" si="179">AA174/AA175</f>
        <v>55.991803278688522</v>
      </c>
      <c r="AB176" s="389">
        <f t="shared" ref="AB176" si="180">AB174/AB175</f>
        <v>37.327868852459019</v>
      </c>
      <c r="AC176" s="389">
        <f t="shared" ref="AC176" si="181">AC174/AC175</f>
        <v>19.996721311475408</v>
      </c>
      <c r="AD176" s="389">
        <f t="shared" ref="AD176" si="182">AD174/AD175</f>
        <v>26.662295081967212</v>
      </c>
      <c r="AE176" s="389">
        <f t="shared" ref="AE176" si="183">AE174/AE175</f>
        <v>41.327868852459019</v>
      </c>
      <c r="AF176" s="389">
        <f t="shared" ref="AF176" si="184">AF174/AF175</f>
        <v>33.862295081967211</v>
      </c>
      <c r="AG176" s="389">
        <f t="shared" ref="AG176" si="185">AG174/AG175</f>
        <v>39.993442622950816</v>
      </c>
      <c r="AH176" s="389">
        <f t="shared" ref="AH176" si="186">AH174/AH175</f>
        <v>19.196721311475411</v>
      </c>
      <c r="AI176" s="389">
        <f t="shared" ref="AI176" si="187">AI174/AI175</f>
        <v>21.331147540983608</v>
      </c>
      <c r="AJ176" s="389">
        <f t="shared" ref="AJ176" si="188">AJ174/AJ175</f>
        <v>50.132786885245899</v>
      </c>
      <c r="AK176" s="389">
        <f t="shared" ref="AK176" si="189">AK174/AK175</f>
        <v>19.196721311475411</v>
      </c>
      <c r="AL176" s="389">
        <f t="shared" ref="AL176" si="190">AL174/AL175</f>
        <v>19.196721311475411</v>
      </c>
      <c r="AM176" s="389">
        <f t="shared" ref="AM176" si="191">AM174/AM175</f>
        <v>25.32950819672131</v>
      </c>
      <c r="AN176" s="389">
        <f t="shared" ref="AN176" si="192">AN174/AN175</f>
        <v>23.996721311475408</v>
      </c>
      <c r="AO176" s="390"/>
      <c r="AP176" s="389">
        <f t="shared" ref="AP176" si="193">AP174/AP175</f>
        <v>50.132786885245899</v>
      </c>
      <c r="AQ176" s="390"/>
      <c r="AR176" s="389">
        <f t="shared" ref="AR176" si="194">AR174/AR175</f>
        <v>19.196721311475411</v>
      </c>
      <c r="AS176" s="390"/>
    </row>
    <row r="177" spans="2:45" x14ac:dyDescent="0.3">
      <c r="B177" s="59" t="s">
        <v>55</v>
      </c>
      <c r="C177" s="60"/>
      <c r="D177" s="27">
        <f t="shared" ref="D177:W177" si="195">SUM(D175:D176)</f>
        <v>529.4329836065574</v>
      </c>
      <c r="E177" s="41">
        <f t="shared" si="195"/>
        <v>555.55101639344264</v>
      </c>
      <c r="F177" s="41">
        <f t="shared" si="195"/>
        <v>564.88380327868856</v>
      </c>
      <c r="G177" s="41">
        <f t="shared" si="195"/>
        <v>546.21986885245906</v>
      </c>
      <c r="H177" s="41">
        <f t="shared" si="195"/>
        <v>528.88872131147548</v>
      </c>
      <c r="I177" s="41">
        <f t="shared" si="195"/>
        <v>535.55429508196721</v>
      </c>
      <c r="J177" s="41">
        <f t="shared" si="195"/>
        <v>550.21986885245906</v>
      </c>
      <c r="K177" s="41">
        <f t="shared" si="195"/>
        <v>542.75429508196726</v>
      </c>
      <c r="L177" s="41">
        <f t="shared" si="195"/>
        <v>548.8854426229509</v>
      </c>
      <c r="M177" s="41">
        <f t="shared" si="195"/>
        <v>528.08872131147541</v>
      </c>
      <c r="N177" s="41">
        <f t="shared" si="195"/>
        <v>530.22314754098363</v>
      </c>
      <c r="O177" s="41">
        <f t="shared" si="195"/>
        <v>559.02478688524593</v>
      </c>
      <c r="P177" s="41">
        <f t="shared" si="195"/>
        <v>528.08872131147541</v>
      </c>
      <c r="Q177" s="41">
        <f t="shared" si="195"/>
        <v>528.08872131147541</v>
      </c>
      <c r="R177" s="41">
        <f t="shared" si="195"/>
        <v>534.2215081967214</v>
      </c>
      <c r="S177" s="41">
        <f t="shared" si="195"/>
        <v>532.88872131147548</v>
      </c>
      <c r="T177" s="41">
        <f t="shared" si="195"/>
        <v>506.09930000000003</v>
      </c>
      <c r="U177" s="41">
        <f t="shared" si="195"/>
        <v>556.23208688524596</v>
      </c>
      <c r="V177" s="41">
        <f t="shared" si="195"/>
        <v>506.09930000000003</v>
      </c>
      <c r="W177" s="41">
        <f t="shared" si="195"/>
        <v>528.08872131147541</v>
      </c>
      <c r="Y177" s="390"/>
      <c r="Z177" s="390"/>
      <c r="AA177" s="390"/>
      <c r="AB177" s="390"/>
      <c r="AC177" s="390"/>
      <c r="AD177" s="390"/>
      <c r="AE177" s="390"/>
      <c r="AF177" s="390"/>
      <c r="AG177" s="390"/>
      <c r="AH177" s="390"/>
      <c r="AI177" s="390"/>
      <c r="AJ177" s="390"/>
      <c r="AK177" s="390"/>
      <c r="AL177" s="390"/>
      <c r="AM177" s="390"/>
      <c r="AN177" s="390"/>
      <c r="AO177" s="390"/>
      <c r="AP177" s="390"/>
      <c r="AQ177" s="390"/>
      <c r="AR177" s="390"/>
      <c r="AS177" s="390"/>
    </row>
    <row r="178" spans="2:45" x14ac:dyDescent="0.3">
      <c r="B178" s="61" t="s">
        <v>101</v>
      </c>
      <c r="C178" s="55"/>
      <c r="D178" s="43">
        <v>0</v>
      </c>
      <c r="E178" s="408">
        <v>0</v>
      </c>
      <c r="F178" s="408">
        <v>0</v>
      </c>
      <c r="G178" s="408">
        <v>0</v>
      </c>
      <c r="H178" s="408">
        <v>0</v>
      </c>
      <c r="I178" s="408">
        <v>0</v>
      </c>
      <c r="J178" s="408">
        <v>0</v>
      </c>
      <c r="K178" s="408">
        <v>0</v>
      </c>
      <c r="L178" s="408">
        <v>0</v>
      </c>
      <c r="M178" s="408">
        <v>0</v>
      </c>
      <c r="N178" s="408">
        <v>0</v>
      </c>
      <c r="O178" s="408">
        <v>0</v>
      </c>
      <c r="P178" s="408">
        <v>0</v>
      </c>
      <c r="Q178" s="408">
        <v>0</v>
      </c>
      <c r="R178" s="408">
        <v>0</v>
      </c>
      <c r="S178" s="408">
        <v>0</v>
      </c>
      <c r="T178" s="408">
        <v>0</v>
      </c>
      <c r="U178" s="408">
        <v>0</v>
      </c>
      <c r="V178" s="408">
        <v>0</v>
      </c>
      <c r="W178" s="408">
        <v>0</v>
      </c>
      <c r="Y178" s="409"/>
      <c r="Z178" s="409"/>
      <c r="AA178" s="409"/>
      <c r="AB178" s="409"/>
      <c r="AC178" s="409"/>
      <c r="AD178" s="409"/>
      <c r="AE178" s="409"/>
      <c r="AF178" s="409"/>
      <c r="AG178" s="409"/>
      <c r="AH178" s="409"/>
      <c r="AI178" s="409"/>
      <c r="AJ178" s="409"/>
      <c r="AK178" s="409"/>
      <c r="AL178" s="409"/>
      <c r="AM178" s="409"/>
      <c r="AN178" s="409"/>
      <c r="AO178" s="409"/>
      <c r="AP178" s="409"/>
      <c r="AQ178" s="409"/>
      <c r="AR178" s="409"/>
      <c r="AS178" s="409"/>
    </row>
    <row r="179" spans="2:45" x14ac:dyDescent="0.3">
      <c r="B179" s="171" t="s">
        <v>194</v>
      </c>
      <c r="C179" s="55"/>
      <c r="D179" s="20">
        <v>575</v>
      </c>
      <c r="E179" s="21">
        <v>601</v>
      </c>
      <c r="F179" s="21">
        <v>610</v>
      </c>
      <c r="G179" s="21">
        <v>592</v>
      </c>
      <c r="H179" s="21">
        <v>574</v>
      </c>
      <c r="I179" s="21">
        <v>581</v>
      </c>
      <c r="J179" s="21">
        <v>596</v>
      </c>
      <c r="K179" s="21">
        <v>588</v>
      </c>
      <c r="L179" s="21">
        <v>594</v>
      </c>
      <c r="M179" s="21">
        <v>574</v>
      </c>
      <c r="N179" s="21">
        <v>576</v>
      </c>
      <c r="O179" s="21">
        <v>605</v>
      </c>
      <c r="P179" s="21">
        <v>574</v>
      </c>
      <c r="Q179" s="21">
        <v>574</v>
      </c>
      <c r="R179" s="21">
        <v>580</v>
      </c>
      <c r="S179" s="21">
        <v>578</v>
      </c>
      <c r="T179" s="21">
        <v>552</v>
      </c>
      <c r="U179" s="21">
        <v>602</v>
      </c>
      <c r="V179" s="21">
        <v>552</v>
      </c>
      <c r="W179" s="21">
        <v>574</v>
      </c>
      <c r="Y179" s="390"/>
      <c r="Z179" s="390"/>
      <c r="AA179" s="390"/>
      <c r="AB179" s="390"/>
      <c r="AC179" s="390"/>
      <c r="AD179" s="390"/>
      <c r="AE179" s="390"/>
      <c r="AF179" s="390"/>
      <c r="AG179" s="390"/>
      <c r="AH179" s="390"/>
      <c r="AI179" s="390"/>
      <c r="AJ179" s="390"/>
      <c r="AK179" s="390"/>
      <c r="AL179" s="390"/>
      <c r="AM179" s="390"/>
      <c r="AN179" s="390"/>
      <c r="AO179" s="390"/>
      <c r="AP179" s="390"/>
      <c r="AQ179" s="390"/>
      <c r="AR179" s="390"/>
      <c r="AS179" s="390"/>
    </row>
    <row r="180" spans="2:45" x14ac:dyDescent="0.3">
      <c r="B180" s="61" t="s">
        <v>195</v>
      </c>
      <c r="C180" s="55"/>
      <c r="D180" s="106">
        <v>580</v>
      </c>
      <c r="E180" s="21">
        <v>606</v>
      </c>
      <c r="F180" s="21">
        <v>615</v>
      </c>
      <c r="G180" s="21">
        <v>597</v>
      </c>
      <c r="H180" s="21">
        <v>579</v>
      </c>
      <c r="I180" s="21">
        <v>586</v>
      </c>
      <c r="J180" s="21">
        <v>601</v>
      </c>
      <c r="K180" s="21">
        <v>593</v>
      </c>
      <c r="L180" s="21">
        <v>599</v>
      </c>
      <c r="M180" s="21">
        <v>579</v>
      </c>
      <c r="N180" s="21">
        <v>581</v>
      </c>
      <c r="O180" s="21">
        <v>610</v>
      </c>
      <c r="P180" s="21">
        <v>579</v>
      </c>
      <c r="Q180" s="21">
        <v>579</v>
      </c>
      <c r="R180" s="21">
        <v>585</v>
      </c>
      <c r="S180" s="21">
        <v>583</v>
      </c>
      <c r="T180" s="21">
        <v>557</v>
      </c>
      <c r="U180" s="21">
        <v>607</v>
      </c>
      <c r="V180" s="21">
        <v>557</v>
      </c>
      <c r="W180" s="21">
        <v>579</v>
      </c>
      <c r="Y180" s="390"/>
      <c r="Z180" s="390"/>
      <c r="AA180" s="390"/>
      <c r="AB180" s="390"/>
      <c r="AC180" s="390"/>
      <c r="AD180" s="390"/>
      <c r="AE180" s="390"/>
      <c r="AF180" s="390"/>
      <c r="AG180" s="390"/>
      <c r="AH180" s="390"/>
      <c r="AI180" s="390"/>
      <c r="AJ180" s="390"/>
      <c r="AK180" s="390"/>
      <c r="AL180" s="390"/>
      <c r="AM180" s="390"/>
      <c r="AN180" s="390"/>
      <c r="AO180" s="390"/>
      <c r="AP180" s="390"/>
      <c r="AQ180" s="390"/>
      <c r="AR180" s="390"/>
      <c r="AS180" s="390"/>
    </row>
    <row r="181" spans="2:45" s="30" customFormat="1" x14ac:dyDescent="0.3">
      <c r="B181" s="61" t="s">
        <v>196</v>
      </c>
      <c r="C181" s="62"/>
      <c r="D181" s="28">
        <v>585</v>
      </c>
      <c r="E181" s="28">
        <v>611</v>
      </c>
      <c r="F181" s="28">
        <v>620</v>
      </c>
      <c r="G181" s="28">
        <v>602</v>
      </c>
      <c r="H181" s="28">
        <v>584</v>
      </c>
      <c r="I181" s="28">
        <v>591</v>
      </c>
      <c r="J181" s="28">
        <v>606</v>
      </c>
      <c r="K181" s="28">
        <v>598</v>
      </c>
      <c r="L181" s="28">
        <v>604</v>
      </c>
      <c r="M181" s="28">
        <v>584</v>
      </c>
      <c r="N181" s="28">
        <v>586</v>
      </c>
      <c r="O181" s="28">
        <v>615</v>
      </c>
      <c r="P181" s="28">
        <v>584</v>
      </c>
      <c r="Q181" s="28">
        <v>584</v>
      </c>
      <c r="R181" s="28">
        <v>590</v>
      </c>
      <c r="S181" s="28">
        <v>588</v>
      </c>
      <c r="T181" s="28">
        <v>562</v>
      </c>
      <c r="U181" s="28">
        <v>612</v>
      </c>
      <c r="V181" s="28">
        <v>562</v>
      </c>
      <c r="W181" s="28">
        <v>584</v>
      </c>
      <c r="Y181" s="391"/>
      <c r="Z181" s="391"/>
      <c r="AA181" s="391"/>
      <c r="AB181" s="391"/>
      <c r="AC181" s="391"/>
      <c r="AD181" s="391"/>
      <c r="AE181" s="391"/>
      <c r="AF181" s="391"/>
      <c r="AG181" s="391"/>
      <c r="AH181" s="391"/>
      <c r="AI181" s="391"/>
      <c r="AJ181" s="391"/>
      <c r="AK181" s="391"/>
      <c r="AL181" s="391"/>
      <c r="AM181" s="391"/>
      <c r="AN181" s="391"/>
      <c r="AO181" s="391"/>
      <c r="AP181" s="391"/>
      <c r="AQ181" s="391"/>
      <c r="AR181" s="391"/>
      <c r="AS181" s="391"/>
    </row>
    <row r="182" spans="2:45" s="30" customFormat="1" x14ac:dyDescent="0.3">
      <c r="B182" s="61" t="s">
        <v>197</v>
      </c>
      <c r="C182" s="62"/>
      <c r="D182" s="28">
        <v>590</v>
      </c>
      <c r="E182" s="28">
        <v>616</v>
      </c>
      <c r="F182" s="28">
        <v>625</v>
      </c>
      <c r="G182" s="28">
        <v>607</v>
      </c>
      <c r="H182" s="28">
        <v>589</v>
      </c>
      <c r="I182" s="28">
        <v>596</v>
      </c>
      <c r="J182" s="28">
        <v>611</v>
      </c>
      <c r="K182" s="28">
        <v>603</v>
      </c>
      <c r="L182" s="28">
        <v>609</v>
      </c>
      <c r="M182" s="28">
        <v>589</v>
      </c>
      <c r="N182" s="28">
        <v>591</v>
      </c>
      <c r="O182" s="28">
        <v>620</v>
      </c>
      <c r="P182" s="28">
        <v>589</v>
      </c>
      <c r="Q182" s="28">
        <v>589</v>
      </c>
      <c r="R182" s="28">
        <v>595</v>
      </c>
      <c r="S182" s="28">
        <v>593</v>
      </c>
      <c r="T182" s="28">
        <v>567</v>
      </c>
      <c r="U182" s="28">
        <v>617</v>
      </c>
      <c r="V182" s="28">
        <v>567</v>
      </c>
      <c r="W182" s="28">
        <v>589</v>
      </c>
      <c r="Y182" s="391"/>
      <c r="Z182" s="391"/>
      <c r="AA182" s="391"/>
      <c r="AB182" s="391"/>
      <c r="AC182" s="391"/>
      <c r="AD182" s="391"/>
      <c r="AE182" s="391"/>
      <c r="AF182" s="391"/>
      <c r="AG182" s="391"/>
      <c r="AH182" s="391"/>
      <c r="AI182" s="391"/>
      <c r="AJ182" s="391"/>
      <c r="AK182" s="391"/>
      <c r="AL182" s="391"/>
      <c r="AM182" s="391"/>
      <c r="AN182" s="391"/>
      <c r="AO182" s="391"/>
      <c r="AP182" s="391"/>
      <c r="AQ182" s="391"/>
      <c r="AR182" s="391"/>
      <c r="AS182" s="391"/>
    </row>
    <row r="183" spans="2:45" x14ac:dyDescent="0.3">
      <c r="B183" s="63" t="s">
        <v>103</v>
      </c>
      <c r="C183" s="55"/>
      <c r="D183" s="43">
        <v>0</v>
      </c>
      <c r="E183" s="408">
        <v>0</v>
      </c>
      <c r="F183" s="408">
        <v>0</v>
      </c>
      <c r="G183" s="408">
        <v>0</v>
      </c>
      <c r="H183" s="408">
        <v>0</v>
      </c>
      <c r="I183" s="408">
        <v>0</v>
      </c>
      <c r="J183" s="408">
        <v>0</v>
      </c>
      <c r="K183" s="408">
        <v>0</v>
      </c>
      <c r="L183" s="408">
        <v>0</v>
      </c>
      <c r="M183" s="408">
        <v>0</v>
      </c>
      <c r="N183" s="408">
        <v>0</v>
      </c>
      <c r="O183" s="408">
        <v>0</v>
      </c>
      <c r="P183" s="408">
        <v>0</v>
      </c>
      <c r="Q183" s="408">
        <v>0</v>
      </c>
      <c r="R183" s="408">
        <v>0</v>
      </c>
      <c r="S183" s="408">
        <v>0</v>
      </c>
      <c r="T183" s="408">
        <v>0</v>
      </c>
      <c r="U183" s="408">
        <v>0</v>
      </c>
      <c r="V183" s="408">
        <v>0</v>
      </c>
      <c r="W183" s="408">
        <v>0</v>
      </c>
      <c r="Y183" s="409"/>
      <c r="Z183" s="409"/>
      <c r="AA183" s="409"/>
      <c r="AB183" s="409"/>
      <c r="AC183" s="409"/>
      <c r="AD183" s="409"/>
      <c r="AE183" s="409"/>
      <c r="AF183" s="409"/>
      <c r="AG183" s="409"/>
      <c r="AH183" s="409"/>
      <c r="AI183" s="409"/>
      <c r="AJ183" s="409"/>
      <c r="AK183" s="409"/>
      <c r="AL183" s="409"/>
      <c r="AM183" s="409"/>
      <c r="AN183" s="409"/>
      <c r="AO183" s="409"/>
      <c r="AP183" s="409"/>
      <c r="AQ183" s="409"/>
      <c r="AR183" s="409"/>
      <c r="AS183" s="409"/>
    </row>
    <row r="184" spans="2:45" s="33" customFormat="1" x14ac:dyDescent="0.3">
      <c r="B184" s="63" t="s">
        <v>198</v>
      </c>
      <c r="C184" s="64"/>
      <c r="D184" s="31">
        <f t="shared" ref="D184:W184" si="196">+D179-D$177</f>
        <v>45.5670163934426</v>
      </c>
      <c r="E184" s="32">
        <f t="shared" si="196"/>
        <v>45.448983606557363</v>
      </c>
      <c r="F184" s="32">
        <f t="shared" si="196"/>
        <v>45.116196721311439</v>
      </c>
      <c r="G184" s="32">
        <f t="shared" si="196"/>
        <v>45.780131147540942</v>
      </c>
      <c r="H184" s="32">
        <f t="shared" si="196"/>
        <v>45.111278688524521</v>
      </c>
      <c r="I184" s="32">
        <f t="shared" si="196"/>
        <v>45.445704918032789</v>
      </c>
      <c r="J184" s="32">
        <f t="shared" si="196"/>
        <v>45.780131147540942</v>
      </c>
      <c r="K184" s="32">
        <f t="shared" si="196"/>
        <v>45.245704918032743</v>
      </c>
      <c r="L184" s="32">
        <f t="shared" si="196"/>
        <v>45.114557377049096</v>
      </c>
      <c r="M184" s="32">
        <f t="shared" si="196"/>
        <v>45.91127868852459</v>
      </c>
      <c r="N184" s="32">
        <f t="shared" si="196"/>
        <v>45.776852459016368</v>
      </c>
      <c r="O184" s="32">
        <f t="shared" si="196"/>
        <v>45.975213114754069</v>
      </c>
      <c r="P184" s="32">
        <f t="shared" si="196"/>
        <v>45.91127868852459</v>
      </c>
      <c r="Q184" s="32">
        <f t="shared" si="196"/>
        <v>45.91127868852459</v>
      </c>
      <c r="R184" s="32">
        <f t="shared" si="196"/>
        <v>45.778491803278598</v>
      </c>
      <c r="S184" s="32">
        <f t="shared" si="196"/>
        <v>45.111278688524521</v>
      </c>
      <c r="T184" s="32">
        <f t="shared" si="196"/>
        <v>45.900699999999972</v>
      </c>
      <c r="U184" s="32">
        <f t="shared" si="196"/>
        <v>45.767913114754037</v>
      </c>
      <c r="V184" s="32">
        <f t="shared" si="196"/>
        <v>45.900699999999972</v>
      </c>
      <c r="W184" s="32">
        <f t="shared" si="196"/>
        <v>45.91127868852459</v>
      </c>
      <c r="Y184" s="392"/>
      <c r="Z184" s="392"/>
      <c r="AA184" s="392"/>
      <c r="AB184" s="392"/>
      <c r="AC184" s="392"/>
      <c r="AD184" s="392"/>
      <c r="AE184" s="392"/>
      <c r="AF184" s="392"/>
      <c r="AG184" s="392"/>
      <c r="AH184" s="392"/>
      <c r="AI184" s="392"/>
      <c r="AJ184" s="392"/>
      <c r="AK184" s="392"/>
      <c r="AL184" s="392"/>
      <c r="AM184" s="392"/>
      <c r="AN184" s="392"/>
      <c r="AO184" s="392"/>
      <c r="AP184" s="392"/>
      <c r="AQ184" s="392"/>
      <c r="AR184" s="392"/>
      <c r="AS184" s="392"/>
    </row>
    <row r="185" spans="2:45" s="33" customFormat="1" x14ac:dyDescent="0.3">
      <c r="B185" s="63" t="s">
        <v>199</v>
      </c>
      <c r="C185" s="64"/>
      <c r="D185" s="31">
        <f t="shared" ref="D185:W185" si="197">+D180-D$177</f>
        <v>50.5670163934426</v>
      </c>
      <c r="E185" s="32">
        <f t="shared" si="197"/>
        <v>50.448983606557363</v>
      </c>
      <c r="F185" s="32">
        <f t="shared" si="197"/>
        <v>50.116196721311439</v>
      </c>
      <c r="G185" s="32">
        <f t="shared" si="197"/>
        <v>50.780131147540942</v>
      </c>
      <c r="H185" s="32">
        <f t="shared" si="197"/>
        <v>50.111278688524521</v>
      </c>
      <c r="I185" s="32">
        <f t="shared" si="197"/>
        <v>50.445704918032789</v>
      </c>
      <c r="J185" s="32">
        <f t="shared" si="197"/>
        <v>50.780131147540942</v>
      </c>
      <c r="K185" s="32">
        <f t="shared" si="197"/>
        <v>50.245704918032743</v>
      </c>
      <c r="L185" s="32">
        <f t="shared" si="197"/>
        <v>50.114557377049096</v>
      </c>
      <c r="M185" s="32">
        <f t="shared" si="197"/>
        <v>50.91127868852459</v>
      </c>
      <c r="N185" s="32">
        <f t="shared" si="197"/>
        <v>50.776852459016368</v>
      </c>
      <c r="O185" s="32">
        <f t="shared" si="197"/>
        <v>50.975213114754069</v>
      </c>
      <c r="P185" s="32">
        <f t="shared" si="197"/>
        <v>50.91127868852459</v>
      </c>
      <c r="Q185" s="32">
        <f t="shared" si="197"/>
        <v>50.91127868852459</v>
      </c>
      <c r="R185" s="32">
        <f t="shared" si="197"/>
        <v>50.778491803278598</v>
      </c>
      <c r="S185" s="32">
        <f t="shared" si="197"/>
        <v>50.111278688524521</v>
      </c>
      <c r="T185" s="32">
        <f t="shared" si="197"/>
        <v>50.900699999999972</v>
      </c>
      <c r="U185" s="32">
        <f t="shared" si="197"/>
        <v>50.767913114754037</v>
      </c>
      <c r="V185" s="32">
        <f t="shared" si="197"/>
        <v>50.900699999999972</v>
      </c>
      <c r="W185" s="32">
        <f t="shared" si="197"/>
        <v>50.91127868852459</v>
      </c>
      <c r="Y185" s="392"/>
      <c r="Z185" s="392"/>
      <c r="AA185" s="392"/>
      <c r="AB185" s="392"/>
      <c r="AC185" s="392"/>
      <c r="AD185" s="392"/>
      <c r="AE185" s="392"/>
      <c r="AF185" s="392"/>
      <c r="AG185" s="392"/>
      <c r="AH185" s="392"/>
      <c r="AI185" s="392"/>
      <c r="AJ185" s="392"/>
      <c r="AK185" s="392"/>
      <c r="AL185" s="392"/>
      <c r="AM185" s="392"/>
      <c r="AN185" s="392"/>
      <c r="AO185" s="392"/>
      <c r="AP185" s="392"/>
      <c r="AQ185" s="392"/>
      <c r="AR185" s="392"/>
      <c r="AS185" s="392"/>
    </row>
    <row r="186" spans="2:45" s="33" customFormat="1" x14ac:dyDescent="0.3">
      <c r="B186" s="63" t="s">
        <v>200</v>
      </c>
      <c r="C186" s="64"/>
      <c r="D186" s="31">
        <f t="shared" ref="D186:W186" si="198">+D181-D$177</f>
        <v>55.5670163934426</v>
      </c>
      <c r="E186" s="32">
        <f t="shared" si="198"/>
        <v>55.448983606557363</v>
      </c>
      <c r="F186" s="32">
        <f t="shared" si="198"/>
        <v>55.116196721311439</v>
      </c>
      <c r="G186" s="32">
        <f t="shared" si="198"/>
        <v>55.780131147540942</v>
      </c>
      <c r="H186" s="32">
        <f t="shared" si="198"/>
        <v>55.111278688524521</v>
      </c>
      <c r="I186" s="32">
        <f t="shared" si="198"/>
        <v>55.445704918032789</v>
      </c>
      <c r="J186" s="32">
        <f t="shared" si="198"/>
        <v>55.780131147540942</v>
      </c>
      <c r="K186" s="32">
        <f t="shared" si="198"/>
        <v>55.245704918032743</v>
      </c>
      <c r="L186" s="32">
        <f t="shared" si="198"/>
        <v>55.114557377049096</v>
      </c>
      <c r="M186" s="32">
        <f t="shared" si="198"/>
        <v>55.91127868852459</v>
      </c>
      <c r="N186" s="32">
        <f t="shared" si="198"/>
        <v>55.776852459016368</v>
      </c>
      <c r="O186" s="32">
        <f t="shared" si="198"/>
        <v>55.975213114754069</v>
      </c>
      <c r="P186" s="32">
        <f t="shared" si="198"/>
        <v>55.91127868852459</v>
      </c>
      <c r="Q186" s="32">
        <f t="shared" si="198"/>
        <v>55.91127868852459</v>
      </c>
      <c r="R186" s="32">
        <f t="shared" si="198"/>
        <v>55.778491803278598</v>
      </c>
      <c r="S186" s="32">
        <f t="shared" si="198"/>
        <v>55.111278688524521</v>
      </c>
      <c r="T186" s="32">
        <f t="shared" si="198"/>
        <v>55.900699999999972</v>
      </c>
      <c r="U186" s="32">
        <f t="shared" si="198"/>
        <v>55.767913114754037</v>
      </c>
      <c r="V186" s="32">
        <f t="shared" si="198"/>
        <v>55.900699999999972</v>
      </c>
      <c r="W186" s="32">
        <f t="shared" si="198"/>
        <v>55.91127868852459</v>
      </c>
      <c r="Y186" s="392"/>
      <c r="Z186" s="392"/>
      <c r="AA186" s="392"/>
      <c r="AB186" s="392"/>
      <c r="AC186" s="392"/>
      <c r="AD186" s="392"/>
      <c r="AE186" s="392"/>
      <c r="AF186" s="392"/>
      <c r="AG186" s="392"/>
      <c r="AH186" s="392"/>
      <c r="AI186" s="392"/>
      <c r="AJ186" s="392"/>
      <c r="AK186" s="392"/>
      <c r="AL186" s="392"/>
      <c r="AM186" s="392"/>
      <c r="AN186" s="392"/>
      <c r="AO186" s="392"/>
      <c r="AP186" s="392"/>
      <c r="AQ186" s="392"/>
      <c r="AR186" s="392"/>
      <c r="AS186" s="392"/>
    </row>
    <row r="187" spans="2:45" s="33" customFormat="1" x14ac:dyDescent="0.3">
      <c r="B187" s="63" t="s">
        <v>201</v>
      </c>
      <c r="C187" s="64"/>
      <c r="D187" s="31">
        <f t="shared" ref="D187:W187" si="199">+D182-D$177</f>
        <v>60.5670163934426</v>
      </c>
      <c r="E187" s="34">
        <f t="shared" si="199"/>
        <v>60.448983606557363</v>
      </c>
      <c r="F187" s="34">
        <f t="shared" si="199"/>
        <v>60.116196721311439</v>
      </c>
      <c r="G187" s="34">
        <f t="shared" si="199"/>
        <v>60.780131147540942</v>
      </c>
      <c r="H187" s="34">
        <f t="shared" si="199"/>
        <v>60.111278688524521</v>
      </c>
      <c r="I187" s="34">
        <f t="shared" si="199"/>
        <v>60.445704918032789</v>
      </c>
      <c r="J187" s="34">
        <f t="shared" si="199"/>
        <v>60.780131147540942</v>
      </c>
      <c r="K187" s="34">
        <f t="shared" si="199"/>
        <v>60.245704918032743</v>
      </c>
      <c r="L187" s="34">
        <f t="shared" si="199"/>
        <v>60.114557377049096</v>
      </c>
      <c r="M187" s="34">
        <f t="shared" si="199"/>
        <v>60.91127868852459</v>
      </c>
      <c r="N187" s="34">
        <f t="shared" si="199"/>
        <v>60.776852459016368</v>
      </c>
      <c r="O187" s="34">
        <f t="shared" si="199"/>
        <v>60.975213114754069</v>
      </c>
      <c r="P187" s="34">
        <f t="shared" si="199"/>
        <v>60.91127868852459</v>
      </c>
      <c r="Q187" s="34">
        <f t="shared" si="199"/>
        <v>60.91127868852459</v>
      </c>
      <c r="R187" s="34">
        <f t="shared" si="199"/>
        <v>60.778491803278598</v>
      </c>
      <c r="S187" s="34">
        <f t="shared" si="199"/>
        <v>60.111278688524521</v>
      </c>
      <c r="T187" s="34">
        <f t="shared" si="199"/>
        <v>60.900699999999972</v>
      </c>
      <c r="U187" s="34">
        <f t="shared" si="199"/>
        <v>60.767913114754037</v>
      </c>
      <c r="V187" s="34">
        <f t="shared" si="199"/>
        <v>60.900699999999972</v>
      </c>
      <c r="W187" s="34">
        <f t="shared" si="199"/>
        <v>60.91127868852459</v>
      </c>
      <c r="Y187" s="392"/>
      <c r="Z187" s="392"/>
      <c r="AA187" s="392"/>
      <c r="AB187" s="392"/>
      <c r="AC187" s="392"/>
      <c r="AD187" s="392"/>
      <c r="AE187" s="392"/>
      <c r="AF187" s="392"/>
      <c r="AG187" s="392"/>
      <c r="AH187" s="392"/>
      <c r="AI187" s="392"/>
      <c r="AJ187" s="392"/>
      <c r="AK187" s="392"/>
      <c r="AL187" s="392"/>
      <c r="AM187" s="392"/>
      <c r="AN187" s="392"/>
      <c r="AO187" s="392"/>
      <c r="AP187" s="392"/>
      <c r="AQ187" s="392"/>
      <c r="AR187" s="392"/>
      <c r="AS187" s="392"/>
    </row>
    <row r="188" spans="2:45" x14ac:dyDescent="0.3">
      <c r="B188" s="65" t="s">
        <v>108</v>
      </c>
      <c r="C188" s="55"/>
      <c r="D188" s="43">
        <v>0</v>
      </c>
      <c r="E188" s="408">
        <v>0</v>
      </c>
      <c r="F188" s="408">
        <v>0</v>
      </c>
      <c r="G188" s="408">
        <v>0</v>
      </c>
      <c r="H188" s="408">
        <v>0</v>
      </c>
      <c r="I188" s="408">
        <v>0</v>
      </c>
      <c r="J188" s="408">
        <v>0</v>
      </c>
      <c r="K188" s="408">
        <v>0</v>
      </c>
      <c r="L188" s="408">
        <v>0</v>
      </c>
      <c r="M188" s="408">
        <v>0</v>
      </c>
      <c r="N188" s="408">
        <v>0</v>
      </c>
      <c r="O188" s="408">
        <v>0</v>
      </c>
      <c r="P188" s="408">
        <v>0</v>
      </c>
      <c r="Q188" s="408">
        <v>0</v>
      </c>
      <c r="R188" s="408">
        <v>0</v>
      </c>
      <c r="S188" s="408">
        <v>0</v>
      </c>
      <c r="T188" s="408">
        <v>0</v>
      </c>
      <c r="U188" s="408">
        <v>0</v>
      </c>
      <c r="V188" s="408">
        <v>0</v>
      </c>
      <c r="W188" s="408">
        <v>0</v>
      </c>
      <c r="Y188" s="409"/>
      <c r="Z188" s="409"/>
      <c r="AA188" s="409"/>
      <c r="AB188" s="409"/>
      <c r="AC188" s="409"/>
      <c r="AD188" s="409"/>
      <c r="AE188" s="409"/>
      <c r="AF188" s="409"/>
      <c r="AG188" s="409"/>
      <c r="AH188" s="409"/>
      <c r="AI188" s="409"/>
      <c r="AJ188" s="409"/>
      <c r="AK188" s="409"/>
      <c r="AL188" s="409"/>
      <c r="AM188" s="409"/>
      <c r="AN188" s="409"/>
      <c r="AO188" s="409"/>
      <c r="AP188" s="409"/>
      <c r="AQ188" s="409"/>
      <c r="AR188" s="409"/>
      <c r="AS188" s="409"/>
    </row>
    <row r="189" spans="2:45" s="36" customFormat="1" x14ac:dyDescent="0.3">
      <c r="B189" s="65" t="s">
        <v>202</v>
      </c>
      <c r="C189" s="66"/>
      <c r="D189" s="35">
        <f>+D184/D$179</f>
        <v>7.9246985032074085E-2</v>
      </c>
      <c r="E189" s="35">
        <f t="shared" ref="E189:W189" si="200">+E184/E$179</f>
        <v>7.5622268896102102E-2</v>
      </c>
      <c r="F189" s="35">
        <f>+F184/F$179</f>
        <v>7.3960978231658092E-2</v>
      </c>
      <c r="G189" s="35">
        <f t="shared" si="200"/>
        <v>7.7331302614089423E-2</v>
      </c>
      <c r="H189" s="35">
        <f t="shared" si="200"/>
        <v>7.8591077854572339E-2</v>
      </c>
      <c r="I189" s="35">
        <f t="shared" si="200"/>
        <v>7.8219801924324942E-2</v>
      </c>
      <c r="J189" s="35">
        <f t="shared" si="200"/>
        <v>7.6812300583122384E-2</v>
      </c>
      <c r="K189" s="35">
        <f t="shared" si="200"/>
        <v>7.6948477751756367E-2</v>
      </c>
      <c r="L189" s="35">
        <f t="shared" si="200"/>
        <v>7.5950433294695446E-2</v>
      </c>
      <c r="M189" s="35">
        <f t="shared" si="200"/>
        <v>7.9984806077568971E-2</v>
      </c>
      <c r="N189" s="35">
        <f t="shared" si="200"/>
        <v>7.9473702185792305E-2</v>
      </c>
      <c r="O189" s="35">
        <f t="shared" si="200"/>
        <v>7.599208779298193E-2</v>
      </c>
      <c r="P189" s="35">
        <f t="shared" si="200"/>
        <v>7.9984806077568971E-2</v>
      </c>
      <c r="Q189" s="35">
        <f t="shared" si="200"/>
        <v>7.9984806077568971E-2</v>
      </c>
      <c r="R189" s="35">
        <f t="shared" si="200"/>
        <v>7.8928434143583789E-2</v>
      </c>
      <c r="S189" s="35">
        <f t="shared" si="200"/>
        <v>7.8047194962845193E-2</v>
      </c>
      <c r="T189" s="35">
        <f t="shared" si="200"/>
        <v>8.3153442028985461E-2</v>
      </c>
      <c r="U189" s="35">
        <f t="shared" si="200"/>
        <v>7.6026433745438604E-2</v>
      </c>
      <c r="V189" s="35">
        <f t="shared" si="200"/>
        <v>8.3153442028985461E-2</v>
      </c>
      <c r="W189" s="35">
        <f t="shared" si="200"/>
        <v>7.9984806077568971E-2</v>
      </c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393"/>
      <c r="AJ189" s="393"/>
      <c r="AK189" s="393"/>
      <c r="AL189" s="393"/>
      <c r="AM189" s="393"/>
      <c r="AN189" s="393"/>
      <c r="AO189" s="393"/>
      <c r="AP189" s="393"/>
      <c r="AQ189" s="393"/>
      <c r="AR189" s="393"/>
      <c r="AS189" s="393"/>
    </row>
    <row r="190" spans="2:45" s="36" customFormat="1" x14ac:dyDescent="0.3">
      <c r="B190" s="65" t="s">
        <v>203</v>
      </c>
      <c r="C190" s="66"/>
      <c r="D190" s="35">
        <f>+D185/D$180</f>
        <v>8.7184511023176897E-2</v>
      </c>
      <c r="E190" s="35">
        <f t="shared" ref="E190:W190" si="201">+E185/E$180</f>
        <v>8.3249147865606207E-2</v>
      </c>
      <c r="F190" s="35">
        <f t="shared" si="201"/>
        <v>8.1489750766360058E-2</v>
      </c>
      <c r="G190" s="35">
        <f t="shared" si="201"/>
        <v>8.5058846143284655E-2</v>
      </c>
      <c r="H190" s="35">
        <f t="shared" si="201"/>
        <v>8.6547977009541491E-2</v>
      </c>
      <c r="I190" s="35">
        <f t="shared" si="201"/>
        <v>8.608482067923684E-2</v>
      </c>
      <c r="J190" s="35">
        <f t="shared" si="201"/>
        <v>8.4492730694743667E-2</v>
      </c>
      <c r="K190" s="35">
        <f t="shared" si="201"/>
        <v>8.4731374229397541E-2</v>
      </c>
      <c r="L190" s="35">
        <f t="shared" si="201"/>
        <v>8.3663701798078624E-2</v>
      </c>
      <c r="M190" s="35">
        <f t="shared" si="201"/>
        <v>8.7929669582944028E-2</v>
      </c>
      <c r="N190" s="35">
        <f t="shared" si="201"/>
        <v>8.7395615247876715E-2</v>
      </c>
      <c r="O190" s="35">
        <f t="shared" si="201"/>
        <v>8.3565923138941095E-2</v>
      </c>
      <c r="P190" s="35">
        <f t="shared" si="201"/>
        <v>8.7929669582944028E-2</v>
      </c>
      <c r="Q190" s="35">
        <f t="shared" si="201"/>
        <v>8.7929669582944028E-2</v>
      </c>
      <c r="R190" s="35">
        <f t="shared" si="201"/>
        <v>8.6800840689365125E-2</v>
      </c>
      <c r="S190" s="35">
        <f t="shared" si="201"/>
        <v>8.5954165846525765E-2</v>
      </c>
      <c r="T190" s="35">
        <f t="shared" si="201"/>
        <v>9.1383662477558303E-2</v>
      </c>
      <c r="U190" s="35">
        <f t="shared" si="201"/>
        <v>8.3637418640451461E-2</v>
      </c>
      <c r="V190" s="35">
        <f t="shared" si="201"/>
        <v>9.1383662477558303E-2</v>
      </c>
      <c r="W190" s="35">
        <f t="shared" si="201"/>
        <v>8.7929669582944028E-2</v>
      </c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393"/>
      <c r="AJ190" s="393"/>
      <c r="AK190" s="393"/>
      <c r="AL190" s="393"/>
      <c r="AM190" s="393"/>
      <c r="AN190" s="393"/>
      <c r="AO190" s="393"/>
      <c r="AP190" s="393"/>
      <c r="AQ190" s="393"/>
      <c r="AR190" s="393"/>
      <c r="AS190" s="393"/>
    </row>
    <row r="191" spans="2:45" s="36" customFormat="1" x14ac:dyDescent="0.3">
      <c r="B191" s="65" t="s">
        <v>204</v>
      </c>
      <c r="C191" s="66"/>
      <c r="D191" s="35">
        <f>+D186/D$181</f>
        <v>9.4986352809303592E-2</v>
      </c>
      <c r="E191" s="35">
        <f t="shared" ref="E191:W191" si="202">+E186/E$181</f>
        <v>9.0751200665396672E-2</v>
      </c>
      <c r="F191" s="35">
        <f t="shared" si="202"/>
        <v>8.8897091485986193E-2</v>
      </c>
      <c r="G191" s="35">
        <f t="shared" si="202"/>
        <v>9.2658025162028146E-2</v>
      </c>
      <c r="H191" s="35">
        <f t="shared" si="202"/>
        <v>9.4368627891309106E-2</v>
      </c>
      <c r="I191" s="35">
        <f>+I186/I$181</f>
        <v>9.3816759590580015E-2</v>
      </c>
      <c r="J191" s="35">
        <f t="shared" si="202"/>
        <v>9.2046421035546111E-2</v>
      </c>
      <c r="K191" s="35">
        <f t="shared" si="202"/>
        <v>9.2384121936509606E-2</v>
      </c>
      <c r="L191" s="35">
        <f t="shared" si="202"/>
        <v>9.1249267180544866E-2</v>
      </c>
      <c r="M191" s="35">
        <f t="shared" si="202"/>
        <v>9.5738490905007856E-2</v>
      </c>
      <c r="N191" s="35">
        <f t="shared" si="202"/>
        <v>9.5182342080232712E-2</v>
      </c>
      <c r="O191" s="35">
        <f t="shared" si="202"/>
        <v>9.1016606690657018E-2</v>
      </c>
      <c r="P191" s="35">
        <f t="shared" si="202"/>
        <v>9.5738490905007856E-2</v>
      </c>
      <c r="Q191" s="35">
        <f t="shared" si="202"/>
        <v>9.5738490905007856E-2</v>
      </c>
      <c r="R191" s="35">
        <f t="shared" si="202"/>
        <v>9.4539816615726441E-2</v>
      </c>
      <c r="S191" s="35">
        <f t="shared" si="202"/>
        <v>9.3726664436266191E-2</v>
      </c>
      <c r="T191" s="35">
        <f t="shared" si="202"/>
        <v>9.946743772241988E-2</v>
      </c>
      <c r="U191" s="35">
        <f t="shared" si="202"/>
        <v>9.1124041037179804E-2</v>
      </c>
      <c r="V191" s="35">
        <f t="shared" si="202"/>
        <v>9.946743772241988E-2</v>
      </c>
      <c r="W191" s="35">
        <f t="shared" si="202"/>
        <v>9.5738490905007856E-2</v>
      </c>
      <c r="Y191" s="393"/>
      <c r="Z191" s="393"/>
      <c r="AA191" s="393"/>
      <c r="AB191" s="393"/>
      <c r="AC191" s="393"/>
      <c r="AD191" s="393"/>
      <c r="AE191" s="393"/>
      <c r="AF191" s="393"/>
      <c r="AG191" s="393"/>
      <c r="AH191" s="393"/>
      <c r="AI191" s="393"/>
      <c r="AJ191" s="393"/>
      <c r="AK191" s="393"/>
      <c r="AL191" s="393"/>
      <c r="AM191" s="393"/>
      <c r="AN191" s="393"/>
      <c r="AO191" s="393"/>
      <c r="AP191" s="393"/>
      <c r="AQ191" s="393"/>
      <c r="AR191" s="393"/>
      <c r="AS191" s="393"/>
    </row>
    <row r="192" spans="2:45" s="36" customFormat="1" x14ac:dyDescent="0.3">
      <c r="B192" s="65" t="s">
        <v>205</v>
      </c>
      <c r="C192" s="66"/>
      <c r="D192" s="35">
        <f>+D187/D$182</f>
        <v>0.10265595998888576</v>
      </c>
      <c r="E192" s="35">
        <f t="shared" ref="E192:W192" si="203">+E187/E$182</f>
        <v>9.8131466893761954E-2</v>
      </c>
      <c r="F192" s="35">
        <f t="shared" si="203"/>
        <v>9.6185914754098309E-2</v>
      </c>
      <c r="G192" s="35">
        <f t="shared" si="203"/>
        <v>0.100132011775191</v>
      </c>
      <c r="H192" s="35">
        <f t="shared" si="203"/>
        <v>0.10205650032007559</v>
      </c>
      <c r="I192" s="35">
        <f t="shared" si="203"/>
        <v>0.10141896798327649</v>
      </c>
      <c r="J192" s="35">
        <f t="shared" si="203"/>
        <v>9.9476483056531825E-2</v>
      </c>
      <c r="K192" s="35">
        <f t="shared" si="203"/>
        <v>9.9909958404697755E-2</v>
      </c>
      <c r="L192" s="35">
        <f t="shared" si="203"/>
        <v>9.8710274839161075E-2</v>
      </c>
      <c r="M192" s="35">
        <f t="shared" si="203"/>
        <v>0.10341473461549167</v>
      </c>
      <c r="N192" s="35">
        <f t="shared" si="203"/>
        <v>0.10283731380544224</v>
      </c>
      <c r="O192" s="35">
        <f t="shared" si="203"/>
        <v>9.8347117927022693E-2</v>
      </c>
      <c r="P192" s="35">
        <f t="shared" si="203"/>
        <v>0.10341473461549167</v>
      </c>
      <c r="Q192" s="35">
        <f t="shared" si="203"/>
        <v>0.10341473461549167</v>
      </c>
      <c r="R192" s="35">
        <f t="shared" si="203"/>
        <v>0.10214872571979597</v>
      </c>
      <c r="S192" s="35">
        <f t="shared" si="203"/>
        <v>0.10136809222348149</v>
      </c>
      <c r="T192" s="35">
        <f t="shared" si="203"/>
        <v>0.1074086419753086</v>
      </c>
      <c r="U192" s="35">
        <f t="shared" si="203"/>
        <v>9.848932433509569E-2</v>
      </c>
      <c r="V192" s="35">
        <f t="shared" si="203"/>
        <v>0.1074086419753086</v>
      </c>
      <c r="W192" s="35">
        <f t="shared" si="203"/>
        <v>0.10341473461549167</v>
      </c>
      <c r="Y192" s="393"/>
      <c r="Z192" s="393"/>
      <c r="AA192" s="393"/>
      <c r="AB192" s="393"/>
      <c r="AC192" s="393"/>
      <c r="AD192" s="393"/>
      <c r="AE192" s="393"/>
      <c r="AF192" s="393"/>
      <c r="AG192" s="393"/>
      <c r="AH192" s="393"/>
      <c r="AI192" s="393"/>
      <c r="AJ192" s="393"/>
      <c r="AK192" s="393"/>
      <c r="AL192" s="393"/>
      <c r="AM192" s="393"/>
      <c r="AN192" s="393"/>
      <c r="AO192" s="393"/>
      <c r="AP192" s="393"/>
      <c r="AQ192" s="393"/>
      <c r="AR192" s="393"/>
      <c r="AS192" s="393"/>
    </row>
    <row r="193" spans="1:45" s="36" customFormat="1" ht="21" thickBot="1" x14ac:dyDescent="0.35">
      <c r="B193" s="71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Y193" s="393"/>
      <c r="Z193" s="393"/>
      <c r="AA193" s="393"/>
      <c r="AB193" s="393"/>
      <c r="AC193" s="393"/>
      <c r="AD193" s="393"/>
      <c r="AE193" s="393"/>
      <c r="AF193" s="393"/>
      <c r="AG193" s="393"/>
      <c r="AH193" s="393"/>
      <c r="AI193" s="393"/>
      <c r="AJ193" s="393"/>
      <c r="AK193" s="393"/>
      <c r="AL193" s="393"/>
      <c r="AM193" s="393"/>
      <c r="AN193" s="393"/>
      <c r="AO193" s="393"/>
      <c r="AP193" s="393"/>
      <c r="AQ193" s="393"/>
      <c r="AR193" s="393"/>
      <c r="AS193" s="393"/>
    </row>
    <row r="194" spans="1:45" ht="21" thickBot="1" x14ac:dyDescent="0.35">
      <c r="A194" s="15" t="s">
        <v>316</v>
      </c>
      <c r="B194" s="74" t="s">
        <v>113</v>
      </c>
      <c r="C194" s="68"/>
      <c r="D194" s="17" t="s">
        <v>5</v>
      </c>
      <c r="E194" s="18" t="s">
        <v>6</v>
      </c>
      <c r="F194" s="18" t="s">
        <v>7</v>
      </c>
      <c r="G194" s="18" t="s">
        <v>8</v>
      </c>
      <c r="H194" s="18" t="s">
        <v>9</v>
      </c>
      <c r="I194" s="18" t="s">
        <v>10</v>
      </c>
      <c r="J194" s="18" t="s">
        <v>11</v>
      </c>
      <c r="K194" s="18" t="s">
        <v>12</v>
      </c>
      <c r="L194" s="18" t="s">
        <v>13</v>
      </c>
      <c r="M194" s="18" t="s">
        <v>14</v>
      </c>
      <c r="N194" s="18" t="s">
        <v>15</v>
      </c>
      <c r="O194" s="18" t="s">
        <v>16</v>
      </c>
      <c r="P194" s="18" t="s">
        <v>17</v>
      </c>
      <c r="Q194" s="18" t="s">
        <v>18</v>
      </c>
      <c r="R194" s="18" t="s">
        <v>19</v>
      </c>
      <c r="S194" s="18" t="s">
        <v>20</v>
      </c>
      <c r="T194" s="18" t="s">
        <v>21</v>
      </c>
      <c r="U194" s="18" t="s">
        <v>22</v>
      </c>
      <c r="V194" s="18" t="s">
        <v>23</v>
      </c>
      <c r="W194" s="18" t="s">
        <v>166</v>
      </c>
      <c r="Y194" s="390"/>
      <c r="Z194" s="390"/>
      <c r="AA194" s="390"/>
      <c r="AB194" s="390"/>
      <c r="AC194" s="390"/>
      <c r="AD194" s="390"/>
      <c r="AE194" s="390"/>
      <c r="AF194" s="390"/>
      <c r="AG194" s="390"/>
      <c r="AH194" s="390"/>
      <c r="AI194" s="390"/>
      <c r="AJ194" s="390"/>
      <c r="AK194" s="390"/>
      <c r="AL194" s="390"/>
      <c r="AM194" s="390"/>
      <c r="AN194" s="390"/>
      <c r="AO194" s="390"/>
      <c r="AP194" s="390"/>
      <c r="AQ194" s="390"/>
      <c r="AR194" s="390"/>
      <c r="AS194" s="390"/>
    </row>
    <row r="195" spans="1:45" x14ac:dyDescent="0.3">
      <c r="B195" s="54" t="s">
        <v>50</v>
      </c>
      <c r="C195" s="55"/>
      <c r="D195" s="20">
        <v>460</v>
      </c>
      <c r="E195" s="21">
        <v>460</v>
      </c>
      <c r="F195" s="21">
        <v>460</v>
      </c>
      <c r="G195" s="21">
        <v>460</v>
      </c>
      <c r="H195" s="21">
        <v>460</v>
      </c>
      <c r="I195" s="21">
        <v>460</v>
      </c>
      <c r="J195" s="21">
        <v>460</v>
      </c>
      <c r="K195" s="21">
        <v>460</v>
      </c>
      <c r="L195" s="21">
        <v>460</v>
      </c>
      <c r="M195" s="21">
        <v>460</v>
      </c>
      <c r="N195" s="21">
        <v>460</v>
      </c>
      <c r="O195" s="21">
        <v>460</v>
      </c>
      <c r="P195" s="21">
        <v>460</v>
      </c>
      <c r="Q195" s="21">
        <v>460</v>
      </c>
      <c r="R195" s="21">
        <v>460</v>
      </c>
      <c r="S195" s="21">
        <v>460</v>
      </c>
      <c r="T195" s="21"/>
      <c r="U195" s="21"/>
      <c r="V195" s="21"/>
      <c r="W195" s="21">
        <v>460</v>
      </c>
      <c r="Y195" s="390"/>
      <c r="Z195" s="390"/>
      <c r="AA195" s="390"/>
      <c r="AB195" s="390"/>
      <c r="AC195" s="390"/>
      <c r="AD195" s="390"/>
      <c r="AE195" s="390"/>
      <c r="AF195" s="390"/>
      <c r="AG195" s="390"/>
      <c r="AH195" s="390"/>
      <c r="AI195" s="390"/>
      <c r="AJ195" s="390"/>
      <c r="AK195" s="390"/>
      <c r="AL195" s="390"/>
      <c r="AM195" s="390"/>
      <c r="AN195" s="390"/>
      <c r="AO195" s="390"/>
      <c r="AP195" s="390"/>
      <c r="AQ195" s="390"/>
      <c r="AR195" s="390"/>
      <c r="AS195" s="390"/>
    </row>
    <row r="196" spans="1:45" x14ac:dyDescent="0.3">
      <c r="B196" s="54" t="s">
        <v>51</v>
      </c>
      <c r="C196" s="55"/>
      <c r="D196" s="218">
        <v>0.23</v>
      </c>
      <c r="E196" s="218">
        <f>D196</f>
        <v>0.23</v>
      </c>
      <c r="F196" s="218">
        <f t="shared" ref="F196:R196" si="204">E196</f>
        <v>0.23</v>
      </c>
      <c r="G196" s="218">
        <f t="shared" si="204"/>
        <v>0.23</v>
      </c>
      <c r="H196" s="218">
        <f t="shared" si="204"/>
        <v>0.23</v>
      </c>
      <c r="I196" s="218">
        <f t="shared" si="204"/>
        <v>0.23</v>
      </c>
      <c r="J196" s="218">
        <f t="shared" si="204"/>
        <v>0.23</v>
      </c>
      <c r="K196" s="218">
        <f t="shared" si="204"/>
        <v>0.23</v>
      </c>
      <c r="L196" s="218">
        <f t="shared" si="204"/>
        <v>0.23</v>
      </c>
      <c r="M196" s="218">
        <f t="shared" si="204"/>
        <v>0.23</v>
      </c>
      <c r="N196" s="218">
        <f t="shared" si="204"/>
        <v>0.23</v>
      </c>
      <c r="O196" s="218">
        <f t="shared" si="204"/>
        <v>0.23</v>
      </c>
      <c r="P196" s="218">
        <f t="shared" si="204"/>
        <v>0.23</v>
      </c>
      <c r="Q196" s="218">
        <f t="shared" si="204"/>
        <v>0.23</v>
      </c>
      <c r="R196" s="218">
        <f t="shared" si="204"/>
        <v>0.23</v>
      </c>
      <c r="S196" s="218">
        <f>R196</f>
        <v>0.23</v>
      </c>
      <c r="T196" s="218"/>
      <c r="U196" s="218"/>
      <c r="V196" s="218"/>
      <c r="W196" s="218">
        <f>D196</f>
        <v>0.23</v>
      </c>
      <c r="Y196" s="390"/>
      <c r="Z196" s="390"/>
      <c r="AA196" s="390"/>
      <c r="AB196" s="390"/>
      <c r="AC196" s="390"/>
      <c r="AD196" s="390"/>
      <c r="AE196" s="390"/>
      <c r="AF196" s="390"/>
      <c r="AG196" s="390"/>
      <c r="AH196" s="390"/>
      <c r="AI196" s="390"/>
      <c r="AJ196" s="390"/>
      <c r="AK196" s="390"/>
      <c r="AL196" s="390"/>
      <c r="AM196" s="390"/>
      <c r="AN196" s="390"/>
      <c r="AO196" s="390"/>
      <c r="AP196" s="390"/>
      <c r="AQ196" s="390"/>
      <c r="AR196" s="390"/>
      <c r="AS196" s="390"/>
    </row>
    <row r="197" spans="1:45" x14ac:dyDescent="0.3">
      <c r="B197" s="54" t="s">
        <v>58</v>
      </c>
      <c r="C197" s="55"/>
      <c r="D197" s="21">
        <v>0</v>
      </c>
      <c r="E197" s="21">
        <v>0</v>
      </c>
      <c r="F197" s="21">
        <v>0</v>
      </c>
      <c r="G197" s="21">
        <v>0</v>
      </c>
      <c r="H197" s="21">
        <v>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Y197" s="390"/>
      <c r="Z197" s="390"/>
      <c r="AA197" s="390"/>
      <c r="AB197" s="390"/>
      <c r="AC197" s="390"/>
      <c r="AD197" s="390"/>
      <c r="AE197" s="390"/>
      <c r="AF197" s="390"/>
      <c r="AG197" s="390"/>
      <c r="AH197" s="390"/>
      <c r="AI197" s="390"/>
      <c r="AJ197" s="390"/>
      <c r="AK197" s="390"/>
      <c r="AL197" s="390"/>
      <c r="AM197" s="390"/>
      <c r="AN197" s="390"/>
      <c r="AO197" s="390"/>
      <c r="AP197" s="390"/>
      <c r="AQ197" s="390"/>
      <c r="AR197" s="390"/>
      <c r="AS197" s="390"/>
    </row>
    <row r="198" spans="1:45" x14ac:dyDescent="0.3">
      <c r="B198" s="177" t="s">
        <v>67</v>
      </c>
      <c r="C198" s="178"/>
      <c r="D198" s="323">
        <f>D195-(D195*D196)</f>
        <v>354.2</v>
      </c>
      <c r="E198" s="323">
        <f t="shared" ref="E198:W198" si="205">E195-(E195*E196)</f>
        <v>354.2</v>
      </c>
      <c r="F198" s="323">
        <f t="shared" si="205"/>
        <v>354.2</v>
      </c>
      <c r="G198" s="323">
        <f t="shared" si="205"/>
        <v>354.2</v>
      </c>
      <c r="H198" s="323">
        <f t="shared" si="205"/>
        <v>354.2</v>
      </c>
      <c r="I198" s="323">
        <f t="shared" si="205"/>
        <v>354.2</v>
      </c>
      <c r="J198" s="323">
        <f t="shared" si="205"/>
        <v>354.2</v>
      </c>
      <c r="K198" s="323">
        <f t="shared" si="205"/>
        <v>354.2</v>
      </c>
      <c r="L198" s="323">
        <f t="shared" si="205"/>
        <v>354.2</v>
      </c>
      <c r="M198" s="323">
        <f t="shared" si="205"/>
        <v>354.2</v>
      </c>
      <c r="N198" s="323">
        <f t="shared" si="205"/>
        <v>354.2</v>
      </c>
      <c r="O198" s="323">
        <f t="shared" si="205"/>
        <v>354.2</v>
      </c>
      <c r="P198" s="323">
        <f t="shared" si="205"/>
        <v>354.2</v>
      </c>
      <c r="Q198" s="323">
        <f t="shared" si="205"/>
        <v>354.2</v>
      </c>
      <c r="R198" s="323">
        <f t="shared" si="205"/>
        <v>354.2</v>
      </c>
      <c r="S198" s="323">
        <f t="shared" si="205"/>
        <v>354.2</v>
      </c>
      <c r="T198" s="323">
        <v>335.41</v>
      </c>
      <c r="U198" s="323">
        <v>335.41</v>
      </c>
      <c r="V198" s="323">
        <v>335.41</v>
      </c>
      <c r="W198" s="323">
        <f t="shared" si="205"/>
        <v>354.2</v>
      </c>
      <c r="Y198" s="390"/>
      <c r="Z198" s="390"/>
      <c r="AA198" s="390"/>
      <c r="AB198" s="390"/>
      <c r="AC198" s="390"/>
      <c r="AD198" s="390"/>
      <c r="AE198" s="390"/>
      <c r="AF198" s="390"/>
      <c r="AG198" s="390"/>
      <c r="AH198" s="390"/>
      <c r="AI198" s="390"/>
      <c r="AJ198" s="390"/>
      <c r="AK198" s="390"/>
      <c r="AL198" s="390"/>
      <c r="AM198" s="390"/>
      <c r="AN198" s="390"/>
      <c r="AO198" s="390"/>
      <c r="AP198" s="390"/>
      <c r="AQ198" s="390"/>
      <c r="AR198" s="390"/>
      <c r="AS198" s="390"/>
    </row>
    <row r="199" spans="1:45" x14ac:dyDescent="0.3">
      <c r="B199" s="54" t="s">
        <v>66</v>
      </c>
      <c r="C199" s="56">
        <v>7.0000000000000007E-2</v>
      </c>
      <c r="D199" s="24">
        <f>D198*$C199</f>
        <v>24.794</v>
      </c>
      <c r="E199" s="24">
        <f t="shared" ref="E199:V199" si="206">E198*$C199</f>
        <v>24.794</v>
      </c>
      <c r="F199" s="24">
        <f t="shared" si="206"/>
        <v>24.794</v>
      </c>
      <c r="G199" s="24">
        <f t="shared" si="206"/>
        <v>24.794</v>
      </c>
      <c r="H199" s="24">
        <f t="shared" si="206"/>
        <v>24.794</v>
      </c>
      <c r="I199" s="24">
        <f t="shared" si="206"/>
        <v>24.794</v>
      </c>
      <c r="J199" s="24">
        <f t="shared" si="206"/>
        <v>24.794</v>
      </c>
      <c r="K199" s="24">
        <f t="shared" si="206"/>
        <v>24.794</v>
      </c>
      <c r="L199" s="24">
        <f t="shared" si="206"/>
        <v>24.794</v>
      </c>
      <c r="M199" s="24">
        <f t="shared" si="206"/>
        <v>24.794</v>
      </c>
      <c r="N199" s="24">
        <f t="shared" si="206"/>
        <v>24.794</v>
      </c>
      <c r="O199" s="24">
        <f t="shared" si="206"/>
        <v>24.794</v>
      </c>
      <c r="P199" s="24">
        <f t="shared" si="206"/>
        <v>24.794</v>
      </c>
      <c r="Q199" s="24">
        <f t="shared" si="206"/>
        <v>24.794</v>
      </c>
      <c r="R199" s="24">
        <f t="shared" si="206"/>
        <v>24.794</v>
      </c>
      <c r="S199" s="24">
        <f t="shared" si="206"/>
        <v>24.794</v>
      </c>
      <c r="T199" s="24">
        <f t="shared" si="206"/>
        <v>23.478700000000003</v>
      </c>
      <c r="U199" s="24">
        <f t="shared" si="206"/>
        <v>23.478700000000003</v>
      </c>
      <c r="V199" s="24">
        <f t="shared" si="206"/>
        <v>23.478700000000003</v>
      </c>
      <c r="W199" s="24">
        <f>W198*$C199</f>
        <v>24.794</v>
      </c>
      <c r="Y199" s="390"/>
      <c r="Z199" s="390"/>
      <c r="AA199" s="390"/>
      <c r="AB199" s="390"/>
      <c r="AC199" s="390"/>
      <c r="AD199" s="390"/>
      <c r="AE199" s="390"/>
      <c r="AF199" s="390"/>
      <c r="AG199" s="390"/>
      <c r="AH199" s="390"/>
      <c r="AI199" s="390"/>
      <c r="AJ199" s="390"/>
      <c r="AK199" s="390"/>
      <c r="AL199" s="390"/>
      <c r="AM199" s="390"/>
      <c r="AN199" s="390"/>
      <c r="AO199" s="390"/>
      <c r="AP199" s="390"/>
      <c r="AQ199" s="390"/>
      <c r="AR199" s="390"/>
      <c r="AS199" s="390"/>
    </row>
    <row r="200" spans="1:45" x14ac:dyDescent="0.3">
      <c r="B200" s="54" t="s">
        <v>68</v>
      </c>
      <c r="C200" s="55"/>
      <c r="D200" s="21">
        <f>D198+D199</f>
        <v>378.99399999999997</v>
      </c>
      <c r="E200" s="21">
        <f t="shared" ref="E200:S200" si="207">E198+E199</f>
        <v>378.99399999999997</v>
      </c>
      <c r="F200" s="21">
        <f t="shared" si="207"/>
        <v>378.99399999999997</v>
      </c>
      <c r="G200" s="21">
        <f t="shared" si="207"/>
        <v>378.99399999999997</v>
      </c>
      <c r="H200" s="21">
        <f t="shared" si="207"/>
        <v>378.99399999999997</v>
      </c>
      <c r="I200" s="21">
        <f t="shared" si="207"/>
        <v>378.99399999999997</v>
      </c>
      <c r="J200" s="21">
        <f t="shared" si="207"/>
        <v>378.99399999999997</v>
      </c>
      <c r="K200" s="21">
        <f t="shared" si="207"/>
        <v>378.99399999999997</v>
      </c>
      <c r="L200" s="21">
        <f t="shared" si="207"/>
        <v>378.99399999999997</v>
      </c>
      <c r="M200" s="21">
        <f t="shared" si="207"/>
        <v>378.99399999999997</v>
      </c>
      <c r="N200" s="21">
        <f t="shared" si="207"/>
        <v>378.99399999999997</v>
      </c>
      <c r="O200" s="21">
        <f t="shared" si="207"/>
        <v>378.99399999999997</v>
      </c>
      <c r="P200" s="21">
        <f t="shared" si="207"/>
        <v>378.99399999999997</v>
      </c>
      <c r="Q200" s="21">
        <f t="shared" si="207"/>
        <v>378.99399999999997</v>
      </c>
      <c r="R200" s="21">
        <f t="shared" si="207"/>
        <v>378.99399999999997</v>
      </c>
      <c r="S200" s="21">
        <f t="shared" si="207"/>
        <v>378.99399999999997</v>
      </c>
      <c r="T200" s="21">
        <f>T198+T199</f>
        <v>358.88870000000003</v>
      </c>
      <c r="U200" s="21">
        <f>U198+U199</f>
        <v>358.88870000000003</v>
      </c>
      <c r="V200" s="21">
        <f>V198+V199</f>
        <v>358.88870000000003</v>
      </c>
      <c r="W200" s="21">
        <f>W198+W199</f>
        <v>378.99399999999997</v>
      </c>
      <c r="Y200" s="390"/>
      <c r="Z200" s="390"/>
      <c r="AA200" s="390"/>
      <c r="AB200" s="390"/>
      <c r="AC200" s="390"/>
      <c r="AD200" s="390"/>
      <c r="AE200" s="390"/>
      <c r="AF200" s="390"/>
      <c r="AG200" s="390"/>
      <c r="AH200" s="390"/>
      <c r="AI200" s="390"/>
      <c r="AJ200" s="390"/>
      <c r="AK200" s="390"/>
      <c r="AL200" s="390"/>
      <c r="AM200" s="390"/>
      <c r="AN200" s="390"/>
      <c r="AO200" s="390"/>
      <c r="AP200" s="390"/>
      <c r="AQ200" s="390"/>
      <c r="AR200" s="390"/>
      <c r="AS200" s="390"/>
    </row>
    <row r="201" spans="1:45" x14ac:dyDescent="0.3">
      <c r="B201" s="54" t="s">
        <v>52</v>
      </c>
      <c r="C201" s="55"/>
      <c r="D201" s="398">
        <f>Y203</f>
        <v>15.6625</v>
      </c>
      <c r="E201" s="398">
        <f t="shared" ref="E201:W201" si="208">Z203</f>
        <v>35.577500000000001</v>
      </c>
      <c r="F201" s="398">
        <f t="shared" si="208"/>
        <v>42.693750000000001</v>
      </c>
      <c r="G201" s="398">
        <f t="shared" si="208"/>
        <v>28.462499999999999</v>
      </c>
      <c r="H201" s="398">
        <f t="shared" si="208"/>
        <v>15.2475</v>
      </c>
      <c r="I201" s="398">
        <f t="shared" si="208"/>
        <v>20.329999999999998</v>
      </c>
      <c r="J201" s="398">
        <f t="shared" si="208"/>
        <v>31.512499999999999</v>
      </c>
      <c r="K201" s="398">
        <f t="shared" si="208"/>
        <v>25.82</v>
      </c>
      <c r="L201" s="398">
        <f t="shared" si="208"/>
        <v>30.495000000000001</v>
      </c>
      <c r="M201" s="398">
        <f t="shared" si="208"/>
        <v>14.637499999999999</v>
      </c>
      <c r="N201" s="398">
        <f t="shared" si="208"/>
        <v>16.265000000000001</v>
      </c>
      <c r="O201" s="398">
        <f t="shared" si="208"/>
        <v>38.22625</v>
      </c>
      <c r="P201" s="398">
        <f t="shared" si="208"/>
        <v>14.637499999999999</v>
      </c>
      <c r="Q201" s="398">
        <f t="shared" si="208"/>
        <v>14.637499999999999</v>
      </c>
      <c r="R201" s="398">
        <f t="shared" si="208"/>
        <v>19.313749999999999</v>
      </c>
      <c r="S201" s="398">
        <f t="shared" si="208"/>
        <v>18.297499999999999</v>
      </c>
      <c r="T201" s="398">
        <f t="shared" si="208"/>
        <v>0</v>
      </c>
      <c r="U201" s="398">
        <f t="shared" si="208"/>
        <v>38.22625</v>
      </c>
      <c r="V201" s="398">
        <f t="shared" si="208"/>
        <v>0</v>
      </c>
      <c r="W201" s="398">
        <f t="shared" si="208"/>
        <v>14.637499999999999</v>
      </c>
      <c r="X201" s="195"/>
      <c r="Y201" s="390">
        <v>12530</v>
      </c>
      <c r="Z201" s="390">
        <v>28462</v>
      </c>
      <c r="AA201" s="390">
        <v>34155</v>
      </c>
      <c r="AB201" s="390">
        <v>22770</v>
      </c>
      <c r="AC201" s="390">
        <v>12198</v>
      </c>
      <c r="AD201" s="390">
        <v>16264</v>
      </c>
      <c r="AE201" s="390">
        <v>25210</v>
      </c>
      <c r="AF201" s="390">
        <v>20656</v>
      </c>
      <c r="AG201" s="390">
        <v>24396</v>
      </c>
      <c r="AH201" s="390">
        <v>11710</v>
      </c>
      <c r="AI201" s="390">
        <v>13012</v>
      </c>
      <c r="AJ201" s="390">
        <v>30581</v>
      </c>
      <c r="AK201" s="396">
        <v>11710</v>
      </c>
      <c r="AL201" s="396">
        <v>11710</v>
      </c>
      <c r="AM201" s="390">
        <v>15451</v>
      </c>
      <c r="AN201" s="390">
        <v>14638</v>
      </c>
      <c r="AO201" s="390"/>
      <c r="AP201" s="396">
        <v>30581</v>
      </c>
      <c r="AQ201" s="390"/>
      <c r="AR201" s="396">
        <v>11710</v>
      </c>
      <c r="AS201" s="390"/>
    </row>
    <row r="202" spans="1:45" x14ac:dyDescent="0.3">
      <c r="B202" s="57" t="s">
        <v>53</v>
      </c>
      <c r="C202" s="58"/>
      <c r="D202" s="25">
        <f>SUM(D200:D201)</f>
        <v>394.65649999999999</v>
      </c>
      <c r="E202" s="26">
        <f t="shared" ref="E202:V202" si="209">SUM(E200:E201)</f>
        <v>414.57149999999996</v>
      </c>
      <c r="F202" s="26">
        <f t="shared" si="209"/>
        <v>421.68774999999999</v>
      </c>
      <c r="G202" s="26">
        <f t="shared" si="209"/>
        <v>407.45649999999995</v>
      </c>
      <c r="H202" s="26">
        <f t="shared" si="209"/>
        <v>394.24149999999997</v>
      </c>
      <c r="I202" s="26">
        <f t="shared" si="209"/>
        <v>399.32399999999996</v>
      </c>
      <c r="J202" s="26">
        <f t="shared" si="209"/>
        <v>410.50649999999996</v>
      </c>
      <c r="K202" s="26">
        <f t="shared" si="209"/>
        <v>404.81399999999996</v>
      </c>
      <c r="L202" s="26">
        <f t="shared" si="209"/>
        <v>409.48899999999998</v>
      </c>
      <c r="M202" s="26">
        <f t="shared" si="209"/>
        <v>393.63149999999996</v>
      </c>
      <c r="N202" s="26">
        <f t="shared" si="209"/>
        <v>395.25899999999996</v>
      </c>
      <c r="O202" s="26">
        <f t="shared" si="209"/>
        <v>417.22024999999996</v>
      </c>
      <c r="P202" s="26">
        <f t="shared" si="209"/>
        <v>393.63149999999996</v>
      </c>
      <c r="Q202" s="26">
        <f t="shared" si="209"/>
        <v>393.63149999999996</v>
      </c>
      <c r="R202" s="26">
        <f t="shared" si="209"/>
        <v>398.30774999999994</v>
      </c>
      <c r="S202" s="26">
        <f t="shared" si="209"/>
        <v>397.29149999999998</v>
      </c>
      <c r="T202" s="26">
        <f t="shared" si="209"/>
        <v>358.88870000000003</v>
      </c>
      <c r="U202" s="26">
        <f t="shared" si="209"/>
        <v>397.11495000000002</v>
      </c>
      <c r="V202" s="26">
        <f t="shared" si="209"/>
        <v>358.88870000000003</v>
      </c>
      <c r="W202" s="26">
        <f>SUM(W200:W201)</f>
        <v>393.63149999999996</v>
      </c>
      <c r="Y202" s="390">
        <v>800</v>
      </c>
      <c r="Z202" s="390">
        <v>800</v>
      </c>
      <c r="AA202" s="390">
        <v>800</v>
      </c>
      <c r="AB202" s="390">
        <v>800</v>
      </c>
      <c r="AC202" s="390">
        <v>800</v>
      </c>
      <c r="AD202" s="390">
        <v>800</v>
      </c>
      <c r="AE202" s="390">
        <v>800</v>
      </c>
      <c r="AF202" s="390">
        <v>800</v>
      </c>
      <c r="AG202" s="390">
        <v>800</v>
      </c>
      <c r="AH202" s="390">
        <v>800</v>
      </c>
      <c r="AI202" s="390">
        <v>800</v>
      </c>
      <c r="AJ202" s="390">
        <v>800</v>
      </c>
      <c r="AK202" s="390">
        <v>800</v>
      </c>
      <c r="AL202" s="390">
        <v>800</v>
      </c>
      <c r="AM202" s="390">
        <v>800</v>
      </c>
      <c r="AN202" s="390">
        <v>800</v>
      </c>
      <c r="AO202" s="390"/>
      <c r="AP202" s="390">
        <v>800</v>
      </c>
      <c r="AQ202" s="390"/>
      <c r="AR202" s="390">
        <v>800</v>
      </c>
      <c r="AS202" s="390"/>
    </row>
    <row r="203" spans="1:45" x14ac:dyDescent="0.3">
      <c r="B203" s="54" t="s">
        <v>54</v>
      </c>
      <c r="C203" s="55"/>
      <c r="D203" s="20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Y203" s="389">
        <f>Y201/Y202</f>
        <v>15.6625</v>
      </c>
      <c r="Z203" s="389">
        <f t="shared" ref="Z203" si="210">Z201/Z202</f>
        <v>35.577500000000001</v>
      </c>
      <c r="AA203" s="389">
        <f t="shared" ref="AA203" si="211">AA201/AA202</f>
        <v>42.693750000000001</v>
      </c>
      <c r="AB203" s="389">
        <f t="shared" ref="AB203" si="212">AB201/AB202</f>
        <v>28.462499999999999</v>
      </c>
      <c r="AC203" s="389">
        <f t="shared" ref="AC203" si="213">AC201/AC202</f>
        <v>15.2475</v>
      </c>
      <c r="AD203" s="389">
        <f t="shared" ref="AD203" si="214">AD201/AD202</f>
        <v>20.329999999999998</v>
      </c>
      <c r="AE203" s="389">
        <f t="shared" ref="AE203" si="215">AE201/AE202</f>
        <v>31.512499999999999</v>
      </c>
      <c r="AF203" s="389">
        <f t="shared" ref="AF203" si="216">AF201/AF202</f>
        <v>25.82</v>
      </c>
      <c r="AG203" s="389">
        <f t="shared" ref="AG203" si="217">AG201/AG202</f>
        <v>30.495000000000001</v>
      </c>
      <c r="AH203" s="389">
        <f t="shared" ref="AH203" si="218">AH201/AH202</f>
        <v>14.637499999999999</v>
      </c>
      <c r="AI203" s="389">
        <f t="shared" ref="AI203" si="219">AI201/AI202</f>
        <v>16.265000000000001</v>
      </c>
      <c r="AJ203" s="389">
        <f t="shared" ref="AJ203" si="220">AJ201/AJ202</f>
        <v>38.22625</v>
      </c>
      <c r="AK203" s="389">
        <f t="shared" ref="AK203" si="221">AK201/AK202</f>
        <v>14.637499999999999</v>
      </c>
      <c r="AL203" s="389">
        <f t="shared" ref="AL203" si="222">AL201/AL202</f>
        <v>14.637499999999999</v>
      </c>
      <c r="AM203" s="389">
        <f t="shared" ref="AM203" si="223">AM201/AM202</f>
        <v>19.313749999999999</v>
      </c>
      <c r="AN203" s="389">
        <f t="shared" ref="AN203" si="224">AN201/AN202</f>
        <v>18.297499999999999</v>
      </c>
      <c r="AO203" s="390"/>
      <c r="AP203" s="389">
        <f t="shared" ref="AP203" si="225">AP201/AP202</f>
        <v>38.22625</v>
      </c>
      <c r="AQ203" s="390"/>
      <c r="AR203" s="389">
        <f t="shared" ref="AR203" si="226">AR201/AR202</f>
        <v>14.637499999999999</v>
      </c>
      <c r="AS203" s="390"/>
    </row>
    <row r="204" spans="1:45" x14ac:dyDescent="0.3">
      <c r="B204" s="59" t="s">
        <v>55</v>
      </c>
      <c r="C204" s="60"/>
      <c r="D204" s="27">
        <f>SUM(D202:D203)</f>
        <v>394.65649999999999</v>
      </c>
      <c r="E204" s="41">
        <f t="shared" ref="E204:R204" si="227">SUM(E202:E203)</f>
        <v>414.57149999999996</v>
      </c>
      <c r="F204" s="41">
        <f t="shared" si="227"/>
        <v>421.68774999999999</v>
      </c>
      <c r="G204" s="41">
        <f t="shared" si="227"/>
        <v>407.45649999999995</v>
      </c>
      <c r="H204" s="41">
        <f t="shared" si="227"/>
        <v>394.24149999999997</v>
      </c>
      <c r="I204" s="41">
        <f t="shared" si="227"/>
        <v>399.32399999999996</v>
      </c>
      <c r="J204" s="41">
        <f t="shared" si="227"/>
        <v>410.50649999999996</v>
      </c>
      <c r="K204" s="41">
        <f t="shared" si="227"/>
        <v>404.81399999999996</v>
      </c>
      <c r="L204" s="41">
        <f t="shared" si="227"/>
        <v>409.48899999999998</v>
      </c>
      <c r="M204" s="41">
        <f t="shared" si="227"/>
        <v>393.63149999999996</v>
      </c>
      <c r="N204" s="41">
        <f t="shared" si="227"/>
        <v>395.25899999999996</v>
      </c>
      <c r="O204" s="41">
        <f t="shared" si="227"/>
        <v>417.22024999999996</v>
      </c>
      <c r="P204" s="41">
        <f t="shared" si="227"/>
        <v>393.63149999999996</v>
      </c>
      <c r="Q204" s="41">
        <f t="shared" si="227"/>
        <v>393.63149999999996</v>
      </c>
      <c r="R204" s="41">
        <f t="shared" si="227"/>
        <v>398.30774999999994</v>
      </c>
      <c r="S204" s="41">
        <f>SUM(S202:S203)</f>
        <v>397.29149999999998</v>
      </c>
      <c r="T204" s="41">
        <f>SUM(T202:T203)</f>
        <v>358.88870000000003</v>
      </c>
      <c r="U204" s="41">
        <f>SUM(U202:U203)</f>
        <v>397.11495000000002</v>
      </c>
      <c r="V204" s="41">
        <f>SUM(V202:V203)</f>
        <v>358.88870000000003</v>
      </c>
      <c r="W204" s="41">
        <f>SUM(W202:W203)</f>
        <v>393.63149999999996</v>
      </c>
      <c r="Y204" s="390"/>
      <c r="Z204" s="390"/>
      <c r="AA204" s="390"/>
      <c r="AB204" s="390"/>
      <c r="AC204" s="390"/>
      <c r="AD204" s="390"/>
      <c r="AE204" s="390"/>
      <c r="AF204" s="390"/>
      <c r="AG204" s="390"/>
      <c r="AH204" s="390"/>
      <c r="AI204" s="390"/>
      <c r="AJ204" s="390"/>
      <c r="AK204" s="390"/>
      <c r="AL204" s="390"/>
      <c r="AM204" s="390"/>
      <c r="AN204" s="390"/>
      <c r="AO204" s="390"/>
      <c r="AP204" s="390"/>
      <c r="AQ204" s="390"/>
      <c r="AR204" s="390"/>
      <c r="AS204" s="390"/>
    </row>
    <row r="205" spans="1:45" x14ac:dyDescent="0.3">
      <c r="B205" s="61" t="s">
        <v>101</v>
      </c>
      <c r="C205" s="55"/>
      <c r="D205" s="43">
        <v>0</v>
      </c>
      <c r="E205" s="408">
        <v>0</v>
      </c>
      <c r="F205" s="408">
        <v>0</v>
      </c>
      <c r="G205" s="408">
        <v>0</v>
      </c>
      <c r="H205" s="408">
        <v>0</v>
      </c>
      <c r="I205" s="408">
        <v>0</v>
      </c>
      <c r="J205" s="408">
        <v>0</v>
      </c>
      <c r="K205" s="408">
        <v>0</v>
      </c>
      <c r="L205" s="408">
        <v>0</v>
      </c>
      <c r="M205" s="408">
        <v>0</v>
      </c>
      <c r="N205" s="408">
        <v>0</v>
      </c>
      <c r="O205" s="408">
        <v>0</v>
      </c>
      <c r="P205" s="408">
        <v>0</v>
      </c>
      <c r="Q205" s="408">
        <v>0</v>
      </c>
      <c r="R205" s="408">
        <v>0</v>
      </c>
      <c r="S205" s="408">
        <v>0</v>
      </c>
      <c r="T205" s="408">
        <v>0</v>
      </c>
      <c r="U205" s="408">
        <v>0</v>
      </c>
      <c r="V205" s="408">
        <v>0</v>
      </c>
      <c r="W205" s="408">
        <v>0</v>
      </c>
      <c r="Y205" s="409"/>
      <c r="Z205" s="409"/>
      <c r="AA205" s="409"/>
      <c r="AB205" s="409"/>
      <c r="AC205" s="409"/>
      <c r="AD205" s="409"/>
      <c r="AE205" s="409"/>
      <c r="AF205" s="409"/>
      <c r="AG205" s="409"/>
      <c r="AH205" s="409"/>
      <c r="AI205" s="409"/>
      <c r="AJ205" s="409"/>
      <c r="AK205" s="409"/>
      <c r="AL205" s="409"/>
      <c r="AM205" s="409"/>
      <c r="AN205" s="409"/>
      <c r="AO205" s="409"/>
      <c r="AP205" s="409"/>
      <c r="AQ205" s="409"/>
      <c r="AR205" s="409"/>
      <c r="AS205" s="409"/>
    </row>
    <row r="206" spans="1:45" x14ac:dyDescent="0.3">
      <c r="B206" s="171" t="s">
        <v>194</v>
      </c>
      <c r="C206" s="55"/>
      <c r="D206" s="20">
        <v>425</v>
      </c>
      <c r="E206" s="21">
        <v>445</v>
      </c>
      <c r="F206" s="21">
        <v>452</v>
      </c>
      <c r="G206" s="21">
        <v>438</v>
      </c>
      <c r="H206" s="21">
        <v>425</v>
      </c>
      <c r="I206" s="21">
        <v>430</v>
      </c>
      <c r="J206" s="21">
        <v>441</v>
      </c>
      <c r="K206" s="21">
        <v>435</v>
      </c>
      <c r="L206" s="21">
        <v>440</v>
      </c>
      <c r="M206" s="21">
        <v>424</v>
      </c>
      <c r="N206" s="21">
        <v>426</v>
      </c>
      <c r="O206" s="21">
        <v>448</v>
      </c>
      <c r="P206" s="21">
        <v>424</v>
      </c>
      <c r="Q206" s="21">
        <v>424</v>
      </c>
      <c r="R206" s="21">
        <v>429</v>
      </c>
      <c r="S206" s="21">
        <v>428</v>
      </c>
      <c r="T206" s="21">
        <v>389</v>
      </c>
      <c r="U206" s="21">
        <v>428</v>
      </c>
      <c r="V206" s="21">
        <v>389</v>
      </c>
      <c r="W206" s="21">
        <v>424</v>
      </c>
      <c r="Y206" s="390"/>
      <c r="Z206" s="390"/>
      <c r="AA206" s="390"/>
      <c r="AB206" s="390"/>
      <c r="AC206" s="390"/>
      <c r="AD206" s="390"/>
      <c r="AE206" s="390"/>
      <c r="AF206" s="390"/>
      <c r="AG206" s="390"/>
      <c r="AH206" s="390"/>
      <c r="AI206" s="390"/>
      <c r="AJ206" s="390"/>
      <c r="AK206" s="390"/>
      <c r="AL206" s="390"/>
      <c r="AM206" s="390"/>
      <c r="AN206" s="390"/>
      <c r="AO206" s="390"/>
      <c r="AP206" s="390"/>
      <c r="AQ206" s="390"/>
      <c r="AR206" s="390"/>
      <c r="AS206" s="390"/>
    </row>
    <row r="207" spans="1:45" x14ac:dyDescent="0.3">
      <c r="B207" s="61" t="s">
        <v>195</v>
      </c>
      <c r="C207" s="55"/>
      <c r="D207" s="106">
        <v>430</v>
      </c>
      <c r="E207" s="21">
        <v>450</v>
      </c>
      <c r="F207" s="21">
        <v>457</v>
      </c>
      <c r="G207" s="21">
        <v>443</v>
      </c>
      <c r="H207" s="21">
        <v>430</v>
      </c>
      <c r="I207" s="21">
        <v>435</v>
      </c>
      <c r="J207" s="21">
        <v>446</v>
      </c>
      <c r="K207" s="21">
        <v>440</v>
      </c>
      <c r="L207" s="21">
        <v>445</v>
      </c>
      <c r="M207" s="21">
        <v>429</v>
      </c>
      <c r="N207" s="21">
        <v>431</v>
      </c>
      <c r="O207" s="21">
        <v>453</v>
      </c>
      <c r="P207" s="21">
        <v>429</v>
      </c>
      <c r="Q207" s="21">
        <v>429</v>
      </c>
      <c r="R207" s="21">
        <v>434</v>
      </c>
      <c r="S207" s="21">
        <v>433</v>
      </c>
      <c r="T207" s="21">
        <v>394</v>
      </c>
      <c r="U207" s="21">
        <v>433</v>
      </c>
      <c r="V207" s="21">
        <v>394</v>
      </c>
      <c r="W207" s="21">
        <v>429</v>
      </c>
      <c r="Y207" s="390"/>
      <c r="Z207" s="390"/>
      <c r="AA207" s="390"/>
      <c r="AB207" s="390"/>
      <c r="AC207" s="390"/>
      <c r="AD207" s="390"/>
      <c r="AE207" s="390"/>
      <c r="AF207" s="390"/>
      <c r="AG207" s="390"/>
      <c r="AH207" s="390"/>
      <c r="AI207" s="390"/>
      <c r="AJ207" s="390"/>
      <c r="AK207" s="390"/>
      <c r="AL207" s="390"/>
      <c r="AM207" s="390"/>
      <c r="AN207" s="390"/>
      <c r="AO207" s="390"/>
      <c r="AP207" s="390"/>
      <c r="AQ207" s="390"/>
      <c r="AR207" s="390"/>
      <c r="AS207" s="390"/>
    </row>
    <row r="208" spans="1:45" s="30" customFormat="1" x14ac:dyDescent="0.3">
      <c r="B208" s="61" t="s">
        <v>196</v>
      </c>
      <c r="C208" s="62"/>
      <c r="D208" s="28">
        <v>435</v>
      </c>
      <c r="E208" s="28">
        <v>455</v>
      </c>
      <c r="F208" s="28">
        <v>462</v>
      </c>
      <c r="G208" s="28">
        <v>448</v>
      </c>
      <c r="H208" s="28">
        <v>435</v>
      </c>
      <c r="I208" s="28">
        <v>440</v>
      </c>
      <c r="J208" s="28">
        <v>451</v>
      </c>
      <c r="K208" s="28">
        <v>445</v>
      </c>
      <c r="L208" s="28">
        <v>450</v>
      </c>
      <c r="M208" s="28">
        <v>434</v>
      </c>
      <c r="N208" s="28">
        <v>436</v>
      </c>
      <c r="O208" s="28">
        <v>458</v>
      </c>
      <c r="P208" s="28">
        <v>434</v>
      </c>
      <c r="Q208" s="28">
        <v>434</v>
      </c>
      <c r="R208" s="28">
        <v>439</v>
      </c>
      <c r="S208" s="28">
        <v>438</v>
      </c>
      <c r="T208" s="28">
        <v>399</v>
      </c>
      <c r="U208" s="28">
        <v>438</v>
      </c>
      <c r="V208" s="28">
        <v>399</v>
      </c>
      <c r="W208" s="28">
        <v>434</v>
      </c>
      <c r="Y208" s="391"/>
      <c r="Z208" s="391"/>
      <c r="AA208" s="391"/>
      <c r="AB208" s="391"/>
      <c r="AC208" s="391"/>
      <c r="AD208" s="391"/>
      <c r="AE208" s="391"/>
      <c r="AF208" s="391"/>
      <c r="AG208" s="391"/>
      <c r="AH208" s="391"/>
      <c r="AI208" s="391"/>
      <c r="AJ208" s="391"/>
      <c r="AK208" s="391"/>
      <c r="AL208" s="391"/>
      <c r="AM208" s="391"/>
      <c r="AN208" s="391"/>
      <c r="AO208" s="391"/>
      <c r="AP208" s="391"/>
      <c r="AQ208" s="391"/>
      <c r="AR208" s="391"/>
      <c r="AS208" s="391"/>
    </row>
    <row r="209" spans="1:45" s="30" customFormat="1" x14ac:dyDescent="0.3">
      <c r="B209" s="61" t="s">
        <v>197</v>
      </c>
      <c r="C209" s="62"/>
      <c r="D209" s="28">
        <v>440</v>
      </c>
      <c r="E209" s="28">
        <v>460</v>
      </c>
      <c r="F209" s="28">
        <v>467</v>
      </c>
      <c r="G209" s="28">
        <v>453</v>
      </c>
      <c r="H209" s="28">
        <v>440</v>
      </c>
      <c r="I209" s="28">
        <v>445</v>
      </c>
      <c r="J209" s="28">
        <v>456</v>
      </c>
      <c r="K209" s="28">
        <v>450</v>
      </c>
      <c r="L209" s="28">
        <v>455</v>
      </c>
      <c r="M209" s="28">
        <v>439</v>
      </c>
      <c r="N209" s="28">
        <v>441</v>
      </c>
      <c r="O209" s="28">
        <v>463</v>
      </c>
      <c r="P209" s="28">
        <v>439</v>
      </c>
      <c r="Q209" s="28">
        <v>439</v>
      </c>
      <c r="R209" s="28">
        <v>444</v>
      </c>
      <c r="S209" s="28">
        <v>443</v>
      </c>
      <c r="T209" s="28">
        <v>404</v>
      </c>
      <c r="U209" s="28">
        <v>443</v>
      </c>
      <c r="V209" s="28">
        <v>404</v>
      </c>
      <c r="W209" s="28">
        <v>439</v>
      </c>
      <c r="Y209" s="391"/>
      <c r="Z209" s="391"/>
      <c r="AA209" s="391"/>
      <c r="AB209" s="391"/>
      <c r="AC209" s="391"/>
      <c r="AD209" s="391"/>
      <c r="AE209" s="391"/>
      <c r="AF209" s="391"/>
      <c r="AG209" s="391"/>
      <c r="AH209" s="391"/>
      <c r="AI209" s="391"/>
      <c r="AJ209" s="391"/>
      <c r="AK209" s="391"/>
      <c r="AL209" s="391"/>
      <c r="AM209" s="391"/>
      <c r="AN209" s="391"/>
      <c r="AO209" s="391"/>
      <c r="AP209" s="391"/>
      <c r="AQ209" s="391"/>
      <c r="AR209" s="391"/>
      <c r="AS209" s="391"/>
    </row>
    <row r="210" spans="1:45" x14ac:dyDescent="0.3">
      <c r="B210" s="63" t="s">
        <v>103</v>
      </c>
      <c r="C210" s="55"/>
      <c r="D210" s="43">
        <v>0</v>
      </c>
      <c r="E210" s="408">
        <v>0</v>
      </c>
      <c r="F210" s="408">
        <v>0</v>
      </c>
      <c r="G210" s="408">
        <v>0</v>
      </c>
      <c r="H210" s="408">
        <v>0</v>
      </c>
      <c r="I210" s="408">
        <v>0</v>
      </c>
      <c r="J210" s="408">
        <v>0</v>
      </c>
      <c r="K210" s="408">
        <v>0</v>
      </c>
      <c r="L210" s="408">
        <v>0</v>
      </c>
      <c r="M210" s="408">
        <v>0</v>
      </c>
      <c r="N210" s="408">
        <v>0</v>
      </c>
      <c r="O210" s="408">
        <v>0</v>
      </c>
      <c r="P210" s="408">
        <v>0</v>
      </c>
      <c r="Q210" s="408">
        <v>0</v>
      </c>
      <c r="R210" s="408">
        <v>0</v>
      </c>
      <c r="S210" s="408">
        <v>0</v>
      </c>
      <c r="T210" s="408">
        <v>0</v>
      </c>
      <c r="U210" s="408">
        <v>0</v>
      </c>
      <c r="V210" s="408">
        <v>0</v>
      </c>
      <c r="W210" s="408">
        <v>0</v>
      </c>
      <c r="Y210" s="409"/>
      <c r="Z210" s="409"/>
      <c r="AA210" s="409"/>
      <c r="AB210" s="409"/>
      <c r="AC210" s="409"/>
      <c r="AD210" s="409"/>
      <c r="AE210" s="409"/>
      <c r="AF210" s="409"/>
      <c r="AG210" s="409"/>
      <c r="AH210" s="409"/>
      <c r="AI210" s="409"/>
      <c r="AJ210" s="409"/>
      <c r="AK210" s="409"/>
      <c r="AL210" s="409"/>
      <c r="AM210" s="409"/>
      <c r="AN210" s="409"/>
      <c r="AO210" s="409"/>
      <c r="AP210" s="409"/>
      <c r="AQ210" s="409"/>
      <c r="AR210" s="409"/>
      <c r="AS210" s="409"/>
    </row>
    <row r="211" spans="1:45" s="33" customFormat="1" x14ac:dyDescent="0.3">
      <c r="B211" s="63" t="s">
        <v>198</v>
      </c>
      <c r="C211" s="64"/>
      <c r="D211" s="31">
        <f t="shared" ref="D211:W211" si="228">+D206-D$204</f>
        <v>30.343500000000006</v>
      </c>
      <c r="E211" s="32">
        <f t="shared" si="228"/>
        <v>30.428500000000042</v>
      </c>
      <c r="F211" s="32">
        <f t="shared" si="228"/>
        <v>30.312250000000006</v>
      </c>
      <c r="G211" s="32">
        <f t="shared" si="228"/>
        <v>30.543500000000051</v>
      </c>
      <c r="H211" s="32">
        <f t="shared" si="228"/>
        <v>30.758500000000026</v>
      </c>
      <c r="I211" s="32">
        <f t="shared" si="228"/>
        <v>30.676000000000045</v>
      </c>
      <c r="J211" s="32">
        <f t="shared" si="228"/>
        <v>30.49350000000004</v>
      </c>
      <c r="K211" s="32">
        <f t="shared" si="228"/>
        <v>30.186000000000035</v>
      </c>
      <c r="L211" s="32">
        <f t="shared" si="228"/>
        <v>30.511000000000024</v>
      </c>
      <c r="M211" s="32">
        <f t="shared" si="228"/>
        <v>30.36850000000004</v>
      </c>
      <c r="N211" s="32">
        <f t="shared" si="228"/>
        <v>30.741000000000042</v>
      </c>
      <c r="O211" s="32">
        <f t="shared" si="228"/>
        <v>30.779750000000035</v>
      </c>
      <c r="P211" s="32">
        <f t="shared" si="228"/>
        <v>30.36850000000004</v>
      </c>
      <c r="Q211" s="32">
        <f t="shared" si="228"/>
        <v>30.36850000000004</v>
      </c>
      <c r="R211" s="32">
        <f t="shared" si="228"/>
        <v>30.692250000000058</v>
      </c>
      <c r="S211" s="32">
        <f t="shared" si="228"/>
        <v>30.708500000000015</v>
      </c>
      <c r="T211" s="32">
        <f t="shared" si="228"/>
        <v>30.111299999999972</v>
      </c>
      <c r="U211" s="32">
        <f t="shared" si="228"/>
        <v>30.885049999999978</v>
      </c>
      <c r="V211" s="32">
        <f t="shared" si="228"/>
        <v>30.111299999999972</v>
      </c>
      <c r="W211" s="32">
        <f t="shared" si="228"/>
        <v>30.36850000000004</v>
      </c>
      <c r="Y211" s="392"/>
      <c r="Z211" s="392"/>
      <c r="AA211" s="392"/>
      <c r="AB211" s="392"/>
      <c r="AC211" s="392"/>
      <c r="AD211" s="392"/>
      <c r="AE211" s="392"/>
      <c r="AF211" s="392"/>
      <c r="AG211" s="392"/>
      <c r="AH211" s="392"/>
      <c r="AI211" s="392"/>
      <c r="AJ211" s="392"/>
      <c r="AK211" s="392"/>
      <c r="AL211" s="392"/>
      <c r="AM211" s="392"/>
      <c r="AN211" s="392"/>
      <c r="AO211" s="392"/>
      <c r="AP211" s="392"/>
      <c r="AQ211" s="392"/>
      <c r="AR211" s="392"/>
      <c r="AS211" s="392"/>
    </row>
    <row r="212" spans="1:45" s="33" customFormat="1" x14ac:dyDescent="0.3">
      <c r="B212" s="63" t="s">
        <v>199</v>
      </c>
      <c r="C212" s="64"/>
      <c r="D212" s="31">
        <f t="shared" ref="D212:W212" si="229">+D207-D$204</f>
        <v>35.343500000000006</v>
      </c>
      <c r="E212" s="32">
        <f t="shared" si="229"/>
        <v>35.428500000000042</v>
      </c>
      <c r="F212" s="32">
        <f t="shared" si="229"/>
        <v>35.312250000000006</v>
      </c>
      <c r="G212" s="32">
        <f t="shared" si="229"/>
        <v>35.543500000000051</v>
      </c>
      <c r="H212" s="32">
        <f t="shared" si="229"/>
        <v>35.758500000000026</v>
      </c>
      <c r="I212" s="32">
        <f t="shared" si="229"/>
        <v>35.676000000000045</v>
      </c>
      <c r="J212" s="32">
        <f t="shared" si="229"/>
        <v>35.49350000000004</v>
      </c>
      <c r="K212" s="32">
        <f t="shared" si="229"/>
        <v>35.186000000000035</v>
      </c>
      <c r="L212" s="32">
        <f t="shared" si="229"/>
        <v>35.511000000000024</v>
      </c>
      <c r="M212" s="32">
        <f t="shared" si="229"/>
        <v>35.36850000000004</v>
      </c>
      <c r="N212" s="32">
        <f t="shared" si="229"/>
        <v>35.741000000000042</v>
      </c>
      <c r="O212" s="32">
        <f t="shared" si="229"/>
        <v>35.779750000000035</v>
      </c>
      <c r="P212" s="32">
        <f t="shared" si="229"/>
        <v>35.36850000000004</v>
      </c>
      <c r="Q212" s="32">
        <f t="shared" si="229"/>
        <v>35.36850000000004</v>
      </c>
      <c r="R212" s="32">
        <f t="shared" si="229"/>
        <v>35.692250000000058</v>
      </c>
      <c r="S212" s="32">
        <f t="shared" si="229"/>
        <v>35.708500000000015</v>
      </c>
      <c r="T212" s="32">
        <f t="shared" si="229"/>
        <v>35.111299999999972</v>
      </c>
      <c r="U212" s="32">
        <f t="shared" si="229"/>
        <v>35.885049999999978</v>
      </c>
      <c r="V212" s="32">
        <f t="shared" si="229"/>
        <v>35.111299999999972</v>
      </c>
      <c r="W212" s="32">
        <f t="shared" si="229"/>
        <v>35.36850000000004</v>
      </c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</row>
    <row r="213" spans="1:45" s="33" customFormat="1" x14ac:dyDescent="0.3">
      <c r="B213" s="63" t="s">
        <v>200</v>
      </c>
      <c r="C213" s="64"/>
      <c r="D213" s="31">
        <f t="shared" ref="D213:W213" si="230">+D208-D$204</f>
        <v>40.343500000000006</v>
      </c>
      <c r="E213" s="32">
        <f t="shared" si="230"/>
        <v>40.428500000000042</v>
      </c>
      <c r="F213" s="32">
        <f t="shared" si="230"/>
        <v>40.312250000000006</v>
      </c>
      <c r="G213" s="32">
        <f t="shared" si="230"/>
        <v>40.543500000000051</v>
      </c>
      <c r="H213" s="32">
        <f t="shared" si="230"/>
        <v>40.758500000000026</v>
      </c>
      <c r="I213" s="32">
        <f t="shared" si="230"/>
        <v>40.676000000000045</v>
      </c>
      <c r="J213" s="32">
        <f t="shared" si="230"/>
        <v>40.49350000000004</v>
      </c>
      <c r="K213" s="32">
        <f t="shared" si="230"/>
        <v>40.186000000000035</v>
      </c>
      <c r="L213" s="32">
        <f t="shared" si="230"/>
        <v>40.511000000000024</v>
      </c>
      <c r="M213" s="32">
        <f t="shared" si="230"/>
        <v>40.36850000000004</v>
      </c>
      <c r="N213" s="32">
        <f t="shared" si="230"/>
        <v>40.741000000000042</v>
      </c>
      <c r="O213" s="32">
        <f t="shared" si="230"/>
        <v>40.779750000000035</v>
      </c>
      <c r="P213" s="32">
        <f t="shared" si="230"/>
        <v>40.36850000000004</v>
      </c>
      <c r="Q213" s="32">
        <f t="shared" si="230"/>
        <v>40.36850000000004</v>
      </c>
      <c r="R213" s="32">
        <f t="shared" si="230"/>
        <v>40.692250000000058</v>
      </c>
      <c r="S213" s="32">
        <f t="shared" si="230"/>
        <v>40.708500000000015</v>
      </c>
      <c r="T213" s="32">
        <f t="shared" si="230"/>
        <v>40.111299999999972</v>
      </c>
      <c r="U213" s="32">
        <f t="shared" si="230"/>
        <v>40.885049999999978</v>
      </c>
      <c r="V213" s="32">
        <f t="shared" si="230"/>
        <v>40.111299999999972</v>
      </c>
      <c r="W213" s="32">
        <f t="shared" si="230"/>
        <v>40.36850000000004</v>
      </c>
      <c r="Y213" s="392"/>
      <c r="Z213" s="392"/>
      <c r="AA213" s="392"/>
      <c r="AB213" s="392"/>
      <c r="AC213" s="392"/>
      <c r="AD213" s="392"/>
      <c r="AE213" s="392"/>
      <c r="AF213" s="392"/>
      <c r="AG213" s="392"/>
      <c r="AH213" s="392"/>
      <c r="AI213" s="392"/>
      <c r="AJ213" s="392"/>
      <c r="AK213" s="392"/>
      <c r="AL213" s="392"/>
      <c r="AM213" s="392"/>
      <c r="AN213" s="392"/>
      <c r="AO213" s="392"/>
      <c r="AP213" s="392"/>
      <c r="AQ213" s="392"/>
      <c r="AR213" s="392"/>
      <c r="AS213" s="392"/>
    </row>
    <row r="214" spans="1:45" s="33" customFormat="1" x14ac:dyDescent="0.3">
      <c r="B214" s="63" t="s">
        <v>201</v>
      </c>
      <c r="C214" s="64"/>
      <c r="D214" s="31">
        <f t="shared" ref="D214:W214" si="231">+D209-D$204</f>
        <v>45.343500000000006</v>
      </c>
      <c r="E214" s="34">
        <f t="shared" si="231"/>
        <v>45.428500000000042</v>
      </c>
      <c r="F214" s="34">
        <f t="shared" si="231"/>
        <v>45.312250000000006</v>
      </c>
      <c r="G214" s="34">
        <f t="shared" si="231"/>
        <v>45.543500000000051</v>
      </c>
      <c r="H214" s="34">
        <f t="shared" si="231"/>
        <v>45.758500000000026</v>
      </c>
      <c r="I214" s="34">
        <f t="shared" si="231"/>
        <v>45.676000000000045</v>
      </c>
      <c r="J214" s="34">
        <f t="shared" si="231"/>
        <v>45.49350000000004</v>
      </c>
      <c r="K214" s="34">
        <f t="shared" si="231"/>
        <v>45.186000000000035</v>
      </c>
      <c r="L214" s="34">
        <f t="shared" si="231"/>
        <v>45.511000000000024</v>
      </c>
      <c r="M214" s="34">
        <f t="shared" si="231"/>
        <v>45.36850000000004</v>
      </c>
      <c r="N214" s="34">
        <f t="shared" si="231"/>
        <v>45.741000000000042</v>
      </c>
      <c r="O214" s="34">
        <f t="shared" si="231"/>
        <v>45.779750000000035</v>
      </c>
      <c r="P214" s="34">
        <f t="shared" si="231"/>
        <v>45.36850000000004</v>
      </c>
      <c r="Q214" s="34">
        <f t="shared" si="231"/>
        <v>45.36850000000004</v>
      </c>
      <c r="R214" s="34">
        <f t="shared" si="231"/>
        <v>45.692250000000058</v>
      </c>
      <c r="S214" s="34">
        <f t="shared" si="231"/>
        <v>45.708500000000015</v>
      </c>
      <c r="T214" s="34">
        <f t="shared" si="231"/>
        <v>45.111299999999972</v>
      </c>
      <c r="U214" s="34">
        <f t="shared" si="231"/>
        <v>45.885049999999978</v>
      </c>
      <c r="V214" s="34">
        <f t="shared" si="231"/>
        <v>45.111299999999972</v>
      </c>
      <c r="W214" s="34">
        <f t="shared" si="231"/>
        <v>45.36850000000004</v>
      </c>
      <c r="Y214" s="392"/>
      <c r="Z214" s="392"/>
      <c r="AA214" s="392"/>
      <c r="AB214" s="392"/>
      <c r="AC214" s="392"/>
      <c r="AD214" s="392"/>
      <c r="AE214" s="392"/>
      <c r="AF214" s="392"/>
      <c r="AG214" s="392"/>
      <c r="AH214" s="392"/>
      <c r="AI214" s="392"/>
      <c r="AJ214" s="392"/>
      <c r="AK214" s="392"/>
      <c r="AL214" s="392"/>
      <c r="AM214" s="392"/>
      <c r="AN214" s="392"/>
      <c r="AO214" s="392"/>
      <c r="AP214" s="392"/>
      <c r="AQ214" s="392"/>
      <c r="AR214" s="392"/>
      <c r="AS214" s="392"/>
    </row>
    <row r="215" spans="1:45" x14ac:dyDescent="0.3">
      <c r="B215" s="65" t="s">
        <v>108</v>
      </c>
      <c r="C215" s="55"/>
      <c r="D215" s="43">
        <v>0</v>
      </c>
      <c r="E215" s="408">
        <v>0</v>
      </c>
      <c r="F215" s="408">
        <v>0</v>
      </c>
      <c r="G215" s="408">
        <v>0</v>
      </c>
      <c r="H215" s="408">
        <v>0</v>
      </c>
      <c r="I215" s="408">
        <v>0</v>
      </c>
      <c r="J215" s="408">
        <v>0</v>
      </c>
      <c r="K215" s="408">
        <v>0</v>
      </c>
      <c r="L215" s="408">
        <v>0</v>
      </c>
      <c r="M215" s="408">
        <v>0</v>
      </c>
      <c r="N215" s="408">
        <v>0</v>
      </c>
      <c r="O215" s="408">
        <v>0</v>
      </c>
      <c r="P215" s="408">
        <v>0</v>
      </c>
      <c r="Q215" s="408">
        <v>0</v>
      </c>
      <c r="R215" s="408">
        <v>0</v>
      </c>
      <c r="S215" s="408">
        <v>0</v>
      </c>
      <c r="T215" s="408">
        <v>0</v>
      </c>
      <c r="U215" s="408">
        <v>0</v>
      </c>
      <c r="V215" s="408">
        <v>0</v>
      </c>
      <c r="W215" s="408">
        <v>0</v>
      </c>
      <c r="Y215" s="409"/>
      <c r="Z215" s="409"/>
      <c r="AA215" s="409"/>
      <c r="AB215" s="409"/>
      <c r="AC215" s="409"/>
      <c r="AD215" s="409"/>
      <c r="AE215" s="409"/>
      <c r="AF215" s="409"/>
      <c r="AG215" s="409"/>
      <c r="AH215" s="409"/>
      <c r="AI215" s="409"/>
      <c r="AJ215" s="409"/>
      <c r="AK215" s="409"/>
      <c r="AL215" s="409"/>
      <c r="AM215" s="409"/>
      <c r="AN215" s="409"/>
      <c r="AO215" s="409"/>
      <c r="AP215" s="409"/>
      <c r="AQ215" s="409"/>
      <c r="AR215" s="409"/>
      <c r="AS215" s="409"/>
    </row>
    <row r="216" spans="1:45" s="36" customFormat="1" x14ac:dyDescent="0.3">
      <c r="B216" s="65" t="s">
        <v>202</v>
      </c>
      <c r="C216" s="66"/>
      <c r="D216" s="35">
        <f>+D211/D$206</f>
        <v>7.1396470588235311E-2</v>
      </c>
      <c r="E216" s="35">
        <f t="shared" ref="E216:W216" si="232">+E211/E$206</f>
        <v>6.8378651685393352E-2</v>
      </c>
      <c r="F216" s="35">
        <f t="shared" si="232"/>
        <v>6.7062500000000011E-2</v>
      </c>
      <c r="G216" s="35">
        <f t="shared" si="232"/>
        <v>6.9734018264840297E-2</v>
      </c>
      <c r="H216" s="35">
        <f t="shared" si="232"/>
        <v>7.2372941176470654E-2</v>
      </c>
      <c r="I216" s="35">
        <f t="shared" si="232"/>
        <v>7.1339534883721037E-2</v>
      </c>
      <c r="J216" s="35">
        <f t="shared" si="232"/>
        <v>6.9146258503401448E-2</v>
      </c>
      <c r="K216" s="35">
        <f t="shared" si="232"/>
        <v>6.9393103448275942E-2</v>
      </c>
      <c r="L216" s="35">
        <f t="shared" si="232"/>
        <v>6.9343181818181873E-2</v>
      </c>
      <c r="M216" s="35">
        <f t="shared" si="232"/>
        <v>7.1623820754717071E-2</v>
      </c>
      <c r="N216" s="35">
        <f t="shared" si="232"/>
        <v>7.2161971830986021E-2</v>
      </c>
      <c r="O216" s="35">
        <f t="shared" si="232"/>
        <v>6.870479910714293E-2</v>
      </c>
      <c r="P216" s="35">
        <f t="shared" si="232"/>
        <v>7.1623820754717071E-2</v>
      </c>
      <c r="Q216" s="35">
        <f t="shared" si="232"/>
        <v>7.1623820754717071E-2</v>
      </c>
      <c r="R216" s="35">
        <f t="shared" si="232"/>
        <v>7.1543706293706433E-2</v>
      </c>
      <c r="S216" s="35">
        <f t="shared" si="232"/>
        <v>7.1748831775700975E-2</v>
      </c>
      <c r="T216" s="35">
        <f t="shared" si="232"/>
        <v>7.740694087403592E-2</v>
      </c>
      <c r="U216" s="35">
        <f t="shared" si="232"/>
        <v>7.2161331775700888E-2</v>
      </c>
      <c r="V216" s="35">
        <f t="shared" si="232"/>
        <v>7.740694087403592E-2</v>
      </c>
      <c r="W216" s="35">
        <f t="shared" si="232"/>
        <v>7.1623820754717071E-2</v>
      </c>
      <c r="Y216" s="393"/>
      <c r="Z216" s="393"/>
      <c r="AA216" s="393"/>
      <c r="AB216" s="393"/>
      <c r="AC216" s="393"/>
      <c r="AD216" s="393"/>
      <c r="AE216" s="393"/>
      <c r="AF216" s="393"/>
      <c r="AG216" s="393"/>
      <c r="AH216" s="393"/>
      <c r="AI216" s="393"/>
      <c r="AJ216" s="393"/>
      <c r="AK216" s="393"/>
      <c r="AL216" s="393"/>
      <c r="AM216" s="393"/>
      <c r="AN216" s="393"/>
      <c r="AO216" s="393"/>
      <c r="AP216" s="393"/>
      <c r="AQ216" s="393"/>
      <c r="AR216" s="393"/>
      <c r="AS216" s="393"/>
    </row>
    <row r="217" spans="1:45" s="36" customFormat="1" x14ac:dyDescent="0.3">
      <c r="B217" s="65" t="s">
        <v>203</v>
      </c>
      <c r="C217" s="66"/>
      <c r="D217" s="35">
        <f>+D212/D$207</f>
        <v>8.2194186046511644E-2</v>
      </c>
      <c r="E217" s="35">
        <f t="shared" ref="E217:W217" si="233">+E212/E$207</f>
        <v>7.8730000000000092E-2</v>
      </c>
      <c r="F217" s="35">
        <f t="shared" si="233"/>
        <v>7.7269693654266974E-2</v>
      </c>
      <c r="G217" s="35">
        <f t="shared" si="233"/>
        <v>8.0233634311512536E-2</v>
      </c>
      <c r="H217" s="35">
        <f t="shared" si="233"/>
        <v>8.3159302325581455E-2</v>
      </c>
      <c r="I217" s="35">
        <f t="shared" si="233"/>
        <v>8.2013793103448376E-2</v>
      </c>
      <c r="J217" s="35">
        <f t="shared" si="233"/>
        <v>7.9581838565022517E-2</v>
      </c>
      <c r="K217" s="35">
        <f t="shared" si="233"/>
        <v>7.9968181818181897E-2</v>
      </c>
      <c r="L217" s="35">
        <f t="shared" si="233"/>
        <v>7.9800000000000051E-2</v>
      </c>
      <c r="M217" s="35">
        <f t="shared" si="233"/>
        <v>8.2444055944056044E-2</v>
      </c>
      <c r="N217" s="35">
        <f t="shared" si="233"/>
        <v>8.292575406032493E-2</v>
      </c>
      <c r="O217" s="35">
        <f t="shared" si="233"/>
        <v>7.8983995584989045E-2</v>
      </c>
      <c r="P217" s="35">
        <f t="shared" si="233"/>
        <v>8.2444055944056044E-2</v>
      </c>
      <c r="Q217" s="35">
        <f t="shared" si="233"/>
        <v>8.2444055944056044E-2</v>
      </c>
      <c r="R217" s="35">
        <f t="shared" si="233"/>
        <v>8.224020737327202E-2</v>
      </c>
      <c r="S217" s="35">
        <f t="shared" si="233"/>
        <v>8.2467667436489644E-2</v>
      </c>
      <c r="T217" s="35">
        <f t="shared" si="233"/>
        <v>8.9114974619289272E-2</v>
      </c>
      <c r="U217" s="35">
        <f t="shared" si="233"/>
        <v>8.2875404157043836E-2</v>
      </c>
      <c r="V217" s="35">
        <f t="shared" si="233"/>
        <v>8.9114974619289272E-2</v>
      </c>
      <c r="W217" s="35">
        <f t="shared" si="233"/>
        <v>8.2444055944056044E-2</v>
      </c>
      <c r="Y217" s="393"/>
      <c r="Z217" s="393"/>
      <c r="AA217" s="393"/>
      <c r="AB217" s="393"/>
      <c r="AC217" s="393"/>
      <c r="AD217" s="393"/>
      <c r="AE217" s="393"/>
      <c r="AF217" s="393"/>
      <c r="AG217" s="393"/>
      <c r="AH217" s="393"/>
      <c r="AI217" s="393"/>
      <c r="AJ217" s="393"/>
      <c r="AK217" s="393"/>
      <c r="AL217" s="393"/>
      <c r="AM217" s="393"/>
      <c r="AN217" s="393"/>
      <c r="AO217" s="393"/>
      <c r="AP217" s="393"/>
      <c r="AQ217" s="393"/>
      <c r="AR217" s="393"/>
      <c r="AS217" s="393"/>
    </row>
    <row r="218" spans="1:45" s="36" customFormat="1" x14ac:dyDescent="0.3">
      <c r="B218" s="65" t="s">
        <v>204</v>
      </c>
      <c r="C218" s="66"/>
      <c r="D218" s="35">
        <f>+D213/D$208</f>
        <v>9.2743678160919552E-2</v>
      </c>
      <c r="E218" s="35">
        <f t="shared" ref="E218:W218" si="234">+E213/E$208</f>
        <v>8.8853846153846242E-2</v>
      </c>
      <c r="F218" s="35">
        <f t="shared" si="234"/>
        <v>8.7255952380952392E-2</v>
      </c>
      <c r="G218" s="35">
        <f t="shared" si="234"/>
        <v>9.0498883928571541E-2</v>
      </c>
      <c r="H218" s="35">
        <f>+H213/H$208</f>
        <v>9.3697701149425341E-2</v>
      </c>
      <c r="I218" s="35">
        <f t="shared" si="234"/>
        <v>9.244545454545465E-2</v>
      </c>
      <c r="J218" s="35">
        <f t="shared" si="234"/>
        <v>8.9786031042128692E-2</v>
      </c>
      <c r="K218" s="35">
        <f t="shared" si="234"/>
        <v>9.0305617977528174E-2</v>
      </c>
      <c r="L218" s="35">
        <f t="shared" si="234"/>
        <v>9.0024444444444504E-2</v>
      </c>
      <c r="M218" s="35">
        <f t="shared" si="234"/>
        <v>9.3014976958525439E-2</v>
      </c>
      <c r="N218" s="35">
        <f t="shared" si="234"/>
        <v>9.3442660550458814E-2</v>
      </c>
      <c r="O218" s="35">
        <f t="shared" si="234"/>
        <v>8.9038755458515362E-2</v>
      </c>
      <c r="P218" s="35">
        <f t="shared" si="234"/>
        <v>9.3014976958525439E-2</v>
      </c>
      <c r="Q218" s="35">
        <f t="shared" si="234"/>
        <v>9.3014976958525439E-2</v>
      </c>
      <c r="R218" s="35">
        <f t="shared" si="234"/>
        <v>9.2693052391799674E-2</v>
      </c>
      <c r="S218" s="35">
        <f t="shared" si="234"/>
        <v>9.2941780821917841E-2</v>
      </c>
      <c r="T218" s="35">
        <f t="shared" si="234"/>
        <v>0.10052957393483702</v>
      </c>
      <c r="U218" s="35">
        <f t="shared" si="234"/>
        <v>9.3344863013698584E-2</v>
      </c>
      <c r="V218" s="35">
        <f t="shared" si="234"/>
        <v>0.10052957393483702</v>
      </c>
      <c r="W218" s="35">
        <f t="shared" si="234"/>
        <v>9.3014976958525439E-2</v>
      </c>
      <c r="Y218" s="393"/>
      <c r="Z218" s="393"/>
      <c r="AA218" s="393"/>
      <c r="AB218" s="393"/>
      <c r="AC218" s="393"/>
      <c r="AD218" s="393"/>
      <c r="AE218" s="393"/>
      <c r="AF218" s="393"/>
      <c r="AG218" s="393"/>
      <c r="AH218" s="393"/>
      <c r="AI218" s="393"/>
      <c r="AJ218" s="393"/>
      <c r="AK218" s="393"/>
      <c r="AL218" s="393"/>
      <c r="AM218" s="393"/>
      <c r="AN218" s="393"/>
      <c r="AO218" s="393"/>
      <c r="AP218" s="393"/>
      <c r="AQ218" s="393"/>
      <c r="AR218" s="393"/>
      <c r="AS218" s="393"/>
    </row>
    <row r="219" spans="1:45" s="36" customFormat="1" x14ac:dyDescent="0.3">
      <c r="B219" s="65" t="s">
        <v>205</v>
      </c>
      <c r="C219" s="66"/>
      <c r="D219" s="35">
        <f>+D214/D$209</f>
        <v>0.1030534090909091</v>
      </c>
      <c r="E219" s="35">
        <f t="shared" ref="E219:W219" si="235">+E214/E$209</f>
        <v>9.8757608695652269E-2</v>
      </c>
      <c r="F219" s="35">
        <f t="shared" si="235"/>
        <v>9.702837259100644E-2</v>
      </c>
      <c r="G219" s="35">
        <f t="shared" si="235"/>
        <v>0.10053752759381909</v>
      </c>
      <c r="H219" s="35">
        <f t="shared" si="235"/>
        <v>0.10399659090909097</v>
      </c>
      <c r="I219" s="35">
        <f t="shared" si="235"/>
        <v>0.10264269662921359</v>
      </c>
      <c r="J219" s="35">
        <f t="shared" si="235"/>
        <v>9.9766447368421135E-2</v>
      </c>
      <c r="K219" s="35">
        <f t="shared" si="235"/>
        <v>0.10041333333333341</v>
      </c>
      <c r="L219" s="35">
        <f t="shared" si="235"/>
        <v>0.10002417582417587</v>
      </c>
      <c r="M219" s="35">
        <f t="shared" si="235"/>
        <v>0.10334510250569486</v>
      </c>
      <c r="N219" s="35">
        <f t="shared" si="235"/>
        <v>0.10372108843537424</v>
      </c>
      <c r="O219" s="35">
        <f t="shared" si="235"/>
        <v>9.8876349892008719E-2</v>
      </c>
      <c r="P219" s="35">
        <f t="shared" si="235"/>
        <v>0.10334510250569486</v>
      </c>
      <c r="Q219" s="35">
        <f t="shared" si="235"/>
        <v>0.10334510250569486</v>
      </c>
      <c r="R219" s="35">
        <f t="shared" si="235"/>
        <v>0.10291047297297311</v>
      </c>
      <c r="S219" s="35">
        <f t="shared" si="235"/>
        <v>0.10317945823927768</v>
      </c>
      <c r="T219" s="35">
        <f t="shared" si="235"/>
        <v>0.11166163366336626</v>
      </c>
      <c r="U219" s="35">
        <f t="shared" si="235"/>
        <v>0.10357799097065458</v>
      </c>
      <c r="V219" s="35">
        <f t="shared" si="235"/>
        <v>0.11166163366336626</v>
      </c>
      <c r="W219" s="35">
        <f t="shared" si="235"/>
        <v>0.10334510250569486</v>
      </c>
      <c r="Y219" s="393"/>
      <c r="Z219" s="393"/>
      <c r="AA219" s="393"/>
      <c r="AB219" s="393"/>
      <c r="AC219" s="393"/>
      <c r="AD219" s="393"/>
      <c r="AE219" s="393"/>
      <c r="AF219" s="393"/>
      <c r="AG219" s="393"/>
      <c r="AH219" s="393"/>
      <c r="AI219" s="393"/>
      <c r="AJ219" s="393"/>
      <c r="AK219" s="393"/>
      <c r="AL219" s="393"/>
      <c r="AM219" s="393"/>
      <c r="AN219" s="393"/>
      <c r="AO219" s="393"/>
      <c r="AP219" s="393"/>
      <c r="AQ219" s="393"/>
      <c r="AR219" s="393"/>
      <c r="AS219" s="393"/>
    </row>
    <row r="220" spans="1:45" x14ac:dyDescent="0.3">
      <c r="B220" s="73"/>
      <c r="D220" s="37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Y220" s="390"/>
      <c r="Z220" s="390"/>
      <c r="AA220" s="390"/>
      <c r="AB220" s="390"/>
      <c r="AC220" s="390"/>
      <c r="AD220" s="390"/>
      <c r="AE220" s="390"/>
      <c r="AF220" s="390"/>
      <c r="AG220" s="390"/>
      <c r="AH220" s="390"/>
      <c r="AI220" s="390"/>
      <c r="AJ220" s="390"/>
      <c r="AK220" s="390"/>
      <c r="AL220" s="390"/>
      <c r="AM220" s="390"/>
      <c r="AN220" s="390"/>
      <c r="AO220" s="390"/>
      <c r="AP220" s="390"/>
      <c r="AQ220" s="390"/>
      <c r="AR220" s="390"/>
      <c r="AS220" s="390"/>
    </row>
    <row r="221" spans="1:45" ht="21" thickBot="1" x14ac:dyDescent="0.35">
      <c r="B221" s="73" t="s">
        <v>59</v>
      </c>
      <c r="Y221" s="390"/>
      <c r="Z221" s="390"/>
      <c r="AA221" s="390"/>
      <c r="AB221" s="390"/>
      <c r="AC221" s="390"/>
      <c r="AD221" s="390"/>
      <c r="AE221" s="390"/>
      <c r="AF221" s="390"/>
      <c r="AG221" s="390"/>
      <c r="AH221" s="390"/>
      <c r="AI221" s="390"/>
      <c r="AJ221" s="390"/>
      <c r="AK221" s="390"/>
      <c r="AL221" s="390"/>
      <c r="AM221" s="390"/>
      <c r="AN221" s="390"/>
      <c r="AO221" s="390"/>
      <c r="AP221" s="390"/>
      <c r="AQ221" s="390"/>
      <c r="AR221" s="390"/>
      <c r="AS221" s="390"/>
    </row>
    <row r="222" spans="1:45" ht="21" thickBot="1" x14ac:dyDescent="0.35">
      <c r="A222" s="15" t="s">
        <v>317</v>
      </c>
      <c r="B222" s="67" t="s">
        <v>45</v>
      </c>
      <c r="C222" s="68"/>
      <c r="D222" s="17" t="s">
        <v>5</v>
      </c>
      <c r="E222" s="18" t="s">
        <v>6</v>
      </c>
      <c r="F222" s="18" t="s">
        <v>7</v>
      </c>
      <c r="G222" s="18" t="s">
        <v>8</v>
      </c>
      <c r="H222" s="18" t="s">
        <v>9</v>
      </c>
      <c r="I222" s="18" t="s">
        <v>10</v>
      </c>
      <c r="J222" s="18" t="s">
        <v>11</v>
      </c>
      <c r="K222" s="18" t="s">
        <v>12</v>
      </c>
      <c r="L222" s="18" t="s">
        <v>13</v>
      </c>
      <c r="M222" s="18" t="s">
        <v>14</v>
      </c>
      <c r="N222" s="18" t="s">
        <v>15</v>
      </c>
      <c r="O222" s="18" t="s">
        <v>16</v>
      </c>
      <c r="P222" s="18" t="s">
        <v>17</v>
      </c>
      <c r="Q222" s="18" t="s">
        <v>18</v>
      </c>
      <c r="R222" s="18" t="s">
        <v>19</v>
      </c>
      <c r="S222" s="18" t="s">
        <v>20</v>
      </c>
      <c r="T222" s="18" t="s">
        <v>21</v>
      </c>
      <c r="U222" s="18" t="s">
        <v>22</v>
      </c>
      <c r="V222" s="18" t="s">
        <v>23</v>
      </c>
      <c r="W222" s="18" t="s">
        <v>166</v>
      </c>
      <c r="Y222" s="390"/>
      <c r="Z222" s="390"/>
      <c r="AA222" s="390"/>
      <c r="AB222" s="390"/>
      <c r="AC222" s="390"/>
      <c r="AD222" s="390"/>
      <c r="AE222" s="390"/>
      <c r="AF222" s="390"/>
      <c r="AG222" s="390"/>
      <c r="AH222" s="390"/>
      <c r="AI222" s="390"/>
      <c r="AJ222" s="390"/>
      <c r="AK222" s="390"/>
      <c r="AL222" s="390"/>
      <c r="AM222" s="390"/>
      <c r="AN222" s="390"/>
      <c r="AO222" s="390"/>
      <c r="AP222" s="390"/>
      <c r="AQ222" s="390"/>
      <c r="AR222" s="390"/>
      <c r="AS222" s="390"/>
    </row>
    <row r="223" spans="1:45" x14ac:dyDescent="0.3">
      <c r="A223" t="s">
        <v>318</v>
      </c>
      <c r="B223" s="54" t="s">
        <v>50</v>
      </c>
      <c r="C223" s="55"/>
      <c r="D223" s="20">
        <v>52</v>
      </c>
      <c r="E223" s="21">
        <v>52</v>
      </c>
      <c r="F223" s="21">
        <v>52</v>
      </c>
      <c r="G223" s="21">
        <v>52</v>
      </c>
      <c r="H223" s="21">
        <v>52</v>
      </c>
      <c r="I223" s="21">
        <v>52</v>
      </c>
      <c r="J223" s="21">
        <v>52</v>
      </c>
      <c r="K223" s="21">
        <v>52</v>
      </c>
      <c r="L223" s="21">
        <v>52</v>
      </c>
      <c r="M223" s="21">
        <v>52</v>
      </c>
      <c r="N223" s="21">
        <v>52</v>
      </c>
      <c r="O223" s="21">
        <v>52</v>
      </c>
      <c r="P223" s="21">
        <v>52</v>
      </c>
      <c r="Q223" s="21">
        <v>52</v>
      </c>
      <c r="R223" s="21">
        <v>52</v>
      </c>
      <c r="S223" s="21">
        <v>52</v>
      </c>
      <c r="T223" s="21"/>
      <c r="U223" s="21"/>
      <c r="V223" s="21"/>
      <c r="W223" s="21">
        <v>52</v>
      </c>
      <c r="Y223" s="390"/>
      <c r="Z223" s="390"/>
      <c r="AA223" s="390"/>
      <c r="AB223" s="390"/>
      <c r="AC223" s="390"/>
      <c r="AD223" s="390"/>
      <c r="AE223" s="390"/>
      <c r="AF223" s="390"/>
      <c r="AG223" s="390"/>
      <c r="AH223" s="390"/>
      <c r="AI223" s="390"/>
      <c r="AJ223" s="390"/>
      <c r="AK223" s="390"/>
      <c r="AL223" s="390"/>
      <c r="AM223" s="390"/>
      <c r="AN223" s="390"/>
      <c r="AO223" s="390"/>
      <c r="AP223" s="390"/>
      <c r="AQ223" s="390"/>
      <c r="AR223" s="390"/>
      <c r="AS223" s="390"/>
    </row>
    <row r="224" spans="1:45" x14ac:dyDescent="0.3">
      <c r="B224" s="54" t="s">
        <v>51</v>
      </c>
      <c r="C224" s="55"/>
      <c r="D224" s="322">
        <v>0.15</v>
      </c>
      <c r="E224" s="322">
        <f>D224</f>
        <v>0.15</v>
      </c>
      <c r="F224" s="322">
        <f>D224</f>
        <v>0.15</v>
      </c>
      <c r="G224" s="322">
        <f>D224</f>
        <v>0.15</v>
      </c>
      <c r="H224" s="322">
        <f>E224</f>
        <v>0.15</v>
      </c>
      <c r="I224" s="322">
        <f>D224</f>
        <v>0.15</v>
      </c>
      <c r="J224" s="322">
        <f>D224</f>
        <v>0.15</v>
      </c>
      <c r="K224" s="322">
        <f>D224</f>
        <v>0.15</v>
      </c>
      <c r="L224" s="322">
        <f>D224</f>
        <v>0.15</v>
      </c>
      <c r="M224" s="322">
        <f>D224</f>
        <v>0.15</v>
      </c>
      <c r="N224" s="322">
        <f>D224</f>
        <v>0.15</v>
      </c>
      <c r="O224" s="322">
        <f>D224</f>
        <v>0.15</v>
      </c>
      <c r="P224" s="322">
        <f>D224</f>
        <v>0.15</v>
      </c>
      <c r="Q224" s="322">
        <f>D224</f>
        <v>0.15</v>
      </c>
      <c r="R224" s="322">
        <f>D224</f>
        <v>0.15</v>
      </c>
      <c r="S224" s="322">
        <f>D224</f>
        <v>0.15</v>
      </c>
      <c r="T224" s="218"/>
      <c r="U224" s="218"/>
      <c r="V224" s="218"/>
      <c r="W224" s="322">
        <f>J224</f>
        <v>0.15</v>
      </c>
      <c r="Y224" s="390"/>
      <c r="Z224" s="390"/>
      <c r="AA224" s="390"/>
      <c r="AB224" s="390"/>
      <c r="AC224" s="390"/>
      <c r="AD224" s="390"/>
      <c r="AE224" s="390"/>
      <c r="AF224" s="390"/>
      <c r="AG224" s="390"/>
      <c r="AH224" s="390"/>
      <c r="AI224" s="390"/>
      <c r="AJ224" s="390"/>
      <c r="AK224" s="390"/>
      <c r="AL224" s="390"/>
      <c r="AM224" s="390"/>
      <c r="AN224" s="390"/>
      <c r="AO224" s="390"/>
      <c r="AP224" s="390"/>
      <c r="AQ224" s="390"/>
      <c r="AR224" s="390"/>
      <c r="AS224" s="390"/>
    </row>
    <row r="225" spans="2:45" x14ac:dyDescent="0.3">
      <c r="B225" s="54" t="s">
        <v>60</v>
      </c>
      <c r="C225" s="55"/>
      <c r="D225" s="24">
        <v>0</v>
      </c>
      <c r="E225" s="24">
        <v>0</v>
      </c>
      <c r="F225" s="24">
        <v>0</v>
      </c>
      <c r="G225" s="24">
        <v>0</v>
      </c>
      <c r="H225" s="24">
        <v>0</v>
      </c>
      <c r="I225" s="24">
        <v>0</v>
      </c>
      <c r="J225" s="24">
        <v>0</v>
      </c>
      <c r="K225" s="24">
        <v>0</v>
      </c>
      <c r="L225" s="24">
        <v>0</v>
      </c>
      <c r="M225" s="24">
        <v>0</v>
      </c>
      <c r="N225" s="24">
        <v>0</v>
      </c>
      <c r="O225" s="24">
        <v>0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Y225" s="390"/>
      <c r="Z225" s="390"/>
      <c r="AA225" s="390"/>
      <c r="AB225" s="390"/>
      <c r="AC225" s="390"/>
      <c r="AD225" s="390"/>
      <c r="AE225" s="390"/>
      <c r="AF225" s="390"/>
      <c r="AG225" s="390"/>
      <c r="AH225" s="390"/>
      <c r="AI225" s="390"/>
      <c r="AJ225" s="390"/>
      <c r="AK225" s="390"/>
      <c r="AL225" s="390"/>
      <c r="AM225" s="390"/>
      <c r="AN225" s="390"/>
      <c r="AO225" s="390"/>
      <c r="AP225" s="390"/>
      <c r="AQ225" s="390"/>
      <c r="AR225" s="390"/>
      <c r="AS225" s="390"/>
    </row>
    <row r="226" spans="2:45" x14ac:dyDescent="0.3">
      <c r="B226" s="177" t="s">
        <v>67</v>
      </c>
      <c r="C226" s="178"/>
      <c r="D226" s="323">
        <f>D223-(D223*D224)</f>
        <v>44.2</v>
      </c>
      <c r="E226" s="323">
        <f t="shared" ref="E226:W226" si="236">E223-(E223*E224)</f>
        <v>44.2</v>
      </c>
      <c r="F226" s="323">
        <f t="shared" si="236"/>
        <v>44.2</v>
      </c>
      <c r="G226" s="323">
        <f t="shared" si="236"/>
        <v>44.2</v>
      </c>
      <c r="H226" s="323">
        <f t="shared" si="236"/>
        <v>44.2</v>
      </c>
      <c r="I226" s="323">
        <f t="shared" si="236"/>
        <v>44.2</v>
      </c>
      <c r="J226" s="323">
        <f t="shared" si="236"/>
        <v>44.2</v>
      </c>
      <c r="K226" s="323">
        <f t="shared" si="236"/>
        <v>44.2</v>
      </c>
      <c r="L226" s="323">
        <f t="shared" si="236"/>
        <v>44.2</v>
      </c>
      <c r="M226" s="323">
        <f t="shared" si="236"/>
        <v>44.2</v>
      </c>
      <c r="N226" s="323">
        <f t="shared" si="236"/>
        <v>44.2</v>
      </c>
      <c r="O226" s="323">
        <f t="shared" si="236"/>
        <v>44.2</v>
      </c>
      <c r="P226" s="323">
        <f t="shared" si="236"/>
        <v>44.2</v>
      </c>
      <c r="Q226" s="323">
        <f t="shared" si="236"/>
        <v>44.2</v>
      </c>
      <c r="R226" s="323">
        <f t="shared" si="236"/>
        <v>44.2</v>
      </c>
      <c r="S226" s="323">
        <f t="shared" si="236"/>
        <v>44.2</v>
      </c>
      <c r="T226" s="323">
        <v>42.14</v>
      </c>
      <c r="U226" s="323">
        <v>42.14</v>
      </c>
      <c r="V226" s="323">
        <v>42.14</v>
      </c>
      <c r="W226" s="323">
        <f t="shared" si="236"/>
        <v>44.2</v>
      </c>
      <c r="Y226" s="390"/>
      <c r="Z226" s="390"/>
      <c r="AA226" s="390"/>
      <c r="AB226" s="390"/>
      <c r="AC226" s="390"/>
      <c r="AD226" s="390"/>
      <c r="AE226" s="390"/>
      <c r="AF226" s="390"/>
      <c r="AG226" s="390"/>
      <c r="AH226" s="390"/>
      <c r="AI226" s="390"/>
      <c r="AJ226" s="390"/>
      <c r="AK226" s="390"/>
      <c r="AL226" s="390"/>
      <c r="AM226" s="390"/>
      <c r="AN226" s="390"/>
      <c r="AO226" s="390"/>
      <c r="AP226" s="390"/>
      <c r="AQ226" s="390"/>
      <c r="AR226" s="390"/>
      <c r="AS226" s="390"/>
    </row>
    <row r="227" spans="2:45" x14ac:dyDescent="0.3">
      <c r="B227" s="54" t="s">
        <v>66</v>
      </c>
      <c r="C227" s="56">
        <v>7.0000000000000007E-2</v>
      </c>
      <c r="D227" s="24">
        <f t="shared" ref="D227:W227" si="237">D226*$C227</f>
        <v>3.0940000000000003</v>
      </c>
      <c r="E227" s="24">
        <f t="shared" si="237"/>
        <v>3.0940000000000003</v>
      </c>
      <c r="F227" s="24">
        <f t="shared" si="237"/>
        <v>3.0940000000000003</v>
      </c>
      <c r="G227" s="24">
        <f t="shared" si="237"/>
        <v>3.0940000000000003</v>
      </c>
      <c r="H227" s="24">
        <f t="shared" si="237"/>
        <v>3.0940000000000003</v>
      </c>
      <c r="I227" s="24">
        <f t="shared" si="237"/>
        <v>3.0940000000000003</v>
      </c>
      <c r="J227" s="24">
        <f t="shared" si="237"/>
        <v>3.0940000000000003</v>
      </c>
      <c r="K227" s="24">
        <f t="shared" si="237"/>
        <v>3.0940000000000003</v>
      </c>
      <c r="L227" s="24">
        <f t="shared" si="237"/>
        <v>3.0940000000000003</v>
      </c>
      <c r="M227" s="24">
        <f t="shared" si="237"/>
        <v>3.0940000000000003</v>
      </c>
      <c r="N227" s="24">
        <f t="shared" si="237"/>
        <v>3.0940000000000003</v>
      </c>
      <c r="O227" s="24">
        <f t="shared" si="237"/>
        <v>3.0940000000000003</v>
      </c>
      <c r="P227" s="24">
        <f t="shared" si="237"/>
        <v>3.0940000000000003</v>
      </c>
      <c r="Q227" s="24">
        <f t="shared" si="237"/>
        <v>3.0940000000000003</v>
      </c>
      <c r="R227" s="24">
        <f t="shared" si="237"/>
        <v>3.0940000000000003</v>
      </c>
      <c r="S227" s="24">
        <f t="shared" si="237"/>
        <v>3.0940000000000003</v>
      </c>
      <c r="T227" s="24">
        <f t="shared" si="237"/>
        <v>2.9498000000000002</v>
      </c>
      <c r="U227" s="24">
        <f t="shared" si="237"/>
        <v>2.9498000000000002</v>
      </c>
      <c r="V227" s="24">
        <f t="shared" si="237"/>
        <v>2.9498000000000002</v>
      </c>
      <c r="W227" s="24">
        <f t="shared" si="237"/>
        <v>3.0940000000000003</v>
      </c>
      <c r="Y227" s="390"/>
      <c r="Z227" s="390"/>
      <c r="AA227" s="390"/>
      <c r="AB227" s="390"/>
      <c r="AC227" s="390"/>
      <c r="AD227" s="390"/>
      <c r="AE227" s="390"/>
      <c r="AF227" s="390"/>
      <c r="AG227" s="390"/>
      <c r="AH227" s="390"/>
      <c r="AI227" s="390"/>
      <c r="AJ227" s="390"/>
      <c r="AK227" s="390"/>
      <c r="AL227" s="390"/>
      <c r="AM227" s="390"/>
      <c r="AN227" s="390"/>
      <c r="AO227" s="390"/>
      <c r="AP227" s="390"/>
      <c r="AQ227" s="390"/>
      <c r="AR227" s="390"/>
      <c r="AS227" s="390"/>
    </row>
    <row r="228" spans="2:45" x14ac:dyDescent="0.3">
      <c r="B228" s="54" t="s">
        <v>68</v>
      </c>
      <c r="C228" s="55"/>
      <c r="D228" s="21">
        <f t="shared" ref="D228:W228" si="238">D226+D227</f>
        <v>47.294000000000004</v>
      </c>
      <c r="E228" s="21">
        <f t="shared" si="238"/>
        <v>47.294000000000004</v>
      </c>
      <c r="F228" s="21">
        <f t="shared" si="238"/>
        <v>47.294000000000004</v>
      </c>
      <c r="G228" s="21">
        <f t="shared" si="238"/>
        <v>47.294000000000004</v>
      </c>
      <c r="H228" s="21">
        <f t="shared" si="238"/>
        <v>47.294000000000004</v>
      </c>
      <c r="I228" s="21">
        <f t="shared" si="238"/>
        <v>47.294000000000004</v>
      </c>
      <c r="J228" s="21">
        <f t="shared" si="238"/>
        <v>47.294000000000004</v>
      </c>
      <c r="K228" s="21">
        <f t="shared" si="238"/>
        <v>47.294000000000004</v>
      </c>
      <c r="L228" s="21">
        <f t="shared" si="238"/>
        <v>47.294000000000004</v>
      </c>
      <c r="M228" s="21">
        <f t="shared" si="238"/>
        <v>47.294000000000004</v>
      </c>
      <c r="N228" s="21">
        <f t="shared" si="238"/>
        <v>47.294000000000004</v>
      </c>
      <c r="O228" s="21">
        <f t="shared" si="238"/>
        <v>47.294000000000004</v>
      </c>
      <c r="P228" s="21">
        <f t="shared" si="238"/>
        <v>47.294000000000004</v>
      </c>
      <c r="Q228" s="21">
        <f t="shared" si="238"/>
        <v>47.294000000000004</v>
      </c>
      <c r="R228" s="21">
        <f t="shared" si="238"/>
        <v>47.294000000000004</v>
      </c>
      <c r="S228" s="21">
        <f t="shared" si="238"/>
        <v>47.294000000000004</v>
      </c>
      <c r="T228" s="21">
        <f t="shared" si="238"/>
        <v>45.089800000000004</v>
      </c>
      <c r="U228" s="21">
        <f t="shared" si="238"/>
        <v>45.089800000000004</v>
      </c>
      <c r="V228" s="21">
        <f t="shared" si="238"/>
        <v>45.089800000000004</v>
      </c>
      <c r="W228" s="21">
        <f t="shared" si="238"/>
        <v>47.294000000000004</v>
      </c>
      <c r="Y228" s="390"/>
      <c r="Z228" s="390"/>
      <c r="AA228" s="390"/>
      <c r="AB228" s="390"/>
      <c r="AC228" s="390"/>
      <c r="AD228" s="390"/>
      <c r="AE228" s="390"/>
      <c r="AF228" s="390"/>
      <c r="AG228" s="390"/>
      <c r="AH228" s="390"/>
      <c r="AI228" s="390"/>
      <c r="AJ228" s="390"/>
      <c r="AK228" s="390"/>
      <c r="AL228" s="390"/>
      <c r="AM228" s="390"/>
      <c r="AN228" s="390"/>
      <c r="AO228" s="390"/>
      <c r="AP228" s="390"/>
      <c r="AQ228" s="390"/>
      <c r="AR228" s="390"/>
      <c r="AS228" s="390"/>
    </row>
    <row r="229" spans="2:45" x14ac:dyDescent="0.3">
      <c r="B229" s="54" t="s">
        <v>52</v>
      </c>
      <c r="C229" s="55"/>
      <c r="D229" s="398">
        <f>Y231</f>
        <v>1.9888888888888889</v>
      </c>
      <c r="E229" s="398">
        <f t="shared" ref="E229:W229" si="239">Z231</f>
        <v>4.5177777777777779</v>
      </c>
      <c r="F229" s="398">
        <f t="shared" si="239"/>
        <v>5.4214285714285717</v>
      </c>
      <c r="G229" s="398">
        <f t="shared" si="239"/>
        <v>3.6142857142857143</v>
      </c>
      <c r="H229" s="398">
        <f t="shared" si="239"/>
        <v>1.9361904761904762</v>
      </c>
      <c r="I229" s="398">
        <f t="shared" si="239"/>
        <v>2.5815873015873017</v>
      </c>
      <c r="J229" s="398">
        <f t="shared" si="239"/>
        <v>4.0015873015873016</v>
      </c>
      <c r="K229" s="398">
        <f t="shared" si="239"/>
        <v>3.2787301587301587</v>
      </c>
      <c r="L229" s="398">
        <f t="shared" si="239"/>
        <v>3.8723809523809525</v>
      </c>
      <c r="M229" s="398">
        <f t="shared" si="239"/>
        <v>1.8587301587301588</v>
      </c>
      <c r="N229" s="398">
        <f t="shared" si="239"/>
        <v>2.0653968253968253</v>
      </c>
      <c r="O229" s="398">
        <f t="shared" si="239"/>
        <v>4.8541269841269843</v>
      </c>
      <c r="P229" s="398">
        <f t="shared" si="239"/>
        <v>1.8587301587301588</v>
      </c>
      <c r="Q229" s="398">
        <f t="shared" si="239"/>
        <v>1.8587301587301588</v>
      </c>
      <c r="R229" s="398">
        <f t="shared" si="239"/>
        <v>2.4525396825396824</v>
      </c>
      <c r="S229" s="398">
        <f t="shared" si="239"/>
        <v>2.3234920634920635</v>
      </c>
      <c r="T229" s="398">
        <f t="shared" si="239"/>
        <v>0</v>
      </c>
      <c r="U229" s="398">
        <f t="shared" si="239"/>
        <v>4.8541269841269843</v>
      </c>
      <c r="V229" s="398">
        <f t="shared" si="239"/>
        <v>0</v>
      </c>
      <c r="W229" s="398">
        <f t="shared" si="239"/>
        <v>1.8587301587301588</v>
      </c>
      <c r="Y229" s="390">
        <v>12530</v>
      </c>
      <c r="Z229" s="390">
        <v>28462</v>
      </c>
      <c r="AA229" s="390">
        <v>34155</v>
      </c>
      <c r="AB229" s="390">
        <v>22770</v>
      </c>
      <c r="AC229" s="390">
        <v>12198</v>
      </c>
      <c r="AD229" s="390">
        <v>16264</v>
      </c>
      <c r="AE229" s="390">
        <v>25210</v>
      </c>
      <c r="AF229" s="390">
        <v>20656</v>
      </c>
      <c r="AG229" s="390">
        <v>24396</v>
      </c>
      <c r="AH229" s="390">
        <v>11710</v>
      </c>
      <c r="AI229" s="390">
        <v>13012</v>
      </c>
      <c r="AJ229" s="390">
        <v>30581</v>
      </c>
      <c r="AK229" s="396">
        <v>11710</v>
      </c>
      <c r="AL229" s="396">
        <v>11710</v>
      </c>
      <c r="AM229" s="390">
        <v>15451</v>
      </c>
      <c r="AN229" s="390">
        <v>14638</v>
      </c>
      <c r="AO229" s="390"/>
      <c r="AP229" s="396">
        <v>30581</v>
      </c>
      <c r="AQ229" s="390"/>
      <c r="AR229" s="396">
        <v>11710</v>
      </c>
      <c r="AS229" s="390"/>
    </row>
    <row r="230" spans="2:45" x14ac:dyDescent="0.3">
      <c r="B230" s="57" t="s">
        <v>53</v>
      </c>
      <c r="C230" s="58"/>
      <c r="D230" s="25">
        <f>SUM(D228:D229)</f>
        <v>49.282888888888891</v>
      </c>
      <c r="E230" s="26">
        <f t="shared" ref="E230:V230" si="240">SUM(E228:E229)</f>
        <v>51.811777777777785</v>
      </c>
      <c r="F230" s="26">
        <f t="shared" si="240"/>
        <v>52.715428571428575</v>
      </c>
      <c r="G230" s="26">
        <f t="shared" si="240"/>
        <v>50.908285714285718</v>
      </c>
      <c r="H230" s="26">
        <f t="shared" si="240"/>
        <v>49.230190476190479</v>
      </c>
      <c r="I230" s="26">
        <f t="shared" si="240"/>
        <v>49.875587301587302</v>
      </c>
      <c r="J230" s="26">
        <f t="shared" si="240"/>
        <v>51.295587301587304</v>
      </c>
      <c r="K230" s="26">
        <f t="shared" si="240"/>
        <v>50.57273015873016</v>
      </c>
      <c r="L230" s="26">
        <f t="shared" si="240"/>
        <v>51.166380952380955</v>
      </c>
      <c r="M230" s="26">
        <f t="shared" si="240"/>
        <v>49.152730158730165</v>
      </c>
      <c r="N230" s="26">
        <f t="shared" si="240"/>
        <v>49.359396825396828</v>
      </c>
      <c r="O230" s="26">
        <f t="shared" si="240"/>
        <v>52.148126984126989</v>
      </c>
      <c r="P230" s="26">
        <f t="shared" si="240"/>
        <v>49.152730158730165</v>
      </c>
      <c r="Q230" s="26">
        <f t="shared" si="240"/>
        <v>49.152730158730165</v>
      </c>
      <c r="R230" s="26">
        <f t="shared" si="240"/>
        <v>49.746539682539684</v>
      </c>
      <c r="S230" s="26">
        <f t="shared" si="240"/>
        <v>49.617492063492065</v>
      </c>
      <c r="T230" s="26">
        <f t="shared" si="240"/>
        <v>45.089800000000004</v>
      </c>
      <c r="U230" s="26">
        <f t="shared" si="240"/>
        <v>49.943926984126989</v>
      </c>
      <c r="V230" s="26">
        <f t="shared" si="240"/>
        <v>45.089800000000004</v>
      </c>
      <c r="W230" s="26">
        <f>SUM(W228:W229)</f>
        <v>49.152730158730165</v>
      </c>
      <c r="Y230" s="390">
        <v>6300</v>
      </c>
      <c r="Z230" s="390">
        <v>6300</v>
      </c>
      <c r="AA230" s="390">
        <v>6300</v>
      </c>
      <c r="AB230" s="390">
        <v>6300</v>
      </c>
      <c r="AC230" s="390">
        <v>6300</v>
      </c>
      <c r="AD230" s="390">
        <v>6300</v>
      </c>
      <c r="AE230" s="390">
        <v>6300</v>
      </c>
      <c r="AF230" s="390">
        <v>6300</v>
      </c>
      <c r="AG230" s="390">
        <v>6300</v>
      </c>
      <c r="AH230" s="390">
        <v>6300</v>
      </c>
      <c r="AI230" s="390">
        <v>6300</v>
      </c>
      <c r="AJ230" s="390">
        <v>6300</v>
      </c>
      <c r="AK230" s="390">
        <v>6300</v>
      </c>
      <c r="AL230" s="390">
        <v>6300</v>
      </c>
      <c r="AM230" s="390">
        <v>6300</v>
      </c>
      <c r="AN230" s="390">
        <v>6300</v>
      </c>
      <c r="AO230" s="390">
        <v>6300</v>
      </c>
      <c r="AP230" s="390">
        <v>6300</v>
      </c>
      <c r="AQ230" s="390">
        <v>6300</v>
      </c>
      <c r="AR230" s="390">
        <v>6300</v>
      </c>
      <c r="AS230" s="390"/>
    </row>
    <row r="231" spans="2:45" x14ac:dyDescent="0.3">
      <c r="B231" s="54" t="s">
        <v>54</v>
      </c>
      <c r="C231" s="55"/>
      <c r="D231" s="20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Y231" s="389">
        <f>Y229/Y230</f>
        <v>1.9888888888888889</v>
      </c>
      <c r="Z231" s="389">
        <f t="shared" ref="Z231" si="241">Z229/Z230</f>
        <v>4.5177777777777779</v>
      </c>
      <c r="AA231" s="389">
        <f t="shared" ref="AA231" si="242">AA229/AA230</f>
        <v>5.4214285714285717</v>
      </c>
      <c r="AB231" s="389">
        <f t="shared" ref="AB231" si="243">AB229/AB230</f>
        <v>3.6142857142857143</v>
      </c>
      <c r="AC231" s="389">
        <f t="shared" ref="AC231" si="244">AC229/AC230</f>
        <v>1.9361904761904762</v>
      </c>
      <c r="AD231" s="389">
        <f t="shared" ref="AD231" si="245">AD229/AD230</f>
        <v>2.5815873015873017</v>
      </c>
      <c r="AE231" s="389">
        <f t="shared" ref="AE231" si="246">AE229/AE230</f>
        <v>4.0015873015873016</v>
      </c>
      <c r="AF231" s="389">
        <f t="shared" ref="AF231" si="247">AF229/AF230</f>
        <v>3.2787301587301587</v>
      </c>
      <c r="AG231" s="389">
        <f t="shared" ref="AG231" si="248">AG229/AG230</f>
        <v>3.8723809523809525</v>
      </c>
      <c r="AH231" s="389">
        <f t="shared" ref="AH231" si="249">AH229/AH230</f>
        <v>1.8587301587301588</v>
      </c>
      <c r="AI231" s="389">
        <f t="shared" ref="AI231" si="250">AI229/AI230</f>
        <v>2.0653968253968253</v>
      </c>
      <c r="AJ231" s="389">
        <f t="shared" ref="AJ231" si="251">AJ229/AJ230</f>
        <v>4.8541269841269843</v>
      </c>
      <c r="AK231" s="389">
        <f t="shared" ref="AK231" si="252">AK229/AK230</f>
        <v>1.8587301587301588</v>
      </c>
      <c r="AL231" s="389">
        <f t="shared" ref="AL231" si="253">AL229/AL230</f>
        <v>1.8587301587301588</v>
      </c>
      <c r="AM231" s="389">
        <f t="shared" ref="AM231" si="254">AM229/AM230</f>
        <v>2.4525396825396824</v>
      </c>
      <c r="AN231" s="389">
        <f t="shared" ref="AN231" si="255">AN229/AN230</f>
        <v>2.3234920634920635</v>
      </c>
      <c r="AO231" s="390"/>
      <c r="AP231" s="389">
        <f t="shared" ref="AP231" si="256">AP229/AP230</f>
        <v>4.8541269841269843</v>
      </c>
      <c r="AQ231" s="390"/>
      <c r="AR231" s="389">
        <f t="shared" ref="AR231" si="257">AR229/AR230</f>
        <v>1.8587301587301588</v>
      </c>
      <c r="AS231" s="390"/>
    </row>
    <row r="232" spans="2:45" x14ac:dyDescent="0.3">
      <c r="B232" s="59" t="s">
        <v>55</v>
      </c>
      <c r="C232" s="60"/>
      <c r="D232" s="27">
        <f t="shared" ref="D232:W232" si="258">SUM(D230:D231)</f>
        <v>49.282888888888891</v>
      </c>
      <c r="E232" s="41">
        <f t="shared" si="258"/>
        <v>51.811777777777785</v>
      </c>
      <c r="F232" s="41">
        <f t="shared" si="258"/>
        <v>52.715428571428575</v>
      </c>
      <c r="G232" s="41">
        <f t="shared" si="258"/>
        <v>50.908285714285718</v>
      </c>
      <c r="H232" s="41">
        <f t="shared" si="258"/>
        <v>49.230190476190479</v>
      </c>
      <c r="I232" s="41">
        <f t="shared" si="258"/>
        <v>49.875587301587302</v>
      </c>
      <c r="J232" s="41">
        <f t="shared" si="258"/>
        <v>51.295587301587304</v>
      </c>
      <c r="K232" s="41">
        <f t="shared" si="258"/>
        <v>50.57273015873016</v>
      </c>
      <c r="L232" s="41">
        <f t="shared" si="258"/>
        <v>51.166380952380955</v>
      </c>
      <c r="M232" s="41">
        <f t="shared" si="258"/>
        <v>49.152730158730165</v>
      </c>
      <c r="N232" s="41">
        <f t="shared" si="258"/>
        <v>49.359396825396828</v>
      </c>
      <c r="O232" s="41">
        <f t="shared" si="258"/>
        <v>52.148126984126989</v>
      </c>
      <c r="P232" s="41">
        <f t="shared" si="258"/>
        <v>49.152730158730165</v>
      </c>
      <c r="Q232" s="41">
        <f t="shared" si="258"/>
        <v>49.152730158730165</v>
      </c>
      <c r="R232" s="41">
        <f t="shared" si="258"/>
        <v>49.746539682539684</v>
      </c>
      <c r="S232" s="41">
        <f t="shared" si="258"/>
        <v>49.617492063492065</v>
      </c>
      <c r="T232" s="41">
        <f t="shared" si="258"/>
        <v>45.089800000000004</v>
      </c>
      <c r="U232" s="41">
        <f t="shared" si="258"/>
        <v>49.943926984126989</v>
      </c>
      <c r="V232" s="41">
        <f t="shared" si="258"/>
        <v>45.089800000000004</v>
      </c>
      <c r="W232" s="41">
        <f t="shared" si="258"/>
        <v>49.152730158730165</v>
      </c>
      <c r="Y232" s="390"/>
      <c r="Z232" s="390"/>
      <c r="AA232" s="390"/>
      <c r="AB232" s="390"/>
      <c r="AC232" s="390"/>
      <c r="AD232" s="390"/>
      <c r="AE232" s="390"/>
      <c r="AF232" s="390"/>
      <c r="AG232" s="390"/>
      <c r="AH232" s="390"/>
      <c r="AI232" s="390"/>
      <c r="AJ232" s="390"/>
      <c r="AK232" s="390"/>
      <c r="AL232" s="390"/>
      <c r="AM232" s="390"/>
      <c r="AN232" s="390"/>
      <c r="AO232" s="390"/>
      <c r="AP232" s="390"/>
      <c r="AQ232" s="390"/>
      <c r="AR232" s="390"/>
      <c r="AS232" s="390"/>
    </row>
    <row r="233" spans="2:45" x14ac:dyDescent="0.3">
      <c r="B233" s="61" t="s">
        <v>101</v>
      </c>
      <c r="C233" s="55"/>
      <c r="D233" s="43">
        <v>0</v>
      </c>
      <c r="E233" s="408">
        <v>0</v>
      </c>
      <c r="F233" s="408">
        <v>0</v>
      </c>
      <c r="G233" s="408">
        <v>0</v>
      </c>
      <c r="H233" s="408">
        <v>0</v>
      </c>
      <c r="I233" s="408">
        <v>0</v>
      </c>
      <c r="J233" s="408">
        <v>0</v>
      </c>
      <c r="K233" s="408">
        <v>0</v>
      </c>
      <c r="L233" s="408">
        <v>0</v>
      </c>
      <c r="M233" s="408">
        <v>0</v>
      </c>
      <c r="N233" s="408">
        <v>0</v>
      </c>
      <c r="O233" s="408">
        <v>0</v>
      </c>
      <c r="P233" s="408">
        <v>0</v>
      </c>
      <c r="Q233" s="408">
        <v>0</v>
      </c>
      <c r="R233" s="408">
        <v>0</v>
      </c>
      <c r="S233" s="408">
        <v>0</v>
      </c>
      <c r="T233" s="408">
        <v>0</v>
      </c>
      <c r="U233" s="408">
        <v>0</v>
      </c>
      <c r="V233" s="408">
        <v>0</v>
      </c>
      <c r="W233" s="408">
        <v>0</v>
      </c>
      <c r="Y233" s="409"/>
      <c r="Z233" s="409"/>
      <c r="AA233" s="409"/>
      <c r="AB233" s="409"/>
      <c r="AC233" s="409"/>
      <c r="AD233" s="409"/>
      <c r="AE233" s="409"/>
      <c r="AF233" s="409"/>
      <c r="AG233" s="409"/>
      <c r="AH233" s="409"/>
      <c r="AI233" s="409"/>
      <c r="AJ233" s="409"/>
      <c r="AK233" s="409"/>
      <c r="AL233" s="409"/>
      <c r="AM233" s="409"/>
      <c r="AN233" s="409"/>
      <c r="AO233" s="409"/>
      <c r="AP233" s="409"/>
      <c r="AQ233" s="409"/>
      <c r="AR233" s="409"/>
      <c r="AS233" s="409"/>
    </row>
    <row r="234" spans="2:45" x14ac:dyDescent="0.3">
      <c r="B234" s="171" t="s">
        <v>194</v>
      </c>
      <c r="C234" s="55"/>
      <c r="D234" s="20">
        <v>53</v>
      </c>
      <c r="E234" s="21">
        <v>55</v>
      </c>
      <c r="F234" s="21">
        <v>56</v>
      </c>
      <c r="G234" s="21">
        <v>54</v>
      </c>
      <c r="H234" s="21">
        <v>53</v>
      </c>
      <c r="I234" s="21">
        <v>53</v>
      </c>
      <c r="J234" s="21">
        <v>55</v>
      </c>
      <c r="K234" s="21">
        <v>54</v>
      </c>
      <c r="L234" s="21">
        <v>55</v>
      </c>
      <c r="M234" s="21">
        <v>53</v>
      </c>
      <c r="N234" s="21">
        <v>53</v>
      </c>
      <c r="O234" s="21">
        <v>56</v>
      </c>
      <c r="P234" s="21">
        <v>53</v>
      </c>
      <c r="Q234" s="21">
        <v>53</v>
      </c>
      <c r="R234" s="21">
        <v>53</v>
      </c>
      <c r="S234" s="21">
        <v>53</v>
      </c>
      <c r="T234" s="21">
        <v>49</v>
      </c>
      <c r="U234" s="21">
        <v>53</v>
      </c>
      <c r="V234" s="21">
        <v>49</v>
      </c>
      <c r="W234" s="21">
        <v>53</v>
      </c>
      <c r="Y234" s="390"/>
      <c r="Z234" s="390"/>
      <c r="AA234" s="390"/>
      <c r="AB234" s="390"/>
      <c r="AC234" s="390"/>
      <c r="AD234" s="390"/>
      <c r="AE234" s="390"/>
      <c r="AF234" s="390"/>
      <c r="AG234" s="390"/>
      <c r="AH234" s="390"/>
      <c r="AI234" s="390"/>
      <c r="AJ234" s="390"/>
      <c r="AK234" s="390"/>
      <c r="AL234" s="390"/>
      <c r="AM234" s="390"/>
      <c r="AN234" s="390"/>
      <c r="AO234" s="390"/>
      <c r="AP234" s="390"/>
      <c r="AQ234" s="390"/>
      <c r="AR234" s="390"/>
      <c r="AS234" s="390"/>
    </row>
    <row r="235" spans="2:45" x14ac:dyDescent="0.3">
      <c r="B235" s="61" t="s">
        <v>195</v>
      </c>
      <c r="C235" s="55"/>
      <c r="D235" s="106">
        <v>54</v>
      </c>
      <c r="E235" s="21">
        <v>56</v>
      </c>
      <c r="F235" s="21">
        <v>57</v>
      </c>
      <c r="G235" s="21">
        <v>55</v>
      </c>
      <c r="H235" s="21">
        <v>54</v>
      </c>
      <c r="I235" s="21">
        <v>54</v>
      </c>
      <c r="J235" s="21">
        <v>56</v>
      </c>
      <c r="K235" s="21">
        <v>55</v>
      </c>
      <c r="L235" s="21">
        <v>56</v>
      </c>
      <c r="M235" s="21">
        <v>54</v>
      </c>
      <c r="N235" s="21">
        <v>54</v>
      </c>
      <c r="O235" s="21">
        <v>57</v>
      </c>
      <c r="P235" s="21">
        <v>54</v>
      </c>
      <c r="Q235" s="21">
        <v>54</v>
      </c>
      <c r="R235" s="21">
        <v>54</v>
      </c>
      <c r="S235" s="21">
        <v>54</v>
      </c>
      <c r="T235" s="21">
        <v>50</v>
      </c>
      <c r="U235" s="21">
        <v>54</v>
      </c>
      <c r="V235" s="21">
        <v>50</v>
      </c>
      <c r="W235" s="21">
        <v>54</v>
      </c>
      <c r="Y235" s="390"/>
      <c r="Z235" s="390"/>
      <c r="AA235" s="390"/>
      <c r="AB235" s="390"/>
      <c r="AC235" s="390"/>
      <c r="AD235" s="390"/>
      <c r="AE235" s="390"/>
      <c r="AF235" s="390"/>
      <c r="AG235" s="390"/>
      <c r="AH235" s="390"/>
      <c r="AI235" s="390"/>
      <c r="AJ235" s="390"/>
      <c r="AK235" s="390"/>
      <c r="AL235" s="390"/>
      <c r="AM235" s="390"/>
      <c r="AN235" s="390"/>
      <c r="AO235" s="390"/>
      <c r="AP235" s="390"/>
      <c r="AQ235" s="390"/>
      <c r="AR235" s="390"/>
      <c r="AS235" s="390"/>
    </row>
    <row r="236" spans="2:45" s="30" customFormat="1" x14ac:dyDescent="0.3">
      <c r="B236" s="61" t="s">
        <v>196</v>
      </c>
      <c r="C236" s="62"/>
      <c r="D236" s="28">
        <v>55</v>
      </c>
      <c r="E236" s="28">
        <v>57</v>
      </c>
      <c r="F236" s="28">
        <v>58</v>
      </c>
      <c r="G236" s="28">
        <v>56</v>
      </c>
      <c r="H236" s="28">
        <v>55</v>
      </c>
      <c r="I236" s="28">
        <v>55</v>
      </c>
      <c r="J236" s="28">
        <v>57</v>
      </c>
      <c r="K236" s="28">
        <v>56</v>
      </c>
      <c r="L236" s="28">
        <v>57</v>
      </c>
      <c r="M236" s="28">
        <v>55</v>
      </c>
      <c r="N236" s="28">
        <v>55</v>
      </c>
      <c r="O236" s="28">
        <v>58</v>
      </c>
      <c r="P236" s="28">
        <v>55</v>
      </c>
      <c r="Q236" s="28">
        <v>55</v>
      </c>
      <c r="R236" s="28">
        <v>55</v>
      </c>
      <c r="S236" s="28">
        <v>55</v>
      </c>
      <c r="T236" s="28">
        <v>51</v>
      </c>
      <c r="U236" s="28">
        <v>55</v>
      </c>
      <c r="V236" s="28">
        <v>51</v>
      </c>
      <c r="W236" s="28">
        <v>55</v>
      </c>
      <c r="Y236" s="391"/>
      <c r="Z236" s="391"/>
      <c r="AA236" s="391"/>
      <c r="AB236" s="391"/>
      <c r="AC236" s="391"/>
      <c r="AD236" s="391"/>
      <c r="AE236" s="391"/>
      <c r="AF236" s="391"/>
      <c r="AG236" s="391"/>
      <c r="AH236" s="391"/>
      <c r="AI236" s="391"/>
      <c r="AJ236" s="391"/>
      <c r="AK236" s="391"/>
      <c r="AL236" s="391"/>
      <c r="AM236" s="391"/>
      <c r="AN236" s="391"/>
      <c r="AO236" s="391"/>
      <c r="AP236" s="391"/>
      <c r="AQ236" s="391"/>
      <c r="AR236" s="391"/>
      <c r="AS236" s="391"/>
    </row>
    <row r="237" spans="2:45" s="30" customFormat="1" x14ac:dyDescent="0.3">
      <c r="B237" s="61" t="s">
        <v>197</v>
      </c>
      <c r="C237" s="62"/>
      <c r="D237" s="28">
        <v>56</v>
      </c>
      <c r="E237" s="28">
        <v>58</v>
      </c>
      <c r="F237" s="28">
        <v>59</v>
      </c>
      <c r="G237" s="28">
        <v>57</v>
      </c>
      <c r="H237" s="28">
        <v>56</v>
      </c>
      <c r="I237" s="28">
        <v>56</v>
      </c>
      <c r="J237" s="28">
        <v>58</v>
      </c>
      <c r="K237" s="28">
        <v>57</v>
      </c>
      <c r="L237" s="28">
        <v>58</v>
      </c>
      <c r="M237" s="28">
        <v>56</v>
      </c>
      <c r="N237" s="28">
        <v>56</v>
      </c>
      <c r="O237" s="28">
        <v>59</v>
      </c>
      <c r="P237" s="28">
        <v>56</v>
      </c>
      <c r="Q237" s="28">
        <v>56</v>
      </c>
      <c r="R237" s="28">
        <v>56</v>
      </c>
      <c r="S237" s="28">
        <v>56</v>
      </c>
      <c r="T237" s="28">
        <v>52</v>
      </c>
      <c r="U237" s="28">
        <v>56</v>
      </c>
      <c r="V237" s="28">
        <v>52</v>
      </c>
      <c r="W237" s="28">
        <v>56</v>
      </c>
      <c r="Y237" s="391"/>
      <c r="Z237" s="391"/>
      <c r="AA237" s="391"/>
      <c r="AB237" s="391"/>
      <c r="AC237" s="391"/>
      <c r="AD237" s="391"/>
      <c r="AE237" s="391"/>
      <c r="AF237" s="391"/>
      <c r="AG237" s="391"/>
      <c r="AH237" s="391"/>
      <c r="AI237" s="391"/>
      <c r="AJ237" s="391"/>
      <c r="AK237" s="391"/>
      <c r="AL237" s="391"/>
      <c r="AM237" s="391"/>
      <c r="AN237" s="391"/>
      <c r="AO237" s="391"/>
      <c r="AP237" s="391"/>
      <c r="AQ237" s="391"/>
      <c r="AR237" s="391"/>
      <c r="AS237" s="391"/>
    </row>
    <row r="238" spans="2:45" x14ac:dyDescent="0.3">
      <c r="B238" s="63" t="s">
        <v>103</v>
      </c>
      <c r="C238" s="55"/>
      <c r="D238" s="43">
        <v>0</v>
      </c>
      <c r="E238" s="408">
        <v>0</v>
      </c>
      <c r="F238" s="408">
        <v>0</v>
      </c>
      <c r="G238" s="408">
        <v>0</v>
      </c>
      <c r="H238" s="408">
        <v>0</v>
      </c>
      <c r="I238" s="408">
        <v>0</v>
      </c>
      <c r="J238" s="408">
        <v>0</v>
      </c>
      <c r="K238" s="408">
        <v>0</v>
      </c>
      <c r="L238" s="408">
        <v>0</v>
      </c>
      <c r="M238" s="408">
        <v>0</v>
      </c>
      <c r="N238" s="408">
        <v>0</v>
      </c>
      <c r="O238" s="408">
        <v>0</v>
      </c>
      <c r="P238" s="408">
        <v>0</v>
      </c>
      <c r="Q238" s="408">
        <v>0</v>
      </c>
      <c r="R238" s="408">
        <v>0</v>
      </c>
      <c r="S238" s="408">
        <v>0</v>
      </c>
      <c r="T238" s="408">
        <v>0</v>
      </c>
      <c r="U238" s="408">
        <v>0</v>
      </c>
      <c r="V238" s="408">
        <v>0</v>
      </c>
      <c r="W238" s="408">
        <v>0</v>
      </c>
      <c r="Y238" s="409"/>
      <c r="Z238" s="409"/>
      <c r="AA238" s="409"/>
      <c r="AB238" s="409"/>
      <c r="AC238" s="409"/>
      <c r="AD238" s="409"/>
      <c r="AE238" s="409"/>
      <c r="AF238" s="409"/>
      <c r="AG238" s="409"/>
      <c r="AH238" s="409"/>
      <c r="AI238" s="409"/>
      <c r="AJ238" s="409"/>
      <c r="AK238" s="409"/>
      <c r="AL238" s="409"/>
      <c r="AM238" s="409"/>
      <c r="AN238" s="409"/>
      <c r="AO238" s="409"/>
      <c r="AP238" s="409"/>
      <c r="AQ238" s="409"/>
      <c r="AR238" s="409"/>
      <c r="AS238" s="409"/>
    </row>
    <row r="239" spans="2:45" s="33" customFormat="1" x14ac:dyDescent="0.3">
      <c r="B239" s="63" t="s">
        <v>198</v>
      </c>
      <c r="C239" s="64"/>
      <c r="D239" s="31">
        <f t="shared" ref="D239:W239" si="259">+D234-D$232</f>
        <v>3.7171111111111088</v>
      </c>
      <c r="E239" s="32">
        <f t="shared" si="259"/>
        <v>3.1882222222222154</v>
      </c>
      <c r="F239" s="32">
        <f t="shared" si="259"/>
        <v>3.2845714285714251</v>
      </c>
      <c r="G239" s="32">
        <f t="shared" si="259"/>
        <v>3.0917142857142821</v>
      </c>
      <c r="H239" s="32">
        <f t="shared" si="259"/>
        <v>3.7698095238095206</v>
      </c>
      <c r="I239" s="32">
        <f t="shared" si="259"/>
        <v>3.1244126984126979</v>
      </c>
      <c r="J239" s="32">
        <f t="shared" si="259"/>
        <v>3.7044126984126962</v>
      </c>
      <c r="K239" s="32">
        <f t="shared" si="259"/>
        <v>3.4272698412698404</v>
      </c>
      <c r="L239" s="32">
        <f t="shared" si="259"/>
        <v>3.8336190476190453</v>
      </c>
      <c r="M239" s="32">
        <f t="shared" si="259"/>
        <v>3.847269841269835</v>
      </c>
      <c r="N239" s="32">
        <f t="shared" si="259"/>
        <v>3.6406031746031715</v>
      </c>
      <c r="O239" s="32">
        <f t="shared" si="259"/>
        <v>3.8518730158730108</v>
      </c>
      <c r="P239" s="32">
        <f t="shared" si="259"/>
        <v>3.847269841269835</v>
      </c>
      <c r="Q239" s="32">
        <f t="shared" si="259"/>
        <v>3.847269841269835</v>
      </c>
      <c r="R239" s="32">
        <f t="shared" si="259"/>
        <v>3.2534603174603163</v>
      </c>
      <c r="S239" s="32">
        <f t="shared" si="259"/>
        <v>3.3825079365079347</v>
      </c>
      <c r="T239" s="32">
        <f t="shared" si="259"/>
        <v>3.9101999999999961</v>
      </c>
      <c r="U239" s="32">
        <f t="shared" si="259"/>
        <v>3.0560730158730109</v>
      </c>
      <c r="V239" s="32">
        <f t="shared" si="259"/>
        <v>3.9101999999999961</v>
      </c>
      <c r="W239" s="32">
        <f t="shared" si="259"/>
        <v>3.847269841269835</v>
      </c>
      <c r="Y239" s="392"/>
      <c r="Z239" s="392"/>
      <c r="AA239" s="392"/>
      <c r="AB239" s="392"/>
      <c r="AC239" s="392"/>
      <c r="AD239" s="392"/>
      <c r="AE239" s="392"/>
      <c r="AF239" s="392"/>
      <c r="AG239" s="392"/>
      <c r="AH239" s="392"/>
      <c r="AI239" s="392"/>
      <c r="AJ239" s="392"/>
      <c r="AK239" s="392"/>
      <c r="AL239" s="392"/>
      <c r="AM239" s="392"/>
      <c r="AN239" s="392"/>
      <c r="AO239" s="392"/>
      <c r="AP239" s="392"/>
      <c r="AQ239" s="392"/>
      <c r="AR239" s="392"/>
      <c r="AS239" s="392"/>
    </row>
    <row r="240" spans="2:45" s="33" customFormat="1" x14ac:dyDescent="0.3">
      <c r="B240" s="63" t="s">
        <v>199</v>
      </c>
      <c r="C240" s="64"/>
      <c r="D240" s="31">
        <f t="shared" ref="D240:W240" si="260">+D235-D$232</f>
        <v>4.7171111111111088</v>
      </c>
      <c r="E240" s="32">
        <f t="shared" si="260"/>
        <v>4.1882222222222154</v>
      </c>
      <c r="F240" s="32">
        <f t="shared" si="260"/>
        <v>4.2845714285714251</v>
      </c>
      <c r="G240" s="32">
        <f t="shared" si="260"/>
        <v>4.0917142857142821</v>
      </c>
      <c r="H240" s="32">
        <f t="shared" si="260"/>
        <v>4.7698095238095206</v>
      </c>
      <c r="I240" s="32">
        <f t="shared" si="260"/>
        <v>4.1244126984126979</v>
      </c>
      <c r="J240" s="32">
        <f t="shared" si="260"/>
        <v>4.7044126984126962</v>
      </c>
      <c r="K240" s="32">
        <f t="shared" si="260"/>
        <v>4.4272698412698404</v>
      </c>
      <c r="L240" s="32">
        <f t="shared" si="260"/>
        <v>4.8336190476190453</v>
      </c>
      <c r="M240" s="32">
        <f t="shared" si="260"/>
        <v>4.847269841269835</v>
      </c>
      <c r="N240" s="32">
        <f t="shared" si="260"/>
        <v>4.6406031746031715</v>
      </c>
      <c r="O240" s="32">
        <f t="shared" si="260"/>
        <v>4.8518730158730108</v>
      </c>
      <c r="P240" s="32">
        <f t="shared" si="260"/>
        <v>4.847269841269835</v>
      </c>
      <c r="Q240" s="32">
        <f t="shared" si="260"/>
        <v>4.847269841269835</v>
      </c>
      <c r="R240" s="32">
        <f t="shared" si="260"/>
        <v>4.2534603174603163</v>
      </c>
      <c r="S240" s="32">
        <f t="shared" si="260"/>
        <v>4.3825079365079347</v>
      </c>
      <c r="T240" s="32">
        <f t="shared" si="260"/>
        <v>4.9101999999999961</v>
      </c>
      <c r="U240" s="32">
        <f t="shared" si="260"/>
        <v>4.0560730158730109</v>
      </c>
      <c r="V240" s="32">
        <f t="shared" si="260"/>
        <v>4.9101999999999961</v>
      </c>
      <c r="W240" s="32">
        <f t="shared" si="260"/>
        <v>4.847269841269835</v>
      </c>
      <c r="Y240" s="392"/>
      <c r="Z240" s="392"/>
      <c r="AA240" s="392"/>
      <c r="AB240" s="392"/>
      <c r="AC240" s="392"/>
      <c r="AD240" s="392"/>
      <c r="AE240" s="392"/>
      <c r="AF240" s="392"/>
      <c r="AG240" s="392"/>
      <c r="AH240" s="392"/>
      <c r="AI240" s="392"/>
      <c r="AJ240" s="392"/>
      <c r="AK240" s="392"/>
      <c r="AL240" s="392"/>
      <c r="AM240" s="392"/>
      <c r="AN240" s="392"/>
      <c r="AO240" s="392"/>
      <c r="AP240" s="392"/>
      <c r="AQ240" s="392"/>
      <c r="AR240" s="392"/>
      <c r="AS240" s="392"/>
    </row>
    <row r="241" spans="1:45" s="33" customFormat="1" x14ac:dyDescent="0.3">
      <c r="B241" s="63" t="s">
        <v>200</v>
      </c>
      <c r="C241" s="64"/>
      <c r="D241" s="31">
        <f t="shared" ref="D241:W241" si="261">+D236-D$232</f>
        <v>5.7171111111111088</v>
      </c>
      <c r="E241" s="32">
        <f t="shared" si="261"/>
        <v>5.1882222222222154</v>
      </c>
      <c r="F241" s="32">
        <f t="shared" si="261"/>
        <v>5.2845714285714251</v>
      </c>
      <c r="G241" s="32">
        <f t="shared" si="261"/>
        <v>5.0917142857142821</v>
      </c>
      <c r="H241" s="32">
        <f t="shared" si="261"/>
        <v>5.7698095238095206</v>
      </c>
      <c r="I241" s="32">
        <f t="shared" si="261"/>
        <v>5.1244126984126979</v>
      </c>
      <c r="J241" s="32">
        <f t="shared" si="261"/>
        <v>5.7044126984126962</v>
      </c>
      <c r="K241" s="32">
        <f t="shared" si="261"/>
        <v>5.4272698412698404</v>
      </c>
      <c r="L241" s="32">
        <f t="shared" si="261"/>
        <v>5.8336190476190453</v>
      </c>
      <c r="M241" s="32">
        <f t="shared" si="261"/>
        <v>5.847269841269835</v>
      </c>
      <c r="N241" s="32">
        <f t="shared" si="261"/>
        <v>5.6406031746031715</v>
      </c>
      <c r="O241" s="32">
        <f t="shared" si="261"/>
        <v>5.8518730158730108</v>
      </c>
      <c r="P241" s="32">
        <f t="shared" si="261"/>
        <v>5.847269841269835</v>
      </c>
      <c r="Q241" s="32">
        <f t="shared" si="261"/>
        <v>5.847269841269835</v>
      </c>
      <c r="R241" s="32">
        <f t="shared" si="261"/>
        <v>5.2534603174603163</v>
      </c>
      <c r="S241" s="32">
        <f t="shared" si="261"/>
        <v>5.3825079365079347</v>
      </c>
      <c r="T241" s="32">
        <f t="shared" si="261"/>
        <v>5.9101999999999961</v>
      </c>
      <c r="U241" s="32">
        <f t="shared" si="261"/>
        <v>5.0560730158730109</v>
      </c>
      <c r="V241" s="32">
        <f t="shared" si="261"/>
        <v>5.9101999999999961</v>
      </c>
      <c r="W241" s="32">
        <f t="shared" si="261"/>
        <v>5.847269841269835</v>
      </c>
      <c r="Y241" s="392"/>
      <c r="Z241" s="392"/>
      <c r="AA241" s="392"/>
      <c r="AB241" s="392"/>
      <c r="AC241" s="392"/>
      <c r="AD241" s="392"/>
      <c r="AE241" s="392"/>
      <c r="AF241" s="392"/>
      <c r="AG241" s="392"/>
      <c r="AH241" s="392"/>
      <c r="AI241" s="392"/>
      <c r="AJ241" s="392"/>
      <c r="AK241" s="392"/>
      <c r="AL241" s="392"/>
      <c r="AM241" s="392"/>
      <c r="AN241" s="392"/>
      <c r="AO241" s="392"/>
      <c r="AP241" s="392"/>
      <c r="AQ241" s="392"/>
      <c r="AR241" s="392"/>
      <c r="AS241" s="392"/>
    </row>
    <row r="242" spans="1:45" s="33" customFormat="1" x14ac:dyDescent="0.3">
      <c r="B242" s="63" t="s">
        <v>201</v>
      </c>
      <c r="C242" s="64"/>
      <c r="D242" s="31">
        <f t="shared" ref="D242:W242" si="262">+D237-D$232</f>
        <v>6.7171111111111088</v>
      </c>
      <c r="E242" s="32">
        <f t="shared" si="262"/>
        <v>6.1882222222222154</v>
      </c>
      <c r="F242" s="32">
        <f t="shared" si="262"/>
        <v>6.2845714285714251</v>
      </c>
      <c r="G242" s="32">
        <f t="shared" si="262"/>
        <v>6.0917142857142821</v>
      </c>
      <c r="H242" s="32">
        <f t="shared" si="262"/>
        <v>6.7698095238095206</v>
      </c>
      <c r="I242" s="32">
        <f t="shared" si="262"/>
        <v>6.1244126984126979</v>
      </c>
      <c r="J242" s="32">
        <f t="shared" si="262"/>
        <v>6.7044126984126962</v>
      </c>
      <c r="K242" s="32">
        <f t="shared" si="262"/>
        <v>6.4272698412698404</v>
      </c>
      <c r="L242" s="32">
        <f t="shared" si="262"/>
        <v>6.8336190476190453</v>
      </c>
      <c r="M242" s="32">
        <f t="shared" si="262"/>
        <v>6.847269841269835</v>
      </c>
      <c r="N242" s="32">
        <f t="shared" si="262"/>
        <v>6.6406031746031715</v>
      </c>
      <c r="O242" s="32">
        <f t="shared" si="262"/>
        <v>6.8518730158730108</v>
      </c>
      <c r="P242" s="32">
        <f t="shared" si="262"/>
        <v>6.847269841269835</v>
      </c>
      <c r="Q242" s="32">
        <f t="shared" si="262"/>
        <v>6.847269841269835</v>
      </c>
      <c r="R242" s="32">
        <f t="shared" si="262"/>
        <v>6.2534603174603163</v>
      </c>
      <c r="S242" s="32">
        <f t="shared" si="262"/>
        <v>6.3825079365079347</v>
      </c>
      <c r="T242" s="32">
        <f t="shared" si="262"/>
        <v>6.9101999999999961</v>
      </c>
      <c r="U242" s="32">
        <f t="shared" si="262"/>
        <v>6.0560730158730109</v>
      </c>
      <c r="V242" s="32">
        <f t="shared" si="262"/>
        <v>6.9101999999999961</v>
      </c>
      <c r="W242" s="32">
        <f t="shared" si="262"/>
        <v>6.847269841269835</v>
      </c>
      <c r="Y242" s="392"/>
      <c r="Z242" s="392"/>
      <c r="AA242" s="392"/>
      <c r="AB242" s="392"/>
      <c r="AC242" s="392"/>
      <c r="AD242" s="392"/>
      <c r="AE242" s="392"/>
      <c r="AF242" s="392"/>
      <c r="AG242" s="392"/>
      <c r="AH242" s="392"/>
      <c r="AI242" s="392"/>
      <c r="AJ242" s="392"/>
      <c r="AK242" s="392"/>
      <c r="AL242" s="392"/>
      <c r="AM242" s="392"/>
      <c r="AN242" s="392"/>
      <c r="AO242" s="392"/>
      <c r="AP242" s="392"/>
      <c r="AQ242" s="392"/>
      <c r="AR242" s="392"/>
      <c r="AS242" s="392"/>
    </row>
    <row r="243" spans="1:45" x14ac:dyDescent="0.3">
      <c r="B243" s="65" t="s">
        <v>108</v>
      </c>
      <c r="C243" s="55"/>
      <c r="D243" s="43">
        <v>0</v>
      </c>
      <c r="E243" s="408">
        <v>0</v>
      </c>
      <c r="F243" s="408">
        <v>0</v>
      </c>
      <c r="G243" s="408">
        <v>0</v>
      </c>
      <c r="H243" s="408">
        <v>0</v>
      </c>
      <c r="I243" s="408">
        <v>0</v>
      </c>
      <c r="J243" s="408">
        <v>0</v>
      </c>
      <c r="K243" s="408">
        <v>0</v>
      </c>
      <c r="L243" s="408">
        <v>0</v>
      </c>
      <c r="M243" s="408">
        <v>0</v>
      </c>
      <c r="N243" s="408">
        <v>0</v>
      </c>
      <c r="O243" s="408">
        <v>0</v>
      </c>
      <c r="P243" s="408">
        <v>0</v>
      </c>
      <c r="Q243" s="408">
        <v>0</v>
      </c>
      <c r="R243" s="408">
        <v>0</v>
      </c>
      <c r="S243" s="408">
        <v>0</v>
      </c>
      <c r="T243" s="408">
        <v>0</v>
      </c>
      <c r="U243" s="408">
        <v>0</v>
      </c>
      <c r="V243" s="408">
        <v>0</v>
      </c>
      <c r="W243" s="408">
        <v>0</v>
      </c>
      <c r="Y243" s="409"/>
      <c r="Z243" s="409"/>
      <c r="AA243" s="409"/>
      <c r="AB243" s="409"/>
      <c r="AC243" s="409"/>
      <c r="AD243" s="409"/>
      <c r="AE243" s="409"/>
      <c r="AF243" s="409"/>
      <c r="AG243" s="409"/>
      <c r="AH243" s="409"/>
      <c r="AI243" s="409"/>
      <c r="AJ243" s="409"/>
      <c r="AK243" s="409"/>
      <c r="AL243" s="409"/>
      <c r="AM243" s="409"/>
      <c r="AN243" s="409"/>
      <c r="AO243" s="409"/>
      <c r="AP243" s="409"/>
      <c r="AQ243" s="409"/>
      <c r="AR243" s="409"/>
      <c r="AS243" s="409"/>
    </row>
    <row r="244" spans="1:45" s="36" customFormat="1" x14ac:dyDescent="0.3">
      <c r="B244" s="65" t="s">
        <v>202</v>
      </c>
      <c r="C244" s="66"/>
      <c r="D244" s="35">
        <f>+D239/D$234</f>
        <v>7.0134171907756768E-2</v>
      </c>
      <c r="E244" s="35">
        <f t="shared" ref="E244:W244" si="263">+E239/E$234</f>
        <v>5.7967676767676647E-2</v>
      </c>
      <c r="F244" s="35">
        <f t="shared" si="263"/>
        <v>5.8653061224489732E-2</v>
      </c>
      <c r="G244" s="35">
        <f t="shared" si="263"/>
        <v>5.7253968253968189E-2</v>
      </c>
      <c r="H244" s="35">
        <f t="shared" si="263"/>
        <v>7.1128481581311714E-2</v>
      </c>
      <c r="I244" s="35">
        <f t="shared" si="263"/>
        <v>5.8951182988918827E-2</v>
      </c>
      <c r="J244" s="35">
        <f t="shared" si="263"/>
        <v>6.7352958152958109E-2</v>
      </c>
      <c r="K244" s="35">
        <f t="shared" si="263"/>
        <v>6.3467960023515568E-2</v>
      </c>
      <c r="L244" s="35">
        <f t="shared" si="263"/>
        <v>6.970216450216446E-2</v>
      </c>
      <c r="M244" s="35">
        <f t="shared" si="263"/>
        <v>7.2589997005091222E-2</v>
      </c>
      <c r="N244" s="35">
        <f t="shared" si="263"/>
        <v>6.8690625935908897E-2</v>
      </c>
      <c r="O244" s="35">
        <f t="shared" si="263"/>
        <v>6.8783446712018054E-2</v>
      </c>
      <c r="P244" s="35">
        <f t="shared" si="263"/>
        <v>7.2589997005091222E-2</v>
      </c>
      <c r="Q244" s="35">
        <f t="shared" si="263"/>
        <v>7.2589997005091222E-2</v>
      </c>
      <c r="R244" s="35">
        <f t="shared" si="263"/>
        <v>6.1386043725666348E-2</v>
      </c>
      <c r="S244" s="35">
        <f t="shared" si="263"/>
        <v>6.3820904462413869E-2</v>
      </c>
      <c r="T244" s="35">
        <f t="shared" si="263"/>
        <v>7.9799999999999927E-2</v>
      </c>
      <c r="U244" s="35">
        <f t="shared" si="263"/>
        <v>5.7661755016471902E-2</v>
      </c>
      <c r="V244" s="35">
        <f t="shared" si="263"/>
        <v>7.9799999999999927E-2</v>
      </c>
      <c r="W244" s="35">
        <f t="shared" si="263"/>
        <v>7.2589997005091222E-2</v>
      </c>
      <c r="Y244" s="393"/>
      <c r="Z244" s="393"/>
      <c r="AA244" s="393"/>
      <c r="AB244" s="393"/>
      <c r="AC244" s="393"/>
      <c r="AD244" s="393"/>
      <c r="AE244" s="393"/>
      <c r="AF244" s="393"/>
      <c r="AG244" s="393"/>
      <c r="AH244" s="393"/>
      <c r="AI244" s="393"/>
      <c r="AJ244" s="393"/>
      <c r="AK244" s="393"/>
      <c r="AL244" s="393"/>
      <c r="AM244" s="393"/>
      <c r="AN244" s="393"/>
      <c r="AO244" s="393"/>
      <c r="AP244" s="393"/>
      <c r="AQ244" s="393"/>
      <c r="AR244" s="393"/>
      <c r="AS244" s="393"/>
    </row>
    <row r="245" spans="1:45" s="36" customFormat="1" x14ac:dyDescent="0.3">
      <c r="B245" s="65" t="s">
        <v>203</v>
      </c>
      <c r="C245" s="66"/>
      <c r="D245" s="35">
        <f>+D240/D$235</f>
        <v>8.7353909465020529E-2</v>
      </c>
      <c r="E245" s="35">
        <f t="shared" ref="E245:W245" si="264">+E240/E$235</f>
        <v>7.478968253968242E-2</v>
      </c>
      <c r="F245" s="35">
        <f t="shared" si="264"/>
        <v>7.5167919799498689E-2</v>
      </c>
      <c r="G245" s="35">
        <f t="shared" si="264"/>
        <v>7.4394805194805125E-2</v>
      </c>
      <c r="H245" s="35">
        <f t="shared" si="264"/>
        <v>8.832980599647261E-2</v>
      </c>
      <c r="I245" s="35">
        <f t="shared" si="264"/>
        <v>7.6378012933568482E-2</v>
      </c>
      <c r="J245" s="35">
        <f t="shared" si="264"/>
        <v>8.4007369614512425E-2</v>
      </c>
      <c r="K245" s="35">
        <f t="shared" si="264"/>
        <v>8.0495815295815273E-2</v>
      </c>
      <c r="L245" s="35">
        <f t="shared" si="264"/>
        <v>8.6314625850340096E-2</v>
      </c>
      <c r="M245" s="35">
        <f t="shared" si="264"/>
        <v>8.9764256319811761E-2</v>
      </c>
      <c r="N245" s="35">
        <f t="shared" si="264"/>
        <v>8.5937095825984661E-2</v>
      </c>
      <c r="O245" s="35">
        <f t="shared" si="264"/>
        <v>8.5120579225842291E-2</v>
      </c>
      <c r="P245" s="35">
        <f t="shared" si="264"/>
        <v>8.9764256319811761E-2</v>
      </c>
      <c r="Q245" s="35">
        <f t="shared" si="264"/>
        <v>8.9764256319811761E-2</v>
      </c>
      <c r="R245" s="35">
        <f t="shared" si="264"/>
        <v>7.876778365667253E-2</v>
      </c>
      <c r="S245" s="35">
        <f t="shared" si="264"/>
        <v>8.1157554379776564E-2</v>
      </c>
      <c r="T245" s="35">
        <f t="shared" si="264"/>
        <v>9.8203999999999916E-2</v>
      </c>
      <c r="U245" s="35">
        <f t="shared" si="264"/>
        <v>7.5112463256907611E-2</v>
      </c>
      <c r="V245" s="35">
        <f t="shared" si="264"/>
        <v>9.8203999999999916E-2</v>
      </c>
      <c r="W245" s="35">
        <f t="shared" si="264"/>
        <v>8.9764256319811761E-2</v>
      </c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  <c r="AS245" s="393"/>
    </row>
    <row r="246" spans="1:45" s="36" customFormat="1" x14ac:dyDescent="0.3">
      <c r="B246" s="65" t="s">
        <v>204</v>
      </c>
      <c r="C246" s="66"/>
      <c r="D246" s="35">
        <f>+D241/D$236</f>
        <v>0.10394747474747471</v>
      </c>
      <c r="E246" s="35">
        <f t="shared" ref="E246:W246" si="265">+E241/E$236</f>
        <v>9.1021442495126587E-2</v>
      </c>
      <c r="F246" s="35">
        <f>+F241/F$236</f>
        <v>9.111330049261078E-2</v>
      </c>
      <c r="G246" s="35">
        <f t="shared" si="265"/>
        <v>9.0923469387755043E-2</v>
      </c>
      <c r="H246" s="35">
        <f t="shared" si="265"/>
        <v>0.10490562770562764</v>
      </c>
      <c r="I246" s="35">
        <f t="shared" si="265"/>
        <v>9.317113997113996E-2</v>
      </c>
      <c r="J246" s="35">
        <f t="shared" si="265"/>
        <v>0.10007741576162625</v>
      </c>
      <c r="K246" s="35">
        <f t="shared" si="265"/>
        <v>9.6915532879818578E-2</v>
      </c>
      <c r="L246" s="35">
        <f t="shared" si="265"/>
        <v>0.10234419381787799</v>
      </c>
      <c r="M246" s="35">
        <f t="shared" si="265"/>
        <v>0.106313997113997</v>
      </c>
      <c r="N246" s="35">
        <f t="shared" si="265"/>
        <v>0.1025564213564213</v>
      </c>
      <c r="O246" s="35">
        <f t="shared" si="265"/>
        <v>0.10089436234263811</v>
      </c>
      <c r="P246" s="35">
        <f t="shared" si="265"/>
        <v>0.106313997113997</v>
      </c>
      <c r="Q246" s="35">
        <f t="shared" si="265"/>
        <v>0.106313997113997</v>
      </c>
      <c r="R246" s="35">
        <f t="shared" si="265"/>
        <v>9.5517460317460293E-2</v>
      </c>
      <c r="S246" s="35">
        <f t="shared" si="265"/>
        <v>9.7863780663780625E-2</v>
      </c>
      <c r="T246" s="35">
        <f t="shared" si="265"/>
        <v>0.11588627450980385</v>
      </c>
      <c r="U246" s="35">
        <f t="shared" si="265"/>
        <v>9.1928600288600198E-2</v>
      </c>
      <c r="V246" s="35">
        <f t="shared" si="265"/>
        <v>0.11588627450980385</v>
      </c>
      <c r="W246" s="35">
        <f t="shared" si="265"/>
        <v>0.106313997113997</v>
      </c>
      <c r="Y246" s="393"/>
      <c r="Z246" s="393"/>
      <c r="AA246" s="393"/>
      <c r="AB246" s="393"/>
      <c r="AC246" s="393"/>
      <c r="AD246" s="393"/>
      <c r="AE246" s="393"/>
      <c r="AF246" s="393"/>
      <c r="AG246" s="393"/>
      <c r="AH246" s="393"/>
      <c r="AI246" s="393"/>
      <c r="AJ246" s="393"/>
      <c r="AK246" s="393"/>
      <c r="AL246" s="393"/>
      <c r="AM246" s="393"/>
      <c r="AN246" s="393"/>
      <c r="AO246" s="393"/>
      <c r="AP246" s="393"/>
      <c r="AQ246" s="393"/>
      <c r="AR246" s="393"/>
      <c r="AS246" s="393"/>
    </row>
    <row r="247" spans="1:45" s="36" customFormat="1" x14ac:dyDescent="0.3">
      <c r="B247" s="65" t="s">
        <v>205</v>
      </c>
      <c r="C247" s="66"/>
      <c r="D247" s="35">
        <f>+D242/D$237</f>
        <v>0.11994841269841265</v>
      </c>
      <c r="E247" s="35">
        <f t="shared" ref="E247:W247" si="266">+E242/E$237</f>
        <v>0.1066934865900382</v>
      </c>
      <c r="F247" s="35">
        <f t="shared" si="266"/>
        <v>0.10651815980629534</v>
      </c>
      <c r="G247" s="35">
        <f t="shared" si="266"/>
        <v>0.10687218045112776</v>
      </c>
      <c r="H247" s="35">
        <f t="shared" si="266"/>
        <v>0.12088945578231287</v>
      </c>
      <c r="I247" s="35">
        <f t="shared" si="266"/>
        <v>0.10936451247165532</v>
      </c>
      <c r="J247" s="35">
        <f t="shared" si="266"/>
        <v>0.11559332238642579</v>
      </c>
      <c r="K247" s="35">
        <f t="shared" si="266"/>
        <v>0.11275912002227791</v>
      </c>
      <c r="L247" s="35">
        <f t="shared" si="266"/>
        <v>0.11782101806239734</v>
      </c>
      <c r="M247" s="35">
        <f t="shared" si="266"/>
        <v>0.12227267573696134</v>
      </c>
      <c r="N247" s="35">
        <f t="shared" si="266"/>
        <v>0.1185821995464852</v>
      </c>
      <c r="O247" s="35">
        <f t="shared" si="266"/>
        <v>0.11613344094700018</v>
      </c>
      <c r="P247" s="35">
        <f t="shared" si="266"/>
        <v>0.12227267573696134</v>
      </c>
      <c r="Q247" s="35">
        <f t="shared" si="266"/>
        <v>0.12227267573696134</v>
      </c>
      <c r="R247" s="35">
        <f t="shared" si="266"/>
        <v>0.1116689342403628</v>
      </c>
      <c r="S247" s="35">
        <f t="shared" si="266"/>
        <v>0.11397335600907026</v>
      </c>
      <c r="T247" s="35">
        <f t="shared" si="266"/>
        <v>0.13288846153846146</v>
      </c>
      <c r="U247" s="35">
        <f t="shared" si="266"/>
        <v>0.10814416099773234</v>
      </c>
      <c r="V247" s="35">
        <f t="shared" si="266"/>
        <v>0.13288846153846146</v>
      </c>
      <c r="W247" s="35">
        <f t="shared" si="266"/>
        <v>0.12227267573696134</v>
      </c>
      <c r="Y247" s="393"/>
      <c r="Z247" s="393"/>
      <c r="AA247" s="393"/>
      <c r="AB247" s="393"/>
      <c r="AC247" s="393"/>
      <c r="AD247" s="393"/>
      <c r="AE247" s="393"/>
      <c r="AF247" s="393"/>
      <c r="AG247" s="393"/>
      <c r="AH247" s="393"/>
      <c r="AI247" s="393"/>
      <c r="AJ247" s="393"/>
      <c r="AK247" s="393"/>
      <c r="AL247" s="393"/>
      <c r="AM247" s="393"/>
      <c r="AN247" s="393"/>
      <c r="AO247" s="393"/>
      <c r="AP247" s="393"/>
      <c r="AQ247" s="393"/>
      <c r="AR247" s="393"/>
      <c r="AS247" s="393"/>
    </row>
    <row r="248" spans="1:45" x14ac:dyDescent="0.3">
      <c r="B248" s="73"/>
      <c r="D248" s="37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Y248" s="390"/>
      <c r="Z248" s="390"/>
      <c r="AA248" s="390"/>
      <c r="AB248" s="390"/>
      <c r="AC248" s="390"/>
      <c r="AD248" s="390"/>
      <c r="AE248" s="390"/>
      <c r="AF248" s="390"/>
      <c r="AG248" s="390"/>
      <c r="AH248" s="390"/>
      <c r="AI248" s="390"/>
      <c r="AJ248" s="390"/>
      <c r="AK248" s="390"/>
      <c r="AL248" s="390"/>
      <c r="AM248" s="390"/>
      <c r="AN248" s="390"/>
      <c r="AO248" s="390"/>
      <c r="AP248" s="390"/>
      <c r="AQ248" s="390"/>
      <c r="AR248" s="390"/>
      <c r="AS248" s="390"/>
    </row>
    <row r="249" spans="1:45" ht="21" thickBot="1" x14ac:dyDescent="0.35">
      <c r="B249" s="73" t="s">
        <v>61</v>
      </c>
      <c r="Y249" s="390"/>
      <c r="Z249" s="390"/>
      <c r="AA249" s="390"/>
      <c r="AB249" s="390"/>
      <c r="AC249" s="390"/>
      <c r="AD249" s="390"/>
      <c r="AE249" s="390"/>
      <c r="AF249" s="390"/>
      <c r="AG249" s="390"/>
      <c r="AH249" s="390"/>
      <c r="AI249" s="390"/>
      <c r="AJ249" s="390"/>
      <c r="AK249" s="390"/>
      <c r="AL249" s="390"/>
      <c r="AM249" s="390"/>
      <c r="AN249" s="390"/>
      <c r="AO249" s="390"/>
      <c r="AP249" s="390"/>
      <c r="AQ249" s="390"/>
      <c r="AR249" s="390"/>
      <c r="AS249" s="390"/>
    </row>
    <row r="250" spans="1:45" ht="21" thickBot="1" x14ac:dyDescent="0.35">
      <c r="A250" s="15" t="s">
        <v>319</v>
      </c>
      <c r="B250" s="67" t="s">
        <v>46</v>
      </c>
      <c r="C250" s="68"/>
      <c r="D250" s="17" t="s">
        <v>5</v>
      </c>
      <c r="E250" s="18" t="s">
        <v>6</v>
      </c>
      <c r="F250" s="18" t="s">
        <v>7</v>
      </c>
      <c r="G250" s="18" t="s">
        <v>8</v>
      </c>
      <c r="H250" s="18" t="s">
        <v>9</v>
      </c>
      <c r="I250" s="18" t="s">
        <v>10</v>
      </c>
      <c r="J250" s="18" t="s">
        <v>11</v>
      </c>
      <c r="K250" s="18" t="s">
        <v>12</v>
      </c>
      <c r="L250" s="18" t="s">
        <v>13</v>
      </c>
      <c r="M250" s="18" t="s">
        <v>14</v>
      </c>
      <c r="N250" s="18" t="s">
        <v>15</v>
      </c>
      <c r="O250" s="18" t="s">
        <v>16</v>
      </c>
      <c r="P250" s="18" t="s">
        <v>17</v>
      </c>
      <c r="Q250" s="18" t="s">
        <v>18</v>
      </c>
      <c r="R250" s="18" t="s">
        <v>19</v>
      </c>
      <c r="S250" s="18" t="s">
        <v>20</v>
      </c>
      <c r="T250" s="18" t="s">
        <v>21</v>
      </c>
      <c r="U250" s="18" t="s">
        <v>22</v>
      </c>
      <c r="V250" s="18" t="s">
        <v>23</v>
      </c>
      <c r="W250" s="18" t="s">
        <v>166</v>
      </c>
      <c r="Y250" s="390"/>
      <c r="Z250" s="390"/>
      <c r="AA250" s="390"/>
      <c r="AB250" s="390"/>
      <c r="AC250" s="390"/>
      <c r="AD250" s="390"/>
      <c r="AE250" s="390"/>
      <c r="AF250" s="390"/>
      <c r="AG250" s="390"/>
      <c r="AH250" s="390"/>
      <c r="AI250" s="390"/>
      <c r="AJ250" s="390"/>
      <c r="AK250" s="390"/>
      <c r="AL250" s="390"/>
      <c r="AM250" s="390"/>
      <c r="AN250" s="390"/>
      <c r="AO250" s="390"/>
      <c r="AP250" s="390"/>
      <c r="AQ250" s="390"/>
      <c r="AR250" s="390"/>
      <c r="AS250" s="390"/>
    </row>
    <row r="251" spans="1:45" x14ac:dyDescent="0.3">
      <c r="B251" s="54" t="s">
        <v>50</v>
      </c>
      <c r="C251" s="55"/>
      <c r="D251" s="20">
        <v>48</v>
      </c>
      <c r="E251" s="21">
        <v>48</v>
      </c>
      <c r="F251" s="21">
        <v>48</v>
      </c>
      <c r="G251" s="21">
        <v>48</v>
      </c>
      <c r="H251" s="21">
        <v>48</v>
      </c>
      <c r="I251" s="21">
        <v>48</v>
      </c>
      <c r="J251" s="21">
        <v>48</v>
      </c>
      <c r="K251" s="21">
        <v>48</v>
      </c>
      <c r="L251" s="21">
        <v>48</v>
      </c>
      <c r="M251" s="21">
        <v>48</v>
      </c>
      <c r="N251" s="21">
        <v>48</v>
      </c>
      <c r="O251" s="21">
        <v>48</v>
      </c>
      <c r="P251" s="21">
        <v>48</v>
      </c>
      <c r="Q251" s="21">
        <v>48</v>
      </c>
      <c r="R251" s="21">
        <v>48</v>
      </c>
      <c r="S251" s="21">
        <v>48</v>
      </c>
      <c r="T251" s="21"/>
      <c r="U251" s="21"/>
      <c r="V251" s="21"/>
      <c r="W251" s="21">
        <v>48</v>
      </c>
      <c r="Y251" s="390"/>
      <c r="Z251" s="390"/>
      <c r="AA251" s="390"/>
      <c r="AB251" s="390"/>
      <c r="AC251" s="390"/>
      <c r="AD251" s="390"/>
      <c r="AE251" s="390"/>
      <c r="AF251" s="390"/>
      <c r="AG251" s="390"/>
      <c r="AH251" s="390"/>
      <c r="AI251" s="390"/>
      <c r="AJ251" s="390"/>
      <c r="AK251" s="390"/>
      <c r="AL251" s="390"/>
      <c r="AM251" s="390"/>
      <c r="AN251" s="390"/>
      <c r="AO251" s="390"/>
      <c r="AP251" s="390"/>
      <c r="AQ251" s="390"/>
      <c r="AR251" s="390"/>
      <c r="AS251" s="390"/>
    </row>
    <row r="252" spans="1:45" x14ac:dyDescent="0.3">
      <c r="B252" s="54" t="s">
        <v>51</v>
      </c>
      <c r="C252" s="55"/>
      <c r="D252" s="322">
        <v>0.15</v>
      </c>
      <c r="E252" s="322">
        <f>D252</f>
        <v>0.15</v>
      </c>
      <c r="F252" s="322">
        <f>D252</f>
        <v>0.15</v>
      </c>
      <c r="G252" s="322">
        <f>D252</f>
        <v>0.15</v>
      </c>
      <c r="H252" s="322">
        <f>E252</f>
        <v>0.15</v>
      </c>
      <c r="I252" s="322">
        <f>D252</f>
        <v>0.15</v>
      </c>
      <c r="J252" s="322">
        <f>D252</f>
        <v>0.15</v>
      </c>
      <c r="K252" s="322">
        <f>D252</f>
        <v>0.15</v>
      </c>
      <c r="L252" s="322">
        <f>D252</f>
        <v>0.15</v>
      </c>
      <c r="M252" s="322">
        <f>D252</f>
        <v>0.15</v>
      </c>
      <c r="N252" s="322">
        <f>D252</f>
        <v>0.15</v>
      </c>
      <c r="O252" s="322">
        <f>D252</f>
        <v>0.15</v>
      </c>
      <c r="P252" s="322">
        <f>D252</f>
        <v>0.15</v>
      </c>
      <c r="Q252" s="322">
        <f>D252</f>
        <v>0.15</v>
      </c>
      <c r="R252" s="322">
        <f>D252</f>
        <v>0.15</v>
      </c>
      <c r="S252" s="322">
        <f>D252</f>
        <v>0.15</v>
      </c>
      <c r="T252" s="218"/>
      <c r="U252" s="218"/>
      <c r="V252" s="218"/>
      <c r="W252" s="322">
        <f>J252</f>
        <v>0.15</v>
      </c>
      <c r="Y252" s="390"/>
      <c r="Z252" s="390"/>
      <c r="AA252" s="390"/>
      <c r="AB252" s="390"/>
      <c r="AC252" s="390"/>
      <c r="AD252" s="390"/>
      <c r="AE252" s="390"/>
      <c r="AF252" s="390"/>
      <c r="AG252" s="390"/>
      <c r="AH252" s="390"/>
      <c r="AI252" s="390"/>
      <c r="AJ252" s="390"/>
      <c r="AK252" s="390"/>
      <c r="AL252" s="390"/>
      <c r="AM252" s="390"/>
      <c r="AN252" s="390"/>
      <c r="AO252" s="390"/>
      <c r="AP252" s="390"/>
      <c r="AQ252" s="390"/>
      <c r="AR252" s="390"/>
      <c r="AS252" s="390"/>
    </row>
    <row r="253" spans="1:45" x14ac:dyDescent="0.3">
      <c r="B253" s="54" t="s">
        <v>60</v>
      </c>
      <c r="C253" s="55"/>
      <c r="D253" s="24">
        <v>0</v>
      </c>
      <c r="E253" s="24">
        <v>0</v>
      </c>
      <c r="F253" s="24">
        <v>0</v>
      </c>
      <c r="G253" s="24">
        <v>0</v>
      </c>
      <c r="H253" s="24">
        <v>0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/>
      <c r="U253" s="24"/>
      <c r="V253" s="24"/>
      <c r="W253" s="24">
        <v>0</v>
      </c>
      <c r="Y253" s="390"/>
      <c r="Z253" s="390"/>
      <c r="AA253" s="390"/>
      <c r="AB253" s="390"/>
      <c r="AC253" s="390"/>
      <c r="AD253" s="390"/>
      <c r="AE253" s="390"/>
      <c r="AF253" s="390"/>
      <c r="AG253" s="390"/>
      <c r="AH253" s="390"/>
      <c r="AI253" s="390"/>
      <c r="AJ253" s="390"/>
      <c r="AK253" s="390"/>
      <c r="AL253" s="390"/>
      <c r="AM253" s="390"/>
      <c r="AN253" s="390"/>
      <c r="AO253" s="390"/>
      <c r="AP253" s="390"/>
      <c r="AQ253" s="390"/>
      <c r="AR253" s="390"/>
      <c r="AS253" s="390"/>
    </row>
    <row r="254" spans="1:45" x14ac:dyDescent="0.3">
      <c r="B254" s="177" t="s">
        <v>67</v>
      </c>
      <c r="C254" s="178"/>
      <c r="D254" s="323">
        <f>D251-(D251*D252)</f>
        <v>40.799999999999997</v>
      </c>
      <c r="E254" s="323">
        <f t="shared" ref="E254:W254" si="267">E251-(E251*E252)</f>
        <v>40.799999999999997</v>
      </c>
      <c r="F254" s="323">
        <f t="shared" si="267"/>
        <v>40.799999999999997</v>
      </c>
      <c r="G254" s="323">
        <f t="shared" si="267"/>
        <v>40.799999999999997</v>
      </c>
      <c r="H254" s="323">
        <f t="shared" si="267"/>
        <v>40.799999999999997</v>
      </c>
      <c r="I254" s="323">
        <f t="shared" si="267"/>
        <v>40.799999999999997</v>
      </c>
      <c r="J254" s="323">
        <f t="shared" si="267"/>
        <v>40.799999999999997</v>
      </c>
      <c r="K254" s="323">
        <f t="shared" si="267"/>
        <v>40.799999999999997</v>
      </c>
      <c r="L254" s="323">
        <f t="shared" si="267"/>
        <v>40.799999999999997</v>
      </c>
      <c r="M254" s="323">
        <f t="shared" si="267"/>
        <v>40.799999999999997</v>
      </c>
      <c r="N254" s="323">
        <f t="shared" si="267"/>
        <v>40.799999999999997</v>
      </c>
      <c r="O254" s="323">
        <f t="shared" si="267"/>
        <v>40.799999999999997</v>
      </c>
      <c r="P254" s="323">
        <f t="shared" si="267"/>
        <v>40.799999999999997</v>
      </c>
      <c r="Q254" s="323">
        <f t="shared" si="267"/>
        <v>40.799999999999997</v>
      </c>
      <c r="R254" s="323">
        <f t="shared" si="267"/>
        <v>40.799999999999997</v>
      </c>
      <c r="S254" s="323">
        <f t="shared" si="267"/>
        <v>40.799999999999997</v>
      </c>
      <c r="T254" s="323">
        <v>38.68</v>
      </c>
      <c r="U254" s="323">
        <v>38.68</v>
      </c>
      <c r="V254" s="323">
        <v>38.68</v>
      </c>
      <c r="W254" s="323">
        <f t="shared" si="267"/>
        <v>40.799999999999997</v>
      </c>
      <c r="Y254" s="390"/>
      <c r="Z254" s="390"/>
      <c r="AA254" s="390"/>
      <c r="AB254" s="390"/>
      <c r="AC254" s="390"/>
      <c r="AD254" s="390"/>
      <c r="AE254" s="390"/>
      <c r="AF254" s="390"/>
      <c r="AG254" s="390"/>
      <c r="AH254" s="390"/>
      <c r="AI254" s="390"/>
      <c r="AJ254" s="390"/>
      <c r="AK254" s="390"/>
      <c r="AL254" s="390"/>
      <c r="AM254" s="390"/>
      <c r="AN254" s="390"/>
      <c r="AO254" s="390"/>
      <c r="AP254" s="390"/>
      <c r="AQ254" s="390"/>
      <c r="AR254" s="390"/>
      <c r="AS254" s="390"/>
    </row>
    <row r="255" spans="1:45" x14ac:dyDescent="0.3">
      <c r="B255" s="54" t="s">
        <v>66</v>
      </c>
      <c r="C255" s="56">
        <v>7.0000000000000007E-2</v>
      </c>
      <c r="D255" s="24">
        <f t="shared" ref="D255:W255" si="268">D254*$C255</f>
        <v>2.8559999999999999</v>
      </c>
      <c r="E255" s="24">
        <f t="shared" si="268"/>
        <v>2.8559999999999999</v>
      </c>
      <c r="F255" s="24">
        <f t="shared" si="268"/>
        <v>2.8559999999999999</v>
      </c>
      <c r="G255" s="24">
        <f t="shared" si="268"/>
        <v>2.8559999999999999</v>
      </c>
      <c r="H255" s="24">
        <f t="shared" si="268"/>
        <v>2.8559999999999999</v>
      </c>
      <c r="I255" s="24">
        <f t="shared" si="268"/>
        <v>2.8559999999999999</v>
      </c>
      <c r="J255" s="24">
        <f t="shared" si="268"/>
        <v>2.8559999999999999</v>
      </c>
      <c r="K255" s="24">
        <f t="shared" si="268"/>
        <v>2.8559999999999999</v>
      </c>
      <c r="L255" s="24">
        <f t="shared" si="268"/>
        <v>2.8559999999999999</v>
      </c>
      <c r="M255" s="24">
        <f t="shared" si="268"/>
        <v>2.8559999999999999</v>
      </c>
      <c r="N255" s="24">
        <f t="shared" si="268"/>
        <v>2.8559999999999999</v>
      </c>
      <c r="O255" s="24">
        <f t="shared" si="268"/>
        <v>2.8559999999999999</v>
      </c>
      <c r="P255" s="24">
        <f t="shared" si="268"/>
        <v>2.8559999999999999</v>
      </c>
      <c r="Q255" s="24">
        <f t="shared" si="268"/>
        <v>2.8559999999999999</v>
      </c>
      <c r="R255" s="24">
        <f t="shared" si="268"/>
        <v>2.8559999999999999</v>
      </c>
      <c r="S255" s="24">
        <f t="shared" si="268"/>
        <v>2.8559999999999999</v>
      </c>
      <c r="T255" s="24">
        <f t="shared" si="268"/>
        <v>2.7076000000000002</v>
      </c>
      <c r="U255" s="24">
        <f t="shared" si="268"/>
        <v>2.7076000000000002</v>
      </c>
      <c r="V255" s="24">
        <f t="shared" si="268"/>
        <v>2.7076000000000002</v>
      </c>
      <c r="W255" s="24">
        <f t="shared" si="268"/>
        <v>2.8559999999999999</v>
      </c>
      <c r="Y255" s="390"/>
      <c r="Z255" s="390"/>
      <c r="AA255" s="390"/>
      <c r="AB255" s="390"/>
      <c r="AC255" s="390"/>
      <c r="AD255" s="390"/>
      <c r="AE255" s="390"/>
      <c r="AF255" s="390"/>
      <c r="AG255" s="390"/>
      <c r="AH255" s="390"/>
      <c r="AI255" s="390"/>
      <c r="AJ255" s="390"/>
      <c r="AK255" s="390"/>
      <c r="AL255" s="390"/>
      <c r="AM255" s="390"/>
      <c r="AN255" s="390"/>
      <c r="AO255" s="390"/>
      <c r="AP255" s="390"/>
      <c r="AQ255" s="390"/>
      <c r="AR255" s="390"/>
      <c r="AS255" s="390"/>
    </row>
    <row r="256" spans="1:45" x14ac:dyDescent="0.3">
      <c r="B256" s="54" t="s">
        <v>68</v>
      </c>
      <c r="C256" s="55"/>
      <c r="D256" s="21">
        <f t="shared" ref="D256:W256" si="269">D254+D255</f>
        <v>43.655999999999999</v>
      </c>
      <c r="E256" s="21">
        <f t="shared" si="269"/>
        <v>43.655999999999999</v>
      </c>
      <c r="F256" s="21">
        <f t="shared" si="269"/>
        <v>43.655999999999999</v>
      </c>
      <c r="G256" s="21">
        <f t="shared" si="269"/>
        <v>43.655999999999999</v>
      </c>
      <c r="H256" s="21">
        <f t="shared" si="269"/>
        <v>43.655999999999999</v>
      </c>
      <c r="I256" s="21">
        <f t="shared" si="269"/>
        <v>43.655999999999999</v>
      </c>
      <c r="J256" s="21">
        <f t="shared" si="269"/>
        <v>43.655999999999999</v>
      </c>
      <c r="K256" s="21">
        <f t="shared" si="269"/>
        <v>43.655999999999999</v>
      </c>
      <c r="L256" s="21">
        <f t="shared" si="269"/>
        <v>43.655999999999999</v>
      </c>
      <c r="M256" s="21">
        <f t="shared" si="269"/>
        <v>43.655999999999999</v>
      </c>
      <c r="N256" s="21">
        <f t="shared" si="269"/>
        <v>43.655999999999999</v>
      </c>
      <c r="O256" s="21">
        <f t="shared" si="269"/>
        <v>43.655999999999999</v>
      </c>
      <c r="P256" s="21">
        <f t="shared" si="269"/>
        <v>43.655999999999999</v>
      </c>
      <c r="Q256" s="21">
        <f t="shared" si="269"/>
        <v>43.655999999999999</v>
      </c>
      <c r="R256" s="21">
        <f t="shared" si="269"/>
        <v>43.655999999999999</v>
      </c>
      <c r="S256" s="21">
        <f t="shared" si="269"/>
        <v>43.655999999999999</v>
      </c>
      <c r="T256" s="21">
        <f t="shared" si="269"/>
        <v>41.387599999999999</v>
      </c>
      <c r="U256" s="21">
        <f t="shared" si="269"/>
        <v>41.387599999999999</v>
      </c>
      <c r="V256" s="21">
        <f t="shared" si="269"/>
        <v>41.387599999999999</v>
      </c>
      <c r="W256" s="21">
        <f t="shared" si="269"/>
        <v>43.655999999999999</v>
      </c>
      <c r="Y256" s="390"/>
      <c r="Z256" s="390"/>
      <c r="AA256" s="390"/>
      <c r="AB256" s="390"/>
      <c r="AC256" s="390"/>
      <c r="AD256" s="390"/>
      <c r="AE256" s="390"/>
      <c r="AF256" s="390"/>
      <c r="AG256" s="390"/>
      <c r="AH256" s="390"/>
      <c r="AI256" s="390"/>
      <c r="AJ256" s="390"/>
      <c r="AK256" s="390"/>
      <c r="AL256" s="390"/>
      <c r="AM256" s="390"/>
      <c r="AN256" s="390"/>
      <c r="AO256" s="390"/>
      <c r="AP256" s="390"/>
      <c r="AQ256" s="390"/>
      <c r="AR256" s="390"/>
      <c r="AS256" s="390"/>
    </row>
    <row r="257" spans="2:45" x14ac:dyDescent="0.3">
      <c r="B257" s="54" t="s">
        <v>52</v>
      </c>
      <c r="C257" s="55"/>
      <c r="D257" s="398">
        <f>Y259</f>
        <v>1.6706666666666667</v>
      </c>
      <c r="E257" s="398">
        <f t="shared" ref="E257:W257" si="270">Z259</f>
        <v>3.7949333333333333</v>
      </c>
      <c r="F257" s="398">
        <f t="shared" si="270"/>
        <v>4.5540000000000003</v>
      </c>
      <c r="G257" s="398">
        <f t="shared" si="270"/>
        <v>3.036</v>
      </c>
      <c r="H257" s="398">
        <f t="shared" si="270"/>
        <v>1.6264000000000001</v>
      </c>
      <c r="I257" s="398">
        <f t="shared" si="270"/>
        <v>2.1685333333333334</v>
      </c>
      <c r="J257" s="398">
        <f t="shared" si="270"/>
        <v>3.3613333333333335</v>
      </c>
      <c r="K257" s="398">
        <f t="shared" si="270"/>
        <v>2.7541333333333333</v>
      </c>
      <c r="L257" s="398">
        <f t="shared" si="270"/>
        <v>3.2528000000000001</v>
      </c>
      <c r="M257" s="398">
        <f t="shared" si="270"/>
        <v>1.5613333333333332</v>
      </c>
      <c r="N257" s="398">
        <f t="shared" si="270"/>
        <v>1.7349333333333334</v>
      </c>
      <c r="O257" s="398">
        <f t="shared" si="270"/>
        <v>4.077466666666667</v>
      </c>
      <c r="P257" s="398">
        <f t="shared" si="270"/>
        <v>1.5613333333333332</v>
      </c>
      <c r="Q257" s="398">
        <f t="shared" si="270"/>
        <v>1.5613333333333332</v>
      </c>
      <c r="R257" s="398">
        <f t="shared" si="270"/>
        <v>2.0601333333333334</v>
      </c>
      <c r="S257" s="398">
        <f t="shared" si="270"/>
        <v>1.9517333333333333</v>
      </c>
      <c r="T257" s="398">
        <f t="shared" si="270"/>
        <v>0</v>
      </c>
      <c r="U257" s="398">
        <f t="shared" si="270"/>
        <v>4.077466666666667</v>
      </c>
      <c r="V257" s="398">
        <f t="shared" si="270"/>
        <v>0</v>
      </c>
      <c r="W257" s="398">
        <f t="shared" si="270"/>
        <v>1.5613333333333332</v>
      </c>
      <c r="Y257" s="390">
        <v>12530</v>
      </c>
      <c r="Z257" s="390">
        <v>28462</v>
      </c>
      <c r="AA257" s="390">
        <v>34155</v>
      </c>
      <c r="AB257" s="390">
        <v>22770</v>
      </c>
      <c r="AC257" s="390">
        <v>12198</v>
      </c>
      <c r="AD257" s="390">
        <v>16264</v>
      </c>
      <c r="AE257" s="390">
        <v>25210</v>
      </c>
      <c r="AF257" s="390">
        <v>20656</v>
      </c>
      <c r="AG257" s="390">
        <v>24396</v>
      </c>
      <c r="AH257" s="390">
        <v>11710</v>
      </c>
      <c r="AI257" s="390">
        <v>13012</v>
      </c>
      <c r="AJ257" s="390">
        <v>30581</v>
      </c>
      <c r="AK257" s="396">
        <v>11710</v>
      </c>
      <c r="AL257" s="396">
        <v>11710</v>
      </c>
      <c r="AM257" s="390">
        <v>15451</v>
      </c>
      <c r="AN257" s="390">
        <v>14638</v>
      </c>
      <c r="AO257" s="390"/>
      <c r="AP257" s="396">
        <v>30581</v>
      </c>
      <c r="AQ257" s="390"/>
      <c r="AR257" s="396">
        <v>11710</v>
      </c>
      <c r="AS257" s="390"/>
    </row>
    <row r="258" spans="2:45" x14ac:dyDescent="0.3">
      <c r="B258" s="57" t="s">
        <v>53</v>
      </c>
      <c r="C258" s="58"/>
      <c r="D258" s="25">
        <f>SUM(D256:D257)</f>
        <v>45.326666666666668</v>
      </c>
      <c r="E258" s="26">
        <f t="shared" ref="E258:V258" si="271">SUM(E256:E257)</f>
        <v>47.450933333333332</v>
      </c>
      <c r="F258" s="26">
        <f t="shared" si="271"/>
        <v>48.21</v>
      </c>
      <c r="G258" s="26">
        <f t="shared" si="271"/>
        <v>46.692</v>
      </c>
      <c r="H258" s="26">
        <f t="shared" si="271"/>
        <v>45.282399999999996</v>
      </c>
      <c r="I258" s="26">
        <f t="shared" si="271"/>
        <v>45.824533333333335</v>
      </c>
      <c r="J258" s="26">
        <f t="shared" si="271"/>
        <v>47.017333333333333</v>
      </c>
      <c r="K258" s="26">
        <f t="shared" si="271"/>
        <v>46.410133333333334</v>
      </c>
      <c r="L258" s="26">
        <f t="shared" si="271"/>
        <v>46.908799999999999</v>
      </c>
      <c r="M258" s="26">
        <f t="shared" si="271"/>
        <v>45.217333333333329</v>
      </c>
      <c r="N258" s="26">
        <f t="shared" si="271"/>
        <v>45.390933333333329</v>
      </c>
      <c r="O258" s="26">
        <f t="shared" si="271"/>
        <v>47.733466666666665</v>
      </c>
      <c r="P258" s="26">
        <f t="shared" si="271"/>
        <v>45.217333333333329</v>
      </c>
      <c r="Q258" s="26">
        <f t="shared" si="271"/>
        <v>45.217333333333329</v>
      </c>
      <c r="R258" s="26">
        <f t="shared" si="271"/>
        <v>45.716133333333332</v>
      </c>
      <c r="S258" s="26">
        <f t="shared" si="271"/>
        <v>45.607733333333329</v>
      </c>
      <c r="T258" s="26">
        <f t="shared" si="271"/>
        <v>41.387599999999999</v>
      </c>
      <c r="U258" s="26">
        <f t="shared" si="271"/>
        <v>45.465066666666665</v>
      </c>
      <c r="V258" s="26">
        <f t="shared" si="271"/>
        <v>41.387599999999999</v>
      </c>
      <c r="W258" s="26">
        <f>SUM(W256:W257)</f>
        <v>45.217333333333329</v>
      </c>
      <c r="Y258" s="390">
        <v>7500</v>
      </c>
      <c r="Z258" s="390">
        <v>7500</v>
      </c>
      <c r="AA258" s="390">
        <v>7500</v>
      </c>
      <c r="AB258" s="390">
        <v>7500</v>
      </c>
      <c r="AC258" s="390">
        <v>7500</v>
      </c>
      <c r="AD258" s="390">
        <v>7500</v>
      </c>
      <c r="AE258" s="390">
        <v>7500</v>
      </c>
      <c r="AF258" s="390">
        <v>7500</v>
      </c>
      <c r="AG258" s="390">
        <v>7500</v>
      </c>
      <c r="AH258" s="390">
        <v>7500</v>
      </c>
      <c r="AI258" s="390">
        <v>7500</v>
      </c>
      <c r="AJ258" s="390">
        <v>7500</v>
      </c>
      <c r="AK258" s="390">
        <v>7500</v>
      </c>
      <c r="AL258" s="390">
        <v>7500</v>
      </c>
      <c r="AM258" s="390">
        <v>7500</v>
      </c>
      <c r="AN258" s="390">
        <v>7500</v>
      </c>
      <c r="AO258" s="390">
        <v>7500</v>
      </c>
      <c r="AP258" s="390">
        <v>7500</v>
      </c>
      <c r="AQ258" s="390">
        <v>7500</v>
      </c>
      <c r="AR258" s="390">
        <v>7500</v>
      </c>
      <c r="AS258" s="390"/>
    </row>
    <row r="259" spans="2:45" x14ac:dyDescent="0.3">
      <c r="B259" s="54" t="s">
        <v>54</v>
      </c>
      <c r="C259" s="55"/>
      <c r="D259" s="20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Y259" s="389">
        <f>Y257/Y258</f>
        <v>1.6706666666666667</v>
      </c>
      <c r="Z259" s="389">
        <f t="shared" ref="Z259" si="272">Z257/Z258</f>
        <v>3.7949333333333333</v>
      </c>
      <c r="AA259" s="389">
        <f t="shared" ref="AA259" si="273">AA257/AA258</f>
        <v>4.5540000000000003</v>
      </c>
      <c r="AB259" s="389">
        <f t="shared" ref="AB259" si="274">AB257/AB258</f>
        <v>3.036</v>
      </c>
      <c r="AC259" s="389">
        <f t="shared" ref="AC259" si="275">AC257/AC258</f>
        <v>1.6264000000000001</v>
      </c>
      <c r="AD259" s="389">
        <f t="shared" ref="AD259" si="276">AD257/AD258</f>
        <v>2.1685333333333334</v>
      </c>
      <c r="AE259" s="389">
        <f t="shared" ref="AE259" si="277">AE257/AE258</f>
        <v>3.3613333333333335</v>
      </c>
      <c r="AF259" s="389">
        <f t="shared" ref="AF259" si="278">AF257/AF258</f>
        <v>2.7541333333333333</v>
      </c>
      <c r="AG259" s="389">
        <f t="shared" ref="AG259" si="279">AG257/AG258</f>
        <v>3.2528000000000001</v>
      </c>
      <c r="AH259" s="389">
        <f t="shared" ref="AH259" si="280">AH257/AH258</f>
        <v>1.5613333333333332</v>
      </c>
      <c r="AI259" s="389">
        <f t="shared" ref="AI259" si="281">AI257/AI258</f>
        <v>1.7349333333333334</v>
      </c>
      <c r="AJ259" s="389">
        <f t="shared" ref="AJ259" si="282">AJ257/AJ258</f>
        <v>4.077466666666667</v>
      </c>
      <c r="AK259" s="389">
        <f t="shared" ref="AK259" si="283">AK257/AK258</f>
        <v>1.5613333333333332</v>
      </c>
      <c r="AL259" s="389">
        <f t="shared" ref="AL259" si="284">AL257/AL258</f>
        <v>1.5613333333333332</v>
      </c>
      <c r="AM259" s="389">
        <f t="shared" ref="AM259" si="285">AM257/AM258</f>
        <v>2.0601333333333334</v>
      </c>
      <c r="AN259" s="389">
        <f t="shared" ref="AN259" si="286">AN257/AN258</f>
        <v>1.9517333333333333</v>
      </c>
      <c r="AO259" s="390"/>
      <c r="AP259" s="389">
        <f t="shared" ref="AP259" si="287">AP257/AP258</f>
        <v>4.077466666666667</v>
      </c>
      <c r="AQ259" s="390"/>
      <c r="AR259" s="389">
        <f t="shared" ref="AR259" si="288">AR257/AR258</f>
        <v>1.5613333333333332</v>
      </c>
      <c r="AS259" s="390"/>
    </row>
    <row r="260" spans="2:45" x14ac:dyDescent="0.3">
      <c r="B260" s="59" t="s">
        <v>55</v>
      </c>
      <c r="C260" s="60"/>
      <c r="D260" s="27">
        <f t="shared" ref="D260:W260" si="289">SUM(D258:D259)</f>
        <v>45.326666666666668</v>
      </c>
      <c r="E260" s="41">
        <f t="shared" si="289"/>
        <v>47.450933333333332</v>
      </c>
      <c r="F260" s="41">
        <f t="shared" si="289"/>
        <v>48.21</v>
      </c>
      <c r="G260" s="41">
        <f t="shared" si="289"/>
        <v>46.692</v>
      </c>
      <c r="H260" s="41">
        <f t="shared" si="289"/>
        <v>45.282399999999996</v>
      </c>
      <c r="I260" s="41">
        <f t="shared" si="289"/>
        <v>45.824533333333335</v>
      </c>
      <c r="J260" s="41">
        <f t="shared" si="289"/>
        <v>47.017333333333333</v>
      </c>
      <c r="K260" s="41">
        <f t="shared" si="289"/>
        <v>46.410133333333334</v>
      </c>
      <c r="L260" s="41">
        <f t="shared" si="289"/>
        <v>46.908799999999999</v>
      </c>
      <c r="M260" s="41">
        <f t="shared" si="289"/>
        <v>45.217333333333329</v>
      </c>
      <c r="N260" s="41">
        <f t="shared" si="289"/>
        <v>45.390933333333329</v>
      </c>
      <c r="O260" s="41">
        <f t="shared" si="289"/>
        <v>47.733466666666665</v>
      </c>
      <c r="P260" s="41">
        <f t="shared" si="289"/>
        <v>45.217333333333329</v>
      </c>
      <c r="Q260" s="41">
        <f t="shared" si="289"/>
        <v>45.217333333333329</v>
      </c>
      <c r="R260" s="41">
        <f t="shared" si="289"/>
        <v>45.716133333333332</v>
      </c>
      <c r="S260" s="41">
        <f t="shared" si="289"/>
        <v>45.607733333333329</v>
      </c>
      <c r="T260" s="41">
        <f t="shared" si="289"/>
        <v>41.387599999999999</v>
      </c>
      <c r="U260" s="41">
        <f t="shared" si="289"/>
        <v>45.465066666666665</v>
      </c>
      <c r="V260" s="41">
        <f t="shared" si="289"/>
        <v>41.387599999999999</v>
      </c>
      <c r="W260" s="41">
        <f t="shared" si="289"/>
        <v>45.217333333333329</v>
      </c>
      <c r="Y260" s="390"/>
      <c r="Z260" s="390"/>
      <c r="AA260" s="390"/>
      <c r="AB260" s="390"/>
      <c r="AC260" s="390"/>
      <c r="AD260" s="390"/>
      <c r="AE260" s="390"/>
      <c r="AF260" s="390"/>
      <c r="AG260" s="390"/>
      <c r="AH260" s="390"/>
      <c r="AI260" s="390"/>
      <c r="AJ260" s="390"/>
      <c r="AK260" s="390"/>
      <c r="AL260" s="390"/>
      <c r="AM260" s="390"/>
      <c r="AN260" s="390"/>
      <c r="AO260" s="390"/>
      <c r="AP260" s="390"/>
      <c r="AQ260" s="390"/>
      <c r="AR260" s="390"/>
      <c r="AS260" s="390"/>
    </row>
    <row r="261" spans="2:45" x14ac:dyDescent="0.3">
      <c r="B261" s="61" t="s">
        <v>101</v>
      </c>
      <c r="C261" s="55"/>
      <c r="D261" s="43">
        <v>0</v>
      </c>
      <c r="E261" s="408">
        <v>0</v>
      </c>
      <c r="F261" s="408">
        <v>0</v>
      </c>
      <c r="G261" s="408">
        <v>0</v>
      </c>
      <c r="H261" s="408">
        <v>0</v>
      </c>
      <c r="I261" s="408">
        <v>0</v>
      </c>
      <c r="J261" s="408">
        <v>0</v>
      </c>
      <c r="K261" s="408">
        <v>0</v>
      </c>
      <c r="L261" s="408">
        <v>0</v>
      </c>
      <c r="M261" s="408">
        <v>0</v>
      </c>
      <c r="N261" s="408">
        <v>0</v>
      </c>
      <c r="O261" s="408">
        <v>0</v>
      </c>
      <c r="P261" s="408">
        <v>0</v>
      </c>
      <c r="Q261" s="408">
        <v>0</v>
      </c>
      <c r="R261" s="408">
        <v>0</v>
      </c>
      <c r="S261" s="408">
        <v>0</v>
      </c>
      <c r="T261" s="408">
        <v>0</v>
      </c>
      <c r="U261" s="408">
        <v>0</v>
      </c>
      <c r="V261" s="408">
        <v>0</v>
      </c>
      <c r="W261" s="408">
        <v>0</v>
      </c>
      <c r="Y261" s="409"/>
      <c r="Z261" s="409"/>
      <c r="AA261" s="409"/>
      <c r="AB261" s="409"/>
      <c r="AC261" s="409"/>
      <c r="AD261" s="409"/>
      <c r="AE261" s="409"/>
      <c r="AF261" s="409"/>
      <c r="AG261" s="409"/>
      <c r="AH261" s="409"/>
      <c r="AI261" s="409"/>
      <c r="AJ261" s="409"/>
      <c r="AK261" s="409"/>
      <c r="AL261" s="409"/>
      <c r="AM261" s="409"/>
      <c r="AN261" s="409"/>
      <c r="AO261" s="409"/>
      <c r="AP261" s="409"/>
      <c r="AQ261" s="409"/>
      <c r="AR261" s="409"/>
      <c r="AS261" s="409"/>
    </row>
    <row r="262" spans="2:45" x14ac:dyDescent="0.3">
      <c r="B262" s="171" t="s">
        <v>194</v>
      </c>
      <c r="C262" s="55"/>
      <c r="D262" s="20">
        <v>49</v>
      </c>
      <c r="E262" s="21">
        <v>51</v>
      </c>
      <c r="F262" s="21">
        <v>52</v>
      </c>
      <c r="G262" s="21">
        <v>50</v>
      </c>
      <c r="H262" s="21">
        <v>49</v>
      </c>
      <c r="I262" s="21">
        <v>49</v>
      </c>
      <c r="J262" s="21">
        <v>51</v>
      </c>
      <c r="K262" s="21">
        <v>50</v>
      </c>
      <c r="L262" s="21">
        <v>50</v>
      </c>
      <c r="M262" s="21">
        <v>49</v>
      </c>
      <c r="N262" s="21">
        <v>49</v>
      </c>
      <c r="O262" s="21">
        <v>51</v>
      </c>
      <c r="P262" s="21">
        <v>49</v>
      </c>
      <c r="Q262" s="21">
        <v>49</v>
      </c>
      <c r="R262" s="21">
        <v>49</v>
      </c>
      <c r="S262" s="21">
        <v>49</v>
      </c>
      <c r="T262" s="21">
        <v>45</v>
      </c>
      <c r="U262" s="21">
        <v>49</v>
      </c>
      <c r="V262" s="21">
        <v>45</v>
      </c>
      <c r="W262" s="21">
        <v>49</v>
      </c>
      <c r="Y262" s="390"/>
      <c r="Z262" s="390"/>
      <c r="AA262" s="390"/>
      <c r="AB262" s="390"/>
      <c r="AC262" s="390"/>
      <c r="AD262" s="390"/>
      <c r="AE262" s="390"/>
      <c r="AF262" s="390"/>
      <c r="AG262" s="390"/>
      <c r="AH262" s="390"/>
      <c r="AI262" s="390"/>
      <c r="AJ262" s="390"/>
      <c r="AK262" s="390"/>
      <c r="AL262" s="390"/>
      <c r="AM262" s="390"/>
      <c r="AN262" s="390"/>
      <c r="AO262" s="390"/>
      <c r="AP262" s="390"/>
      <c r="AQ262" s="390"/>
      <c r="AR262" s="390"/>
      <c r="AS262" s="390"/>
    </row>
    <row r="263" spans="2:45" x14ac:dyDescent="0.3">
      <c r="B263" s="61" t="s">
        <v>195</v>
      </c>
      <c r="C263" s="55"/>
      <c r="D263" s="106">
        <v>50</v>
      </c>
      <c r="E263" s="21">
        <v>52</v>
      </c>
      <c r="F263" s="21">
        <v>53</v>
      </c>
      <c r="G263" s="21">
        <v>51</v>
      </c>
      <c r="H263" s="21">
        <v>50</v>
      </c>
      <c r="I263" s="21">
        <v>50</v>
      </c>
      <c r="J263" s="21">
        <v>52</v>
      </c>
      <c r="K263" s="21">
        <v>51</v>
      </c>
      <c r="L263" s="21">
        <v>51</v>
      </c>
      <c r="M263" s="21">
        <v>50</v>
      </c>
      <c r="N263" s="21">
        <v>50</v>
      </c>
      <c r="O263" s="21">
        <v>52</v>
      </c>
      <c r="P263" s="21">
        <v>50</v>
      </c>
      <c r="Q263" s="21">
        <v>50</v>
      </c>
      <c r="R263" s="21">
        <v>50</v>
      </c>
      <c r="S263" s="21">
        <v>50</v>
      </c>
      <c r="T263" s="21">
        <v>46</v>
      </c>
      <c r="U263" s="21">
        <v>50</v>
      </c>
      <c r="V263" s="21">
        <v>46</v>
      </c>
      <c r="W263" s="21">
        <v>50</v>
      </c>
      <c r="Y263" s="390"/>
      <c r="Z263" s="390"/>
      <c r="AA263" s="390"/>
      <c r="AB263" s="390"/>
      <c r="AC263" s="390"/>
      <c r="AD263" s="390"/>
      <c r="AE263" s="390"/>
      <c r="AF263" s="390"/>
      <c r="AG263" s="390"/>
      <c r="AH263" s="390"/>
      <c r="AI263" s="390"/>
      <c r="AJ263" s="390"/>
      <c r="AK263" s="390"/>
      <c r="AL263" s="390"/>
      <c r="AM263" s="390"/>
      <c r="AN263" s="390"/>
      <c r="AO263" s="390"/>
      <c r="AP263" s="390"/>
      <c r="AQ263" s="390"/>
      <c r="AR263" s="390"/>
      <c r="AS263" s="390"/>
    </row>
    <row r="264" spans="2:45" s="30" customFormat="1" x14ac:dyDescent="0.3">
      <c r="B264" s="61" t="s">
        <v>196</v>
      </c>
      <c r="C264" s="62"/>
      <c r="D264" s="28">
        <v>51</v>
      </c>
      <c r="E264" s="28">
        <v>53</v>
      </c>
      <c r="F264" s="28">
        <v>54</v>
      </c>
      <c r="G264" s="28">
        <v>52</v>
      </c>
      <c r="H264" s="28">
        <v>51</v>
      </c>
      <c r="I264" s="28">
        <v>51</v>
      </c>
      <c r="J264" s="28">
        <v>53</v>
      </c>
      <c r="K264" s="28">
        <v>52</v>
      </c>
      <c r="L264" s="28">
        <v>52</v>
      </c>
      <c r="M264" s="28">
        <v>51</v>
      </c>
      <c r="N264" s="28">
        <v>51</v>
      </c>
      <c r="O264" s="28">
        <v>53</v>
      </c>
      <c r="P264" s="28">
        <v>51</v>
      </c>
      <c r="Q264" s="28">
        <v>51</v>
      </c>
      <c r="R264" s="28">
        <v>51</v>
      </c>
      <c r="S264" s="28">
        <v>51</v>
      </c>
      <c r="T264" s="28">
        <v>47</v>
      </c>
      <c r="U264" s="28">
        <v>51</v>
      </c>
      <c r="V264" s="28">
        <v>47</v>
      </c>
      <c r="W264" s="28">
        <v>51</v>
      </c>
      <c r="Y264" s="391"/>
      <c r="Z264" s="391"/>
      <c r="AA264" s="391"/>
      <c r="AB264" s="391"/>
      <c r="AC264" s="391"/>
      <c r="AD264" s="391"/>
      <c r="AE264" s="391"/>
      <c r="AF264" s="391"/>
      <c r="AG264" s="391"/>
      <c r="AH264" s="391"/>
      <c r="AI264" s="391"/>
      <c r="AJ264" s="391"/>
      <c r="AK264" s="391"/>
      <c r="AL264" s="391"/>
      <c r="AM264" s="391"/>
      <c r="AN264" s="391"/>
      <c r="AO264" s="391"/>
      <c r="AP264" s="391"/>
      <c r="AQ264" s="391"/>
      <c r="AR264" s="391"/>
      <c r="AS264" s="391"/>
    </row>
    <row r="265" spans="2:45" s="30" customFormat="1" x14ac:dyDescent="0.3">
      <c r="B265" s="61" t="s">
        <v>197</v>
      </c>
      <c r="C265" s="62"/>
      <c r="D265" s="28">
        <v>52</v>
      </c>
      <c r="E265" s="28">
        <v>54</v>
      </c>
      <c r="F265" s="28">
        <v>55</v>
      </c>
      <c r="G265" s="28">
        <v>53</v>
      </c>
      <c r="H265" s="28">
        <v>52</v>
      </c>
      <c r="I265" s="28">
        <v>52</v>
      </c>
      <c r="J265" s="28">
        <v>54</v>
      </c>
      <c r="K265" s="28">
        <v>53</v>
      </c>
      <c r="L265" s="28">
        <v>53</v>
      </c>
      <c r="M265" s="28">
        <v>52</v>
      </c>
      <c r="N265" s="28">
        <v>52</v>
      </c>
      <c r="O265" s="28">
        <v>54</v>
      </c>
      <c r="P265" s="28">
        <v>52</v>
      </c>
      <c r="Q265" s="28">
        <v>52</v>
      </c>
      <c r="R265" s="28">
        <v>52</v>
      </c>
      <c r="S265" s="28">
        <v>52</v>
      </c>
      <c r="T265" s="28">
        <v>48</v>
      </c>
      <c r="U265" s="28">
        <v>52</v>
      </c>
      <c r="V265" s="28">
        <v>48</v>
      </c>
      <c r="W265" s="28">
        <v>52</v>
      </c>
      <c r="Y265" s="391"/>
      <c r="Z265" s="391"/>
      <c r="AA265" s="391"/>
      <c r="AB265" s="391"/>
      <c r="AC265" s="391"/>
      <c r="AD265" s="391"/>
      <c r="AE265" s="391"/>
      <c r="AF265" s="391"/>
      <c r="AG265" s="391"/>
      <c r="AH265" s="391"/>
      <c r="AI265" s="391"/>
      <c r="AJ265" s="391"/>
      <c r="AK265" s="391"/>
      <c r="AL265" s="391"/>
      <c r="AM265" s="391"/>
      <c r="AN265" s="391"/>
      <c r="AO265" s="391"/>
      <c r="AP265" s="391"/>
      <c r="AQ265" s="391"/>
      <c r="AR265" s="391"/>
      <c r="AS265" s="391"/>
    </row>
    <row r="266" spans="2:45" x14ac:dyDescent="0.3">
      <c r="B266" s="63" t="s">
        <v>103</v>
      </c>
      <c r="C266" s="55"/>
      <c r="D266" s="43">
        <v>0</v>
      </c>
      <c r="E266" s="408">
        <v>0</v>
      </c>
      <c r="F266" s="408">
        <v>0</v>
      </c>
      <c r="G266" s="408">
        <v>0</v>
      </c>
      <c r="H266" s="408">
        <v>0</v>
      </c>
      <c r="I266" s="408">
        <v>0</v>
      </c>
      <c r="J266" s="408">
        <v>0</v>
      </c>
      <c r="K266" s="408">
        <v>0</v>
      </c>
      <c r="L266" s="408">
        <v>0</v>
      </c>
      <c r="M266" s="408">
        <v>0</v>
      </c>
      <c r="N266" s="408">
        <v>0</v>
      </c>
      <c r="O266" s="408">
        <v>0</v>
      </c>
      <c r="P266" s="408">
        <v>0</v>
      </c>
      <c r="Q266" s="408">
        <v>0</v>
      </c>
      <c r="R266" s="408">
        <v>0</v>
      </c>
      <c r="S266" s="408">
        <v>0</v>
      </c>
      <c r="T266" s="408">
        <v>0</v>
      </c>
      <c r="U266" s="408">
        <v>0</v>
      </c>
      <c r="V266" s="408">
        <v>0</v>
      </c>
      <c r="W266" s="408">
        <v>0</v>
      </c>
      <c r="Y266" s="409"/>
      <c r="Z266" s="409"/>
      <c r="AA266" s="409"/>
      <c r="AB266" s="409"/>
      <c r="AC266" s="409"/>
      <c r="AD266" s="409"/>
      <c r="AE266" s="409"/>
      <c r="AF266" s="409"/>
      <c r="AG266" s="409"/>
      <c r="AH266" s="409"/>
      <c r="AI266" s="409"/>
      <c r="AJ266" s="409"/>
      <c r="AK266" s="409"/>
      <c r="AL266" s="409"/>
      <c r="AM266" s="409"/>
      <c r="AN266" s="409"/>
      <c r="AO266" s="409"/>
      <c r="AP266" s="409"/>
      <c r="AQ266" s="409"/>
      <c r="AR266" s="409"/>
      <c r="AS266" s="409"/>
    </row>
    <row r="267" spans="2:45" s="33" customFormat="1" x14ac:dyDescent="0.3">
      <c r="B267" s="63" t="s">
        <v>198</v>
      </c>
      <c r="C267" s="64"/>
      <c r="D267" s="31">
        <f t="shared" ref="D267:W267" si="290">+D262-D$260</f>
        <v>3.673333333333332</v>
      </c>
      <c r="E267" s="32">
        <f t="shared" si="290"/>
        <v>3.5490666666666684</v>
      </c>
      <c r="F267" s="32">
        <f t="shared" si="290"/>
        <v>3.7899999999999991</v>
      </c>
      <c r="G267" s="32">
        <f t="shared" si="290"/>
        <v>3.3079999999999998</v>
      </c>
      <c r="H267" s="32">
        <f t="shared" si="290"/>
        <v>3.7176000000000045</v>
      </c>
      <c r="I267" s="32">
        <f t="shared" si="290"/>
        <v>3.1754666666666651</v>
      </c>
      <c r="J267" s="32">
        <f t="shared" si="290"/>
        <v>3.9826666666666668</v>
      </c>
      <c r="K267" s="32">
        <f t="shared" si="290"/>
        <v>3.5898666666666657</v>
      </c>
      <c r="L267" s="32">
        <f t="shared" si="290"/>
        <v>3.0912000000000006</v>
      </c>
      <c r="M267" s="32">
        <f t="shared" si="290"/>
        <v>3.7826666666666711</v>
      </c>
      <c r="N267" s="32">
        <f t="shared" si="290"/>
        <v>3.6090666666666706</v>
      </c>
      <c r="O267" s="32">
        <f t="shared" si="290"/>
        <v>3.2665333333333351</v>
      </c>
      <c r="P267" s="32">
        <f t="shared" si="290"/>
        <v>3.7826666666666711</v>
      </c>
      <c r="Q267" s="32">
        <f t="shared" si="290"/>
        <v>3.7826666666666711</v>
      </c>
      <c r="R267" s="32">
        <f t="shared" si="290"/>
        <v>3.2838666666666683</v>
      </c>
      <c r="S267" s="32">
        <f t="shared" si="290"/>
        <v>3.3922666666666714</v>
      </c>
      <c r="T267" s="32">
        <f t="shared" si="290"/>
        <v>3.6124000000000009</v>
      </c>
      <c r="U267" s="32">
        <f t="shared" si="290"/>
        <v>3.5349333333333348</v>
      </c>
      <c r="V267" s="32">
        <f t="shared" si="290"/>
        <v>3.6124000000000009</v>
      </c>
      <c r="W267" s="32">
        <f t="shared" si="290"/>
        <v>3.7826666666666711</v>
      </c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</row>
    <row r="268" spans="2:45" s="33" customFormat="1" x14ac:dyDescent="0.3">
      <c r="B268" s="63" t="s">
        <v>199</v>
      </c>
      <c r="C268" s="64"/>
      <c r="D268" s="31">
        <f t="shared" ref="D268:W268" si="291">+D263-D$260</f>
        <v>4.673333333333332</v>
      </c>
      <c r="E268" s="32">
        <f t="shared" si="291"/>
        <v>4.5490666666666684</v>
      </c>
      <c r="F268" s="32">
        <f t="shared" si="291"/>
        <v>4.7899999999999991</v>
      </c>
      <c r="G268" s="32">
        <f t="shared" si="291"/>
        <v>4.3079999999999998</v>
      </c>
      <c r="H268" s="32">
        <f t="shared" si="291"/>
        <v>4.7176000000000045</v>
      </c>
      <c r="I268" s="32">
        <f t="shared" si="291"/>
        <v>4.1754666666666651</v>
      </c>
      <c r="J268" s="32">
        <f t="shared" si="291"/>
        <v>4.9826666666666668</v>
      </c>
      <c r="K268" s="32">
        <f t="shared" si="291"/>
        <v>4.5898666666666657</v>
      </c>
      <c r="L268" s="32">
        <f t="shared" si="291"/>
        <v>4.0912000000000006</v>
      </c>
      <c r="M268" s="32">
        <f t="shared" si="291"/>
        <v>4.7826666666666711</v>
      </c>
      <c r="N268" s="32">
        <f t="shared" si="291"/>
        <v>4.6090666666666706</v>
      </c>
      <c r="O268" s="32">
        <f t="shared" si="291"/>
        <v>4.2665333333333351</v>
      </c>
      <c r="P268" s="32">
        <f t="shared" si="291"/>
        <v>4.7826666666666711</v>
      </c>
      <c r="Q268" s="32">
        <f t="shared" si="291"/>
        <v>4.7826666666666711</v>
      </c>
      <c r="R268" s="32">
        <f t="shared" si="291"/>
        <v>4.2838666666666683</v>
      </c>
      <c r="S268" s="32">
        <f t="shared" si="291"/>
        <v>4.3922666666666714</v>
      </c>
      <c r="T268" s="32">
        <f t="shared" si="291"/>
        <v>4.6124000000000009</v>
      </c>
      <c r="U268" s="32">
        <f t="shared" si="291"/>
        <v>4.5349333333333348</v>
      </c>
      <c r="V268" s="32">
        <f t="shared" si="291"/>
        <v>4.6124000000000009</v>
      </c>
      <c r="W268" s="32">
        <f t="shared" si="291"/>
        <v>4.7826666666666711</v>
      </c>
      <c r="Y268" s="392"/>
      <c r="Z268" s="392"/>
      <c r="AA268" s="392"/>
      <c r="AB268" s="392"/>
      <c r="AC268" s="392"/>
      <c r="AD268" s="392"/>
      <c r="AE268" s="392"/>
      <c r="AF268" s="392"/>
      <c r="AG268" s="392"/>
      <c r="AH268" s="392"/>
      <c r="AI268" s="392"/>
      <c r="AJ268" s="392"/>
      <c r="AK268" s="392"/>
      <c r="AL268" s="392"/>
      <c r="AM268" s="392"/>
      <c r="AN268" s="392"/>
      <c r="AO268" s="392"/>
      <c r="AP268" s="392"/>
      <c r="AQ268" s="392"/>
      <c r="AR268" s="392"/>
      <c r="AS268" s="392"/>
    </row>
    <row r="269" spans="2:45" s="33" customFormat="1" x14ac:dyDescent="0.3">
      <c r="B269" s="63" t="s">
        <v>200</v>
      </c>
      <c r="C269" s="64"/>
      <c r="D269" s="31">
        <f t="shared" ref="D269:W269" si="292">+D264-D$260</f>
        <v>5.673333333333332</v>
      </c>
      <c r="E269" s="32">
        <f t="shared" si="292"/>
        <v>5.5490666666666684</v>
      </c>
      <c r="F269" s="32">
        <f t="shared" si="292"/>
        <v>5.7899999999999991</v>
      </c>
      <c r="G269" s="32">
        <f>+G264-G$260</f>
        <v>5.3079999999999998</v>
      </c>
      <c r="H269" s="32">
        <f t="shared" si="292"/>
        <v>5.7176000000000045</v>
      </c>
      <c r="I269" s="32">
        <f t="shared" si="292"/>
        <v>5.1754666666666651</v>
      </c>
      <c r="J269" s="32">
        <f t="shared" si="292"/>
        <v>5.9826666666666668</v>
      </c>
      <c r="K269" s="32">
        <f t="shared" si="292"/>
        <v>5.5898666666666657</v>
      </c>
      <c r="L269" s="32">
        <f t="shared" si="292"/>
        <v>5.0912000000000006</v>
      </c>
      <c r="M269" s="32">
        <f t="shared" si="292"/>
        <v>5.7826666666666711</v>
      </c>
      <c r="N269" s="32">
        <f t="shared" si="292"/>
        <v>5.6090666666666706</v>
      </c>
      <c r="O269" s="32">
        <f t="shared" si="292"/>
        <v>5.2665333333333351</v>
      </c>
      <c r="P269" s="32">
        <f t="shared" si="292"/>
        <v>5.7826666666666711</v>
      </c>
      <c r="Q269" s="32">
        <f t="shared" si="292"/>
        <v>5.7826666666666711</v>
      </c>
      <c r="R269" s="32">
        <f t="shared" si="292"/>
        <v>5.2838666666666683</v>
      </c>
      <c r="S269" s="32">
        <f t="shared" si="292"/>
        <v>5.3922666666666714</v>
      </c>
      <c r="T269" s="32">
        <f t="shared" si="292"/>
        <v>5.6124000000000009</v>
      </c>
      <c r="U269" s="32">
        <f t="shared" si="292"/>
        <v>5.5349333333333348</v>
      </c>
      <c r="V269" s="32">
        <f t="shared" si="292"/>
        <v>5.6124000000000009</v>
      </c>
      <c r="W269" s="32">
        <f t="shared" si="292"/>
        <v>5.7826666666666711</v>
      </c>
      <c r="Y269" s="392"/>
      <c r="Z269" s="392"/>
      <c r="AA269" s="392"/>
      <c r="AB269" s="392"/>
      <c r="AC269" s="392"/>
      <c r="AD269" s="392"/>
      <c r="AE269" s="392"/>
      <c r="AF269" s="392"/>
      <c r="AG269" s="392"/>
      <c r="AH269" s="392"/>
      <c r="AI269" s="392"/>
      <c r="AJ269" s="392"/>
      <c r="AK269" s="392"/>
      <c r="AL269" s="392"/>
      <c r="AM269" s="392"/>
      <c r="AN269" s="392"/>
      <c r="AO269" s="392"/>
      <c r="AP269" s="392"/>
      <c r="AQ269" s="392"/>
      <c r="AR269" s="392"/>
      <c r="AS269" s="392"/>
    </row>
    <row r="270" spans="2:45" s="33" customFormat="1" x14ac:dyDescent="0.3">
      <c r="B270" s="63" t="s">
        <v>201</v>
      </c>
      <c r="C270" s="64"/>
      <c r="D270" s="31">
        <f t="shared" ref="D270:W270" si="293">+D265-D$260</f>
        <v>6.673333333333332</v>
      </c>
      <c r="E270" s="32">
        <f t="shared" si="293"/>
        <v>6.5490666666666684</v>
      </c>
      <c r="F270" s="32">
        <f t="shared" si="293"/>
        <v>6.7899999999999991</v>
      </c>
      <c r="G270" s="32">
        <f t="shared" si="293"/>
        <v>6.3079999999999998</v>
      </c>
      <c r="H270" s="32">
        <f t="shared" si="293"/>
        <v>6.7176000000000045</v>
      </c>
      <c r="I270" s="32">
        <f t="shared" si="293"/>
        <v>6.1754666666666651</v>
      </c>
      <c r="J270" s="32">
        <f t="shared" si="293"/>
        <v>6.9826666666666668</v>
      </c>
      <c r="K270" s="32">
        <f t="shared" si="293"/>
        <v>6.5898666666666657</v>
      </c>
      <c r="L270" s="32">
        <f t="shared" si="293"/>
        <v>6.0912000000000006</v>
      </c>
      <c r="M270" s="32">
        <f t="shared" si="293"/>
        <v>6.7826666666666711</v>
      </c>
      <c r="N270" s="32">
        <f t="shared" si="293"/>
        <v>6.6090666666666706</v>
      </c>
      <c r="O270" s="32">
        <f t="shared" si="293"/>
        <v>6.2665333333333351</v>
      </c>
      <c r="P270" s="32">
        <f t="shared" si="293"/>
        <v>6.7826666666666711</v>
      </c>
      <c r="Q270" s="32">
        <f t="shared" si="293"/>
        <v>6.7826666666666711</v>
      </c>
      <c r="R270" s="32">
        <f t="shared" si="293"/>
        <v>6.2838666666666683</v>
      </c>
      <c r="S270" s="32">
        <f t="shared" si="293"/>
        <v>6.3922666666666714</v>
      </c>
      <c r="T270" s="32">
        <f t="shared" si="293"/>
        <v>6.6124000000000009</v>
      </c>
      <c r="U270" s="32">
        <f t="shared" si="293"/>
        <v>6.5349333333333348</v>
      </c>
      <c r="V270" s="32">
        <f t="shared" si="293"/>
        <v>6.6124000000000009</v>
      </c>
      <c r="W270" s="32">
        <f t="shared" si="293"/>
        <v>6.7826666666666711</v>
      </c>
      <c r="Y270" s="392"/>
      <c r="Z270" s="392"/>
      <c r="AA270" s="392"/>
      <c r="AB270" s="392"/>
      <c r="AC270" s="392"/>
      <c r="AD270" s="392"/>
      <c r="AE270" s="392"/>
      <c r="AF270" s="392"/>
      <c r="AG270" s="392"/>
      <c r="AH270" s="392"/>
      <c r="AI270" s="392"/>
      <c r="AJ270" s="392"/>
      <c r="AK270" s="392"/>
      <c r="AL270" s="392"/>
      <c r="AM270" s="392"/>
      <c r="AN270" s="392"/>
      <c r="AO270" s="392"/>
      <c r="AP270" s="392"/>
      <c r="AQ270" s="392"/>
      <c r="AR270" s="392"/>
      <c r="AS270" s="392"/>
    </row>
    <row r="271" spans="2:45" x14ac:dyDescent="0.3">
      <c r="B271" s="65" t="s">
        <v>108</v>
      </c>
      <c r="C271" s="55"/>
      <c r="D271" s="43">
        <v>0</v>
      </c>
      <c r="E271" s="408">
        <v>0</v>
      </c>
      <c r="F271" s="408">
        <v>0</v>
      </c>
      <c r="G271" s="408">
        <v>0</v>
      </c>
      <c r="H271" s="408">
        <v>0</v>
      </c>
      <c r="I271" s="408">
        <v>0</v>
      </c>
      <c r="J271" s="408">
        <v>0</v>
      </c>
      <c r="K271" s="408">
        <v>0</v>
      </c>
      <c r="L271" s="408">
        <v>0</v>
      </c>
      <c r="M271" s="408">
        <v>0</v>
      </c>
      <c r="N271" s="408">
        <v>0</v>
      </c>
      <c r="O271" s="408">
        <v>0</v>
      </c>
      <c r="P271" s="408">
        <v>0</v>
      </c>
      <c r="Q271" s="408">
        <v>0</v>
      </c>
      <c r="R271" s="408">
        <v>0</v>
      </c>
      <c r="S271" s="408">
        <v>0</v>
      </c>
      <c r="T271" s="408">
        <v>0</v>
      </c>
      <c r="U271" s="408">
        <v>0</v>
      </c>
      <c r="V271" s="408">
        <v>0</v>
      </c>
      <c r="W271" s="408">
        <v>0</v>
      </c>
      <c r="Y271" s="409"/>
      <c r="Z271" s="409"/>
      <c r="AA271" s="409"/>
      <c r="AB271" s="409"/>
      <c r="AC271" s="409"/>
      <c r="AD271" s="409"/>
      <c r="AE271" s="409"/>
      <c r="AF271" s="409"/>
      <c r="AG271" s="409"/>
      <c r="AH271" s="409"/>
      <c r="AI271" s="409"/>
      <c r="AJ271" s="409"/>
      <c r="AK271" s="409"/>
      <c r="AL271" s="409"/>
      <c r="AM271" s="409"/>
      <c r="AN271" s="409"/>
      <c r="AO271" s="409"/>
      <c r="AP271" s="409"/>
      <c r="AQ271" s="409"/>
      <c r="AR271" s="409"/>
      <c r="AS271" s="409"/>
    </row>
    <row r="272" spans="2:45" s="36" customFormat="1" x14ac:dyDescent="0.3">
      <c r="B272" s="65" t="s">
        <v>202</v>
      </c>
      <c r="C272" s="66"/>
      <c r="D272" s="35">
        <f>+D267/D$262</f>
        <v>7.4965986394557801E-2</v>
      </c>
      <c r="E272" s="35">
        <f t="shared" ref="E272:W272" si="294">+E267/E$262</f>
        <v>6.9589542483660158E-2</v>
      </c>
      <c r="F272" s="35">
        <f t="shared" si="294"/>
        <v>7.2884615384615367E-2</v>
      </c>
      <c r="G272" s="35">
        <f t="shared" si="294"/>
        <v>6.6159999999999997E-2</v>
      </c>
      <c r="H272" s="35">
        <f t="shared" si="294"/>
        <v>7.586938775510213E-2</v>
      </c>
      <c r="I272" s="35">
        <f t="shared" si="294"/>
        <v>6.4805442176870717E-2</v>
      </c>
      <c r="J272" s="35">
        <f t="shared" si="294"/>
        <v>7.8091503267973858E-2</v>
      </c>
      <c r="K272" s="35">
        <f t="shared" si="294"/>
        <v>7.179733333333331E-2</v>
      </c>
      <c r="L272" s="35">
        <f t="shared" si="294"/>
        <v>6.1824000000000011E-2</v>
      </c>
      <c r="M272" s="35">
        <f t="shared" si="294"/>
        <v>7.7197278911564721E-2</v>
      </c>
      <c r="N272" s="35">
        <f t="shared" si="294"/>
        <v>7.3654421768707568E-2</v>
      </c>
      <c r="O272" s="35">
        <f t="shared" si="294"/>
        <v>6.4049673202614413E-2</v>
      </c>
      <c r="P272" s="35">
        <f t="shared" si="294"/>
        <v>7.7197278911564721E-2</v>
      </c>
      <c r="Q272" s="35">
        <f t="shared" si="294"/>
        <v>7.7197278911564721E-2</v>
      </c>
      <c r="R272" s="35">
        <f t="shared" si="294"/>
        <v>6.7017687074829968E-2</v>
      </c>
      <c r="S272" s="35">
        <f t="shared" si="294"/>
        <v>6.9229931972789219E-2</v>
      </c>
      <c r="T272" s="35">
        <f t="shared" si="294"/>
        <v>8.0275555555555572E-2</v>
      </c>
      <c r="U272" s="35">
        <f t="shared" si="294"/>
        <v>7.2141496598639485E-2</v>
      </c>
      <c r="V272" s="35">
        <f t="shared" si="294"/>
        <v>8.0275555555555572E-2</v>
      </c>
      <c r="W272" s="35">
        <f t="shared" si="294"/>
        <v>7.7197278911564721E-2</v>
      </c>
      <c r="Y272" s="393"/>
      <c r="Z272" s="393"/>
      <c r="AA272" s="393"/>
      <c r="AB272" s="393"/>
      <c r="AC272" s="393"/>
      <c r="AD272" s="393"/>
      <c r="AE272" s="393"/>
      <c r="AF272" s="393"/>
      <c r="AG272" s="393"/>
      <c r="AH272" s="393"/>
      <c r="AI272" s="393"/>
      <c r="AJ272" s="393"/>
      <c r="AK272" s="393"/>
      <c r="AL272" s="393"/>
      <c r="AM272" s="393"/>
      <c r="AN272" s="393"/>
      <c r="AO272" s="393"/>
      <c r="AP272" s="393"/>
      <c r="AQ272" s="393"/>
      <c r="AR272" s="393"/>
      <c r="AS272" s="393"/>
    </row>
    <row r="273" spans="1:45" s="36" customFormat="1" x14ac:dyDescent="0.3">
      <c r="B273" s="65" t="s">
        <v>203</v>
      </c>
      <c r="C273" s="66"/>
      <c r="D273" s="35">
        <f>+D268/D$263</f>
        <v>9.3466666666666642E-2</v>
      </c>
      <c r="E273" s="35">
        <f t="shared" ref="E273:W273" si="295">+E268/E$263</f>
        <v>8.7482051282051318E-2</v>
      </c>
      <c r="F273" s="35">
        <f t="shared" si="295"/>
        <v>9.0377358490566023E-2</v>
      </c>
      <c r="G273" s="35">
        <f>+G268/G$263</f>
        <v>8.4470588235294117E-2</v>
      </c>
      <c r="H273" s="35">
        <f t="shared" si="295"/>
        <v>9.4352000000000089E-2</v>
      </c>
      <c r="I273" s="35">
        <f t="shared" si="295"/>
        <v>8.3509333333333297E-2</v>
      </c>
      <c r="J273" s="35">
        <f t="shared" si="295"/>
        <v>9.5820512820512821E-2</v>
      </c>
      <c r="K273" s="35">
        <f t="shared" si="295"/>
        <v>8.9997385620915013E-2</v>
      </c>
      <c r="L273" s="35">
        <f t="shared" si="295"/>
        <v>8.0219607843137267E-2</v>
      </c>
      <c r="M273" s="35">
        <f t="shared" si="295"/>
        <v>9.5653333333333423E-2</v>
      </c>
      <c r="N273" s="35">
        <f t="shared" si="295"/>
        <v>9.2181333333333407E-2</v>
      </c>
      <c r="O273" s="35">
        <f t="shared" si="295"/>
        <v>8.2048717948717986E-2</v>
      </c>
      <c r="P273" s="35">
        <f t="shared" si="295"/>
        <v>9.5653333333333423E-2</v>
      </c>
      <c r="Q273" s="35">
        <f t="shared" si="295"/>
        <v>9.5653333333333423E-2</v>
      </c>
      <c r="R273" s="35">
        <f t="shared" si="295"/>
        <v>8.5677333333333369E-2</v>
      </c>
      <c r="S273" s="35">
        <f t="shared" si="295"/>
        <v>8.7845333333333428E-2</v>
      </c>
      <c r="T273" s="35">
        <f t="shared" si="295"/>
        <v>0.10026956521739132</v>
      </c>
      <c r="U273" s="35">
        <f t="shared" si="295"/>
        <v>9.0698666666666691E-2</v>
      </c>
      <c r="V273" s="35">
        <f t="shared" si="295"/>
        <v>0.10026956521739132</v>
      </c>
      <c r="W273" s="35">
        <f t="shared" si="295"/>
        <v>9.5653333333333423E-2</v>
      </c>
      <c r="Y273" s="393"/>
      <c r="Z273" s="393"/>
      <c r="AA273" s="393"/>
      <c r="AB273" s="393"/>
      <c r="AC273" s="393"/>
      <c r="AD273" s="393"/>
      <c r="AE273" s="393"/>
      <c r="AF273" s="393"/>
      <c r="AG273" s="393"/>
      <c r="AH273" s="393"/>
      <c r="AI273" s="393"/>
      <c r="AJ273" s="393"/>
      <c r="AK273" s="393"/>
      <c r="AL273" s="393"/>
      <c r="AM273" s="393"/>
      <c r="AN273" s="393"/>
      <c r="AO273" s="393"/>
      <c r="AP273" s="393"/>
      <c r="AQ273" s="393"/>
      <c r="AR273" s="393"/>
      <c r="AS273" s="393"/>
    </row>
    <row r="274" spans="1:45" s="36" customFormat="1" x14ac:dyDescent="0.3">
      <c r="B274" s="65" t="s">
        <v>204</v>
      </c>
      <c r="C274" s="66"/>
      <c r="D274" s="35">
        <f>+D269/D$264</f>
        <v>0.11124183006535945</v>
      </c>
      <c r="E274" s="35">
        <f t="shared" ref="E274:W274" si="296">+E269/E$264</f>
        <v>0.10469937106918242</v>
      </c>
      <c r="F274" s="35">
        <f t="shared" si="296"/>
        <v>0.1072222222222222</v>
      </c>
      <c r="G274" s="35">
        <f t="shared" si="296"/>
        <v>0.10207692307692308</v>
      </c>
      <c r="H274" s="35">
        <f t="shared" si="296"/>
        <v>0.11210980392156872</v>
      </c>
      <c r="I274" s="35">
        <f t="shared" si="296"/>
        <v>0.10147973856209147</v>
      </c>
      <c r="J274" s="35">
        <f t="shared" si="296"/>
        <v>0.11288050314465409</v>
      </c>
      <c r="K274" s="35">
        <f t="shared" si="296"/>
        <v>0.10749743589743588</v>
      </c>
      <c r="L274" s="35">
        <f t="shared" si="296"/>
        <v>9.7907692307692321E-2</v>
      </c>
      <c r="M274" s="35">
        <f t="shared" si="296"/>
        <v>0.11338562091503276</v>
      </c>
      <c r="N274" s="35">
        <f t="shared" si="296"/>
        <v>0.10998169934640531</v>
      </c>
      <c r="O274" s="35">
        <f t="shared" si="296"/>
        <v>9.9368553459119532E-2</v>
      </c>
      <c r="P274" s="35">
        <f t="shared" si="296"/>
        <v>0.11338562091503276</v>
      </c>
      <c r="Q274" s="35">
        <f t="shared" si="296"/>
        <v>0.11338562091503276</v>
      </c>
      <c r="R274" s="35">
        <f t="shared" si="296"/>
        <v>0.10360522875816996</v>
      </c>
      <c r="S274" s="35">
        <f t="shared" si="296"/>
        <v>0.10573071895424846</v>
      </c>
      <c r="T274" s="35">
        <f t="shared" si="296"/>
        <v>0.11941276595744683</v>
      </c>
      <c r="U274" s="35">
        <f t="shared" si="296"/>
        <v>0.10852810457516343</v>
      </c>
      <c r="V274" s="35">
        <f t="shared" si="296"/>
        <v>0.11941276595744683</v>
      </c>
      <c r="W274" s="35">
        <f t="shared" si="296"/>
        <v>0.11338562091503276</v>
      </c>
      <c r="Y274" s="393"/>
      <c r="Z274" s="393"/>
      <c r="AA274" s="393"/>
      <c r="AB274" s="393"/>
      <c r="AC274" s="393"/>
      <c r="AD274" s="393"/>
      <c r="AE274" s="393"/>
      <c r="AF274" s="393"/>
      <c r="AG274" s="393"/>
      <c r="AH274" s="393"/>
      <c r="AI274" s="393"/>
      <c r="AJ274" s="393"/>
      <c r="AK274" s="393"/>
      <c r="AL274" s="393"/>
      <c r="AM274" s="393"/>
      <c r="AN274" s="393"/>
      <c r="AO274" s="393"/>
      <c r="AP274" s="393"/>
      <c r="AQ274" s="393"/>
      <c r="AR274" s="393"/>
      <c r="AS274" s="393"/>
    </row>
    <row r="275" spans="1:45" s="36" customFormat="1" x14ac:dyDescent="0.3">
      <c r="B275" s="65" t="s">
        <v>205</v>
      </c>
      <c r="C275" s="66"/>
      <c r="D275" s="35">
        <f>+D270/D$265</f>
        <v>0.1283333333333333</v>
      </c>
      <c r="E275" s="35">
        <f t="shared" ref="E275:W275" si="297">+E270/E$265</f>
        <v>0.12127901234567905</v>
      </c>
      <c r="F275" s="35">
        <f t="shared" si="297"/>
        <v>0.12345454545454544</v>
      </c>
      <c r="G275" s="35">
        <f t="shared" si="297"/>
        <v>0.1190188679245283</v>
      </c>
      <c r="H275" s="35">
        <f t="shared" si="297"/>
        <v>0.12918461538461548</v>
      </c>
      <c r="I275" s="35">
        <f t="shared" si="297"/>
        <v>0.11875897435897433</v>
      </c>
      <c r="J275" s="35">
        <f t="shared" si="297"/>
        <v>0.12930864197530864</v>
      </c>
      <c r="K275" s="35">
        <f t="shared" si="297"/>
        <v>0.12433710691823897</v>
      </c>
      <c r="L275" s="35">
        <f t="shared" si="297"/>
        <v>0.11492830188679247</v>
      </c>
      <c r="M275" s="35">
        <f t="shared" si="297"/>
        <v>0.13043589743589751</v>
      </c>
      <c r="N275" s="35">
        <f t="shared" si="297"/>
        <v>0.12709743589743597</v>
      </c>
      <c r="O275" s="35">
        <f t="shared" si="297"/>
        <v>0.11604691358024695</v>
      </c>
      <c r="P275" s="35">
        <f t="shared" si="297"/>
        <v>0.13043589743589751</v>
      </c>
      <c r="Q275" s="35">
        <f t="shared" si="297"/>
        <v>0.13043589743589751</v>
      </c>
      <c r="R275" s="35">
        <f t="shared" si="297"/>
        <v>0.12084358974358977</v>
      </c>
      <c r="S275" s="35">
        <f t="shared" si="297"/>
        <v>0.12292820512820522</v>
      </c>
      <c r="T275" s="35">
        <f t="shared" si="297"/>
        <v>0.13775833333333334</v>
      </c>
      <c r="U275" s="35">
        <f t="shared" si="297"/>
        <v>0.12567179487179489</v>
      </c>
      <c r="V275" s="35">
        <f t="shared" si="297"/>
        <v>0.13775833333333334</v>
      </c>
      <c r="W275" s="35">
        <f t="shared" si="297"/>
        <v>0.13043589743589751</v>
      </c>
      <c r="Y275" s="393"/>
      <c r="Z275" s="393"/>
      <c r="AA275" s="393"/>
      <c r="AB275" s="393"/>
      <c r="AC275" s="393"/>
      <c r="AD275" s="393"/>
      <c r="AE275" s="393"/>
      <c r="AF275" s="393"/>
      <c r="AG275" s="393"/>
      <c r="AH275" s="393"/>
      <c r="AI275" s="393"/>
      <c r="AJ275" s="393"/>
      <c r="AK275" s="393"/>
      <c r="AL275" s="393"/>
      <c r="AM275" s="393"/>
      <c r="AN275" s="393"/>
      <c r="AO275" s="393"/>
      <c r="AP275" s="393"/>
      <c r="AQ275" s="393"/>
      <c r="AR275" s="393"/>
      <c r="AS275" s="393"/>
    </row>
    <row r="276" spans="1:45" x14ac:dyDescent="0.3">
      <c r="B276" s="73"/>
      <c r="D276" s="37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Y276" s="390"/>
      <c r="Z276" s="390"/>
      <c r="AA276" s="390"/>
      <c r="AB276" s="390"/>
      <c r="AC276" s="390"/>
      <c r="AD276" s="390"/>
      <c r="AE276" s="390"/>
      <c r="AF276" s="390"/>
      <c r="AG276" s="390"/>
      <c r="AH276" s="390"/>
      <c r="AI276" s="390"/>
      <c r="AJ276" s="390"/>
      <c r="AK276" s="390"/>
      <c r="AL276" s="390"/>
      <c r="AM276" s="390"/>
      <c r="AN276" s="390"/>
      <c r="AO276" s="390"/>
      <c r="AP276" s="390"/>
      <c r="AQ276" s="390"/>
      <c r="AR276" s="390"/>
      <c r="AS276" s="390"/>
    </row>
    <row r="277" spans="1:45" ht="21" thickBot="1" x14ac:dyDescent="0.35">
      <c r="B277" s="73" t="s">
        <v>61</v>
      </c>
      <c r="Y277" s="390"/>
      <c r="Z277" s="390"/>
      <c r="AA277" s="390"/>
      <c r="AB277" s="390"/>
      <c r="AC277" s="390"/>
      <c r="AD277" s="390"/>
      <c r="AE277" s="390"/>
      <c r="AF277" s="390"/>
      <c r="AG277" s="390"/>
      <c r="AH277" s="390"/>
      <c r="AI277" s="390"/>
      <c r="AJ277" s="390"/>
      <c r="AK277" s="390"/>
      <c r="AL277" s="390"/>
      <c r="AM277" s="390"/>
      <c r="AN277" s="390"/>
      <c r="AO277" s="390"/>
      <c r="AP277" s="390"/>
      <c r="AQ277" s="390"/>
      <c r="AR277" s="390"/>
      <c r="AS277" s="390"/>
    </row>
    <row r="278" spans="1:45" ht="21" thickBot="1" x14ac:dyDescent="0.35">
      <c r="A278" s="15" t="s">
        <v>320</v>
      </c>
      <c r="B278" s="74" t="s">
        <v>47</v>
      </c>
      <c r="C278" s="68"/>
      <c r="D278" s="17" t="s">
        <v>5</v>
      </c>
      <c r="E278" s="18" t="s">
        <v>6</v>
      </c>
      <c r="F278" s="18" t="s">
        <v>7</v>
      </c>
      <c r="G278" s="18" t="s">
        <v>8</v>
      </c>
      <c r="H278" s="18" t="s">
        <v>9</v>
      </c>
      <c r="I278" s="18" t="s">
        <v>10</v>
      </c>
      <c r="J278" s="18" t="s">
        <v>11</v>
      </c>
      <c r="K278" s="18" t="s">
        <v>12</v>
      </c>
      <c r="L278" s="18" t="s">
        <v>13</v>
      </c>
      <c r="M278" s="18" t="s">
        <v>14</v>
      </c>
      <c r="N278" s="18" t="s">
        <v>15</v>
      </c>
      <c r="O278" s="18" t="s">
        <v>16</v>
      </c>
      <c r="P278" s="18" t="s">
        <v>17</v>
      </c>
      <c r="Q278" s="18" t="s">
        <v>18</v>
      </c>
      <c r="R278" s="18" t="s">
        <v>19</v>
      </c>
      <c r="S278" s="18" t="s">
        <v>20</v>
      </c>
      <c r="T278" s="18" t="s">
        <v>21</v>
      </c>
      <c r="U278" s="18" t="s">
        <v>22</v>
      </c>
      <c r="V278" s="18" t="s">
        <v>23</v>
      </c>
      <c r="W278" s="18" t="s">
        <v>166</v>
      </c>
      <c r="Y278" s="390"/>
      <c r="Z278" s="390"/>
      <c r="AA278" s="390"/>
      <c r="AB278" s="390"/>
      <c r="AC278" s="390"/>
      <c r="AD278" s="390"/>
      <c r="AE278" s="390"/>
      <c r="AF278" s="390"/>
      <c r="AG278" s="390"/>
      <c r="AH278" s="390"/>
      <c r="AI278" s="390"/>
      <c r="AJ278" s="390"/>
      <c r="AK278" s="390"/>
      <c r="AL278" s="390"/>
      <c r="AM278" s="390"/>
      <c r="AN278" s="390"/>
      <c r="AO278" s="390"/>
      <c r="AP278" s="390"/>
      <c r="AQ278" s="390"/>
      <c r="AR278" s="390"/>
      <c r="AS278" s="390"/>
    </row>
    <row r="279" spans="1:45" x14ac:dyDescent="0.3">
      <c r="B279" s="54" t="s">
        <v>50</v>
      </c>
      <c r="C279" s="55"/>
      <c r="D279" s="20">
        <v>55</v>
      </c>
      <c r="E279" s="21">
        <v>55</v>
      </c>
      <c r="F279" s="21">
        <v>55</v>
      </c>
      <c r="G279" s="21">
        <v>55</v>
      </c>
      <c r="H279" s="21">
        <v>55</v>
      </c>
      <c r="I279" s="21">
        <v>55</v>
      </c>
      <c r="J279" s="21">
        <v>55</v>
      </c>
      <c r="K279" s="21">
        <v>55</v>
      </c>
      <c r="L279" s="21">
        <v>55</v>
      </c>
      <c r="M279" s="21">
        <v>55</v>
      </c>
      <c r="N279" s="21">
        <v>55</v>
      </c>
      <c r="O279" s="21">
        <v>55</v>
      </c>
      <c r="P279" s="21">
        <v>55</v>
      </c>
      <c r="Q279" s="21">
        <v>55</v>
      </c>
      <c r="R279" s="21">
        <v>55</v>
      </c>
      <c r="S279" s="21">
        <v>55</v>
      </c>
      <c r="T279" s="21"/>
      <c r="U279" s="21"/>
      <c r="V279" s="21"/>
      <c r="W279" s="21">
        <v>55</v>
      </c>
      <c r="Y279" s="390"/>
      <c r="Z279" s="390"/>
      <c r="AA279" s="390"/>
      <c r="AB279" s="390"/>
      <c r="AC279" s="390"/>
      <c r="AD279" s="390"/>
      <c r="AE279" s="390"/>
      <c r="AF279" s="390"/>
      <c r="AG279" s="390"/>
      <c r="AH279" s="390"/>
      <c r="AI279" s="390"/>
      <c r="AJ279" s="390"/>
      <c r="AK279" s="390"/>
      <c r="AL279" s="390"/>
      <c r="AM279" s="390"/>
      <c r="AN279" s="390"/>
      <c r="AO279" s="390"/>
      <c r="AP279" s="390"/>
      <c r="AQ279" s="390"/>
      <c r="AR279" s="390"/>
      <c r="AS279" s="390"/>
    </row>
    <row r="280" spans="1:45" x14ac:dyDescent="0.3">
      <c r="B280" s="54" t="s">
        <v>51</v>
      </c>
      <c r="C280" s="55"/>
      <c r="D280" s="322">
        <v>0.15</v>
      </c>
      <c r="E280" s="322">
        <f>D280</f>
        <v>0.15</v>
      </c>
      <c r="F280" s="322">
        <f>D280</f>
        <v>0.15</v>
      </c>
      <c r="G280" s="322">
        <f>D280</f>
        <v>0.15</v>
      </c>
      <c r="H280" s="322">
        <f>E280</f>
        <v>0.15</v>
      </c>
      <c r="I280" s="322">
        <f>D280</f>
        <v>0.15</v>
      </c>
      <c r="J280" s="322">
        <f>D280</f>
        <v>0.15</v>
      </c>
      <c r="K280" s="322">
        <f>D280</f>
        <v>0.15</v>
      </c>
      <c r="L280" s="322">
        <f>D280</f>
        <v>0.15</v>
      </c>
      <c r="M280" s="322">
        <f>D280</f>
        <v>0.15</v>
      </c>
      <c r="N280" s="322">
        <f>D280</f>
        <v>0.15</v>
      </c>
      <c r="O280" s="322">
        <f>D280</f>
        <v>0.15</v>
      </c>
      <c r="P280" s="322">
        <f>D280</f>
        <v>0.15</v>
      </c>
      <c r="Q280" s="322">
        <f>D280</f>
        <v>0.15</v>
      </c>
      <c r="R280" s="322">
        <f>D280</f>
        <v>0.15</v>
      </c>
      <c r="S280" s="322">
        <f>D280</f>
        <v>0.15</v>
      </c>
      <c r="T280" s="218"/>
      <c r="U280" s="218"/>
      <c r="V280" s="218"/>
      <c r="W280" s="322">
        <f>J280</f>
        <v>0.15</v>
      </c>
      <c r="Y280" s="390"/>
      <c r="Z280" s="390"/>
      <c r="AA280" s="390"/>
      <c r="AB280" s="390"/>
      <c r="AC280" s="390"/>
      <c r="AD280" s="390"/>
      <c r="AE280" s="390"/>
      <c r="AF280" s="390"/>
      <c r="AG280" s="390"/>
      <c r="AH280" s="390"/>
      <c r="AI280" s="390"/>
      <c r="AJ280" s="390"/>
      <c r="AK280" s="390"/>
      <c r="AL280" s="390"/>
      <c r="AM280" s="390"/>
      <c r="AN280" s="390"/>
      <c r="AO280" s="390"/>
      <c r="AP280" s="390"/>
      <c r="AQ280" s="390"/>
      <c r="AR280" s="390"/>
      <c r="AS280" s="390"/>
    </row>
    <row r="281" spans="1:45" x14ac:dyDescent="0.3">
      <c r="B281" s="54" t="s">
        <v>60</v>
      </c>
      <c r="C281" s="55"/>
      <c r="D281" s="21">
        <v>0</v>
      </c>
      <c r="E281" s="21">
        <v>0</v>
      </c>
      <c r="F281" s="21">
        <v>0</v>
      </c>
      <c r="G281" s="21">
        <v>0</v>
      </c>
      <c r="H281" s="21">
        <v>0</v>
      </c>
      <c r="I281" s="21">
        <v>0</v>
      </c>
      <c r="J281" s="21">
        <v>0</v>
      </c>
      <c r="K281" s="21">
        <v>0</v>
      </c>
      <c r="L281" s="21">
        <v>0</v>
      </c>
      <c r="M281" s="21">
        <v>0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0</v>
      </c>
      <c r="T281" s="21"/>
      <c r="U281" s="21"/>
      <c r="V281" s="21"/>
      <c r="W281" s="21">
        <v>0</v>
      </c>
      <c r="Y281" s="390"/>
      <c r="Z281" s="390"/>
      <c r="AA281" s="390"/>
      <c r="AB281" s="390"/>
      <c r="AC281" s="390"/>
      <c r="AD281" s="390"/>
      <c r="AE281" s="390"/>
      <c r="AF281" s="390"/>
      <c r="AG281" s="390"/>
      <c r="AH281" s="390"/>
      <c r="AI281" s="390"/>
      <c r="AJ281" s="390"/>
      <c r="AK281" s="390"/>
      <c r="AL281" s="390"/>
      <c r="AM281" s="390"/>
      <c r="AN281" s="390"/>
      <c r="AO281" s="390"/>
      <c r="AP281" s="390"/>
      <c r="AQ281" s="390"/>
      <c r="AR281" s="390"/>
      <c r="AS281" s="390"/>
    </row>
    <row r="282" spans="1:45" x14ac:dyDescent="0.3">
      <c r="B282" s="177" t="s">
        <v>67</v>
      </c>
      <c r="C282" s="178"/>
      <c r="D282" s="323">
        <f>D279-(D279*D280)</f>
        <v>46.75</v>
      </c>
      <c r="E282" s="323">
        <f t="shared" ref="E282:W282" si="298">E279-(E279*E280)</f>
        <v>46.75</v>
      </c>
      <c r="F282" s="323">
        <f t="shared" si="298"/>
        <v>46.75</v>
      </c>
      <c r="G282" s="323">
        <f t="shared" si="298"/>
        <v>46.75</v>
      </c>
      <c r="H282" s="323">
        <f t="shared" si="298"/>
        <v>46.75</v>
      </c>
      <c r="I282" s="323">
        <f t="shared" si="298"/>
        <v>46.75</v>
      </c>
      <c r="J282" s="323">
        <f t="shared" si="298"/>
        <v>46.75</v>
      </c>
      <c r="K282" s="323">
        <f t="shared" si="298"/>
        <v>46.75</v>
      </c>
      <c r="L282" s="323">
        <f t="shared" si="298"/>
        <v>46.75</v>
      </c>
      <c r="M282" s="323">
        <f t="shared" si="298"/>
        <v>46.75</v>
      </c>
      <c r="N282" s="323">
        <f t="shared" si="298"/>
        <v>46.75</v>
      </c>
      <c r="O282" s="323">
        <f t="shared" si="298"/>
        <v>46.75</v>
      </c>
      <c r="P282" s="323">
        <f t="shared" si="298"/>
        <v>46.75</v>
      </c>
      <c r="Q282" s="323">
        <f t="shared" si="298"/>
        <v>46.75</v>
      </c>
      <c r="R282" s="323">
        <f t="shared" si="298"/>
        <v>46.75</v>
      </c>
      <c r="S282" s="323">
        <f t="shared" si="298"/>
        <v>46.75</v>
      </c>
      <c r="T282" s="323">
        <v>44.34</v>
      </c>
      <c r="U282" s="323">
        <v>44.34</v>
      </c>
      <c r="V282" s="323">
        <v>44.34</v>
      </c>
      <c r="W282" s="323">
        <f t="shared" si="298"/>
        <v>46.75</v>
      </c>
      <c r="Y282" s="390"/>
      <c r="Z282" s="390"/>
      <c r="AA282" s="390"/>
      <c r="AB282" s="390"/>
      <c r="AC282" s="390"/>
      <c r="AD282" s="390"/>
      <c r="AE282" s="390"/>
      <c r="AF282" s="390"/>
      <c r="AG282" s="390"/>
      <c r="AH282" s="390"/>
      <c r="AI282" s="390"/>
      <c r="AJ282" s="390"/>
      <c r="AK282" s="390"/>
      <c r="AL282" s="390"/>
      <c r="AM282" s="390"/>
      <c r="AN282" s="390"/>
      <c r="AO282" s="390"/>
      <c r="AP282" s="390"/>
      <c r="AQ282" s="390"/>
      <c r="AR282" s="390"/>
      <c r="AS282" s="390"/>
    </row>
    <row r="283" spans="1:45" x14ac:dyDescent="0.3">
      <c r="B283" s="54" t="s">
        <v>66</v>
      </c>
      <c r="C283" s="56">
        <v>7.0000000000000007E-2</v>
      </c>
      <c r="D283" s="24">
        <f t="shared" ref="D283:W283" si="299">D282*$C283</f>
        <v>3.2725000000000004</v>
      </c>
      <c r="E283" s="24">
        <f t="shared" si="299"/>
        <v>3.2725000000000004</v>
      </c>
      <c r="F283" s="24">
        <f t="shared" si="299"/>
        <v>3.2725000000000004</v>
      </c>
      <c r="G283" s="24">
        <f t="shared" si="299"/>
        <v>3.2725000000000004</v>
      </c>
      <c r="H283" s="24">
        <f t="shared" si="299"/>
        <v>3.2725000000000004</v>
      </c>
      <c r="I283" s="24">
        <f t="shared" si="299"/>
        <v>3.2725000000000004</v>
      </c>
      <c r="J283" s="24">
        <f t="shared" si="299"/>
        <v>3.2725000000000004</v>
      </c>
      <c r="K283" s="24">
        <f t="shared" si="299"/>
        <v>3.2725000000000004</v>
      </c>
      <c r="L283" s="24">
        <f t="shared" si="299"/>
        <v>3.2725000000000004</v>
      </c>
      <c r="M283" s="24">
        <f t="shared" si="299"/>
        <v>3.2725000000000004</v>
      </c>
      <c r="N283" s="24">
        <f t="shared" si="299"/>
        <v>3.2725000000000004</v>
      </c>
      <c r="O283" s="24">
        <f t="shared" si="299"/>
        <v>3.2725000000000004</v>
      </c>
      <c r="P283" s="24">
        <f t="shared" si="299"/>
        <v>3.2725000000000004</v>
      </c>
      <c r="Q283" s="24">
        <f t="shared" si="299"/>
        <v>3.2725000000000004</v>
      </c>
      <c r="R283" s="24">
        <f t="shared" si="299"/>
        <v>3.2725000000000004</v>
      </c>
      <c r="S283" s="24">
        <f t="shared" si="299"/>
        <v>3.2725000000000004</v>
      </c>
      <c r="T283" s="24">
        <f t="shared" si="299"/>
        <v>3.1038000000000006</v>
      </c>
      <c r="U283" s="24">
        <f t="shared" si="299"/>
        <v>3.1038000000000006</v>
      </c>
      <c r="V283" s="24">
        <f t="shared" si="299"/>
        <v>3.1038000000000006</v>
      </c>
      <c r="W283" s="24">
        <f t="shared" si="299"/>
        <v>3.2725000000000004</v>
      </c>
      <c r="Y283" s="390"/>
      <c r="Z283" s="390"/>
      <c r="AA283" s="390"/>
      <c r="AB283" s="390"/>
      <c r="AC283" s="390"/>
      <c r="AD283" s="390"/>
      <c r="AE283" s="390"/>
      <c r="AF283" s="390"/>
      <c r="AG283" s="390"/>
      <c r="AH283" s="390"/>
      <c r="AI283" s="390"/>
      <c r="AJ283" s="390"/>
      <c r="AK283" s="390"/>
      <c r="AL283" s="390"/>
      <c r="AM283" s="390"/>
      <c r="AN283" s="390"/>
      <c r="AO283" s="390"/>
      <c r="AP283" s="390"/>
      <c r="AQ283" s="390"/>
      <c r="AR283" s="390"/>
      <c r="AS283" s="390"/>
    </row>
    <row r="284" spans="1:45" x14ac:dyDescent="0.3">
      <c r="B284" s="54" t="s">
        <v>68</v>
      </c>
      <c r="C284" s="55"/>
      <c r="D284" s="21">
        <f t="shared" ref="D284:W284" si="300">D282+D283</f>
        <v>50.022500000000001</v>
      </c>
      <c r="E284" s="21">
        <f t="shared" si="300"/>
        <v>50.022500000000001</v>
      </c>
      <c r="F284" s="21">
        <f t="shared" si="300"/>
        <v>50.022500000000001</v>
      </c>
      <c r="G284" s="21">
        <f t="shared" si="300"/>
        <v>50.022500000000001</v>
      </c>
      <c r="H284" s="21">
        <f t="shared" si="300"/>
        <v>50.022500000000001</v>
      </c>
      <c r="I284" s="21">
        <f t="shared" si="300"/>
        <v>50.022500000000001</v>
      </c>
      <c r="J284" s="21">
        <f t="shared" si="300"/>
        <v>50.022500000000001</v>
      </c>
      <c r="K284" s="21">
        <f t="shared" si="300"/>
        <v>50.022500000000001</v>
      </c>
      <c r="L284" s="21">
        <f t="shared" si="300"/>
        <v>50.022500000000001</v>
      </c>
      <c r="M284" s="21">
        <f t="shared" si="300"/>
        <v>50.022500000000001</v>
      </c>
      <c r="N284" s="21">
        <f t="shared" si="300"/>
        <v>50.022500000000001</v>
      </c>
      <c r="O284" s="21">
        <f t="shared" si="300"/>
        <v>50.022500000000001</v>
      </c>
      <c r="P284" s="21">
        <f t="shared" si="300"/>
        <v>50.022500000000001</v>
      </c>
      <c r="Q284" s="21">
        <f t="shared" si="300"/>
        <v>50.022500000000001</v>
      </c>
      <c r="R284" s="21">
        <f t="shared" si="300"/>
        <v>50.022500000000001</v>
      </c>
      <c r="S284" s="21">
        <f t="shared" si="300"/>
        <v>50.022500000000001</v>
      </c>
      <c r="T284" s="21">
        <f t="shared" si="300"/>
        <v>47.443800000000003</v>
      </c>
      <c r="U284" s="21">
        <f t="shared" si="300"/>
        <v>47.443800000000003</v>
      </c>
      <c r="V284" s="21">
        <f t="shared" si="300"/>
        <v>47.443800000000003</v>
      </c>
      <c r="W284" s="21">
        <f t="shared" si="300"/>
        <v>50.022500000000001</v>
      </c>
      <c r="Y284" s="390"/>
      <c r="Z284" s="390"/>
      <c r="AA284" s="390"/>
      <c r="AB284" s="390"/>
      <c r="AC284" s="390"/>
      <c r="AD284" s="390"/>
      <c r="AE284" s="390"/>
      <c r="AF284" s="390"/>
      <c r="AG284" s="390"/>
      <c r="AH284" s="390"/>
      <c r="AI284" s="390"/>
      <c r="AJ284" s="390"/>
      <c r="AK284" s="390"/>
      <c r="AL284" s="390"/>
      <c r="AM284" s="390"/>
      <c r="AN284" s="390"/>
      <c r="AO284" s="390"/>
      <c r="AP284" s="390"/>
      <c r="AQ284" s="390"/>
      <c r="AR284" s="390"/>
      <c r="AS284" s="390"/>
    </row>
    <row r="285" spans="1:45" x14ac:dyDescent="0.3">
      <c r="B285" s="54" t="s">
        <v>52</v>
      </c>
      <c r="C285" s="55"/>
      <c r="D285" s="398">
        <f>Y287</f>
        <v>1.6706666666666667</v>
      </c>
      <c r="E285" s="398">
        <f t="shared" ref="E285:W285" si="301">Z287</f>
        <v>3.7949333333333333</v>
      </c>
      <c r="F285" s="398">
        <f t="shared" si="301"/>
        <v>4.5540000000000003</v>
      </c>
      <c r="G285" s="398">
        <f t="shared" si="301"/>
        <v>3.036</v>
      </c>
      <c r="H285" s="398">
        <f t="shared" si="301"/>
        <v>1.6264000000000001</v>
      </c>
      <c r="I285" s="398">
        <f t="shared" si="301"/>
        <v>2.1685333333333334</v>
      </c>
      <c r="J285" s="398">
        <f t="shared" si="301"/>
        <v>3.3613333333333335</v>
      </c>
      <c r="K285" s="398">
        <f t="shared" si="301"/>
        <v>2.7541333333333333</v>
      </c>
      <c r="L285" s="398">
        <f t="shared" si="301"/>
        <v>3.2528000000000001</v>
      </c>
      <c r="M285" s="398">
        <f t="shared" si="301"/>
        <v>1.5613333333333332</v>
      </c>
      <c r="N285" s="398">
        <f t="shared" si="301"/>
        <v>1.7349333333333334</v>
      </c>
      <c r="O285" s="398">
        <f t="shared" si="301"/>
        <v>4.077466666666667</v>
      </c>
      <c r="P285" s="398">
        <f t="shared" si="301"/>
        <v>1.5613333333333332</v>
      </c>
      <c r="Q285" s="398">
        <f t="shared" si="301"/>
        <v>1.5613333333333332</v>
      </c>
      <c r="R285" s="398">
        <f t="shared" si="301"/>
        <v>2.0601333333333334</v>
      </c>
      <c r="S285" s="398">
        <f t="shared" si="301"/>
        <v>1.9517333333333333</v>
      </c>
      <c r="T285" s="398">
        <f t="shared" si="301"/>
        <v>0</v>
      </c>
      <c r="U285" s="398">
        <f t="shared" si="301"/>
        <v>4.077466666666667</v>
      </c>
      <c r="V285" s="398">
        <f t="shared" si="301"/>
        <v>0</v>
      </c>
      <c r="W285" s="398">
        <f t="shared" si="301"/>
        <v>1.5613333333333332</v>
      </c>
      <c r="Y285" s="390">
        <v>12530</v>
      </c>
      <c r="Z285" s="390">
        <v>28462</v>
      </c>
      <c r="AA285" s="390">
        <v>34155</v>
      </c>
      <c r="AB285" s="390">
        <v>22770</v>
      </c>
      <c r="AC285" s="390">
        <v>12198</v>
      </c>
      <c r="AD285" s="390">
        <v>16264</v>
      </c>
      <c r="AE285" s="390">
        <v>25210</v>
      </c>
      <c r="AF285" s="390">
        <v>20656</v>
      </c>
      <c r="AG285" s="390">
        <v>24396</v>
      </c>
      <c r="AH285" s="390">
        <v>11710</v>
      </c>
      <c r="AI285" s="390">
        <v>13012</v>
      </c>
      <c r="AJ285" s="390">
        <v>30581</v>
      </c>
      <c r="AK285" s="396">
        <v>11710</v>
      </c>
      <c r="AL285" s="396">
        <v>11710</v>
      </c>
      <c r="AM285" s="390">
        <v>15451</v>
      </c>
      <c r="AN285" s="390">
        <v>14638</v>
      </c>
      <c r="AO285" s="390"/>
      <c r="AP285" s="396">
        <v>30581</v>
      </c>
      <c r="AQ285" s="390"/>
      <c r="AR285" s="396">
        <v>11710</v>
      </c>
      <c r="AS285" s="390"/>
    </row>
    <row r="286" spans="1:45" x14ac:dyDescent="0.3">
      <c r="B286" s="57" t="s">
        <v>53</v>
      </c>
      <c r="C286" s="58"/>
      <c r="D286" s="25">
        <f>SUM(D284:D285)</f>
        <v>51.69316666666667</v>
      </c>
      <c r="E286" s="26">
        <f t="shared" ref="E286:S286" si="302">SUM(E284:E285)</f>
        <v>53.817433333333334</v>
      </c>
      <c r="F286" s="26">
        <f t="shared" si="302"/>
        <v>54.576500000000003</v>
      </c>
      <c r="G286" s="26">
        <f t="shared" si="302"/>
        <v>53.058500000000002</v>
      </c>
      <c r="H286" s="26">
        <f t="shared" si="302"/>
        <v>51.648899999999998</v>
      </c>
      <c r="I286" s="26">
        <f t="shared" si="302"/>
        <v>52.191033333333337</v>
      </c>
      <c r="J286" s="26">
        <f t="shared" si="302"/>
        <v>53.383833333333335</v>
      </c>
      <c r="K286" s="26">
        <f t="shared" si="302"/>
        <v>52.776633333333336</v>
      </c>
      <c r="L286" s="26">
        <f t="shared" si="302"/>
        <v>53.275300000000001</v>
      </c>
      <c r="M286" s="26">
        <f t="shared" si="302"/>
        <v>51.583833333333331</v>
      </c>
      <c r="N286" s="26">
        <f t="shared" si="302"/>
        <v>51.757433333333331</v>
      </c>
      <c r="O286" s="26">
        <f t="shared" si="302"/>
        <v>54.099966666666667</v>
      </c>
      <c r="P286" s="26">
        <f t="shared" si="302"/>
        <v>51.583833333333331</v>
      </c>
      <c r="Q286" s="26">
        <f t="shared" si="302"/>
        <v>51.583833333333331</v>
      </c>
      <c r="R286" s="26">
        <f t="shared" si="302"/>
        <v>52.082633333333334</v>
      </c>
      <c r="S286" s="26">
        <f t="shared" si="302"/>
        <v>51.974233333333331</v>
      </c>
      <c r="T286" s="26">
        <f>SUM(T284:T285)+T285</f>
        <v>47.443800000000003</v>
      </c>
      <c r="U286" s="26">
        <f>SUM(U284:U285)+U285</f>
        <v>55.598733333333335</v>
      </c>
      <c r="V286" s="26">
        <f>SUM(V284:V285)+V285</f>
        <v>47.443800000000003</v>
      </c>
      <c r="W286" s="26">
        <f>SUM(W284:W285)</f>
        <v>51.583833333333331</v>
      </c>
      <c r="Y286" s="390">
        <v>7500</v>
      </c>
      <c r="Z286" s="390">
        <v>7500</v>
      </c>
      <c r="AA286" s="390">
        <v>7500</v>
      </c>
      <c r="AB286" s="390">
        <v>7500</v>
      </c>
      <c r="AC286" s="390">
        <v>7500</v>
      </c>
      <c r="AD286" s="390">
        <v>7500</v>
      </c>
      <c r="AE286" s="390">
        <v>7500</v>
      </c>
      <c r="AF286" s="390">
        <v>7500</v>
      </c>
      <c r="AG286" s="390">
        <v>7500</v>
      </c>
      <c r="AH286" s="390">
        <v>7500</v>
      </c>
      <c r="AI286" s="390">
        <v>7500</v>
      </c>
      <c r="AJ286" s="390">
        <v>7500</v>
      </c>
      <c r="AK286" s="390">
        <v>7500</v>
      </c>
      <c r="AL286" s="390">
        <v>7500</v>
      </c>
      <c r="AM286" s="390">
        <v>7500</v>
      </c>
      <c r="AN286" s="390">
        <v>7500</v>
      </c>
      <c r="AO286" s="390">
        <v>7500</v>
      </c>
      <c r="AP286" s="390">
        <v>7500</v>
      </c>
      <c r="AQ286" s="390">
        <v>7500</v>
      </c>
      <c r="AR286" s="390">
        <v>7500</v>
      </c>
      <c r="AS286" s="390"/>
    </row>
    <row r="287" spans="1:45" x14ac:dyDescent="0.3">
      <c r="B287" s="54" t="s">
        <v>54</v>
      </c>
      <c r="C287" s="55"/>
      <c r="D287" s="20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Y287" s="389">
        <f>Y285/Y286</f>
        <v>1.6706666666666667</v>
      </c>
      <c r="Z287" s="389">
        <f t="shared" ref="Z287" si="303">Z285/Z286</f>
        <v>3.7949333333333333</v>
      </c>
      <c r="AA287" s="389">
        <f t="shared" ref="AA287" si="304">AA285/AA286</f>
        <v>4.5540000000000003</v>
      </c>
      <c r="AB287" s="389">
        <f t="shared" ref="AB287" si="305">AB285/AB286</f>
        <v>3.036</v>
      </c>
      <c r="AC287" s="389">
        <f t="shared" ref="AC287" si="306">AC285/AC286</f>
        <v>1.6264000000000001</v>
      </c>
      <c r="AD287" s="389">
        <f t="shared" ref="AD287" si="307">AD285/AD286</f>
        <v>2.1685333333333334</v>
      </c>
      <c r="AE287" s="389">
        <f t="shared" ref="AE287" si="308">AE285/AE286</f>
        <v>3.3613333333333335</v>
      </c>
      <c r="AF287" s="389">
        <f t="shared" ref="AF287" si="309">AF285/AF286</f>
        <v>2.7541333333333333</v>
      </c>
      <c r="AG287" s="389">
        <f t="shared" ref="AG287" si="310">AG285/AG286</f>
        <v>3.2528000000000001</v>
      </c>
      <c r="AH287" s="389">
        <f t="shared" ref="AH287" si="311">AH285/AH286</f>
        <v>1.5613333333333332</v>
      </c>
      <c r="AI287" s="389">
        <f t="shared" ref="AI287" si="312">AI285/AI286</f>
        <v>1.7349333333333334</v>
      </c>
      <c r="AJ287" s="389">
        <f t="shared" ref="AJ287" si="313">AJ285/AJ286</f>
        <v>4.077466666666667</v>
      </c>
      <c r="AK287" s="389">
        <f t="shared" ref="AK287" si="314">AK285/AK286</f>
        <v>1.5613333333333332</v>
      </c>
      <c r="AL287" s="389">
        <f t="shared" ref="AL287" si="315">AL285/AL286</f>
        <v>1.5613333333333332</v>
      </c>
      <c r="AM287" s="389">
        <f t="shared" ref="AM287" si="316">AM285/AM286</f>
        <v>2.0601333333333334</v>
      </c>
      <c r="AN287" s="389">
        <f t="shared" ref="AN287" si="317">AN285/AN286</f>
        <v>1.9517333333333333</v>
      </c>
      <c r="AO287" s="390"/>
      <c r="AP287" s="389">
        <f t="shared" ref="AP287" si="318">AP285/AP286</f>
        <v>4.077466666666667</v>
      </c>
      <c r="AQ287" s="390"/>
      <c r="AR287" s="389">
        <f t="shared" ref="AR287" si="319">AR285/AR286</f>
        <v>1.5613333333333332</v>
      </c>
      <c r="AS287" s="390"/>
    </row>
    <row r="288" spans="1:45" x14ac:dyDescent="0.3">
      <c r="B288" s="59" t="s">
        <v>55</v>
      </c>
      <c r="C288" s="60"/>
      <c r="D288" s="27">
        <f t="shared" ref="D288:W288" si="320">SUM(D286:D287)</f>
        <v>51.69316666666667</v>
      </c>
      <c r="E288" s="41">
        <f t="shared" si="320"/>
        <v>53.817433333333334</v>
      </c>
      <c r="F288" s="41">
        <f t="shared" si="320"/>
        <v>54.576500000000003</v>
      </c>
      <c r="G288" s="41">
        <f t="shared" si="320"/>
        <v>53.058500000000002</v>
      </c>
      <c r="H288" s="41">
        <f t="shared" si="320"/>
        <v>51.648899999999998</v>
      </c>
      <c r="I288" s="41">
        <f t="shared" si="320"/>
        <v>52.191033333333337</v>
      </c>
      <c r="J288" s="41">
        <f t="shared" si="320"/>
        <v>53.383833333333335</v>
      </c>
      <c r="K288" s="41">
        <f t="shared" si="320"/>
        <v>52.776633333333336</v>
      </c>
      <c r="L288" s="41">
        <f t="shared" si="320"/>
        <v>53.275300000000001</v>
      </c>
      <c r="M288" s="41">
        <f t="shared" si="320"/>
        <v>51.583833333333331</v>
      </c>
      <c r="N288" s="41">
        <f t="shared" si="320"/>
        <v>51.757433333333331</v>
      </c>
      <c r="O288" s="41">
        <f t="shared" si="320"/>
        <v>54.099966666666667</v>
      </c>
      <c r="P288" s="41">
        <f t="shared" si="320"/>
        <v>51.583833333333331</v>
      </c>
      <c r="Q288" s="41">
        <f t="shared" si="320"/>
        <v>51.583833333333331</v>
      </c>
      <c r="R288" s="41">
        <f t="shared" si="320"/>
        <v>52.082633333333334</v>
      </c>
      <c r="S288" s="41">
        <f t="shared" si="320"/>
        <v>51.974233333333331</v>
      </c>
      <c r="T288" s="41">
        <f t="shared" si="320"/>
        <v>47.443800000000003</v>
      </c>
      <c r="U288" s="41">
        <f t="shared" si="320"/>
        <v>55.598733333333335</v>
      </c>
      <c r="V288" s="41">
        <f t="shared" si="320"/>
        <v>47.443800000000003</v>
      </c>
      <c r="W288" s="41">
        <f t="shared" si="320"/>
        <v>51.583833333333331</v>
      </c>
      <c r="Y288" s="390"/>
      <c r="Z288" s="390"/>
      <c r="AA288" s="390"/>
      <c r="AB288" s="390"/>
      <c r="AC288" s="390"/>
      <c r="AD288" s="390"/>
      <c r="AE288" s="390"/>
      <c r="AF288" s="390"/>
      <c r="AG288" s="390"/>
      <c r="AH288" s="390"/>
      <c r="AI288" s="390"/>
      <c r="AJ288" s="390"/>
      <c r="AK288" s="390"/>
      <c r="AL288" s="390"/>
      <c r="AM288" s="390"/>
      <c r="AN288" s="390"/>
      <c r="AO288" s="390"/>
      <c r="AP288" s="390"/>
      <c r="AQ288" s="390"/>
      <c r="AR288" s="390"/>
      <c r="AS288" s="390"/>
    </row>
    <row r="289" spans="2:45" x14ac:dyDescent="0.3">
      <c r="B289" s="61" t="s">
        <v>101</v>
      </c>
      <c r="C289" s="55"/>
      <c r="D289" s="43">
        <v>0</v>
      </c>
      <c r="E289" s="408">
        <v>0</v>
      </c>
      <c r="F289" s="408">
        <v>0</v>
      </c>
      <c r="G289" s="408">
        <v>0</v>
      </c>
      <c r="H289" s="408">
        <v>0</v>
      </c>
      <c r="I289" s="408">
        <v>0</v>
      </c>
      <c r="J289" s="408">
        <v>0</v>
      </c>
      <c r="K289" s="408">
        <v>0</v>
      </c>
      <c r="L289" s="408">
        <v>0</v>
      </c>
      <c r="M289" s="408">
        <v>0</v>
      </c>
      <c r="N289" s="408">
        <v>0</v>
      </c>
      <c r="O289" s="408">
        <v>0</v>
      </c>
      <c r="P289" s="408">
        <v>0</v>
      </c>
      <c r="Q289" s="408">
        <v>0</v>
      </c>
      <c r="R289" s="408">
        <v>0</v>
      </c>
      <c r="S289" s="408">
        <v>0</v>
      </c>
      <c r="T289" s="408">
        <v>0</v>
      </c>
      <c r="U289" s="408">
        <v>0</v>
      </c>
      <c r="V289" s="408">
        <v>0</v>
      </c>
      <c r="W289" s="408">
        <v>0</v>
      </c>
      <c r="Y289" s="409"/>
      <c r="Z289" s="409"/>
      <c r="AA289" s="409"/>
      <c r="AB289" s="409"/>
      <c r="AC289" s="409"/>
      <c r="AD289" s="409"/>
      <c r="AE289" s="409"/>
      <c r="AF289" s="409"/>
      <c r="AG289" s="409"/>
      <c r="AH289" s="409"/>
      <c r="AI289" s="409"/>
      <c r="AJ289" s="409"/>
      <c r="AK289" s="409"/>
      <c r="AL289" s="409"/>
      <c r="AM289" s="409"/>
      <c r="AN289" s="409"/>
      <c r="AO289" s="409"/>
      <c r="AP289" s="409"/>
      <c r="AQ289" s="409"/>
      <c r="AR289" s="409"/>
      <c r="AS289" s="409"/>
    </row>
    <row r="290" spans="2:45" x14ac:dyDescent="0.3">
      <c r="B290" s="171" t="s">
        <v>194</v>
      </c>
      <c r="C290" s="55"/>
      <c r="D290" s="20">
        <v>56</v>
      </c>
      <c r="E290" s="21">
        <v>58</v>
      </c>
      <c r="F290" s="21">
        <v>59</v>
      </c>
      <c r="G290" s="21">
        <v>58</v>
      </c>
      <c r="H290" s="21">
        <v>56</v>
      </c>
      <c r="I290" s="21">
        <v>57</v>
      </c>
      <c r="J290" s="21">
        <v>58</v>
      </c>
      <c r="K290" s="21">
        <v>57</v>
      </c>
      <c r="L290" s="21">
        <v>58</v>
      </c>
      <c r="M290" s="21">
        <v>56</v>
      </c>
      <c r="N290" s="21">
        <v>56</v>
      </c>
      <c r="O290" s="21">
        <v>59</v>
      </c>
      <c r="P290" s="21">
        <v>56</v>
      </c>
      <c r="Q290" s="21">
        <v>56</v>
      </c>
      <c r="R290" s="21">
        <v>57</v>
      </c>
      <c r="S290" s="21">
        <v>56</v>
      </c>
      <c r="T290" s="21">
        <v>52</v>
      </c>
      <c r="U290" s="21">
        <v>60</v>
      </c>
      <c r="V290" s="21">
        <v>52</v>
      </c>
      <c r="W290" s="21">
        <v>56</v>
      </c>
      <c r="Y290" s="390"/>
      <c r="Z290" s="390"/>
      <c r="AA290" s="390"/>
      <c r="AB290" s="390"/>
      <c r="AC290" s="390"/>
      <c r="AD290" s="390"/>
      <c r="AE290" s="390"/>
      <c r="AF290" s="390"/>
      <c r="AG290" s="390"/>
      <c r="AH290" s="390"/>
      <c r="AI290" s="390"/>
      <c r="AJ290" s="390"/>
      <c r="AK290" s="390"/>
      <c r="AL290" s="390"/>
      <c r="AM290" s="390"/>
      <c r="AN290" s="390"/>
      <c r="AO290" s="390"/>
      <c r="AP290" s="390"/>
      <c r="AQ290" s="390"/>
      <c r="AR290" s="390"/>
      <c r="AS290" s="390"/>
    </row>
    <row r="291" spans="2:45" x14ac:dyDescent="0.3">
      <c r="B291" s="61" t="s">
        <v>195</v>
      </c>
      <c r="C291" s="55"/>
      <c r="D291" s="106">
        <v>57</v>
      </c>
      <c r="E291" s="21">
        <v>59</v>
      </c>
      <c r="F291" s="21">
        <v>60</v>
      </c>
      <c r="G291" s="21">
        <v>59</v>
      </c>
      <c r="H291" s="21">
        <v>57</v>
      </c>
      <c r="I291" s="21">
        <v>58</v>
      </c>
      <c r="J291" s="21">
        <v>59</v>
      </c>
      <c r="K291" s="21">
        <v>58</v>
      </c>
      <c r="L291" s="21">
        <v>59</v>
      </c>
      <c r="M291" s="21">
        <v>57</v>
      </c>
      <c r="N291" s="21">
        <v>57</v>
      </c>
      <c r="O291" s="21">
        <v>60</v>
      </c>
      <c r="P291" s="21">
        <v>57</v>
      </c>
      <c r="Q291" s="21">
        <v>57</v>
      </c>
      <c r="R291" s="21">
        <v>58</v>
      </c>
      <c r="S291" s="21">
        <v>57</v>
      </c>
      <c r="T291" s="21">
        <v>53</v>
      </c>
      <c r="U291" s="21">
        <v>61</v>
      </c>
      <c r="V291" s="21">
        <v>53</v>
      </c>
      <c r="W291" s="21">
        <v>57</v>
      </c>
      <c r="Y291" s="390"/>
      <c r="Z291" s="390"/>
      <c r="AA291" s="390"/>
      <c r="AB291" s="390"/>
      <c r="AC291" s="390"/>
      <c r="AD291" s="390"/>
      <c r="AE291" s="390"/>
      <c r="AF291" s="390"/>
      <c r="AG291" s="390"/>
      <c r="AH291" s="390"/>
      <c r="AI291" s="390"/>
      <c r="AJ291" s="390"/>
      <c r="AK291" s="390"/>
      <c r="AL291" s="390"/>
      <c r="AM291" s="390"/>
      <c r="AN291" s="390"/>
      <c r="AO291" s="390"/>
      <c r="AP291" s="390"/>
      <c r="AQ291" s="390"/>
      <c r="AR291" s="390"/>
      <c r="AS291" s="390"/>
    </row>
    <row r="292" spans="2:45" s="30" customFormat="1" x14ac:dyDescent="0.3">
      <c r="B292" s="61" t="s">
        <v>196</v>
      </c>
      <c r="C292" s="62"/>
      <c r="D292" s="28">
        <v>58</v>
      </c>
      <c r="E292" s="28">
        <v>60</v>
      </c>
      <c r="F292" s="28">
        <v>61</v>
      </c>
      <c r="G292" s="28">
        <v>60</v>
      </c>
      <c r="H292" s="28">
        <v>58</v>
      </c>
      <c r="I292" s="28">
        <v>59</v>
      </c>
      <c r="J292" s="28">
        <v>60</v>
      </c>
      <c r="K292" s="28">
        <v>59</v>
      </c>
      <c r="L292" s="28">
        <v>60</v>
      </c>
      <c r="M292" s="28">
        <v>58</v>
      </c>
      <c r="N292" s="28">
        <v>58</v>
      </c>
      <c r="O292" s="28">
        <v>61</v>
      </c>
      <c r="P292" s="28">
        <v>58</v>
      </c>
      <c r="Q292" s="28">
        <v>58</v>
      </c>
      <c r="R292" s="28">
        <v>59</v>
      </c>
      <c r="S292" s="28">
        <v>58</v>
      </c>
      <c r="T292" s="28">
        <v>54</v>
      </c>
      <c r="U292" s="28">
        <v>62</v>
      </c>
      <c r="V292" s="28">
        <v>54</v>
      </c>
      <c r="W292" s="28">
        <v>58</v>
      </c>
      <c r="Y292" s="391"/>
      <c r="Z292" s="391"/>
      <c r="AA292" s="391"/>
      <c r="AB292" s="391"/>
      <c r="AC292" s="391"/>
      <c r="AD292" s="391"/>
      <c r="AE292" s="391"/>
      <c r="AF292" s="391"/>
      <c r="AG292" s="391"/>
      <c r="AH292" s="391"/>
      <c r="AI292" s="391"/>
      <c r="AJ292" s="391"/>
      <c r="AK292" s="391"/>
      <c r="AL292" s="391"/>
      <c r="AM292" s="391"/>
      <c r="AN292" s="391"/>
      <c r="AO292" s="391"/>
      <c r="AP292" s="391"/>
      <c r="AQ292" s="391"/>
      <c r="AR292" s="391"/>
      <c r="AS292" s="391"/>
    </row>
    <row r="293" spans="2:45" s="30" customFormat="1" x14ac:dyDescent="0.3">
      <c r="B293" s="61" t="s">
        <v>197</v>
      </c>
      <c r="C293" s="62"/>
      <c r="D293" s="28">
        <v>59</v>
      </c>
      <c r="E293" s="28">
        <v>61</v>
      </c>
      <c r="F293" s="28">
        <v>62</v>
      </c>
      <c r="G293" s="28">
        <v>61</v>
      </c>
      <c r="H293" s="28">
        <v>59</v>
      </c>
      <c r="I293" s="28">
        <v>60</v>
      </c>
      <c r="J293" s="28">
        <v>61</v>
      </c>
      <c r="K293" s="28">
        <v>60</v>
      </c>
      <c r="L293" s="28">
        <v>61</v>
      </c>
      <c r="M293" s="28">
        <v>59</v>
      </c>
      <c r="N293" s="28">
        <v>59</v>
      </c>
      <c r="O293" s="28">
        <v>62</v>
      </c>
      <c r="P293" s="28">
        <v>59</v>
      </c>
      <c r="Q293" s="28">
        <v>59</v>
      </c>
      <c r="R293" s="28">
        <v>60</v>
      </c>
      <c r="S293" s="28">
        <v>59</v>
      </c>
      <c r="T293" s="28">
        <v>55</v>
      </c>
      <c r="U293" s="28">
        <v>63</v>
      </c>
      <c r="V293" s="28">
        <v>55</v>
      </c>
      <c r="W293" s="28">
        <v>59</v>
      </c>
      <c r="Y293" s="391"/>
      <c r="Z293" s="391"/>
      <c r="AA293" s="391"/>
      <c r="AB293" s="391"/>
      <c r="AC293" s="391"/>
      <c r="AD293" s="391"/>
      <c r="AE293" s="391"/>
      <c r="AF293" s="391"/>
      <c r="AG293" s="391"/>
      <c r="AH293" s="391"/>
      <c r="AI293" s="391"/>
      <c r="AJ293" s="391"/>
      <c r="AK293" s="391"/>
      <c r="AL293" s="391"/>
      <c r="AM293" s="391"/>
      <c r="AN293" s="391"/>
      <c r="AO293" s="391"/>
      <c r="AP293" s="391"/>
      <c r="AQ293" s="391"/>
      <c r="AR293" s="391"/>
      <c r="AS293" s="391"/>
    </row>
    <row r="294" spans="2:45" x14ac:dyDescent="0.3">
      <c r="B294" s="63" t="s">
        <v>103</v>
      </c>
      <c r="C294" s="55"/>
      <c r="D294" s="43">
        <v>0</v>
      </c>
      <c r="E294" s="408">
        <v>0</v>
      </c>
      <c r="F294" s="408">
        <v>0</v>
      </c>
      <c r="G294" s="408">
        <v>0</v>
      </c>
      <c r="H294" s="408">
        <v>0</v>
      </c>
      <c r="I294" s="408">
        <v>0</v>
      </c>
      <c r="J294" s="408">
        <v>0</v>
      </c>
      <c r="K294" s="408">
        <v>0</v>
      </c>
      <c r="L294" s="408">
        <v>0</v>
      </c>
      <c r="M294" s="408">
        <v>0</v>
      </c>
      <c r="N294" s="408">
        <v>0</v>
      </c>
      <c r="O294" s="408">
        <v>0</v>
      </c>
      <c r="P294" s="408">
        <v>0</v>
      </c>
      <c r="Q294" s="408">
        <v>0</v>
      </c>
      <c r="R294" s="408">
        <v>0</v>
      </c>
      <c r="S294" s="408">
        <v>0</v>
      </c>
      <c r="T294" s="408">
        <v>0</v>
      </c>
      <c r="U294" s="408">
        <v>0</v>
      </c>
      <c r="V294" s="408">
        <v>0</v>
      </c>
      <c r="W294" s="408">
        <v>0</v>
      </c>
      <c r="Y294" s="409"/>
      <c r="Z294" s="409"/>
      <c r="AA294" s="409"/>
      <c r="AB294" s="409"/>
      <c r="AC294" s="409"/>
      <c r="AD294" s="409"/>
      <c r="AE294" s="409"/>
      <c r="AF294" s="409"/>
      <c r="AG294" s="409"/>
      <c r="AH294" s="409"/>
      <c r="AI294" s="409"/>
      <c r="AJ294" s="409"/>
      <c r="AK294" s="409"/>
      <c r="AL294" s="409"/>
      <c r="AM294" s="409"/>
      <c r="AN294" s="409"/>
      <c r="AO294" s="409"/>
      <c r="AP294" s="409"/>
      <c r="AQ294" s="409"/>
      <c r="AR294" s="409"/>
      <c r="AS294" s="409"/>
    </row>
    <row r="295" spans="2:45" s="33" customFormat="1" x14ac:dyDescent="0.3">
      <c r="B295" s="63" t="s">
        <v>198</v>
      </c>
      <c r="C295" s="64"/>
      <c r="D295" s="31">
        <f t="shared" ref="D295:W295" si="321">+D290-D$288</f>
        <v>4.30683333333333</v>
      </c>
      <c r="E295" s="32">
        <f t="shared" si="321"/>
        <v>4.1825666666666663</v>
      </c>
      <c r="F295" s="32">
        <f t="shared" si="321"/>
        <v>4.4234999999999971</v>
      </c>
      <c r="G295" s="32">
        <f t="shared" si="321"/>
        <v>4.9414999999999978</v>
      </c>
      <c r="H295" s="32">
        <f t="shared" si="321"/>
        <v>4.3511000000000024</v>
      </c>
      <c r="I295" s="32">
        <f t="shared" si="321"/>
        <v>4.8089666666666631</v>
      </c>
      <c r="J295" s="32">
        <f t="shared" si="321"/>
        <v>4.6161666666666648</v>
      </c>
      <c r="K295" s="32">
        <f t="shared" si="321"/>
        <v>4.2233666666666636</v>
      </c>
      <c r="L295" s="32">
        <f t="shared" si="321"/>
        <v>4.7246999999999986</v>
      </c>
      <c r="M295" s="32">
        <f t="shared" si="321"/>
        <v>4.416166666666669</v>
      </c>
      <c r="N295" s="32">
        <f t="shared" si="321"/>
        <v>4.2425666666666686</v>
      </c>
      <c r="O295" s="32">
        <f t="shared" si="321"/>
        <v>4.900033333333333</v>
      </c>
      <c r="P295" s="32">
        <f t="shared" si="321"/>
        <v>4.416166666666669</v>
      </c>
      <c r="Q295" s="32">
        <f t="shared" si="321"/>
        <v>4.416166666666669</v>
      </c>
      <c r="R295" s="32">
        <f t="shared" si="321"/>
        <v>4.9173666666666662</v>
      </c>
      <c r="S295" s="32">
        <f t="shared" si="321"/>
        <v>4.0257666666666694</v>
      </c>
      <c r="T295" s="32">
        <f t="shared" si="321"/>
        <v>4.5561999999999969</v>
      </c>
      <c r="U295" s="32">
        <f t="shared" si="321"/>
        <v>4.4012666666666647</v>
      </c>
      <c r="V295" s="32">
        <f t="shared" si="321"/>
        <v>4.5561999999999969</v>
      </c>
      <c r="W295" s="32">
        <f t="shared" si="321"/>
        <v>4.416166666666669</v>
      </c>
      <c r="Y295" s="392"/>
      <c r="Z295" s="392"/>
      <c r="AA295" s="392"/>
      <c r="AB295" s="392"/>
      <c r="AC295" s="392"/>
      <c r="AD295" s="392"/>
      <c r="AE295" s="392"/>
      <c r="AF295" s="392"/>
      <c r="AG295" s="392"/>
      <c r="AH295" s="392"/>
      <c r="AI295" s="392"/>
      <c r="AJ295" s="392"/>
      <c r="AK295" s="392"/>
      <c r="AL295" s="392"/>
      <c r="AM295" s="392"/>
      <c r="AN295" s="392"/>
      <c r="AO295" s="392"/>
      <c r="AP295" s="392"/>
      <c r="AQ295" s="392"/>
      <c r="AR295" s="392"/>
      <c r="AS295" s="392"/>
    </row>
    <row r="296" spans="2:45" s="33" customFormat="1" x14ac:dyDescent="0.3">
      <c r="B296" s="63" t="s">
        <v>199</v>
      </c>
      <c r="C296" s="64"/>
      <c r="D296" s="31">
        <f t="shared" ref="D296:W296" si="322">+D291-D$288</f>
        <v>5.30683333333333</v>
      </c>
      <c r="E296" s="32">
        <f t="shared" si="322"/>
        <v>5.1825666666666663</v>
      </c>
      <c r="F296" s="32">
        <f t="shared" si="322"/>
        <v>5.4234999999999971</v>
      </c>
      <c r="G296" s="32">
        <f t="shared" si="322"/>
        <v>5.9414999999999978</v>
      </c>
      <c r="H296" s="32">
        <f t="shared" si="322"/>
        <v>5.3511000000000024</v>
      </c>
      <c r="I296" s="32">
        <f t="shared" si="322"/>
        <v>5.8089666666666631</v>
      </c>
      <c r="J296" s="32">
        <f t="shared" si="322"/>
        <v>5.6161666666666648</v>
      </c>
      <c r="K296" s="32">
        <f t="shared" si="322"/>
        <v>5.2233666666666636</v>
      </c>
      <c r="L296" s="32">
        <f t="shared" si="322"/>
        <v>5.7246999999999986</v>
      </c>
      <c r="M296" s="32">
        <f t="shared" si="322"/>
        <v>5.416166666666669</v>
      </c>
      <c r="N296" s="32">
        <f t="shared" si="322"/>
        <v>5.2425666666666686</v>
      </c>
      <c r="O296" s="32">
        <f t="shared" si="322"/>
        <v>5.900033333333333</v>
      </c>
      <c r="P296" s="32">
        <f t="shared" si="322"/>
        <v>5.416166666666669</v>
      </c>
      <c r="Q296" s="32">
        <f t="shared" si="322"/>
        <v>5.416166666666669</v>
      </c>
      <c r="R296" s="32">
        <f t="shared" si="322"/>
        <v>5.9173666666666662</v>
      </c>
      <c r="S296" s="32">
        <f t="shared" si="322"/>
        <v>5.0257666666666694</v>
      </c>
      <c r="T296" s="32">
        <f t="shared" si="322"/>
        <v>5.5561999999999969</v>
      </c>
      <c r="U296" s="32">
        <f t="shared" si="322"/>
        <v>5.4012666666666647</v>
      </c>
      <c r="V296" s="32">
        <f t="shared" si="322"/>
        <v>5.5561999999999969</v>
      </c>
      <c r="W296" s="32">
        <f t="shared" si="322"/>
        <v>5.416166666666669</v>
      </c>
      <c r="Y296" s="392"/>
      <c r="Z296" s="392"/>
      <c r="AA296" s="392"/>
      <c r="AB296" s="392"/>
      <c r="AC296" s="392"/>
      <c r="AD296" s="392"/>
      <c r="AE296" s="392"/>
      <c r="AF296" s="392"/>
      <c r="AG296" s="392"/>
      <c r="AH296" s="392"/>
      <c r="AI296" s="392"/>
      <c r="AJ296" s="392"/>
      <c r="AK296" s="392"/>
      <c r="AL296" s="392"/>
      <c r="AM296" s="392"/>
      <c r="AN296" s="392"/>
      <c r="AO296" s="392"/>
      <c r="AP296" s="392"/>
      <c r="AQ296" s="392"/>
      <c r="AR296" s="392"/>
      <c r="AS296" s="392"/>
    </row>
    <row r="297" spans="2:45" s="33" customFormat="1" x14ac:dyDescent="0.3">
      <c r="B297" s="63" t="s">
        <v>200</v>
      </c>
      <c r="C297" s="64"/>
      <c r="D297" s="31">
        <f t="shared" ref="D297:W297" si="323">+D292-D$288</f>
        <v>6.30683333333333</v>
      </c>
      <c r="E297" s="32">
        <f t="shared" si="323"/>
        <v>6.1825666666666663</v>
      </c>
      <c r="F297" s="32">
        <f t="shared" si="323"/>
        <v>6.4234999999999971</v>
      </c>
      <c r="G297" s="32">
        <f t="shared" si="323"/>
        <v>6.9414999999999978</v>
      </c>
      <c r="H297" s="32">
        <f t="shared" si="323"/>
        <v>6.3511000000000024</v>
      </c>
      <c r="I297" s="32">
        <f t="shared" si="323"/>
        <v>6.8089666666666631</v>
      </c>
      <c r="J297" s="32">
        <f t="shared" si="323"/>
        <v>6.6161666666666648</v>
      </c>
      <c r="K297" s="32">
        <f t="shared" si="323"/>
        <v>6.2233666666666636</v>
      </c>
      <c r="L297" s="32">
        <f t="shared" si="323"/>
        <v>6.7246999999999986</v>
      </c>
      <c r="M297" s="32">
        <f t="shared" si="323"/>
        <v>6.416166666666669</v>
      </c>
      <c r="N297" s="32">
        <f t="shared" si="323"/>
        <v>6.2425666666666686</v>
      </c>
      <c r="O297" s="32">
        <f t="shared" si="323"/>
        <v>6.900033333333333</v>
      </c>
      <c r="P297" s="32">
        <f t="shared" si="323"/>
        <v>6.416166666666669</v>
      </c>
      <c r="Q297" s="32">
        <f t="shared" si="323"/>
        <v>6.416166666666669</v>
      </c>
      <c r="R297" s="32">
        <f t="shared" si="323"/>
        <v>6.9173666666666662</v>
      </c>
      <c r="S297" s="32">
        <f t="shared" si="323"/>
        <v>6.0257666666666694</v>
      </c>
      <c r="T297" s="32">
        <f t="shared" si="323"/>
        <v>6.5561999999999969</v>
      </c>
      <c r="U297" s="32">
        <f t="shared" si="323"/>
        <v>6.4012666666666647</v>
      </c>
      <c r="V297" s="32">
        <f t="shared" si="323"/>
        <v>6.5561999999999969</v>
      </c>
      <c r="W297" s="32">
        <f t="shared" si="323"/>
        <v>6.416166666666669</v>
      </c>
      <c r="Y297" s="392"/>
      <c r="Z297" s="392"/>
      <c r="AA297" s="392"/>
      <c r="AB297" s="392"/>
      <c r="AC297" s="392"/>
      <c r="AD297" s="392"/>
      <c r="AE297" s="392"/>
      <c r="AF297" s="392"/>
      <c r="AG297" s="392"/>
      <c r="AH297" s="392"/>
      <c r="AI297" s="392"/>
      <c r="AJ297" s="392"/>
      <c r="AK297" s="392"/>
      <c r="AL297" s="392"/>
      <c r="AM297" s="392"/>
      <c r="AN297" s="392"/>
      <c r="AO297" s="392"/>
      <c r="AP297" s="392"/>
      <c r="AQ297" s="392"/>
      <c r="AR297" s="392"/>
      <c r="AS297" s="392"/>
    </row>
    <row r="298" spans="2:45" s="33" customFormat="1" x14ac:dyDescent="0.3">
      <c r="B298" s="63" t="s">
        <v>201</v>
      </c>
      <c r="C298" s="64"/>
      <c r="D298" s="31">
        <f t="shared" ref="D298:W298" si="324">+D293-D$288</f>
        <v>7.30683333333333</v>
      </c>
      <c r="E298" s="34">
        <f t="shared" si="324"/>
        <v>7.1825666666666663</v>
      </c>
      <c r="F298" s="34">
        <f t="shared" si="324"/>
        <v>7.4234999999999971</v>
      </c>
      <c r="G298" s="34">
        <f t="shared" si="324"/>
        <v>7.9414999999999978</v>
      </c>
      <c r="H298" s="34">
        <f t="shared" si="324"/>
        <v>7.3511000000000024</v>
      </c>
      <c r="I298" s="34">
        <f t="shared" si="324"/>
        <v>7.8089666666666631</v>
      </c>
      <c r="J298" s="34">
        <f t="shared" si="324"/>
        <v>7.6161666666666648</v>
      </c>
      <c r="K298" s="34">
        <f t="shared" si="324"/>
        <v>7.2233666666666636</v>
      </c>
      <c r="L298" s="34">
        <f t="shared" si="324"/>
        <v>7.7246999999999986</v>
      </c>
      <c r="M298" s="34">
        <f t="shared" si="324"/>
        <v>7.416166666666669</v>
      </c>
      <c r="N298" s="34">
        <f t="shared" si="324"/>
        <v>7.2425666666666686</v>
      </c>
      <c r="O298" s="34">
        <f t="shared" si="324"/>
        <v>7.900033333333333</v>
      </c>
      <c r="P298" s="34">
        <f t="shared" si="324"/>
        <v>7.416166666666669</v>
      </c>
      <c r="Q298" s="34">
        <f t="shared" si="324"/>
        <v>7.416166666666669</v>
      </c>
      <c r="R298" s="34">
        <f t="shared" si="324"/>
        <v>7.9173666666666662</v>
      </c>
      <c r="S298" s="34">
        <f t="shared" si="324"/>
        <v>7.0257666666666694</v>
      </c>
      <c r="T298" s="34">
        <f t="shared" si="324"/>
        <v>7.5561999999999969</v>
      </c>
      <c r="U298" s="34">
        <f t="shared" si="324"/>
        <v>7.4012666666666647</v>
      </c>
      <c r="V298" s="34">
        <f t="shared" si="324"/>
        <v>7.5561999999999969</v>
      </c>
      <c r="W298" s="34">
        <f t="shared" si="324"/>
        <v>7.416166666666669</v>
      </c>
      <c r="Y298" s="392"/>
      <c r="Z298" s="392"/>
      <c r="AA298" s="392"/>
      <c r="AB298" s="392"/>
      <c r="AC298" s="392"/>
      <c r="AD298" s="392"/>
      <c r="AE298" s="392"/>
      <c r="AF298" s="392"/>
      <c r="AG298" s="392"/>
      <c r="AH298" s="392"/>
      <c r="AI298" s="392"/>
      <c r="AJ298" s="392"/>
      <c r="AK298" s="392"/>
      <c r="AL298" s="392"/>
      <c r="AM298" s="392"/>
      <c r="AN298" s="392"/>
      <c r="AO298" s="392"/>
      <c r="AP298" s="392"/>
      <c r="AQ298" s="392"/>
      <c r="AR298" s="392"/>
      <c r="AS298" s="392"/>
    </row>
    <row r="299" spans="2:45" x14ac:dyDescent="0.3">
      <c r="B299" s="65" t="s">
        <v>108</v>
      </c>
      <c r="C299" s="55"/>
      <c r="D299" s="43">
        <v>0</v>
      </c>
      <c r="E299" s="408">
        <v>0</v>
      </c>
      <c r="F299" s="408">
        <v>0</v>
      </c>
      <c r="G299" s="408">
        <v>0</v>
      </c>
      <c r="H299" s="408">
        <v>0</v>
      </c>
      <c r="I299" s="408">
        <v>0</v>
      </c>
      <c r="J299" s="408">
        <v>0</v>
      </c>
      <c r="K299" s="408">
        <v>0</v>
      </c>
      <c r="L299" s="408">
        <v>0</v>
      </c>
      <c r="M299" s="408">
        <v>0</v>
      </c>
      <c r="N299" s="408">
        <v>0</v>
      </c>
      <c r="O299" s="408">
        <v>0</v>
      </c>
      <c r="P299" s="408">
        <v>0</v>
      </c>
      <c r="Q299" s="408">
        <v>0</v>
      </c>
      <c r="R299" s="408">
        <v>0</v>
      </c>
      <c r="S299" s="408">
        <v>0</v>
      </c>
      <c r="T299" s="408">
        <v>0</v>
      </c>
      <c r="U299" s="408">
        <v>0</v>
      </c>
      <c r="V299" s="408">
        <v>0</v>
      </c>
      <c r="W299" s="408">
        <v>0</v>
      </c>
      <c r="Y299" s="409"/>
      <c r="Z299" s="409"/>
      <c r="AA299" s="409"/>
      <c r="AB299" s="409"/>
      <c r="AC299" s="409"/>
      <c r="AD299" s="409"/>
      <c r="AE299" s="409"/>
      <c r="AF299" s="409"/>
      <c r="AG299" s="409"/>
      <c r="AH299" s="409"/>
      <c r="AI299" s="409"/>
      <c r="AJ299" s="409"/>
      <c r="AK299" s="409"/>
      <c r="AL299" s="409"/>
      <c r="AM299" s="409"/>
      <c r="AN299" s="409"/>
      <c r="AO299" s="409"/>
      <c r="AP299" s="409"/>
      <c r="AQ299" s="409"/>
      <c r="AR299" s="409"/>
      <c r="AS299" s="409"/>
    </row>
    <row r="300" spans="2:45" s="36" customFormat="1" x14ac:dyDescent="0.3">
      <c r="B300" s="65" t="s">
        <v>202</v>
      </c>
      <c r="C300" s="66"/>
      <c r="D300" s="35">
        <f>+D295/D$290</f>
        <v>7.6907738095238029E-2</v>
      </c>
      <c r="E300" s="35">
        <f t="shared" ref="E300:W300" si="325">+E295/E$290</f>
        <v>7.211321839080459E-2</v>
      </c>
      <c r="F300" s="35">
        <f t="shared" si="325"/>
        <v>7.4974576271186394E-2</v>
      </c>
      <c r="G300" s="35">
        <f t="shared" si="325"/>
        <v>8.5198275862068934E-2</v>
      </c>
      <c r="H300" s="35">
        <f t="shared" si="325"/>
        <v>7.7698214285714329E-2</v>
      </c>
      <c r="I300" s="35">
        <f t="shared" si="325"/>
        <v>8.4367836257309883E-2</v>
      </c>
      <c r="J300" s="35">
        <f t="shared" si="325"/>
        <v>7.9589080459770076E-2</v>
      </c>
      <c r="K300" s="35">
        <f t="shared" si="325"/>
        <v>7.4094152046783573E-2</v>
      </c>
      <c r="L300" s="35">
        <f t="shared" si="325"/>
        <v>8.1460344827586184E-2</v>
      </c>
      <c r="M300" s="35">
        <f t="shared" si="325"/>
        <v>7.8860119047619096E-2</v>
      </c>
      <c r="N300" s="35">
        <f t="shared" si="325"/>
        <v>7.5760119047619076E-2</v>
      </c>
      <c r="O300" s="35">
        <f t="shared" si="325"/>
        <v>8.3051412429378524E-2</v>
      </c>
      <c r="P300" s="35">
        <f t="shared" si="325"/>
        <v>7.8860119047619096E-2</v>
      </c>
      <c r="Q300" s="35">
        <f t="shared" si="325"/>
        <v>7.8860119047619096E-2</v>
      </c>
      <c r="R300" s="35">
        <f t="shared" si="325"/>
        <v>8.6269590643274843E-2</v>
      </c>
      <c r="S300" s="35">
        <f t="shared" si="325"/>
        <v>7.1888690476190523E-2</v>
      </c>
      <c r="T300" s="35">
        <f t="shared" si="325"/>
        <v>8.7619230769230713E-2</v>
      </c>
      <c r="U300" s="35">
        <f t="shared" si="325"/>
        <v>7.3354444444444417E-2</v>
      </c>
      <c r="V300" s="35">
        <f t="shared" si="325"/>
        <v>8.7619230769230713E-2</v>
      </c>
      <c r="W300" s="35">
        <f t="shared" si="325"/>
        <v>7.8860119047619096E-2</v>
      </c>
      <c r="Y300" s="393"/>
      <c r="Z300" s="393"/>
      <c r="AA300" s="393"/>
      <c r="AB300" s="393"/>
      <c r="AC300" s="393"/>
      <c r="AD300" s="393"/>
      <c r="AE300" s="393"/>
      <c r="AF300" s="393"/>
      <c r="AG300" s="393"/>
      <c r="AH300" s="393"/>
      <c r="AI300" s="393"/>
      <c r="AJ300" s="393"/>
      <c r="AK300" s="393"/>
      <c r="AL300" s="393"/>
      <c r="AM300" s="393"/>
      <c r="AN300" s="393"/>
      <c r="AO300" s="393"/>
      <c r="AP300" s="393"/>
      <c r="AQ300" s="393"/>
      <c r="AR300" s="393"/>
      <c r="AS300" s="393"/>
    </row>
    <row r="301" spans="2:45" s="36" customFormat="1" x14ac:dyDescent="0.3">
      <c r="B301" s="65" t="s">
        <v>203</v>
      </c>
      <c r="C301" s="66"/>
      <c r="D301" s="35">
        <f>+D296/D$291</f>
        <v>9.3102339181286492E-2</v>
      </c>
      <c r="E301" s="35">
        <f t="shared" ref="E301:W301" si="326">+E296/E$291</f>
        <v>8.7840112994350281E-2</v>
      </c>
      <c r="F301" s="35">
        <f t="shared" si="326"/>
        <v>9.039166666666662E-2</v>
      </c>
      <c r="G301" s="35">
        <f t="shared" si="326"/>
        <v>0.10070338983050843</v>
      </c>
      <c r="H301" s="35">
        <f>+H296/H$291</f>
        <v>9.387894736842109E-2</v>
      </c>
      <c r="I301" s="35">
        <f t="shared" si="326"/>
        <v>0.10015459770114936</v>
      </c>
      <c r="J301" s="35">
        <f t="shared" si="326"/>
        <v>9.5189265536723133E-2</v>
      </c>
      <c r="K301" s="35">
        <f t="shared" si="326"/>
        <v>9.0058045977011447E-2</v>
      </c>
      <c r="L301" s="35">
        <f t="shared" si="326"/>
        <v>9.7028813559322011E-2</v>
      </c>
      <c r="M301" s="35">
        <f t="shared" si="326"/>
        <v>9.5020467836257352E-2</v>
      </c>
      <c r="N301" s="35">
        <f t="shared" si="326"/>
        <v>9.1974853801169626E-2</v>
      </c>
      <c r="O301" s="35">
        <f t="shared" si="326"/>
        <v>9.8333888888888887E-2</v>
      </c>
      <c r="P301" s="35">
        <f t="shared" si="326"/>
        <v>9.5020467836257352E-2</v>
      </c>
      <c r="Q301" s="35">
        <f t="shared" si="326"/>
        <v>9.5020467836257352E-2</v>
      </c>
      <c r="R301" s="35">
        <f t="shared" si="326"/>
        <v>0.1020235632183908</v>
      </c>
      <c r="S301" s="35">
        <f t="shared" si="326"/>
        <v>8.8171345029239817E-2</v>
      </c>
      <c r="T301" s="35">
        <f t="shared" si="326"/>
        <v>0.10483396226415088</v>
      </c>
      <c r="U301" s="35">
        <f t="shared" si="326"/>
        <v>8.8545355191256794E-2</v>
      </c>
      <c r="V301" s="35">
        <f t="shared" si="326"/>
        <v>0.10483396226415088</v>
      </c>
      <c r="W301" s="35">
        <f t="shared" si="326"/>
        <v>9.5020467836257352E-2</v>
      </c>
      <c r="Y301" s="393"/>
      <c r="Z301" s="393"/>
      <c r="AA301" s="393"/>
      <c r="AB301" s="393"/>
      <c r="AC301" s="393"/>
      <c r="AD301" s="393"/>
      <c r="AE301" s="393"/>
      <c r="AF301" s="393"/>
      <c r="AG301" s="393"/>
      <c r="AH301" s="393"/>
      <c r="AI301" s="393"/>
      <c r="AJ301" s="393"/>
      <c r="AK301" s="393"/>
      <c r="AL301" s="393"/>
      <c r="AM301" s="393"/>
      <c r="AN301" s="393"/>
      <c r="AO301" s="393"/>
      <c r="AP301" s="393"/>
      <c r="AQ301" s="393"/>
      <c r="AR301" s="393"/>
      <c r="AS301" s="393"/>
    </row>
    <row r="302" spans="2:45" s="36" customFormat="1" x14ac:dyDescent="0.3">
      <c r="B302" s="65" t="s">
        <v>204</v>
      </c>
      <c r="C302" s="66"/>
      <c r="D302" s="35">
        <f>+D297/D$292</f>
        <v>0.10873850574712637</v>
      </c>
      <c r="E302" s="35">
        <f t="shared" ref="E302:W302" si="327">+E297/E$292</f>
        <v>0.10304277777777777</v>
      </c>
      <c r="F302" s="35">
        <f t="shared" si="327"/>
        <v>0.10530327868852454</v>
      </c>
      <c r="G302" s="35">
        <f t="shared" si="327"/>
        <v>0.11569166666666662</v>
      </c>
      <c r="H302" s="35">
        <f t="shared" si="327"/>
        <v>0.10950172413793108</v>
      </c>
      <c r="I302" s="35">
        <f t="shared" si="327"/>
        <v>0.11540621468926547</v>
      </c>
      <c r="J302" s="35">
        <f t="shared" si="327"/>
        <v>0.11026944444444441</v>
      </c>
      <c r="K302" s="35">
        <f t="shared" si="327"/>
        <v>0.10548079096045193</v>
      </c>
      <c r="L302" s="35">
        <f t="shared" si="327"/>
        <v>0.11207833333333331</v>
      </c>
      <c r="M302" s="35">
        <f t="shared" si="327"/>
        <v>0.11062356321839084</v>
      </c>
      <c r="N302" s="35">
        <f t="shared" si="327"/>
        <v>0.10763045977011497</v>
      </c>
      <c r="O302" s="35">
        <f t="shared" si="327"/>
        <v>0.11311530054644808</v>
      </c>
      <c r="P302" s="35">
        <f t="shared" si="327"/>
        <v>0.11062356321839084</v>
      </c>
      <c r="Q302" s="35">
        <f t="shared" si="327"/>
        <v>0.11062356321839084</v>
      </c>
      <c r="R302" s="35">
        <f t="shared" si="327"/>
        <v>0.11724350282485875</v>
      </c>
      <c r="S302" s="35">
        <f t="shared" si="327"/>
        <v>0.10389252873563223</v>
      </c>
      <c r="T302" s="35">
        <f t="shared" si="327"/>
        <v>0.12141111111111105</v>
      </c>
      <c r="U302" s="35">
        <f t="shared" si="327"/>
        <v>0.10324623655913975</v>
      </c>
      <c r="V302" s="35">
        <f t="shared" si="327"/>
        <v>0.12141111111111105</v>
      </c>
      <c r="W302" s="35">
        <f t="shared" si="327"/>
        <v>0.11062356321839084</v>
      </c>
      <c r="Y302" s="393"/>
      <c r="Z302" s="393"/>
      <c r="AA302" s="393"/>
      <c r="AB302" s="393"/>
      <c r="AC302" s="393"/>
      <c r="AD302" s="393"/>
      <c r="AE302" s="393"/>
      <c r="AF302" s="393"/>
      <c r="AG302" s="393"/>
      <c r="AH302" s="393"/>
      <c r="AI302" s="393"/>
      <c r="AJ302" s="393"/>
      <c r="AK302" s="393"/>
      <c r="AL302" s="393"/>
      <c r="AM302" s="393"/>
      <c r="AN302" s="393"/>
      <c r="AO302" s="393"/>
      <c r="AP302" s="393"/>
      <c r="AQ302" s="393"/>
      <c r="AR302" s="393"/>
      <c r="AS302" s="393"/>
    </row>
    <row r="303" spans="2:45" s="36" customFormat="1" x14ac:dyDescent="0.3">
      <c r="B303" s="65" t="s">
        <v>205</v>
      </c>
      <c r="C303" s="66"/>
      <c r="D303" s="35">
        <f>+D298/D$293</f>
        <v>0.12384463276836152</v>
      </c>
      <c r="E303" s="35">
        <f t="shared" ref="E303:W303" si="328">+E298/E$293</f>
        <v>0.11774699453551912</v>
      </c>
      <c r="F303" s="35">
        <f t="shared" si="328"/>
        <v>0.11973387096774189</v>
      </c>
      <c r="G303" s="35">
        <f t="shared" si="328"/>
        <v>0.13018852459016389</v>
      </c>
      <c r="H303" s="35">
        <f t="shared" si="328"/>
        <v>0.12459491525423733</v>
      </c>
      <c r="I303" s="35">
        <f t="shared" si="328"/>
        <v>0.13014944444444437</v>
      </c>
      <c r="J303" s="35">
        <f t="shared" si="328"/>
        <v>0.12485519125683057</v>
      </c>
      <c r="K303" s="35">
        <f t="shared" si="328"/>
        <v>0.1203894444444444</v>
      </c>
      <c r="L303" s="35">
        <f t="shared" si="328"/>
        <v>0.12663442622950818</v>
      </c>
      <c r="M303" s="35">
        <f t="shared" si="328"/>
        <v>0.12569774011299439</v>
      </c>
      <c r="N303" s="35">
        <f t="shared" si="328"/>
        <v>0.12275536723163845</v>
      </c>
      <c r="O303" s="35">
        <f t="shared" si="328"/>
        <v>0.12741989247311827</v>
      </c>
      <c r="P303" s="35">
        <f t="shared" si="328"/>
        <v>0.12569774011299439</v>
      </c>
      <c r="Q303" s="35">
        <f t="shared" si="328"/>
        <v>0.12569774011299439</v>
      </c>
      <c r="R303" s="35">
        <f t="shared" si="328"/>
        <v>0.13195611111111111</v>
      </c>
      <c r="S303" s="35">
        <f t="shared" si="328"/>
        <v>0.11908079096045203</v>
      </c>
      <c r="T303" s="35">
        <f t="shared" si="328"/>
        <v>0.13738545454545448</v>
      </c>
      <c r="U303" s="35">
        <f t="shared" si="328"/>
        <v>0.11748042328042325</v>
      </c>
      <c r="V303" s="35">
        <f t="shared" si="328"/>
        <v>0.13738545454545448</v>
      </c>
      <c r="W303" s="35">
        <f t="shared" si="328"/>
        <v>0.12569774011299439</v>
      </c>
      <c r="Y303" s="393"/>
      <c r="Z303" s="393"/>
      <c r="AA303" s="393"/>
      <c r="AB303" s="393"/>
      <c r="AC303" s="393"/>
      <c r="AD303" s="393"/>
      <c r="AE303" s="393"/>
      <c r="AF303" s="393"/>
      <c r="AG303" s="393"/>
      <c r="AH303" s="393"/>
      <c r="AI303" s="393"/>
      <c r="AJ303" s="393"/>
      <c r="AK303" s="393"/>
      <c r="AL303" s="393"/>
      <c r="AM303" s="393"/>
      <c r="AN303" s="393"/>
      <c r="AO303" s="393"/>
      <c r="AP303" s="393"/>
      <c r="AQ303" s="393"/>
      <c r="AR303" s="393"/>
      <c r="AS303" s="393"/>
    </row>
    <row r="304" spans="2:45" x14ac:dyDescent="0.3">
      <c r="B304" s="73"/>
      <c r="D304" s="37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Y304" s="390"/>
      <c r="Z304" s="390"/>
      <c r="AA304" s="390"/>
      <c r="AB304" s="390"/>
      <c r="AC304" s="390"/>
      <c r="AD304" s="390"/>
      <c r="AE304" s="390"/>
      <c r="AF304" s="390"/>
      <c r="AG304" s="390"/>
      <c r="AH304" s="390"/>
      <c r="AI304" s="390"/>
      <c r="AJ304" s="390"/>
      <c r="AK304" s="390"/>
      <c r="AL304" s="390"/>
      <c r="AM304" s="390"/>
      <c r="AN304" s="390"/>
      <c r="AO304" s="390"/>
      <c r="AP304" s="390"/>
      <c r="AQ304" s="390"/>
      <c r="AR304" s="390"/>
      <c r="AS304" s="390"/>
    </row>
    <row r="305" spans="1:45" ht="21" thickBot="1" x14ac:dyDescent="0.35">
      <c r="B305" s="73"/>
      <c r="Y305" s="390"/>
      <c r="Z305" s="390"/>
      <c r="AA305" s="390"/>
      <c r="AB305" s="390"/>
      <c r="AC305" s="390"/>
      <c r="AD305" s="390"/>
      <c r="AE305" s="390"/>
      <c r="AF305" s="390"/>
      <c r="AG305" s="390"/>
      <c r="AH305" s="390"/>
      <c r="AI305" s="390"/>
      <c r="AJ305" s="390"/>
      <c r="AK305" s="390"/>
      <c r="AL305" s="390"/>
      <c r="AM305" s="390"/>
      <c r="AN305" s="390"/>
      <c r="AO305" s="390"/>
      <c r="AP305" s="390"/>
      <c r="AQ305" s="390"/>
      <c r="AR305" s="390"/>
      <c r="AS305" s="390"/>
    </row>
    <row r="306" spans="1:45" ht="21" thickBot="1" x14ac:dyDescent="0.35">
      <c r="A306" s="22" t="s">
        <v>321</v>
      </c>
      <c r="B306" s="74" t="s">
        <v>97</v>
      </c>
      <c r="C306" s="68"/>
      <c r="D306" s="17" t="s">
        <v>5</v>
      </c>
      <c r="E306" s="18" t="s">
        <v>6</v>
      </c>
      <c r="F306" s="18" t="s">
        <v>7</v>
      </c>
      <c r="G306" s="18" t="s">
        <v>8</v>
      </c>
      <c r="H306" s="18" t="s">
        <v>9</v>
      </c>
      <c r="I306" s="18" t="s">
        <v>10</v>
      </c>
      <c r="J306" s="18" t="s">
        <v>11</v>
      </c>
      <c r="K306" s="18" t="s">
        <v>12</v>
      </c>
      <c r="L306" s="18" t="s">
        <v>13</v>
      </c>
      <c r="M306" s="18" t="s">
        <v>14</v>
      </c>
      <c r="N306" s="18" t="s">
        <v>15</v>
      </c>
      <c r="O306" s="18" t="s">
        <v>16</v>
      </c>
      <c r="P306" s="18" t="s">
        <v>17</v>
      </c>
      <c r="Q306" s="18" t="s">
        <v>18</v>
      </c>
      <c r="R306" s="18" t="s">
        <v>19</v>
      </c>
      <c r="S306" s="18" t="s">
        <v>20</v>
      </c>
      <c r="T306" s="18" t="s">
        <v>21</v>
      </c>
      <c r="U306" s="18" t="s">
        <v>22</v>
      </c>
      <c r="V306" s="18" t="s">
        <v>23</v>
      </c>
      <c r="W306" s="18" t="s">
        <v>166</v>
      </c>
      <c r="Y306" s="390"/>
      <c r="Z306" s="390"/>
      <c r="AA306" s="390"/>
      <c r="AB306" s="390"/>
      <c r="AC306" s="390"/>
      <c r="AD306" s="390"/>
      <c r="AE306" s="390"/>
      <c r="AF306" s="390"/>
      <c r="AG306" s="390"/>
      <c r="AH306" s="390"/>
      <c r="AI306" s="390"/>
      <c r="AJ306" s="390"/>
      <c r="AK306" s="390"/>
      <c r="AL306" s="390"/>
      <c r="AM306" s="390"/>
      <c r="AN306" s="390"/>
      <c r="AO306" s="390"/>
      <c r="AP306" s="390"/>
      <c r="AQ306" s="390"/>
      <c r="AR306" s="390"/>
      <c r="AS306" s="390"/>
    </row>
    <row r="307" spans="1:45" x14ac:dyDescent="0.3">
      <c r="B307" s="54" t="s">
        <v>50</v>
      </c>
      <c r="C307" s="55"/>
      <c r="D307" s="20">
        <v>75</v>
      </c>
      <c r="E307" s="20">
        <v>75</v>
      </c>
      <c r="F307" s="20">
        <v>75</v>
      </c>
      <c r="G307" s="20">
        <v>75</v>
      </c>
      <c r="H307" s="20">
        <v>75</v>
      </c>
      <c r="I307" s="20">
        <v>75</v>
      </c>
      <c r="J307" s="20">
        <v>75</v>
      </c>
      <c r="K307" s="20">
        <v>75</v>
      </c>
      <c r="L307" s="20">
        <v>75</v>
      </c>
      <c r="M307" s="20">
        <v>75</v>
      </c>
      <c r="N307" s="20">
        <v>75</v>
      </c>
      <c r="O307" s="20">
        <v>75</v>
      </c>
      <c r="P307" s="20">
        <v>75</v>
      </c>
      <c r="Q307" s="20">
        <v>75</v>
      </c>
      <c r="R307" s="20">
        <v>75</v>
      </c>
      <c r="S307" s="20">
        <v>75</v>
      </c>
      <c r="T307" s="20"/>
      <c r="U307" s="20"/>
      <c r="V307" s="20"/>
      <c r="W307" s="20">
        <v>75</v>
      </c>
      <c r="Y307" s="390"/>
      <c r="Z307" s="390"/>
      <c r="AA307" s="390"/>
      <c r="AB307" s="390"/>
      <c r="AC307" s="390"/>
      <c r="AD307" s="390"/>
      <c r="AE307" s="390"/>
      <c r="AF307" s="390"/>
      <c r="AG307" s="390"/>
      <c r="AH307" s="390"/>
      <c r="AI307" s="390"/>
      <c r="AJ307" s="390"/>
      <c r="AK307" s="390"/>
      <c r="AL307" s="390"/>
      <c r="AM307" s="390"/>
      <c r="AN307" s="390"/>
      <c r="AO307" s="390"/>
      <c r="AP307" s="390"/>
      <c r="AQ307" s="390"/>
      <c r="AR307" s="390"/>
      <c r="AS307" s="390"/>
    </row>
    <row r="308" spans="1:45" x14ac:dyDescent="0.3">
      <c r="B308" s="54" t="s">
        <v>51</v>
      </c>
      <c r="C308" s="55"/>
      <c r="D308" s="322">
        <v>0.15</v>
      </c>
      <c r="E308" s="322">
        <f>D308</f>
        <v>0.15</v>
      </c>
      <c r="F308" s="322">
        <f t="shared" ref="F308:S308" si="329">E308</f>
        <v>0.15</v>
      </c>
      <c r="G308" s="322">
        <f t="shared" si="329"/>
        <v>0.15</v>
      </c>
      <c r="H308" s="322">
        <f t="shared" si="329"/>
        <v>0.15</v>
      </c>
      <c r="I308" s="322">
        <f t="shared" si="329"/>
        <v>0.15</v>
      </c>
      <c r="J308" s="322">
        <f t="shared" si="329"/>
        <v>0.15</v>
      </c>
      <c r="K308" s="322">
        <f t="shared" si="329"/>
        <v>0.15</v>
      </c>
      <c r="L308" s="322">
        <f t="shared" si="329"/>
        <v>0.15</v>
      </c>
      <c r="M308" s="322">
        <f t="shared" si="329"/>
        <v>0.15</v>
      </c>
      <c r="N308" s="322">
        <f t="shared" si="329"/>
        <v>0.15</v>
      </c>
      <c r="O308" s="322">
        <f t="shared" si="329"/>
        <v>0.15</v>
      </c>
      <c r="P308" s="322">
        <f t="shared" si="329"/>
        <v>0.15</v>
      </c>
      <c r="Q308" s="322">
        <f t="shared" si="329"/>
        <v>0.15</v>
      </c>
      <c r="R308" s="322">
        <f t="shared" si="329"/>
        <v>0.15</v>
      </c>
      <c r="S308" s="322">
        <f t="shared" si="329"/>
        <v>0.15</v>
      </c>
      <c r="T308" s="218"/>
      <c r="U308" s="218"/>
      <c r="V308" s="218"/>
      <c r="W308" s="322">
        <f>D308</f>
        <v>0.15</v>
      </c>
      <c r="Y308" s="390"/>
      <c r="Z308" s="390"/>
      <c r="AA308" s="390"/>
      <c r="AB308" s="390"/>
      <c r="AC308" s="390"/>
      <c r="AD308" s="390"/>
      <c r="AE308" s="390"/>
      <c r="AF308" s="390"/>
      <c r="AG308" s="390"/>
      <c r="AH308" s="390"/>
      <c r="AI308" s="390"/>
      <c r="AJ308" s="390"/>
      <c r="AK308" s="390"/>
      <c r="AL308" s="390"/>
      <c r="AM308" s="390"/>
      <c r="AN308" s="390"/>
      <c r="AO308" s="390"/>
      <c r="AP308" s="390"/>
      <c r="AQ308" s="390"/>
      <c r="AR308" s="390"/>
      <c r="AS308" s="390"/>
    </row>
    <row r="309" spans="1:45" x14ac:dyDescent="0.3">
      <c r="B309" s="54" t="s">
        <v>60</v>
      </c>
      <c r="C309" s="55"/>
      <c r="D309" s="21">
        <v>0</v>
      </c>
      <c r="E309" s="21">
        <v>0</v>
      </c>
      <c r="F309" s="21">
        <v>0</v>
      </c>
      <c r="G309" s="21">
        <v>0</v>
      </c>
      <c r="H309" s="21">
        <v>0</v>
      </c>
      <c r="I309" s="21">
        <v>0</v>
      </c>
      <c r="J309" s="21">
        <v>0</v>
      </c>
      <c r="K309" s="21">
        <v>0</v>
      </c>
      <c r="L309" s="21">
        <v>0</v>
      </c>
      <c r="M309" s="21">
        <v>0</v>
      </c>
      <c r="N309" s="21">
        <v>0</v>
      </c>
      <c r="O309" s="21">
        <v>0</v>
      </c>
      <c r="P309" s="21">
        <v>0</v>
      </c>
      <c r="Q309" s="21">
        <v>0</v>
      </c>
      <c r="R309" s="21">
        <v>0</v>
      </c>
      <c r="S309" s="21">
        <v>0</v>
      </c>
      <c r="T309" s="21"/>
      <c r="U309" s="21"/>
      <c r="V309" s="21"/>
      <c r="W309" s="21">
        <v>0</v>
      </c>
      <c r="Y309" s="390"/>
      <c r="Z309" s="390"/>
      <c r="AA309" s="390"/>
      <c r="AB309" s="390"/>
      <c r="AC309" s="390"/>
      <c r="AD309" s="390"/>
      <c r="AE309" s="390"/>
      <c r="AF309" s="390"/>
      <c r="AG309" s="390"/>
      <c r="AH309" s="390"/>
      <c r="AI309" s="390"/>
      <c r="AJ309" s="390"/>
      <c r="AK309" s="390"/>
      <c r="AL309" s="390"/>
      <c r="AM309" s="390"/>
      <c r="AN309" s="390"/>
      <c r="AO309" s="390"/>
      <c r="AP309" s="390"/>
      <c r="AQ309" s="390"/>
      <c r="AR309" s="390"/>
      <c r="AS309" s="390"/>
    </row>
    <row r="310" spans="1:45" x14ac:dyDescent="0.3">
      <c r="B310" s="177" t="s">
        <v>67</v>
      </c>
      <c r="C310" s="178"/>
      <c r="D310" s="323">
        <f>D307-(D307*D308)</f>
        <v>63.75</v>
      </c>
      <c r="E310" s="323">
        <f t="shared" ref="E310:W310" si="330">E307-(E307*E308)</f>
        <v>63.75</v>
      </c>
      <c r="F310" s="323">
        <f t="shared" si="330"/>
        <v>63.75</v>
      </c>
      <c r="G310" s="323">
        <f t="shared" si="330"/>
        <v>63.75</v>
      </c>
      <c r="H310" s="323">
        <f t="shared" si="330"/>
        <v>63.75</v>
      </c>
      <c r="I310" s="323">
        <f t="shared" si="330"/>
        <v>63.75</v>
      </c>
      <c r="J310" s="323">
        <f t="shared" si="330"/>
        <v>63.75</v>
      </c>
      <c r="K310" s="323">
        <f t="shared" si="330"/>
        <v>63.75</v>
      </c>
      <c r="L310" s="323">
        <f t="shared" si="330"/>
        <v>63.75</v>
      </c>
      <c r="M310" s="323">
        <f t="shared" si="330"/>
        <v>63.75</v>
      </c>
      <c r="N310" s="323">
        <f t="shared" si="330"/>
        <v>63.75</v>
      </c>
      <c r="O310" s="323">
        <f t="shared" si="330"/>
        <v>63.75</v>
      </c>
      <c r="P310" s="323">
        <f t="shared" si="330"/>
        <v>63.75</v>
      </c>
      <c r="Q310" s="323">
        <f t="shared" si="330"/>
        <v>63.75</v>
      </c>
      <c r="R310" s="323">
        <f t="shared" si="330"/>
        <v>63.75</v>
      </c>
      <c r="S310" s="323">
        <f t="shared" si="330"/>
        <v>63.75</v>
      </c>
      <c r="T310" s="323">
        <v>61.84</v>
      </c>
      <c r="U310" s="323">
        <v>61.84</v>
      </c>
      <c r="V310" s="323">
        <v>61.84</v>
      </c>
      <c r="W310" s="323">
        <f t="shared" si="330"/>
        <v>63.75</v>
      </c>
      <c r="Y310" s="390"/>
      <c r="Z310" s="390"/>
      <c r="AA310" s="390"/>
      <c r="AB310" s="390"/>
      <c r="AC310" s="390"/>
      <c r="AD310" s="390"/>
      <c r="AE310" s="390"/>
      <c r="AF310" s="390"/>
      <c r="AG310" s="390"/>
      <c r="AH310" s="390"/>
      <c r="AI310" s="390"/>
      <c r="AJ310" s="390"/>
      <c r="AK310" s="390"/>
      <c r="AL310" s="390"/>
      <c r="AM310" s="390"/>
      <c r="AN310" s="390"/>
      <c r="AO310" s="390"/>
      <c r="AP310" s="390"/>
      <c r="AQ310" s="390"/>
      <c r="AR310" s="390"/>
      <c r="AS310" s="390"/>
    </row>
    <row r="311" spans="1:45" x14ac:dyDescent="0.3">
      <c r="B311" s="54" t="s">
        <v>66</v>
      </c>
      <c r="C311" s="56">
        <v>7.0000000000000007E-2</v>
      </c>
      <c r="D311" s="24">
        <f>D310*$C311</f>
        <v>4.4625000000000004</v>
      </c>
      <c r="E311" s="24">
        <f t="shared" ref="E311:V311" si="331">E310*$C311</f>
        <v>4.4625000000000004</v>
      </c>
      <c r="F311" s="24">
        <f t="shared" si="331"/>
        <v>4.4625000000000004</v>
      </c>
      <c r="G311" s="24">
        <f t="shared" si="331"/>
        <v>4.4625000000000004</v>
      </c>
      <c r="H311" s="24">
        <f t="shared" si="331"/>
        <v>4.4625000000000004</v>
      </c>
      <c r="I311" s="24">
        <f t="shared" si="331"/>
        <v>4.4625000000000004</v>
      </c>
      <c r="J311" s="24">
        <f t="shared" si="331"/>
        <v>4.4625000000000004</v>
      </c>
      <c r="K311" s="24">
        <f t="shared" si="331"/>
        <v>4.4625000000000004</v>
      </c>
      <c r="L311" s="24">
        <f t="shared" si="331"/>
        <v>4.4625000000000004</v>
      </c>
      <c r="M311" s="24">
        <f t="shared" si="331"/>
        <v>4.4625000000000004</v>
      </c>
      <c r="N311" s="24">
        <f t="shared" si="331"/>
        <v>4.4625000000000004</v>
      </c>
      <c r="O311" s="24">
        <f t="shared" si="331"/>
        <v>4.4625000000000004</v>
      </c>
      <c r="P311" s="24">
        <f t="shared" si="331"/>
        <v>4.4625000000000004</v>
      </c>
      <c r="Q311" s="24">
        <f t="shared" si="331"/>
        <v>4.4625000000000004</v>
      </c>
      <c r="R311" s="24">
        <f t="shared" si="331"/>
        <v>4.4625000000000004</v>
      </c>
      <c r="S311" s="24">
        <f t="shared" si="331"/>
        <v>4.4625000000000004</v>
      </c>
      <c r="T311" s="24">
        <f t="shared" si="331"/>
        <v>4.3288000000000011</v>
      </c>
      <c r="U311" s="24">
        <f t="shared" si="331"/>
        <v>4.3288000000000011</v>
      </c>
      <c r="V311" s="24">
        <f t="shared" si="331"/>
        <v>4.3288000000000011</v>
      </c>
      <c r="W311" s="24">
        <f>W310*$C311</f>
        <v>4.4625000000000004</v>
      </c>
      <c r="Y311" s="390"/>
      <c r="Z311" s="390"/>
      <c r="AA311" s="390"/>
      <c r="AB311" s="390"/>
      <c r="AC311" s="390"/>
      <c r="AD311" s="390"/>
      <c r="AE311" s="390"/>
      <c r="AF311" s="390"/>
      <c r="AG311" s="390"/>
      <c r="AH311" s="390"/>
      <c r="AI311" s="390"/>
      <c r="AJ311" s="390"/>
      <c r="AK311" s="390"/>
      <c r="AL311" s="390"/>
      <c r="AM311" s="390"/>
      <c r="AN311" s="390"/>
      <c r="AO311" s="390"/>
      <c r="AP311" s="390"/>
      <c r="AQ311" s="390"/>
      <c r="AR311" s="390"/>
      <c r="AS311" s="390"/>
    </row>
    <row r="312" spans="1:45" x14ac:dyDescent="0.3">
      <c r="B312" s="54" t="s">
        <v>68</v>
      </c>
      <c r="C312" s="55"/>
      <c r="D312" s="21">
        <f>D310+D311</f>
        <v>68.212500000000006</v>
      </c>
      <c r="E312" s="21">
        <f t="shared" ref="E312:S312" si="332">E310+E311</f>
        <v>68.212500000000006</v>
      </c>
      <c r="F312" s="21">
        <f t="shared" si="332"/>
        <v>68.212500000000006</v>
      </c>
      <c r="G312" s="21">
        <f t="shared" si="332"/>
        <v>68.212500000000006</v>
      </c>
      <c r="H312" s="21">
        <f t="shared" si="332"/>
        <v>68.212500000000006</v>
      </c>
      <c r="I312" s="21">
        <f t="shared" si="332"/>
        <v>68.212500000000006</v>
      </c>
      <c r="J312" s="21">
        <f t="shared" si="332"/>
        <v>68.212500000000006</v>
      </c>
      <c r="K312" s="21">
        <f t="shared" si="332"/>
        <v>68.212500000000006</v>
      </c>
      <c r="L312" s="21">
        <f t="shared" si="332"/>
        <v>68.212500000000006</v>
      </c>
      <c r="M312" s="21">
        <f t="shared" si="332"/>
        <v>68.212500000000006</v>
      </c>
      <c r="N312" s="21">
        <f t="shared" si="332"/>
        <v>68.212500000000006</v>
      </c>
      <c r="O312" s="21">
        <f t="shared" si="332"/>
        <v>68.212500000000006</v>
      </c>
      <c r="P312" s="21">
        <f t="shared" si="332"/>
        <v>68.212500000000006</v>
      </c>
      <c r="Q312" s="21">
        <f t="shared" si="332"/>
        <v>68.212500000000006</v>
      </c>
      <c r="R312" s="21">
        <f t="shared" si="332"/>
        <v>68.212500000000006</v>
      </c>
      <c r="S312" s="21">
        <f t="shared" si="332"/>
        <v>68.212500000000006</v>
      </c>
      <c r="T312" s="21">
        <f>T310+T311</f>
        <v>66.168800000000005</v>
      </c>
      <c r="U312" s="21">
        <f>U310+U311</f>
        <v>66.168800000000005</v>
      </c>
      <c r="V312" s="21">
        <f>V310+V311</f>
        <v>66.168800000000005</v>
      </c>
      <c r="W312" s="21">
        <f>W310+W311</f>
        <v>68.212500000000006</v>
      </c>
      <c r="Y312" s="390"/>
      <c r="Z312" s="390"/>
      <c r="AA312" s="390"/>
      <c r="AB312" s="390"/>
      <c r="AC312" s="390"/>
      <c r="AD312" s="390"/>
      <c r="AE312" s="390"/>
      <c r="AF312" s="390"/>
      <c r="AG312" s="390"/>
      <c r="AH312" s="390"/>
      <c r="AI312" s="390"/>
      <c r="AJ312" s="390"/>
      <c r="AK312" s="390"/>
      <c r="AL312" s="390"/>
      <c r="AM312" s="390"/>
      <c r="AN312" s="390"/>
      <c r="AO312" s="390"/>
      <c r="AP312" s="390"/>
      <c r="AQ312" s="390"/>
      <c r="AR312" s="390"/>
      <c r="AS312" s="390"/>
    </row>
    <row r="313" spans="1:45" x14ac:dyDescent="0.3">
      <c r="B313" s="54" t="s">
        <v>52</v>
      </c>
      <c r="C313" s="55"/>
      <c r="D313" s="398">
        <f>Y315</f>
        <v>1.9276923076923076</v>
      </c>
      <c r="E313" s="398">
        <f t="shared" ref="E313:W313" si="333">Z315</f>
        <v>4.3787692307692305</v>
      </c>
      <c r="F313" s="398">
        <f t="shared" si="333"/>
        <v>5.2546153846153842</v>
      </c>
      <c r="G313" s="398">
        <f t="shared" si="333"/>
        <v>3.503076923076923</v>
      </c>
      <c r="H313" s="398">
        <f t="shared" si="333"/>
        <v>1.8766153846153846</v>
      </c>
      <c r="I313" s="398">
        <f t="shared" si="333"/>
        <v>2.502153846153846</v>
      </c>
      <c r="J313" s="398">
        <f t="shared" si="333"/>
        <v>3.8784615384615386</v>
      </c>
      <c r="K313" s="398">
        <f t="shared" si="333"/>
        <v>3.1778461538461538</v>
      </c>
      <c r="L313" s="398">
        <f t="shared" si="333"/>
        <v>3.7532307692307691</v>
      </c>
      <c r="M313" s="398">
        <f t="shared" si="333"/>
        <v>1.8015384615384615</v>
      </c>
      <c r="N313" s="398">
        <f t="shared" si="333"/>
        <v>2.0018461538461541</v>
      </c>
      <c r="O313" s="398">
        <f t="shared" si="333"/>
        <v>4.704769230769231</v>
      </c>
      <c r="P313" s="398">
        <f t="shared" si="333"/>
        <v>1.8015384615384615</v>
      </c>
      <c r="Q313" s="398">
        <f t="shared" si="333"/>
        <v>1.8015384615384615</v>
      </c>
      <c r="R313" s="398">
        <f t="shared" si="333"/>
        <v>2.3770769230769231</v>
      </c>
      <c r="S313" s="398">
        <f t="shared" si="333"/>
        <v>2.2519999999999998</v>
      </c>
      <c r="T313" s="398">
        <f t="shared" si="333"/>
        <v>0</v>
      </c>
      <c r="U313" s="398">
        <f t="shared" si="333"/>
        <v>4.704769230769231</v>
      </c>
      <c r="V313" s="398">
        <f t="shared" si="333"/>
        <v>0</v>
      </c>
      <c r="W313" s="398">
        <f t="shared" si="333"/>
        <v>1.8015384615384615</v>
      </c>
      <c r="Y313" s="390">
        <v>12530</v>
      </c>
      <c r="Z313" s="390">
        <v>28462</v>
      </c>
      <c r="AA313" s="390">
        <v>34155</v>
      </c>
      <c r="AB313" s="390">
        <v>22770</v>
      </c>
      <c r="AC313" s="390">
        <v>12198</v>
      </c>
      <c r="AD313" s="390">
        <v>16264</v>
      </c>
      <c r="AE313" s="390">
        <v>25210</v>
      </c>
      <c r="AF313" s="390">
        <v>20656</v>
      </c>
      <c r="AG313" s="390">
        <v>24396</v>
      </c>
      <c r="AH313" s="390">
        <v>11710</v>
      </c>
      <c r="AI313" s="390">
        <v>13012</v>
      </c>
      <c r="AJ313" s="390">
        <v>30581</v>
      </c>
      <c r="AK313" s="396">
        <v>11710</v>
      </c>
      <c r="AL313" s="396">
        <v>11710</v>
      </c>
      <c r="AM313" s="390">
        <v>15451</v>
      </c>
      <c r="AN313" s="390">
        <v>14638</v>
      </c>
      <c r="AO313" s="390"/>
      <c r="AP313" s="396">
        <v>30581</v>
      </c>
      <c r="AQ313" s="390"/>
      <c r="AR313" s="396">
        <v>11710</v>
      </c>
      <c r="AS313" s="390"/>
    </row>
    <row r="314" spans="1:45" x14ac:dyDescent="0.3">
      <c r="B314" s="57" t="s">
        <v>53</v>
      </c>
      <c r="C314" s="58"/>
      <c r="D314" s="25">
        <f>SUM(D312:D313)</f>
        <v>70.140192307692317</v>
      </c>
      <c r="E314" s="26">
        <f t="shared" ref="E314:S314" si="334">SUM(E312:E313)</f>
        <v>72.591269230769242</v>
      </c>
      <c r="F314" s="26">
        <f t="shared" si="334"/>
        <v>73.467115384615397</v>
      </c>
      <c r="G314" s="26">
        <f t="shared" si="334"/>
        <v>71.715576923076924</v>
      </c>
      <c r="H314" s="26">
        <f t="shared" si="334"/>
        <v>70.089115384615397</v>
      </c>
      <c r="I314" s="26">
        <f t="shared" si="334"/>
        <v>70.714653846153851</v>
      </c>
      <c r="J314" s="26">
        <f t="shared" si="334"/>
        <v>72.090961538461542</v>
      </c>
      <c r="K314" s="26">
        <f t="shared" si="334"/>
        <v>71.390346153846153</v>
      </c>
      <c r="L314" s="26">
        <f t="shared" si="334"/>
        <v>71.965730769230774</v>
      </c>
      <c r="M314" s="26">
        <f t="shared" si="334"/>
        <v>70.014038461538462</v>
      </c>
      <c r="N314" s="26">
        <f t="shared" si="334"/>
        <v>70.214346153846165</v>
      </c>
      <c r="O314" s="26">
        <f t="shared" si="334"/>
        <v>72.917269230769236</v>
      </c>
      <c r="P314" s="26">
        <f t="shared" si="334"/>
        <v>70.014038461538462</v>
      </c>
      <c r="Q314" s="26">
        <f t="shared" si="334"/>
        <v>70.014038461538462</v>
      </c>
      <c r="R314" s="26">
        <f t="shared" si="334"/>
        <v>70.589576923076933</v>
      </c>
      <c r="S314" s="26">
        <f t="shared" si="334"/>
        <v>70.464500000000001</v>
      </c>
      <c r="T314" s="26">
        <f>SUM(T312:T313)+T313</f>
        <v>66.168800000000005</v>
      </c>
      <c r="U314" s="26">
        <f>SUM(U312:U313)+U313</f>
        <v>75.578338461538465</v>
      </c>
      <c r="V314" s="26">
        <f>SUM(V312:V313)+V313</f>
        <v>66.168800000000005</v>
      </c>
      <c r="W314" s="26">
        <f>SUM(W312:W313)</f>
        <v>70.014038461538462</v>
      </c>
      <c r="Y314" s="390">
        <v>6500</v>
      </c>
      <c r="Z314" s="390">
        <v>6500</v>
      </c>
      <c r="AA314" s="390">
        <v>6500</v>
      </c>
      <c r="AB314" s="390">
        <v>6500</v>
      </c>
      <c r="AC314" s="390">
        <v>6500</v>
      </c>
      <c r="AD314" s="390">
        <v>6500</v>
      </c>
      <c r="AE314" s="390">
        <v>6500</v>
      </c>
      <c r="AF314" s="390">
        <v>6500</v>
      </c>
      <c r="AG314" s="390">
        <v>6500</v>
      </c>
      <c r="AH314" s="390">
        <v>6500</v>
      </c>
      <c r="AI314" s="390">
        <v>6500</v>
      </c>
      <c r="AJ314" s="390">
        <v>6500</v>
      </c>
      <c r="AK314" s="390">
        <v>6500</v>
      </c>
      <c r="AL314" s="390">
        <v>6500</v>
      </c>
      <c r="AM314" s="390">
        <v>6500</v>
      </c>
      <c r="AN314" s="390">
        <v>6500</v>
      </c>
      <c r="AO314" s="390">
        <v>6500</v>
      </c>
      <c r="AP314" s="390">
        <v>6500</v>
      </c>
      <c r="AQ314" s="390">
        <v>6500</v>
      </c>
      <c r="AR314" s="390">
        <v>6500</v>
      </c>
      <c r="AS314" s="390"/>
    </row>
    <row r="315" spans="1:45" x14ac:dyDescent="0.3">
      <c r="B315" s="54" t="s">
        <v>54</v>
      </c>
      <c r="C315" s="55"/>
      <c r="D315" s="20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Y315" s="389">
        <f>Y313/Y314</f>
        <v>1.9276923076923076</v>
      </c>
      <c r="Z315" s="389">
        <f t="shared" ref="Z315" si="335">Z313/Z314</f>
        <v>4.3787692307692305</v>
      </c>
      <c r="AA315" s="389">
        <f t="shared" ref="AA315" si="336">AA313/AA314</f>
        <v>5.2546153846153842</v>
      </c>
      <c r="AB315" s="389">
        <f t="shared" ref="AB315" si="337">AB313/AB314</f>
        <v>3.503076923076923</v>
      </c>
      <c r="AC315" s="389">
        <f t="shared" ref="AC315" si="338">AC313/AC314</f>
        <v>1.8766153846153846</v>
      </c>
      <c r="AD315" s="389">
        <f t="shared" ref="AD315" si="339">AD313/AD314</f>
        <v>2.502153846153846</v>
      </c>
      <c r="AE315" s="389">
        <f t="shared" ref="AE315" si="340">AE313/AE314</f>
        <v>3.8784615384615386</v>
      </c>
      <c r="AF315" s="389">
        <f t="shared" ref="AF315" si="341">AF313/AF314</f>
        <v>3.1778461538461538</v>
      </c>
      <c r="AG315" s="389">
        <f t="shared" ref="AG315" si="342">AG313/AG314</f>
        <v>3.7532307692307691</v>
      </c>
      <c r="AH315" s="389">
        <f t="shared" ref="AH315" si="343">AH313/AH314</f>
        <v>1.8015384615384615</v>
      </c>
      <c r="AI315" s="389">
        <f t="shared" ref="AI315" si="344">AI313/AI314</f>
        <v>2.0018461538461541</v>
      </c>
      <c r="AJ315" s="389">
        <f t="shared" ref="AJ315" si="345">AJ313/AJ314</f>
        <v>4.704769230769231</v>
      </c>
      <c r="AK315" s="389">
        <f t="shared" ref="AK315" si="346">AK313/AK314</f>
        <v>1.8015384615384615</v>
      </c>
      <c r="AL315" s="389">
        <f t="shared" ref="AL315" si="347">AL313/AL314</f>
        <v>1.8015384615384615</v>
      </c>
      <c r="AM315" s="389">
        <f t="shared" ref="AM315" si="348">AM313/AM314</f>
        <v>2.3770769230769231</v>
      </c>
      <c r="AN315" s="389">
        <f t="shared" ref="AN315" si="349">AN313/AN314</f>
        <v>2.2519999999999998</v>
      </c>
      <c r="AO315" s="390"/>
      <c r="AP315" s="389">
        <f t="shared" ref="AP315" si="350">AP313/AP314</f>
        <v>4.704769230769231</v>
      </c>
      <c r="AQ315" s="390"/>
      <c r="AR315" s="389">
        <f t="shared" ref="AR315" si="351">AR313/AR314</f>
        <v>1.8015384615384615</v>
      </c>
      <c r="AS315" s="390"/>
    </row>
    <row r="316" spans="1:45" x14ac:dyDescent="0.3">
      <c r="B316" s="59" t="s">
        <v>55</v>
      </c>
      <c r="C316" s="60"/>
      <c r="D316" s="27">
        <f>SUM(D314:D315)</f>
        <v>70.140192307692317</v>
      </c>
      <c r="E316" s="41">
        <f t="shared" ref="E316:V316" si="352">SUM(E314:E315)</f>
        <v>72.591269230769242</v>
      </c>
      <c r="F316" s="41">
        <f t="shared" si="352"/>
        <v>73.467115384615397</v>
      </c>
      <c r="G316" s="41">
        <f t="shared" si="352"/>
        <v>71.715576923076924</v>
      </c>
      <c r="H316" s="41">
        <f t="shared" si="352"/>
        <v>70.089115384615397</v>
      </c>
      <c r="I316" s="41">
        <f t="shared" si="352"/>
        <v>70.714653846153851</v>
      </c>
      <c r="J316" s="41">
        <f t="shared" si="352"/>
        <v>72.090961538461542</v>
      </c>
      <c r="K316" s="41">
        <f t="shared" si="352"/>
        <v>71.390346153846153</v>
      </c>
      <c r="L316" s="41">
        <f t="shared" si="352"/>
        <v>71.965730769230774</v>
      </c>
      <c r="M316" s="41">
        <f t="shared" si="352"/>
        <v>70.014038461538462</v>
      </c>
      <c r="N316" s="41">
        <f t="shared" si="352"/>
        <v>70.214346153846165</v>
      </c>
      <c r="O316" s="41">
        <f t="shared" si="352"/>
        <v>72.917269230769236</v>
      </c>
      <c r="P316" s="41">
        <f t="shared" si="352"/>
        <v>70.014038461538462</v>
      </c>
      <c r="Q316" s="41">
        <f t="shared" si="352"/>
        <v>70.014038461538462</v>
      </c>
      <c r="R316" s="41">
        <f t="shared" si="352"/>
        <v>70.589576923076933</v>
      </c>
      <c r="S316" s="41">
        <f t="shared" si="352"/>
        <v>70.464500000000001</v>
      </c>
      <c r="T316" s="41">
        <f t="shared" si="352"/>
        <v>66.168800000000005</v>
      </c>
      <c r="U316" s="41">
        <f t="shared" si="352"/>
        <v>75.578338461538465</v>
      </c>
      <c r="V316" s="41">
        <f t="shared" si="352"/>
        <v>66.168800000000005</v>
      </c>
      <c r="W316" s="41">
        <f>SUM(W314:W315)</f>
        <v>70.014038461538462</v>
      </c>
      <c r="Y316" s="390"/>
      <c r="Z316" s="390"/>
      <c r="AA316" s="390"/>
      <c r="AB316" s="390"/>
      <c r="AC316" s="390"/>
      <c r="AD316" s="390"/>
      <c r="AE316" s="390"/>
      <c r="AF316" s="390"/>
      <c r="AG316" s="390"/>
      <c r="AH316" s="390"/>
      <c r="AI316" s="390"/>
      <c r="AJ316" s="390"/>
      <c r="AK316" s="390"/>
      <c r="AL316" s="390"/>
      <c r="AM316" s="390"/>
      <c r="AN316" s="390"/>
      <c r="AO316" s="390"/>
      <c r="AP316" s="390"/>
      <c r="AQ316" s="390"/>
      <c r="AR316" s="390"/>
      <c r="AS316" s="390"/>
    </row>
    <row r="317" spans="1:45" x14ac:dyDescent="0.3">
      <c r="B317" s="61" t="s">
        <v>101</v>
      </c>
      <c r="C317" s="55"/>
      <c r="D317" s="43">
        <v>0</v>
      </c>
      <c r="E317" s="408">
        <v>0</v>
      </c>
      <c r="F317" s="408">
        <v>0</v>
      </c>
      <c r="G317" s="408">
        <v>0</v>
      </c>
      <c r="H317" s="408">
        <v>0</v>
      </c>
      <c r="I317" s="408">
        <v>0</v>
      </c>
      <c r="J317" s="408">
        <v>0</v>
      </c>
      <c r="K317" s="408">
        <v>0</v>
      </c>
      <c r="L317" s="408">
        <v>0</v>
      </c>
      <c r="M317" s="408">
        <v>0</v>
      </c>
      <c r="N317" s="408">
        <v>0</v>
      </c>
      <c r="O317" s="408">
        <v>0</v>
      </c>
      <c r="P317" s="408">
        <v>0</v>
      </c>
      <c r="Q317" s="408">
        <v>0</v>
      </c>
      <c r="R317" s="408">
        <v>0</v>
      </c>
      <c r="S317" s="408">
        <v>0</v>
      </c>
      <c r="T317" s="408">
        <v>0</v>
      </c>
      <c r="U317" s="408">
        <v>0</v>
      </c>
      <c r="V317" s="408">
        <v>0</v>
      </c>
      <c r="W317" s="408">
        <v>0</v>
      </c>
      <c r="Y317" s="409"/>
      <c r="Z317" s="409"/>
      <c r="AA317" s="409"/>
      <c r="AB317" s="409"/>
      <c r="AC317" s="409"/>
      <c r="AD317" s="409"/>
      <c r="AE317" s="409"/>
      <c r="AF317" s="409"/>
      <c r="AG317" s="409"/>
      <c r="AH317" s="409"/>
      <c r="AI317" s="409"/>
      <c r="AJ317" s="409"/>
      <c r="AK317" s="409"/>
      <c r="AL317" s="409"/>
      <c r="AM317" s="409"/>
      <c r="AN317" s="409"/>
      <c r="AO317" s="409"/>
      <c r="AP317" s="409"/>
      <c r="AQ317" s="409"/>
      <c r="AR317" s="409"/>
      <c r="AS317" s="409"/>
    </row>
    <row r="318" spans="1:45" x14ac:dyDescent="0.3">
      <c r="B318" s="171" t="s">
        <v>194</v>
      </c>
      <c r="C318" s="55"/>
      <c r="D318" s="20">
        <v>75</v>
      </c>
      <c r="E318" s="21">
        <v>77</v>
      </c>
      <c r="F318" s="21">
        <v>78</v>
      </c>
      <c r="G318" s="21">
        <v>76</v>
      </c>
      <c r="H318" s="21">
        <v>75</v>
      </c>
      <c r="I318" s="21">
        <v>75</v>
      </c>
      <c r="J318" s="21">
        <v>77</v>
      </c>
      <c r="K318" s="21">
        <v>76</v>
      </c>
      <c r="L318" s="21">
        <v>76</v>
      </c>
      <c r="M318" s="21">
        <v>75</v>
      </c>
      <c r="N318" s="21">
        <v>75</v>
      </c>
      <c r="O318" s="21">
        <v>77</v>
      </c>
      <c r="P318" s="21">
        <v>75</v>
      </c>
      <c r="Q318" s="21">
        <v>75</v>
      </c>
      <c r="R318" s="21">
        <v>75</v>
      </c>
      <c r="S318" s="21">
        <v>75</v>
      </c>
      <c r="T318" s="21">
        <v>71</v>
      </c>
      <c r="U318" s="21">
        <v>80</v>
      </c>
      <c r="V318" s="21">
        <v>71</v>
      </c>
      <c r="W318" s="21">
        <v>75</v>
      </c>
      <c r="Y318" s="390"/>
      <c r="Z318" s="390"/>
      <c r="AA318" s="390"/>
      <c r="AB318" s="390"/>
      <c r="AC318" s="390"/>
      <c r="AD318" s="390"/>
      <c r="AE318" s="390"/>
      <c r="AF318" s="390"/>
      <c r="AG318" s="390"/>
      <c r="AH318" s="390"/>
      <c r="AI318" s="390"/>
      <c r="AJ318" s="390"/>
      <c r="AK318" s="390"/>
      <c r="AL318" s="390"/>
      <c r="AM318" s="390"/>
      <c r="AN318" s="390"/>
      <c r="AO318" s="390"/>
      <c r="AP318" s="390"/>
      <c r="AQ318" s="390"/>
      <c r="AR318" s="390"/>
      <c r="AS318" s="390"/>
    </row>
    <row r="319" spans="1:45" x14ac:dyDescent="0.3">
      <c r="B319" s="61" t="s">
        <v>195</v>
      </c>
      <c r="C319" s="55"/>
      <c r="D319" s="106">
        <v>77</v>
      </c>
      <c r="E319" s="21">
        <v>79</v>
      </c>
      <c r="F319" s="21">
        <v>80</v>
      </c>
      <c r="G319" s="21">
        <v>78</v>
      </c>
      <c r="H319" s="21">
        <v>77</v>
      </c>
      <c r="I319" s="21">
        <v>77</v>
      </c>
      <c r="J319" s="21">
        <v>79</v>
      </c>
      <c r="K319" s="21">
        <v>78</v>
      </c>
      <c r="L319" s="21">
        <v>78</v>
      </c>
      <c r="M319" s="21">
        <v>77</v>
      </c>
      <c r="N319" s="21">
        <v>77</v>
      </c>
      <c r="O319" s="21">
        <v>79</v>
      </c>
      <c r="P319" s="21">
        <v>77</v>
      </c>
      <c r="Q319" s="21">
        <v>77</v>
      </c>
      <c r="R319" s="21">
        <v>77</v>
      </c>
      <c r="S319" s="21">
        <v>77</v>
      </c>
      <c r="T319" s="21">
        <v>73</v>
      </c>
      <c r="U319" s="21">
        <v>82</v>
      </c>
      <c r="V319" s="21">
        <v>73</v>
      </c>
      <c r="W319" s="21">
        <v>77</v>
      </c>
      <c r="Y319" s="390"/>
      <c r="Z319" s="390"/>
      <c r="AA319" s="390"/>
      <c r="AB319" s="390"/>
      <c r="AC319" s="390"/>
      <c r="AD319" s="390"/>
      <c r="AE319" s="390"/>
      <c r="AF319" s="390"/>
      <c r="AG319" s="390"/>
      <c r="AH319" s="390"/>
      <c r="AI319" s="390"/>
      <c r="AJ319" s="390"/>
      <c r="AK319" s="390"/>
      <c r="AL319" s="390"/>
      <c r="AM319" s="390"/>
      <c r="AN319" s="390"/>
      <c r="AO319" s="390"/>
      <c r="AP319" s="390"/>
      <c r="AQ319" s="390"/>
      <c r="AR319" s="390"/>
      <c r="AS319" s="390"/>
    </row>
    <row r="320" spans="1:45" s="30" customFormat="1" x14ac:dyDescent="0.3">
      <c r="B320" s="61" t="s">
        <v>196</v>
      </c>
      <c r="C320" s="62"/>
      <c r="D320" s="28">
        <v>78</v>
      </c>
      <c r="E320" s="28">
        <v>80</v>
      </c>
      <c r="F320" s="28">
        <v>81</v>
      </c>
      <c r="G320" s="28">
        <v>79</v>
      </c>
      <c r="H320" s="28">
        <v>78</v>
      </c>
      <c r="I320" s="28">
        <v>78</v>
      </c>
      <c r="J320" s="28">
        <v>80</v>
      </c>
      <c r="K320" s="28">
        <v>79</v>
      </c>
      <c r="L320" s="28">
        <v>79</v>
      </c>
      <c r="M320" s="28">
        <v>78</v>
      </c>
      <c r="N320" s="28">
        <v>78</v>
      </c>
      <c r="O320" s="28">
        <v>80</v>
      </c>
      <c r="P320" s="28">
        <v>78</v>
      </c>
      <c r="Q320" s="28">
        <v>78</v>
      </c>
      <c r="R320" s="28">
        <v>78</v>
      </c>
      <c r="S320" s="28">
        <v>78</v>
      </c>
      <c r="T320" s="28">
        <v>74</v>
      </c>
      <c r="U320" s="28">
        <v>83</v>
      </c>
      <c r="V320" s="28">
        <v>74</v>
      </c>
      <c r="W320" s="28">
        <v>78</v>
      </c>
      <c r="Y320" s="391"/>
      <c r="Z320" s="391"/>
      <c r="AA320" s="391"/>
      <c r="AB320" s="391"/>
      <c r="AC320" s="391"/>
      <c r="AD320" s="391"/>
      <c r="AE320" s="391"/>
      <c r="AF320" s="391"/>
      <c r="AG320" s="391"/>
      <c r="AH320" s="391"/>
      <c r="AI320" s="391"/>
      <c r="AJ320" s="391"/>
      <c r="AK320" s="391"/>
      <c r="AL320" s="391"/>
      <c r="AM320" s="391"/>
      <c r="AN320" s="391"/>
      <c r="AO320" s="391"/>
      <c r="AP320" s="391"/>
      <c r="AQ320" s="391"/>
      <c r="AR320" s="391"/>
      <c r="AS320" s="391"/>
    </row>
    <row r="321" spans="1:45" s="30" customFormat="1" x14ac:dyDescent="0.3">
      <c r="B321" s="61" t="s">
        <v>197</v>
      </c>
      <c r="C321" s="62"/>
      <c r="D321" s="28">
        <v>80</v>
      </c>
      <c r="E321" s="28">
        <v>82</v>
      </c>
      <c r="F321" s="28">
        <v>83</v>
      </c>
      <c r="G321" s="28">
        <v>81</v>
      </c>
      <c r="H321" s="28">
        <v>80</v>
      </c>
      <c r="I321" s="28">
        <v>80</v>
      </c>
      <c r="J321" s="28">
        <v>82</v>
      </c>
      <c r="K321" s="28">
        <v>81</v>
      </c>
      <c r="L321" s="28">
        <v>81</v>
      </c>
      <c r="M321" s="28">
        <v>80</v>
      </c>
      <c r="N321" s="28">
        <v>80</v>
      </c>
      <c r="O321" s="28">
        <v>82</v>
      </c>
      <c r="P321" s="28">
        <v>80</v>
      </c>
      <c r="Q321" s="28">
        <v>80</v>
      </c>
      <c r="R321" s="28">
        <v>80</v>
      </c>
      <c r="S321" s="28">
        <v>80</v>
      </c>
      <c r="T321" s="28">
        <v>76</v>
      </c>
      <c r="U321" s="28">
        <v>85</v>
      </c>
      <c r="V321" s="28">
        <v>76</v>
      </c>
      <c r="W321" s="28">
        <v>80</v>
      </c>
      <c r="Y321" s="391"/>
      <c r="Z321" s="391"/>
      <c r="AA321" s="391"/>
      <c r="AB321" s="391"/>
      <c r="AC321" s="391"/>
      <c r="AD321" s="391"/>
      <c r="AE321" s="391"/>
      <c r="AF321" s="391"/>
      <c r="AG321" s="391"/>
      <c r="AH321" s="391"/>
      <c r="AI321" s="391"/>
      <c r="AJ321" s="391"/>
      <c r="AK321" s="391"/>
      <c r="AL321" s="391"/>
      <c r="AM321" s="391"/>
      <c r="AN321" s="391"/>
      <c r="AO321" s="391"/>
      <c r="AP321" s="391"/>
      <c r="AQ321" s="391"/>
      <c r="AR321" s="391"/>
      <c r="AS321" s="391"/>
    </row>
    <row r="322" spans="1:45" x14ac:dyDescent="0.3">
      <c r="B322" s="63" t="s">
        <v>103</v>
      </c>
      <c r="C322" s="55"/>
      <c r="D322" s="43">
        <v>0</v>
      </c>
      <c r="E322" s="408">
        <v>0</v>
      </c>
      <c r="F322" s="408">
        <v>0</v>
      </c>
      <c r="G322" s="408">
        <v>0</v>
      </c>
      <c r="H322" s="408">
        <v>0</v>
      </c>
      <c r="I322" s="408">
        <v>0</v>
      </c>
      <c r="J322" s="408">
        <v>0</v>
      </c>
      <c r="K322" s="408">
        <v>0</v>
      </c>
      <c r="L322" s="408">
        <v>0</v>
      </c>
      <c r="M322" s="408">
        <v>0</v>
      </c>
      <c r="N322" s="408">
        <v>0</v>
      </c>
      <c r="O322" s="408">
        <v>0</v>
      </c>
      <c r="P322" s="408">
        <v>0</v>
      </c>
      <c r="Q322" s="408">
        <v>0</v>
      </c>
      <c r="R322" s="408">
        <v>0</v>
      </c>
      <c r="S322" s="408">
        <v>0</v>
      </c>
      <c r="T322" s="408">
        <v>0</v>
      </c>
      <c r="U322" s="408">
        <v>0</v>
      </c>
      <c r="V322" s="408">
        <v>0</v>
      </c>
      <c r="W322" s="408">
        <v>0</v>
      </c>
      <c r="Y322" s="409"/>
      <c r="Z322" s="409"/>
      <c r="AA322" s="409"/>
      <c r="AB322" s="409"/>
      <c r="AC322" s="409"/>
      <c r="AD322" s="409"/>
      <c r="AE322" s="409"/>
      <c r="AF322" s="409"/>
      <c r="AG322" s="409"/>
      <c r="AH322" s="409"/>
      <c r="AI322" s="409"/>
      <c r="AJ322" s="409"/>
      <c r="AK322" s="409"/>
      <c r="AL322" s="409"/>
      <c r="AM322" s="409"/>
      <c r="AN322" s="409"/>
      <c r="AO322" s="409"/>
      <c r="AP322" s="409"/>
      <c r="AQ322" s="409"/>
      <c r="AR322" s="409"/>
      <c r="AS322" s="409"/>
    </row>
    <row r="323" spans="1:45" s="33" customFormat="1" x14ac:dyDescent="0.3">
      <c r="B323" s="63" t="s">
        <v>198</v>
      </c>
      <c r="C323" s="64"/>
      <c r="D323" s="31">
        <f t="shared" ref="D323:W323" si="353">+D318-D$316</f>
        <v>4.8598076923076832</v>
      </c>
      <c r="E323" s="32">
        <f t="shared" si="353"/>
        <v>4.4087307692307576</v>
      </c>
      <c r="F323" s="32">
        <f t="shared" si="353"/>
        <v>4.532884615384603</v>
      </c>
      <c r="G323" s="32">
        <f t="shared" si="353"/>
        <v>4.2844230769230762</v>
      </c>
      <c r="H323" s="32">
        <f t="shared" si="353"/>
        <v>4.9108846153846031</v>
      </c>
      <c r="I323" s="32">
        <f t="shared" si="353"/>
        <v>4.2853461538461488</v>
      </c>
      <c r="J323" s="32">
        <f t="shared" si="353"/>
        <v>4.9090384615384579</v>
      </c>
      <c r="K323" s="32">
        <f t="shared" si="353"/>
        <v>4.6096538461538472</v>
      </c>
      <c r="L323" s="32">
        <f t="shared" si="353"/>
        <v>4.0342692307692261</v>
      </c>
      <c r="M323" s="32">
        <f t="shared" si="353"/>
        <v>4.9859615384615381</v>
      </c>
      <c r="N323" s="32">
        <f t="shared" si="353"/>
        <v>4.7856538461538349</v>
      </c>
      <c r="O323" s="32">
        <f t="shared" si="353"/>
        <v>4.0827307692307642</v>
      </c>
      <c r="P323" s="32">
        <f t="shared" si="353"/>
        <v>4.9859615384615381</v>
      </c>
      <c r="Q323" s="32">
        <f t="shared" si="353"/>
        <v>4.9859615384615381</v>
      </c>
      <c r="R323" s="32">
        <f t="shared" si="353"/>
        <v>4.4104230769230668</v>
      </c>
      <c r="S323" s="32">
        <f t="shared" si="353"/>
        <v>4.535499999999999</v>
      </c>
      <c r="T323" s="32">
        <f t="shared" si="353"/>
        <v>4.8311999999999955</v>
      </c>
      <c r="U323" s="32">
        <f t="shared" si="353"/>
        <v>4.4216615384615352</v>
      </c>
      <c r="V323" s="32">
        <f t="shared" si="353"/>
        <v>4.8311999999999955</v>
      </c>
      <c r="W323" s="32">
        <f t="shared" si="353"/>
        <v>4.9859615384615381</v>
      </c>
      <c r="Y323" s="392"/>
      <c r="Z323" s="392"/>
      <c r="AA323" s="392"/>
      <c r="AB323" s="392"/>
      <c r="AC323" s="392"/>
      <c r="AD323" s="392"/>
      <c r="AE323" s="392"/>
      <c r="AF323" s="392"/>
      <c r="AG323" s="392"/>
      <c r="AH323" s="392"/>
      <c r="AI323" s="392"/>
      <c r="AJ323" s="392"/>
      <c r="AK323" s="392"/>
      <c r="AL323" s="392"/>
      <c r="AM323" s="392"/>
      <c r="AN323" s="392"/>
      <c r="AO323" s="392"/>
      <c r="AP323" s="392"/>
      <c r="AQ323" s="392"/>
      <c r="AR323" s="392"/>
      <c r="AS323" s="392"/>
    </row>
    <row r="324" spans="1:45" s="33" customFormat="1" x14ac:dyDescent="0.3">
      <c r="B324" s="63" t="s">
        <v>199</v>
      </c>
      <c r="C324" s="64"/>
      <c r="D324" s="31">
        <f t="shared" ref="D324:W324" si="354">+D319-D$316</f>
        <v>6.8598076923076832</v>
      </c>
      <c r="E324" s="32">
        <f t="shared" si="354"/>
        <v>6.4087307692307576</v>
      </c>
      <c r="F324" s="32">
        <f t="shared" si="354"/>
        <v>6.532884615384603</v>
      </c>
      <c r="G324" s="32">
        <f t="shared" si="354"/>
        <v>6.2844230769230762</v>
      </c>
      <c r="H324" s="32">
        <f t="shared" si="354"/>
        <v>6.9108846153846031</v>
      </c>
      <c r="I324" s="32">
        <f t="shared" si="354"/>
        <v>6.2853461538461488</v>
      </c>
      <c r="J324" s="32">
        <f t="shared" si="354"/>
        <v>6.9090384615384579</v>
      </c>
      <c r="K324" s="32">
        <f t="shared" si="354"/>
        <v>6.6096538461538472</v>
      </c>
      <c r="L324" s="32">
        <f t="shared" si="354"/>
        <v>6.0342692307692261</v>
      </c>
      <c r="M324" s="32">
        <f t="shared" si="354"/>
        <v>6.9859615384615381</v>
      </c>
      <c r="N324" s="32">
        <f t="shared" si="354"/>
        <v>6.7856538461538349</v>
      </c>
      <c r="O324" s="32">
        <f t="shared" si="354"/>
        <v>6.0827307692307642</v>
      </c>
      <c r="P324" s="32">
        <f t="shared" si="354"/>
        <v>6.9859615384615381</v>
      </c>
      <c r="Q324" s="32">
        <f t="shared" si="354"/>
        <v>6.9859615384615381</v>
      </c>
      <c r="R324" s="32">
        <f t="shared" si="354"/>
        <v>6.4104230769230668</v>
      </c>
      <c r="S324" s="32">
        <f t="shared" si="354"/>
        <v>6.535499999999999</v>
      </c>
      <c r="T324" s="32">
        <f t="shared" si="354"/>
        <v>6.8311999999999955</v>
      </c>
      <c r="U324" s="32">
        <f t="shared" si="354"/>
        <v>6.4216615384615352</v>
      </c>
      <c r="V324" s="32">
        <f t="shared" si="354"/>
        <v>6.8311999999999955</v>
      </c>
      <c r="W324" s="32">
        <f t="shared" si="354"/>
        <v>6.9859615384615381</v>
      </c>
      <c r="Y324" s="392"/>
      <c r="Z324" s="392"/>
      <c r="AA324" s="392"/>
      <c r="AB324" s="392"/>
      <c r="AC324" s="392"/>
      <c r="AD324" s="392"/>
      <c r="AE324" s="392"/>
      <c r="AF324" s="392"/>
      <c r="AG324" s="392"/>
      <c r="AH324" s="392"/>
      <c r="AI324" s="392"/>
      <c r="AJ324" s="392"/>
      <c r="AK324" s="392"/>
      <c r="AL324" s="392"/>
      <c r="AM324" s="392"/>
      <c r="AN324" s="392"/>
      <c r="AO324" s="392"/>
      <c r="AP324" s="392"/>
      <c r="AQ324" s="392"/>
      <c r="AR324" s="392"/>
      <c r="AS324" s="392"/>
    </row>
    <row r="325" spans="1:45" s="33" customFormat="1" x14ac:dyDescent="0.3">
      <c r="B325" s="63" t="s">
        <v>200</v>
      </c>
      <c r="C325" s="64"/>
      <c r="D325" s="31">
        <f t="shared" ref="D325:W325" si="355">+D320-D$316</f>
        <v>7.8598076923076832</v>
      </c>
      <c r="E325" s="32">
        <f t="shared" si="355"/>
        <v>7.4087307692307576</v>
      </c>
      <c r="F325" s="32">
        <f t="shared" si="355"/>
        <v>7.532884615384603</v>
      </c>
      <c r="G325" s="32">
        <f t="shared" si="355"/>
        <v>7.2844230769230762</v>
      </c>
      <c r="H325" s="32">
        <f t="shared" si="355"/>
        <v>7.9108846153846031</v>
      </c>
      <c r="I325" s="32">
        <f t="shared" si="355"/>
        <v>7.2853461538461488</v>
      </c>
      <c r="J325" s="32">
        <f t="shared" si="355"/>
        <v>7.9090384615384579</v>
      </c>
      <c r="K325" s="32">
        <f t="shared" si="355"/>
        <v>7.6096538461538472</v>
      </c>
      <c r="L325" s="32">
        <f t="shared" si="355"/>
        <v>7.0342692307692261</v>
      </c>
      <c r="M325" s="32">
        <f t="shared" si="355"/>
        <v>7.9859615384615381</v>
      </c>
      <c r="N325" s="32">
        <f t="shared" si="355"/>
        <v>7.7856538461538349</v>
      </c>
      <c r="O325" s="32">
        <f t="shared" si="355"/>
        <v>7.0827307692307642</v>
      </c>
      <c r="P325" s="32">
        <f t="shared" si="355"/>
        <v>7.9859615384615381</v>
      </c>
      <c r="Q325" s="32">
        <f t="shared" si="355"/>
        <v>7.9859615384615381</v>
      </c>
      <c r="R325" s="32">
        <f t="shared" si="355"/>
        <v>7.4104230769230668</v>
      </c>
      <c r="S325" s="32">
        <f t="shared" si="355"/>
        <v>7.535499999999999</v>
      </c>
      <c r="T325" s="32">
        <f t="shared" si="355"/>
        <v>7.8311999999999955</v>
      </c>
      <c r="U325" s="32">
        <f t="shared" si="355"/>
        <v>7.4216615384615352</v>
      </c>
      <c r="V325" s="32">
        <f t="shared" si="355"/>
        <v>7.8311999999999955</v>
      </c>
      <c r="W325" s="32">
        <f t="shared" si="355"/>
        <v>7.9859615384615381</v>
      </c>
      <c r="Y325" s="392"/>
      <c r="Z325" s="392"/>
      <c r="AA325" s="392"/>
      <c r="AB325" s="392"/>
      <c r="AC325" s="392"/>
      <c r="AD325" s="392"/>
      <c r="AE325" s="392"/>
      <c r="AF325" s="392"/>
      <c r="AG325" s="392"/>
      <c r="AH325" s="392"/>
      <c r="AI325" s="392"/>
      <c r="AJ325" s="392"/>
      <c r="AK325" s="392"/>
      <c r="AL325" s="392"/>
      <c r="AM325" s="392"/>
      <c r="AN325" s="392"/>
      <c r="AO325" s="392"/>
      <c r="AP325" s="392"/>
      <c r="AQ325" s="392"/>
      <c r="AR325" s="392"/>
      <c r="AS325" s="392"/>
    </row>
    <row r="326" spans="1:45" s="33" customFormat="1" x14ac:dyDescent="0.3">
      <c r="B326" s="63" t="s">
        <v>201</v>
      </c>
      <c r="C326" s="64"/>
      <c r="D326" s="31">
        <f t="shared" ref="D326:W326" si="356">+D321-D$316</f>
        <v>9.8598076923076832</v>
      </c>
      <c r="E326" s="34">
        <f t="shared" si="356"/>
        <v>9.4087307692307576</v>
      </c>
      <c r="F326" s="34">
        <f t="shared" si="356"/>
        <v>9.532884615384603</v>
      </c>
      <c r="G326" s="34">
        <f t="shared" si="356"/>
        <v>9.2844230769230762</v>
      </c>
      <c r="H326" s="34">
        <f t="shared" si="356"/>
        <v>9.9108846153846031</v>
      </c>
      <c r="I326" s="34">
        <f t="shared" si="356"/>
        <v>9.2853461538461488</v>
      </c>
      <c r="J326" s="34">
        <f t="shared" si="356"/>
        <v>9.9090384615384579</v>
      </c>
      <c r="K326" s="34">
        <f t="shared" si="356"/>
        <v>9.6096538461538472</v>
      </c>
      <c r="L326" s="34">
        <f t="shared" si="356"/>
        <v>9.0342692307692261</v>
      </c>
      <c r="M326" s="34">
        <f t="shared" si="356"/>
        <v>9.9859615384615381</v>
      </c>
      <c r="N326" s="34">
        <f t="shared" si="356"/>
        <v>9.7856538461538349</v>
      </c>
      <c r="O326" s="34">
        <f t="shared" si="356"/>
        <v>9.0827307692307642</v>
      </c>
      <c r="P326" s="34">
        <f t="shared" si="356"/>
        <v>9.9859615384615381</v>
      </c>
      <c r="Q326" s="34">
        <f t="shared" si="356"/>
        <v>9.9859615384615381</v>
      </c>
      <c r="R326" s="34">
        <f t="shared" si="356"/>
        <v>9.4104230769230668</v>
      </c>
      <c r="S326" s="34">
        <f t="shared" si="356"/>
        <v>9.535499999999999</v>
      </c>
      <c r="T326" s="34">
        <f t="shared" si="356"/>
        <v>9.8311999999999955</v>
      </c>
      <c r="U326" s="34">
        <f t="shared" si="356"/>
        <v>9.4216615384615352</v>
      </c>
      <c r="V326" s="34">
        <f t="shared" si="356"/>
        <v>9.8311999999999955</v>
      </c>
      <c r="W326" s="34">
        <f t="shared" si="356"/>
        <v>9.9859615384615381</v>
      </c>
      <c r="Y326" s="392"/>
      <c r="Z326" s="392"/>
      <c r="AA326" s="392"/>
      <c r="AB326" s="392"/>
      <c r="AC326" s="392"/>
      <c r="AD326" s="392"/>
      <c r="AE326" s="392"/>
      <c r="AF326" s="392"/>
      <c r="AG326" s="392"/>
      <c r="AH326" s="392"/>
      <c r="AI326" s="392"/>
      <c r="AJ326" s="392"/>
      <c r="AK326" s="392"/>
      <c r="AL326" s="392"/>
      <c r="AM326" s="392"/>
      <c r="AN326" s="392"/>
      <c r="AO326" s="392"/>
      <c r="AP326" s="392"/>
      <c r="AQ326" s="392"/>
      <c r="AR326" s="392"/>
      <c r="AS326" s="392"/>
    </row>
    <row r="327" spans="1:45" x14ac:dyDescent="0.3">
      <c r="B327" s="65" t="s">
        <v>108</v>
      </c>
      <c r="C327" s="55"/>
      <c r="D327" s="43">
        <v>0</v>
      </c>
      <c r="E327" s="408">
        <v>0</v>
      </c>
      <c r="F327" s="408">
        <v>0</v>
      </c>
      <c r="G327" s="408">
        <v>0</v>
      </c>
      <c r="H327" s="408">
        <v>0</v>
      </c>
      <c r="I327" s="408">
        <v>0</v>
      </c>
      <c r="J327" s="408">
        <v>0</v>
      </c>
      <c r="K327" s="408">
        <v>0</v>
      </c>
      <c r="L327" s="408">
        <v>0</v>
      </c>
      <c r="M327" s="408">
        <v>0</v>
      </c>
      <c r="N327" s="408">
        <v>0</v>
      </c>
      <c r="O327" s="408">
        <v>0</v>
      </c>
      <c r="P327" s="408">
        <v>0</v>
      </c>
      <c r="Q327" s="408">
        <v>0</v>
      </c>
      <c r="R327" s="408">
        <v>0</v>
      </c>
      <c r="S327" s="408">
        <v>0</v>
      </c>
      <c r="T327" s="408">
        <v>0</v>
      </c>
      <c r="U327" s="408">
        <v>0</v>
      </c>
      <c r="V327" s="408">
        <v>0</v>
      </c>
      <c r="W327" s="408">
        <v>0</v>
      </c>
      <c r="Y327" s="409"/>
      <c r="Z327" s="409"/>
      <c r="AA327" s="409"/>
      <c r="AB327" s="409"/>
      <c r="AC327" s="409"/>
      <c r="AD327" s="409"/>
      <c r="AE327" s="409"/>
      <c r="AF327" s="409"/>
      <c r="AG327" s="409"/>
      <c r="AH327" s="409"/>
      <c r="AI327" s="409"/>
      <c r="AJ327" s="409"/>
      <c r="AK327" s="409"/>
      <c r="AL327" s="409"/>
      <c r="AM327" s="409"/>
      <c r="AN327" s="409"/>
      <c r="AO327" s="409"/>
      <c r="AP327" s="409"/>
      <c r="AQ327" s="409"/>
      <c r="AR327" s="409"/>
      <c r="AS327" s="409"/>
    </row>
    <row r="328" spans="1:45" s="36" customFormat="1" x14ac:dyDescent="0.3">
      <c r="B328" s="65" t="s">
        <v>202</v>
      </c>
      <c r="C328" s="66"/>
      <c r="D328" s="35">
        <f>+D323/D$318</f>
        <v>6.4797435897435779E-2</v>
      </c>
      <c r="E328" s="35">
        <f t="shared" ref="E328:W328" si="357">+E323/E$318</f>
        <v>5.7256243756243608E-2</v>
      </c>
      <c r="F328" s="35">
        <f t="shared" si="357"/>
        <v>5.8113905325443631E-2</v>
      </c>
      <c r="G328" s="35">
        <f t="shared" si="357"/>
        <v>5.6373987854251004E-2</v>
      </c>
      <c r="H328" s="35">
        <f t="shared" si="357"/>
        <v>6.5478461538461374E-2</v>
      </c>
      <c r="I328" s="35">
        <f t="shared" si="357"/>
        <v>5.7137948717948653E-2</v>
      </c>
      <c r="J328" s="35">
        <f t="shared" si="357"/>
        <v>6.3753746253746205E-2</v>
      </c>
      <c r="K328" s="35">
        <f t="shared" si="357"/>
        <v>6.0653340080971674E-2</v>
      </c>
      <c r="L328" s="35">
        <f t="shared" si="357"/>
        <v>5.3082489878542451E-2</v>
      </c>
      <c r="M328" s="35">
        <f t="shared" si="357"/>
        <v>6.6479487179487179E-2</v>
      </c>
      <c r="N328" s="35">
        <f t="shared" si="357"/>
        <v>6.38087179487178E-2</v>
      </c>
      <c r="O328" s="35">
        <f t="shared" si="357"/>
        <v>5.3022477522477456E-2</v>
      </c>
      <c r="P328" s="35">
        <f t="shared" si="357"/>
        <v>6.6479487179487179E-2</v>
      </c>
      <c r="Q328" s="35">
        <f t="shared" si="357"/>
        <v>6.6479487179487179E-2</v>
      </c>
      <c r="R328" s="35">
        <f t="shared" si="357"/>
        <v>5.8805641025640891E-2</v>
      </c>
      <c r="S328" s="35">
        <f t="shared" si="357"/>
        <v>6.0473333333333316E-2</v>
      </c>
      <c r="T328" s="35">
        <f t="shared" si="357"/>
        <v>6.8045070422535145E-2</v>
      </c>
      <c r="U328" s="35">
        <f t="shared" si="357"/>
        <v>5.5270769230769193E-2</v>
      </c>
      <c r="V328" s="35">
        <f t="shared" si="357"/>
        <v>6.8045070422535145E-2</v>
      </c>
      <c r="W328" s="35">
        <f t="shared" si="357"/>
        <v>6.6479487179487179E-2</v>
      </c>
      <c r="Y328" s="393"/>
      <c r="Z328" s="393"/>
      <c r="AA328" s="393"/>
      <c r="AB328" s="393"/>
      <c r="AC328" s="393"/>
      <c r="AD328" s="393"/>
      <c r="AE328" s="393"/>
      <c r="AF328" s="393"/>
      <c r="AG328" s="393"/>
      <c r="AH328" s="393"/>
      <c r="AI328" s="393"/>
      <c r="AJ328" s="393"/>
      <c r="AK328" s="393"/>
      <c r="AL328" s="393"/>
      <c r="AM328" s="393"/>
      <c r="AN328" s="393"/>
      <c r="AO328" s="393"/>
      <c r="AP328" s="393"/>
      <c r="AQ328" s="393"/>
      <c r="AR328" s="393"/>
      <c r="AS328" s="393"/>
    </row>
    <row r="329" spans="1:45" s="36" customFormat="1" x14ac:dyDescent="0.3">
      <c r="B329" s="65" t="s">
        <v>203</v>
      </c>
      <c r="C329" s="66"/>
      <c r="D329" s="35">
        <f>+D324/D$319</f>
        <v>8.9088411588411465E-2</v>
      </c>
      <c r="E329" s="35">
        <f t="shared" ref="E329:W329" si="358">+E324/E$319</f>
        <v>8.1123174294060227E-2</v>
      </c>
      <c r="F329" s="35">
        <f t="shared" si="358"/>
        <v>8.166105769230754E-2</v>
      </c>
      <c r="G329" s="35">
        <f>+G324/G$319</f>
        <v>8.0569526627218932E-2</v>
      </c>
      <c r="H329" s="35">
        <f t="shared" si="358"/>
        <v>8.9751748251748087E-2</v>
      </c>
      <c r="I329" s="35">
        <f t="shared" si="358"/>
        <v>8.1627872127872064E-2</v>
      </c>
      <c r="J329" s="35">
        <f t="shared" si="358"/>
        <v>8.745618305744883E-2</v>
      </c>
      <c r="K329" s="35">
        <f t="shared" si="358"/>
        <v>8.4739151873767266E-2</v>
      </c>
      <c r="L329" s="35">
        <f t="shared" si="358"/>
        <v>7.7362426035502904E-2</v>
      </c>
      <c r="M329" s="35">
        <f t="shared" si="358"/>
        <v>9.0726773226773222E-2</v>
      </c>
      <c r="N329" s="35">
        <f t="shared" si="358"/>
        <v>8.8125374625374481E-2</v>
      </c>
      <c r="O329" s="35">
        <f t="shared" si="358"/>
        <v>7.699659201557929E-2</v>
      </c>
      <c r="P329" s="35">
        <f t="shared" si="358"/>
        <v>9.0726773226773222E-2</v>
      </c>
      <c r="Q329" s="35">
        <f t="shared" si="358"/>
        <v>9.0726773226773222E-2</v>
      </c>
      <c r="R329" s="35">
        <f t="shared" si="358"/>
        <v>8.3252247752247627E-2</v>
      </c>
      <c r="S329" s="35">
        <f t="shared" si="358"/>
        <v>8.487662337662337E-2</v>
      </c>
      <c r="T329" s="35">
        <f t="shared" si="358"/>
        <v>9.3578082191780765E-2</v>
      </c>
      <c r="U329" s="35">
        <f t="shared" si="358"/>
        <v>7.8312945590994332E-2</v>
      </c>
      <c r="V329" s="35">
        <f t="shared" si="358"/>
        <v>9.3578082191780765E-2</v>
      </c>
      <c r="W329" s="35">
        <f t="shared" si="358"/>
        <v>9.0726773226773222E-2</v>
      </c>
      <c r="Y329" s="393"/>
      <c r="Z329" s="393"/>
      <c r="AA329" s="393"/>
      <c r="AB329" s="393"/>
      <c r="AC329" s="393"/>
      <c r="AD329" s="393"/>
      <c r="AE329" s="393"/>
      <c r="AF329" s="393"/>
      <c r="AG329" s="393"/>
      <c r="AH329" s="393"/>
      <c r="AI329" s="393"/>
      <c r="AJ329" s="393"/>
      <c r="AK329" s="393"/>
      <c r="AL329" s="393"/>
      <c r="AM329" s="393"/>
      <c r="AN329" s="393"/>
      <c r="AO329" s="393"/>
      <c r="AP329" s="393"/>
      <c r="AQ329" s="393"/>
      <c r="AR329" s="393"/>
      <c r="AS329" s="393"/>
    </row>
    <row r="330" spans="1:45" s="36" customFormat="1" x14ac:dyDescent="0.3">
      <c r="B330" s="65" t="s">
        <v>204</v>
      </c>
      <c r="C330" s="66"/>
      <c r="D330" s="35">
        <f>+D325/D$320</f>
        <v>0.10076676528599594</v>
      </c>
      <c r="E330" s="35">
        <f t="shared" ref="E330:W330" si="359">+E325/E$320</f>
        <v>9.2609134615384475E-2</v>
      </c>
      <c r="F330" s="35">
        <f t="shared" si="359"/>
        <v>9.2998575498575348E-2</v>
      </c>
      <c r="G330" s="35">
        <f t="shared" si="359"/>
        <v>9.2207887049659196E-2</v>
      </c>
      <c r="H330" s="35">
        <f t="shared" si="359"/>
        <v>0.10142159763313593</v>
      </c>
      <c r="I330" s="35">
        <f t="shared" si="359"/>
        <v>9.3401873767258323E-2</v>
      </c>
      <c r="J330" s="35">
        <f t="shared" si="359"/>
        <v>9.8862980769230724E-2</v>
      </c>
      <c r="K330" s="35">
        <f t="shared" si="359"/>
        <v>9.632473222979554E-2</v>
      </c>
      <c r="L330" s="35">
        <f t="shared" si="359"/>
        <v>8.904138266796488E-2</v>
      </c>
      <c r="M330" s="35">
        <f t="shared" si="359"/>
        <v>0.10238412228796843</v>
      </c>
      <c r="N330" s="35">
        <f t="shared" si="359"/>
        <v>9.9816074950690198E-2</v>
      </c>
      <c r="O330" s="35">
        <f t="shared" si="359"/>
        <v>8.8534134615384549E-2</v>
      </c>
      <c r="P330" s="35">
        <f t="shared" si="359"/>
        <v>0.10238412228796843</v>
      </c>
      <c r="Q330" s="35">
        <f t="shared" si="359"/>
        <v>0.10238412228796843</v>
      </c>
      <c r="R330" s="35">
        <f t="shared" si="359"/>
        <v>9.5005424063116239E-2</v>
      </c>
      <c r="S330" s="35">
        <f t="shared" si="359"/>
        <v>9.660897435897435E-2</v>
      </c>
      <c r="T330" s="35">
        <f t="shared" si="359"/>
        <v>0.10582702702702697</v>
      </c>
      <c r="U330" s="35">
        <f t="shared" si="359"/>
        <v>8.9417608897126924E-2</v>
      </c>
      <c r="V330" s="35">
        <f t="shared" si="359"/>
        <v>0.10582702702702697</v>
      </c>
      <c r="W330" s="35">
        <f t="shared" si="359"/>
        <v>0.10238412228796843</v>
      </c>
      <c r="Y330" s="393"/>
      <c r="Z330" s="393"/>
      <c r="AA330" s="393"/>
      <c r="AB330" s="393"/>
      <c r="AC330" s="393"/>
      <c r="AD330" s="393"/>
      <c r="AE330" s="393"/>
      <c r="AF330" s="393"/>
      <c r="AG330" s="393"/>
      <c r="AH330" s="393"/>
      <c r="AI330" s="393"/>
      <c r="AJ330" s="393"/>
      <c r="AK330" s="393"/>
      <c r="AL330" s="393"/>
      <c r="AM330" s="393"/>
      <c r="AN330" s="393"/>
      <c r="AO330" s="393"/>
      <c r="AP330" s="393"/>
      <c r="AQ330" s="393"/>
      <c r="AR330" s="393"/>
      <c r="AS330" s="393"/>
    </row>
    <row r="331" spans="1:45" s="36" customFormat="1" ht="21" thickBot="1" x14ac:dyDescent="0.35">
      <c r="B331" s="65" t="s">
        <v>205</v>
      </c>
      <c r="C331" s="66"/>
      <c r="D331" s="35">
        <f>+D326/D$321</f>
        <v>0.12324759615384603</v>
      </c>
      <c r="E331" s="35">
        <f t="shared" ref="E331:W331" si="360">+E326/E$321</f>
        <v>0.11474061913696046</v>
      </c>
      <c r="F331" s="35">
        <f t="shared" si="360"/>
        <v>0.11485403151065787</v>
      </c>
      <c r="G331" s="35">
        <f t="shared" si="360"/>
        <v>0.11462250712250711</v>
      </c>
      <c r="H331" s="35">
        <f t="shared" si="360"/>
        <v>0.12388605769230754</v>
      </c>
      <c r="I331" s="35">
        <f t="shared" si="360"/>
        <v>0.11606682692307686</v>
      </c>
      <c r="J331" s="35">
        <f t="shared" si="360"/>
        <v>0.12084193245778607</v>
      </c>
      <c r="K331" s="35">
        <f t="shared" si="360"/>
        <v>0.11863770180436849</v>
      </c>
      <c r="L331" s="35">
        <f t="shared" si="360"/>
        <v>0.11153418803418798</v>
      </c>
      <c r="M331" s="35">
        <f t="shared" si="360"/>
        <v>0.12482451923076923</v>
      </c>
      <c r="N331" s="35">
        <f t="shared" si="360"/>
        <v>0.12232067307692293</v>
      </c>
      <c r="O331" s="35">
        <f t="shared" si="360"/>
        <v>0.11076500938086298</v>
      </c>
      <c r="P331" s="35">
        <f t="shared" si="360"/>
        <v>0.12482451923076923</v>
      </c>
      <c r="Q331" s="35">
        <f t="shared" si="360"/>
        <v>0.12482451923076923</v>
      </c>
      <c r="R331" s="35">
        <f t="shared" si="360"/>
        <v>0.11763028846153833</v>
      </c>
      <c r="S331" s="35">
        <f t="shared" si="360"/>
        <v>0.11919374999999999</v>
      </c>
      <c r="T331" s="35">
        <f t="shared" si="360"/>
        <v>0.12935789473684203</v>
      </c>
      <c r="U331" s="35">
        <f t="shared" si="360"/>
        <v>0.11084307692307689</v>
      </c>
      <c r="V331" s="35">
        <f t="shared" si="360"/>
        <v>0.12935789473684203</v>
      </c>
      <c r="W331" s="35">
        <f t="shared" si="360"/>
        <v>0.12482451923076923</v>
      </c>
      <c r="Y331" s="393"/>
      <c r="Z331" s="393"/>
      <c r="AA331" s="393"/>
      <c r="AB331" s="393"/>
      <c r="AC331" s="393"/>
      <c r="AD331" s="393"/>
      <c r="AE331" s="393"/>
      <c r="AF331" s="393"/>
      <c r="AG331" s="393"/>
      <c r="AH331" s="393"/>
      <c r="AI331" s="393"/>
      <c r="AJ331" s="393"/>
      <c r="AK331" s="393"/>
      <c r="AL331" s="393"/>
      <c r="AM331" s="393"/>
      <c r="AN331" s="393"/>
      <c r="AO331" s="393"/>
      <c r="AP331" s="393"/>
      <c r="AQ331" s="393"/>
      <c r="AR331" s="393"/>
      <c r="AS331" s="393"/>
    </row>
    <row r="332" spans="1:45" ht="21" thickBot="1" x14ac:dyDescent="0.35">
      <c r="A332" s="15" t="s">
        <v>322</v>
      </c>
      <c r="B332" s="74" t="s">
        <v>131</v>
      </c>
      <c r="C332" s="68"/>
      <c r="D332" s="17" t="s">
        <v>5</v>
      </c>
      <c r="E332" s="18" t="s">
        <v>6</v>
      </c>
      <c r="F332" s="18" t="s">
        <v>7</v>
      </c>
      <c r="G332" s="18" t="s">
        <v>8</v>
      </c>
      <c r="H332" s="18" t="s">
        <v>9</v>
      </c>
      <c r="I332" s="18" t="s">
        <v>10</v>
      </c>
      <c r="J332" s="18" t="s">
        <v>11</v>
      </c>
      <c r="K332" s="18" t="s">
        <v>12</v>
      </c>
      <c r="L332" s="18" t="s">
        <v>13</v>
      </c>
      <c r="M332" s="18" t="s">
        <v>14</v>
      </c>
      <c r="N332" s="18" t="s">
        <v>15</v>
      </c>
      <c r="O332" s="18" t="s">
        <v>16</v>
      </c>
      <c r="P332" s="18" t="s">
        <v>17</v>
      </c>
      <c r="Q332" s="18" t="s">
        <v>18</v>
      </c>
      <c r="R332" s="18" t="s">
        <v>19</v>
      </c>
      <c r="S332" s="18" t="s">
        <v>20</v>
      </c>
      <c r="T332" s="18" t="s">
        <v>21</v>
      </c>
      <c r="U332" s="18" t="s">
        <v>22</v>
      </c>
      <c r="V332" s="18" t="s">
        <v>23</v>
      </c>
      <c r="W332" s="18" t="s">
        <v>166</v>
      </c>
      <c r="Y332" s="390"/>
      <c r="Z332" s="390"/>
      <c r="AA332" s="390"/>
      <c r="AB332" s="390"/>
      <c r="AC332" s="390"/>
      <c r="AD332" s="390"/>
      <c r="AE332" s="390"/>
      <c r="AF332" s="390"/>
      <c r="AG332" s="390"/>
      <c r="AH332" s="390"/>
      <c r="AI332" s="390"/>
      <c r="AJ332" s="390"/>
      <c r="AK332" s="390"/>
      <c r="AL332" s="390"/>
      <c r="AM332" s="390"/>
      <c r="AN332" s="390"/>
      <c r="AO332" s="390"/>
      <c r="AP332" s="390"/>
      <c r="AQ332" s="390"/>
      <c r="AR332" s="390"/>
      <c r="AS332" s="390"/>
    </row>
    <row r="333" spans="1:45" x14ac:dyDescent="0.3">
      <c r="B333" s="54" t="s">
        <v>50</v>
      </c>
      <c r="C333" s="55"/>
      <c r="D333" s="20">
        <v>49</v>
      </c>
      <c r="E333" s="20">
        <v>49</v>
      </c>
      <c r="F333" s="20">
        <v>49</v>
      </c>
      <c r="G333" s="20">
        <v>49</v>
      </c>
      <c r="H333" s="20">
        <v>49</v>
      </c>
      <c r="I333" s="20">
        <v>49</v>
      </c>
      <c r="J333" s="20">
        <v>49</v>
      </c>
      <c r="K333" s="20">
        <v>49</v>
      </c>
      <c r="L333" s="20">
        <v>49</v>
      </c>
      <c r="M333" s="20">
        <v>49</v>
      </c>
      <c r="N333" s="20">
        <v>49</v>
      </c>
      <c r="O333" s="20">
        <v>49</v>
      </c>
      <c r="P333" s="20">
        <v>49</v>
      </c>
      <c r="Q333" s="20">
        <v>49</v>
      </c>
      <c r="R333" s="20">
        <v>49</v>
      </c>
      <c r="S333" s="20">
        <v>49</v>
      </c>
      <c r="T333" s="20"/>
      <c r="U333" s="20"/>
      <c r="V333" s="20"/>
      <c r="W333" s="20">
        <v>49</v>
      </c>
      <c r="Y333" s="390"/>
      <c r="Z333" s="390"/>
      <c r="AA333" s="390"/>
      <c r="AB333" s="390"/>
      <c r="AC333" s="390"/>
      <c r="AD333" s="390"/>
      <c r="AE333" s="390"/>
      <c r="AF333" s="390"/>
      <c r="AG333" s="390"/>
      <c r="AH333" s="390"/>
      <c r="AI333" s="390"/>
      <c r="AJ333" s="390"/>
      <c r="AK333" s="390"/>
      <c r="AL333" s="390"/>
      <c r="AM333" s="390"/>
      <c r="AN333" s="390"/>
      <c r="AO333" s="390"/>
      <c r="AP333" s="390"/>
      <c r="AQ333" s="390"/>
      <c r="AR333" s="390"/>
      <c r="AS333" s="390"/>
    </row>
    <row r="334" spans="1:45" x14ac:dyDescent="0.3">
      <c r="B334" s="54" t="s">
        <v>51</v>
      </c>
      <c r="C334" s="55"/>
      <c r="D334" s="322">
        <v>0.26</v>
      </c>
      <c r="E334" s="322">
        <f>D334</f>
        <v>0.26</v>
      </c>
      <c r="F334" s="322">
        <f t="shared" ref="F334:S334" si="361">E334</f>
        <v>0.26</v>
      </c>
      <c r="G334" s="322">
        <f t="shared" si="361"/>
        <v>0.26</v>
      </c>
      <c r="H334" s="322">
        <f t="shared" si="361"/>
        <v>0.26</v>
      </c>
      <c r="I334" s="322">
        <f t="shared" si="361"/>
        <v>0.26</v>
      </c>
      <c r="J334" s="322">
        <f t="shared" si="361"/>
        <v>0.26</v>
      </c>
      <c r="K334" s="322">
        <f t="shared" si="361"/>
        <v>0.26</v>
      </c>
      <c r="L334" s="322">
        <f t="shared" si="361"/>
        <v>0.26</v>
      </c>
      <c r="M334" s="322">
        <f t="shared" si="361"/>
        <v>0.26</v>
      </c>
      <c r="N334" s="322">
        <f t="shared" si="361"/>
        <v>0.26</v>
      </c>
      <c r="O334" s="322">
        <f t="shared" si="361"/>
        <v>0.26</v>
      </c>
      <c r="P334" s="322">
        <f t="shared" si="361"/>
        <v>0.26</v>
      </c>
      <c r="Q334" s="322">
        <f t="shared" si="361"/>
        <v>0.26</v>
      </c>
      <c r="R334" s="322">
        <f t="shared" si="361"/>
        <v>0.26</v>
      </c>
      <c r="S334" s="322">
        <f t="shared" si="361"/>
        <v>0.26</v>
      </c>
      <c r="T334" s="218"/>
      <c r="U334" s="218"/>
      <c r="V334" s="218"/>
      <c r="W334" s="322">
        <f>D334</f>
        <v>0.26</v>
      </c>
      <c r="Y334" s="390"/>
      <c r="Z334" s="390"/>
      <c r="AA334" s="390"/>
      <c r="AB334" s="390"/>
      <c r="AC334" s="390"/>
      <c r="AD334" s="390"/>
      <c r="AE334" s="390"/>
      <c r="AF334" s="390"/>
      <c r="AG334" s="390"/>
      <c r="AH334" s="390"/>
      <c r="AI334" s="390"/>
      <c r="AJ334" s="390"/>
      <c r="AK334" s="390"/>
      <c r="AL334" s="390"/>
      <c r="AM334" s="390"/>
      <c r="AN334" s="390"/>
      <c r="AO334" s="390"/>
      <c r="AP334" s="390"/>
      <c r="AQ334" s="390"/>
      <c r="AR334" s="390"/>
      <c r="AS334" s="390"/>
    </row>
    <row r="335" spans="1:45" x14ac:dyDescent="0.3">
      <c r="B335" s="54" t="s">
        <v>60</v>
      </c>
      <c r="C335" s="55"/>
      <c r="D335" s="21">
        <v>0</v>
      </c>
      <c r="E335" s="21">
        <v>0</v>
      </c>
      <c r="F335" s="21">
        <v>0</v>
      </c>
      <c r="G335" s="21">
        <v>0</v>
      </c>
      <c r="H335" s="21">
        <v>0</v>
      </c>
      <c r="I335" s="21">
        <v>0</v>
      </c>
      <c r="J335" s="21">
        <v>0</v>
      </c>
      <c r="K335" s="21">
        <v>0</v>
      </c>
      <c r="L335" s="21">
        <v>0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>
        <v>0</v>
      </c>
      <c r="T335" s="21"/>
      <c r="U335" s="21"/>
      <c r="V335" s="21"/>
      <c r="W335" s="21">
        <v>0</v>
      </c>
      <c r="Y335" s="390"/>
      <c r="Z335" s="390"/>
      <c r="AA335" s="390"/>
      <c r="AB335" s="390"/>
      <c r="AC335" s="390"/>
      <c r="AD335" s="390"/>
      <c r="AE335" s="390"/>
      <c r="AF335" s="390"/>
      <c r="AG335" s="390"/>
      <c r="AH335" s="390"/>
      <c r="AI335" s="390"/>
      <c r="AJ335" s="390"/>
      <c r="AK335" s="390"/>
      <c r="AL335" s="390"/>
      <c r="AM335" s="390"/>
      <c r="AN335" s="390"/>
      <c r="AO335" s="390"/>
      <c r="AP335" s="390"/>
      <c r="AQ335" s="390"/>
      <c r="AR335" s="390"/>
      <c r="AS335" s="390"/>
    </row>
    <row r="336" spans="1:45" x14ac:dyDescent="0.3">
      <c r="B336" s="177" t="s">
        <v>67</v>
      </c>
      <c r="C336" s="178"/>
      <c r="D336" s="323">
        <f>D333-(D333*D334)</f>
        <v>36.26</v>
      </c>
      <c r="E336" s="323">
        <f t="shared" ref="E336:W336" si="362">E333-(E333*E334)</f>
        <v>36.26</v>
      </c>
      <c r="F336" s="323">
        <f t="shared" si="362"/>
        <v>36.26</v>
      </c>
      <c r="G336" s="323">
        <f t="shared" si="362"/>
        <v>36.26</v>
      </c>
      <c r="H336" s="323">
        <f t="shared" si="362"/>
        <v>36.26</v>
      </c>
      <c r="I336" s="323">
        <f t="shared" si="362"/>
        <v>36.26</v>
      </c>
      <c r="J336" s="323">
        <f t="shared" si="362"/>
        <v>36.26</v>
      </c>
      <c r="K336" s="323">
        <f t="shared" si="362"/>
        <v>36.26</v>
      </c>
      <c r="L336" s="323">
        <f t="shared" si="362"/>
        <v>36.26</v>
      </c>
      <c r="M336" s="323">
        <f t="shared" si="362"/>
        <v>36.26</v>
      </c>
      <c r="N336" s="323">
        <f t="shared" si="362"/>
        <v>36.26</v>
      </c>
      <c r="O336" s="323">
        <f t="shared" si="362"/>
        <v>36.26</v>
      </c>
      <c r="P336" s="323">
        <f t="shared" si="362"/>
        <v>36.26</v>
      </c>
      <c r="Q336" s="323">
        <f t="shared" si="362"/>
        <v>36.26</v>
      </c>
      <c r="R336" s="323">
        <f t="shared" si="362"/>
        <v>36.26</v>
      </c>
      <c r="S336" s="323">
        <f t="shared" si="362"/>
        <v>36.26</v>
      </c>
      <c r="T336" s="323">
        <v>39.659999999999997</v>
      </c>
      <c r="U336" s="323">
        <v>39.659999999999997</v>
      </c>
      <c r="V336" s="323">
        <v>39.659999999999997</v>
      </c>
      <c r="W336" s="323">
        <f t="shared" si="362"/>
        <v>36.26</v>
      </c>
      <c r="Y336" s="390"/>
      <c r="Z336" s="390"/>
      <c r="AA336" s="390"/>
      <c r="AB336" s="390"/>
      <c r="AC336" s="390"/>
      <c r="AD336" s="390"/>
      <c r="AE336" s="390"/>
      <c r="AF336" s="390"/>
      <c r="AG336" s="390"/>
      <c r="AH336" s="390"/>
      <c r="AI336" s="390"/>
      <c r="AJ336" s="390"/>
      <c r="AK336" s="390"/>
      <c r="AL336" s="390"/>
      <c r="AM336" s="390"/>
      <c r="AN336" s="390"/>
      <c r="AO336" s="390"/>
      <c r="AP336" s="390"/>
      <c r="AQ336" s="390"/>
      <c r="AR336" s="390"/>
      <c r="AS336" s="390"/>
    </row>
    <row r="337" spans="2:45" x14ac:dyDescent="0.3">
      <c r="B337" s="54" t="s">
        <v>66</v>
      </c>
      <c r="C337" s="56">
        <v>7.0000000000000007E-2</v>
      </c>
      <c r="D337" s="24">
        <f>D336*$C337</f>
        <v>2.5382000000000002</v>
      </c>
      <c r="E337" s="24">
        <f t="shared" ref="E337:V337" si="363">E336*$C337</f>
        <v>2.5382000000000002</v>
      </c>
      <c r="F337" s="24">
        <f t="shared" si="363"/>
        <v>2.5382000000000002</v>
      </c>
      <c r="G337" s="24">
        <f t="shared" si="363"/>
        <v>2.5382000000000002</v>
      </c>
      <c r="H337" s="24">
        <f t="shared" si="363"/>
        <v>2.5382000000000002</v>
      </c>
      <c r="I337" s="24">
        <f t="shared" si="363"/>
        <v>2.5382000000000002</v>
      </c>
      <c r="J337" s="24">
        <f t="shared" si="363"/>
        <v>2.5382000000000002</v>
      </c>
      <c r="K337" s="24">
        <f t="shared" si="363"/>
        <v>2.5382000000000002</v>
      </c>
      <c r="L337" s="24">
        <f t="shared" si="363"/>
        <v>2.5382000000000002</v>
      </c>
      <c r="M337" s="24">
        <f t="shared" si="363"/>
        <v>2.5382000000000002</v>
      </c>
      <c r="N337" s="24">
        <f t="shared" si="363"/>
        <v>2.5382000000000002</v>
      </c>
      <c r="O337" s="24">
        <f t="shared" si="363"/>
        <v>2.5382000000000002</v>
      </c>
      <c r="P337" s="24">
        <f t="shared" si="363"/>
        <v>2.5382000000000002</v>
      </c>
      <c r="Q337" s="24">
        <f t="shared" si="363"/>
        <v>2.5382000000000002</v>
      </c>
      <c r="R337" s="24">
        <f t="shared" si="363"/>
        <v>2.5382000000000002</v>
      </c>
      <c r="S337" s="24">
        <f t="shared" si="363"/>
        <v>2.5382000000000002</v>
      </c>
      <c r="T337" s="24">
        <f t="shared" si="363"/>
        <v>2.7762000000000002</v>
      </c>
      <c r="U337" s="24">
        <f t="shared" si="363"/>
        <v>2.7762000000000002</v>
      </c>
      <c r="V337" s="24">
        <f t="shared" si="363"/>
        <v>2.7762000000000002</v>
      </c>
      <c r="W337" s="24">
        <f>W336*$C337</f>
        <v>2.5382000000000002</v>
      </c>
      <c r="Y337" s="390"/>
      <c r="Z337" s="390"/>
      <c r="AA337" s="390"/>
      <c r="AB337" s="390"/>
      <c r="AC337" s="390"/>
      <c r="AD337" s="390"/>
      <c r="AE337" s="390"/>
      <c r="AF337" s="390"/>
      <c r="AG337" s="390"/>
      <c r="AH337" s="390"/>
      <c r="AI337" s="390"/>
      <c r="AJ337" s="390"/>
      <c r="AK337" s="390"/>
      <c r="AL337" s="390"/>
      <c r="AM337" s="390"/>
      <c r="AN337" s="390"/>
      <c r="AO337" s="390"/>
      <c r="AP337" s="390"/>
      <c r="AQ337" s="390"/>
      <c r="AR337" s="390"/>
      <c r="AS337" s="390"/>
    </row>
    <row r="338" spans="2:45" x14ac:dyDescent="0.3">
      <c r="B338" s="54" t="s">
        <v>68</v>
      </c>
      <c r="C338" s="55"/>
      <c r="D338" s="21">
        <f>D336+D337</f>
        <v>38.798200000000001</v>
      </c>
      <c r="E338" s="21">
        <f t="shared" ref="E338:W338" si="364">E336+E337</f>
        <v>38.798200000000001</v>
      </c>
      <c r="F338" s="21">
        <f t="shared" si="364"/>
        <v>38.798200000000001</v>
      </c>
      <c r="G338" s="21">
        <f t="shared" si="364"/>
        <v>38.798200000000001</v>
      </c>
      <c r="H338" s="21">
        <f t="shared" si="364"/>
        <v>38.798200000000001</v>
      </c>
      <c r="I338" s="21">
        <f t="shared" si="364"/>
        <v>38.798200000000001</v>
      </c>
      <c r="J338" s="21">
        <f t="shared" si="364"/>
        <v>38.798200000000001</v>
      </c>
      <c r="K338" s="21">
        <f t="shared" si="364"/>
        <v>38.798200000000001</v>
      </c>
      <c r="L338" s="21">
        <f t="shared" si="364"/>
        <v>38.798200000000001</v>
      </c>
      <c r="M338" s="21">
        <f t="shared" si="364"/>
        <v>38.798200000000001</v>
      </c>
      <c r="N338" s="21">
        <f t="shared" si="364"/>
        <v>38.798200000000001</v>
      </c>
      <c r="O338" s="21">
        <f t="shared" si="364"/>
        <v>38.798200000000001</v>
      </c>
      <c r="P338" s="21">
        <f t="shared" si="364"/>
        <v>38.798200000000001</v>
      </c>
      <c r="Q338" s="21">
        <f t="shared" si="364"/>
        <v>38.798200000000001</v>
      </c>
      <c r="R338" s="21">
        <f t="shared" si="364"/>
        <v>38.798200000000001</v>
      </c>
      <c r="S338" s="21">
        <f t="shared" si="364"/>
        <v>38.798200000000001</v>
      </c>
      <c r="T338" s="21">
        <f t="shared" si="364"/>
        <v>42.436199999999999</v>
      </c>
      <c r="U338" s="21">
        <f t="shared" si="364"/>
        <v>42.436199999999999</v>
      </c>
      <c r="V338" s="21">
        <f t="shared" si="364"/>
        <v>42.436199999999999</v>
      </c>
      <c r="W338" s="21">
        <f t="shared" si="364"/>
        <v>38.798200000000001</v>
      </c>
      <c r="Y338" s="390"/>
      <c r="Z338" s="390"/>
      <c r="AA338" s="390"/>
      <c r="AB338" s="390"/>
      <c r="AC338" s="390"/>
      <c r="AD338" s="390"/>
      <c r="AE338" s="390"/>
      <c r="AF338" s="390"/>
      <c r="AG338" s="390"/>
      <c r="AH338" s="390"/>
      <c r="AI338" s="390"/>
      <c r="AJ338" s="390"/>
      <c r="AK338" s="390"/>
      <c r="AL338" s="390"/>
      <c r="AM338" s="390"/>
      <c r="AN338" s="390"/>
      <c r="AO338" s="390"/>
      <c r="AP338" s="390"/>
      <c r="AQ338" s="390"/>
      <c r="AR338" s="390"/>
      <c r="AS338" s="390"/>
    </row>
    <row r="339" spans="2:45" x14ac:dyDescent="0.3">
      <c r="B339" s="54" t="s">
        <v>52</v>
      </c>
      <c r="C339" s="55"/>
      <c r="D339" s="398">
        <f>Y341</f>
        <v>1.7402777777777778</v>
      </c>
      <c r="E339" s="398">
        <f t="shared" ref="E339:W339" si="365">Z341</f>
        <v>3.9530555555555558</v>
      </c>
      <c r="F339" s="398">
        <f t="shared" si="365"/>
        <v>4.7437500000000004</v>
      </c>
      <c r="G339" s="398">
        <f t="shared" si="365"/>
        <v>3.1625000000000001</v>
      </c>
      <c r="H339" s="398">
        <f t="shared" si="365"/>
        <v>1.6941666666666666</v>
      </c>
      <c r="I339" s="398">
        <f t="shared" si="365"/>
        <v>2.2588888888888889</v>
      </c>
      <c r="J339" s="398">
        <f t="shared" si="365"/>
        <v>3.5013888888888891</v>
      </c>
      <c r="K339" s="398">
        <f t="shared" si="365"/>
        <v>2.8688888888888888</v>
      </c>
      <c r="L339" s="398">
        <f t="shared" si="365"/>
        <v>3.3883333333333332</v>
      </c>
      <c r="M339" s="398">
        <f t="shared" si="365"/>
        <v>1.6263888888888889</v>
      </c>
      <c r="N339" s="398">
        <f t="shared" si="365"/>
        <v>1.8072222222222223</v>
      </c>
      <c r="O339" s="398">
        <f t="shared" si="365"/>
        <v>4.2473611111111111</v>
      </c>
      <c r="P339" s="398">
        <f t="shared" si="365"/>
        <v>1.6263888888888889</v>
      </c>
      <c r="Q339" s="398">
        <f t="shared" si="365"/>
        <v>1.6263888888888889</v>
      </c>
      <c r="R339" s="398">
        <f t="shared" si="365"/>
        <v>2.1459722222222224</v>
      </c>
      <c r="S339" s="398">
        <f t="shared" si="365"/>
        <v>2.0330555555555554</v>
      </c>
      <c r="T339" s="398">
        <f t="shared" si="365"/>
        <v>0</v>
      </c>
      <c r="U339" s="398">
        <f t="shared" si="365"/>
        <v>4.2473611111111111</v>
      </c>
      <c r="V339" s="398">
        <f t="shared" si="365"/>
        <v>0</v>
      </c>
      <c r="W339" s="398">
        <f t="shared" si="365"/>
        <v>1.6263888888888889</v>
      </c>
      <c r="Y339" s="390">
        <v>12530</v>
      </c>
      <c r="Z339" s="390">
        <v>28462</v>
      </c>
      <c r="AA339" s="390">
        <v>34155</v>
      </c>
      <c r="AB339" s="390">
        <v>22770</v>
      </c>
      <c r="AC339" s="390">
        <v>12198</v>
      </c>
      <c r="AD339" s="390">
        <v>16264</v>
      </c>
      <c r="AE339" s="390">
        <v>25210</v>
      </c>
      <c r="AF339" s="390">
        <v>20656</v>
      </c>
      <c r="AG339" s="390">
        <v>24396</v>
      </c>
      <c r="AH339" s="390">
        <v>11710</v>
      </c>
      <c r="AI339" s="390">
        <v>13012</v>
      </c>
      <c r="AJ339" s="390">
        <v>30581</v>
      </c>
      <c r="AK339" s="396">
        <v>11710</v>
      </c>
      <c r="AL339" s="396">
        <v>11710</v>
      </c>
      <c r="AM339" s="390">
        <v>15451</v>
      </c>
      <c r="AN339" s="390">
        <v>14638</v>
      </c>
      <c r="AO339" s="390"/>
      <c r="AP339" s="396">
        <v>30581</v>
      </c>
      <c r="AQ339" s="390"/>
      <c r="AR339" s="396">
        <v>11710</v>
      </c>
      <c r="AS339" s="390"/>
    </row>
    <row r="340" spans="2:45" x14ac:dyDescent="0.3">
      <c r="B340" s="57" t="s">
        <v>53</v>
      </c>
      <c r="C340" s="58"/>
      <c r="D340" s="25">
        <f>SUM(D338:D339)</f>
        <v>40.538477777777778</v>
      </c>
      <c r="E340" s="26">
        <f t="shared" ref="E340:S340" si="366">SUM(E338:E339)</f>
        <v>42.751255555555559</v>
      </c>
      <c r="F340" s="26">
        <f t="shared" si="366"/>
        <v>43.54195</v>
      </c>
      <c r="G340" s="26">
        <f t="shared" si="366"/>
        <v>41.960700000000003</v>
      </c>
      <c r="H340" s="26">
        <f t="shared" si="366"/>
        <v>40.492366666666669</v>
      </c>
      <c r="I340" s="26">
        <f t="shared" si="366"/>
        <v>41.057088888888892</v>
      </c>
      <c r="J340" s="26">
        <f t="shared" si="366"/>
        <v>42.299588888888891</v>
      </c>
      <c r="K340" s="26">
        <f t="shared" si="366"/>
        <v>41.667088888888891</v>
      </c>
      <c r="L340" s="26">
        <f t="shared" si="366"/>
        <v>42.186533333333337</v>
      </c>
      <c r="M340" s="26">
        <f t="shared" si="366"/>
        <v>40.424588888888891</v>
      </c>
      <c r="N340" s="26">
        <f t="shared" si="366"/>
        <v>40.605422222222224</v>
      </c>
      <c r="O340" s="26">
        <f t="shared" si="366"/>
        <v>43.045561111111112</v>
      </c>
      <c r="P340" s="26">
        <f t="shared" si="366"/>
        <v>40.424588888888891</v>
      </c>
      <c r="Q340" s="26">
        <f t="shared" si="366"/>
        <v>40.424588888888891</v>
      </c>
      <c r="R340" s="26">
        <f t="shared" si="366"/>
        <v>40.944172222222221</v>
      </c>
      <c r="S340" s="26">
        <f t="shared" si="366"/>
        <v>40.831255555555558</v>
      </c>
      <c r="T340" s="26">
        <f>SUM(T338:T339)+T339</f>
        <v>42.436199999999999</v>
      </c>
      <c r="U340" s="26">
        <f>SUM(U338:U339)+U339</f>
        <v>50.930922222222222</v>
      </c>
      <c r="V340" s="26">
        <f>SUM(V338:V339)+V339</f>
        <v>42.436199999999999</v>
      </c>
      <c r="W340" s="26">
        <f>SUM(W338:W339)</f>
        <v>40.424588888888891</v>
      </c>
      <c r="Y340" s="390">
        <v>7200</v>
      </c>
      <c r="Z340" s="390">
        <v>7200</v>
      </c>
      <c r="AA340" s="390">
        <v>7200</v>
      </c>
      <c r="AB340" s="390">
        <v>7200</v>
      </c>
      <c r="AC340" s="390">
        <v>7200</v>
      </c>
      <c r="AD340" s="390">
        <v>7200</v>
      </c>
      <c r="AE340" s="390">
        <v>7200</v>
      </c>
      <c r="AF340" s="390">
        <v>7200</v>
      </c>
      <c r="AG340" s="390">
        <v>7200</v>
      </c>
      <c r="AH340" s="390">
        <v>7200</v>
      </c>
      <c r="AI340" s="390">
        <v>7200</v>
      </c>
      <c r="AJ340" s="390">
        <v>7200</v>
      </c>
      <c r="AK340" s="390">
        <v>7200</v>
      </c>
      <c r="AL340" s="390">
        <v>7200</v>
      </c>
      <c r="AM340" s="390">
        <v>7200</v>
      </c>
      <c r="AN340" s="390">
        <v>7200</v>
      </c>
      <c r="AO340" s="390">
        <v>7200</v>
      </c>
      <c r="AP340" s="390">
        <v>7200</v>
      </c>
      <c r="AQ340" s="390">
        <v>7200</v>
      </c>
      <c r="AR340" s="390">
        <v>7200</v>
      </c>
      <c r="AS340" s="390"/>
    </row>
    <row r="341" spans="2:45" x14ac:dyDescent="0.3">
      <c r="B341" s="54" t="s">
        <v>54</v>
      </c>
      <c r="C341" s="55"/>
      <c r="D341" s="20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Y341" s="389">
        <f>Y339/Y340</f>
        <v>1.7402777777777778</v>
      </c>
      <c r="Z341" s="389">
        <f t="shared" ref="Z341" si="367">Z339/Z340</f>
        <v>3.9530555555555558</v>
      </c>
      <c r="AA341" s="389">
        <f t="shared" ref="AA341" si="368">AA339/AA340</f>
        <v>4.7437500000000004</v>
      </c>
      <c r="AB341" s="389">
        <f t="shared" ref="AB341" si="369">AB339/AB340</f>
        <v>3.1625000000000001</v>
      </c>
      <c r="AC341" s="389">
        <f t="shared" ref="AC341" si="370">AC339/AC340</f>
        <v>1.6941666666666666</v>
      </c>
      <c r="AD341" s="389">
        <f t="shared" ref="AD341" si="371">AD339/AD340</f>
        <v>2.2588888888888889</v>
      </c>
      <c r="AE341" s="389">
        <f t="shared" ref="AE341" si="372">AE339/AE340</f>
        <v>3.5013888888888891</v>
      </c>
      <c r="AF341" s="389">
        <f t="shared" ref="AF341" si="373">AF339/AF340</f>
        <v>2.8688888888888888</v>
      </c>
      <c r="AG341" s="389">
        <f t="shared" ref="AG341" si="374">AG339/AG340</f>
        <v>3.3883333333333332</v>
      </c>
      <c r="AH341" s="389">
        <f t="shared" ref="AH341" si="375">AH339/AH340</f>
        <v>1.6263888888888889</v>
      </c>
      <c r="AI341" s="389">
        <f t="shared" ref="AI341" si="376">AI339/AI340</f>
        <v>1.8072222222222223</v>
      </c>
      <c r="AJ341" s="389">
        <f t="shared" ref="AJ341" si="377">AJ339/AJ340</f>
        <v>4.2473611111111111</v>
      </c>
      <c r="AK341" s="389">
        <f t="shared" ref="AK341" si="378">AK339/AK340</f>
        <v>1.6263888888888889</v>
      </c>
      <c r="AL341" s="389">
        <f t="shared" ref="AL341" si="379">AL339/AL340</f>
        <v>1.6263888888888889</v>
      </c>
      <c r="AM341" s="389">
        <f t="shared" ref="AM341" si="380">AM339/AM340</f>
        <v>2.1459722222222224</v>
      </c>
      <c r="AN341" s="389">
        <f t="shared" ref="AN341" si="381">AN339/AN340</f>
        <v>2.0330555555555554</v>
      </c>
      <c r="AO341" s="390"/>
      <c r="AP341" s="389">
        <f t="shared" ref="AP341" si="382">AP339/AP340</f>
        <v>4.2473611111111111</v>
      </c>
      <c r="AQ341" s="390"/>
      <c r="AR341" s="389">
        <f t="shared" ref="AR341" si="383">AR339/AR340</f>
        <v>1.6263888888888889</v>
      </c>
      <c r="AS341" s="390"/>
    </row>
    <row r="342" spans="2:45" x14ac:dyDescent="0.3">
      <c r="B342" s="59" t="s">
        <v>55</v>
      </c>
      <c r="C342" s="60"/>
      <c r="D342" s="27">
        <f>SUM(D340:D341)</f>
        <v>40.538477777777778</v>
      </c>
      <c r="E342" s="41">
        <f t="shared" ref="E342:V342" si="384">SUM(E340:E341)</f>
        <v>42.751255555555559</v>
      </c>
      <c r="F342" s="41">
        <f t="shared" si="384"/>
        <v>43.54195</v>
      </c>
      <c r="G342" s="41">
        <f t="shared" si="384"/>
        <v>41.960700000000003</v>
      </c>
      <c r="H342" s="41">
        <f t="shared" si="384"/>
        <v>40.492366666666669</v>
      </c>
      <c r="I342" s="41">
        <f t="shared" si="384"/>
        <v>41.057088888888892</v>
      </c>
      <c r="J342" s="41">
        <f t="shared" si="384"/>
        <v>42.299588888888891</v>
      </c>
      <c r="K342" s="41">
        <f t="shared" si="384"/>
        <v>41.667088888888891</v>
      </c>
      <c r="L342" s="41">
        <f t="shared" si="384"/>
        <v>42.186533333333337</v>
      </c>
      <c r="M342" s="41">
        <f t="shared" si="384"/>
        <v>40.424588888888891</v>
      </c>
      <c r="N342" s="41">
        <f t="shared" si="384"/>
        <v>40.605422222222224</v>
      </c>
      <c r="O342" s="41">
        <f t="shared" si="384"/>
        <v>43.045561111111112</v>
      </c>
      <c r="P342" s="41">
        <f t="shared" si="384"/>
        <v>40.424588888888891</v>
      </c>
      <c r="Q342" s="41">
        <f t="shared" si="384"/>
        <v>40.424588888888891</v>
      </c>
      <c r="R342" s="41">
        <f t="shared" si="384"/>
        <v>40.944172222222221</v>
      </c>
      <c r="S342" s="41">
        <f t="shared" si="384"/>
        <v>40.831255555555558</v>
      </c>
      <c r="T342" s="41">
        <f t="shared" si="384"/>
        <v>42.436199999999999</v>
      </c>
      <c r="U342" s="41">
        <f t="shared" si="384"/>
        <v>50.930922222222222</v>
      </c>
      <c r="V342" s="41">
        <f t="shared" si="384"/>
        <v>42.436199999999999</v>
      </c>
      <c r="W342" s="41">
        <f>SUM(W340:W341)</f>
        <v>40.424588888888891</v>
      </c>
      <c r="Y342" s="390"/>
      <c r="Z342" s="390"/>
      <c r="AA342" s="390"/>
      <c r="AB342" s="390"/>
      <c r="AC342" s="390"/>
      <c r="AD342" s="390"/>
      <c r="AE342" s="390"/>
      <c r="AF342" s="390"/>
      <c r="AG342" s="390"/>
      <c r="AH342" s="390"/>
      <c r="AI342" s="390"/>
      <c r="AJ342" s="390"/>
      <c r="AK342" s="390"/>
      <c r="AL342" s="390"/>
      <c r="AM342" s="390"/>
      <c r="AN342" s="390"/>
      <c r="AO342" s="390"/>
      <c r="AP342" s="390"/>
      <c r="AQ342" s="390"/>
      <c r="AR342" s="390"/>
      <c r="AS342" s="390"/>
    </row>
    <row r="343" spans="2:45" x14ac:dyDescent="0.3">
      <c r="B343" s="61" t="s">
        <v>101</v>
      </c>
      <c r="C343" s="55"/>
      <c r="D343" s="43">
        <v>0</v>
      </c>
      <c r="E343" s="408">
        <v>0</v>
      </c>
      <c r="F343" s="408">
        <v>0</v>
      </c>
      <c r="G343" s="408">
        <v>0</v>
      </c>
      <c r="H343" s="408">
        <v>0</v>
      </c>
      <c r="I343" s="408">
        <v>0</v>
      </c>
      <c r="J343" s="408">
        <v>0</v>
      </c>
      <c r="K343" s="408">
        <v>0</v>
      </c>
      <c r="L343" s="408">
        <v>0</v>
      </c>
      <c r="M343" s="408">
        <v>0</v>
      </c>
      <c r="N343" s="408">
        <v>0</v>
      </c>
      <c r="O343" s="408">
        <v>0</v>
      </c>
      <c r="P343" s="408">
        <v>0</v>
      </c>
      <c r="Q343" s="408">
        <v>0</v>
      </c>
      <c r="R343" s="408">
        <v>0</v>
      </c>
      <c r="S343" s="408">
        <v>0</v>
      </c>
      <c r="T343" s="408">
        <v>0</v>
      </c>
      <c r="U343" s="408">
        <v>0</v>
      </c>
      <c r="V343" s="408">
        <v>0</v>
      </c>
      <c r="W343" s="408">
        <v>0</v>
      </c>
      <c r="Y343" s="409"/>
      <c r="Z343" s="409"/>
      <c r="AA343" s="409"/>
      <c r="AB343" s="409"/>
      <c r="AC343" s="409"/>
      <c r="AD343" s="409"/>
      <c r="AE343" s="409"/>
      <c r="AF343" s="409"/>
      <c r="AG343" s="409"/>
      <c r="AH343" s="409"/>
      <c r="AI343" s="409"/>
      <c r="AJ343" s="409"/>
      <c r="AK343" s="409"/>
      <c r="AL343" s="409"/>
      <c r="AM343" s="409"/>
      <c r="AN343" s="409"/>
      <c r="AO343" s="409"/>
      <c r="AP343" s="409"/>
      <c r="AQ343" s="409"/>
      <c r="AR343" s="409"/>
      <c r="AS343" s="409"/>
    </row>
    <row r="344" spans="2:45" x14ac:dyDescent="0.3">
      <c r="B344" s="171" t="s">
        <v>194</v>
      </c>
      <c r="C344" s="55"/>
      <c r="D344" s="20">
        <v>43</v>
      </c>
      <c r="E344" s="21">
        <v>45</v>
      </c>
      <c r="F344" s="21">
        <v>46</v>
      </c>
      <c r="G344" s="21">
        <v>44</v>
      </c>
      <c r="H344" s="21">
        <v>43</v>
      </c>
      <c r="I344" s="21">
        <v>44</v>
      </c>
      <c r="J344" s="21">
        <v>45</v>
      </c>
      <c r="K344" s="21">
        <v>44</v>
      </c>
      <c r="L344" s="21">
        <v>45</v>
      </c>
      <c r="M344" s="21">
        <v>43</v>
      </c>
      <c r="N344" s="21">
        <v>43</v>
      </c>
      <c r="O344" s="21">
        <v>46</v>
      </c>
      <c r="P344" s="21">
        <v>43</v>
      </c>
      <c r="Q344" s="21">
        <v>43</v>
      </c>
      <c r="R344" s="21">
        <v>43</v>
      </c>
      <c r="S344" s="21">
        <v>43</v>
      </c>
      <c r="T344" s="21">
        <v>45</v>
      </c>
      <c r="U344" s="21">
        <v>53</v>
      </c>
      <c r="V344" s="21">
        <v>45</v>
      </c>
      <c r="W344" s="21">
        <v>43</v>
      </c>
      <c r="Y344" s="390"/>
      <c r="Z344" s="390"/>
      <c r="AA344" s="390"/>
      <c r="AB344" s="390"/>
      <c r="AC344" s="390"/>
      <c r="AD344" s="390"/>
      <c r="AE344" s="390"/>
      <c r="AF344" s="390"/>
      <c r="AG344" s="390"/>
      <c r="AH344" s="390"/>
      <c r="AI344" s="390"/>
      <c r="AJ344" s="390"/>
      <c r="AK344" s="390"/>
      <c r="AL344" s="390"/>
      <c r="AM344" s="390"/>
      <c r="AN344" s="390"/>
      <c r="AO344" s="390"/>
      <c r="AP344" s="390"/>
      <c r="AQ344" s="390"/>
      <c r="AR344" s="390"/>
      <c r="AS344" s="390"/>
    </row>
    <row r="345" spans="2:45" x14ac:dyDescent="0.3">
      <c r="B345" s="61" t="s">
        <v>195</v>
      </c>
      <c r="C345" s="55"/>
      <c r="D345" s="106">
        <v>44</v>
      </c>
      <c r="E345" s="21">
        <v>46</v>
      </c>
      <c r="F345" s="21">
        <v>47</v>
      </c>
      <c r="G345" s="21">
        <v>45</v>
      </c>
      <c r="H345" s="21">
        <v>44</v>
      </c>
      <c r="I345" s="21">
        <v>45</v>
      </c>
      <c r="J345" s="21">
        <v>46</v>
      </c>
      <c r="K345" s="21">
        <v>45</v>
      </c>
      <c r="L345" s="21">
        <v>46</v>
      </c>
      <c r="M345" s="21">
        <v>44</v>
      </c>
      <c r="N345" s="21">
        <v>44</v>
      </c>
      <c r="O345" s="21">
        <v>47</v>
      </c>
      <c r="P345" s="21">
        <v>44</v>
      </c>
      <c r="Q345" s="21">
        <v>44</v>
      </c>
      <c r="R345" s="21">
        <v>44</v>
      </c>
      <c r="S345" s="21">
        <v>44</v>
      </c>
      <c r="T345" s="21">
        <v>46</v>
      </c>
      <c r="U345" s="21">
        <v>54</v>
      </c>
      <c r="V345" s="21">
        <v>46</v>
      </c>
      <c r="W345" s="21">
        <v>44</v>
      </c>
      <c r="Y345" s="390"/>
      <c r="Z345" s="390"/>
      <c r="AA345" s="390"/>
      <c r="AB345" s="390"/>
      <c r="AC345" s="390"/>
      <c r="AD345" s="390"/>
      <c r="AE345" s="390"/>
      <c r="AF345" s="390"/>
      <c r="AG345" s="390"/>
      <c r="AH345" s="390"/>
      <c r="AI345" s="390"/>
      <c r="AJ345" s="390"/>
      <c r="AK345" s="390"/>
      <c r="AL345" s="390"/>
      <c r="AM345" s="390"/>
      <c r="AN345" s="390"/>
      <c r="AO345" s="390"/>
      <c r="AP345" s="390"/>
      <c r="AQ345" s="390"/>
      <c r="AR345" s="390"/>
      <c r="AS345" s="390"/>
    </row>
    <row r="346" spans="2:45" s="30" customFormat="1" x14ac:dyDescent="0.3">
      <c r="B346" s="61" t="s">
        <v>196</v>
      </c>
      <c r="C346" s="62"/>
      <c r="D346" s="28">
        <v>45</v>
      </c>
      <c r="E346" s="28">
        <v>47</v>
      </c>
      <c r="F346" s="28">
        <v>48</v>
      </c>
      <c r="G346" s="28">
        <v>46</v>
      </c>
      <c r="H346" s="28">
        <v>45</v>
      </c>
      <c r="I346" s="28">
        <v>46</v>
      </c>
      <c r="J346" s="28">
        <v>47</v>
      </c>
      <c r="K346" s="28">
        <v>46</v>
      </c>
      <c r="L346" s="28">
        <v>47</v>
      </c>
      <c r="M346" s="28">
        <v>45</v>
      </c>
      <c r="N346" s="28">
        <v>45</v>
      </c>
      <c r="O346" s="28">
        <v>48</v>
      </c>
      <c r="P346" s="28">
        <v>45</v>
      </c>
      <c r="Q346" s="28">
        <v>45</v>
      </c>
      <c r="R346" s="28">
        <v>45</v>
      </c>
      <c r="S346" s="28">
        <v>45</v>
      </c>
      <c r="T346" s="28">
        <v>47</v>
      </c>
      <c r="U346" s="28">
        <v>55</v>
      </c>
      <c r="V346" s="28">
        <v>47</v>
      </c>
      <c r="W346" s="28">
        <v>45</v>
      </c>
      <c r="Y346" s="391"/>
      <c r="Z346" s="391"/>
      <c r="AA346" s="391"/>
      <c r="AB346" s="391"/>
      <c r="AC346" s="391"/>
      <c r="AD346" s="391"/>
      <c r="AE346" s="391"/>
      <c r="AF346" s="391"/>
      <c r="AG346" s="391"/>
      <c r="AH346" s="391"/>
      <c r="AI346" s="391"/>
      <c r="AJ346" s="391"/>
      <c r="AK346" s="391"/>
      <c r="AL346" s="391"/>
      <c r="AM346" s="391"/>
      <c r="AN346" s="391"/>
      <c r="AO346" s="391"/>
      <c r="AP346" s="391"/>
      <c r="AQ346" s="391"/>
      <c r="AR346" s="391"/>
      <c r="AS346" s="391"/>
    </row>
    <row r="347" spans="2:45" s="30" customFormat="1" x14ac:dyDescent="0.3">
      <c r="B347" s="61" t="s">
        <v>197</v>
      </c>
      <c r="C347" s="62"/>
      <c r="D347" s="28">
        <v>46</v>
      </c>
      <c r="E347" s="28">
        <v>48</v>
      </c>
      <c r="F347" s="28">
        <v>49</v>
      </c>
      <c r="G347" s="28">
        <v>47</v>
      </c>
      <c r="H347" s="28">
        <v>46</v>
      </c>
      <c r="I347" s="28">
        <v>47</v>
      </c>
      <c r="J347" s="28">
        <v>48</v>
      </c>
      <c r="K347" s="28">
        <v>47</v>
      </c>
      <c r="L347" s="28">
        <v>48</v>
      </c>
      <c r="M347" s="28">
        <v>46</v>
      </c>
      <c r="N347" s="28">
        <v>46</v>
      </c>
      <c r="O347" s="28">
        <v>49</v>
      </c>
      <c r="P347" s="28">
        <v>46</v>
      </c>
      <c r="Q347" s="28">
        <v>46</v>
      </c>
      <c r="R347" s="28">
        <v>46</v>
      </c>
      <c r="S347" s="28">
        <v>46</v>
      </c>
      <c r="T347" s="28">
        <v>48</v>
      </c>
      <c r="U347" s="28">
        <v>56</v>
      </c>
      <c r="V347" s="28">
        <v>48</v>
      </c>
      <c r="W347" s="28">
        <v>46</v>
      </c>
      <c r="Y347" s="391"/>
      <c r="Z347" s="391"/>
      <c r="AA347" s="391"/>
      <c r="AB347" s="391"/>
      <c r="AC347" s="391"/>
      <c r="AD347" s="391"/>
      <c r="AE347" s="391"/>
      <c r="AF347" s="391"/>
      <c r="AG347" s="391"/>
      <c r="AH347" s="391"/>
      <c r="AI347" s="391"/>
      <c r="AJ347" s="391"/>
      <c r="AK347" s="391"/>
      <c r="AL347" s="391"/>
      <c r="AM347" s="391"/>
      <c r="AN347" s="391"/>
      <c r="AO347" s="391"/>
      <c r="AP347" s="391"/>
      <c r="AQ347" s="391"/>
      <c r="AR347" s="391"/>
      <c r="AS347" s="391"/>
    </row>
    <row r="348" spans="2:45" x14ac:dyDescent="0.3">
      <c r="B348" s="63" t="s">
        <v>103</v>
      </c>
      <c r="C348" s="55"/>
      <c r="D348" s="43">
        <v>0</v>
      </c>
      <c r="E348" s="408">
        <v>0</v>
      </c>
      <c r="F348" s="408">
        <v>0</v>
      </c>
      <c r="G348" s="408">
        <v>0</v>
      </c>
      <c r="H348" s="408">
        <v>0</v>
      </c>
      <c r="I348" s="408">
        <v>0</v>
      </c>
      <c r="J348" s="408">
        <v>0</v>
      </c>
      <c r="K348" s="408">
        <v>0</v>
      </c>
      <c r="L348" s="408">
        <v>0</v>
      </c>
      <c r="M348" s="408">
        <v>0</v>
      </c>
      <c r="N348" s="408">
        <v>0</v>
      </c>
      <c r="O348" s="408">
        <v>0</v>
      </c>
      <c r="P348" s="408">
        <v>0</v>
      </c>
      <c r="Q348" s="408">
        <v>0</v>
      </c>
      <c r="R348" s="408">
        <v>0</v>
      </c>
      <c r="S348" s="408">
        <v>0</v>
      </c>
      <c r="T348" s="408">
        <v>0</v>
      </c>
      <c r="U348" s="408">
        <v>0</v>
      </c>
      <c r="V348" s="408">
        <v>0</v>
      </c>
      <c r="W348" s="408">
        <v>0</v>
      </c>
      <c r="Y348" s="409"/>
      <c r="Z348" s="409"/>
      <c r="AA348" s="409"/>
      <c r="AB348" s="409"/>
      <c r="AC348" s="409"/>
      <c r="AD348" s="409"/>
      <c r="AE348" s="409"/>
      <c r="AF348" s="409"/>
      <c r="AG348" s="409"/>
      <c r="AH348" s="409"/>
      <c r="AI348" s="409"/>
      <c r="AJ348" s="409"/>
      <c r="AK348" s="409"/>
      <c r="AL348" s="409"/>
      <c r="AM348" s="409"/>
      <c r="AN348" s="409"/>
      <c r="AO348" s="409"/>
      <c r="AP348" s="409"/>
      <c r="AQ348" s="409"/>
      <c r="AR348" s="409"/>
      <c r="AS348" s="409"/>
    </row>
    <row r="349" spans="2:45" s="33" customFormat="1" x14ac:dyDescent="0.3">
      <c r="B349" s="63" t="s">
        <v>198</v>
      </c>
      <c r="C349" s="64"/>
      <c r="D349" s="31">
        <f t="shared" ref="D349:W349" si="385">+D344-D$342</f>
        <v>2.4615222222222215</v>
      </c>
      <c r="E349" s="32">
        <f t="shared" si="385"/>
        <v>2.2487444444444407</v>
      </c>
      <c r="F349" s="32">
        <f t="shared" si="385"/>
        <v>2.4580500000000001</v>
      </c>
      <c r="G349" s="32">
        <f t="shared" si="385"/>
        <v>2.0392999999999972</v>
      </c>
      <c r="H349" s="32">
        <f t="shared" si="385"/>
        <v>2.5076333333333309</v>
      </c>
      <c r="I349" s="32">
        <f t="shared" si="385"/>
        <v>2.9429111111111084</v>
      </c>
      <c r="J349" s="32">
        <f t="shared" si="385"/>
        <v>2.7004111111111087</v>
      </c>
      <c r="K349" s="32">
        <f t="shared" si="385"/>
        <v>2.3329111111111089</v>
      </c>
      <c r="L349" s="32">
        <f t="shared" si="385"/>
        <v>2.8134666666666632</v>
      </c>
      <c r="M349" s="32">
        <f t="shared" si="385"/>
        <v>2.5754111111111087</v>
      </c>
      <c r="N349" s="32">
        <f t="shared" si="385"/>
        <v>2.3945777777777764</v>
      </c>
      <c r="O349" s="32">
        <f t="shared" si="385"/>
        <v>2.9544388888888875</v>
      </c>
      <c r="P349" s="32">
        <f t="shared" si="385"/>
        <v>2.5754111111111087</v>
      </c>
      <c r="Q349" s="32">
        <f t="shared" si="385"/>
        <v>2.5754111111111087</v>
      </c>
      <c r="R349" s="32">
        <f t="shared" si="385"/>
        <v>2.0558277777777789</v>
      </c>
      <c r="S349" s="32">
        <f t="shared" si="385"/>
        <v>2.1687444444444424</v>
      </c>
      <c r="T349" s="32">
        <f t="shared" si="385"/>
        <v>2.5638000000000005</v>
      </c>
      <c r="U349" s="32">
        <f t="shared" si="385"/>
        <v>2.0690777777777782</v>
      </c>
      <c r="V349" s="32">
        <f t="shared" si="385"/>
        <v>2.5638000000000005</v>
      </c>
      <c r="W349" s="32">
        <f t="shared" si="385"/>
        <v>2.5754111111111087</v>
      </c>
      <c r="Y349" s="392"/>
      <c r="Z349" s="392"/>
      <c r="AA349" s="392"/>
      <c r="AB349" s="392"/>
      <c r="AC349" s="392"/>
      <c r="AD349" s="392"/>
      <c r="AE349" s="392"/>
      <c r="AF349" s="392"/>
      <c r="AG349" s="392"/>
      <c r="AH349" s="392"/>
      <c r="AI349" s="392"/>
      <c r="AJ349" s="392"/>
      <c r="AK349" s="392"/>
      <c r="AL349" s="392"/>
      <c r="AM349" s="392"/>
      <c r="AN349" s="392"/>
      <c r="AO349" s="392"/>
      <c r="AP349" s="392"/>
      <c r="AQ349" s="392"/>
      <c r="AR349" s="392"/>
      <c r="AS349" s="392"/>
    </row>
    <row r="350" spans="2:45" s="33" customFormat="1" x14ac:dyDescent="0.3">
      <c r="B350" s="63" t="s">
        <v>199</v>
      </c>
      <c r="C350" s="64"/>
      <c r="D350" s="31">
        <f t="shared" ref="D350:W350" si="386">+D345-D$342</f>
        <v>3.4615222222222215</v>
      </c>
      <c r="E350" s="32">
        <f t="shared" si="386"/>
        <v>3.2487444444444407</v>
      </c>
      <c r="F350" s="32">
        <f t="shared" si="386"/>
        <v>3.4580500000000001</v>
      </c>
      <c r="G350" s="32">
        <f t="shared" si="386"/>
        <v>3.0392999999999972</v>
      </c>
      <c r="H350" s="32">
        <f t="shared" si="386"/>
        <v>3.5076333333333309</v>
      </c>
      <c r="I350" s="32">
        <f t="shared" si="386"/>
        <v>3.9429111111111084</v>
      </c>
      <c r="J350" s="32">
        <f t="shared" si="386"/>
        <v>3.7004111111111087</v>
      </c>
      <c r="K350" s="32">
        <f t="shared" si="386"/>
        <v>3.3329111111111089</v>
      </c>
      <c r="L350" s="32">
        <f t="shared" si="386"/>
        <v>3.8134666666666632</v>
      </c>
      <c r="M350" s="32">
        <f t="shared" si="386"/>
        <v>3.5754111111111087</v>
      </c>
      <c r="N350" s="32">
        <f t="shared" si="386"/>
        <v>3.3945777777777764</v>
      </c>
      <c r="O350" s="32">
        <f t="shared" si="386"/>
        <v>3.9544388888888875</v>
      </c>
      <c r="P350" s="32">
        <f t="shared" si="386"/>
        <v>3.5754111111111087</v>
      </c>
      <c r="Q350" s="32">
        <f t="shared" si="386"/>
        <v>3.5754111111111087</v>
      </c>
      <c r="R350" s="32">
        <f t="shared" si="386"/>
        <v>3.0558277777777789</v>
      </c>
      <c r="S350" s="32">
        <f t="shared" si="386"/>
        <v>3.1687444444444424</v>
      </c>
      <c r="T350" s="32">
        <f t="shared" si="386"/>
        <v>3.5638000000000005</v>
      </c>
      <c r="U350" s="32">
        <f t="shared" si="386"/>
        <v>3.0690777777777782</v>
      </c>
      <c r="V350" s="32">
        <f t="shared" si="386"/>
        <v>3.5638000000000005</v>
      </c>
      <c r="W350" s="32">
        <f t="shared" si="386"/>
        <v>3.5754111111111087</v>
      </c>
      <c r="Y350" s="392"/>
      <c r="Z350" s="392"/>
      <c r="AA350" s="392"/>
      <c r="AB350" s="392"/>
      <c r="AC350" s="392"/>
      <c r="AD350" s="392"/>
      <c r="AE350" s="392"/>
      <c r="AF350" s="392"/>
      <c r="AG350" s="392"/>
      <c r="AH350" s="392"/>
      <c r="AI350" s="392"/>
      <c r="AJ350" s="392"/>
      <c r="AK350" s="392"/>
      <c r="AL350" s="392"/>
      <c r="AM350" s="392"/>
      <c r="AN350" s="392"/>
      <c r="AO350" s="392"/>
      <c r="AP350" s="392"/>
      <c r="AQ350" s="392"/>
      <c r="AR350" s="392"/>
      <c r="AS350" s="392"/>
    </row>
    <row r="351" spans="2:45" s="33" customFormat="1" x14ac:dyDescent="0.3">
      <c r="B351" s="63" t="s">
        <v>200</v>
      </c>
      <c r="C351" s="64"/>
      <c r="D351" s="31">
        <f t="shared" ref="D351:W351" si="387">+D346-D$342</f>
        <v>4.4615222222222215</v>
      </c>
      <c r="E351" s="32">
        <f t="shared" si="387"/>
        <v>4.2487444444444407</v>
      </c>
      <c r="F351" s="32">
        <f t="shared" si="387"/>
        <v>4.4580500000000001</v>
      </c>
      <c r="G351" s="32">
        <f t="shared" si="387"/>
        <v>4.0392999999999972</v>
      </c>
      <c r="H351" s="32">
        <f t="shared" si="387"/>
        <v>4.5076333333333309</v>
      </c>
      <c r="I351" s="32">
        <f t="shared" si="387"/>
        <v>4.9429111111111084</v>
      </c>
      <c r="J351" s="32">
        <f t="shared" si="387"/>
        <v>4.7004111111111087</v>
      </c>
      <c r="K351" s="32">
        <f t="shared" si="387"/>
        <v>4.3329111111111089</v>
      </c>
      <c r="L351" s="32">
        <f t="shared" si="387"/>
        <v>4.8134666666666632</v>
      </c>
      <c r="M351" s="32">
        <f t="shared" si="387"/>
        <v>4.5754111111111087</v>
      </c>
      <c r="N351" s="32">
        <f t="shared" si="387"/>
        <v>4.3945777777777764</v>
      </c>
      <c r="O351" s="32">
        <f t="shared" si="387"/>
        <v>4.9544388888888875</v>
      </c>
      <c r="P351" s="32">
        <f t="shared" si="387"/>
        <v>4.5754111111111087</v>
      </c>
      <c r="Q351" s="32">
        <f t="shared" si="387"/>
        <v>4.5754111111111087</v>
      </c>
      <c r="R351" s="32">
        <f t="shared" si="387"/>
        <v>4.0558277777777789</v>
      </c>
      <c r="S351" s="32">
        <f t="shared" si="387"/>
        <v>4.1687444444444424</v>
      </c>
      <c r="T351" s="32">
        <f t="shared" si="387"/>
        <v>4.5638000000000005</v>
      </c>
      <c r="U351" s="32">
        <f t="shared" si="387"/>
        <v>4.0690777777777782</v>
      </c>
      <c r="V351" s="32">
        <f t="shared" si="387"/>
        <v>4.5638000000000005</v>
      </c>
      <c r="W351" s="32">
        <f t="shared" si="387"/>
        <v>4.5754111111111087</v>
      </c>
      <c r="Y351" s="392"/>
      <c r="Z351" s="392"/>
      <c r="AA351" s="392"/>
      <c r="AB351" s="392"/>
      <c r="AC351" s="392"/>
      <c r="AD351" s="392"/>
      <c r="AE351" s="392"/>
      <c r="AF351" s="392"/>
      <c r="AG351" s="392"/>
      <c r="AH351" s="392"/>
      <c r="AI351" s="392"/>
      <c r="AJ351" s="392"/>
      <c r="AK351" s="392"/>
      <c r="AL351" s="392"/>
      <c r="AM351" s="392"/>
      <c r="AN351" s="392"/>
      <c r="AO351" s="392"/>
      <c r="AP351" s="392"/>
      <c r="AQ351" s="392"/>
      <c r="AR351" s="392"/>
      <c r="AS351" s="392"/>
    </row>
    <row r="352" spans="2:45" s="33" customFormat="1" x14ac:dyDescent="0.3">
      <c r="B352" s="63" t="s">
        <v>201</v>
      </c>
      <c r="C352" s="64"/>
      <c r="D352" s="31">
        <f t="shared" ref="D352:W352" si="388">+D347-D$342</f>
        <v>5.4615222222222215</v>
      </c>
      <c r="E352" s="34">
        <f t="shared" si="388"/>
        <v>5.2487444444444407</v>
      </c>
      <c r="F352" s="34">
        <f t="shared" si="388"/>
        <v>5.4580500000000001</v>
      </c>
      <c r="G352" s="34">
        <f t="shared" si="388"/>
        <v>5.0392999999999972</v>
      </c>
      <c r="H352" s="34">
        <f t="shared" si="388"/>
        <v>5.5076333333333309</v>
      </c>
      <c r="I352" s="34">
        <f t="shared" si="388"/>
        <v>5.9429111111111084</v>
      </c>
      <c r="J352" s="34">
        <f t="shared" si="388"/>
        <v>5.7004111111111087</v>
      </c>
      <c r="K352" s="34">
        <f t="shared" si="388"/>
        <v>5.3329111111111089</v>
      </c>
      <c r="L352" s="34">
        <f t="shared" si="388"/>
        <v>5.8134666666666632</v>
      </c>
      <c r="M352" s="34">
        <f t="shared" si="388"/>
        <v>5.5754111111111087</v>
      </c>
      <c r="N352" s="34">
        <f t="shared" si="388"/>
        <v>5.3945777777777764</v>
      </c>
      <c r="O352" s="34">
        <f t="shared" si="388"/>
        <v>5.9544388888888875</v>
      </c>
      <c r="P352" s="34">
        <f t="shared" si="388"/>
        <v>5.5754111111111087</v>
      </c>
      <c r="Q352" s="34">
        <f t="shared" si="388"/>
        <v>5.5754111111111087</v>
      </c>
      <c r="R352" s="34">
        <f t="shared" si="388"/>
        <v>5.0558277777777789</v>
      </c>
      <c r="S352" s="34">
        <f t="shared" si="388"/>
        <v>5.1687444444444424</v>
      </c>
      <c r="T352" s="34">
        <f t="shared" si="388"/>
        <v>5.5638000000000005</v>
      </c>
      <c r="U352" s="34">
        <f t="shared" si="388"/>
        <v>5.0690777777777782</v>
      </c>
      <c r="V352" s="34">
        <f t="shared" si="388"/>
        <v>5.5638000000000005</v>
      </c>
      <c r="W352" s="34">
        <f t="shared" si="388"/>
        <v>5.5754111111111087</v>
      </c>
      <c r="Y352" s="392"/>
      <c r="Z352" s="392"/>
      <c r="AA352" s="392"/>
      <c r="AB352" s="392"/>
      <c r="AC352" s="392"/>
      <c r="AD352" s="392"/>
      <c r="AE352" s="392"/>
      <c r="AF352" s="392"/>
      <c r="AG352" s="392"/>
      <c r="AH352" s="392"/>
      <c r="AI352" s="392"/>
      <c r="AJ352" s="392"/>
      <c r="AK352" s="392"/>
      <c r="AL352" s="392"/>
      <c r="AM352" s="392"/>
      <c r="AN352" s="392"/>
      <c r="AO352" s="392"/>
      <c r="AP352" s="392"/>
      <c r="AQ352" s="392"/>
      <c r="AR352" s="392"/>
      <c r="AS352" s="392"/>
    </row>
    <row r="353" spans="1:45" x14ac:dyDescent="0.3">
      <c r="B353" s="65" t="s">
        <v>108</v>
      </c>
      <c r="C353" s="55"/>
      <c r="D353" s="43">
        <v>0</v>
      </c>
      <c r="E353" s="408">
        <v>0</v>
      </c>
      <c r="F353" s="408">
        <v>0</v>
      </c>
      <c r="G353" s="408">
        <v>0</v>
      </c>
      <c r="H353" s="408">
        <v>0</v>
      </c>
      <c r="I353" s="408">
        <v>0</v>
      </c>
      <c r="J353" s="408">
        <v>0</v>
      </c>
      <c r="K353" s="408">
        <v>0</v>
      </c>
      <c r="L353" s="408">
        <v>0</v>
      </c>
      <c r="M353" s="408">
        <v>0</v>
      </c>
      <c r="N353" s="408">
        <v>0</v>
      </c>
      <c r="O353" s="408">
        <v>0</v>
      </c>
      <c r="P353" s="408">
        <v>0</v>
      </c>
      <c r="Q353" s="408">
        <v>0</v>
      </c>
      <c r="R353" s="408">
        <v>0</v>
      </c>
      <c r="S353" s="408">
        <v>0</v>
      </c>
      <c r="T353" s="408">
        <v>0</v>
      </c>
      <c r="U353" s="408">
        <v>0</v>
      </c>
      <c r="V353" s="408">
        <v>0</v>
      </c>
      <c r="W353" s="408">
        <v>0</v>
      </c>
      <c r="Y353" s="409"/>
      <c r="Z353" s="409"/>
      <c r="AA353" s="409"/>
      <c r="AB353" s="409"/>
      <c r="AC353" s="409"/>
      <c r="AD353" s="409"/>
      <c r="AE353" s="409"/>
      <c r="AF353" s="409"/>
      <c r="AG353" s="409"/>
      <c r="AH353" s="409"/>
      <c r="AI353" s="409"/>
      <c r="AJ353" s="409"/>
      <c r="AK353" s="409"/>
      <c r="AL353" s="409"/>
      <c r="AM353" s="409"/>
      <c r="AN353" s="409"/>
      <c r="AO353" s="409"/>
      <c r="AP353" s="409"/>
      <c r="AQ353" s="409"/>
      <c r="AR353" s="409"/>
      <c r="AS353" s="409"/>
    </row>
    <row r="354" spans="1:45" s="36" customFormat="1" x14ac:dyDescent="0.3">
      <c r="B354" s="65" t="s">
        <v>202</v>
      </c>
      <c r="C354" s="66"/>
      <c r="D354" s="368">
        <f>+D349/D$344</f>
        <v>5.7244702842377246E-2</v>
      </c>
      <c r="E354" s="368">
        <f t="shared" ref="E354:W354" si="389">+E349/E$344</f>
        <v>4.9972098765432016E-2</v>
      </c>
      <c r="F354" s="368">
        <f t="shared" si="389"/>
        <v>5.3435869565217391E-2</v>
      </c>
      <c r="G354" s="368">
        <f t="shared" si="389"/>
        <v>4.6347727272727207E-2</v>
      </c>
      <c r="H354" s="368">
        <f t="shared" si="389"/>
        <v>5.8317054263565836E-2</v>
      </c>
      <c r="I354" s="368">
        <f t="shared" si="389"/>
        <v>6.6884343434343366E-2</v>
      </c>
      <c r="J354" s="368">
        <f t="shared" si="389"/>
        <v>6.0009135802469082E-2</v>
      </c>
      <c r="K354" s="368">
        <f t="shared" si="389"/>
        <v>5.3020707070707024E-2</v>
      </c>
      <c r="L354" s="368">
        <f t="shared" si="389"/>
        <v>6.25214814814814E-2</v>
      </c>
      <c r="M354" s="368">
        <f t="shared" si="389"/>
        <v>5.9893281653746716E-2</v>
      </c>
      <c r="N354" s="368">
        <f t="shared" si="389"/>
        <v>5.5687855297157592E-2</v>
      </c>
      <c r="O354" s="368">
        <f t="shared" si="389"/>
        <v>6.4226932367149728E-2</v>
      </c>
      <c r="P354" s="368">
        <f t="shared" si="389"/>
        <v>5.9893281653746716E-2</v>
      </c>
      <c r="Q354" s="368">
        <f t="shared" si="389"/>
        <v>5.9893281653746716E-2</v>
      </c>
      <c r="R354" s="368">
        <f t="shared" si="389"/>
        <v>4.7809948320413465E-2</v>
      </c>
      <c r="S354" s="368">
        <f t="shared" si="389"/>
        <v>5.0435917312661449E-2</v>
      </c>
      <c r="T354" s="368">
        <f t="shared" si="389"/>
        <v>5.6973333333333348E-2</v>
      </c>
      <c r="U354" s="368">
        <f t="shared" si="389"/>
        <v>3.9039203354297704E-2</v>
      </c>
      <c r="V354" s="368">
        <f t="shared" si="389"/>
        <v>5.6973333333333348E-2</v>
      </c>
      <c r="W354" s="368">
        <f t="shared" si="389"/>
        <v>5.9893281653746716E-2</v>
      </c>
      <c r="Y354" s="393"/>
      <c r="Z354" s="393"/>
      <c r="AA354" s="393"/>
      <c r="AB354" s="393"/>
      <c r="AC354" s="393"/>
      <c r="AD354" s="393"/>
      <c r="AE354" s="393"/>
      <c r="AF354" s="393"/>
      <c r="AG354" s="393"/>
      <c r="AH354" s="393"/>
      <c r="AI354" s="393"/>
      <c r="AJ354" s="393"/>
      <c r="AK354" s="393"/>
      <c r="AL354" s="393"/>
      <c r="AM354" s="393"/>
      <c r="AN354" s="393"/>
      <c r="AO354" s="393"/>
      <c r="AP354" s="393"/>
      <c r="AQ354" s="393"/>
      <c r="AR354" s="393"/>
      <c r="AS354" s="393"/>
    </row>
    <row r="355" spans="1:45" s="36" customFormat="1" x14ac:dyDescent="0.3">
      <c r="B355" s="65" t="s">
        <v>203</v>
      </c>
      <c r="C355" s="66"/>
      <c r="D355" s="368">
        <f>+D350/D$345</f>
        <v>7.8670959595959586E-2</v>
      </c>
      <c r="E355" s="368">
        <f t="shared" ref="E355:W355" si="390">+E350/E$345</f>
        <v>7.0624879227053058E-2</v>
      </c>
      <c r="F355" s="368">
        <f t="shared" si="390"/>
        <v>7.3575531914893619E-2</v>
      </c>
      <c r="G355" s="368">
        <f t="shared" si="390"/>
        <v>6.7539999999999933E-2</v>
      </c>
      <c r="H355" s="368">
        <f t="shared" si="390"/>
        <v>7.9718939393939342E-2</v>
      </c>
      <c r="I355" s="368">
        <f t="shared" si="390"/>
        <v>8.7620246913580183E-2</v>
      </c>
      <c r="J355" s="368">
        <f t="shared" si="390"/>
        <v>8.0443719806763236E-2</v>
      </c>
      <c r="K355" s="368">
        <f t="shared" si="390"/>
        <v>7.406469135802464E-2</v>
      </c>
      <c r="L355" s="368">
        <f t="shared" si="390"/>
        <v>8.2901449275362249E-2</v>
      </c>
      <c r="M355" s="368">
        <f t="shared" si="390"/>
        <v>8.1259343434343378E-2</v>
      </c>
      <c r="N355" s="368">
        <f t="shared" si="390"/>
        <v>7.7149494949494912E-2</v>
      </c>
      <c r="O355" s="368">
        <f t="shared" si="390"/>
        <v>8.4136997635933783E-2</v>
      </c>
      <c r="P355" s="368">
        <f t="shared" si="390"/>
        <v>8.1259343434343378E-2</v>
      </c>
      <c r="Q355" s="368">
        <f t="shared" si="390"/>
        <v>8.1259343434343378E-2</v>
      </c>
      <c r="R355" s="368">
        <f t="shared" si="390"/>
        <v>6.9450631313131339E-2</v>
      </c>
      <c r="S355" s="368">
        <f t="shared" si="390"/>
        <v>7.2016919191919146E-2</v>
      </c>
      <c r="T355" s="368">
        <f t="shared" si="390"/>
        <v>7.7473913043478268E-2</v>
      </c>
      <c r="U355" s="368">
        <f t="shared" si="390"/>
        <v>5.6834773662551449E-2</v>
      </c>
      <c r="V355" s="368">
        <f t="shared" si="390"/>
        <v>7.7473913043478268E-2</v>
      </c>
      <c r="W355" s="368">
        <f t="shared" si="390"/>
        <v>8.1259343434343378E-2</v>
      </c>
      <c r="Y355" s="393"/>
      <c r="Z355" s="393"/>
      <c r="AA355" s="393"/>
      <c r="AB355" s="393"/>
      <c r="AC355" s="393"/>
      <c r="AD355" s="393"/>
      <c r="AE355" s="393"/>
      <c r="AF355" s="393"/>
      <c r="AG355" s="393"/>
      <c r="AH355" s="393"/>
      <c r="AI355" s="393"/>
      <c r="AJ355" s="393"/>
      <c r="AK355" s="393"/>
      <c r="AL355" s="393"/>
      <c r="AM355" s="393"/>
      <c r="AN355" s="393"/>
      <c r="AO355" s="393"/>
      <c r="AP355" s="393"/>
      <c r="AQ355" s="393"/>
      <c r="AR355" s="393"/>
      <c r="AS355" s="393"/>
    </row>
    <row r="356" spans="1:45" s="36" customFormat="1" x14ac:dyDescent="0.3">
      <c r="B356" s="65" t="s">
        <v>204</v>
      </c>
      <c r="C356" s="66"/>
      <c r="D356" s="368">
        <f>+D351/D$346</f>
        <v>9.9144938271604921E-2</v>
      </c>
      <c r="E356" s="368">
        <f t="shared" ref="E356:W356" si="391">+E351/E$346</f>
        <v>9.0398817966902995E-2</v>
      </c>
      <c r="F356" s="368">
        <f t="shared" si="391"/>
        <v>9.2876041666666673E-2</v>
      </c>
      <c r="G356" s="368">
        <f t="shared" si="391"/>
        <v>8.7810869565217331E-2</v>
      </c>
      <c r="H356" s="368">
        <f t="shared" si="391"/>
        <v>0.10016962962962958</v>
      </c>
      <c r="I356" s="368">
        <f t="shared" si="391"/>
        <v>0.10745458937198062</v>
      </c>
      <c r="J356" s="368">
        <f t="shared" si="391"/>
        <v>0.1000087470449172</v>
      </c>
      <c r="K356" s="368">
        <f t="shared" si="391"/>
        <v>9.4193719806763235E-2</v>
      </c>
      <c r="L356" s="368">
        <f t="shared" si="391"/>
        <v>0.10241418439716304</v>
      </c>
      <c r="M356" s="368">
        <f t="shared" si="391"/>
        <v>0.10167580246913575</v>
      </c>
      <c r="N356" s="368">
        <f t="shared" si="391"/>
        <v>9.7657283950617249E-2</v>
      </c>
      <c r="O356" s="368">
        <f t="shared" si="391"/>
        <v>0.10321747685185183</v>
      </c>
      <c r="P356" s="368">
        <f t="shared" si="391"/>
        <v>0.10167580246913575</v>
      </c>
      <c r="Q356" s="368">
        <f t="shared" si="391"/>
        <v>0.10167580246913575</v>
      </c>
      <c r="R356" s="368">
        <f t="shared" si="391"/>
        <v>9.0129506172839532E-2</v>
      </c>
      <c r="S356" s="368">
        <f t="shared" si="391"/>
        <v>9.2638765432098716E-2</v>
      </c>
      <c r="T356" s="368">
        <f t="shared" si="391"/>
        <v>9.7102127659574475E-2</v>
      </c>
      <c r="U356" s="368">
        <f t="shared" si="391"/>
        <v>7.3983232323232326E-2</v>
      </c>
      <c r="V356" s="368">
        <f t="shared" si="391"/>
        <v>9.7102127659574475E-2</v>
      </c>
      <c r="W356" s="368">
        <f t="shared" si="391"/>
        <v>0.10167580246913575</v>
      </c>
      <c r="Y356" s="393"/>
      <c r="Z356" s="393"/>
      <c r="AA356" s="393"/>
      <c r="AB356" s="393"/>
      <c r="AC356" s="393"/>
      <c r="AD356" s="393"/>
      <c r="AE356" s="393"/>
      <c r="AF356" s="393"/>
      <c r="AG356" s="393"/>
      <c r="AH356" s="393"/>
      <c r="AI356" s="393"/>
      <c r="AJ356" s="393"/>
      <c r="AK356" s="393"/>
      <c r="AL356" s="393"/>
      <c r="AM356" s="393"/>
      <c r="AN356" s="393"/>
      <c r="AO356" s="393"/>
      <c r="AP356" s="393"/>
      <c r="AQ356" s="393"/>
      <c r="AR356" s="393"/>
      <c r="AS356" s="393"/>
    </row>
    <row r="357" spans="1:45" s="36" customFormat="1" ht="21" thickBot="1" x14ac:dyDescent="0.35">
      <c r="B357" s="65" t="s">
        <v>205</v>
      </c>
      <c r="C357" s="66"/>
      <c r="D357" s="368">
        <f>+D352/D$347</f>
        <v>0.11872874396135265</v>
      </c>
      <c r="E357" s="368">
        <f t="shared" ref="E357:W357" si="392">+E352/E$347</f>
        <v>0.10934884259259252</v>
      </c>
      <c r="F357" s="368">
        <f t="shared" si="392"/>
        <v>0.11138877551020408</v>
      </c>
      <c r="G357" s="368">
        <f t="shared" si="392"/>
        <v>0.10721914893617016</v>
      </c>
      <c r="H357" s="368">
        <f t="shared" si="392"/>
        <v>0.11973115942028981</v>
      </c>
      <c r="I357" s="368">
        <f t="shared" si="392"/>
        <v>0.12644491725768317</v>
      </c>
      <c r="J357" s="368">
        <f t="shared" si="392"/>
        <v>0.11875856481481477</v>
      </c>
      <c r="K357" s="368">
        <f t="shared" si="392"/>
        <v>0.11346619385342785</v>
      </c>
      <c r="L357" s="368">
        <f t="shared" si="392"/>
        <v>0.12111388888888881</v>
      </c>
      <c r="M357" s="368">
        <f t="shared" si="392"/>
        <v>0.12120458937198063</v>
      </c>
      <c r="N357" s="368">
        <f t="shared" si="392"/>
        <v>0.11727342995169079</v>
      </c>
      <c r="O357" s="368">
        <f t="shared" si="392"/>
        <v>0.1215191609977324</v>
      </c>
      <c r="P357" s="368">
        <f t="shared" si="392"/>
        <v>0.12120458937198063</v>
      </c>
      <c r="Q357" s="368">
        <f t="shared" si="392"/>
        <v>0.12120458937198063</v>
      </c>
      <c r="R357" s="368">
        <f t="shared" si="392"/>
        <v>0.10990929951690824</v>
      </c>
      <c r="S357" s="368">
        <f t="shared" si="392"/>
        <v>0.1123640096618357</v>
      </c>
      <c r="T357" s="368">
        <f t="shared" si="392"/>
        <v>0.11591250000000002</v>
      </c>
      <c r="U357" s="368">
        <f t="shared" si="392"/>
        <v>9.0519246031746034E-2</v>
      </c>
      <c r="V357" s="368">
        <f t="shared" si="392"/>
        <v>0.11591250000000002</v>
      </c>
      <c r="W357" s="368">
        <f t="shared" si="392"/>
        <v>0.12120458937198063</v>
      </c>
      <c r="Y357" s="393"/>
      <c r="Z357" s="393"/>
      <c r="AA357" s="393"/>
      <c r="AB357" s="393"/>
      <c r="AC357" s="393"/>
      <c r="AD357" s="393"/>
      <c r="AE357" s="393"/>
      <c r="AF357" s="393"/>
      <c r="AG357" s="393"/>
      <c r="AH357" s="393"/>
      <c r="AI357" s="393"/>
      <c r="AJ357" s="393"/>
      <c r="AK357" s="393"/>
      <c r="AL357" s="393"/>
      <c r="AM357" s="393"/>
      <c r="AN357" s="393"/>
      <c r="AO357" s="393"/>
      <c r="AP357" s="393"/>
      <c r="AQ357" s="393"/>
      <c r="AR357" s="393"/>
      <c r="AS357" s="393"/>
    </row>
    <row r="358" spans="1:45" ht="21" thickBot="1" x14ac:dyDescent="0.35">
      <c r="A358" s="15" t="s">
        <v>323</v>
      </c>
      <c r="B358" s="67" t="s">
        <v>48</v>
      </c>
      <c r="C358" s="68"/>
      <c r="D358" s="17" t="s">
        <v>5</v>
      </c>
      <c r="E358" s="18" t="s">
        <v>6</v>
      </c>
      <c r="F358" s="18" t="s">
        <v>7</v>
      </c>
      <c r="G358" s="18" t="s">
        <v>8</v>
      </c>
      <c r="H358" s="18" t="s">
        <v>9</v>
      </c>
      <c r="I358" s="18" t="s">
        <v>10</v>
      </c>
      <c r="J358" s="18" t="s">
        <v>11</v>
      </c>
      <c r="K358" s="18" t="s">
        <v>12</v>
      </c>
      <c r="L358" s="18" t="s">
        <v>13</v>
      </c>
      <c r="M358" s="18" t="s">
        <v>14</v>
      </c>
      <c r="N358" s="18" t="s">
        <v>15</v>
      </c>
      <c r="O358" s="18" t="s">
        <v>16</v>
      </c>
      <c r="P358" s="18" t="s">
        <v>17</v>
      </c>
      <c r="Q358" s="18" t="s">
        <v>18</v>
      </c>
      <c r="R358" s="18" t="s">
        <v>19</v>
      </c>
      <c r="S358" s="18" t="s">
        <v>20</v>
      </c>
      <c r="T358" s="18" t="s">
        <v>21</v>
      </c>
      <c r="U358" s="18" t="s">
        <v>22</v>
      </c>
      <c r="V358" s="18" t="s">
        <v>23</v>
      </c>
      <c r="W358" s="18" t="s">
        <v>166</v>
      </c>
      <c r="Y358" s="390"/>
      <c r="Z358" s="390"/>
      <c r="AA358" s="390"/>
      <c r="AB358" s="390"/>
      <c r="AC358" s="390"/>
      <c r="AD358" s="390"/>
      <c r="AE358" s="390"/>
      <c r="AF358" s="390"/>
      <c r="AG358" s="390"/>
      <c r="AH358" s="390"/>
      <c r="AI358" s="390"/>
      <c r="AJ358" s="390"/>
      <c r="AK358" s="390"/>
      <c r="AL358" s="390"/>
      <c r="AM358" s="390"/>
      <c r="AN358" s="390"/>
      <c r="AO358" s="390"/>
      <c r="AP358" s="390"/>
      <c r="AQ358" s="390"/>
      <c r="AR358" s="390"/>
      <c r="AS358" s="390"/>
    </row>
    <row r="359" spans="1:45" x14ac:dyDescent="0.3">
      <c r="B359" s="54" t="s">
        <v>50</v>
      </c>
      <c r="C359" s="55"/>
      <c r="D359" s="20">
        <v>50</v>
      </c>
      <c r="E359" s="21">
        <v>50</v>
      </c>
      <c r="F359" s="21">
        <v>50</v>
      </c>
      <c r="G359" s="21">
        <v>50</v>
      </c>
      <c r="H359" s="21">
        <v>50</v>
      </c>
      <c r="I359" s="21">
        <v>50</v>
      </c>
      <c r="J359" s="21">
        <v>50</v>
      </c>
      <c r="K359" s="21">
        <v>50</v>
      </c>
      <c r="L359" s="21">
        <v>50</v>
      </c>
      <c r="M359" s="21">
        <v>50</v>
      </c>
      <c r="N359" s="21">
        <v>50</v>
      </c>
      <c r="O359" s="21">
        <v>50</v>
      </c>
      <c r="P359" s="21">
        <v>50</v>
      </c>
      <c r="Q359" s="21">
        <v>50</v>
      </c>
      <c r="R359" s="21">
        <v>50</v>
      </c>
      <c r="S359" s="21">
        <v>50</v>
      </c>
      <c r="T359" s="21"/>
      <c r="U359" s="21"/>
      <c r="V359" s="21"/>
      <c r="W359" s="21">
        <v>50</v>
      </c>
      <c r="Y359" s="390"/>
      <c r="Z359" s="390"/>
      <c r="AA359" s="390"/>
      <c r="AB359" s="390"/>
      <c r="AC359" s="390"/>
      <c r="AD359" s="390"/>
      <c r="AE359" s="390"/>
      <c r="AF359" s="390"/>
      <c r="AG359" s="390"/>
      <c r="AH359" s="390"/>
      <c r="AI359" s="390"/>
      <c r="AJ359" s="390"/>
      <c r="AK359" s="390"/>
      <c r="AL359" s="390"/>
      <c r="AM359" s="390"/>
      <c r="AN359" s="390"/>
      <c r="AO359" s="390"/>
      <c r="AP359" s="390"/>
      <c r="AQ359" s="390"/>
      <c r="AR359" s="390"/>
      <c r="AS359" s="390"/>
    </row>
    <row r="360" spans="1:45" x14ac:dyDescent="0.3">
      <c r="B360" s="54" t="s">
        <v>51</v>
      </c>
      <c r="C360" s="55"/>
      <c r="D360" s="218">
        <v>0.21</v>
      </c>
      <c r="E360" s="218">
        <f>D360</f>
        <v>0.21</v>
      </c>
      <c r="F360" s="218">
        <f>D360</f>
        <v>0.21</v>
      </c>
      <c r="G360" s="218">
        <f>D360</f>
        <v>0.21</v>
      </c>
      <c r="H360" s="218">
        <f>E360</f>
        <v>0.21</v>
      </c>
      <c r="I360" s="218">
        <f>D360</f>
        <v>0.21</v>
      </c>
      <c r="J360" s="218">
        <f>D360</f>
        <v>0.21</v>
      </c>
      <c r="K360" s="218">
        <f>D360</f>
        <v>0.21</v>
      </c>
      <c r="L360" s="218">
        <f>D360</f>
        <v>0.21</v>
      </c>
      <c r="M360" s="218">
        <f>D360</f>
        <v>0.21</v>
      </c>
      <c r="N360" s="218">
        <f>D360</f>
        <v>0.21</v>
      </c>
      <c r="O360" s="218">
        <f>D360</f>
        <v>0.21</v>
      </c>
      <c r="P360" s="218">
        <f>D360</f>
        <v>0.21</v>
      </c>
      <c r="Q360" s="218">
        <f>D360</f>
        <v>0.21</v>
      </c>
      <c r="R360" s="218">
        <f>D360</f>
        <v>0.21</v>
      </c>
      <c r="S360" s="218">
        <f>D360</f>
        <v>0.21</v>
      </c>
      <c r="T360" s="218"/>
      <c r="U360" s="218"/>
      <c r="V360" s="218"/>
      <c r="W360" s="218">
        <f>J360</f>
        <v>0.21</v>
      </c>
      <c r="Y360" s="390"/>
      <c r="Z360" s="390"/>
      <c r="AA360" s="390"/>
      <c r="AB360" s="390"/>
      <c r="AC360" s="390"/>
      <c r="AD360" s="390"/>
      <c r="AE360" s="390"/>
      <c r="AF360" s="390"/>
      <c r="AG360" s="390"/>
      <c r="AH360" s="390"/>
      <c r="AI360" s="390"/>
      <c r="AJ360" s="390"/>
      <c r="AK360" s="390"/>
      <c r="AL360" s="390"/>
      <c r="AM360" s="390"/>
      <c r="AN360" s="390"/>
      <c r="AO360" s="390"/>
      <c r="AP360" s="390"/>
      <c r="AQ360" s="390"/>
      <c r="AR360" s="390"/>
      <c r="AS360" s="390"/>
    </row>
    <row r="361" spans="1:45" x14ac:dyDescent="0.3">
      <c r="B361" s="54" t="s">
        <v>60</v>
      </c>
      <c r="C361" s="55"/>
      <c r="D361" s="21">
        <v>0</v>
      </c>
      <c r="E361" s="21">
        <v>0</v>
      </c>
      <c r="F361" s="21">
        <v>0</v>
      </c>
      <c r="G361" s="21">
        <v>0</v>
      </c>
      <c r="H361" s="21">
        <v>0</v>
      </c>
      <c r="I361" s="21">
        <v>0</v>
      </c>
      <c r="J361" s="21">
        <v>0</v>
      </c>
      <c r="K361" s="21">
        <v>0</v>
      </c>
      <c r="L361" s="21">
        <v>0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0</v>
      </c>
      <c r="T361" s="21"/>
      <c r="U361" s="21"/>
      <c r="V361" s="21"/>
      <c r="W361" s="21">
        <v>0</v>
      </c>
      <c r="Y361" s="390"/>
      <c r="Z361" s="390"/>
      <c r="AA361" s="390"/>
      <c r="AB361" s="390"/>
      <c r="AC361" s="390"/>
      <c r="AD361" s="390"/>
      <c r="AE361" s="390"/>
      <c r="AF361" s="390"/>
      <c r="AG361" s="390"/>
      <c r="AH361" s="390"/>
      <c r="AI361" s="390"/>
      <c r="AJ361" s="390"/>
      <c r="AK361" s="390"/>
      <c r="AL361" s="390"/>
      <c r="AM361" s="390"/>
      <c r="AN361" s="390"/>
      <c r="AO361" s="390"/>
      <c r="AP361" s="390"/>
      <c r="AQ361" s="390"/>
      <c r="AR361" s="390"/>
      <c r="AS361" s="390"/>
    </row>
    <row r="362" spans="1:45" x14ac:dyDescent="0.3">
      <c r="B362" s="177" t="s">
        <v>67</v>
      </c>
      <c r="C362" s="178"/>
      <c r="D362" s="323">
        <f>D359-(D359*D360)</f>
        <v>39.5</v>
      </c>
      <c r="E362" s="323">
        <f t="shared" ref="E362:W362" si="393">E359-(E359*E360)</f>
        <v>39.5</v>
      </c>
      <c r="F362" s="323">
        <f t="shared" si="393"/>
        <v>39.5</v>
      </c>
      <c r="G362" s="323">
        <f t="shared" si="393"/>
        <v>39.5</v>
      </c>
      <c r="H362" s="323">
        <f t="shared" si="393"/>
        <v>39.5</v>
      </c>
      <c r="I362" s="323">
        <f t="shared" si="393"/>
        <v>39.5</v>
      </c>
      <c r="J362" s="323">
        <f t="shared" si="393"/>
        <v>39.5</v>
      </c>
      <c r="K362" s="323">
        <f t="shared" si="393"/>
        <v>39.5</v>
      </c>
      <c r="L362" s="323">
        <f t="shared" si="393"/>
        <v>39.5</v>
      </c>
      <c r="M362" s="323">
        <f t="shared" si="393"/>
        <v>39.5</v>
      </c>
      <c r="N362" s="323">
        <f t="shared" si="393"/>
        <v>39.5</v>
      </c>
      <c r="O362" s="323">
        <f t="shared" si="393"/>
        <v>39.5</v>
      </c>
      <c r="P362" s="323">
        <f t="shared" si="393"/>
        <v>39.5</v>
      </c>
      <c r="Q362" s="323">
        <f t="shared" si="393"/>
        <v>39.5</v>
      </c>
      <c r="R362" s="323">
        <f t="shared" si="393"/>
        <v>39.5</v>
      </c>
      <c r="S362" s="323">
        <f t="shared" si="393"/>
        <v>39.5</v>
      </c>
      <c r="T362" s="323">
        <v>34.68</v>
      </c>
      <c r="U362" s="323">
        <v>34.68</v>
      </c>
      <c r="V362" s="323">
        <v>34.68</v>
      </c>
      <c r="W362" s="323">
        <f t="shared" si="393"/>
        <v>39.5</v>
      </c>
      <c r="Y362" s="390"/>
      <c r="Z362" s="390"/>
      <c r="AA362" s="390"/>
      <c r="AB362" s="390"/>
      <c r="AC362" s="390"/>
      <c r="AD362" s="390"/>
      <c r="AE362" s="390"/>
      <c r="AF362" s="390"/>
      <c r="AG362" s="390"/>
      <c r="AH362" s="390"/>
      <c r="AI362" s="390"/>
      <c r="AJ362" s="390"/>
      <c r="AK362" s="390"/>
      <c r="AL362" s="390"/>
      <c r="AM362" s="390"/>
      <c r="AN362" s="390"/>
      <c r="AO362" s="390"/>
      <c r="AP362" s="390"/>
      <c r="AQ362" s="390"/>
      <c r="AR362" s="390"/>
      <c r="AS362" s="390"/>
    </row>
    <row r="363" spans="1:45" x14ac:dyDescent="0.3">
      <c r="B363" s="54" t="s">
        <v>66</v>
      </c>
      <c r="C363" s="56">
        <v>7.0000000000000007E-2</v>
      </c>
      <c r="D363" s="24">
        <f t="shared" ref="D363:W363" si="394">D362*$C363</f>
        <v>2.7650000000000001</v>
      </c>
      <c r="E363" s="24">
        <f t="shared" si="394"/>
        <v>2.7650000000000001</v>
      </c>
      <c r="F363" s="24">
        <f t="shared" si="394"/>
        <v>2.7650000000000001</v>
      </c>
      <c r="G363" s="24">
        <f t="shared" si="394"/>
        <v>2.7650000000000001</v>
      </c>
      <c r="H363" s="24">
        <f t="shared" si="394"/>
        <v>2.7650000000000001</v>
      </c>
      <c r="I363" s="24">
        <f t="shared" si="394"/>
        <v>2.7650000000000001</v>
      </c>
      <c r="J363" s="24">
        <f t="shared" si="394"/>
        <v>2.7650000000000001</v>
      </c>
      <c r="K363" s="24">
        <f t="shared" si="394"/>
        <v>2.7650000000000001</v>
      </c>
      <c r="L363" s="24">
        <f t="shared" si="394"/>
        <v>2.7650000000000001</v>
      </c>
      <c r="M363" s="24">
        <f t="shared" si="394"/>
        <v>2.7650000000000001</v>
      </c>
      <c r="N363" s="24">
        <f t="shared" si="394"/>
        <v>2.7650000000000001</v>
      </c>
      <c r="O363" s="24">
        <f t="shared" si="394"/>
        <v>2.7650000000000001</v>
      </c>
      <c r="P363" s="24">
        <f t="shared" si="394"/>
        <v>2.7650000000000001</v>
      </c>
      <c r="Q363" s="24">
        <f t="shared" si="394"/>
        <v>2.7650000000000001</v>
      </c>
      <c r="R363" s="24">
        <f t="shared" si="394"/>
        <v>2.7650000000000001</v>
      </c>
      <c r="S363" s="24">
        <f t="shared" si="394"/>
        <v>2.7650000000000001</v>
      </c>
      <c r="T363" s="24">
        <f t="shared" si="394"/>
        <v>2.4276000000000004</v>
      </c>
      <c r="U363" s="24">
        <f t="shared" si="394"/>
        <v>2.4276000000000004</v>
      </c>
      <c r="V363" s="24">
        <f t="shared" si="394"/>
        <v>2.4276000000000004</v>
      </c>
      <c r="W363" s="24">
        <f t="shared" si="394"/>
        <v>2.7650000000000001</v>
      </c>
      <c r="Y363" s="390"/>
      <c r="Z363" s="390"/>
      <c r="AA363" s="390"/>
      <c r="AB363" s="390"/>
      <c r="AC363" s="390"/>
      <c r="AD363" s="390"/>
      <c r="AE363" s="390"/>
      <c r="AF363" s="390"/>
      <c r="AG363" s="390"/>
      <c r="AH363" s="390"/>
      <c r="AI363" s="390"/>
      <c r="AJ363" s="390"/>
      <c r="AK363" s="390"/>
      <c r="AL363" s="390"/>
      <c r="AM363" s="390"/>
      <c r="AN363" s="390"/>
      <c r="AO363" s="390"/>
      <c r="AP363" s="390"/>
      <c r="AQ363" s="390"/>
      <c r="AR363" s="390"/>
      <c r="AS363" s="390"/>
    </row>
    <row r="364" spans="1:45" x14ac:dyDescent="0.3">
      <c r="B364" s="54" t="s">
        <v>68</v>
      </c>
      <c r="C364" s="55"/>
      <c r="D364" s="21">
        <f t="shared" ref="D364:V364" si="395">D362+D363</f>
        <v>42.265000000000001</v>
      </c>
      <c r="E364" s="21">
        <f t="shared" si="395"/>
        <v>42.265000000000001</v>
      </c>
      <c r="F364" s="21">
        <f t="shared" si="395"/>
        <v>42.265000000000001</v>
      </c>
      <c r="G364" s="21">
        <f t="shared" si="395"/>
        <v>42.265000000000001</v>
      </c>
      <c r="H364" s="21">
        <f t="shared" si="395"/>
        <v>42.265000000000001</v>
      </c>
      <c r="I364" s="21">
        <f t="shared" si="395"/>
        <v>42.265000000000001</v>
      </c>
      <c r="J364" s="21">
        <f t="shared" si="395"/>
        <v>42.265000000000001</v>
      </c>
      <c r="K364" s="21">
        <f t="shared" si="395"/>
        <v>42.265000000000001</v>
      </c>
      <c r="L364" s="21">
        <f t="shared" si="395"/>
        <v>42.265000000000001</v>
      </c>
      <c r="M364" s="21">
        <f t="shared" si="395"/>
        <v>42.265000000000001</v>
      </c>
      <c r="N364" s="21">
        <f t="shared" si="395"/>
        <v>42.265000000000001</v>
      </c>
      <c r="O364" s="21">
        <f t="shared" si="395"/>
        <v>42.265000000000001</v>
      </c>
      <c r="P364" s="21">
        <f t="shared" si="395"/>
        <v>42.265000000000001</v>
      </c>
      <c r="Q364" s="21">
        <f t="shared" si="395"/>
        <v>42.265000000000001</v>
      </c>
      <c r="R364" s="21">
        <f t="shared" si="395"/>
        <v>42.265000000000001</v>
      </c>
      <c r="S364" s="21">
        <f t="shared" si="395"/>
        <v>42.265000000000001</v>
      </c>
      <c r="T364" s="21">
        <f t="shared" si="395"/>
        <v>37.107599999999998</v>
      </c>
      <c r="U364" s="21">
        <f>U362+U363</f>
        <v>37.107599999999998</v>
      </c>
      <c r="V364" s="21">
        <f t="shared" si="395"/>
        <v>37.107599999999998</v>
      </c>
      <c r="W364" s="21">
        <f>W362+W363</f>
        <v>42.265000000000001</v>
      </c>
      <c r="Y364" s="390"/>
      <c r="Z364" s="390"/>
      <c r="AA364" s="390"/>
      <c r="AB364" s="390"/>
      <c r="AC364" s="390"/>
      <c r="AD364" s="390"/>
      <c r="AE364" s="390"/>
      <c r="AF364" s="390"/>
      <c r="AG364" s="390"/>
      <c r="AH364" s="390"/>
      <c r="AI364" s="390"/>
      <c r="AJ364" s="390"/>
      <c r="AK364" s="390"/>
      <c r="AL364" s="390"/>
      <c r="AM364" s="390"/>
      <c r="AN364" s="390"/>
      <c r="AO364" s="390"/>
      <c r="AP364" s="390"/>
      <c r="AQ364" s="390"/>
      <c r="AR364" s="390"/>
      <c r="AS364" s="390"/>
    </row>
    <row r="365" spans="1:45" x14ac:dyDescent="0.3">
      <c r="B365" s="54" t="s">
        <v>52</v>
      </c>
      <c r="C365" s="55"/>
      <c r="D365" s="398">
        <f>Y367</f>
        <v>0.67729729729729726</v>
      </c>
      <c r="E365" s="398">
        <f t="shared" ref="E365:W365" si="396">Z367</f>
        <v>1.5384864864864864</v>
      </c>
      <c r="F365" s="398">
        <f t="shared" si="396"/>
        <v>1.8462162162162161</v>
      </c>
      <c r="G365" s="398">
        <f t="shared" si="396"/>
        <v>1.2308108108108109</v>
      </c>
      <c r="H365" s="398">
        <f t="shared" si="396"/>
        <v>0.65935135135135137</v>
      </c>
      <c r="I365" s="398">
        <f t="shared" si="396"/>
        <v>0.87913513513513508</v>
      </c>
      <c r="J365" s="398">
        <f t="shared" si="396"/>
        <v>1.3627027027027028</v>
      </c>
      <c r="K365" s="398">
        <f t="shared" si="396"/>
        <v>1.1165405405405406</v>
      </c>
      <c r="L365" s="398">
        <f t="shared" si="396"/>
        <v>1.3187027027027027</v>
      </c>
      <c r="M365" s="398">
        <f t="shared" si="396"/>
        <v>0.63297297297297295</v>
      </c>
      <c r="N365" s="398">
        <f t="shared" si="396"/>
        <v>0.70335135135135141</v>
      </c>
      <c r="O365" s="398">
        <f t="shared" si="396"/>
        <v>1.6530270270270271</v>
      </c>
      <c r="P365" s="398">
        <f t="shared" si="396"/>
        <v>0.63297297297297295</v>
      </c>
      <c r="Q365" s="398">
        <f t="shared" si="396"/>
        <v>0.63297297297297295</v>
      </c>
      <c r="R365" s="398">
        <f t="shared" si="396"/>
        <v>0.83518918918918916</v>
      </c>
      <c r="S365" s="398">
        <f t="shared" si="396"/>
        <v>0.79124324324324324</v>
      </c>
      <c r="T365" s="398">
        <f t="shared" si="396"/>
        <v>0</v>
      </c>
      <c r="U365" s="398">
        <f t="shared" si="396"/>
        <v>1.6530270270270271</v>
      </c>
      <c r="V365" s="398">
        <f t="shared" si="396"/>
        <v>0</v>
      </c>
      <c r="W365" s="398">
        <f t="shared" si="396"/>
        <v>0.63297297297297295</v>
      </c>
      <c r="Y365" s="390">
        <v>12530</v>
      </c>
      <c r="Z365" s="390">
        <v>28462</v>
      </c>
      <c r="AA365" s="390">
        <v>34155</v>
      </c>
      <c r="AB365" s="390">
        <v>22770</v>
      </c>
      <c r="AC365" s="390">
        <v>12198</v>
      </c>
      <c r="AD365" s="390">
        <v>16264</v>
      </c>
      <c r="AE365" s="390">
        <v>25210</v>
      </c>
      <c r="AF365" s="390">
        <v>20656</v>
      </c>
      <c r="AG365" s="390">
        <v>24396</v>
      </c>
      <c r="AH365" s="390">
        <v>11710</v>
      </c>
      <c r="AI365" s="390">
        <v>13012</v>
      </c>
      <c r="AJ365" s="390">
        <v>30581</v>
      </c>
      <c r="AK365" s="396">
        <v>11710</v>
      </c>
      <c r="AL365" s="396">
        <v>11710</v>
      </c>
      <c r="AM365" s="390">
        <v>15451</v>
      </c>
      <c r="AN365" s="390">
        <v>14638</v>
      </c>
      <c r="AO365" s="390"/>
      <c r="AP365" s="396">
        <v>30581</v>
      </c>
      <c r="AQ365" s="390"/>
      <c r="AR365" s="396">
        <v>11710</v>
      </c>
      <c r="AS365" s="390"/>
    </row>
    <row r="366" spans="1:45" x14ac:dyDescent="0.3">
      <c r="B366" s="57" t="s">
        <v>53</v>
      </c>
      <c r="C366" s="58"/>
      <c r="D366" s="25">
        <f>SUM(D364:D365)</f>
        <v>42.942297297297301</v>
      </c>
      <c r="E366" s="26">
        <f t="shared" ref="E366:S366" si="397">SUM(E364:E365)</f>
        <v>43.803486486486484</v>
      </c>
      <c r="F366" s="26">
        <f t="shared" si="397"/>
        <v>44.111216216216214</v>
      </c>
      <c r="G366" s="26">
        <f t="shared" si="397"/>
        <v>43.495810810810809</v>
      </c>
      <c r="H366" s="26">
        <f t="shared" si="397"/>
        <v>42.924351351351355</v>
      </c>
      <c r="I366" s="26">
        <f t="shared" si="397"/>
        <v>43.144135135135137</v>
      </c>
      <c r="J366" s="26">
        <f t="shared" si="397"/>
        <v>43.627702702702706</v>
      </c>
      <c r="K366" s="26">
        <f t="shared" si="397"/>
        <v>43.381540540540541</v>
      </c>
      <c r="L366" s="26">
        <f t="shared" si="397"/>
        <v>43.583702702702702</v>
      </c>
      <c r="M366" s="26">
        <f t="shared" si="397"/>
        <v>42.897972972972973</v>
      </c>
      <c r="N366" s="26">
        <f t="shared" si="397"/>
        <v>42.968351351351352</v>
      </c>
      <c r="O366" s="26">
        <f t="shared" si="397"/>
        <v>43.91802702702703</v>
      </c>
      <c r="P366" s="26">
        <f t="shared" si="397"/>
        <v>42.897972972972973</v>
      </c>
      <c r="Q366" s="26">
        <f t="shared" si="397"/>
        <v>42.897972972972973</v>
      </c>
      <c r="R366" s="26">
        <f t="shared" si="397"/>
        <v>43.100189189189187</v>
      </c>
      <c r="S366" s="26">
        <f t="shared" si="397"/>
        <v>43.056243243243244</v>
      </c>
      <c r="T366" s="26">
        <f>SUM(T364:T365)+T365</f>
        <v>37.107599999999998</v>
      </c>
      <c r="U366" s="26">
        <f>SUM(U364:U365)+U365</f>
        <v>40.413654054054057</v>
      </c>
      <c r="V366" s="26">
        <f>SUM(V364:V365)+V365</f>
        <v>37.107599999999998</v>
      </c>
      <c r="W366" s="26">
        <f>SUM(W364:W365)</f>
        <v>42.897972972972973</v>
      </c>
      <c r="Y366" s="390">
        <v>18500</v>
      </c>
      <c r="Z366" s="390">
        <v>18500</v>
      </c>
      <c r="AA366" s="390">
        <v>18500</v>
      </c>
      <c r="AB366" s="390">
        <v>18500</v>
      </c>
      <c r="AC366" s="390">
        <v>18500</v>
      </c>
      <c r="AD366" s="390">
        <v>18500</v>
      </c>
      <c r="AE366" s="390">
        <v>18500</v>
      </c>
      <c r="AF366" s="390">
        <v>18500</v>
      </c>
      <c r="AG366" s="390">
        <v>18500</v>
      </c>
      <c r="AH366" s="390">
        <v>18500</v>
      </c>
      <c r="AI366" s="390">
        <v>18500</v>
      </c>
      <c r="AJ366" s="390">
        <v>18500</v>
      </c>
      <c r="AK366" s="390">
        <v>18500</v>
      </c>
      <c r="AL366" s="390">
        <v>18500</v>
      </c>
      <c r="AM366" s="390">
        <v>18500</v>
      </c>
      <c r="AN366" s="390">
        <v>18500</v>
      </c>
      <c r="AO366" s="390"/>
      <c r="AP366" s="390">
        <v>18500</v>
      </c>
      <c r="AQ366" s="390"/>
      <c r="AR366" s="390">
        <v>18500</v>
      </c>
      <c r="AS366" s="390"/>
    </row>
    <row r="367" spans="1:45" x14ac:dyDescent="0.3">
      <c r="B367" s="54" t="s">
        <v>54</v>
      </c>
      <c r="C367" s="55"/>
      <c r="D367" s="20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Y367" s="389">
        <f>Y365/Y366</f>
        <v>0.67729729729729726</v>
      </c>
      <c r="Z367" s="389">
        <f t="shared" ref="Z367" si="398">Z365/Z366</f>
        <v>1.5384864864864864</v>
      </c>
      <c r="AA367" s="389">
        <f t="shared" ref="AA367" si="399">AA365/AA366</f>
        <v>1.8462162162162161</v>
      </c>
      <c r="AB367" s="389">
        <f t="shared" ref="AB367" si="400">AB365/AB366</f>
        <v>1.2308108108108109</v>
      </c>
      <c r="AC367" s="389">
        <f t="shared" ref="AC367" si="401">AC365/AC366</f>
        <v>0.65935135135135137</v>
      </c>
      <c r="AD367" s="389">
        <f t="shared" ref="AD367" si="402">AD365/AD366</f>
        <v>0.87913513513513508</v>
      </c>
      <c r="AE367" s="389">
        <f t="shared" ref="AE367" si="403">AE365/AE366</f>
        <v>1.3627027027027028</v>
      </c>
      <c r="AF367" s="389">
        <f t="shared" ref="AF367" si="404">AF365/AF366</f>
        <v>1.1165405405405406</v>
      </c>
      <c r="AG367" s="389">
        <f t="shared" ref="AG367" si="405">AG365/AG366</f>
        <v>1.3187027027027027</v>
      </c>
      <c r="AH367" s="389">
        <f t="shared" ref="AH367" si="406">AH365/AH366</f>
        <v>0.63297297297297295</v>
      </c>
      <c r="AI367" s="389">
        <f t="shared" ref="AI367" si="407">AI365/AI366</f>
        <v>0.70335135135135141</v>
      </c>
      <c r="AJ367" s="389">
        <f t="shared" ref="AJ367" si="408">AJ365/AJ366</f>
        <v>1.6530270270270271</v>
      </c>
      <c r="AK367" s="389">
        <f t="shared" ref="AK367" si="409">AK365/AK366</f>
        <v>0.63297297297297295</v>
      </c>
      <c r="AL367" s="389">
        <f t="shared" ref="AL367" si="410">AL365/AL366</f>
        <v>0.63297297297297295</v>
      </c>
      <c r="AM367" s="389">
        <f t="shared" ref="AM367" si="411">AM365/AM366</f>
        <v>0.83518918918918916</v>
      </c>
      <c r="AN367" s="389">
        <f t="shared" ref="AN367" si="412">AN365/AN366</f>
        <v>0.79124324324324324</v>
      </c>
      <c r="AO367" s="390"/>
      <c r="AP367" s="389">
        <f t="shared" ref="AP367" si="413">AP365/AP366</f>
        <v>1.6530270270270271</v>
      </c>
      <c r="AQ367" s="390"/>
      <c r="AR367" s="389">
        <f t="shared" ref="AR367" si="414">AR365/AR366</f>
        <v>0.63297297297297295</v>
      </c>
      <c r="AS367" s="390"/>
    </row>
    <row r="368" spans="1:45" x14ac:dyDescent="0.3">
      <c r="B368" s="59" t="s">
        <v>55</v>
      </c>
      <c r="C368" s="60"/>
      <c r="D368" s="27">
        <f t="shared" ref="D368:W368" si="415">SUM(D366:D367)</f>
        <v>42.942297297297301</v>
      </c>
      <c r="E368" s="41">
        <f t="shared" si="415"/>
        <v>43.803486486486484</v>
      </c>
      <c r="F368" s="41">
        <f t="shared" si="415"/>
        <v>44.111216216216214</v>
      </c>
      <c r="G368" s="41">
        <f t="shared" si="415"/>
        <v>43.495810810810809</v>
      </c>
      <c r="H368" s="41">
        <f t="shared" si="415"/>
        <v>42.924351351351355</v>
      </c>
      <c r="I368" s="41">
        <f t="shared" si="415"/>
        <v>43.144135135135137</v>
      </c>
      <c r="J368" s="41">
        <f t="shared" si="415"/>
        <v>43.627702702702706</v>
      </c>
      <c r="K368" s="41">
        <f t="shared" si="415"/>
        <v>43.381540540540541</v>
      </c>
      <c r="L368" s="41">
        <f t="shared" si="415"/>
        <v>43.583702702702702</v>
      </c>
      <c r="M368" s="41">
        <f t="shared" si="415"/>
        <v>42.897972972972973</v>
      </c>
      <c r="N368" s="41">
        <f t="shared" si="415"/>
        <v>42.968351351351352</v>
      </c>
      <c r="O368" s="41">
        <f t="shared" si="415"/>
        <v>43.91802702702703</v>
      </c>
      <c r="P368" s="41">
        <f t="shared" si="415"/>
        <v>42.897972972972973</v>
      </c>
      <c r="Q368" s="41">
        <f t="shared" si="415"/>
        <v>42.897972972972973</v>
      </c>
      <c r="R368" s="41">
        <f t="shared" si="415"/>
        <v>43.100189189189187</v>
      </c>
      <c r="S368" s="41">
        <f t="shared" si="415"/>
        <v>43.056243243243244</v>
      </c>
      <c r="T368" s="41">
        <f t="shared" si="415"/>
        <v>37.107599999999998</v>
      </c>
      <c r="U368" s="41">
        <f t="shared" si="415"/>
        <v>40.413654054054057</v>
      </c>
      <c r="V368" s="41">
        <f t="shared" si="415"/>
        <v>37.107599999999998</v>
      </c>
      <c r="W368" s="41">
        <f t="shared" si="415"/>
        <v>42.897972972972973</v>
      </c>
      <c r="Y368" s="390"/>
      <c r="Z368" s="390"/>
      <c r="AA368" s="390"/>
      <c r="AB368" s="390"/>
      <c r="AC368" s="390"/>
      <c r="AD368" s="390"/>
      <c r="AE368" s="390"/>
      <c r="AF368" s="390"/>
      <c r="AG368" s="390"/>
      <c r="AH368" s="390"/>
      <c r="AI368" s="390"/>
      <c r="AJ368" s="390"/>
      <c r="AK368" s="390"/>
      <c r="AL368" s="390"/>
      <c r="AM368" s="390"/>
      <c r="AN368" s="390"/>
      <c r="AO368" s="390"/>
      <c r="AP368" s="390"/>
      <c r="AQ368" s="390"/>
      <c r="AR368" s="390"/>
      <c r="AS368" s="390"/>
    </row>
    <row r="369" spans="2:45" x14ac:dyDescent="0.3">
      <c r="B369" s="61" t="s">
        <v>101</v>
      </c>
      <c r="C369" s="55"/>
      <c r="D369" s="43">
        <v>0</v>
      </c>
      <c r="E369" s="408">
        <v>0</v>
      </c>
      <c r="F369" s="408">
        <v>0</v>
      </c>
      <c r="G369" s="408">
        <v>0</v>
      </c>
      <c r="H369" s="408">
        <v>0</v>
      </c>
      <c r="I369" s="408">
        <v>0</v>
      </c>
      <c r="J369" s="408">
        <v>0</v>
      </c>
      <c r="K369" s="408">
        <v>0</v>
      </c>
      <c r="L369" s="408">
        <v>0</v>
      </c>
      <c r="M369" s="408">
        <v>0</v>
      </c>
      <c r="N369" s="408">
        <v>0</v>
      </c>
      <c r="O369" s="408">
        <v>0</v>
      </c>
      <c r="P369" s="408">
        <v>0</v>
      </c>
      <c r="Q369" s="408">
        <v>0</v>
      </c>
      <c r="R369" s="408">
        <v>0</v>
      </c>
      <c r="S369" s="408">
        <v>0</v>
      </c>
      <c r="T369" s="408">
        <v>0</v>
      </c>
      <c r="U369" s="408">
        <v>0</v>
      </c>
      <c r="V369" s="408">
        <v>0</v>
      </c>
      <c r="W369" s="408">
        <v>0</v>
      </c>
      <c r="Y369" s="409"/>
      <c r="Z369" s="409"/>
      <c r="AA369" s="409"/>
      <c r="AB369" s="409"/>
      <c r="AC369" s="409"/>
      <c r="AD369" s="409"/>
      <c r="AE369" s="409"/>
      <c r="AF369" s="409"/>
      <c r="AG369" s="409"/>
      <c r="AH369" s="409"/>
      <c r="AI369" s="409"/>
      <c r="AJ369" s="409"/>
      <c r="AK369" s="409"/>
      <c r="AL369" s="409"/>
      <c r="AM369" s="409"/>
      <c r="AN369" s="409"/>
      <c r="AO369" s="409"/>
      <c r="AP369" s="409"/>
      <c r="AQ369" s="409"/>
      <c r="AR369" s="409"/>
      <c r="AS369" s="409"/>
    </row>
    <row r="370" spans="2:45" x14ac:dyDescent="0.3">
      <c r="B370" s="171" t="s">
        <v>194</v>
      </c>
      <c r="C370" s="55"/>
      <c r="D370" s="20">
        <v>45</v>
      </c>
      <c r="E370" s="21">
        <v>46</v>
      </c>
      <c r="F370" s="21">
        <v>47</v>
      </c>
      <c r="G370" s="21">
        <v>46</v>
      </c>
      <c r="H370" s="21">
        <v>45</v>
      </c>
      <c r="I370" s="21">
        <v>46</v>
      </c>
      <c r="J370" s="21">
        <v>46</v>
      </c>
      <c r="K370" s="21">
        <v>46</v>
      </c>
      <c r="L370" s="21">
        <v>46</v>
      </c>
      <c r="M370" s="21">
        <v>45</v>
      </c>
      <c r="N370" s="21">
        <v>45</v>
      </c>
      <c r="O370" s="21">
        <v>46</v>
      </c>
      <c r="P370" s="21">
        <v>45</v>
      </c>
      <c r="Q370" s="21">
        <v>45</v>
      </c>
      <c r="R370" s="21">
        <v>46</v>
      </c>
      <c r="S370" s="21">
        <v>46</v>
      </c>
      <c r="T370" s="21">
        <v>40</v>
      </c>
      <c r="U370" s="21">
        <v>43</v>
      </c>
      <c r="V370" s="21">
        <v>40</v>
      </c>
      <c r="W370" s="21">
        <v>45</v>
      </c>
      <c r="Y370" s="390"/>
      <c r="Z370" s="390"/>
      <c r="AA370" s="390"/>
      <c r="AB370" s="390"/>
      <c r="AC370" s="390"/>
      <c r="AD370" s="390"/>
      <c r="AE370" s="390"/>
      <c r="AF370" s="390"/>
      <c r="AG370" s="390"/>
      <c r="AH370" s="390"/>
      <c r="AI370" s="390"/>
      <c r="AJ370" s="390"/>
      <c r="AK370" s="390"/>
      <c r="AL370" s="390"/>
      <c r="AM370" s="390"/>
      <c r="AN370" s="390"/>
      <c r="AO370" s="390"/>
      <c r="AP370" s="390"/>
      <c r="AQ370" s="390"/>
      <c r="AR370" s="390"/>
      <c r="AS370" s="390"/>
    </row>
    <row r="371" spans="2:45" x14ac:dyDescent="0.3">
      <c r="B371" s="61" t="s">
        <v>195</v>
      </c>
      <c r="C371" s="55"/>
      <c r="D371" s="106">
        <v>46</v>
      </c>
      <c r="E371" s="21">
        <v>47</v>
      </c>
      <c r="F371" s="21">
        <v>48</v>
      </c>
      <c r="G371" s="21">
        <v>47</v>
      </c>
      <c r="H371" s="21">
        <v>46</v>
      </c>
      <c r="I371" s="21">
        <v>47</v>
      </c>
      <c r="J371" s="21">
        <v>47</v>
      </c>
      <c r="K371" s="21">
        <v>47</v>
      </c>
      <c r="L371" s="21">
        <v>47</v>
      </c>
      <c r="M371" s="21">
        <v>46</v>
      </c>
      <c r="N371" s="21">
        <v>46</v>
      </c>
      <c r="O371" s="21">
        <v>47</v>
      </c>
      <c r="P371" s="21">
        <v>46</v>
      </c>
      <c r="Q371" s="21">
        <v>46</v>
      </c>
      <c r="R371" s="21">
        <v>47</v>
      </c>
      <c r="S371" s="21">
        <v>47</v>
      </c>
      <c r="T371" s="21">
        <v>41</v>
      </c>
      <c r="U371" s="21">
        <v>44</v>
      </c>
      <c r="V371" s="21">
        <v>41</v>
      </c>
      <c r="W371" s="21">
        <v>46</v>
      </c>
      <c r="Y371" s="390"/>
      <c r="Z371" s="390"/>
      <c r="AA371" s="390"/>
      <c r="AB371" s="390"/>
      <c r="AC371" s="390"/>
      <c r="AD371" s="390"/>
      <c r="AE371" s="390"/>
      <c r="AF371" s="390"/>
      <c r="AG371" s="390"/>
      <c r="AH371" s="390"/>
      <c r="AI371" s="390"/>
      <c r="AJ371" s="390"/>
      <c r="AK371" s="390"/>
      <c r="AL371" s="390"/>
      <c r="AM371" s="390"/>
      <c r="AN371" s="390"/>
      <c r="AO371" s="390"/>
      <c r="AP371" s="390"/>
      <c r="AQ371" s="390"/>
      <c r="AR371" s="390"/>
      <c r="AS371" s="390"/>
    </row>
    <row r="372" spans="2:45" s="30" customFormat="1" x14ac:dyDescent="0.3">
      <c r="B372" s="61" t="s">
        <v>196</v>
      </c>
      <c r="C372" s="62"/>
      <c r="D372" s="28">
        <v>47</v>
      </c>
      <c r="E372" s="28">
        <v>48</v>
      </c>
      <c r="F372" s="28">
        <v>49</v>
      </c>
      <c r="G372" s="28">
        <v>48</v>
      </c>
      <c r="H372" s="28">
        <v>47</v>
      </c>
      <c r="I372" s="28">
        <v>48</v>
      </c>
      <c r="J372" s="28">
        <v>48</v>
      </c>
      <c r="K372" s="28">
        <v>48</v>
      </c>
      <c r="L372" s="28">
        <v>48</v>
      </c>
      <c r="M372" s="28">
        <v>47</v>
      </c>
      <c r="N372" s="28">
        <v>47</v>
      </c>
      <c r="O372" s="28">
        <v>48</v>
      </c>
      <c r="P372" s="28">
        <v>47</v>
      </c>
      <c r="Q372" s="28">
        <v>47</v>
      </c>
      <c r="R372" s="28">
        <v>48</v>
      </c>
      <c r="S372" s="28">
        <v>48</v>
      </c>
      <c r="T372" s="28">
        <v>42</v>
      </c>
      <c r="U372" s="28">
        <v>45</v>
      </c>
      <c r="V372" s="28">
        <v>42</v>
      </c>
      <c r="W372" s="28">
        <v>47</v>
      </c>
      <c r="Y372" s="391"/>
      <c r="Z372" s="391"/>
      <c r="AA372" s="391"/>
      <c r="AB372" s="391"/>
      <c r="AC372" s="391"/>
      <c r="AD372" s="391"/>
      <c r="AE372" s="391"/>
      <c r="AF372" s="391"/>
      <c r="AG372" s="391"/>
      <c r="AH372" s="391"/>
      <c r="AI372" s="391"/>
      <c r="AJ372" s="391"/>
      <c r="AK372" s="391"/>
      <c r="AL372" s="391"/>
      <c r="AM372" s="391"/>
      <c r="AN372" s="391"/>
      <c r="AO372" s="391"/>
      <c r="AP372" s="391"/>
      <c r="AQ372" s="391"/>
      <c r="AR372" s="391"/>
      <c r="AS372" s="391"/>
    </row>
    <row r="373" spans="2:45" s="30" customFormat="1" x14ac:dyDescent="0.3">
      <c r="B373" s="61" t="s">
        <v>197</v>
      </c>
      <c r="C373" s="62"/>
      <c r="D373" s="28">
        <v>48</v>
      </c>
      <c r="E373" s="28">
        <v>49</v>
      </c>
      <c r="F373" s="28">
        <v>50</v>
      </c>
      <c r="G373" s="28">
        <v>49</v>
      </c>
      <c r="H373" s="28">
        <v>48</v>
      </c>
      <c r="I373" s="28">
        <v>49</v>
      </c>
      <c r="J373" s="28">
        <v>49</v>
      </c>
      <c r="K373" s="28">
        <v>49</v>
      </c>
      <c r="L373" s="28">
        <v>49</v>
      </c>
      <c r="M373" s="28">
        <v>48</v>
      </c>
      <c r="N373" s="28">
        <v>48</v>
      </c>
      <c r="O373" s="28">
        <v>49</v>
      </c>
      <c r="P373" s="28">
        <v>48</v>
      </c>
      <c r="Q373" s="28">
        <v>48</v>
      </c>
      <c r="R373" s="28">
        <v>49</v>
      </c>
      <c r="S373" s="28">
        <v>49</v>
      </c>
      <c r="T373" s="28">
        <v>43</v>
      </c>
      <c r="U373" s="28">
        <v>46</v>
      </c>
      <c r="V373" s="28">
        <v>43</v>
      </c>
      <c r="W373" s="28">
        <v>48</v>
      </c>
      <c r="Y373" s="391"/>
      <c r="Z373" s="391"/>
      <c r="AA373" s="391"/>
      <c r="AB373" s="391"/>
      <c r="AC373" s="391"/>
      <c r="AD373" s="391"/>
      <c r="AE373" s="391"/>
      <c r="AF373" s="391"/>
      <c r="AG373" s="391"/>
      <c r="AH373" s="391"/>
      <c r="AI373" s="391"/>
      <c r="AJ373" s="391"/>
      <c r="AK373" s="391"/>
      <c r="AL373" s="391"/>
      <c r="AM373" s="391"/>
      <c r="AN373" s="391"/>
      <c r="AO373" s="391"/>
      <c r="AP373" s="391"/>
      <c r="AQ373" s="391"/>
      <c r="AR373" s="391"/>
      <c r="AS373" s="391"/>
    </row>
    <row r="374" spans="2:45" x14ac:dyDescent="0.3">
      <c r="B374" s="63" t="s">
        <v>103</v>
      </c>
      <c r="C374" s="55"/>
      <c r="D374" s="43">
        <v>0</v>
      </c>
      <c r="E374" s="408">
        <v>0</v>
      </c>
      <c r="F374" s="408">
        <v>0</v>
      </c>
      <c r="G374" s="408">
        <v>0</v>
      </c>
      <c r="H374" s="408">
        <v>0</v>
      </c>
      <c r="I374" s="408">
        <v>0</v>
      </c>
      <c r="J374" s="408">
        <v>0</v>
      </c>
      <c r="K374" s="408">
        <v>0</v>
      </c>
      <c r="L374" s="408">
        <v>0</v>
      </c>
      <c r="M374" s="408">
        <v>0</v>
      </c>
      <c r="N374" s="408">
        <v>0</v>
      </c>
      <c r="O374" s="408">
        <v>0</v>
      </c>
      <c r="P374" s="408">
        <v>0</v>
      </c>
      <c r="Q374" s="408">
        <v>0</v>
      </c>
      <c r="R374" s="408">
        <v>0</v>
      </c>
      <c r="S374" s="408">
        <v>0</v>
      </c>
      <c r="T374" s="408">
        <v>0</v>
      </c>
      <c r="U374" s="408">
        <v>0</v>
      </c>
      <c r="V374" s="408">
        <v>0</v>
      </c>
      <c r="W374" s="408">
        <v>0</v>
      </c>
      <c r="Y374" s="409"/>
      <c r="Z374" s="409"/>
      <c r="AA374" s="409"/>
      <c r="AB374" s="409"/>
      <c r="AC374" s="409"/>
      <c r="AD374" s="409"/>
      <c r="AE374" s="409"/>
      <c r="AF374" s="409"/>
      <c r="AG374" s="409"/>
      <c r="AH374" s="409"/>
      <c r="AI374" s="409"/>
      <c r="AJ374" s="409"/>
      <c r="AK374" s="409"/>
      <c r="AL374" s="409"/>
      <c r="AM374" s="409"/>
      <c r="AN374" s="409"/>
      <c r="AO374" s="409"/>
      <c r="AP374" s="409"/>
      <c r="AQ374" s="409"/>
      <c r="AR374" s="409"/>
      <c r="AS374" s="409"/>
    </row>
    <row r="375" spans="2:45" s="33" customFormat="1" x14ac:dyDescent="0.3">
      <c r="B375" s="63" t="s">
        <v>198</v>
      </c>
      <c r="C375" s="64"/>
      <c r="D375" s="31">
        <f t="shared" ref="D375:W375" si="416">+D370-D$368</f>
        <v>2.0577027027026986</v>
      </c>
      <c r="E375" s="32">
        <f t="shared" si="416"/>
        <v>2.1965135135135156</v>
      </c>
      <c r="F375" s="32">
        <f t="shared" si="416"/>
        <v>2.8887837837837864</v>
      </c>
      <c r="G375" s="32">
        <f t="shared" si="416"/>
        <v>2.5041891891891908</v>
      </c>
      <c r="H375" s="32">
        <f t="shared" si="416"/>
        <v>2.0756486486486452</v>
      </c>
      <c r="I375" s="32">
        <f t="shared" si="416"/>
        <v>2.8558648648648628</v>
      </c>
      <c r="J375" s="32">
        <f t="shared" si="416"/>
        <v>2.372297297297294</v>
      </c>
      <c r="K375" s="32">
        <f t="shared" si="416"/>
        <v>2.6184594594594586</v>
      </c>
      <c r="L375" s="32">
        <f t="shared" si="416"/>
        <v>2.416297297297298</v>
      </c>
      <c r="M375" s="32">
        <f t="shared" si="416"/>
        <v>2.1020270270270274</v>
      </c>
      <c r="N375" s="32">
        <f t="shared" si="416"/>
        <v>2.0316486486486482</v>
      </c>
      <c r="O375" s="32">
        <f t="shared" si="416"/>
        <v>2.0819729729729701</v>
      </c>
      <c r="P375" s="32">
        <f t="shared" si="416"/>
        <v>2.1020270270270274</v>
      </c>
      <c r="Q375" s="32">
        <f t="shared" si="416"/>
        <v>2.1020270270270274</v>
      </c>
      <c r="R375" s="32">
        <f t="shared" si="416"/>
        <v>2.8998108108108127</v>
      </c>
      <c r="S375" s="32">
        <f t="shared" si="416"/>
        <v>2.9437567567567555</v>
      </c>
      <c r="T375" s="32">
        <f t="shared" si="416"/>
        <v>2.8924000000000021</v>
      </c>
      <c r="U375" s="32">
        <f t="shared" si="416"/>
        <v>2.5863459459459435</v>
      </c>
      <c r="V375" s="32">
        <f t="shared" si="416"/>
        <v>2.8924000000000021</v>
      </c>
      <c r="W375" s="32">
        <f t="shared" si="416"/>
        <v>2.1020270270270274</v>
      </c>
      <c r="Y375" s="392"/>
      <c r="Z375" s="392"/>
      <c r="AA375" s="392"/>
      <c r="AB375" s="392"/>
      <c r="AC375" s="392"/>
      <c r="AD375" s="392"/>
      <c r="AE375" s="392"/>
      <c r="AF375" s="392"/>
      <c r="AG375" s="392"/>
      <c r="AH375" s="392"/>
      <c r="AI375" s="392"/>
      <c r="AJ375" s="392"/>
      <c r="AK375" s="392"/>
      <c r="AL375" s="392"/>
      <c r="AM375" s="392"/>
      <c r="AN375" s="392"/>
      <c r="AO375" s="392"/>
      <c r="AP375" s="392"/>
      <c r="AQ375" s="392"/>
      <c r="AR375" s="392"/>
      <c r="AS375" s="392"/>
    </row>
    <row r="376" spans="2:45" s="33" customFormat="1" x14ac:dyDescent="0.3">
      <c r="B376" s="63" t="s">
        <v>199</v>
      </c>
      <c r="C376" s="64"/>
      <c r="D376" s="31">
        <f t="shared" ref="D376:W376" si="417">+D371-D$368</f>
        <v>3.0577027027026986</v>
      </c>
      <c r="E376" s="32">
        <f t="shared" si="417"/>
        <v>3.1965135135135156</v>
      </c>
      <c r="F376" s="32">
        <f t="shared" si="417"/>
        <v>3.8887837837837864</v>
      </c>
      <c r="G376" s="32">
        <f t="shared" si="417"/>
        <v>3.5041891891891908</v>
      </c>
      <c r="H376" s="32">
        <f t="shared" si="417"/>
        <v>3.0756486486486452</v>
      </c>
      <c r="I376" s="32">
        <f t="shared" si="417"/>
        <v>3.8558648648648628</v>
      </c>
      <c r="J376" s="32">
        <f t="shared" si="417"/>
        <v>3.372297297297294</v>
      </c>
      <c r="K376" s="32">
        <f t="shared" si="417"/>
        <v>3.6184594594594586</v>
      </c>
      <c r="L376" s="32">
        <f t="shared" si="417"/>
        <v>3.416297297297298</v>
      </c>
      <c r="M376" s="32">
        <f t="shared" si="417"/>
        <v>3.1020270270270274</v>
      </c>
      <c r="N376" s="32">
        <f t="shared" si="417"/>
        <v>3.0316486486486482</v>
      </c>
      <c r="O376" s="32">
        <f t="shared" si="417"/>
        <v>3.0819729729729701</v>
      </c>
      <c r="P376" s="32">
        <f t="shared" si="417"/>
        <v>3.1020270270270274</v>
      </c>
      <c r="Q376" s="32">
        <f t="shared" si="417"/>
        <v>3.1020270270270274</v>
      </c>
      <c r="R376" s="32">
        <f t="shared" si="417"/>
        <v>3.8998108108108127</v>
      </c>
      <c r="S376" s="32">
        <f t="shared" si="417"/>
        <v>3.9437567567567555</v>
      </c>
      <c r="T376" s="32">
        <f t="shared" si="417"/>
        <v>3.8924000000000021</v>
      </c>
      <c r="U376" s="32">
        <f t="shared" si="417"/>
        <v>3.5863459459459435</v>
      </c>
      <c r="V376" s="32">
        <f t="shared" si="417"/>
        <v>3.8924000000000021</v>
      </c>
      <c r="W376" s="32">
        <f t="shared" si="417"/>
        <v>3.1020270270270274</v>
      </c>
      <c r="Y376" s="392"/>
      <c r="Z376" s="392"/>
      <c r="AA376" s="392"/>
      <c r="AB376" s="392"/>
      <c r="AC376" s="392"/>
      <c r="AD376" s="392"/>
      <c r="AE376" s="392"/>
      <c r="AF376" s="392"/>
      <c r="AG376" s="392"/>
      <c r="AH376" s="392"/>
      <c r="AI376" s="392"/>
      <c r="AJ376" s="392"/>
      <c r="AK376" s="392"/>
      <c r="AL376" s="392"/>
      <c r="AM376" s="392"/>
      <c r="AN376" s="392"/>
      <c r="AO376" s="392"/>
      <c r="AP376" s="392"/>
      <c r="AQ376" s="392"/>
      <c r="AR376" s="392"/>
      <c r="AS376" s="392"/>
    </row>
    <row r="377" spans="2:45" s="33" customFormat="1" x14ac:dyDescent="0.3">
      <c r="B377" s="63" t="s">
        <v>200</v>
      </c>
      <c r="C377" s="64"/>
      <c r="D377" s="31">
        <f t="shared" ref="D377:W377" si="418">+D372-D$368</f>
        <v>4.0577027027026986</v>
      </c>
      <c r="E377" s="32">
        <f t="shared" si="418"/>
        <v>4.1965135135135156</v>
      </c>
      <c r="F377" s="32">
        <f t="shared" si="418"/>
        <v>4.8887837837837864</v>
      </c>
      <c r="G377" s="32">
        <f t="shared" si="418"/>
        <v>4.5041891891891908</v>
      </c>
      <c r="H377" s="32">
        <f t="shared" si="418"/>
        <v>4.0756486486486452</v>
      </c>
      <c r="I377" s="32">
        <f t="shared" si="418"/>
        <v>4.8558648648648628</v>
      </c>
      <c r="J377" s="32">
        <f t="shared" si="418"/>
        <v>4.372297297297294</v>
      </c>
      <c r="K377" s="32">
        <f t="shared" si="418"/>
        <v>4.6184594594594586</v>
      </c>
      <c r="L377" s="32">
        <f t="shared" si="418"/>
        <v>4.416297297297298</v>
      </c>
      <c r="M377" s="32">
        <f t="shared" si="418"/>
        <v>4.1020270270270274</v>
      </c>
      <c r="N377" s="32">
        <f t="shared" si="418"/>
        <v>4.0316486486486482</v>
      </c>
      <c r="O377" s="32">
        <f t="shared" si="418"/>
        <v>4.0819729729729701</v>
      </c>
      <c r="P377" s="32">
        <f t="shared" si="418"/>
        <v>4.1020270270270274</v>
      </c>
      <c r="Q377" s="32">
        <f t="shared" si="418"/>
        <v>4.1020270270270274</v>
      </c>
      <c r="R377" s="32">
        <f t="shared" si="418"/>
        <v>4.8998108108108127</v>
      </c>
      <c r="S377" s="32">
        <f t="shared" si="418"/>
        <v>4.9437567567567555</v>
      </c>
      <c r="T377" s="32">
        <f t="shared" si="418"/>
        <v>4.8924000000000021</v>
      </c>
      <c r="U377" s="32">
        <f t="shared" si="418"/>
        <v>4.5863459459459435</v>
      </c>
      <c r="V377" s="32">
        <f t="shared" si="418"/>
        <v>4.8924000000000021</v>
      </c>
      <c r="W377" s="32">
        <f t="shared" si="418"/>
        <v>4.1020270270270274</v>
      </c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</row>
    <row r="378" spans="2:45" s="33" customFormat="1" x14ac:dyDescent="0.3">
      <c r="B378" s="63" t="s">
        <v>201</v>
      </c>
      <c r="C378" s="64"/>
      <c r="D378" s="31">
        <f t="shared" ref="D378:W378" si="419">+D373-D$368</f>
        <v>5.0577027027026986</v>
      </c>
      <c r="E378" s="34">
        <f t="shared" si="419"/>
        <v>5.1965135135135156</v>
      </c>
      <c r="F378" s="34">
        <f t="shared" si="419"/>
        <v>5.8887837837837864</v>
      </c>
      <c r="G378" s="34">
        <f t="shared" si="419"/>
        <v>5.5041891891891908</v>
      </c>
      <c r="H378" s="34">
        <f t="shared" si="419"/>
        <v>5.0756486486486452</v>
      </c>
      <c r="I378" s="34">
        <f t="shared" si="419"/>
        <v>5.8558648648648628</v>
      </c>
      <c r="J378" s="34">
        <f t="shared" si="419"/>
        <v>5.372297297297294</v>
      </c>
      <c r="K378" s="34">
        <f t="shared" si="419"/>
        <v>5.6184594594594586</v>
      </c>
      <c r="L378" s="34">
        <f t="shared" si="419"/>
        <v>5.416297297297298</v>
      </c>
      <c r="M378" s="34">
        <f t="shared" si="419"/>
        <v>5.1020270270270274</v>
      </c>
      <c r="N378" s="34">
        <f t="shared" si="419"/>
        <v>5.0316486486486482</v>
      </c>
      <c r="O378" s="34">
        <f t="shared" si="419"/>
        <v>5.0819729729729701</v>
      </c>
      <c r="P378" s="34">
        <f t="shared" si="419"/>
        <v>5.1020270270270274</v>
      </c>
      <c r="Q378" s="34">
        <f t="shared" si="419"/>
        <v>5.1020270270270274</v>
      </c>
      <c r="R378" s="34">
        <f t="shared" si="419"/>
        <v>5.8998108108108127</v>
      </c>
      <c r="S378" s="34">
        <f t="shared" si="419"/>
        <v>5.9437567567567555</v>
      </c>
      <c r="T378" s="34">
        <f t="shared" si="419"/>
        <v>5.8924000000000021</v>
      </c>
      <c r="U378" s="34">
        <f t="shared" si="419"/>
        <v>5.5863459459459435</v>
      </c>
      <c r="V378" s="34">
        <f t="shared" si="419"/>
        <v>5.8924000000000021</v>
      </c>
      <c r="W378" s="34">
        <f t="shared" si="419"/>
        <v>5.1020270270270274</v>
      </c>
      <c r="Y378" s="392"/>
      <c r="Z378" s="392"/>
      <c r="AA378" s="392"/>
      <c r="AB378" s="392"/>
      <c r="AC378" s="392"/>
      <c r="AD378" s="392"/>
      <c r="AE378" s="392"/>
      <c r="AF378" s="392"/>
      <c r="AG378" s="392"/>
      <c r="AH378" s="392"/>
      <c r="AI378" s="392"/>
      <c r="AJ378" s="392"/>
      <c r="AK378" s="392"/>
      <c r="AL378" s="392"/>
      <c r="AM378" s="392"/>
      <c r="AN378" s="392"/>
      <c r="AO378" s="392"/>
      <c r="AP378" s="392"/>
      <c r="AQ378" s="392"/>
      <c r="AR378" s="392"/>
      <c r="AS378" s="392"/>
    </row>
    <row r="379" spans="2:45" x14ac:dyDescent="0.3">
      <c r="B379" s="65" t="s">
        <v>108</v>
      </c>
      <c r="C379" s="55"/>
      <c r="D379" s="43">
        <v>0</v>
      </c>
      <c r="E379" s="408">
        <v>0</v>
      </c>
      <c r="F379" s="408">
        <v>0</v>
      </c>
      <c r="G379" s="408">
        <v>0</v>
      </c>
      <c r="H379" s="408">
        <v>0</v>
      </c>
      <c r="I379" s="408">
        <v>0</v>
      </c>
      <c r="J379" s="408">
        <v>0</v>
      </c>
      <c r="K379" s="408">
        <v>0</v>
      </c>
      <c r="L379" s="408">
        <v>0</v>
      </c>
      <c r="M379" s="408">
        <v>0</v>
      </c>
      <c r="N379" s="408">
        <v>0</v>
      </c>
      <c r="O379" s="408">
        <v>0</v>
      </c>
      <c r="P379" s="408">
        <v>0</v>
      </c>
      <c r="Q379" s="408">
        <v>0</v>
      </c>
      <c r="R379" s="408">
        <v>0</v>
      </c>
      <c r="S379" s="408">
        <v>0</v>
      </c>
      <c r="T379" s="408">
        <v>0</v>
      </c>
      <c r="U379" s="408">
        <v>0</v>
      </c>
      <c r="V379" s="408">
        <v>0</v>
      </c>
      <c r="W379" s="408">
        <v>0</v>
      </c>
      <c r="Y379" s="409"/>
      <c r="Z379" s="409"/>
      <c r="AA379" s="409"/>
      <c r="AB379" s="409"/>
      <c r="AC379" s="409"/>
      <c r="AD379" s="409"/>
      <c r="AE379" s="409"/>
      <c r="AF379" s="409"/>
      <c r="AG379" s="409"/>
      <c r="AH379" s="409"/>
      <c r="AI379" s="409"/>
      <c r="AJ379" s="409"/>
      <c r="AK379" s="409"/>
      <c r="AL379" s="409"/>
      <c r="AM379" s="409"/>
      <c r="AN379" s="409"/>
      <c r="AO379" s="409"/>
      <c r="AP379" s="409"/>
      <c r="AQ379" s="409"/>
      <c r="AR379" s="409"/>
      <c r="AS379" s="409"/>
    </row>
    <row r="380" spans="2:45" s="36" customFormat="1" x14ac:dyDescent="0.3">
      <c r="B380" s="65" t="s">
        <v>202</v>
      </c>
      <c r="C380" s="66"/>
      <c r="D380" s="35">
        <f>+D375/D$370</f>
        <v>4.5726726726726633E-2</v>
      </c>
      <c r="E380" s="35">
        <f t="shared" ref="E380:W380" si="420">+E375/E$370</f>
        <v>4.7750293772032951E-2</v>
      </c>
      <c r="F380" s="35">
        <f t="shared" si="420"/>
        <v>6.1463484761357157E-2</v>
      </c>
      <c r="G380" s="35">
        <f t="shared" si="420"/>
        <v>5.4438895417156317E-2</v>
      </c>
      <c r="H380" s="35">
        <f t="shared" si="420"/>
        <v>4.612552552552545E-2</v>
      </c>
      <c r="I380" s="35">
        <f t="shared" si="420"/>
        <v>6.2084018801410061E-2</v>
      </c>
      <c r="J380" s="35">
        <f t="shared" si="420"/>
        <v>5.1571680376028127E-2</v>
      </c>
      <c r="K380" s="35">
        <f t="shared" si="420"/>
        <v>5.6923031727379537E-2</v>
      </c>
      <c r="L380" s="35">
        <f t="shared" si="420"/>
        <v>5.252820211515865E-2</v>
      </c>
      <c r="M380" s="35">
        <f t="shared" si="420"/>
        <v>4.671171171171172E-2</v>
      </c>
      <c r="N380" s="35">
        <f t="shared" si="420"/>
        <v>4.5147747747747741E-2</v>
      </c>
      <c r="O380" s="35">
        <f t="shared" si="420"/>
        <v>4.5260282021151524E-2</v>
      </c>
      <c r="P380" s="35">
        <f t="shared" si="420"/>
        <v>4.671171171171172E-2</v>
      </c>
      <c r="Q380" s="35">
        <f t="shared" si="420"/>
        <v>4.671171171171172E-2</v>
      </c>
      <c r="R380" s="35">
        <f t="shared" si="420"/>
        <v>6.3039365452408971E-2</v>
      </c>
      <c r="S380" s="35">
        <f t="shared" si="420"/>
        <v>6.3994712103407722E-2</v>
      </c>
      <c r="T380" s="35">
        <f t="shared" si="420"/>
        <v>7.2310000000000055E-2</v>
      </c>
      <c r="U380" s="35">
        <f t="shared" si="420"/>
        <v>6.0147580138277756E-2</v>
      </c>
      <c r="V380" s="35">
        <f t="shared" si="420"/>
        <v>7.2310000000000055E-2</v>
      </c>
      <c r="W380" s="35">
        <f t="shared" si="420"/>
        <v>4.671171171171172E-2</v>
      </c>
      <c r="Y380" s="393"/>
      <c r="Z380" s="393"/>
      <c r="AA380" s="393"/>
      <c r="AB380" s="393"/>
      <c r="AC380" s="393"/>
      <c r="AD380" s="393"/>
      <c r="AE380" s="393"/>
      <c r="AF380" s="393"/>
      <c r="AG380" s="393"/>
      <c r="AH380" s="393"/>
      <c r="AI380" s="393"/>
      <c r="AJ380" s="393"/>
      <c r="AK380" s="393"/>
      <c r="AL380" s="393"/>
      <c r="AM380" s="393"/>
      <c r="AN380" s="393"/>
      <c r="AO380" s="393"/>
      <c r="AP380" s="393"/>
      <c r="AQ380" s="393"/>
      <c r="AR380" s="393"/>
      <c r="AS380" s="393"/>
    </row>
    <row r="381" spans="2:45" s="36" customFormat="1" x14ac:dyDescent="0.3">
      <c r="B381" s="65" t="s">
        <v>203</v>
      </c>
      <c r="C381" s="66"/>
      <c r="D381" s="35">
        <f>+D376/D$371</f>
        <v>6.6471797884841269E-2</v>
      </c>
      <c r="E381" s="35">
        <f t="shared" ref="E381:W381" si="421">+E376/E$371</f>
        <v>6.8010925819436505E-2</v>
      </c>
      <c r="F381" s="35">
        <f t="shared" si="421"/>
        <v>8.1016328828828879E-2</v>
      </c>
      <c r="G381" s="35">
        <f t="shared" si="421"/>
        <v>7.4557216791259373E-2</v>
      </c>
      <c r="H381" s="35">
        <f t="shared" si="421"/>
        <v>6.686192714453576E-2</v>
      </c>
      <c r="I381" s="35">
        <f t="shared" si="421"/>
        <v>8.2039677975848144E-2</v>
      </c>
      <c r="J381" s="35">
        <f t="shared" si="421"/>
        <v>7.1751006325474334E-2</v>
      </c>
      <c r="K381" s="35">
        <f t="shared" si="421"/>
        <v>7.6988499137435287E-2</v>
      </c>
      <c r="L381" s="35">
        <f t="shared" si="421"/>
        <v>7.2687176538240389E-2</v>
      </c>
      <c r="M381" s="35">
        <f t="shared" si="421"/>
        <v>6.7435370152761465E-2</v>
      </c>
      <c r="N381" s="35">
        <f t="shared" si="421"/>
        <v>6.590540540540539E-2</v>
      </c>
      <c r="O381" s="35">
        <f t="shared" si="421"/>
        <v>6.5573893041978082E-2</v>
      </c>
      <c r="P381" s="35">
        <f t="shared" si="421"/>
        <v>6.7435370152761465E-2</v>
      </c>
      <c r="Q381" s="35">
        <f t="shared" si="421"/>
        <v>6.7435370152761465E-2</v>
      </c>
      <c r="R381" s="35">
        <f t="shared" si="421"/>
        <v>8.2974698102357719E-2</v>
      </c>
      <c r="S381" s="35">
        <f t="shared" si="421"/>
        <v>8.3909718228867142E-2</v>
      </c>
      <c r="T381" s="35">
        <f t="shared" si="421"/>
        <v>9.4936585365853712E-2</v>
      </c>
      <c r="U381" s="35">
        <f t="shared" si="421"/>
        <v>8.1507862407862355E-2</v>
      </c>
      <c r="V381" s="35">
        <f t="shared" si="421"/>
        <v>9.4936585365853712E-2</v>
      </c>
      <c r="W381" s="35">
        <f t="shared" si="421"/>
        <v>6.7435370152761465E-2</v>
      </c>
      <c r="Y381" s="393"/>
      <c r="Z381" s="393"/>
      <c r="AA381" s="393"/>
      <c r="AB381" s="393"/>
      <c r="AC381" s="393"/>
      <c r="AD381" s="393"/>
      <c r="AE381" s="393"/>
      <c r="AF381" s="393"/>
      <c r="AG381" s="393"/>
      <c r="AH381" s="393"/>
      <c r="AI381" s="393"/>
      <c r="AJ381" s="393"/>
      <c r="AK381" s="393"/>
      <c r="AL381" s="393"/>
      <c r="AM381" s="393"/>
      <c r="AN381" s="393"/>
      <c r="AO381" s="393"/>
      <c r="AP381" s="393"/>
      <c r="AQ381" s="393"/>
      <c r="AR381" s="393"/>
      <c r="AS381" s="393"/>
    </row>
    <row r="382" spans="2:45" s="36" customFormat="1" x14ac:dyDescent="0.3">
      <c r="B382" s="65" t="s">
        <v>204</v>
      </c>
      <c r="C382" s="66"/>
      <c r="D382" s="35">
        <f>+D377/D$372</f>
        <v>8.6334100057504221E-2</v>
      </c>
      <c r="E382" s="35">
        <f t="shared" ref="E382:W382" si="422">+E377/E$372</f>
        <v>8.7427364864864909E-2</v>
      </c>
      <c r="F382" s="35">
        <f t="shared" si="422"/>
        <v>9.9771097628240546E-2</v>
      </c>
      <c r="G382" s="35">
        <f t="shared" si="422"/>
        <v>9.3837274774774812E-2</v>
      </c>
      <c r="H382" s="35">
        <f t="shared" si="422"/>
        <v>8.6715928694652028E-2</v>
      </c>
      <c r="I382" s="35">
        <f t="shared" si="422"/>
        <v>0.10116385135135131</v>
      </c>
      <c r="J382" s="35">
        <f t="shared" si="422"/>
        <v>9.1089527027026954E-2</v>
      </c>
      <c r="K382" s="35">
        <f t="shared" si="422"/>
        <v>9.6217905405405382E-2</v>
      </c>
      <c r="L382" s="35">
        <f t="shared" si="422"/>
        <v>9.2006193693693714E-2</v>
      </c>
      <c r="M382" s="35">
        <f t="shared" si="422"/>
        <v>8.7277170787809097E-2</v>
      </c>
      <c r="N382" s="35">
        <f t="shared" si="422"/>
        <v>8.577975848188614E-2</v>
      </c>
      <c r="O382" s="35">
        <f t="shared" si="422"/>
        <v>8.5041103603603549E-2</v>
      </c>
      <c r="P382" s="35">
        <f t="shared" si="422"/>
        <v>8.7277170787809097E-2</v>
      </c>
      <c r="Q382" s="35">
        <f t="shared" si="422"/>
        <v>8.7277170787809097E-2</v>
      </c>
      <c r="R382" s="35">
        <f t="shared" si="422"/>
        <v>0.10207939189189193</v>
      </c>
      <c r="S382" s="35">
        <f t="shared" si="422"/>
        <v>0.10299493243243241</v>
      </c>
      <c r="T382" s="35">
        <f t="shared" si="422"/>
        <v>0.11648571428571433</v>
      </c>
      <c r="U382" s="35">
        <f t="shared" si="422"/>
        <v>0.10191879879879874</v>
      </c>
      <c r="V382" s="35">
        <f t="shared" si="422"/>
        <v>0.11648571428571433</v>
      </c>
      <c r="W382" s="35">
        <f t="shared" si="422"/>
        <v>8.7277170787809097E-2</v>
      </c>
      <c r="Y382" s="393"/>
      <c r="Z382" s="393"/>
      <c r="AA382" s="393"/>
      <c r="AB382" s="393"/>
      <c r="AC382" s="393"/>
      <c r="AD382" s="393"/>
      <c r="AE382" s="393"/>
      <c r="AF382" s="393"/>
      <c r="AG382" s="393"/>
      <c r="AH382" s="393"/>
      <c r="AI382" s="393"/>
      <c r="AJ382" s="393"/>
      <c r="AK382" s="393"/>
      <c r="AL382" s="393"/>
      <c r="AM382" s="393"/>
      <c r="AN382" s="393"/>
      <c r="AO382" s="393"/>
      <c r="AP382" s="393"/>
      <c r="AQ382" s="393"/>
      <c r="AR382" s="393"/>
      <c r="AS382" s="393"/>
    </row>
    <row r="383" spans="2:45" s="36" customFormat="1" x14ac:dyDescent="0.3">
      <c r="B383" s="65" t="s">
        <v>205</v>
      </c>
      <c r="C383" s="66"/>
      <c r="D383" s="35">
        <f>+D378/D$373</f>
        <v>0.10536880630630623</v>
      </c>
      <c r="E383" s="35">
        <f t="shared" ref="E383:W383" si="423">+E378/E$373</f>
        <v>0.10605129619415338</v>
      </c>
      <c r="F383" s="35">
        <f t="shared" si="423"/>
        <v>0.11777567567567573</v>
      </c>
      <c r="G383" s="35">
        <f t="shared" si="423"/>
        <v>0.11233039161610593</v>
      </c>
      <c r="H383" s="35">
        <f t="shared" si="423"/>
        <v>0.10574268018018011</v>
      </c>
      <c r="I383" s="35">
        <f t="shared" si="423"/>
        <v>0.1195074462217319</v>
      </c>
      <c r="J383" s="35">
        <f t="shared" si="423"/>
        <v>0.10963872035300599</v>
      </c>
      <c r="K383" s="35">
        <f t="shared" si="423"/>
        <v>0.11466243794815222</v>
      </c>
      <c r="L383" s="35">
        <f t="shared" si="423"/>
        <v>0.11053667953667955</v>
      </c>
      <c r="M383" s="35">
        <f t="shared" si="423"/>
        <v>0.10629222972972974</v>
      </c>
      <c r="N383" s="35">
        <f t="shared" si="423"/>
        <v>0.10482601351351351</v>
      </c>
      <c r="O383" s="35">
        <f t="shared" si="423"/>
        <v>0.10371373414230552</v>
      </c>
      <c r="P383" s="35">
        <f t="shared" si="423"/>
        <v>0.10629222972972974</v>
      </c>
      <c r="Q383" s="35">
        <f t="shared" si="423"/>
        <v>0.10629222972972974</v>
      </c>
      <c r="R383" s="35">
        <f t="shared" si="423"/>
        <v>0.12040430226144516</v>
      </c>
      <c r="S383" s="35">
        <f t="shared" si="423"/>
        <v>0.12130115830115827</v>
      </c>
      <c r="T383" s="35">
        <f t="shared" si="423"/>
        <v>0.13703255813953494</v>
      </c>
      <c r="U383" s="35">
        <f t="shared" si="423"/>
        <v>0.12144230317273789</v>
      </c>
      <c r="V383" s="35">
        <f t="shared" si="423"/>
        <v>0.13703255813953494</v>
      </c>
      <c r="W383" s="35">
        <f t="shared" si="423"/>
        <v>0.10629222972972974</v>
      </c>
      <c r="Y383" s="393"/>
      <c r="Z383" s="393"/>
      <c r="AA383" s="393"/>
      <c r="AB383" s="393"/>
      <c r="AC383" s="393"/>
      <c r="AD383" s="393"/>
      <c r="AE383" s="393"/>
      <c r="AF383" s="393"/>
      <c r="AG383" s="393"/>
      <c r="AH383" s="393"/>
      <c r="AI383" s="393"/>
      <c r="AJ383" s="393"/>
      <c r="AK383" s="393"/>
      <c r="AL383" s="393"/>
      <c r="AM383" s="393"/>
      <c r="AN383" s="393"/>
      <c r="AO383" s="393"/>
      <c r="AP383" s="393"/>
      <c r="AQ383" s="393"/>
      <c r="AR383" s="393"/>
      <c r="AS383" s="393"/>
    </row>
    <row r="384" spans="2:45" x14ac:dyDescent="0.3">
      <c r="B384" s="73"/>
      <c r="D384" s="37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Y384" s="390"/>
      <c r="Z384" s="390"/>
      <c r="AA384" s="390"/>
      <c r="AB384" s="390"/>
      <c r="AC384" s="390"/>
      <c r="AD384" s="390"/>
      <c r="AE384" s="390"/>
      <c r="AF384" s="390"/>
      <c r="AG384" s="390"/>
      <c r="AH384" s="390"/>
      <c r="AI384" s="390"/>
      <c r="AJ384" s="390"/>
      <c r="AK384" s="390"/>
      <c r="AL384" s="390"/>
      <c r="AM384" s="390"/>
      <c r="AN384" s="390"/>
      <c r="AO384" s="390"/>
      <c r="AP384" s="390"/>
      <c r="AQ384" s="390"/>
      <c r="AR384" s="390"/>
      <c r="AS384" s="390"/>
    </row>
    <row r="385" spans="1:45" ht="21" thickBot="1" x14ac:dyDescent="0.35">
      <c r="B385" s="73"/>
      <c r="Y385" s="390"/>
      <c r="Z385" s="390"/>
      <c r="AA385" s="390"/>
      <c r="AB385" s="390"/>
      <c r="AC385" s="390"/>
      <c r="AD385" s="390"/>
      <c r="AE385" s="390"/>
      <c r="AF385" s="390"/>
      <c r="AG385" s="390"/>
      <c r="AH385" s="390"/>
      <c r="AI385" s="390"/>
      <c r="AJ385" s="390"/>
      <c r="AK385" s="390"/>
      <c r="AL385" s="390"/>
      <c r="AM385" s="390"/>
      <c r="AN385" s="390"/>
      <c r="AO385" s="390"/>
      <c r="AP385" s="390"/>
      <c r="AQ385" s="390"/>
      <c r="AR385" s="390"/>
      <c r="AS385" s="390"/>
    </row>
    <row r="386" spans="1:45" ht="21" thickBot="1" x14ac:dyDescent="0.35">
      <c r="A386" s="22" t="s">
        <v>349</v>
      </c>
      <c r="B386" s="74" t="s">
        <v>49</v>
      </c>
      <c r="C386" s="68"/>
      <c r="D386" s="17" t="s">
        <v>5</v>
      </c>
      <c r="E386" s="18" t="s">
        <v>6</v>
      </c>
      <c r="F386" s="18" t="s">
        <v>7</v>
      </c>
      <c r="G386" s="18" t="s">
        <v>8</v>
      </c>
      <c r="H386" s="18" t="s">
        <v>9</v>
      </c>
      <c r="I386" s="18" t="s">
        <v>10</v>
      </c>
      <c r="J386" s="18" t="s">
        <v>11</v>
      </c>
      <c r="K386" s="18" t="s">
        <v>12</v>
      </c>
      <c r="L386" s="18" t="s">
        <v>13</v>
      </c>
      <c r="M386" s="18" t="s">
        <v>14</v>
      </c>
      <c r="N386" s="18" t="s">
        <v>15</v>
      </c>
      <c r="O386" s="18" t="s">
        <v>16</v>
      </c>
      <c r="P386" s="18" t="s">
        <v>17</v>
      </c>
      <c r="Q386" s="18" t="s">
        <v>18</v>
      </c>
      <c r="R386" s="18" t="s">
        <v>19</v>
      </c>
      <c r="S386" s="18" t="s">
        <v>20</v>
      </c>
      <c r="T386" s="18" t="s">
        <v>21</v>
      </c>
      <c r="U386" s="18" t="s">
        <v>22</v>
      </c>
      <c r="V386" s="18" t="s">
        <v>23</v>
      </c>
      <c r="W386" s="18" t="s">
        <v>166</v>
      </c>
      <c r="Y386" s="390"/>
      <c r="Z386" s="390"/>
      <c r="AA386" s="390"/>
      <c r="AB386" s="390"/>
      <c r="AC386" s="390"/>
      <c r="AD386" s="390"/>
      <c r="AE386" s="390"/>
      <c r="AF386" s="390"/>
      <c r="AG386" s="390"/>
      <c r="AH386" s="390"/>
      <c r="AI386" s="390"/>
      <c r="AJ386" s="390"/>
      <c r="AK386" s="390"/>
      <c r="AL386" s="390"/>
      <c r="AM386" s="390"/>
      <c r="AN386" s="390"/>
      <c r="AO386" s="390"/>
      <c r="AP386" s="390"/>
      <c r="AQ386" s="390"/>
      <c r="AR386" s="390"/>
      <c r="AS386" s="390"/>
    </row>
    <row r="387" spans="1:45" x14ac:dyDescent="0.3">
      <c r="B387" s="54" t="s">
        <v>50</v>
      </c>
      <c r="C387" s="55"/>
      <c r="D387" s="20">
        <v>45</v>
      </c>
      <c r="E387" s="21">
        <v>45</v>
      </c>
      <c r="F387" s="21">
        <v>45</v>
      </c>
      <c r="G387" s="21">
        <v>45</v>
      </c>
      <c r="H387" s="21">
        <v>45</v>
      </c>
      <c r="I387" s="21">
        <v>45</v>
      </c>
      <c r="J387" s="21">
        <v>45</v>
      </c>
      <c r="K387" s="21">
        <v>45</v>
      </c>
      <c r="L387" s="21">
        <v>45</v>
      </c>
      <c r="M387" s="21">
        <v>45</v>
      </c>
      <c r="N387" s="21">
        <v>45</v>
      </c>
      <c r="O387" s="21">
        <v>45</v>
      </c>
      <c r="P387" s="21">
        <v>45</v>
      </c>
      <c r="Q387" s="21">
        <v>45</v>
      </c>
      <c r="R387" s="21">
        <v>45</v>
      </c>
      <c r="S387" s="21">
        <v>45</v>
      </c>
      <c r="T387" s="21"/>
      <c r="U387" s="21"/>
      <c r="V387" s="21"/>
      <c r="W387" s="21">
        <v>45</v>
      </c>
      <c r="Y387" s="390"/>
      <c r="Z387" s="390"/>
      <c r="AA387" s="390"/>
      <c r="AB387" s="390"/>
      <c r="AC387" s="390"/>
      <c r="AD387" s="390"/>
      <c r="AE387" s="390"/>
      <c r="AF387" s="390"/>
      <c r="AG387" s="390"/>
      <c r="AH387" s="390"/>
      <c r="AI387" s="390"/>
      <c r="AJ387" s="390"/>
      <c r="AK387" s="390"/>
      <c r="AL387" s="390"/>
      <c r="AM387" s="390"/>
      <c r="AN387" s="390"/>
      <c r="AO387" s="390"/>
      <c r="AP387" s="390"/>
      <c r="AQ387" s="390"/>
      <c r="AR387" s="390"/>
      <c r="AS387" s="390"/>
    </row>
    <row r="388" spans="1:45" x14ac:dyDescent="0.3">
      <c r="B388" s="54" t="s">
        <v>51</v>
      </c>
      <c r="C388" s="55"/>
      <c r="D388" s="218">
        <v>0.28999999999999998</v>
      </c>
      <c r="E388" s="218">
        <f>D388</f>
        <v>0.28999999999999998</v>
      </c>
      <c r="F388" s="218">
        <f>D388</f>
        <v>0.28999999999999998</v>
      </c>
      <c r="G388" s="218">
        <f>D388</f>
        <v>0.28999999999999998</v>
      </c>
      <c r="H388" s="218">
        <f>D388</f>
        <v>0.28999999999999998</v>
      </c>
      <c r="I388" s="218">
        <f>D388</f>
        <v>0.28999999999999998</v>
      </c>
      <c r="J388" s="218">
        <f>D388</f>
        <v>0.28999999999999998</v>
      </c>
      <c r="K388" s="218">
        <f>D388</f>
        <v>0.28999999999999998</v>
      </c>
      <c r="L388" s="218">
        <f>D388</f>
        <v>0.28999999999999998</v>
      </c>
      <c r="M388" s="218">
        <f>D388</f>
        <v>0.28999999999999998</v>
      </c>
      <c r="N388" s="218">
        <f>D388</f>
        <v>0.28999999999999998</v>
      </c>
      <c r="O388" s="218">
        <f>D388</f>
        <v>0.28999999999999998</v>
      </c>
      <c r="P388" s="218">
        <f>D388</f>
        <v>0.28999999999999998</v>
      </c>
      <c r="Q388" s="218">
        <f>D388</f>
        <v>0.28999999999999998</v>
      </c>
      <c r="R388" s="218">
        <f>D388</f>
        <v>0.28999999999999998</v>
      </c>
      <c r="S388" s="218">
        <f>D388</f>
        <v>0.28999999999999998</v>
      </c>
      <c r="T388" s="218"/>
      <c r="U388" s="218"/>
      <c r="V388" s="218"/>
      <c r="W388" s="218">
        <f>J388</f>
        <v>0.28999999999999998</v>
      </c>
      <c r="Y388" s="390"/>
      <c r="Z388" s="390"/>
      <c r="AA388" s="390"/>
      <c r="AB388" s="390"/>
      <c r="AC388" s="390"/>
      <c r="AD388" s="390"/>
      <c r="AE388" s="390"/>
      <c r="AF388" s="390"/>
      <c r="AG388" s="390"/>
      <c r="AH388" s="390"/>
      <c r="AI388" s="390"/>
      <c r="AJ388" s="390"/>
      <c r="AK388" s="390"/>
      <c r="AL388" s="390"/>
      <c r="AM388" s="390"/>
      <c r="AN388" s="390"/>
      <c r="AO388" s="390"/>
      <c r="AP388" s="390"/>
      <c r="AQ388" s="390"/>
      <c r="AR388" s="390"/>
      <c r="AS388" s="390"/>
    </row>
    <row r="389" spans="1:45" x14ac:dyDescent="0.3">
      <c r="B389" s="54" t="s">
        <v>60</v>
      </c>
      <c r="C389" s="55"/>
      <c r="D389" s="21">
        <v>0</v>
      </c>
      <c r="E389" s="21">
        <v>0</v>
      </c>
      <c r="F389" s="21">
        <v>0</v>
      </c>
      <c r="G389" s="21">
        <v>0</v>
      </c>
      <c r="H389" s="21">
        <v>0</v>
      </c>
      <c r="I389" s="21">
        <v>0</v>
      </c>
      <c r="J389" s="21">
        <v>0</v>
      </c>
      <c r="K389" s="21">
        <v>0</v>
      </c>
      <c r="L389" s="21">
        <v>0</v>
      </c>
      <c r="M389" s="21">
        <v>0</v>
      </c>
      <c r="N389" s="21">
        <v>0</v>
      </c>
      <c r="O389" s="21">
        <v>0</v>
      </c>
      <c r="P389" s="21">
        <v>0</v>
      </c>
      <c r="Q389" s="21">
        <v>0</v>
      </c>
      <c r="R389" s="21">
        <v>0</v>
      </c>
      <c r="S389" s="21">
        <v>0</v>
      </c>
      <c r="T389" s="21"/>
      <c r="U389" s="21"/>
      <c r="V389" s="21"/>
      <c r="W389" s="21">
        <v>0</v>
      </c>
      <c r="Y389" s="390"/>
      <c r="Z389" s="390"/>
      <c r="AA389" s="390"/>
      <c r="AB389" s="390"/>
      <c r="AC389" s="390"/>
      <c r="AD389" s="390"/>
      <c r="AE389" s="390"/>
      <c r="AF389" s="390"/>
      <c r="AG389" s="390"/>
      <c r="AH389" s="390"/>
      <c r="AI389" s="390"/>
      <c r="AJ389" s="390"/>
      <c r="AK389" s="390"/>
      <c r="AL389" s="390"/>
      <c r="AM389" s="390"/>
      <c r="AN389" s="390"/>
      <c r="AO389" s="390"/>
      <c r="AP389" s="390"/>
      <c r="AQ389" s="390"/>
      <c r="AR389" s="390"/>
      <c r="AS389" s="390"/>
    </row>
    <row r="390" spans="1:45" x14ac:dyDescent="0.3">
      <c r="B390" s="177" t="s">
        <v>67</v>
      </c>
      <c r="C390" s="178"/>
      <c r="D390" s="323">
        <f>D387-(D387*D388)</f>
        <v>31.950000000000003</v>
      </c>
      <c r="E390" s="323">
        <f t="shared" ref="E390:W390" si="424">E387-(E387*E388)</f>
        <v>31.950000000000003</v>
      </c>
      <c r="F390" s="323">
        <f t="shared" si="424"/>
        <v>31.950000000000003</v>
      </c>
      <c r="G390" s="323">
        <f t="shared" si="424"/>
        <v>31.950000000000003</v>
      </c>
      <c r="H390" s="323">
        <f t="shared" si="424"/>
        <v>31.950000000000003</v>
      </c>
      <c r="I390" s="323">
        <f t="shared" si="424"/>
        <v>31.950000000000003</v>
      </c>
      <c r="J390" s="323">
        <f t="shared" si="424"/>
        <v>31.950000000000003</v>
      </c>
      <c r="K390" s="323">
        <f t="shared" si="424"/>
        <v>31.950000000000003</v>
      </c>
      <c r="L390" s="323">
        <f t="shared" si="424"/>
        <v>31.950000000000003</v>
      </c>
      <c r="M390" s="323">
        <f t="shared" si="424"/>
        <v>31.950000000000003</v>
      </c>
      <c r="N390" s="323">
        <f t="shared" si="424"/>
        <v>31.950000000000003</v>
      </c>
      <c r="O390" s="323">
        <f t="shared" si="424"/>
        <v>31.950000000000003</v>
      </c>
      <c r="P390" s="323">
        <f t="shared" si="424"/>
        <v>31.950000000000003</v>
      </c>
      <c r="Q390" s="323">
        <f t="shared" si="424"/>
        <v>31.950000000000003</v>
      </c>
      <c r="R390" s="323">
        <f t="shared" si="424"/>
        <v>31.950000000000003</v>
      </c>
      <c r="S390" s="323">
        <f t="shared" si="424"/>
        <v>31.950000000000003</v>
      </c>
      <c r="T390" s="323">
        <v>34.83</v>
      </c>
      <c r="U390" s="323">
        <v>34.83</v>
      </c>
      <c r="V390" s="323">
        <v>34.83</v>
      </c>
      <c r="W390" s="323">
        <f t="shared" si="424"/>
        <v>31.950000000000003</v>
      </c>
      <c r="Y390" s="390"/>
      <c r="Z390" s="390"/>
      <c r="AA390" s="390"/>
      <c r="AB390" s="390"/>
      <c r="AC390" s="390"/>
      <c r="AD390" s="390"/>
      <c r="AE390" s="390"/>
      <c r="AF390" s="390"/>
      <c r="AG390" s="390"/>
      <c r="AH390" s="390"/>
      <c r="AI390" s="390"/>
      <c r="AJ390" s="390"/>
      <c r="AK390" s="390"/>
      <c r="AL390" s="390"/>
      <c r="AM390" s="390"/>
      <c r="AN390" s="390"/>
      <c r="AO390" s="390"/>
      <c r="AP390" s="390"/>
      <c r="AQ390" s="390"/>
      <c r="AR390" s="390"/>
      <c r="AS390" s="390"/>
    </row>
    <row r="391" spans="1:45" x14ac:dyDescent="0.3">
      <c r="B391" s="54" t="s">
        <v>66</v>
      </c>
      <c r="C391" s="56">
        <v>7.0000000000000007E-2</v>
      </c>
      <c r="D391" s="24">
        <f t="shared" ref="D391:W391" si="425">D390*$C391</f>
        <v>2.2365000000000004</v>
      </c>
      <c r="E391" s="24">
        <f t="shared" si="425"/>
        <v>2.2365000000000004</v>
      </c>
      <c r="F391" s="24">
        <f t="shared" si="425"/>
        <v>2.2365000000000004</v>
      </c>
      <c r="G391" s="24">
        <f t="shared" si="425"/>
        <v>2.2365000000000004</v>
      </c>
      <c r="H391" s="24">
        <f t="shared" si="425"/>
        <v>2.2365000000000004</v>
      </c>
      <c r="I391" s="24">
        <f t="shared" si="425"/>
        <v>2.2365000000000004</v>
      </c>
      <c r="J391" s="24">
        <f t="shared" si="425"/>
        <v>2.2365000000000004</v>
      </c>
      <c r="K391" s="24">
        <f t="shared" si="425"/>
        <v>2.2365000000000004</v>
      </c>
      <c r="L391" s="24">
        <f t="shared" si="425"/>
        <v>2.2365000000000004</v>
      </c>
      <c r="M391" s="24">
        <f t="shared" si="425"/>
        <v>2.2365000000000004</v>
      </c>
      <c r="N391" s="24">
        <f t="shared" si="425"/>
        <v>2.2365000000000004</v>
      </c>
      <c r="O391" s="24">
        <f t="shared" si="425"/>
        <v>2.2365000000000004</v>
      </c>
      <c r="P391" s="24">
        <f t="shared" si="425"/>
        <v>2.2365000000000004</v>
      </c>
      <c r="Q391" s="24">
        <f t="shared" si="425"/>
        <v>2.2365000000000004</v>
      </c>
      <c r="R391" s="24">
        <f t="shared" si="425"/>
        <v>2.2365000000000004</v>
      </c>
      <c r="S391" s="24">
        <f t="shared" si="425"/>
        <v>2.2365000000000004</v>
      </c>
      <c r="T391" s="24">
        <f t="shared" si="425"/>
        <v>2.4380999999999999</v>
      </c>
      <c r="U391" s="24">
        <f t="shared" si="425"/>
        <v>2.4380999999999999</v>
      </c>
      <c r="V391" s="24">
        <f t="shared" si="425"/>
        <v>2.4380999999999999</v>
      </c>
      <c r="W391" s="24">
        <f t="shared" si="425"/>
        <v>2.2365000000000004</v>
      </c>
      <c r="Y391" s="390"/>
      <c r="Z391" s="390"/>
      <c r="AA391" s="390"/>
      <c r="AB391" s="390"/>
      <c r="AC391" s="390"/>
      <c r="AD391" s="390"/>
      <c r="AE391" s="390"/>
      <c r="AF391" s="390"/>
      <c r="AG391" s="390"/>
      <c r="AH391" s="390"/>
      <c r="AI391" s="390"/>
      <c r="AJ391" s="390"/>
      <c r="AK391" s="390"/>
      <c r="AL391" s="390"/>
      <c r="AM391" s="390"/>
      <c r="AN391" s="390"/>
      <c r="AO391" s="390"/>
      <c r="AP391" s="390"/>
      <c r="AQ391" s="390"/>
      <c r="AR391" s="390"/>
      <c r="AS391" s="390"/>
    </row>
    <row r="392" spans="1:45" x14ac:dyDescent="0.3">
      <c r="B392" s="54" t="s">
        <v>68</v>
      </c>
      <c r="C392" s="55"/>
      <c r="D392" s="21">
        <f t="shared" ref="D392:V392" si="426">D390+D391</f>
        <v>34.186500000000002</v>
      </c>
      <c r="E392" s="21">
        <f t="shared" si="426"/>
        <v>34.186500000000002</v>
      </c>
      <c r="F392" s="21">
        <f t="shared" si="426"/>
        <v>34.186500000000002</v>
      </c>
      <c r="G392" s="21">
        <f t="shared" si="426"/>
        <v>34.186500000000002</v>
      </c>
      <c r="H392" s="21">
        <f t="shared" si="426"/>
        <v>34.186500000000002</v>
      </c>
      <c r="I392" s="21">
        <f t="shared" si="426"/>
        <v>34.186500000000002</v>
      </c>
      <c r="J392" s="21">
        <f t="shared" si="426"/>
        <v>34.186500000000002</v>
      </c>
      <c r="K392" s="21">
        <f t="shared" si="426"/>
        <v>34.186500000000002</v>
      </c>
      <c r="L392" s="21">
        <f t="shared" si="426"/>
        <v>34.186500000000002</v>
      </c>
      <c r="M392" s="21">
        <f t="shared" si="426"/>
        <v>34.186500000000002</v>
      </c>
      <c r="N392" s="21">
        <f t="shared" si="426"/>
        <v>34.186500000000002</v>
      </c>
      <c r="O392" s="21">
        <f t="shared" si="426"/>
        <v>34.186500000000002</v>
      </c>
      <c r="P392" s="21">
        <f t="shared" si="426"/>
        <v>34.186500000000002</v>
      </c>
      <c r="Q392" s="21">
        <f t="shared" si="426"/>
        <v>34.186500000000002</v>
      </c>
      <c r="R392" s="21">
        <f t="shared" si="426"/>
        <v>34.186500000000002</v>
      </c>
      <c r="S392" s="21">
        <f t="shared" si="426"/>
        <v>34.186500000000002</v>
      </c>
      <c r="T392" s="21">
        <f t="shared" si="426"/>
        <v>37.268099999999997</v>
      </c>
      <c r="U392" s="21">
        <f t="shared" si="426"/>
        <v>37.268099999999997</v>
      </c>
      <c r="V392" s="21">
        <f t="shared" si="426"/>
        <v>37.268099999999997</v>
      </c>
      <c r="W392" s="21">
        <f>W390+W391</f>
        <v>34.186500000000002</v>
      </c>
      <c r="Y392" s="390"/>
      <c r="Z392" s="390"/>
      <c r="AA392" s="390"/>
      <c r="AB392" s="390"/>
      <c r="AC392" s="390"/>
      <c r="AD392" s="390"/>
      <c r="AE392" s="390"/>
      <c r="AF392" s="390"/>
      <c r="AG392" s="390"/>
      <c r="AH392" s="390"/>
      <c r="AI392" s="390"/>
      <c r="AJ392" s="390"/>
      <c r="AK392" s="390"/>
      <c r="AL392" s="390"/>
      <c r="AM392" s="390"/>
      <c r="AN392" s="390"/>
      <c r="AO392" s="390"/>
      <c r="AP392" s="390"/>
      <c r="AQ392" s="390"/>
      <c r="AR392" s="390"/>
      <c r="AS392" s="390"/>
    </row>
    <row r="393" spans="1:45" x14ac:dyDescent="0.3">
      <c r="B393" s="54" t="s">
        <v>52</v>
      </c>
      <c r="C393" s="55"/>
      <c r="D393" s="398">
        <f>Y395</f>
        <v>1.0709401709401709</v>
      </c>
      <c r="E393" s="398">
        <f t="shared" ref="E393:W393" si="427">Z395</f>
        <v>2.4326495726495727</v>
      </c>
      <c r="F393" s="398">
        <f t="shared" si="427"/>
        <v>2.9192307692307691</v>
      </c>
      <c r="G393" s="398">
        <f t="shared" si="427"/>
        <v>1.9461538461538461</v>
      </c>
      <c r="H393" s="398">
        <f t="shared" si="427"/>
        <v>1.0425641025641026</v>
      </c>
      <c r="I393" s="398">
        <f t="shared" si="427"/>
        <v>1.3900854700854701</v>
      </c>
      <c r="J393" s="398">
        <f t="shared" si="427"/>
        <v>2.1547008547008546</v>
      </c>
      <c r="K393" s="398">
        <f t="shared" si="427"/>
        <v>1.7654700854700855</v>
      </c>
      <c r="L393" s="398">
        <f t="shared" si="427"/>
        <v>2.0851282051282052</v>
      </c>
      <c r="M393" s="398">
        <f t="shared" si="427"/>
        <v>1.0008547008547009</v>
      </c>
      <c r="N393" s="398">
        <f t="shared" si="427"/>
        <v>1.1121367521367522</v>
      </c>
      <c r="O393" s="398">
        <f t="shared" si="427"/>
        <v>2.6137606837606837</v>
      </c>
      <c r="P393" s="398">
        <f t="shared" si="427"/>
        <v>1.0008547008547009</v>
      </c>
      <c r="Q393" s="398">
        <f t="shared" si="427"/>
        <v>1.0008547008547009</v>
      </c>
      <c r="R393" s="398">
        <f t="shared" si="427"/>
        <v>1.3205982905982907</v>
      </c>
      <c r="S393" s="398">
        <f t="shared" si="427"/>
        <v>1.2511111111111111</v>
      </c>
      <c r="T393" s="398">
        <f t="shared" si="427"/>
        <v>0</v>
      </c>
      <c r="U393" s="398">
        <f t="shared" si="427"/>
        <v>2.6137606837606837</v>
      </c>
      <c r="V393" s="398">
        <f t="shared" si="427"/>
        <v>0</v>
      </c>
      <c r="W393" s="398">
        <f t="shared" si="427"/>
        <v>1.0008547008547009</v>
      </c>
      <c r="Y393" s="390">
        <v>12530</v>
      </c>
      <c r="Z393" s="390">
        <v>28462</v>
      </c>
      <c r="AA393" s="390">
        <v>34155</v>
      </c>
      <c r="AB393" s="390">
        <v>22770</v>
      </c>
      <c r="AC393" s="390">
        <v>12198</v>
      </c>
      <c r="AD393" s="390">
        <v>16264</v>
      </c>
      <c r="AE393" s="390">
        <v>25210</v>
      </c>
      <c r="AF393" s="390">
        <v>20656</v>
      </c>
      <c r="AG393" s="390">
        <v>24396</v>
      </c>
      <c r="AH393" s="390">
        <v>11710</v>
      </c>
      <c r="AI393" s="390">
        <v>13012</v>
      </c>
      <c r="AJ393" s="390">
        <v>30581</v>
      </c>
      <c r="AK393" s="396">
        <v>11710</v>
      </c>
      <c r="AL393" s="396">
        <v>11710</v>
      </c>
      <c r="AM393" s="390">
        <v>15451</v>
      </c>
      <c r="AN393" s="390">
        <v>14638</v>
      </c>
      <c r="AO393" s="390"/>
      <c r="AP393" s="396">
        <v>30581</v>
      </c>
      <c r="AQ393" s="390"/>
      <c r="AR393" s="396">
        <v>11710</v>
      </c>
      <c r="AS393" s="390"/>
    </row>
    <row r="394" spans="1:45" x14ac:dyDescent="0.3">
      <c r="B394" s="57" t="s">
        <v>53</v>
      </c>
      <c r="C394" s="58"/>
      <c r="D394" s="25">
        <f>SUM(D392:D393)</f>
        <v>35.257440170940171</v>
      </c>
      <c r="E394" s="26">
        <f t="shared" ref="E394:V394" si="428">SUM(E392:E393)</f>
        <v>36.619149572649576</v>
      </c>
      <c r="F394" s="26">
        <f t="shared" si="428"/>
        <v>37.105730769230775</v>
      </c>
      <c r="G394" s="26">
        <f t="shared" si="428"/>
        <v>36.13265384615385</v>
      </c>
      <c r="H394" s="26">
        <f t="shared" si="428"/>
        <v>35.229064102564102</v>
      </c>
      <c r="I394" s="26">
        <f t="shared" si="428"/>
        <v>35.576585470085476</v>
      </c>
      <c r="J394" s="26">
        <f t="shared" si="428"/>
        <v>36.341200854700858</v>
      </c>
      <c r="K394" s="26">
        <f t="shared" si="428"/>
        <v>35.951970085470087</v>
      </c>
      <c r="L394" s="26">
        <f t="shared" si="428"/>
        <v>36.271628205128209</v>
      </c>
      <c r="M394" s="26">
        <f t="shared" si="428"/>
        <v>35.187354700854705</v>
      </c>
      <c r="N394" s="26">
        <f t="shared" si="428"/>
        <v>35.298636752136751</v>
      </c>
      <c r="O394" s="26">
        <f t="shared" si="428"/>
        <v>36.800260683760683</v>
      </c>
      <c r="P394" s="26">
        <f t="shared" si="428"/>
        <v>35.187354700854705</v>
      </c>
      <c r="Q394" s="26">
        <f t="shared" si="428"/>
        <v>35.187354700854705</v>
      </c>
      <c r="R394" s="26">
        <f t="shared" si="428"/>
        <v>35.507098290598293</v>
      </c>
      <c r="S394" s="26">
        <f t="shared" si="428"/>
        <v>35.43761111111111</v>
      </c>
      <c r="T394" s="26">
        <f t="shared" si="428"/>
        <v>37.268099999999997</v>
      </c>
      <c r="U394" s="26">
        <f t="shared" si="428"/>
        <v>39.881860683760678</v>
      </c>
      <c r="V394" s="26">
        <f t="shared" si="428"/>
        <v>37.268099999999997</v>
      </c>
      <c r="W394" s="26">
        <f>SUM(W392:W393)</f>
        <v>35.187354700854705</v>
      </c>
      <c r="Y394" s="390">
        <v>11700</v>
      </c>
      <c r="Z394" s="390">
        <v>11700</v>
      </c>
      <c r="AA394" s="390">
        <v>11700</v>
      </c>
      <c r="AB394" s="390">
        <v>11700</v>
      </c>
      <c r="AC394" s="390">
        <v>11700</v>
      </c>
      <c r="AD394" s="390">
        <v>11700</v>
      </c>
      <c r="AE394" s="390">
        <v>11700</v>
      </c>
      <c r="AF394" s="390">
        <v>11700</v>
      </c>
      <c r="AG394" s="390">
        <v>11700</v>
      </c>
      <c r="AH394" s="390">
        <v>11700</v>
      </c>
      <c r="AI394" s="390">
        <v>11700</v>
      </c>
      <c r="AJ394" s="390">
        <v>11700</v>
      </c>
      <c r="AK394" s="390">
        <v>11700</v>
      </c>
      <c r="AL394" s="390">
        <v>11700</v>
      </c>
      <c r="AM394" s="390">
        <v>11700</v>
      </c>
      <c r="AN394" s="390">
        <v>11700</v>
      </c>
      <c r="AO394" s="390">
        <v>11700</v>
      </c>
      <c r="AP394" s="390">
        <v>11700</v>
      </c>
      <c r="AQ394" s="390">
        <v>11700</v>
      </c>
      <c r="AR394" s="390">
        <v>11700</v>
      </c>
      <c r="AS394" s="390"/>
    </row>
    <row r="395" spans="1:45" x14ac:dyDescent="0.3">
      <c r="B395" s="54" t="s">
        <v>54</v>
      </c>
      <c r="C395" s="55"/>
      <c r="D395" s="20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Y395" s="389">
        <f>Y393/Y394</f>
        <v>1.0709401709401709</v>
      </c>
      <c r="Z395" s="389">
        <f t="shared" ref="Z395" si="429">Z393/Z394</f>
        <v>2.4326495726495727</v>
      </c>
      <c r="AA395" s="389">
        <f t="shared" ref="AA395" si="430">AA393/AA394</f>
        <v>2.9192307692307691</v>
      </c>
      <c r="AB395" s="389">
        <f t="shared" ref="AB395" si="431">AB393/AB394</f>
        <v>1.9461538461538461</v>
      </c>
      <c r="AC395" s="389">
        <f t="shared" ref="AC395" si="432">AC393/AC394</f>
        <v>1.0425641025641026</v>
      </c>
      <c r="AD395" s="389">
        <f t="shared" ref="AD395" si="433">AD393/AD394</f>
        <v>1.3900854700854701</v>
      </c>
      <c r="AE395" s="389">
        <f t="shared" ref="AE395" si="434">AE393/AE394</f>
        <v>2.1547008547008546</v>
      </c>
      <c r="AF395" s="389">
        <f t="shared" ref="AF395" si="435">AF393/AF394</f>
        <v>1.7654700854700855</v>
      </c>
      <c r="AG395" s="389">
        <f t="shared" ref="AG395" si="436">AG393/AG394</f>
        <v>2.0851282051282052</v>
      </c>
      <c r="AH395" s="389">
        <f t="shared" ref="AH395" si="437">AH393/AH394</f>
        <v>1.0008547008547009</v>
      </c>
      <c r="AI395" s="389">
        <f t="shared" ref="AI395" si="438">AI393/AI394</f>
        <v>1.1121367521367522</v>
      </c>
      <c r="AJ395" s="389">
        <f t="shared" ref="AJ395" si="439">AJ393/AJ394</f>
        <v>2.6137606837606837</v>
      </c>
      <c r="AK395" s="389">
        <f t="shared" ref="AK395" si="440">AK393/AK394</f>
        <v>1.0008547008547009</v>
      </c>
      <c r="AL395" s="389">
        <f t="shared" ref="AL395" si="441">AL393/AL394</f>
        <v>1.0008547008547009</v>
      </c>
      <c r="AM395" s="389">
        <f t="shared" ref="AM395" si="442">AM393/AM394</f>
        <v>1.3205982905982907</v>
      </c>
      <c r="AN395" s="389">
        <f t="shared" ref="AN395" si="443">AN393/AN394</f>
        <v>1.2511111111111111</v>
      </c>
      <c r="AO395" s="390"/>
      <c r="AP395" s="389">
        <f t="shared" ref="AP395" si="444">AP393/AP394</f>
        <v>2.6137606837606837</v>
      </c>
      <c r="AQ395" s="390"/>
      <c r="AR395" s="389">
        <f t="shared" ref="AR395" si="445">AR393/AR394</f>
        <v>1.0008547008547009</v>
      </c>
      <c r="AS395" s="390"/>
    </row>
    <row r="396" spans="1:45" x14ac:dyDescent="0.3">
      <c r="B396" s="59" t="s">
        <v>55</v>
      </c>
      <c r="C396" s="60"/>
      <c r="D396" s="27">
        <f t="shared" ref="D396:W396" si="446">SUM(D394:D395)</f>
        <v>35.257440170940171</v>
      </c>
      <c r="E396" s="41">
        <f t="shared" si="446"/>
        <v>36.619149572649576</v>
      </c>
      <c r="F396" s="41">
        <f t="shared" si="446"/>
        <v>37.105730769230775</v>
      </c>
      <c r="G396" s="41">
        <f t="shared" si="446"/>
        <v>36.13265384615385</v>
      </c>
      <c r="H396" s="41">
        <f t="shared" si="446"/>
        <v>35.229064102564102</v>
      </c>
      <c r="I396" s="41">
        <f t="shared" si="446"/>
        <v>35.576585470085476</v>
      </c>
      <c r="J396" s="41">
        <f t="shared" si="446"/>
        <v>36.341200854700858</v>
      </c>
      <c r="K396" s="41">
        <f t="shared" si="446"/>
        <v>35.951970085470087</v>
      </c>
      <c r="L396" s="41">
        <f t="shared" si="446"/>
        <v>36.271628205128209</v>
      </c>
      <c r="M396" s="41">
        <f t="shared" si="446"/>
        <v>35.187354700854705</v>
      </c>
      <c r="N396" s="41">
        <f t="shared" si="446"/>
        <v>35.298636752136751</v>
      </c>
      <c r="O396" s="41">
        <f t="shared" si="446"/>
        <v>36.800260683760683</v>
      </c>
      <c r="P396" s="41">
        <f t="shared" si="446"/>
        <v>35.187354700854705</v>
      </c>
      <c r="Q396" s="41">
        <f t="shared" si="446"/>
        <v>35.187354700854705</v>
      </c>
      <c r="R396" s="41">
        <f t="shared" si="446"/>
        <v>35.507098290598293</v>
      </c>
      <c r="S396" s="41">
        <f t="shared" si="446"/>
        <v>35.43761111111111</v>
      </c>
      <c r="T396" s="41">
        <f t="shared" si="446"/>
        <v>37.268099999999997</v>
      </c>
      <c r="U396" s="41">
        <f t="shared" si="446"/>
        <v>39.881860683760678</v>
      </c>
      <c r="V396" s="41">
        <f t="shared" si="446"/>
        <v>37.268099999999997</v>
      </c>
      <c r="W396" s="41">
        <f t="shared" si="446"/>
        <v>35.187354700854705</v>
      </c>
      <c r="Y396" s="390"/>
      <c r="Z396" s="390"/>
      <c r="AA396" s="390"/>
      <c r="AB396" s="390"/>
      <c r="AC396" s="390"/>
      <c r="AD396" s="390"/>
      <c r="AE396" s="390"/>
      <c r="AF396" s="390"/>
      <c r="AG396" s="390"/>
      <c r="AH396" s="390"/>
      <c r="AI396" s="390"/>
      <c r="AJ396" s="390"/>
      <c r="AK396" s="390"/>
      <c r="AL396" s="390"/>
      <c r="AM396" s="390"/>
      <c r="AN396" s="390"/>
      <c r="AO396" s="390"/>
      <c r="AP396" s="390"/>
      <c r="AQ396" s="390"/>
      <c r="AR396" s="390"/>
      <c r="AS396" s="390"/>
    </row>
    <row r="397" spans="1:45" x14ac:dyDescent="0.3">
      <c r="B397" s="61" t="s">
        <v>101</v>
      </c>
      <c r="C397" s="55"/>
      <c r="D397" s="43">
        <v>0</v>
      </c>
      <c r="E397" s="408">
        <v>0</v>
      </c>
      <c r="F397" s="408">
        <v>0</v>
      </c>
      <c r="G397" s="408">
        <v>0</v>
      </c>
      <c r="H397" s="408">
        <v>0</v>
      </c>
      <c r="I397" s="408">
        <v>0</v>
      </c>
      <c r="J397" s="408">
        <v>0</v>
      </c>
      <c r="K397" s="408">
        <v>0</v>
      </c>
      <c r="L397" s="408">
        <v>0</v>
      </c>
      <c r="M397" s="408">
        <v>0</v>
      </c>
      <c r="N397" s="408">
        <v>0</v>
      </c>
      <c r="O397" s="408">
        <v>0</v>
      </c>
      <c r="P397" s="408">
        <v>0</v>
      </c>
      <c r="Q397" s="408">
        <v>0</v>
      </c>
      <c r="R397" s="408">
        <v>0</v>
      </c>
      <c r="S397" s="408">
        <v>0</v>
      </c>
      <c r="T397" s="408">
        <v>0</v>
      </c>
      <c r="U397" s="408">
        <v>0</v>
      </c>
      <c r="V397" s="408">
        <v>0</v>
      </c>
      <c r="W397" s="408">
        <v>0</v>
      </c>
      <c r="Y397" s="409"/>
      <c r="Z397" s="409"/>
      <c r="AA397" s="409"/>
      <c r="AB397" s="409"/>
      <c r="AC397" s="409"/>
      <c r="AD397" s="409"/>
      <c r="AE397" s="409"/>
      <c r="AF397" s="409"/>
      <c r="AG397" s="409"/>
      <c r="AH397" s="409"/>
      <c r="AI397" s="409"/>
      <c r="AJ397" s="409"/>
      <c r="AK397" s="409"/>
      <c r="AL397" s="409"/>
      <c r="AM397" s="409"/>
      <c r="AN397" s="409"/>
      <c r="AO397" s="409"/>
      <c r="AP397" s="409"/>
      <c r="AQ397" s="409"/>
      <c r="AR397" s="409"/>
      <c r="AS397" s="409"/>
    </row>
    <row r="398" spans="1:45" x14ac:dyDescent="0.3">
      <c r="B398" s="171" t="s">
        <v>194</v>
      </c>
      <c r="C398" s="55"/>
      <c r="D398" s="20">
        <v>38</v>
      </c>
      <c r="E398" s="21">
        <v>39</v>
      </c>
      <c r="F398" s="21">
        <v>40</v>
      </c>
      <c r="G398" s="21">
        <v>39</v>
      </c>
      <c r="H398" s="21">
        <v>38</v>
      </c>
      <c r="I398" s="21">
        <v>38</v>
      </c>
      <c r="J398" s="21">
        <v>39</v>
      </c>
      <c r="K398" s="21">
        <v>38</v>
      </c>
      <c r="L398" s="21">
        <v>39</v>
      </c>
      <c r="M398" s="21">
        <v>38</v>
      </c>
      <c r="N398" s="21">
        <v>38</v>
      </c>
      <c r="O398" s="21">
        <v>39</v>
      </c>
      <c r="P398" s="21">
        <v>38</v>
      </c>
      <c r="Q398" s="21">
        <v>38</v>
      </c>
      <c r="R398" s="21">
        <v>38</v>
      </c>
      <c r="S398" s="21">
        <v>38</v>
      </c>
      <c r="T398" s="21">
        <v>40</v>
      </c>
      <c r="U398" s="21">
        <v>42</v>
      </c>
      <c r="V398" s="21">
        <v>40</v>
      </c>
      <c r="W398" s="21">
        <v>38</v>
      </c>
      <c r="Y398" s="390"/>
      <c r="Z398" s="390"/>
      <c r="AA398" s="390"/>
      <c r="AB398" s="390"/>
      <c r="AC398" s="390"/>
      <c r="AD398" s="390"/>
      <c r="AE398" s="390"/>
      <c r="AF398" s="390"/>
      <c r="AG398" s="390"/>
      <c r="AH398" s="390"/>
      <c r="AI398" s="390"/>
      <c r="AJ398" s="390"/>
      <c r="AK398" s="390"/>
      <c r="AL398" s="390"/>
      <c r="AM398" s="390"/>
      <c r="AN398" s="390"/>
      <c r="AO398" s="390"/>
      <c r="AP398" s="390"/>
      <c r="AQ398" s="390"/>
      <c r="AR398" s="390"/>
      <c r="AS398" s="390"/>
    </row>
    <row r="399" spans="1:45" x14ac:dyDescent="0.3">
      <c r="B399" s="61" t="s">
        <v>195</v>
      </c>
      <c r="C399" s="55"/>
      <c r="D399" s="106">
        <v>39</v>
      </c>
      <c r="E399" s="21">
        <v>40</v>
      </c>
      <c r="F399" s="21">
        <v>41</v>
      </c>
      <c r="G399" s="21">
        <v>40</v>
      </c>
      <c r="H399" s="21">
        <v>39</v>
      </c>
      <c r="I399" s="21">
        <v>39</v>
      </c>
      <c r="J399" s="21">
        <v>40</v>
      </c>
      <c r="K399" s="21">
        <v>39</v>
      </c>
      <c r="L399" s="21">
        <v>40</v>
      </c>
      <c r="M399" s="21">
        <v>39</v>
      </c>
      <c r="N399" s="21">
        <v>39</v>
      </c>
      <c r="O399" s="21">
        <v>40</v>
      </c>
      <c r="P399" s="21">
        <v>39</v>
      </c>
      <c r="Q399" s="21">
        <v>39</v>
      </c>
      <c r="R399" s="21">
        <v>39</v>
      </c>
      <c r="S399" s="21">
        <v>39</v>
      </c>
      <c r="T399" s="21">
        <v>41</v>
      </c>
      <c r="U399" s="21">
        <v>43</v>
      </c>
      <c r="V399" s="21">
        <v>41</v>
      </c>
      <c r="W399" s="21">
        <v>39</v>
      </c>
      <c r="Y399" s="390"/>
      <c r="Z399" s="390"/>
      <c r="AA399" s="390"/>
      <c r="AB399" s="390"/>
      <c r="AC399" s="390"/>
      <c r="AD399" s="390"/>
      <c r="AE399" s="390"/>
      <c r="AF399" s="390"/>
      <c r="AG399" s="390"/>
      <c r="AH399" s="390"/>
      <c r="AI399" s="390"/>
      <c r="AJ399" s="390"/>
      <c r="AK399" s="390"/>
      <c r="AL399" s="390"/>
      <c r="AM399" s="390"/>
      <c r="AN399" s="390"/>
      <c r="AO399" s="390"/>
      <c r="AP399" s="390"/>
      <c r="AQ399" s="390"/>
      <c r="AR399" s="390"/>
      <c r="AS399" s="390"/>
    </row>
    <row r="400" spans="1:45" s="30" customFormat="1" x14ac:dyDescent="0.3">
      <c r="B400" s="61" t="s">
        <v>196</v>
      </c>
      <c r="C400" s="62"/>
      <c r="D400" s="28">
        <v>40</v>
      </c>
      <c r="E400" s="28">
        <v>41</v>
      </c>
      <c r="F400" s="28">
        <v>42</v>
      </c>
      <c r="G400" s="28">
        <v>41</v>
      </c>
      <c r="H400" s="28">
        <v>40</v>
      </c>
      <c r="I400" s="28">
        <v>40</v>
      </c>
      <c r="J400" s="28">
        <v>41</v>
      </c>
      <c r="K400" s="28">
        <v>40</v>
      </c>
      <c r="L400" s="28">
        <v>41</v>
      </c>
      <c r="M400" s="28">
        <v>40</v>
      </c>
      <c r="N400" s="28">
        <v>40</v>
      </c>
      <c r="O400" s="28">
        <v>41</v>
      </c>
      <c r="P400" s="28">
        <v>40</v>
      </c>
      <c r="Q400" s="28">
        <v>40</v>
      </c>
      <c r="R400" s="28">
        <v>40</v>
      </c>
      <c r="S400" s="28">
        <v>40</v>
      </c>
      <c r="T400" s="28">
        <v>42</v>
      </c>
      <c r="U400" s="28">
        <v>44</v>
      </c>
      <c r="V400" s="28">
        <v>42</v>
      </c>
      <c r="W400" s="28">
        <v>40</v>
      </c>
      <c r="Y400" s="391"/>
      <c r="Z400" s="391"/>
      <c r="AA400" s="391"/>
      <c r="AB400" s="391"/>
      <c r="AC400" s="391"/>
      <c r="AD400" s="391"/>
      <c r="AE400" s="391"/>
      <c r="AF400" s="391"/>
      <c r="AG400" s="391"/>
      <c r="AH400" s="391"/>
      <c r="AI400" s="391"/>
      <c r="AJ400" s="391"/>
      <c r="AK400" s="391"/>
      <c r="AL400" s="391"/>
      <c r="AM400" s="391"/>
      <c r="AN400" s="391"/>
      <c r="AO400" s="391"/>
      <c r="AP400" s="391"/>
      <c r="AQ400" s="391"/>
      <c r="AR400" s="391"/>
      <c r="AS400" s="391"/>
    </row>
    <row r="401" spans="1:45" s="30" customFormat="1" x14ac:dyDescent="0.3">
      <c r="B401" s="61" t="s">
        <v>197</v>
      </c>
      <c r="C401" s="62"/>
      <c r="D401" s="28">
        <v>41</v>
      </c>
      <c r="E401" s="28">
        <v>42</v>
      </c>
      <c r="F401" s="28">
        <v>43</v>
      </c>
      <c r="G401" s="28">
        <v>42</v>
      </c>
      <c r="H401" s="28">
        <v>41</v>
      </c>
      <c r="I401" s="28">
        <v>41</v>
      </c>
      <c r="J401" s="28">
        <v>42</v>
      </c>
      <c r="K401" s="28">
        <v>41</v>
      </c>
      <c r="L401" s="28">
        <v>42</v>
      </c>
      <c r="M401" s="28">
        <v>41</v>
      </c>
      <c r="N401" s="28">
        <v>41</v>
      </c>
      <c r="O401" s="28">
        <v>42</v>
      </c>
      <c r="P401" s="28">
        <v>41</v>
      </c>
      <c r="Q401" s="28">
        <v>41</v>
      </c>
      <c r="R401" s="28">
        <v>41</v>
      </c>
      <c r="S401" s="28">
        <v>41</v>
      </c>
      <c r="T401" s="28">
        <v>43</v>
      </c>
      <c r="U401" s="28">
        <v>45</v>
      </c>
      <c r="V401" s="28">
        <v>43</v>
      </c>
      <c r="W401" s="28">
        <v>41</v>
      </c>
      <c r="Y401" s="391"/>
      <c r="Z401" s="391"/>
      <c r="AA401" s="391"/>
      <c r="AB401" s="391"/>
      <c r="AC401" s="391"/>
      <c r="AD401" s="391"/>
      <c r="AE401" s="391"/>
      <c r="AF401" s="391"/>
      <c r="AG401" s="391"/>
      <c r="AH401" s="391"/>
      <c r="AI401" s="391"/>
      <c r="AJ401" s="391"/>
      <c r="AK401" s="391"/>
      <c r="AL401" s="391"/>
      <c r="AM401" s="391"/>
      <c r="AN401" s="391"/>
      <c r="AO401" s="391"/>
      <c r="AP401" s="391"/>
      <c r="AQ401" s="391"/>
      <c r="AR401" s="391"/>
      <c r="AS401" s="391"/>
    </row>
    <row r="402" spans="1:45" x14ac:dyDescent="0.3">
      <c r="B402" s="63" t="s">
        <v>103</v>
      </c>
      <c r="C402" s="55"/>
      <c r="D402" s="43">
        <v>0</v>
      </c>
      <c r="E402" s="408">
        <v>0</v>
      </c>
      <c r="F402" s="408">
        <v>0</v>
      </c>
      <c r="G402" s="408">
        <v>0</v>
      </c>
      <c r="H402" s="408">
        <v>0</v>
      </c>
      <c r="I402" s="408">
        <v>0</v>
      </c>
      <c r="J402" s="408">
        <v>0</v>
      </c>
      <c r="K402" s="408">
        <v>0</v>
      </c>
      <c r="L402" s="408">
        <v>0</v>
      </c>
      <c r="M402" s="408">
        <v>0</v>
      </c>
      <c r="N402" s="408">
        <v>0</v>
      </c>
      <c r="O402" s="408">
        <v>0</v>
      </c>
      <c r="P402" s="408">
        <v>0</v>
      </c>
      <c r="Q402" s="408">
        <v>0</v>
      </c>
      <c r="R402" s="408">
        <v>0</v>
      </c>
      <c r="S402" s="408">
        <v>0</v>
      </c>
      <c r="T402" s="408">
        <v>0</v>
      </c>
      <c r="U402" s="408">
        <v>0</v>
      </c>
      <c r="V402" s="408">
        <v>0</v>
      </c>
      <c r="W402" s="408">
        <v>0</v>
      </c>
      <c r="Y402" s="409"/>
      <c r="Z402" s="409"/>
      <c r="AA402" s="409"/>
      <c r="AB402" s="409"/>
      <c r="AC402" s="409"/>
      <c r="AD402" s="409"/>
      <c r="AE402" s="409"/>
      <c r="AF402" s="409"/>
      <c r="AG402" s="409"/>
      <c r="AH402" s="409"/>
      <c r="AI402" s="409"/>
      <c r="AJ402" s="409"/>
      <c r="AK402" s="409"/>
      <c r="AL402" s="409"/>
      <c r="AM402" s="409"/>
      <c r="AN402" s="409"/>
      <c r="AO402" s="409"/>
      <c r="AP402" s="409"/>
      <c r="AQ402" s="409"/>
      <c r="AR402" s="409"/>
      <c r="AS402" s="409"/>
    </row>
    <row r="403" spans="1:45" s="33" customFormat="1" x14ac:dyDescent="0.3">
      <c r="B403" s="63" t="s">
        <v>198</v>
      </c>
      <c r="C403" s="64"/>
      <c r="D403" s="31">
        <f>+D398-D$396</f>
        <v>2.7425598290598288</v>
      </c>
      <c r="E403" s="32">
        <f t="shared" ref="E403:W403" si="447">+E398-E$396</f>
        <v>2.3808504273504241</v>
      </c>
      <c r="F403" s="32">
        <f t="shared" si="447"/>
        <v>2.8942692307692255</v>
      </c>
      <c r="G403" s="32">
        <f t="shared" si="447"/>
        <v>2.8673461538461495</v>
      </c>
      <c r="H403" s="32">
        <f t="shared" si="447"/>
        <v>2.7709358974358977</v>
      </c>
      <c r="I403" s="32">
        <f>+I398-I$396</f>
        <v>2.423414529914524</v>
      </c>
      <c r="J403" s="32">
        <f t="shared" si="447"/>
        <v>2.6587991452991417</v>
      </c>
      <c r="K403" s="32">
        <f>+K398-K$396</f>
        <v>2.0480299145299128</v>
      </c>
      <c r="L403" s="32">
        <f t="shared" si="447"/>
        <v>2.7283717948717907</v>
      </c>
      <c r="M403" s="32">
        <f t="shared" si="447"/>
        <v>2.812645299145295</v>
      </c>
      <c r="N403" s="32">
        <f t="shared" si="447"/>
        <v>2.7013632478632488</v>
      </c>
      <c r="O403" s="32">
        <f t="shared" si="447"/>
        <v>2.1997393162393166</v>
      </c>
      <c r="P403" s="32">
        <f t="shared" si="447"/>
        <v>2.812645299145295</v>
      </c>
      <c r="Q403" s="32">
        <f t="shared" si="447"/>
        <v>2.812645299145295</v>
      </c>
      <c r="R403" s="32">
        <f t="shared" si="447"/>
        <v>2.492901709401707</v>
      </c>
      <c r="S403" s="32">
        <f t="shared" si="447"/>
        <v>2.5623888888888899</v>
      </c>
      <c r="T403" s="32">
        <f t="shared" si="447"/>
        <v>2.7319000000000031</v>
      </c>
      <c r="U403" s="32">
        <f t="shared" si="447"/>
        <v>2.1181393162393221</v>
      </c>
      <c r="V403" s="32">
        <f t="shared" si="447"/>
        <v>2.7319000000000031</v>
      </c>
      <c r="W403" s="32">
        <f t="shared" si="447"/>
        <v>2.812645299145295</v>
      </c>
      <c r="Y403" s="392"/>
      <c r="Z403" s="392"/>
      <c r="AA403" s="392"/>
      <c r="AB403" s="392"/>
      <c r="AC403" s="392"/>
      <c r="AD403" s="392"/>
      <c r="AE403" s="392"/>
      <c r="AF403" s="392"/>
      <c r="AG403" s="392"/>
      <c r="AH403" s="392"/>
      <c r="AI403" s="392"/>
      <c r="AJ403" s="392"/>
      <c r="AK403" s="392"/>
      <c r="AL403" s="392"/>
      <c r="AM403" s="392"/>
      <c r="AN403" s="392"/>
      <c r="AO403" s="392"/>
      <c r="AP403" s="392"/>
      <c r="AQ403" s="392"/>
      <c r="AR403" s="392"/>
      <c r="AS403" s="392"/>
    </row>
    <row r="404" spans="1:45" s="33" customFormat="1" x14ac:dyDescent="0.3">
      <c r="B404" s="63" t="s">
        <v>199</v>
      </c>
      <c r="C404" s="64"/>
      <c r="D404" s="31">
        <f>+D399-D$396</f>
        <v>3.7425598290598288</v>
      </c>
      <c r="E404" s="32">
        <f t="shared" ref="E404:W404" si="448">+E399-E$396</f>
        <v>3.3808504273504241</v>
      </c>
      <c r="F404" s="32">
        <f t="shared" si="448"/>
        <v>3.8942692307692255</v>
      </c>
      <c r="G404" s="32">
        <f t="shared" si="448"/>
        <v>3.8673461538461495</v>
      </c>
      <c r="H404" s="32">
        <f t="shared" si="448"/>
        <v>3.7709358974358977</v>
      </c>
      <c r="I404" s="32">
        <f t="shared" si="448"/>
        <v>3.423414529914524</v>
      </c>
      <c r="J404" s="32">
        <f t="shared" si="448"/>
        <v>3.6587991452991417</v>
      </c>
      <c r="K404" s="32">
        <f t="shared" si="448"/>
        <v>3.0480299145299128</v>
      </c>
      <c r="L404" s="32">
        <f t="shared" si="448"/>
        <v>3.7283717948717907</v>
      </c>
      <c r="M404" s="32">
        <f t="shared" si="448"/>
        <v>3.812645299145295</v>
      </c>
      <c r="N404" s="32">
        <f t="shared" si="448"/>
        <v>3.7013632478632488</v>
      </c>
      <c r="O404" s="32">
        <f t="shared" si="448"/>
        <v>3.1997393162393166</v>
      </c>
      <c r="P404" s="32">
        <f t="shared" si="448"/>
        <v>3.812645299145295</v>
      </c>
      <c r="Q404" s="32">
        <f t="shared" si="448"/>
        <v>3.812645299145295</v>
      </c>
      <c r="R404" s="32">
        <f t="shared" si="448"/>
        <v>3.492901709401707</v>
      </c>
      <c r="S404" s="32">
        <f t="shared" si="448"/>
        <v>3.5623888888888899</v>
      </c>
      <c r="T404" s="32">
        <f t="shared" si="448"/>
        <v>3.7319000000000031</v>
      </c>
      <c r="U404" s="32">
        <f t="shared" si="448"/>
        <v>3.1181393162393221</v>
      </c>
      <c r="V404" s="32">
        <f t="shared" si="448"/>
        <v>3.7319000000000031</v>
      </c>
      <c r="W404" s="32">
        <f t="shared" si="448"/>
        <v>3.812645299145295</v>
      </c>
      <c r="Y404" s="392"/>
      <c r="Z404" s="392"/>
      <c r="AA404" s="392"/>
      <c r="AB404" s="392"/>
      <c r="AC404" s="392"/>
      <c r="AD404" s="392"/>
      <c r="AE404" s="392"/>
      <c r="AF404" s="392"/>
      <c r="AG404" s="392"/>
      <c r="AH404" s="392"/>
      <c r="AI404" s="392"/>
      <c r="AJ404" s="392"/>
      <c r="AK404" s="392"/>
      <c r="AL404" s="392"/>
      <c r="AM404" s="392"/>
      <c r="AN404" s="392"/>
      <c r="AO404" s="392"/>
      <c r="AP404" s="392"/>
      <c r="AQ404" s="392"/>
      <c r="AR404" s="392"/>
      <c r="AS404" s="392"/>
    </row>
    <row r="405" spans="1:45" s="33" customFormat="1" x14ac:dyDescent="0.3">
      <c r="B405" s="63" t="s">
        <v>200</v>
      </c>
      <c r="C405" s="64"/>
      <c r="D405" s="31">
        <f>+D400-D$396</f>
        <v>4.7425598290598288</v>
      </c>
      <c r="E405" s="32">
        <f t="shared" ref="E405:W405" si="449">+E400-E$396</f>
        <v>4.3808504273504241</v>
      </c>
      <c r="F405" s="32">
        <f t="shared" si="449"/>
        <v>4.8942692307692255</v>
      </c>
      <c r="G405" s="32">
        <f t="shared" si="449"/>
        <v>4.8673461538461495</v>
      </c>
      <c r="H405" s="32">
        <f t="shared" si="449"/>
        <v>4.7709358974358977</v>
      </c>
      <c r="I405" s="32">
        <f t="shared" si="449"/>
        <v>4.423414529914524</v>
      </c>
      <c r="J405" s="32">
        <f t="shared" si="449"/>
        <v>4.6587991452991417</v>
      </c>
      <c r="K405" s="32">
        <f t="shared" si="449"/>
        <v>4.0480299145299128</v>
      </c>
      <c r="L405" s="32">
        <f t="shared" si="449"/>
        <v>4.7283717948717907</v>
      </c>
      <c r="M405" s="32">
        <f t="shared" si="449"/>
        <v>4.812645299145295</v>
      </c>
      <c r="N405" s="32">
        <f t="shared" si="449"/>
        <v>4.7013632478632488</v>
      </c>
      <c r="O405" s="32">
        <f t="shared" si="449"/>
        <v>4.1997393162393166</v>
      </c>
      <c r="P405" s="32">
        <f t="shared" si="449"/>
        <v>4.812645299145295</v>
      </c>
      <c r="Q405" s="32">
        <f t="shared" si="449"/>
        <v>4.812645299145295</v>
      </c>
      <c r="R405" s="32">
        <f t="shared" si="449"/>
        <v>4.492901709401707</v>
      </c>
      <c r="S405" s="32">
        <f t="shared" si="449"/>
        <v>4.5623888888888899</v>
      </c>
      <c r="T405" s="32">
        <f t="shared" si="449"/>
        <v>4.7319000000000031</v>
      </c>
      <c r="U405" s="32">
        <f t="shared" si="449"/>
        <v>4.1181393162393221</v>
      </c>
      <c r="V405" s="32">
        <f t="shared" si="449"/>
        <v>4.7319000000000031</v>
      </c>
      <c r="W405" s="32">
        <f t="shared" si="449"/>
        <v>4.812645299145295</v>
      </c>
      <c r="Y405" s="392"/>
      <c r="Z405" s="392"/>
      <c r="AA405" s="392"/>
      <c r="AB405" s="392"/>
      <c r="AC405" s="392"/>
      <c r="AD405" s="392"/>
      <c r="AE405" s="392"/>
      <c r="AF405" s="392"/>
      <c r="AG405" s="392"/>
      <c r="AH405" s="392"/>
      <c r="AI405" s="392"/>
      <c r="AJ405" s="392"/>
      <c r="AK405" s="392"/>
      <c r="AL405" s="392"/>
      <c r="AM405" s="392"/>
      <c r="AN405" s="392"/>
      <c r="AO405" s="392"/>
      <c r="AP405" s="392"/>
      <c r="AQ405" s="392"/>
      <c r="AR405" s="392"/>
      <c r="AS405" s="392"/>
    </row>
    <row r="406" spans="1:45" s="33" customFormat="1" x14ac:dyDescent="0.3">
      <c r="B406" s="63" t="s">
        <v>201</v>
      </c>
      <c r="C406" s="64"/>
      <c r="D406" s="31">
        <f>+D401-D$396</f>
        <v>5.7425598290598288</v>
      </c>
      <c r="E406" s="34">
        <f t="shared" ref="E406:W406" si="450">+E401-E$396</f>
        <v>5.3808504273504241</v>
      </c>
      <c r="F406" s="34">
        <f t="shared" si="450"/>
        <v>5.8942692307692255</v>
      </c>
      <c r="G406" s="34">
        <f t="shared" si="450"/>
        <v>5.8673461538461495</v>
      </c>
      <c r="H406" s="34">
        <f t="shared" si="450"/>
        <v>5.7709358974358977</v>
      </c>
      <c r="I406" s="34">
        <f t="shared" si="450"/>
        <v>5.423414529914524</v>
      </c>
      <c r="J406" s="34">
        <f t="shared" si="450"/>
        <v>5.6587991452991417</v>
      </c>
      <c r="K406" s="34">
        <f t="shared" si="450"/>
        <v>5.0480299145299128</v>
      </c>
      <c r="L406" s="34">
        <f t="shared" si="450"/>
        <v>5.7283717948717907</v>
      </c>
      <c r="M406" s="34">
        <f t="shared" si="450"/>
        <v>5.812645299145295</v>
      </c>
      <c r="N406" s="34">
        <f t="shared" si="450"/>
        <v>5.7013632478632488</v>
      </c>
      <c r="O406" s="34">
        <f t="shared" si="450"/>
        <v>5.1997393162393166</v>
      </c>
      <c r="P406" s="34">
        <f t="shared" si="450"/>
        <v>5.812645299145295</v>
      </c>
      <c r="Q406" s="34">
        <f t="shared" si="450"/>
        <v>5.812645299145295</v>
      </c>
      <c r="R406" s="34">
        <f t="shared" si="450"/>
        <v>5.492901709401707</v>
      </c>
      <c r="S406" s="34">
        <f t="shared" si="450"/>
        <v>5.5623888888888899</v>
      </c>
      <c r="T406" s="34">
        <f t="shared" si="450"/>
        <v>5.7319000000000031</v>
      </c>
      <c r="U406" s="34">
        <f t="shared" si="450"/>
        <v>5.1181393162393221</v>
      </c>
      <c r="V406" s="34">
        <f t="shared" si="450"/>
        <v>5.7319000000000031</v>
      </c>
      <c r="W406" s="34">
        <f t="shared" si="450"/>
        <v>5.812645299145295</v>
      </c>
      <c r="Y406" s="392"/>
      <c r="Z406" s="392"/>
      <c r="AA406" s="392"/>
      <c r="AB406" s="392"/>
      <c r="AC406" s="392"/>
      <c r="AD406" s="392"/>
      <c r="AE406" s="392"/>
      <c r="AF406" s="392"/>
      <c r="AG406" s="392"/>
      <c r="AH406" s="392"/>
      <c r="AI406" s="392"/>
      <c r="AJ406" s="392"/>
      <c r="AK406" s="392"/>
      <c r="AL406" s="392"/>
      <c r="AM406" s="392"/>
      <c r="AN406" s="392"/>
      <c r="AO406" s="392"/>
      <c r="AP406" s="392"/>
      <c r="AQ406" s="392"/>
      <c r="AR406" s="392"/>
      <c r="AS406" s="392"/>
    </row>
    <row r="407" spans="1:45" x14ac:dyDescent="0.3">
      <c r="B407" s="65" t="s">
        <v>108</v>
      </c>
      <c r="C407" s="55"/>
      <c r="D407" s="43">
        <v>0</v>
      </c>
      <c r="E407" s="408">
        <v>0</v>
      </c>
      <c r="F407" s="408">
        <v>0</v>
      </c>
      <c r="G407" s="408">
        <v>0</v>
      </c>
      <c r="H407" s="408">
        <v>0</v>
      </c>
      <c r="I407" s="408">
        <v>0</v>
      </c>
      <c r="J407" s="408">
        <v>0</v>
      </c>
      <c r="K407" s="408">
        <v>0</v>
      </c>
      <c r="L407" s="408">
        <v>0</v>
      </c>
      <c r="M407" s="408">
        <v>0</v>
      </c>
      <c r="N407" s="408">
        <v>0</v>
      </c>
      <c r="O407" s="408">
        <v>0</v>
      </c>
      <c r="P407" s="408">
        <v>0</v>
      </c>
      <c r="Q407" s="408">
        <v>0</v>
      </c>
      <c r="R407" s="408">
        <v>0</v>
      </c>
      <c r="S407" s="408">
        <v>0</v>
      </c>
      <c r="T407" s="408">
        <v>0</v>
      </c>
      <c r="U407" s="408">
        <v>0</v>
      </c>
      <c r="V407" s="408">
        <v>0</v>
      </c>
      <c r="W407" s="408">
        <v>0</v>
      </c>
      <c r="Y407" s="409"/>
      <c r="Z407" s="409"/>
      <c r="AA407" s="409"/>
      <c r="AB407" s="409"/>
      <c r="AC407" s="409"/>
      <c r="AD407" s="409"/>
      <c r="AE407" s="409"/>
      <c r="AF407" s="409"/>
      <c r="AG407" s="409"/>
      <c r="AH407" s="409"/>
      <c r="AI407" s="409"/>
      <c r="AJ407" s="409"/>
      <c r="AK407" s="409"/>
      <c r="AL407" s="409"/>
      <c r="AM407" s="409"/>
      <c r="AN407" s="409"/>
      <c r="AO407" s="409"/>
      <c r="AP407" s="409"/>
      <c r="AQ407" s="409"/>
      <c r="AR407" s="409"/>
      <c r="AS407" s="409"/>
    </row>
    <row r="408" spans="1:45" s="36" customFormat="1" x14ac:dyDescent="0.3">
      <c r="B408" s="65" t="s">
        <v>202</v>
      </c>
      <c r="C408" s="66"/>
      <c r="D408" s="35">
        <f>+D403/D$398</f>
        <v>7.2172627080521815E-2</v>
      </c>
      <c r="E408" s="35">
        <f t="shared" ref="E408:W408" si="451">+E403/E$398</f>
        <v>6.1047446855139076E-2</v>
      </c>
      <c r="F408" s="35">
        <f t="shared" si="451"/>
        <v>7.2356730769230632E-2</v>
      </c>
      <c r="G408" s="35">
        <f t="shared" si="451"/>
        <v>7.3521696252465379E-2</v>
      </c>
      <c r="H408" s="35">
        <f t="shared" si="451"/>
        <v>7.2919365721997309E-2</v>
      </c>
      <c r="I408" s="35">
        <f t="shared" si="451"/>
        <v>6.3774066576697999E-2</v>
      </c>
      <c r="J408" s="35">
        <f t="shared" si="451"/>
        <v>6.8174337058952358E-2</v>
      </c>
      <c r="K408" s="35">
        <f t="shared" si="451"/>
        <v>5.3895524066576654E-2</v>
      </c>
      <c r="L408" s="35">
        <f t="shared" si="451"/>
        <v>6.9958251150558731E-2</v>
      </c>
      <c r="M408" s="35">
        <f t="shared" si="451"/>
        <v>7.4016981556455128E-2</v>
      </c>
      <c r="N408" s="35">
        <f t="shared" si="451"/>
        <v>7.1088506522717074E-2</v>
      </c>
      <c r="O408" s="35">
        <f t="shared" si="451"/>
        <v>5.6403572211264526E-2</v>
      </c>
      <c r="P408" s="35">
        <f t="shared" si="451"/>
        <v>7.4016981556455128E-2</v>
      </c>
      <c r="Q408" s="35">
        <f t="shared" si="451"/>
        <v>7.4016981556455128E-2</v>
      </c>
      <c r="R408" s="35">
        <f t="shared" si="451"/>
        <v>6.5602676563202816E-2</v>
      </c>
      <c r="S408" s="35">
        <f t="shared" si="451"/>
        <v>6.7431286549707634E-2</v>
      </c>
      <c r="T408" s="35">
        <f t="shared" si="451"/>
        <v>6.829750000000008E-2</v>
      </c>
      <c r="U408" s="35">
        <f t="shared" si="451"/>
        <v>5.043188848188862E-2</v>
      </c>
      <c r="V408" s="35">
        <f t="shared" si="451"/>
        <v>6.829750000000008E-2</v>
      </c>
      <c r="W408" s="35">
        <f t="shared" si="451"/>
        <v>7.4016981556455128E-2</v>
      </c>
      <c r="Y408" s="393"/>
      <c r="Z408" s="393"/>
      <c r="AA408" s="393"/>
      <c r="AB408" s="393"/>
      <c r="AC408" s="393"/>
      <c r="AD408" s="393"/>
      <c r="AE408" s="393"/>
      <c r="AF408" s="393"/>
      <c r="AG408" s="393"/>
      <c r="AH408" s="393"/>
      <c r="AI408" s="393"/>
      <c r="AJ408" s="393"/>
      <c r="AK408" s="393"/>
      <c r="AL408" s="393"/>
      <c r="AM408" s="393"/>
      <c r="AN408" s="393"/>
      <c r="AO408" s="393"/>
      <c r="AP408" s="393"/>
      <c r="AQ408" s="393"/>
      <c r="AR408" s="393"/>
      <c r="AS408" s="393"/>
    </row>
    <row r="409" spans="1:45" s="36" customFormat="1" x14ac:dyDescent="0.3">
      <c r="B409" s="65" t="s">
        <v>203</v>
      </c>
      <c r="C409" s="66"/>
      <c r="D409" s="35">
        <f>+D404/D$399</f>
        <v>9.5963072539995614E-2</v>
      </c>
      <c r="E409" s="35">
        <f t="shared" ref="E409:W409" si="452">+E404/E$399</f>
        <v>8.4521260683760605E-2</v>
      </c>
      <c r="F409" s="35">
        <f>+F404/F$399</f>
        <v>9.4982176360225018E-2</v>
      </c>
      <c r="G409" s="35">
        <f t="shared" si="452"/>
        <v>9.6683653846153739E-2</v>
      </c>
      <c r="H409" s="35">
        <f t="shared" si="452"/>
        <v>9.6690664036817892E-2</v>
      </c>
      <c r="I409" s="35">
        <f t="shared" si="452"/>
        <v>8.7779859741398056E-2</v>
      </c>
      <c r="J409" s="35">
        <f t="shared" si="452"/>
        <v>9.1469978632478549E-2</v>
      </c>
      <c r="K409" s="35">
        <f t="shared" si="452"/>
        <v>7.8154613193074693E-2</v>
      </c>
      <c r="L409" s="35">
        <f t="shared" si="452"/>
        <v>9.3209294871794773E-2</v>
      </c>
      <c r="M409" s="35">
        <f t="shared" si="452"/>
        <v>9.776013587552039E-2</v>
      </c>
      <c r="N409" s="35">
        <f t="shared" si="452"/>
        <v>9.4906749945211505E-2</v>
      </c>
      <c r="O409" s="35">
        <f t="shared" si="452"/>
        <v>7.9993482905982918E-2</v>
      </c>
      <c r="P409" s="35">
        <f t="shared" si="452"/>
        <v>9.776013587552039E-2</v>
      </c>
      <c r="Q409" s="35">
        <f t="shared" si="452"/>
        <v>9.776013587552039E-2</v>
      </c>
      <c r="R409" s="35">
        <f t="shared" si="452"/>
        <v>8.9561582292351463E-2</v>
      </c>
      <c r="S409" s="35">
        <f t="shared" si="452"/>
        <v>9.1343304843304871E-2</v>
      </c>
      <c r="T409" s="35">
        <f t="shared" si="452"/>
        <v>9.1021951219512273E-2</v>
      </c>
      <c r="U409" s="35">
        <f t="shared" si="452"/>
        <v>7.2514867819519116E-2</v>
      </c>
      <c r="V409" s="35">
        <f t="shared" si="452"/>
        <v>9.1021951219512273E-2</v>
      </c>
      <c r="W409" s="35">
        <f t="shared" si="452"/>
        <v>9.776013587552039E-2</v>
      </c>
      <c r="Y409" s="393"/>
      <c r="Z409" s="393"/>
      <c r="AA409" s="393"/>
      <c r="AB409" s="393"/>
      <c r="AC409" s="393"/>
      <c r="AD409" s="393"/>
      <c r="AE409" s="393"/>
      <c r="AF409" s="393"/>
      <c r="AG409" s="393"/>
      <c r="AH409" s="393"/>
      <c r="AI409" s="393"/>
      <c r="AJ409" s="393"/>
      <c r="AK409" s="393"/>
      <c r="AL409" s="393"/>
      <c r="AM409" s="393"/>
      <c r="AN409" s="393"/>
      <c r="AO409" s="393"/>
      <c r="AP409" s="393"/>
      <c r="AQ409" s="393"/>
      <c r="AR409" s="393"/>
      <c r="AS409" s="393"/>
    </row>
    <row r="410" spans="1:45" s="36" customFormat="1" x14ac:dyDescent="0.3">
      <c r="B410" s="65" t="s">
        <v>204</v>
      </c>
      <c r="C410" s="66"/>
      <c r="D410" s="35">
        <f>+D405/D$400</f>
        <v>0.11856399572649572</v>
      </c>
      <c r="E410" s="35">
        <f t="shared" ref="E410:W410" si="453">+E405/E$400</f>
        <v>0.10685001042318107</v>
      </c>
      <c r="F410" s="35">
        <f t="shared" si="453"/>
        <v>0.11653021978021966</v>
      </c>
      <c r="G410" s="35">
        <f t="shared" si="453"/>
        <v>0.11871575984990608</v>
      </c>
      <c r="H410" s="35">
        <f t="shared" si="453"/>
        <v>0.11927339743589745</v>
      </c>
      <c r="I410" s="35">
        <f t="shared" si="453"/>
        <v>0.1105853632478631</v>
      </c>
      <c r="J410" s="35">
        <f t="shared" si="453"/>
        <v>0.11362924744632052</v>
      </c>
      <c r="K410" s="35">
        <f t="shared" si="453"/>
        <v>0.10120074786324781</v>
      </c>
      <c r="L410" s="35">
        <f t="shared" si="453"/>
        <v>0.11532614133833635</v>
      </c>
      <c r="M410" s="35">
        <f t="shared" si="453"/>
        <v>0.12031613247863238</v>
      </c>
      <c r="N410" s="35">
        <f t="shared" si="453"/>
        <v>0.11753408119658122</v>
      </c>
      <c r="O410" s="35">
        <f t="shared" si="453"/>
        <v>0.10243266624973943</v>
      </c>
      <c r="P410" s="35">
        <f t="shared" si="453"/>
        <v>0.12031613247863238</v>
      </c>
      <c r="Q410" s="35">
        <f t="shared" si="453"/>
        <v>0.12031613247863238</v>
      </c>
      <c r="R410" s="35">
        <f t="shared" si="453"/>
        <v>0.11232254273504268</v>
      </c>
      <c r="S410" s="35">
        <f t="shared" si="453"/>
        <v>0.11405972222222224</v>
      </c>
      <c r="T410" s="35">
        <f t="shared" si="453"/>
        <v>0.11266428571428579</v>
      </c>
      <c r="U410" s="35">
        <f t="shared" si="453"/>
        <v>9.3594075369075505E-2</v>
      </c>
      <c r="V410" s="35">
        <f t="shared" si="453"/>
        <v>0.11266428571428579</v>
      </c>
      <c r="W410" s="35">
        <f t="shared" si="453"/>
        <v>0.12031613247863238</v>
      </c>
      <c r="Y410" s="393"/>
      <c r="Z410" s="393"/>
      <c r="AA410" s="393"/>
      <c r="AB410" s="393"/>
      <c r="AC410" s="393"/>
      <c r="AD410" s="393"/>
      <c r="AE410" s="393"/>
      <c r="AF410" s="393"/>
      <c r="AG410" s="393"/>
      <c r="AH410" s="393"/>
      <c r="AI410" s="393"/>
      <c r="AJ410" s="393"/>
      <c r="AK410" s="393"/>
      <c r="AL410" s="393"/>
      <c r="AM410" s="393"/>
      <c r="AN410" s="393"/>
      <c r="AO410" s="393"/>
      <c r="AP410" s="393"/>
      <c r="AQ410" s="393"/>
      <c r="AR410" s="393"/>
      <c r="AS410" s="393"/>
    </row>
    <row r="411" spans="1:45" s="36" customFormat="1" x14ac:dyDescent="0.3">
      <c r="B411" s="65" t="s">
        <v>205</v>
      </c>
      <c r="C411" s="66"/>
      <c r="D411" s="35">
        <f>+D406/D$401</f>
        <v>0.14006243485511777</v>
      </c>
      <c r="E411" s="35">
        <f t="shared" ref="E411:W411" si="454">+E406/E$401</f>
        <v>0.12811548636548628</v>
      </c>
      <c r="F411" s="35">
        <f t="shared" si="454"/>
        <v>0.13707602862254012</v>
      </c>
      <c r="G411" s="35">
        <f t="shared" si="454"/>
        <v>0.13969871794871785</v>
      </c>
      <c r="H411" s="35">
        <f t="shared" si="454"/>
        <v>0.1407545340838024</v>
      </c>
      <c r="I411" s="35">
        <f t="shared" si="454"/>
        <v>0.13227840316864692</v>
      </c>
      <c r="J411" s="35">
        <f t="shared" si="454"/>
        <v>0.1347333129833129</v>
      </c>
      <c r="K411" s="35">
        <f t="shared" si="454"/>
        <v>0.12312268084219299</v>
      </c>
      <c r="L411" s="35">
        <f t="shared" si="454"/>
        <v>0.13638980463980455</v>
      </c>
      <c r="M411" s="35">
        <f t="shared" si="454"/>
        <v>0.14177183656451939</v>
      </c>
      <c r="N411" s="35">
        <f t="shared" si="454"/>
        <v>0.13905764019178657</v>
      </c>
      <c r="O411" s="35">
        <f t="shared" si="454"/>
        <v>0.12380331705331707</v>
      </c>
      <c r="P411" s="35">
        <f t="shared" si="454"/>
        <v>0.14177183656451939</v>
      </c>
      <c r="Q411" s="35">
        <f t="shared" si="454"/>
        <v>0.14177183656451939</v>
      </c>
      <c r="R411" s="35">
        <f t="shared" si="454"/>
        <v>0.13397321242443189</v>
      </c>
      <c r="S411" s="35">
        <f t="shared" si="454"/>
        <v>0.13566802168021683</v>
      </c>
      <c r="T411" s="35">
        <f t="shared" si="454"/>
        <v>0.13330000000000009</v>
      </c>
      <c r="U411" s="35">
        <f t="shared" si="454"/>
        <v>0.11373642924976271</v>
      </c>
      <c r="V411" s="35">
        <f t="shared" si="454"/>
        <v>0.13330000000000009</v>
      </c>
      <c r="W411" s="35">
        <f t="shared" si="454"/>
        <v>0.14177183656451939</v>
      </c>
      <c r="Y411" s="393"/>
      <c r="Z411" s="393"/>
      <c r="AA411" s="393"/>
      <c r="AB411" s="393"/>
      <c r="AC411" s="393"/>
      <c r="AD411" s="393"/>
      <c r="AE411" s="393"/>
      <c r="AF411" s="393"/>
      <c r="AG411" s="393"/>
      <c r="AH411" s="393"/>
      <c r="AI411" s="393"/>
      <c r="AJ411" s="393"/>
      <c r="AK411" s="393"/>
      <c r="AL411" s="393"/>
      <c r="AM411" s="393"/>
      <c r="AN411" s="393"/>
      <c r="AO411" s="393"/>
      <c r="AP411" s="393"/>
      <c r="AQ411" s="393"/>
      <c r="AR411" s="393"/>
      <c r="AS411" s="393"/>
    </row>
    <row r="412" spans="1:45" s="36" customFormat="1" x14ac:dyDescent="0.3"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Y412" s="393"/>
      <c r="Z412" s="393"/>
      <c r="AA412" s="393"/>
      <c r="AB412" s="393"/>
      <c r="AC412" s="393"/>
      <c r="AD412" s="393"/>
      <c r="AE412" s="393"/>
      <c r="AF412" s="393"/>
      <c r="AG412" s="393"/>
      <c r="AH412" s="393"/>
      <c r="AI412" s="393"/>
      <c r="AJ412" s="393"/>
      <c r="AK412" s="393"/>
      <c r="AL412" s="393"/>
      <c r="AM412" s="393"/>
      <c r="AN412" s="393"/>
      <c r="AO412" s="393"/>
      <c r="AP412" s="393"/>
      <c r="AQ412" s="393"/>
      <c r="AR412" s="393"/>
      <c r="AS412" s="393"/>
    </row>
    <row r="413" spans="1:45" ht="21" thickBot="1" x14ac:dyDescent="0.35">
      <c r="Y413" s="390"/>
      <c r="Z413" s="390"/>
      <c r="AA413" s="390"/>
      <c r="AB413" s="390"/>
      <c r="AC413" s="390"/>
      <c r="AD413" s="390"/>
      <c r="AE413" s="390"/>
      <c r="AF413" s="390"/>
      <c r="AG413" s="390"/>
      <c r="AH413" s="390"/>
      <c r="AI413" s="390"/>
      <c r="AJ413" s="390"/>
      <c r="AK413" s="390"/>
      <c r="AL413" s="390"/>
      <c r="AM413" s="390"/>
      <c r="AN413" s="390"/>
      <c r="AO413" s="390"/>
      <c r="AP413" s="390"/>
      <c r="AQ413" s="390"/>
      <c r="AR413" s="390"/>
      <c r="AS413" s="390"/>
    </row>
    <row r="414" spans="1:45" ht="21" thickBot="1" x14ac:dyDescent="0.35">
      <c r="A414" s="15" t="s">
        <v>324</v>
      </c>
      <c r="B414" s="74" t="s">
        <v>62</v>
      </c>
      <c r="C414" s="68"/>
      <c r="D414" s="17" t="s">
        <v>5</v>
      </c>
      <c r="E414" s="18" t="s">
        <v>6</v>
      </c>
      <c r="F414" s="18" t="s">
        <v>7</v>
      </c>
      <c r="G414" s="18" t="s">
        <v>8</v>
      </c>
      <c r="H414" s="18" t="s">
        <v>9</v>
      </c>
      <c r="I414" s="18" t="s">
        <v>10</v>
      </c>
      <c r="J414" s="18" t="s">
        <v>11</v>
      </c>
      <c r="K414" s="18" t="s">
        <v>12</v>
      </c>
      <c r="L414" s="18" t="s">
        <v>13</v>
      </c>
      <c r="M414" s="18" t="s">
        <v>14</v>
      </c>
      <c r="N414" s="18" t="s">
        <v>15</v>
      </c>
      <c r="O414" s="18" t="s">
        <v>16</v>
      </c>
      <c r="P414" s="18" t="s">
        <v>17</v>
      </c>
      <c r="Q414" s="18" t="s">
        <v>18</v>
      </c>
      <c r="R414" s="18" t="s">
        <v>19</v>
      </c>
      <c r="S414" s="18" t="s">
        <v>20</v>
      </c>
      <c r="T414" s="18" t="s">
        <v>21</v>
      </c>
      <c r="U414" s="18" t="s">
        <v>22</v>
      </c>
      <c r="V414" s="18" t="s">
        <v>23</v>
      </c>
      <c r="W414" s="18" t="s">
        <v>166</v>
      </c>
      <c r="Y414" s="390"/>
      <c r="Z414" s="390"/>
      <c r="AA414" s="390"/>
      <c r="AB414" s="390"/>
      <c r="AC414" s="390"/>
      <c r="AD414" s="390"/>
      <c r="AE414" s="390"/>
      <c r="AF414" s="390"/>
      <c r="AG414" s="390"/>
      <c r="AH414" s="390"/>
      <c r="AI414" s="390"/>
      <c r="AJ414" s="390"/>
      <c r="AK414" s="390"/>
      <c r="AL414" s="390"/>
      <c r="AM414" s="390"/>
      <c r="AN414" s="390"/>
      <c r="AO414" s="390"/>
      <c r="AP414" s="390"/>
      <c r="AQ414" s="390"/>
      <c r="AR414" s="390"/>
      <c r="AS414" s="390"/>
    </row>
    <row r="415" spans="1:45" x14ac:dyDescent="0.3">
      <c r="B415" s="54" t="s">
        <v>50</v>
      </c>
      <c r="C415" s="55"/>
      <c r="D415" s="20">
        <v>175</v>
      </c>
      <c r="E415" s="21">
        <v>175</v>
      </c>
      <c r="F415" s="21">
        <v>175</v>
      </c>
      <c r="G415" s="21">
        <v>175</v>
      </c>
      <c r="H415" s="21">
        <v>175</v>
      </c>
      <c r="I415" s="21">
        <v>175</v>
      </c>
      <c r="J415" s="21">
        <v>175</v>
      </c>
      <c r="K415" s="21">
        <v>175</v>
      </c>
      <c r="L415" s="21">
        <v>175</v>
      </c>
      <c r="M415" s="21">
        <v>175</v>
      </c>
      <c r="N415" s="21">
        <v>175</v>
      </c>
      <c r="O415" s="21">
        <v>175</v>
      </c>
      <c r="P415" s="21">
        <v>175</v>
      </c>
      <c r="Q415" s="21">
        <v>175</v>
      </c>
      <c r="R415" s="21">
        <v>175</v>
      </c>
      <c r="S415" s="21">
        <v>175</v>
      </c>
      <c r="T415" s="21"/>
      <c r="U415" s="21"/>
      <c r="V415" s="21"/>
      <c r="W415" s="21">
        <v>175</v>
      </c>
      <c r="Y415" s="390"/>
      <c r="Z415" s="390"/>
      <c r="AA415" s="390"/>
      <c r="AB415" s="390"/>
      <c r="AC415" s="390"/>
      <c r="AD415" s="390"/>
      <c r="AE415" s="390"/>
      <c r="AF415" s="390"/>
      <c r="AG415" s="390"/>
      <c r="AH415" s="390"/>
      <c r="AI415" s="390"/>
      <c r="AJ415" s="390"/>
      <c r="AK415" s="390"/>
      <c r="AL415" s="390"/>
      <c r="AM415" s="390"/>
      <c r="AN415" s="390"/>
      <c r="AO415" s="390"/>
      <c r="AP415" s="390"/>
      <c r="AQ415" s="390"/>
      <c r="AR415" s="390"/>
      <c r="AS415" s="390"/>
    </row>
    <row r="416" spans="1:45" x14ac:dyDescent="0.3">
      <c r="B416" s="54" t="s">
        <v>51</v>
      </c>
      <c r="C416" s="55"/>
      <c r="D416" s="218">
        <v>0.45</v>
      </c>
      <c r="E416" s="218">
        <f>D416</f>
        <v>0.45</v>
      </c>
      <c r="F416" s="218">
        <f>D416</f>
        <v>0.45</v>
      </c>
      <c r="G416" s="218">
        <f>D416</f>
        <v>0.45</v>
      </c>
      <c r="H416" s="218">
        <f>D416</f>
        <v>0.45</v>
      </c>
      <c r="I416" s="218">
        <f>D416</f>
        <v>0.45</v>
      </c>
      <c r="J416" s="218">
        <f>D416</f>
        <v>0.45</v>
      </c>
      <c r="K416" s="218">
        <f>D416</f>
        <v>0.45</v>
      </c>
      <c r="L416" s="218">
        <f>D416</f>
        <v>0.45</v>
      </c>
      <c r="M416" s="218">
        <f>D416</f>
        <v>0.45</v>
      </c>
      <c r="N416" s="218">
        <f>D416</f>
        <v>0.45</v>
      </c>
      <c r="O416" s="218">
        <f>D416</f>
        <v>0.45</v>
      </c>
      <c r="P416" s="218">
        <f t="shared" ref="P416:Q416" si="455">E416</f>
        <v>0.45</v>
      </c>
      <c r="Q416" s="218">
        <f t="shared" si="455"/>
        <v>0.45</v>
      </c>
      <c r="R416" s="218">
        <f>D416</f>
        <v>0.45</v>
      </c>
      <c r="S416" s="218">
        <f>D416</f>
        <v>0.45</v>
      </c>
      <c r="T416" s="218"/>
      <c r="U416" s="218"/>
      <c r="V416" s="218"/>
      <c r="W416" s="218">
        <f>D416</f>
        <v>0.45</v>
      </c>
      <c r="Y416" s="390"/>
      <c r="Z416" s="390"/>
      <c r="AA416" s="390"/>
      <c r="AB416" s="390"/>
      <c r="AC416" s="390"/>
      <c r="AD416" s="390"/>
      <c r="AE416" s="390"/>
      <c r="AF416" s="390"/>
      <c r="AG416" s="390"/>
      <c r="AH416" s="390"/>
      <c r="AI416" s="390"/>
      <c r="AJ416" s="390"/>
      <c r="AK416" s="390"/>
      <c r="AL416" s="390"/>
      <c r="AM416" s="390"/>
      <c r="AN416" s="390"/>
      <c r="AO416" s="390"/>
      <c r="AP416" s="390"/>
      <c r="AQ416" s="390"/>
      <c r="AR416" s="390"/>
      <c r="AS416" s="390"/>
    </row>
    <row r="417" spans="2:45" x14ac:dyDescent="0.3">
      <c r="B417" s="54" t="s">
        <v>60</v>
      </c>
      <c r="C417" s="55"/>
      <c r="D417" s="21">
        <v>0</v>
      </c>
      <c r="E417" s="21">
        <v>0</v>
      </c>
      <c r="F417" s="21">
        <v>0</v>
      </c>
      <c r="G417" s="21">
        <v>0</v>
      </c>
      <c r="H417" s="21">
        <v>0</v>
      </c>
      <c r="I417" s="21">
        <v>0</v>
      </c>
      <c r="J417" s="21">
        <v>0</v>
      </c>
      <c r="K417" s="21">
        <v>0</v>
      </c>
      <c r="L417" s="21">
        <v>0</v>
      </c>
      <c r="M417" s="21">
        <v>0</v>
      </c>
      <c r="N417" s="21">
        <v>0</v>
      </c>
      <c r="O417" s="21">
        <v>0</v>
      </c>
      <c r="P417" s="21">
        <v>0</v>
      </c>
      <c r="Q417" s="21">
        <v>0</v>
      </c>
      <c r="R417" s="21">
        <v>0</v>
      </c>
      <c r="S417" s="21">
        <v>0</v>
      </c>
      <c r="T417" s="21"/>
      <c r="U417" s="21"/>
      <c r="V417" s="21"/>
      <c r="W417" s="21">
        <v>0</v>
      </c>
      <c r="Y417" s="390"/>
      <c r="Z417" s="390"/>
      <c r="AA417" s="390"/>
      <c r="AB417" s="390"/>
      <c r="AC417" s="390"/>
      <c r="AD417" s="390"/>
      <c r="AE417" s="390"/>
      <c r="AF417" s="390"/>
      <c r="AG417" s="390"/>
      <c r="AH417" s="390"/>
      <c r="AI417" s="390"/>
      <c r="AJ417" s="390"/>
      <c r="AK417" s="390"/>
      <c r="AL417" s="390"/>
      <c r="AM417" s="390"/>
      <c r="AN417" s="390"/>
      <c r="AO417" s="390"/>
      <c r="AP417" s="390"/>
      <c r="AQ417" s="390"/>
      <c r="AR417" s="390"/>
      <c r="AS417" s="390"/>
    </row>
    <row r="418" spans="2:45" x14ac:dyDescent="0.3">
      <c r="B418" s="177" t="s">
        <v>67</v>
      </c>
      <c r="C418" s="178"/>
      <c r="D418" s="323">
        <f>D415-(D415*D416)</f>
        <v>96.25</v>
      </c>
      <c r="E418" s="323">
        <f t="shared" ref="E418:W418" si="456">E415-(E415*E416)</f>
        <v>96.25</v>
      </c>
      <c r="F418" s="323">
        <f t="shared" si="456"/>
        <v>96.25</v>
      </c>
      <c r="G418" s="323">
        <f t="shared" si="456"/>
        <v>96.25</v>
      </c>
      <c r="H418" s="323">
        <f t="shared" si="456"/>
        <v>96.25</v>
      </c>
      <c r="I418" s="323">
        <f t="shared" si="456"/>
        <v>96.25</v>
      </c>
      <c r="J418" s="323">
        <f t="shared" si="456"/>
        <v>96.25</v>
      </c>
      <c r="K418" s="323">
        <f t="shared" si="456"/>
        <v>96.25</v>
      </c>
      <c r="L418" s="323">
        <f t="shared" si="456"/>
        <v>96.25</v>
      </c>
      <c r="M418" s="323">
        <f t="shared" si="456"/>
        <v>96.25</v>
      </c>
      <c r="N418" s="323">
        <f t="shared" si="456"/>
        <v>96.25</v>
      </c>
      <c r="O418" s="323">
        <f t="shared" si="456"/>
        <v>96.25</v>
      </c>
      <c r="P418" s="323">
        <f t="shared" si="456"/>
        <v>96.25</v>
      </c>
      <c r="Q418" s="323">
        <f t="shared" si="456"/>
        <v>96.25</v>
      </c>
      <c r="R418" s="323">
        <f t="shared" si="456"/>
        <v>96.25</v>
      </c>
      <c r="S418" s="323">
        <f t="shared" si="456"/>
        <v>96.25</v>
      </c>
      <c r="T418" s="180">
        <v>109.13</v>
      </c>
      <c r="U418" s="180">
        <v>109.13</v>
      </c>
      <c r="V418" s="180">
        <v>109.13</v>
      </c>
      <c r="W418" s="323">
        <f t="shared" si="456"/>
        <v>96.25</v>
      </c>
      <c r="Y418" s="390"/>
      <c r="Z418" s="390"/>
      <c r="AA418" s="390"/>
      <c r="AB418" s="390"/>
      <c r="AC418" s="390"/>
      <c r="AD418" s="390"/>
      <c r="AE418" s="390"/>
      <c r="AF418" s="390"/>
      <c r="AG418" s="390"/>
      <c r="AH418" s="390"/>
      <c r="AI418" s="390"/>
      <c r="AJ418" s="390"/>
      <c r="AK418" s="390"/>
      <c r="AL418" s="390"/>
      <c r="AM418" s="390"/>
      <c r="AN418" s="390"/>
      <c r="AO418" s="390"/>
      <c r="AP418" s="390"/>
      <c r="AQ418" s="390"/>
      <c r="AR418" s="390"/>
      <c r="AS418" s="390"/>
    </row>
    <row r="419" spans="2:45" x14ac:dyDescent="0.3">
      <c r="B419" s="54" t="s">
        <v>66</v>
      </c>
      <c r="C419" s="56">
        <v>7.0000000000000007E-2</v>
      </c>
      <c r="D419" s="24">
        <f t="shared" ref="D419:W419" si="457">D418*$C419</f>
        <v>6.7375000000000007</v>
      </c>
      <c r="E419" s="24">
        <f t="shared" si="457"/>
        <v>6.7375000000000007</v>
      </c>
      <c r="F419" s="24">
        <f t="shared" si="457"/>
        <v>6.7375000000000007</v>
      </c>
      <c r="G419" s="24">
        <f t="shared" si="457"/>
        <v>6.7375000000000007</v>
      </c>
      <c r="H419" s="24">
        <f t="shared" si="457"/>
        <v>6.7375000000000007</v>
      </c>
      <c r="I419" s="24">
        <f t="shared" si="457"/>
        <v>6.7375000000000007</v>
      </c>
      <c r="J419" s="24">
        <f t="shared" si="457"/>
        <v>6.7375000000000007</v>
      </c>
      <c r="K419" s="24">
        <f t="shared" si="457"/>
        <v>6.7375000000000007</v>
      </c>
      <c r="L419" s="24">
        <f t="shared" si="457"/>
        <v>6.7375000000000007</v>
      </c>
      <c r="M419" s="24">
        <f t="shared" si="457"/>
        <v>6.7375000000000007</v>
      </c>
      <c r="N419" s="24">
        <f t="shared" si="457"/>
        <v>6.7375000000000007</v>
      </c>
      <c r="O419" s="24">
        <f t="shared" si="457"/>
        <v>6.7375000000000007</v>
      </c>
      <c r="P419" s="24">
        <f t="shared" si="457"/>
        <v>6.7375000000000007</v>
      </c>
      <c r="Q419" s="24">
        <f t="shared" si="457"/>
        <v>6.7375000000000007</v>
      </c>
      <c r="R419" s="24">
        <f t="shared" si="457"/>
        <v>6.7375000000000007</v>
      </c>
      <c r="S419" s="24">
        <f t="shared" si="457"/>
        <v>6.7375000000000007</v>
      </c>
      <c r="T419" s="24">
        <f t="shared" si="457"/>
        <v>7.6391</v>
      </c>
      <c r="U419" s="24">
        <f t="shared" si="457"/>
        <v>7.6391</v>
      </c>
      <c r="V419" s="24">
        <f t="shared" si="457"/>
        <v>7.6391</v>
      </c>
      <c r="W419" s="24">
        <f t="shared" si="457"/>
        <v>6.7375000000000007</v>
      </c>
      <c r="Y419" s="390"/>
      <c r="Z419" s="390"/>
      <c r="AA419" s="390"/>
      <c r="AB419" s="390"/>
      <c r="AC419" s="390"/>
      <c r="AD419" s="390"/>
      <c r="AE419" s="390"/>
      <c r="AF419" s="390"/>
      <c r="AG419" s="390"/>
      <c r="AH419" s="390"/>
      <c r="AI419" s="390"/>
      <c r="AJ419" s="390"/>
      <c r="AK419" s="390"/>
      <c r="AL419" s="390"/>
      <c r="AM419" s="390"/>
      <c r="AN419" s="390"/>
      <c r="AO419" s="390"/>
      <c r="AP419" s="390"/>
      <c r="AQ419" s="390"/>
      <c r="AR419" s="390"/>
      <c r="AS419" s="390"/>
    </row>
    <row r="420" spans="2:45" x14ac:dyDescent="0.3">
      <c r="B420" s="54" t="s">
        <v>68</v>
      </c>
      <c r="C420" s="55"/>
      <c r="D420" s="21">
        <f t="shared" ref="D420:W420" si="458">D418+D419</f>
        <v>102.9875</v>
      </c>
      <c r="E420" s="21">
        <f t="shared" si="458"/>
        <v>102.9875</v>
      </c>
      <c r="F420" s="21">
        <f t="shared" si="458"/>
        <v>102.9875</v>
      </c>
      <c r="G420" s="21">
        <f t="shared" si="458"/>
        <v>102.9875</v>
      </c>
      <c r="H420" s="21">
        <f t="shared" si="458"/>
        <v>102.9875</v>
      </c>
      <c r="I420" s="21">
        <f t="shared" si="458"/>
        <v>102.9875</v>
      </c>
      <c r="J420" s="21">
        <f t="shared" si="458"/>
        <v>102.9875</v>
      </c>
      <c r="K420" s="21">
        <f t="shared" si="458"/>
        <v>102.9875</v>
      </c>
      <c r="L420" s="21">
        <f t="shared" si="458"/>
        <v>102.9875</v>
      </c>
      <c r="M420" s="21">
        <f t="shared" si="458"/>
        <v>102.9875</v>
      </c>
      <c r="N420" s="21">
        <f t="shared" si="458"/>
        <v>102.9875</v>
      </c>
      <c r="O420" s="21">
        <f t="shared" si="458"/>
        <v>102.9875</v>
      </c>
      <c r="P420" s="21">
        <f t="shared" si="458"/>
        <v>102.9875</v>
      </c>
      <c r="Q420" s="21">
        <f t="shared" si="458"/>
        <v>102.9875</v>
      </c>
      <c r="R420" s="21">
        <f t="shared" si="458"/>
        <v>102.9875</v>
      </c>
      <c r="S420" s="21">
        <f t="shared" si="458"/>
        <v>102.9875</v>
      </c>
      <c r="T420" s="21">
        <f t="shared" si="458"/>
        <v>116.76909999999999</v>
      </c>
      <c r="U420" s="21">
        <f t="shared" si="458"/>
        <v>116.76909999999999</v>
      </c>
      <c r="V420" s="21">
        <f t="shared" si="458"/>
        <v>116.76909999999999</v>
      </c>
      <c r="W420" s="21">
        <f t="shared" si="458"/>
        <v>102.9875</v>
      </c>
      <c r="Y420" s="390"/>
      <c r="Z420" s="390"/>
      <c r="AA420" s="390"/>
      <c r="AB420" s="390"/>
      <c r="AC420" s="390"/>
      <c r="AD420" s="390"/>
      <c r="AE420" s="390"/>
      <c r="AF420" s="390"/>
      <c r="AG420" s="390"/>
      <c r="AH420" s="390"/>
      <c r="AI420" s="390"/>
      <c r="AJ420" s="390"/>
      <c r="AK420" s="390"/>
      <c r="AL420" s="390"/>
      <c r="AM420" s="390"/>
      <c r="AN420" s="390"/>
      <c r="AO420" s="390"/>
      <c r="AP420" s="390"/>
      <c r="AQ420" s="390"/>
      <c r="AR420" s="390"/>
      <c r="AS420" s="390"/>
    </row>
    <row r="421" spans="2:45" x14ac:dyDescent="0.3">
      <c r="B421" s="54" t="s">
        <v>52</v>
      </c>
      <c r="C421" s="55"/>
      <c r="D421" s="398">
        <f>Y423</f>
        <v>6.9611111111111112</v>
      </c>
      <c r="E421" s="398">
        <f t="shared" ref="E421:W421" si="459">Z423</f>
        <v>15.812222222222223</v>
      </c>
      <c r="F421" s="398">
        <f t="shared" si="459"/>
        <v>18.975000000000001</v>
      </c>
      <c r="G421" s="398">
        <f t="shared" si="459"/>
        <v>12.65</v>
      </c>
      <c r="H421" s="398">
        <f t="shared" si="459"/>
        <v>6.7766666666666664</v>
      </c>
      <c r="I421" s="398">
        <f t="shared" si="459"/>
        <v>9.0355555555555558</v>
      </c>
      <c r="J421" s="398">
        <f t="shared" si="459"/>
        <v>14.005555555555556</v>
      </c>
      <c r="K421" s="398">
        <f t="shared" si="459"/>
        <v>11.475555555555555</v>
      </c>
      <c r="L421" s="398">
        <f t="shared" si="459"/>
        <v>13.553333333333333</v>
      </c>
      <c r="M421" s="398">
        <f t="shared" si="459"/>
        <v>6.5055555555555555</v>
      </c>
      <c r="N421" s="398">
        <f t="shared" si="459"/>
        <v>7.2288888888888891</v>
      </c>
      <c r="O421" s="398">
        <f t="shared" si="459"/>
        <v>16.989444444444445</v>
      </c>
      <c r="P421" s="398">
        <f t="shared" si="459"/>
        <v>6.5055555555555555</v>
      </c>
      <c r="Q421" s="398">
        <f t="shared" si="459"/>
        <v>6.5055555555555555</v>
      </c>
      <c r="R421" s="398">
        <f t="shared" si="459"/>
        <v>8.5838888888888896</v>
      </c>
      <c r="S421" s="398">
        <f t="shared" si="459"/>
        <v>8.1322222222222216</v>
      </c>
      <c r="T421" s="398">
        <f t="shared" si="459"/>
        <v>0</v>
      </c>
      <c r="U421" s="398">
        <f t="shared" si="459"/>
        <v>16.989444444444445</v>
      </c>
      <c r="V421" s="398">
        <f t="shared" si="459"/>
        <v>0</v>
      </c>
      <c r="W421" s="398">
        <f t="shared" si="459"/>
        <v>6.5055555555555555</v>
      </c>
      <c r="Y421" s="390">
        <v>12530</v>
      </c>
      <c r="Z421" s="390">
        <v>28462</v>
      </c>
      <c r="AA421" s="390">
        <v>34155</v>
      </c>
      <c r="AB421" s="390">
        <v>22770</v>
      </c>
      <c r="AC421" s="390">
        <v>12198</v>
      </c>
      <c r="AD421" s="390">
        <v>16264</v>
      </c>
      <c r="AE421" s="390">
        <v>25210</v>
      </c>
      <c r="AF421" s="390">
        <v>20656</v>
      </c>
      <c r="AG421" s="390">
        <v>24396</v>
      </c>
      <c r="AH421" s="390">
        <v>11710</v>
      </c>
      <c r="AI421" s="390">
        <v>13012</v>
      </c>
      <c r="AJ421" s="390">
        <v>30581</v>
      </c>
      <c r="AK421" s="396">
        <v>11710</v>
      </c>
      <c r="AL421" s="396">
        <v>11710</v>
      </c>
      <c r="AM421" s="390">
        <v>15451</v>
      </c>
      <c r="AN421" s="390">
        <v>14638</v>
      </c>
      <c r="AO421" s="390"/>
      <c r="AP421" s="396">
        <v>30581</v>
      </c>
      <c r="AQ421" s="390"/>
      <c r="AR421" s="396">
        <v>11710</v>
      </c>
      <c r="AS421" s="390"/>
    </row>
    <row r="422" spans="2:45" x14ac:dyDescent="0.3">
      <c r="B422" s="57" t="s">
        <v>53</v>
      </c>
      <c r="C422" s="58"/>
      <c r="D422" s="25">
        <f>SUM(D420:D421)</f>
        <v>109.94861111111111</v>
      </c>
      <c r="E422" s="26">
        <f t="shared" ref="E422:V422" si="460">SUM(E420:E421)</f>
        <v>118.79972222222221</v>
      </c>
      <c r="F422" s="26">
        <f t="shared" si="460"/>
        <v>121.96250000000001</v>
      </c>
      <c r="G422" s="26">
        <f t="shared" si="460"/>
        <v>115.6375</v>
      </c>
      <c r="H422" s="26">
        <f t="shared" si="460"/>
        <v>109.76416666666667</v>
      </c>
      <c r="I422" s="26">
        <f t="shared" si="460"/>
        <v>112.02305555555556</v>
      </c>
      <c r="J422" s="26">
        <f t="shared" si="460"/>
        <v>116.99305555555556</v>
      </c>
      <c r="K422" s="26">
        <f t="shared" si="460"/>
        <v>114.46305555555556</v>
      </c>
      <c r="L422" s="26">
        <f t="shared" si="460"/>
        <v>116.54083333333332</v>
      </c>
      <c r="M422" s="26">
        <f t="shared" si="460"/>
        <v>109.49305555555556</v>
      </c>
      <c r="N422" s="26">
        <f t="shared" si="460"/>
        <v>110.21638888888889</v>
      </c>
      <c r="O422" s="26">
        <f t="shared" si="460"/>
        <v>119.97694444444444</v>
      </c>
      <c r="P422" s="26">
        <f t="shared" si="460"/>
        <v>109.49305555555556</v>
      </c>
      <c r="Q422" s="26">
        <f t="shared" si="460"/>
        <v>109.49305555555556</v>
      </c>
      <c r="R422" s="26">
        <f t="shared" si="460"/>
        <v>111.57138888888889</v>
      </c>
      <c r="S422" s="26">
        <f t="shared" si="460"/>
        <v>111.11972222222222</v>
      </c>
      <c r="T422" s="26">
        <f t="shared" si="460"/>
        <v>116.76909999999999</v>
      </c>
      <c r="U422" s="26">
        <f t="shared" si="460"/>
        <v>133.75854444444445</v>
      </c>
      <c r="V422" s="26">
        <f t="shared" si="460"/>
        <v>116.76909999999999</v>
      </c>
      <c r="W422" s="26">
        <f>SUM(W420:W421)</f>
        <v>109.49305555555556</v>
      </c>
      <c r="Y422" s="390">
        <v>1800</v>
      </c>
      <c r="Z422" s="390">
        <v>1800</v>
      </c>
      <c r="AA422" s="390">
        <v>1800</v>
      </c>
      <c r="AB422" s="390">
        <v>1800</v>
      </c>
      <c r="AC422" s="390">
        <v>1800</v>
      </c>
      <c r="AD422" s="390">
        <v>1800</v>
      </c>
      <c r="AE422" s="390">
        <v>1800</v>
      </c>
      <c r="AF422" s="390">
        <v>1800</v>
      </c>
      <c r="AG422" s="390">
        <v>1800</v>
      </c>
      <c r="AH422" s="390">
        <v>1800</v>
      </c>
      <c r="AI422" s="390">
        <v>1800</v>
      </c>
      <c r="AJ422" s="390">
        <v>1800</v>
      </c>
      <c r="AK422" s="390">
        <v>1800</v>
      </c>
      <c r="AL422" s="390">
        <v>1800</v>
      </c>
      <c r="AM422" s="390">
        <v>1800</v>
      </c>
      <c r="AN422" s="390">
        <v>1800</v>
      </c>
      <c r="AO422" s="390"/>
      <c r="AP422" s="390">
        <v>1800</v>
      </c>
      <c r="AQ422" s="390"/>
      <c r="AR422" s="390">
        <v>1800</v>
      </c>
      <c r="AS422" s="390"/>
    </row>
    <row r="423" spans="2:45" x14ac:dyDescent="0.3">
      <c r="B423" s="54" t="s">
        <v>54</v>
      </c>
      <c r="C423" s="55"/>
      <c r="D423" s="20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Y423" s="389">
        <f>Y421/Y422</f>
        <v>6.9611111111111112</v>
      </c>
      <c r="Z423" s="389">
        <f t="shared" ref="Z423:AN423" si="461">Z421/Z422</f>
        <v>15.812222222222223</v>
      </c>
      <c r="AA423" s="389">
        <f t="shared" si="461"/>
        <v>18.975000000000001</v>
      </c>
      <c r="AB423" s="389">
        <f t="shared" si="461"/>
        <v>12.65</v>
      </c>
      <c r="AC423" s="389">
        <f t="shared" si="461"/>
        <v>6.7766666666666664</v>
      </c>
      <c r="AD423" s="389">
        <f t="shared" si="461"/>
        <v>9.0355555555555558</v>
      </c>
      <c r="AE423" s="389">
        <f t="shared" si="461"/>
        <v>14.005555555555556</v>
      </c>
      <c r="AF423" s="389">
        <f t="shared" si="461"/>
        <v>11.475555555555555</v>
      </c>
      <c r="AG423" s="389">
        <f t="shared" si="461"/>
        <v>13.553333333333333</v>
      </c>
      <c r="AH423" s="389">
        <f t="shared" si="461"/>
        <v>6.5055555555555555</v>
      </c>
      <c r="AI423" s="389">
        <f t="shared" si="461"/>
        <v>7.2288888888888891</v>
      </c>
      <c r="AJ423" s="389">
        <f t="shared" si="461"/>
        <v>16.989444444444445</v>
      </c>
      <c r="AK423" s="389">
        <f t="shared" si="461"/>
        <v>6.5055555555555555</v>
      </c>
      <c r="AL423" s="389">
        <f t="shared" si="461"/>
        <v>6.5055555555555555</v>
      </c>
      <c r="AM423" s="389">
        <f t="shared" si="461"/>
        <v>8.5838888888888896</v>
      </c>
      <c r="AN423" s="389">
        <f t="shared" si="461"/>
        <v>8.1322222222222216</v>
      </c>
      <c r="AO423" s="390"/>
      <c r="AP423" s="389">
        <f t="shared" ref="AP423" si="462">AP421/AP422</f>
        <v>16.989444444444445</v>
      </c>
      <c r="AQ423" s="390"/>
      <c r="AR423" s="389">
        <f t="shared" ref="AR423" si="463">AR421/AR422</f>
        <v>6.5055555555555555</v>
      </c>
      <c r="AS423" s="390"/>
    </row>
    <row r="424" spans="2:45" x14ac:dyDescent="0.3">
      <c r="B424" s="59" t="s">
        <v>55</v>
      </c>
      <c r="C424" s="60"/>
      <c r="D424" s="27">
        <f t="shared" ref="D424:W424" si="464">SUM(D422:D423)</f>
        <v>109.94861111111111</v>
      </c>
      <c r="E424" s="41">
        <f t="shared" si="464"/>
        <v>118.79972222222221</v>
      </c>
      <c r="F424" s="41">
        <f t="shared" si="464"/>
        <v>121.96250000000001</v>
      </c>
      <c r="G424" s="41">
        <f t="shared" si="464"/>
        <v>115.6375</v>
      </c>
      <c r="H424" s="41">
        <f t="shared" si="464"/>
        <v>109.76416666666667</v>
      </c>
      <c r="I424" s="41">
        <f t="shared" si="464"/>
        <v>112.02305555555556</v>
      </c>
      <c r="J424" s="41">
        <f t="shared" si="464"/>
        <v>116.99305555555556</v>
      </c>
      <c r="K424" s="41">
        <f t="shared" si="464"/>
        <v>114.46305555555556</v>
      </c>
      <c r="L424" s="41">
        <f t="shared" si="464"/>
        <v>116.54083333333332</v>
      </c>
      <c r="M424" s="41">
        <f t="shared" si="464"/>
        <v>109.49305555555556</v>
      </c>
      <c r="N424" s="41">
        <f t="shared" si="464"/>
        <v>110.21638888888889</v>
      </c>
      <c r="O424" s="41">
        <f t="shared" si="464"/>
        <v>119.97694444444444</v>
      </c>
      <c r="P424" s="41">
        <f t="shared" si="464"/>
        <v>109.49305555555556</v>
      </c>
      <c r="Q424" s="41">
        <f t="shared" si="464"/>
        <v>109.49305555555556</v>
      </c>
      <c r="R424" s="41">
        <f t="shared" si="464"/>
        <v>111.57138888888889</v>
      </c>
      <c r="S424" s="41">
        <f t="shared" si="464"/>
        <v>111.11972222222222</v>
      </c>
      <c r="T424" s="41">
        <f t="shared" si="464"/>
        <v>116.76909999999999</v>
      </c>
      <c r="U424" s="41">
        <f t="shared" si="464"/>
        <v>133.75854444444445</v>
      </c>
      <c r="V424" s="41">
        <f t="shared" si="464"/>
        <v>116.76909999999999</v>
      </c>
      <c r="W424" s="41">
        <f t="shared" si="464"/>
        <v>109.49305555555556</v>
      </c>
      <c r="Y424" s="390"/>
      <c r="Z424" s="390"/>
      <c r="AA424" s="390"/>
      <c r="AB424" s="390"/>
      <c r="AC424" s="390"/>
      <c r="AD424" s="390"/>
      <c r="AE424" s="390"/>
      <c r="AF424" s="390"/>
      <c r="AG424" s="390"/>
      <c r="AH424" s="390"/>
      <c r="AI424" s="390"/>
      <c r="AJ424" s="390"/>
      <c r="AK424" s="390"/>
      <c r="AL424" s="390"/>
      <c r="AM424" s="390"/>
      <c r="AN424" s="390"/>
      <c r="AO424" s="390"/>
      <c r="AP424" s="390"/>
      <c r="AQ424" s="390"/>
      <c r="AR424" s="390"/>
      <c r="AS424" s="390"/>
    </row>
    <row r="425" spans="2:45" x14ac:dyDescent="0.3">
      <c r="B425" s="61" t="s">
        <v>101</v>
      </c>
      <c r="C425" s="55"/>
      <c r="D425" s="43">
        <v>0</v>
      </c>
      <c r="E425" s="408">
        <v>0</v>
      </c>
      <c r="F425" s="408">
        <v>0</v>
      </c>
      <c r="G425" s="408">
        <v>0</v>
      </c>
      <c r="H425" s="408">
        <v>0</v>
      </c>
      <c r="I425" s="408">
        <v>0</v>
      </c>
      <c r="J425" s="408">
        <v>0</v>
      </c>
      <c r="K425" s="408">
        <v>0</v>
      </c>
      <c r="L425" s="408">
        <v>0</v>
      </c>
      <c r="M425" s="408">
        <v>0</v>
      </c>
      <c r="N425" s="408">
        <v>0</v>
      </c>
      <c r="O425" s="408">
        <v>0</v>
      </c>
      <c r="P425" s="408">
        <v>0</v>
      </c>
      <c r="Q425" s="408">
        <v>0</v>
      </c>
      <c r="R425" s="408">
        <v>0</v>
      </c>
      <c r="S425" s="408">
        <v>0</v>
      </c>
      <c r="T425" s="408">
        <v>0</v>
      </c>
      <c r="U425" s="408">
        <v>0</v>
      </c>
      <c r="V425" s="408">
        <v>0</v>
      </c>
      <c r="W425" s="408">
        <v>0</v>
      </c>
      <c r="Y425" s="409"/>
      <c r="Z425" s="409"/>
      <c r="AA425" s="409"/>
      <c r="AB425" s="409"/>
      <c r="AC425" s="409"/>
      <c r="AD425" s="409"/>
      <c r="AE425" s="409"/>
      <c r="AF425" s="409"/>
      <c r="AG425" s="409"/>
      <c r="AH425" s="409"/>
      <c r="AI425" s="409"/>
      <c r="AJ425" s="409"/>
      <c r="AK425" s="409"/>
      <c r="AL425" s="409"/>
      <c r="AM425" s="409"/>
      <c r="AN425" s="409"/>
      <c r="AO425" s="409"/>
      <c r="AP425" s="409"/>
      <c r="AQ425" s="409"/>
      <c r="AR425" s="409"/>
      <c r="AS425" s="409"/>
    </row>
    <row r="426" spans="2:45" x14ac:dyDescent="0.3">
      <c r="B426" s="171" t="s">
        <v>194</v>
      </c>
      <c r="C426" s="55"/>
      <c r="D426" s="20">
        <v>116</v>
      </c>
      <c r="E426" s="21">
        <v>125</v>
      </c>
      <c r="F426" s="21">
        <v>128</v>
      </c>
      <c r="G426" s="21">
        <v>122</v>
      </c>
      <c r="H426" s="21">
        <v>116</v>
      </c>
      <c r="I426" s="21">
        <v>119</v>
      </c>
      <c r="J426" s="21">
        <v>123</v>
      </c>
      <c r="K426" s="21">
        <v>121</v>
      </c>
      <c r="L426" s="21">
        <v>123</v>
      </c>
      <c r="M426" s="21">
        <v>116</v>
      </c>
      <c r="N426" s="21">
        <v>117</v>
      </c>
      <c r="O426" s="21">
        <v>126</v>
      </c>
      <c r="P426" s="21">
        <v>116</v>
      </c>
      <c r="Q426" s="21">
        <v>116</v>
      </c>
      <c r="R426" s="21">
        <v>118</v>
      </c>
      <c r="S426" s="21">
        <v>118</v>
      </c>
      <c r="T426" s="21">
        <v>123</v>
      </c>
      <c r="U426" s="21">
        <v>140</v>
      </c>
      <c r="V426" s="21">
        <v>123</v>
      </c>
      <c r="W426" s="21">
        <v>116</v>
      </c>
      <c r="Y426" s="390"/>
      <c r="Z426" s="390"/>
      <c r="AA426" s="390"/>
      <c r="AB426" s="390"/>
      <c r="AC426" s="390"/>
      <c r="AD426" s="390"/>
      <c r="AE426" s="390"/>
      <c r="AF426" s="390"/>
      <c r="AG426" s="390"/>
      <c r="AH426" s="390"/>
      <c r="AI426" s="390"/>
      <c r="AJ426" s="390"/>
      <c r="AK426" s="390"/>
      <c r="AL426" s="390"/>
      <c r="AM426" s="390"/>
      <c r="AN426" s="390"/>
      <c r="AO426" s="390"/>
      <c r="AP426" s="390"/>
      <c r="AQ426" s="390"/>
      <c r="AR426" s="390"/>
      <c r="AS426" s="390"/>
    </row>
    <row r="427" spans="2:45" x14ac:dyDescent="0.3">
      <c r="B427" s="61" t="s">
        <v>195</v>
      </c>
      <c r="C427" s="55"/>
      <c r="D427" s="106">
        <v>118</v>
      </c>
      <c r="E427" s="21">
        <v>127</v>
      </c>
      <c r="F427" s="21">
        <v>130</v>
      </c>
      <c r="G427" s="21">
        <v>124</v>
      </c>
      <c r="H427" s="21">
        <v>118</v>
      </c>
      <c r="I427" s="21">
        <v>121</v>
      </c>
      <c r="J427" s="21">
        <v>125</v>
      </c>
      <c r="K427" s="21">
        <v>123</v>
      </c>
      <c r="L427" s="21">
        <v>125</v>
      </c>
      <c r="M427" s="21">
        <v>118</v>
      </c>
      <c r="N427" s="21">
        <v>119</v>
      </c>
      <c r="O427" s="21">
        <v>128</v>
      </c>
      <c r="P427" s="21">
        <v>118</v>
      </c>
      <c r="Q427" s="21">
        <v>118</v>
      </c>
      <c r="R427" s="21">
        <v>120</v>
      </c>
      <c r="S427" s="21">
        <v>120</v>
      </c>
      <c r="T427" s="21">
        <v>125</v>
      </c>
      <c r="U427" s="21">
        <v>142</v>
      </c>
      <c r="V427" s="21">
        <v>125</v>
      </c>
      <c r="W427" s="21">
        <v>118</v>
      </c>
      <c r="Y427" s="390"/>
      <c r="Z427" s="390"/>
      <c r="AA427" s="390"/>
      <c r="AB427" s="390"/>
      <c r="AC427" s="390"/>
      <c r="AD427" s="390"/>
      <c r="AE427" s="390"/>
      <c r="AF427" s="390"/>
      <c r="AG427" s="390"/>
      <c r="AH427" s="390"/>
      <c r="AI427" s="390"/>
      <c r="AJ427" s="390"/>
      <c r="AK427" s="390"/>
      <c r="AL427" s="390"/>
      <c r="AM427" s="390"/>
      <c r="AN427" s="390"/>
      <c r="AO427" s="390"/>
      <c r="AP427" s="390"/>
      <c r="AQ427" s="390"/>
      <c r="AR427" s="390"/>
      <c r="AS427" s="390"/>
    </row>
    <row r="428" spans="2:45" s="30" customFormat="1" x14ac:dyDescent="0.3">
      <c r="B428" s="61" t="s">
        <v>196</v>
      </c>
      <c r="C428" s="62"/>
      <c r="D428" s="28">
        <v>120</v>
      </c>
      <c r="E428" s="28">
        <v>129</v>
      </c>
      <c r="F428" s="28">
        <v>132</v>
      </c>
      <c r="G428" s="28">
        <v>126</v>
      </c>
      <c r="H428" s="28">
        <v>120</v>
      </c>
      <c r="I428" s="28">
        <v>123</v>
      </c>
      <c r="J428" s="28">
        <v>127</v>
      </c>
      <c r="K428" s="28">
        <v>125</v>
      </c>
      <c r="L428" s="28">
        <v>127</v>
      </c>
      <c r="M428" s="28">
        <v>120</v>
      </c>
      <c r="N428" s="28">
        <v>121</v>
      </c>
      <c r="O428" s="28">
        <v>130</v>
      </c>
      <c r="P428" s="28">
        <v>120</v>
      </c>
      <c r="Q428" s="28">
        <v>120</v>
      </c>
      <c r="R428" s="28">
        <v>122</v>
      </c>
      <c r="S428" s="28">
        <v>122</v>
      </c>
      <c r="T428" s="28">
        <v>127</v>
      </c>
      <c r="U428" s="28">
        <v>144</v>
      </c>
      <c r="V428" s="28">
        <v>127</v>
      </c>
      <c r="W428" s="28">
        <v>120</v>
      </c>
      <c r="Y428" s="391"/>
      <c r="Z428" s="391"/>
      <c r="AA428" s="391"/>
      <c r="AB428" s="391"/>
      <c r="AC428" s="391"/>
      <c r="AD428" s="391"/>
      <c r="AE428" s="391"/>
      <c r="AF428" s="391"/>
      <c r="AG428" s="391"/>
      <c r="AH428" s="391"/>
      <c r="AI428" s="391"/>
      <c r="AJ428" s="391"/>
      <c r="AK428" s="391"/>
      <c r="AL428" s="391"/>
      <c r="AM428" s="391"/>
      <c r="AN428" s="391"/>
      <c r="AO428" s="391"/>
      <c r="AP428" s="391"/>
      <c r="AQ428" s="391"/>
      <c r="AR428" s="391"/>
      <c r="AS428" s="391"/>
    </row>
    <row r="429" spans="2:45" s="30" customFormat="1" x14ac:dyDescent="0.3">
      <c r="B429" s="61" t="s">
        <v>197</v>
      </c>
      <c r="C429" s="62"/>
      <c r="D429" s="28">
        <v>122</v>
      </c>
      <c r="E429" s="28">
        <v>131</v>
      </c>
      <c r="F429" s="28">
        <v>134</v>
      </c>
      <c r="G429" s="28">
        <v>128</v>
      </c>
      <c r="H429" s="28">
        <v>122</v>
      </c>
      <c r="I429" s="28">
        <v>125</v>
      </c>
      <c r="J429" s="28">
        <v>129</v>
      </c>
      <c r="K429" s="28">
        <v>127</v>
      </c>
      <c r="L429" s="28">
        <v>129</v>
      </c>
      <c r="M429" s="28">
        <v>122</v>
      </c>
      <c r="N429" s="28">
        <v>123</v>
      </c>
      <c r="O429" s="28">
        <v>132</v>
      </c>
      <c r="P429" s="28">
        <v>122</v>
      </c>
      <c r="Q429" s="28">
        <v>122</v>
      </c>
      <c r="R429" s="28">
        <v>124</v>
      </c>
      <c r="S429" s="28">
        <v>124</v>
      </c>
      <c r="T429" s="28">
        <v>129</v>
      </c>
      <c r="U429" s="28">
        <v>146</v>
      </c>
      <c r="V429" s="28">
        <v>129</v>
      </c>
      <c r="W429" s="28">
        <v>122</v>
      </c>
      <c r="Y429" s="391"/>
      <c r="Z429" s="391"/>
      <c r="AA429" s="391"/>
      <c r="AB429" s="391"/>
      <c r="AC429" s="391"/>
      <c r="AD429" s="391"/>
      <c r="AE429" s="391"/>
      <c r="AF429" s="391"/>
      <c r="AG429" s="391"/>
      <c r="AH429" s="391"/>
      <c r="AI429" s="391"/>
      <c r="AJ429" s="391"/>
      <c r="AK429" s="391"/>
      <c r="AL429" s="391"/>
      <c r="AM429" s="391"/>
      <c r="AN429" s="391"/>
      <c r="AO429" s="391"/>
      <c r="AP429" s="391"/>
      <c r="AQ429" s="391"/>
      <c r="AR429" s="391"/>
      <c r="AS429" s="391"/>
    </row>
    <row r="430" spans="2:45" x14ac:dyDescent="0.3">
      <c r="B430" s="63" t="s">
        <v>103</v>
      </c>
      <c r="C430" s="55"/>
      <c r="D430" s="43">
        <v>0</v>
      </c>
      <c r="E430" s="408">
        <v>0</v>
      </c>
      <c r="F430" s="408">
        <v>0</v>
      </c>
      <c r="G430" s="408">
        <v>0</v>
      </c>
      <c r="H430" s="408">
        <v>0</v>
      </c>
      <c r="I430" s="408">
        <v>0</v>
      </c>
      <c r="J430" s="408">
        <v>0</v>
      </c>
      <c r="K430" s="408">
        <v>0</v>
      </c>
      <c r="L430" s="408">
        <v>0</v>
      </c>
      <c r="M430" s="408">
        <v>0</v>
      </c>
      <c r="N430" s="408">
        <v>0</v>
      </c>
      <c r="O430" s="408">
        <v>0</v>
      </c>
      <c r="P430" s="408">
        <v>0</v>
      </c>
      <c r="Q430" s="408">
        <v>0</v>
      </c>
      <c r="R430" s="408">
        <v>0</v>
      </c>
      <c r="S430" s="408">
        <v>0</v>
      </c>
      <c r="T430" s="408">
        <v>0</v>
      </c>
      <c r="U430" s="408">
        <v>0</v>
      </c>
      <c r="V430" s="408">
        <v>0</v>
      </c>
      <c r="W430" s="408">
        <v>0</v>
      </c>
      <c r="Y430" s="409"/>
      <c r="Z430" s="409"/>
      <c r="AA430" s="409"/>
      <c r="AB430" s="409"/>
      <c r="AC430" s="409"/>
      <c r="AD430" s="409"/>
      <c r="AE430" s="409"/>
      <c r="AF430" s="409"/>
      <c r="AG430" s="409"/>
      <c r="AH430" s="409"/>
      <c r="AI430" s="409"/>
      <c r="AJ430" s="409"/>
      <c r="AK430" s="409"/>
      <c r="AL430" s="409"/>
      <c r="AM430" s="409"/>
      <c r="AN430" s="409"/>
      <c r="AO430" s="409"/>
      <c r="AP430" s="409"/>
      <c r="AQ430" s="409"/>
      <c r="AR430" s="409"/>
      <c r="AS430" s="409"/>
    </row>
    <row r="431" spans="2:45" s="33" customFormat="1" x14ac:dyDescent="0.3">
      <c r="B431" s="63" t="s">
        <v>198</v>
      </c>
      <c r="C431" s="64"/>
      <c r="D431" s="31">
        <f t="shared" ref="D431:W431" si="465">+D426-D$424</f>
        <v>6.0513888888888943</v>
      </c>
      <c r="E431" s="31">
        <f t="shared" si="465"/>
        <v>6.2002777777777851</v>
      </c>
      <c r="F431" s="31">
        <f t="shared" si="465"/>
        <v>6.0374999999999943</v>
      </c>
      <c r="G431" s="31">
        <f t="shared" si="465"/>
        <v>6.3624999999999972</v>
      </c>
      <c r="H431" s="31">
        <f t="shared" si="465"/>
        <v>6.235833333333332</v>
      </c>
      <c r="I431" s="31">
        <f t="shared" si="465"/>
        <v>6.9769444444444417</v>
      </c>
      <c r="J431" s="31">
        <f t="shared" si="465"/>
        <v>6.0069444444444429</v>
      </c>
      <c r="K431" s="31">
        <f t="shared" si="465"/>
        <v>6.536944444444444</v>
      </c>
      <c r="L431" s="31">
        <f t="shared" si="465"/>
        <v>6.4591666666666754</v>
      </c>
      <c r="M431" s="31">
        <f t="shared" si="465"/>
        <v>6.5069444444444429</v>
      </c>
      <c r="N431" s="31">
        <f t="shared" si="465"/>
        <v>6.7836111111111137</v>
      </c>
      <c r="O431" s="31">
        <f t="shared" si="465"/>
        <v>6.0230555555555583</v>
      </c>
      <c r="P431" s="31">
        <f t="shared" si="465"/>
        <v>6.5069444444444429</v>
      </c>
      <c r="Q431" s="31">
        <f t="shared" si="465"/>
        <v>6.5069444444444429</v>
      </c>
      <c r="R431" s="31">
        <f t="shared" si="465"/>
        <v>6.4286111111111097</v>
      </c>
      <c r="S431" s="31">
        <f t="shared" si="465"/>
        <v>6.8802777777777777</v>
      </c>
      <c r="T431" s="31">
        <f t="shared" si="465"/>
        <v>6.2309000000000054</v>
      </c>
      <c r="U431" s="31">
        <f t="shared" si="465"/>
        <v>6.2414555555555467</v>
      </c>
      <c r="V431" s="31">
        <f t="shared" si="465"/>
        <v>6.2309000000000054</v>
      </c>
      <c r="W431" s="31">
        <f t="shared" si="465"/>
        <v>6.5069444444444429</v>
      </c>
      <c r="Y431" s="392"/>
      <c r="Z431" s="392"/>
      <c r="AA431" s="392"/>
      <c r="AB431" s="392"/>
      <c r="AC431" s="392"/>
      <c r="AD431" s="392"/>
      <c r="AE431" s="392"/>
      <c r="AF431" s="392"/>
      <c r="AG431" s="392"/>
      <c r="AH431" s="392"/>
      <c r="AI431" s="392"/>
      <c r="AJ431" s="392"/>
      <c r="AK431" s="392"/>
      <c r="AL431" s="392"/>
      <c r="AM431" s="392"/>
      <c r="AN431" s="392"/>
      <c r="AO431" s="392"/>
      <c r="AP431" s="392"/>
      <c r="AQ431" s="392"/>
      <c r="AR431" s="392"/>
      <c r="AS431" s="392"/>
    </row>
    <row r="432" spans="2:45" s="33" customFormat="1" x14ac:dyDescent="0.3">
      <c r="B432" s="63" t="s">
        <v>199</v>
      </c>
      <c r="C432" s="64"/>
      <c r="D432" s="31">
        <f t="shared" ref="D432:W432" si="466">+D427-D$424</f>
        <v>8.0513888888888943</v>
      </c>
      <c r="E432" s="31">
        <f t="shared" si="466"/>
        <v>8.2002777777777851</v>
      </c>
      <c r="F432" s="31">
        <f t="shared" si="466"/>
        <v>8.0374999999999943</v>
      </c>
      <c r="G432" s="31">
        <f t="shared" si="466"/>
        <v>8.3624999999999972</v>
      </c>
      <c r="H432" s="31">
        <f t="shared" si="466"/>
        <v>8.235833333333332</v>
      </c>
      <c r="I432" s="31">
        <f t="shared" si="466"/>
        <v>8.9769444444444417</v>
      </c>
      <c r="J432" s="31">
        <f t="shared" si="466"/>
        <v>8.0069444444444429</v>
      </c>
      <c r="K432" s="31">
        <f t="shared" si="466"/>
        <v>8.536944444444444</v>
      </c>
      <c r="L432" s="31">
        <f t="shared" si="466"/>
        <v>8.4591666666666754</v>
      </c>
      <c r="M432" s="31">
        <f t="shared" si="466"/>
        <v>8.5069444444444429</v>
      </c>
      <c r="N432" s="31">
        <f t="shared" si="466"/>
        <v>8.7836111111111137</v>
      </c>
      <c r="O432" s="31">
        <f t="shared" si="466"/>
        <v>8.0230555555555583</v>
      </c>
      <c r="P432" s="31">
        <f t="shared" si="466"/>
        <v>8.5069444444444429</v>
      </c>
      <c r="Q432" s="31">
        <f t="shared" si="466"/>
        <v>8.5069444444444429</v>
      </c>
      <c r="R432" s="31">
        <f t="shared" si="466"/>
        <v>8.4286111111111097</v>
      </c>
      <c r="S432" s="31">
        <f t="shared" si="466"/>
        <v>8.8802777777777777</v>
      </c>
      <c r="T432" s="31">
        <f t="shared" si="466"/>
        <v>8.2309000000000054</v>
      </c>
      <c r="U432" s="31">
        <f t="shared" si="466"/>
        <v>8.2414555555555467</v>
      </c>
      <c r="V432" s="31">
        <f t="shared" si="466"/>
        <v>8.2309000000000054</v>
      </c>
      <c r="W432" s="31">
        <f t="shared" si="466"/>
        <v>8.5069444444444429</v>
      </c>
      <c r="Y432" s="392"/>
      <c r="Z432" s="392"/>
      <c r="AA432" s="392"/>
      <c r="AB432" s="392"/>
      <c r="AC432" s="392"/>
      <c r="AD432" s="392"/>
      <c r="AE432" s="392"/>
      <c r="AF432" s="392"/>
      <c r="AG432" s="392"/>
      <c r="AH432" s="392"/>
      <c r="AI432" s="392"/>
      <c r="AJ432" s="392"/>
      <c r="AK432" s="392"/>
      <c r="AL432" s="392"/>
      <c r="AM432" s="392"/>
      <c r="AN432" s="392"/>
      <c r="AO432" s="392"/>
      <c r="AP432" s="392"/>
      <c r="AQ432" s="392"/>
      <c r="AR432" s="392"/>
      <c r="AS432" s="392"/>
    </row>
    <row r="433" spans="1:45" s="33" customFormat="1" x14ac:dyDescent="0.3">
      <c r="B433" s="63" t="s">
        <v>200</v>
      </c>
      <c r="C433" s="64"/>
      <c r="D433" s="31">
        <f t="shared" ref="D433:W433" si="467">+D428-D$424</f>
        <v>10.051388888888894</v>
      </c>
      <c r="E433" s="31">
        <f t="shared" si="467"/>
        <v>10.200277777777785</v>
      </c>
      <c r="F433" s="31">
        <f t="shared" si="467"/>
        <v>10.037499999999994</v>
      </c>
      <c r="G433" s="31">
        <f t="shared" si="467"/>
        <v>10.362499999999997</v>
      </c>
      <c r="H433" s="31">
        <f t="shared" si="467"/>
        <v>10.235833333333332</v>
      </c>
      <c r="I433" s="31">
        <f t="shared" si="467"/>
        <v>10.976944444444442</v>
      </c>
      <c r="J433" s="31">
        <f t="shared" si="467"/>
        <v>10.006944444444443</v>
      </c>
      <c r="K433" s="31">
        <f t="shared" si="467"/>
        <v>10.536944444444444</v>
      </c>
      <c r="L433" s="31">
        <f t="shared" si="467"/>
        <v>10.459166666666675</v>
      </c>
      <c r="M433" s="31">
        <f t="shared" si="467"/>
        <v>10.506944444444443</v>
      </c>
      <c r="N433" s="31">
        <f t="shared" si="467"/>
        <v>10.783611111111114</v>
      </c>
      <c r="O433" s="31">
        <f t="shared" si="467"/>
        <v>10.023055555555558</v>
      </c>
      <c r="P433" s="31">
        <f t="shared" si="467"/>
        <v>10.506944444444443</v>
      </c>
      <c r="Q433" s="31">
        <f t="shared" si="467"/>
        <v>10.506944444444443</v>
      </c>
      <c r="R433" s="31">
        <f t="shared" si="467"/>
        <v>10.42861111111111</v>
      </c>
      <c r="S433" s="31">
        <f t="shared" si="467"/>
        <v>10.880277777777778</v>
      </c>
      <c r="T433" s="31">
        <f t="shared" si="467"/>
        <v>10.230900000000005</v>
      </c>
      <c r="U433" s="31">
        <f t="shared" si="467"/>
        <v>10.241455555555547</v>
      </c>
      <c r="V433" s="31">
        <f t="shared" si="467"/>
        <v>10.230900000000005</v>
      </c>
      <c r="W433" s="31">
        <f t="shared" si="467"/>
        <v>10.506944444444443</v>
      </c>
      <c r="Y433" s="392"/>
      <c r="Z433" s="392"/>
      <c r="AA433" s="392"/>
      <c r="AB433" s="392"/>
      <c r="AC433" s="392"/>
      <c r="AD433" s="392"/>
      <c r="AE433" s="392"/>
      <c r="AF433" s="392"/>
      <c r="AG433" s="392"/>
      <c r="AH433" s="392"/>
      <c r="AI433" s="392"/>
      <c r="AJ433" s="392"/>
      <c r="AK433" s="392"/>
      <c r="AL433" s="392"/>
      <c r="AM433" s="392"/>
      <c r="AN433" s="392"/>
      <c r="AO433" s="392"/>
      <c r="AP433" s="392"/>
      <c r="AQ433" s="392"/>
      <c r="AR433" s="392"/>
      <c r="AS433" s="392"/>
    </row>
    <row r="434" spans="1:45" s="33" customFormat="1" x14ac:dyDescent="0.3">
      <c r="B434" s="63" t="s">
        <v>201</v>
      </c>
      <c r="C434" s="64"/>
      <c r="D434" s="31">
        <f t="shared" ref="D434:W434" si="468">+D429-D$424</f>
        <v>12.051388888888894</v>
      </c>
      <c r="E434" s="31">
        <f t="shared" si="468"/>
        <v>12.200277777777785</v>
      </c>
      <c r="F434" s="31">
        <f t="shared" si="468"/>
        <v>12.037499999999994</v>
      </c>
      <c r="G434" s="31">
        <f t="shared" si="468"/>
        <v>12.362499999999997</v>
      </c>
      <c r="H434" s="31">
        <f t="shared" si="468"/>
        <v>12.235833333333332</v>
      </c>
      <c r="I434" s="31">
        <f t="shared" si="468"/>
        <v>12.976944444444442</v>
      </c>
      <c r="J434" s="31">
        <f t="shared" si="468"/>
        <v>12.006944444444443</v>
      </c>
      <c r="K434" s="31">
        <f t="shared" si="468"/>
        <v>12.536944444444444</v>
      </c>
      <c r="L434" s="31">
        <f t="shared" si="468"/>
        <v>12.459166666666675</v>
      </c>
      <c r="M434" s="31">
        <f t="shared" si="468"/>
        <v>12.506944444444443</v>
      </c>
      <c r="N434" s="31">
        <f t="shared" si="468"/>
        <v>12.783611111111114</v>
      </c>
      <c r="O434" s="31">
        <f t="shared" si="468"/>
        <v>12.023055555555558</v>
      </c>
      <c r="P434" s="31">
        <f t="shared" si="468"/>
        <v>12.506944444444443</v>
      </c>
      <c r="Q434" s="31">
        <f t="shared" si="468"/>
        <v>12.506944444444443</v>
      </c>
      <c r="R434" s="31">
        <f t="shared" si="468"/>
        <v>12.42861111111111</v>
      </c>
      <c r="S434" s="31">
        <f t="shared" si="468"/>
        <v>12.880277777777778</v>
      </c>
      <c r="T434" s="31">
        <f t="shared" si="468"/>
        <v>12.230900000000005</v>
      </c>
      <c r="U434" s="31">
        <f t="shared" si="468"/>
        <v>12.241455555555547</v>
      </c>
      <c r="V434" s="31">
        <f t="shared" si="468"/>
        <v>12.230900000000005</v>
      </c>
      <c r="W434" s="31">
        <f t="shared" si="468"/>
        <v>12.506944444444443</v>
      </c>
      <c r="Y434" s="392"/>
      <c r="Z434" s="392"/>
      <c r="AA434" s="392"/>
      <c r="AB434" s="392"/>
      <c r="AC434" s="392"/>
      <c r="AD434" s="392"/>
      <c r="AE434" s="392"/>
      <c r="AF434" s="392"/>
      <c r="AG434" s="392"/>
      <c r="AH434" s="392"/>
      <c r="AI434" s="392"/>
      <c r="AJ434" s="392"/>
      <c r="AK434" s="392"/>
      <c r="AL434" s="392"/>
      <c r="AM434" s="392"/>
      <c r="AN434" s="392"/>
      <c r="AO434" s="392"/>
      <c r="AP434" s="392"/>
      <c r="AQ434" s="392"/>
      <c r="AR434" s="392"/>
      <c r="AS434" s="392"/>
    </row>
    <row r="435" spans="1:45" x14ac:dyDescent="0.3">
      <c r="B435" s="65" t="s">
        <v>108</v>
      </c>
      <c r="C435" s="55"/>
      <c r="D435" s="43">
        <v>0</v>
      </c>
      <c r="E435" s="408">
        <v>0</v>
      </c>
      <c r="F435" s="408">
        <v>0</v>
      </c>
      <c r="G435" s="408">
        <v>0</v>
      </c>
      <c r="H435" s="408">
        <v>0</v>
      </c>
      <c r="I435" s="408">
        <v>0</v>
      </c>
      <c r="J435" s="408">
        <v>0</v>
      </c>
      <c r="K435" s="408">
        <v>0</v>
      </c>
      <c r="L435" s="408">
        <v>0</v>
      </c>
      <c r="M435" s="408">
        <v>0</v>
      </c>
      <c r="N435" s="408">
        <v>0</v>
      </c>
      <c r="O435" s="408">
        <v>0</v>
      </c>
      <c r="P435" s="408">
        <v>0</v>
      </c>
      <c r="Q435" s="408">
        <v>0</v>
      </c>
      <c r="R435" s="408">
        <v>0</v>
      </c>
      <c r="S435" s="408">
        <v>0</v>
      </c>
      <c r="T435" s="408">
        <v>0</v>
      </c>
      <c r="U435" s="408">
        <v>0</v>
      </c>
      <c r="V435" s="408">
        <v>0</v>
      </c>
      <c r="W435" s="408">
        <v>0</v>
      </c>
      <c r="Y435" s="409"/>
      <c r="Z435" s="409"/>
      <c r="AA435" s="409"/>
      <c r="AB435" s="409"/>
      <c r="AC435" s="409"/>
      <c r="AD435" s="409"/>
      <c r="AE435" s="409"/>
      <c r="AF435" s="409"/>
      <c r="AG435" s="409"/>
      <c r="AH435" s="409"/>
      <c r="AI435" s="409"/>
      <c r="AJ435" s="409"/>
      <c r="AK435" s="409"/>
      <c r="AL435" s="409"/>
      <c r="AM435" s="409"/>
      <c r="AN435" s="409"/>
      <c r="AO435" s="409"/>
      <c r="AP435" s="409"/>
      <c r="AQ435" s="409"/>
      <c r="AR435" s="409"/>
      <c r="AS435" s="409"/>
    </row>
    <row r="436" spans="1:45" s="36" customFormat="1" x14ac:dyDescent="0.3">
      <c r="B436" s="65" t="s">
        <v>202</v>
      </c>
      <c r="C436" s="66"/>
      <c r="D436" s="35">
        <f>+D431/D$426</f>
        <v>5.2167145593869778E-2</v>
      </c>
      <c r="E436" s="35">
        <f t="shared" ref="E436:W436" si="469">+E431/E$426</f>
        <v>4.9602222222222284E-2</v>
      </c>
      <c r="F436" s="35">
        <f t="shared" si="469"/>
        <v>4.7167968749999956E-2</v>
      </c>
      <c r="G436" s="35">
        <f t="shared" si="469"/>
        <v>5.2151639344262271E-2</v>
      </c>
      <c r="H436" s="35">
        <f t="shared" si="469"/>
        <v>5.3757183908045965E-2</v>
      </c>
      <c r="I436" s="35">
        <f t="shared" si="469"/>
        <v>5.8629785247432287E-2</v>
      </c>
      <c r="J436" s="35">
        <f t="shared" si="469"/>
        <v>4.8836946702800352E-2</v>
      </c>
      <c r="K436" s="35">
        <f t="shared" si="469"/>
        <v>5.4024334251606979E-2</v>
      </c>
      <c r="L436" s="35">
        <f t="shared" si="469"/>
        <v>5.2513550135501429E-2</v>
      </c>
      <c r="M436" s="35">
        <f t="shared" si="469"/>
        <v>5.6094348659003819E-2</v>
      </c>
      <c r="N436" s="35">
        <f t="shared" si="469"/>
        <v>5.7979582146248834E-2</v>
      </c>
      <c r="O436" s="35">
        <f t="shared" si="469"/>
        <v>4.7802028218694906E-2</v>
      </c>
      <c r="P436" s="35">
        <f t="shared" si="469"/>
        <v>5.6094348659003819E-2</v>
      </c>
      <c r="Q436" s="35">
        <f t="shared" si="469"/>
        <v>5.6094348659003819E-2</v>
      </c>
      <c r="R436" s="35">
        <f t="shared" si="469"/>
        <v>5.4479755178907713E-2</v>
      </c>
      <c r="S436" s="35">
        <f t="shared" si="469"/>
        <v>5.8307438794726933E-2</v>
      </c>
      <c r="T436" s="35">
        <f t="shared" si="469"/>
        <v>5.0657723577235816E-2</v>
      </c>
      <c r="U436" s="35">
        <f t="shared" si="469"/>
        <v>4.4581825396825335E-2</v>
      </c>
      <c r="V436" s="35">
        <f t="shared" si="469"/>
        <v>5.0657723577235816E-2</v>
      </c>
      <c r="W436" s="35">
        <f t="shared" si="469"/>
        <v>5.6094348659003819E-2</v>
      </c>
      <c r="Y436" s="393"/>
      <c r="Z436" s="393"/>
      <c r="AA436" s="393"/>
      <c r="AB436" s="393"/>
      <c r="AC436" s="393"/>
      <c r="AD436" s="393"/>
      <c r="AE436" s="393"/>
      <c r="AF436" s="393"/>
      <c r="AG436" s="393"/>
      <c r="AH436" s="393"/>
      <c r="AI436" s="393"/>
      <c r="AJ436" s="393"/>
      <c r="AK436" s="393"/>
      <c r="AL436" s="393"/>
      <c r="AM436" s="393"/>
      <c r="AN436" s="393"/>
      <c r="AO436" s="393"/>
      <c r="AP436" s="393"/>
      <c r="AQ436" s="393"/>
      <c r="AR436" s="393"/>
      <c r="AS436" s="393"/>
    </row>
    <row r="437" spans="1:45" s="36" customFormat="1" x14ac:dyDescent="0.3">
      <c r="B437" s="65" t="s">
        <v>203</v>
      </c>
      <c r="C437" s="66"/>
      <c r="D437" s="35">
        <f>+D432/D$427</f>
        <v>6.8232109227871984E-2</v>
      </c>
      <c r="E437" s="35">
        <f t="shared" ref="E437:W437" si="470">+E432/E$427</f>
        <v>6.4569116360454995E-2</v>
      </c>
      <c r="F437" s="35">
        <f t="shared" si="470"/>
        <v>6.1826923076923036E-2</v>
      </c>
      <c r="G437" s="35">
        <f t="shared" si="470"/>
        <v>6.7439516129032234E-2</v>
      </c>
      <c r="H437" s="35">
        <f t="shared" si="470"/>
        <v>6.9795197740112988E-2</v>
      </c>
      <c r="I437" s="35">
        <f t="shared" si="470"/>
        <v>7.4189623507805308E-2</v>
      </c>
      <c r="J437" s="35">
        <f t="shared" si="470"/>
        <v>6.4055555555555546E-2</v>
      </c>
      <c r="K437" s="35">
        <f t="shared" si="470"/>
        <v>6.9406052393857262E-2</v>
      </c>
      <c r="L437" s="35">
        <f t="shared" si="470"/>
        <v>6.7673333333333405E-2</v>
      </c>
      <c r="M437" s="35">
        <f t="shared" si="470"/>
        <v>7.2092749529190189E-2</v>
      </c>
      <c r="N437" s="35">
        <f t="shared" si="470"/>
        <v>7.3811858076563985E-2</v>
      </c>
      <c r="O437" s="35">
        <f t="shared" si="470"/>
        <v>6.2680121527777799E-2</v>
      </c>
      <c r="P437" s="35">
        <f t="shared" si="470"/>
        <v>7.2092749529190189E-2</v>
      </c>
      <c r="Q437" s="35">
        <f t="shared" si="470"/>
        <v>7.2092749529190189E-2</v>
      </c>
      <c r="R437" s="35">
        <f t="shared" si="470"/>
        <v>7.0238425925925912E-2</v>
      </c>
      <c r="S437" s="35">
        <f t="shared" si="470"/>
        <v>7.4002314814814812E-2</v>
      </c>
      <c r="T437" s="35">
        <f t="shared" si="470"/>
        <v>6.584720000000005E-2</v>
      </c>
      <c r="U437" s="35">
        <f t="shared" si="470"/>
        <v>5.803841940532075E-2</v>
      </c>
      <c r="V437" s="35">
        <f t="shared" si="470"/>
        <v>6.584720000000005E-2</v>
      </c>
      <c r="W437" s="35">
        <f t="shared" si="470"/>
        <v>7.2092749529190189E-2</v>
      </c>
      <c r="Y437" s="393"/>
      <c r="Z437" s="393"/>
      <c r="AA437" s="393"/>
      <c r="AB437" s="393"/>
      <c r="AC437" s="393"/>
      <c r="AD437" s="393"/>
      <c r="AE437" s="393"/>
      <c r="AF437" s="393"/>
      <c r="AG437" s="393"/>
      <c r="AH437" s="393"/>
      <c r="AI437" s="393"/>
      <c r="AJ437" s="393"/>
      <c r="AK437" s="393"/>
      <c r="AL437" s="393"/>
      <c r="AM437" s="393"/>
      <c r="AN437" s="393"/>
      <c r="AO437" s="393"/>
      <c r="AP437" s="393"/>
      <c r="AQ437" s="393"/>
      <c r="AR437" s="393"/>
      <c r="AS437" s="393"/>
    </row>
    <row r="438" spans="1:45" s="36" customFormat="1" x14ac:dyDescent="0.3">
      <c r="B438" s="65" t="s">
        <v>204</v>
      </c>
      <c r="C438" s="66"/>
      <c r="D438" s="35">
        <f>+D433/D$428</f>
        <v>8.3761574074074113E-2</v>
      </c>
      <c r="E438" s="35">
        <f t="shared" ref="E438:W438" si="471">+E433/E$428</f>
        <v>7.9071920757967332E-2</v>
      </c>
      <c r="F438" s="35">
        <f t="shared" si="471"/>
        <v>7.6041666666666619E-2</v>
      </c>
      <c r="G438" s="35">
        <f t="shared" si="471"/>
        <v>8.2242063492063464E-2</v>
      </c>
      <c r="H438" s="35">
        <f t="shared" si="471"/>
        <v>8.5298611111111103E-2</v>
      </c>
      <c r="I438" s="35">
        <f t="shared" si="471"/>
        <v>8.9243450767840987E-2</v>
      </c>
      <c r="J438" s="35">
        <f t="shared" si="471"/>
        <v>7.8794838145231832E-2</v>
      </c>
      <c r="K438" s="35">
        <f t="shared" si="471"/>
        <v>8.4295555555555554E-2</v>
      </c>
      <c r="L438" s="35">
        <f t="shared" si="471"/>
        <v>8.2355643044619495E-2</v>
      </c>
      <c r="M438" s="35">
        <f t="shared" si="471"/>
        <v>8.7557870370370355E-2</v>
      </c>
      <c r="N438" s="35">
        <f t="shared" si="471"/>
        <v>8.9120752984389373E-2</v>
      </c>
      <c r="O438" s="35">
        <f t="shared" si="471"/>
        <v>7.7100427350427367E-2</v>
      </c>
      <c r="P438" s="35">
        <f t="shared" si="471"/>
        <v>8.7557870370370355E-2</v>
      </c>
      <c r="Q438" s="35">
        <f t="shared" si="471"/>
        <v>8.7557870370370355E-2</v>
      </c>
      <c r="R438" s="35">
        <f t="shared" si="471"/>
        <v>8.5480418943533684E-2</v>
      </c>
      <c r="S438" s="35">
        <f t="shared" si="471"/>
        <v>8.9182604735883422E-2</v>
      </c>
      <c r="T438" s="35">
        <f t="shared" si="471"/>
        <v>8.0558267716535473E-2</v>
      </c>
      <c r="U438" s="35">
        <f t="shared" si="471"/>
        <v>7.112121913580241E-2</v>
      </c>
      <c r="V438" s="35">
        <f t="shared" si="471"/>
        <v>8.0558267716535473E-2</v>
      </c>
      <c r="W438" s="35">
        <f t="shared" si="471"/>
        <v>8.7557870370370355E-2</v>
      </c>
      <c r="Y438" s="393"/>
      <c r="Z438" s="393"/>
      <c r="AA438" s="393"/>
      <c r="AB438" s="393"/>
      <c r="AC438" s="393"/>
      <c r="AD438" s="393"/>
      <c r="AE438" s="393"/>
      <c r="AF438" s="393"/>
      <c r="AG438" s="393"/>
      <c r="AH438" s="393"/>
      <c r="AI438" s="393"/>
      <c r="AJ438" s="393"/>
      <c r="AK438" s="393"/>
      <c r="AL438" s="393"/>
      <c r="AM438" s="393"/>
      <c r="AN438" s="393"/>
      <c r="AO438" s="393"/>
      <c r="AP438" s="393"/>
      <c r="AQ438" s="393"/>
      <c r="AR438" s="393"/>
      <c r="AS438" s="393"/>
    </row>
    <row r="439" spans="1:45" s="36" customFormat="1" x14ac:dyDescent="0.3">
      <c r="B439" s="65" t="s">
        <v>205</v>
      </c>
      <c r="C439" s="66"/>
      <c r="D439" s="35">
        <f>+D434/D$429</f>
        <v>9.8781876138433561E-2</v>
      </c>
      <c r="E439" s="35">
        <f t="shared" ref="E439:W439" si="472">+E434/E$429</f>
        <v>9.3131891433418212E-2</v>
      </c>
      <c r="F439" s="35">
        <f t="shared" si="472"/>
        <v>8.9832089552238759E-2</v>
      </c>
      <c r="G439" s="35">
        <f t="shared" si="472"/>
        <v>9.6582031249999978E-2</v>
      </c>
      <c r="H439" s="35">
        <f t="shared" si="472"/>
        <v>0.10029371584699452</v>
      </c>
      <c r="I439" s="35">
        <f t="shared" si="472"/>
        <v>0.10381555555555554</v>
      </c>
      <c r="J439" s="35">
        <f t="shared" si="472"/>
        <v>9.3077088716623582E-2</v>
      </c>
      <c r="K439" s="35">
        <f t="shared" si="472"/>
        <v>9.8716097987751522E-2</v>
      </c>
      <c r="L439" s="35">
        <f t="shared" si="472"/>
        <v>9.6582687338501366E-2</v>
      </c>
      <c r="M439" s="35">
        <f t="shared" si="472"/>
        <v>0.10251593806921674</v>
      </c>
      <c r="N439" s="35">
        <f t="shared" si="472"/>
        <v>0.10393179765130987</v>
      </c>
      <c r="O439" s="35">
        <f t="shared" si="472"/>
        <v>9.1083754208754225E-2</v>
      </c>
      <c r="P439" s="35">
        <f t="shared" si="472"/>
        <v>0.10251593806921674</v>
      </c>
      <c r="Q439" s="35">
        <f t="shared" si="472"/>
        <v>0.10251593806921674</v>
      </c>
      <c r="R439" s="35">
        <f t="shared" si="472"/>
        <v>0.10023073476702508</v>
      </c>
      <c r="S439" s="35">
        <f t="shared" si="472"/>
        <v>0.10387320788530466</v>
      </c>
      <c r="T439" s="35">
        <f t="shared" si="472"/>
        <v>9.4813178294573683E-2</v>
      </c>
      <c r="U439" s="35">
        <f t="shared" si="472"/>
        <v>8.3845585996955796E-2</v>
      </c>
      <c r="V439" s="35">
        <f t="shared" si="472"/>
        <v>9.4813178294573683E-2</v>
      </c>
      <c r="W439" s="35">
        <f t="shared" si="472"/>
        <v>0.10251593806921674</v>
      </c>
      <c r="Y439" s="393"/>
      <c r="Z439" s="393"/>
      <c r="AA439" s="393"/>
      <c r="AB439" s="393"/>
      <c r="AC439" s="393"/>
      <c r="AD439" s="393"/>
      <c r="AE439" s="393"/>
      <c r="AF439" s="393"/>
      <c r="AG439" s="393"/>
      <c r="AH439" s="393"/>
      <c r="AI439" s="393"/>
      <c r="AJ439" s="393"/>
      <c r="AK439" s="393"/>
      <c r="AL439" s="393"/>
      <c r="AM439" s="393"/>
      <c r="AN439" s="393"/>
      <c r="AO439" s="393"/>
      <c r="AP439" s="393"/>
      <c r="AQ439" s="393"/>
      <c r="AR439" s="393"/>
      <c r="AS439" s="393"/>
    </row>
    <row r="440" spans="1:45" x14ac:dyDescent="0.3">
      <c r="Y440" s="390"/>
      <c r="Z440" s="390"/>
      <c r="AA440" s="390"/>
      <c r="AB440" s="390"/>
      <c r="AC440" s="390"/>
      <c r="AD440" s="390"/>
      <c r="AE440" s="390"/>
      <c r="AF440" s="390"/>
      <c r="AG440" s="390"/>
      <c r="AH440" s="390"/>
      <c r="AI440" s="390"/>
      <c r="AJ440" s="390"/>
      <c r="AK440" s="390"/>
      <c r="AL440" s="390"/>
      <c r="AM440" s="390"/>
      <c r="AN440" s="390"/>
      <c r="AO440" s="390"/>
      <c r="AP440" s="390"/>
      <c r="AQ440" s="390"/>
      <c r="AR440" s="390"/>
      <c r="AS440" s="390"/>
    </row>
    <row r="441" spans="1:45" ht="21" thickBot="1" x14ac:dyDescent="0.35">
      <c r="Y441" s="390"/>
      <c r="Z441" s="390"/>
      <c r="AA441" s="390"/>
      <c r="AB441" s="390"/>
      <c r="AC441" s="390"/>
      <c r="AD441" s="390"/>
      <c r="AE441" s="390"/>
      <c r="AF441" s="390"/>
      <c r="AG441" s="390"/>
      <c r="AH441" s="390"/>
      <c r="AI441" s="390"/>
      <c r="AJ441" s="390"/>
      <c r="AK441" s="390"/>
      <c r="AL441" s="390"/>
      <c r="AM441" s="390"/>
      <c r="AN441" s="390"/>
      <c r="AO441" s="390"/>
      <c r="AP441" s="390"/>
      <c r="AQ441" s="390"/>
      <c r="AR441" s="390"/>
      <c r="AS441" s="390"/>
    </row>
    <row r="442" spans="1:45" ht="21" thickBot="1" x14ac:dyDescent="0.35">
      <c r="A442" s="15" t="s">
        <v>325</v>
      </c>
      <c r="B442" s="74" t="s">
        <v>63</v>
      </c>
      <c r="C442" s="68"/>
      <c r="D442" s="17" t="s">
        <v>5</v>
      </c>
      <c r="E442" s="18" t="s">
        <v>6</v>
      </c>
      <c r="F442" s="18" t="s">
        <v>7</v>
      </c>
      <c r="G442" s="18" t="s">
        <v>8</v>
      </c>
      <c r="H442" s="18" t="s">
        <v>9</v>
      </c>
      <c r="I442" s="18" t="s">
        <v>10</v>
      </c>
      <c r="J442" s="18" t="s">
        <v>11</v>
      </c>
      <c r="K442" s="18" t="s">
        <v>12</v>
      </c>
      <c r="L442" s="18" t="s">
        <v>13</v>
      </c>
      <c r="M442" s="18" t="s">
        <v>14</v>
      </c>
      <c r="N442" s="18" t="s">
        <v>15</v>
      </c>
      <c r="O442" s="18" t="s">
        <v>16</v>
      </c>
      <c r="P442" s="18" t="s">
        <v>17</v>
      </c>
      <c r="Q442" s="18" t="s">
        <v>18</v>
      </c>
      <c r="R442" s="18" t="s">
        <v>19</v>
      </c>
      <c r="S442" s="18" t="s">
        <v>20</v>
      </c>
      <c r="T442" s="18" t="s">
        <v>21</v>
      </c>
      <c r="U442" s="18" t="s">
        <v>22</v>
      </c>
      <c r="V442" s="18" t="s">
        <v>23</v>
      </c>
      <c r="W442" s="18" t="s">
        <v>166</v>
      </c>
      <c r="Y442" s="390"/>
      <c r="Z442" s="390"/>
      <c r="AA442" s="390"/>
      <c r="AB442" s="390"/>
      <c r="AC442" s="390"/>
      <c r="AD442" s="390"/>
      <c r="AE442" s="390"/>
      <c r="AF442" s="390"/>
      <c r="AG442" s="390"/>
      <c r="AH442" s="390"/>
      <c r="AI442" s="390"/>
      <c r="AJ442" s="390"/>
      <c r="AK442" s="390"/>
      <c r="AL442" s="390"/>
      <c r="AM442" s="390"/>
      <c r="AN442" s="390"/>
      <c r="AO442" s="390"/>
      <c r="AP442" s="390"/>
      <c r="AQ442" s="390"/>
      <c r="AR442" s="390"/>
      <c r="AS442" s="390"/>
    </row>
    <row r="443" spans="1:45" x14ac:dyDescent="0.3">
      <c r="B443" s="54" t="s">
        <v>50</v>
      </c>
      <c r="C443" s="55"/>
      <c r="D443" s="20">
        <v>89</v>
      </c>
      <c r="E443" s="21">
        <v>89</v>
      </c>
      <c r="F443" s="21">
        <v>89</v>
      </c>
      <c r="G443" s="21">
        <v>89</v>
      </c>
      <c r="H443" s="21">
        <v>89</v>
      </c>
      <c r="I443" s="21">
        <v>89</v>
      </c>
      <c r="J443" s="21">
        <v>89</v>
      </c>
      <c r="K443" s="21">
        <v>89</v>
      </c>
      <c r="L443" s="21">
        <v>89</v>
      </c>
      <c r="M443" s="21">
        <v>89</v>
      </c>
      <c r="N443" s="21">
        <v>89</v>
      </c>
      <c r="O443" s="21">
        <v>89</v>
      </c>
      <c r="P443" s="21">
        <v>89</v>
      </c>
      <c r="Q443" s="21">
        <v>89</v>
      </c>
      <c r="R443" s="21">
        <v>89</v>
      </c>
      <c r="S443" s="21">
        <v>89</v>
      </c>
      <c r="T443" s="21"/>
      <c r="U443" s="21"/>
      <c r="V443" s="21"/>
      <c r="W443" s="21">
        <v>89</v>
      </c>
      <c r="Y443" s="390"/>
      <c r="Z443" s="390"/>
      <c r="AA443" s="390"/>
      <c r="AB443" s="390"/>
      <c r="AC443" s="390"/>
      <c r="AD443" s="390"/>
      <c r="AE443" s="390"/>
      <c r="AF443" s="390"/>
      <c r="AG443" s="390"/>
      <c r="AH443" s="390"/>
      <c r="AI443" s="390"/>
      <c r="AJ443" s="390"/>
      <c r="AK443" s="390"/>
      <c r="AL443" s="390"/>
      <c r="AM443" s="390"/>
      <c r="AN443" s="390"/>
      <c r="AO443" s="390"/>
      <c r="AP443" s="390"/>
      <c r="AQ443" s="390"/>
      <c r="AR443" s="390"/>
      <c r="AS443" s="390"/>
    </row>
    <row r="444" spans="1:45" x14ac:dyDescent="0.3">
      <c r="B444" s="54" t="s">
        <v>51</v>
      </c>
      <c r="C444" s="55"/>
      <c r="D444" s="218">
        <v>0.45</v>
      </c>
      <c r="E444" s="218">
        <f>D444</f>
        <v>0.45</v>
      </c>
      <c r="F444" s="218">
        <f>D444</f>
        <v>0.45</v>
      </c>
      <c r="G444" s="218">
        <f>D444</f>
        <v>0.45</v>
      </c>
      <c r="H444" s="218">
        <f>D444</f>
        <v>0.45</v>
      </c>
      <c r="I444" s="218">
        <f>D444</f>
        <v>0.45</v>
      </c>
      <c r="J444" s="218">
        <f>D444</f>
        <v>0.45</v>
      </c>
      <c r="K444" s="218">
        <f>D444</f>
        <v>0.45</v>
      </c>
      <c r="L444" s="218">
        <f>D444</f>
        <v>0.45</v>
      </c>
      <c r="M444" s="218">
        <f>D444</f>
        <v>0.45</v>
      </c>
      <c r="N444" s="218">
        <f>D444</f>
        <v>0.45</v>
      </c>
      <c r="O444" s="218">
        <f>D444</f>
        <v>0.45</v>
      </c>
      <c r="P444" s="218">
        <f>D444</f>
        <v>0.45</v>
      </c>
      <c r="Q444" s="218">
        <f>D444</f>
        <v>0.45</v>
      </c>
      <c r="R444" s="218">
        <f>D444</f>
        <v>0.45</v>
      </c>
      <c r="S444" s="218">
        <f>D444</f>
        <v>0.45</v>
      </c>
      <c r="T444" s="218"/>
      <c r="U444" s="218"/>
      <c r="V444" s="218"/>
      <c r="W444" s="218">
        <f>D444</f>
        <v>0.45</v>
      </c>
      <c r="Y444" s="390"/>
      <c r="Z444" s="390"/>
      <c r="AA444" s="390"/>
      <c r="AB444" s="390"/>
      <c r="AC444" s="390"/>
      <c r="AD444" s="390"/>
      <c r="AE444" s="390"/>
      <c r="AF444" s="390"/>
      <c r="AG444" s="390"/>
      <c r="AH444" s="390"/>
      <c r="AI444" s="390"/>
      <c r="AJ444" s="390"/>
      <c r="AK444" s="390"/>
      <c r="AL444" s="390"/>
      <c r="AM444" s="390"/>
      <c r="AN444" s="390"/>
      <c r="AO444" s="390"/>
      <c r="AP444" s="390"/>
      <c r="AQ444" s="390"/>
      <c r="AR444" s="390"/>
      <c r="AS444" s="390"/>
    </row>
    <row r="445" spans="1:45" x14ac:dyDescent="0.3">
      <c r="B445" s="54" t="s">
        <v>56</v>
      </c>
      <c r="C445" s="55"/>
      <c r="D445" s="24">
        <v>0</v>
      </c>
      <c r="E445" s="24">
        <v>0</v>
      </c>
      <c r="F445" s="21">
        <v>0</v>
      </c>
      <c r="G445" s="21">
        <v>0</v>
      </c>
      <c r="H445" s="21">
        <v>0</v>
      </c>
      <c r="I445" s="21">
        <v>0</v>
      </c>
      <c r="J445" s="21">
        <v>0</v>
      </c>
      <c r="K445" s="21">
        <v>0</v>
      </c>
      <c r="L445" s="21">
        <v>0</v>
      </c>
      <c r="M445" s="21">
        <v>0</v>
      </c>
      <c r="N445" s="21">
        <v>0</v>
      </c>
      <c r="O445" s="21">
        <v>0</v>
      </c>
      <c r="P445" s="21">
        <v>0</v>
      </c>
      <c r="Q445" s="21">
        <v>0</v>
      </c>
      <c r="R445" s="21">
        <v>0</v>
      </c>
      <c r="S445" s="21">
        <v>0</v>
      </c>
      <c r="T445" s="21"/>
      <c r="U445" s="21"/>
      <c r="V445" s="21"/>
      <c r="W445" s="21">
        <v>0</v>
      </c>
      <c r="Y445" s="390"/>
      <c r="Z445" s="390"/>
      <c r="AA445" s="390"/>
      <c r="AB445" s="390"/>
      <c r="AC445" s="390"/>
      <c r="AD445" s="390"/>
      <c r="AE445" s="390"/>
      <c r="AF445" s="390"/>
      <c r="AG445" s="390"/>
      <c r="AH445" s="390"/>
      <c r="AI445" s="390"/>
      <c r="AJ445" s="390"/>
      <c r="AK445" s="390"/>
      <c r="AL445" s="390"/>
      <c r="AM445" s="390"/>
      <c r="AN445" s="390"/>
      <c r="AO445" s="390"/>
      <c r="AP445" s="390"/>
      <c r="AQ445" s="390"/>
      <c r="AR445" s="390"/>
      <c r="AS445" s="390"/>
    </row>
    <row r="446" spans="1:45" x14ac:dyDescent="0.3">
      <c r="B446" s="177" t="s">
        <v>67</v>
      </c>
      <c r="C446" s="178"/>
      <c r="D446" s="323">
        <f>D443-(D443*D444)</f>
        <v>48.949999999999996</v>
      </c>
      <c r="E446" s="323">
        <f t="shared" ref="E446:W446" si="473">E443-(E443*E444)</f>
        <v>48.949999999999996</v>
      </c>
      <c r="F446" s="323">
        <f t="shared" si="473"/>
        <v>48.949999999999996</v>
      </c>
      <c r="G446" s="323">
        <f t="shared" si="473"/>
        <v>48.949999999999996</v>
      </c>
      <c r="H446" s="323">
        <f t="shared" si="473"/>
        <v>48.949999999999996</v>
      </c>
      <c r="I446" s="323">
        <f t="shared" si="473"/>
        <v>48.949999999999996</v>
      </c>
      <c r="J446" s="323">
        <f t="shared" si="473"/>
        <v>48.949999999999996</v>
      </c>
      <c r="K446" s="323">
        <f t="shared" si="473"/>
        <v>48.949999999999996</v>
      </c>
      <c r="L446" s="323">
        <f t="shared" si="473"/>
        <v>48.949999999999996</v>
      </c>
      <c r="M446" s="323">
        <f t="shared" si="473"/>
        <v>48.949999999999996</v>
      </c>
      <c r="N446" s="323">
        <f t="shared" si="473"/>
        <v>48.949999999999996</v>
      </c>
      <c r="O446" s="323">
        <f t="shared" si="473"/>
        <v>48.949999999999996</v>
      </c>
      <c r="P446" s="323">
        <f t="shared" si="473"/>
        <v>48.949999999999996</v>
      </c>
      <c r="Q446" s="323">
        <f t="shared" si="473"/>
        <v>48.949999999999996</v>
      </c>
      <c r="R446" s="323">
        <f t="shared" si="473"/>
        <v>48.949999999999996</v>
      </c>
      <c r="S446" s="323">
        <f t="shared" si="473"/>
        <v>48.949999999999996</v>
      </c>
      <c r="T446" s="323">
        <v>55.48</v>
      </c>
      <c r="U446" s="323">
        <v>55.48</v>
      </c>
      <c r="V446" s="323">
        <v>55.48</v>
      </c>
      <c r="W446" s="323">
        <f t="shared" si="473"/>
        <v>48.949999999999996</v>
      </c>
      <c r="Y446" s="390"/>
      <c r="Z446" s="390"/>
      <c r="AA446" s="390"/>
      <c r="AB446" s="390"/>
      <c r="AC446" s="390"/>
      <c r="AD446" s="390"/>
      <c r="AE446" s="390"/>
      <c r="AF446" s="390"/>
      <c r="AG446" s="390"/>
      <c r="AH446" s="390"/>
      <c r="AI446" s="390"/>
      <c r="AJ446" s="390"/>
      <c r="AK446" s="390"/>
      <c r="AL446" s="390"/>
      <c r="AM446" s="390"/>
      <c r="AN446" s="390"/>
      <c r="AO446" s="390"/>
      <c r="AP446" s="390"/>
      <c r="AQ446" s="390"/>
      <c r="AR446" s="390"/>
      <c r="AS446" s="390"/>
    </row>
    <row r="447" spans="1:45" x14ac:dyDescent="0.3">
      <c r="B447" s="54" t="s">
        <v>66</v>
      </c>
      <c r="C447" s="56">
        <v>7.0000000000000007E-2</v>
      </c>
      <c r="D447" s="24">
        <f t="shared" ref="D447:W447" si="474">D446*$C447</f>
        <v>3.4264999999999999</v>
      </c>
      <c r="E447" s="24">
        <f t="shared" si="474"/>
        <v>3.4264999999999999</v>
      </c>
      <c r="F447" s="24">
        <f t="shared" si="474"/>
        <v>3.4264999999999999</v>
      </c>
      <c r="G447" s="24">
        <f t="shared" si="474"/>
        <v>3.4264999999999999</v>
      </c>
      <c r="H447" s="24">
        <f t="shared" si="474"/>
        <v>3.4264999999999999</v>
      </c>
      <c r="I447" s="24">
        <f t="shared" si="474"/>
        <v>3.4264999999999999</v>
      </c>
      <c r="J447" s="24">
        <f t="shared" si="474"/>
        <v>3.4264999999999999</v>
      </c>
      <c r="K447" s="24">
        <f t="shared" si="474"/>
        <v>3.4264999999999999</v>
      </c>
      <c r="L447" s="24">
        <f t="shared" si="474"/>
        <v>3.4264999999999999</v>
      </c>
      <c r="M447" s="24">
        <f t="shared" si="474"/>
        <v>3.4264999999999999</v>
      </c>
      <c r="N447" s="24">
        <f t="shared" si="474"/>
        <v>3.4264999999999999</v>
      </c>
      <c r="O447" s="24">
        <f t="shared" si="474"/>
        <v>3.4264999999999999</v>
      </c>
      <c r="P447" s="24">
        <f t="shared" si="474"/>
        <v>3.4264999999999999</v>
      </c>
      <c r="Q447" s="24">
        <f t="shared" si="474"/>
        <v>3.4264999999999999</v>
      </c>
      <c r="R447" s="24">
        <f t="shared" si="474"/>
        <v>3.4264999999999999</v>
      </c>
      <c r="S447" s="24">
        <f t="shared" si="474"/>
        <v>3.4264999999999999</v>
      </c>
      <c r="T447" s="24">
        <f t="shared" si="474"/>
        <v>3.8835999999999999</v>
      </c>
      <c r="U447" s="24">
        <f t="shared" si="474"/>
        <v>3.8835999999999999</v>
      </c>
      <c r="V447" s="24">
        <f t="shared" si="474"/>
        <v>3.8835999999999999</v>
      </c>
      <c r="W447" s="24">
        <f t="shared" si="474"/>
        <v>3.4264999999999999</v>
      </c>
      <c r="Y447" s="390"/>
      <c r="Z447" s="390"/>
      <c r="AA447" s="390"/>
      <c r="AB447" s="390"/>
      <c r="AC447" s="390"/>
      <c r="AD447" s="390"/>
      <c r="AE447" s="390"/>
      <c r="AF447" s="390"/>
      <c r="AG447" s="390"/>
      <c r="AH447" s="390"/>
      <c r="AI447" s="390"/>
      <c r="AJ447" s="390"/>
      <c r="AK447" s="390"/>
      <c r="AL447" s="390"/>
      <c r="AM447" s="390"/>
      <c r="AN447" s="390"/>
      <c r="AO447" s="390"/>
      <c r="AP447" s="390"/>
      <c r="AQ447" s="390"/>
      <c r="AR447" s="390"/>
      <c r="AS447" s="390"/>
    </row>
    <row r="448" spans="1:45" x14ac:dyDescent="0.3">
      <c r="B448" s="54" t="s">
        <v>68</v>
      </c>
      <c r="C448" s="55"/>
      <c r="D448" s="21">
        <f t="shared" ref="D448:W448" si="475">D446+D447</f>
        <v>52.376499999999993</v>
      </c>
      <c r="E448" s="21">
        <f t="shared" si="475"/>
        <v>52.376499999999993</v>
      </c>
      <c r="F448" s="21">
        <f t="shared" si="475"/>
        <v>52.376499999999993</v>
      </c>
      <c r="G448" s="21">
        <f t="shared" si="475"/>
        <v>52.376499999999993</v>
      </c>
      <c r="H448" s="21">
        <f t="shared" si="475"/>
        <v>52.376499999999993</v>
      </c>
      <c r="I448" s="21">
        <f t="shared" si="475"/>
        <v>52.376499999999993</v>
      </c>
      <c r="J448" s="21">
        <f t="shared" si="475"/>
        <v>52.376499999999993</v>
      </c>
      <c r="K448" s="21">
        <f t="shared" si="475"/>
        <v>52.376499999999993</v>
      </c>
      <c r="L448" s="21">
        <f t="shared" si="475"/>
        <v>52.376499999999993</v>
      </c>
      <c r="M448" s="21">
        <f t="shared" si="475"/>
        <v>52.376499999999993</v>
      </c>
      <c r="N448" s="21">
        <f t="shared" si="475"/>
        <v>52.376499999999993</v>
      </c>
      <c r="O448" s="21">
        <f t="shared" si="475"/>
        <v>52.376499999999993</v>
      </c>
      <c r="P448" s="21">
        <f t="shared" si="475"/>
        <v>52.376499999999993</v>
      </c>
      <c r="Q448" s="21">
        <f t="shared" si="475"/>
        <v>52.376499999999993</v>
      </c>
      <c r="R448" s="21">
        <f t="shared" si="475"/>
        <v>52.376499999999993</v>
      </c>
      <c r="S448" s="21">
        <f t="shared" si="475"/>
        <v>52.376499999999993</v>
      </c>
      <c r="T448" s="21">
        <f t="shared" si="475"/>
        <v>59.363599999999998</v>
      </c>
      <c r="U448" s="21">
        <f t="shared" si="475"/>
        <v>59.363599999999998</v>
      </c>
      <c r="V448" s="21">
        <f t="shared" si="475"/>
        <v>59.363599999999998</v>
      </c>
      <c r="W448" s="21">
        <f t="shared" si="475"/>
        <v>52.376499999999993</v>
      </c>
      <c r="Y448" s="390"/>
      <c r="Z448" s="390"/>
      <c r="AA448" s="390"/>
      <c r="AB448" s="390"/>
      <c r="AC448" s="390"/>
      <c r="AD448" s="390"/>
      <c r="AE448" s="390"/>
      <c r="AF448" s="390"/>
      <c r="AG448" s="390"/>
      <c r="AH448" s="390"/>
      <c r="AI448" s="390"/>
      <c r="AJ448" s="390"/>
      <c r="AK448" s="390"/>
      <c r="AL448" s="390"/>
      <c r="AM448" s="390"/>
      <c r="AN448" s="390"/>
      <c r="AO448" s="390"/>
      <c r="AP448" s="390"/>
      <c r="AQ448" s="390"/>
      <c r="AR448" s="390"/>
      <c r="AS448" s="390"/>
    </row>
    <row r="449" spans="2:45" x14ac:dyDescent="0.3">
      <c r="B449" s="54" t="s">
        <v>52</v>
      </c>
      <c r="C449" s="55"/>
      <c r="D449" s="398">
        <f>Y451</f>
        <v>3.4805555555555556</v>
      </c>
      <c r="E449" s="398">
        <f t="shared" ref="E449:W449" si="476">Z451</f>
        <v>7.9061111111111115</v>
      </c>
      <c r="F449" s="398">
        <f t="shared" si="476"/>
        <v>9.4875000000000007</v>
      </c>
      <c r="G449" s="398">
        <f t="shared" si="476"/>
        <v>6.3250000000000002</v>
      </c>
      <c r="H449" s="398">
        <f t="shared" si="476"/>
        <v>3.3883333333333332</v>
      </c>
      <c r="I449" s="398">
        <f t="shared" si="476"/>
        <v>4.5177777777777779</v>
      </c>
      <c r="J449" s="398">
        <f t="shared" si="476"/>
        <v>7.0027777777777782</v>
      </c>
      <c r="K449" s="398">
        <f t="shared" si="476"/>
        <v>5.7377777777777776</v>
      </c>
      <c r="L449" s="398">
        <f t="shared" si="476"/>
        <v>6.7766666666666664</v>
      </c>
      <c r="M449" s="398">
        <f t="shared" si="476"/>
        <v>3.2527777777777778</v>
      </c>
      <c r="N449" s="398">
        <f t="shared" si="476"/>
        <v>3.6144444444444446</v>
      </c>
      <c r="O449" s="398">
        <f t="shared" si="476"/>
        <v>8.4947222222222223</v>
      </c>
      <c r="P449" s="398">
        <f t="shared" si="476"/>
        <v>3.2527777777777778</v>
      </c>
      <c r="Q449" s="398">
        <f t="shared" si="476"/>
        <v>3.2527777777777778</v>
      </c>
      <c r="R449" s="398">
        <f t="shared" si="476"/>
        <v>4.2919444444444448</v>
      </c>
      <c r="S449" s="398">
        <f t="shared" si="476"/>
        <v>4.0661111111111108</v>
      </c>
      <c r="T449" s="398">
        <f t="shared" si="476"/>
        <v>0</v>
      </c>
      <c r="U449" s="398">
        <f t="shared" si="476"/>
        <v>8.4947222222222223</v>
      </c>
      <c r="V449" s="398">
        <f t="shared" si="476"/>
        <v>0</v>
      </c>
      <c r="W449" s="398">
        <f t="shared" si="476"/>
        <v>3.2527777777777778</v>
      </c>
      <c r="Y449" s="390">
        <v>12530</v>
      </c>
      <c r="Z449" s="390">
        <v>28462</v>
      </c>
      <c r="AA449" s="390">
        <v>34155</v>
      </c>
      <c r="AB449" s="390">
        <v>22770</v>
      </c>
      <c r="AC449" s="390">
        <v>12198</v>
      </c>
      <c r="AD449" s="390">
        <v>16264</v>
      </c>
      <c r="AE449" s="390">
        <v>25210</v>
      </c>
      <c r="AF449" s="390">
        <v>20656</v>
      </c>
      <c r="AG449" s="390">
        <v>24396</v>
      </c>
      <c r="AH449" s="390">
        <v>11710</v>
      </c>
      <c r="AI449" s="390">
        <v>13012</v>
      </c>
      <c r="AJ449" s="390">
        <v>30581</v>
      </c>
      <c r="AK449" s="396">
        <v>11710</v>
      </c>
      <c r="AL449" s="396">
        <v>11710</v>
      </c>
      <c r="AM449" s="390">
        <v>15451</v>
      </c>
      <c r="AN449" s="390">
        <v>14638</v>
      </c>
      <c r="AO449" s="390"/>
      <c r="AP449" s="396">
        <v>30581</v>
      </c>
      <c r="AQ449" s="390"/>
      <c r="AR449" s="396">
        <v>11710</v>
      </c>
      <c r="AS449" s="390"/>
    </row>
    <row r="450" spans="2:45" x14ac:dyDescent="0.3">
      <c r="B450" s="57" t="s">
        <v>57</v>
      </c>
      <c r="C450" s="58"/>
      <c r="D450" s="25">
        <f>SUM(D448:D449)</f>
        <v>55.857055555555547</v>
      </c>
      <c r="E450" s="26">
        <f t="shared" ref="E450:V450" si="477">SUM(E448:E449)</f>
        <v>60.282611111111102</v>
      </c>
      <c r="F450" s="26">
        <f t="shared" si="477"/>
        <v>61.86399999999999</v>
      </c>
      <c r="G450" s="26">
        <f t="shared" si="477"/>
        <v>58.701499999999996</v>
      </c>
      <c r="H450" s="26">
        <f t="shared" si="477"/>
        <v>55.764833333333328</v>
      </c>
      <c r="I450" s="26">
        <f t="shared" si="477"/>
        <v>56.894277777777774</v>
      </c>
      <c r="J450" s="26">
        <f t="shared" si="477"/>
        <v>59.379277777777773</v>
      </c>
      <c r="K450" s="26">
        <f t="shared" si="477"/>
        <v>58.114277777777772</v>
      </c>
      <c r="L450" s="26">
        <f t="shared" si="477"/>
        <v>59.153166666666657</v>
      </c>
      <c r="M450" s="26">
        <f t="shared" si="477"/>
        <v>55.629277777777773</v>
      </c>
      <c r="N450" s="26">
        <f t="shared" si="477"/>
        <v>55.990944444444438</v>
      </c>
      <c r="O450" s="26">
        <f t="shared" si="477"/>
        <v>60.871222222222215</v>
      </c>
      <c r="P450" s="26">
        <f t="shared" si="477"/>
        <v>55.629277777777773</v>
      </c>
      <c r="Q450" s="26">
        <f t="shared" si="477"/>
        <v>55.629277777777773</v>
      </c>
      <c r="R450" s="26">
        <f t="shared" si="477"/>
        <v>56.66844444444444</v>
      </c>
      <c r="S450" s="26">
        <f t="shared" si="477"/>
        <v>56.442611111111106</v>
      </c>
      <c r="T450" s="26">
        <f t="shared" si="477"/>
        <v>59.363599999999998</v>
      </c>
      <c r="U450" s="26">
        <f t="shared" si="477"/>
        <v>67.858322222222228</v>
      </c>
      <c r="V450" s="26">
        <f t="shared" si="477"/>
        <v>59.363599999999998</v>
      </c>
      <c r="W450" s="26">
        <f>SUM(W448:W449)</f>
        <v>55.629277777777773</v>
      </c>
      <c r="Y450" s="390">
        <v>3600</v>
      </c>
      <c r="Z450" s="390">
        <v>3600</v>
      </c>
      <c r="AA450" s="390">
        <v>3600</v>
      </c>
      <c r="AB450" s="390">
        <v>3600</v>
      </c>
      <c r="AC450" s="390">
        <v>3600</v>
      </c>
      <c r="AD450" s="390">
        <v>3600</v>
      </c>
      <c r="AE450" s="390">
        <v>3600</v>
      </c>
      <c r="AF450" s="390">
        <v>3600</v>
      </c>
      <c r="AG450" s="390">
        <v>3600</v>
      </c>
      <c r="AH450" s="390">
        <v>3600</v>
      </c>
      <c r="AI450" s="390">
        <v>3600</v>
      </c>
      <c r="AJ450" s="390">
        <v>3600</v>
      </c>
      <c r="AK450" s="390">
        <v>3600</v>
      </c>
      <c r="AL450" s="390">
        <v>3600</v>
      </c>
      <c r="AM450" s="390">
        <v>3600</v>
      </c>
      <c r="AN450" s="390">
        <v>3600</v>
      </c>
      <c r="AO450" s="390"/>
      <c r="AP450" s="390">
        <v>3600</v>
      </c>
      <c r="AQ450" s="390"/>
      <c r="AR450" s="390">
        <v>3600</v>
      </c>
      <c r="AS450" s="390"/>
    </row>
    <row r="451" spans="2:45" x14ac:dyDescent="0.3">
      <c r="B451" s="54" t="s">
        <v>54</v>
      </c>
      <c r="C451" s="55"/>
      <c r="D451" s="20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Y451" s="389">
        <f>Y449/Y450</f>
        <v>3.4805555555555556</v>
      </c>
      <c r="Z451" s="389">
        <f t="shared" ref="Z451:AN451" si="478">Z449/Z450</f>
        <v>7.9061111111111115</v>
      </c>
      <c r="AA451" s="389">
        <f t="shared" si="478"/>
        <v>9.4875000000000007</v>
      </c>
      <c r="AB451" s="389">
        <f t="shared" si="478"/>
        <v>6.3250000000000002</v>
      </c>
      <c r="AC451" s="389">
        <f t="shared" si="478"/>
        <v>3.3883333333333332</v>
      </c>
      <c r="AD451" s="389">
        <f t="shared" si="478"/>
        <v>4.5177777777777779</v>
      </c>
      <c r="AE451" s="389">
        <f t="shared" si="478"/>
        <v>7.0027777777777782</v>
      </c>
      <c r="AF451" s="389">
        <f t="shared" si="478"/>
        <v>5.7377777777777776</v>
      </c>
      <c r="AG451" s="389">
        <f t="shared" si="478"/>
        <v>6.7766666666666664</v>
      </c>
      <c r="AH451" s="389">
        <f t="shared" si="478"/>
        <v>3.2527777777777778</v>
      </c>
      <c r="AI451" s="389">
        <f t="shared" si="478"/>
        <v>3.6144444444444446</v>
      </c>
      <c r="AJ451" s="389">
        <f t="shared" si="478"/>
        <v>8.4947222222222223</v>
      </c>
      <c r="AK451" s="389">
        <f t="shared" si="478"/>
        <v>3.2527777777777778</v>
      </c>
      <c r="AL451" s="389">
        <f t="shared" si="478"/>
        <v>3.2527777777777778</v>
      </c>
      <c r="AM451" s="389">
        <f t="shared" si="478"/>
        <v>4.2919444444444448</v>
      </c>
      <c r="AN451" s="389">
        <f t="shared" si="478"/>
        <v>4.0661111111111108</v>
      </c>
      <c r="AO451" s="390"/>
      <c r="AP451" s="389">
        <f t="shared" ref="AP451" si="479">AP449/AP450</f>
        <v>8.4947222222222223</v>
      </c>
      <c r="AQ451" s="390"/>
      <c r="AR451" s="389">
        <f t="shared" ref="AR451" si="480">AR449/AR450</f>
        <v>3.2527777777777778</v>
      </c>
      <c r="AS451" s="390"/>
    </row>
    <row r="452" spans="2:45" x14ac:dyDescent="0.3">
      <c r="B452" s="59" t="s">
        <v>55</v>
      </c>
      <c r="C452" s="60"/>
      <c r="D452" s="27">
        <f t="shared" ref="D452:W452" si="481">SUM(D450:D451)</f>
        <v>55.857055555555547</v>
      </c>
      <c r="E452" s="41">
        <f t="shared" si="481"/>
        <v>60.282611111111102</v>
      </c>
      <c r="F452" s="41">
        <f t="shared" si="481"/>
        <v>61.86399999999999</v>
      </c>
      <c r="G452" s="41">
        <f t="shared" si="481"/>
        <v>58.701499999999996</v>
      </c>
      <c r="H452" s="41">
        <f t="shared" si="481"/>
        <v>55.764833333333328</v>
      </c>
      <c r="I452" s="41">
        <f t="shared" si="481"/>
        <v>56.894277777777774</v>
      </c>
      <c r="J452" s="41">
        <f t="shared" si="481"/>
        <v>59.379277777777773</v>
      </c>
      <c r="K452" s="41">
        <f t="shared" si="481"/>
        <v>58.114277777777772</v>
      </c>
      <c r="L452" s="41">
        <f t="shared" si="481"/>
        <v>59.153166666666657</v>
      </c>
      <c r="M452" s="41">
        <f t="shared" si="481"/>
        <v>55.629277777777773</v>
      </c>
      <c r="N452" s="41">
        <f t="shared" si="481"/>
        <v>55.990944444444438</v>
      </c>
      <c r="O452" s="41">
        <f t="shared" si="481"/>
        <v>60.871222222222215</v>
      </c>
      <c r="P452" s="41">
        <f t="shared" si="481"/>
        <v>55.629277777777773</v>
      </c>
      <c r="Q452" s="41">
        <f t="shared" si="481"/>
        <v>55.629277777777773</v>
      </c>
      <c r="R452" s="41">
        <f t="shared" si="481"/>
        <v>56.66844444444444</v>
      </c>
      <c r="S452" s="41">
        <f t="shared" si="481"/>
        <v>56.442611111111106</v>
      </c>
      <c r="T452" s="41">
        <f t="shared" si="481"/>
        <v>59.363599999999998</v>
      </c>
      <c r="U452" s="41">
        <f t="shared" si="481"/>
        <v>67.858322222222228</v>
      </c>
      <c r="V452" s="41">
        <f t="shared" si="481"/>
        <v>59.363599999999998</v>
      </c>
      <c r="W452" s="41">
        <f t="shared" si="481"/>
        <v>55.629277777777773</v>
      </c>
      <c r="Y452" s="390"/>
      <c r="Z452" s="390"/>
      <c r="AA452" s="390"/>
      <c r="AB452" s="390"/>
      <c r="AC452" s="390"/>
      <c r="AD452" s="390"/>
      <c r="AE452" s="390"/>
      <c r="AF452" s="390"/>
      <c r="AG452" s="390"/>
      <c r="AH452" s="390"/>
      <c r="AI452" s="390"/>
      <c r="AJ452" s="390"/>
      <c r="AK452" s="390"/>
      <c r="AL452" s="390"/>
      <c r="AM452" s="390"/>
      <c r="AN452" s="390"/>
      <c r="AO452" s="390"/>
      <c r="AP452" s="390"/>
      <c r="AQ452" s="390"/>
      <c r="AR452" s="390"/>
      <c r="AS452" s="390"/>
    </row>
    <row r="453" spans="2:45" x14ac:dyDescent="0.3">
      <c r="B453" s="61" t="s">
        <v>101</v>
      </c>
      <c r="C453" s="55"/>
      <c r="D453" s="43">
        <v>0</v>
      </c>
      <c r="E453" s="408">
        <v>0</v>
      </c>
      <c r="F453" s="408">
        <v>0</v>
      </c>
      <c r="G453" s="408">
        <v>0</v>
      </c>
      <c r="H453" s="408">
        <v>0</v>
      </c>
      <c r="I453" s="408">
        <v>0</v>
      </c>
      <c r="J453" s="408">
        <v>0</v>
      </c>
      <c r="K453" s="408">
        <v>0</v>
      </c>
      <c r="L453" s="408">
        <v>0</v>
      </c>
      <c r="M453" s="408">
        <v>0</v>
      </c>
      <c r="N453" s="408">
        <v>0</v>
      </c>
      <c r="O453" s="408">
        <v>0</v>
      </c>
      <c r="P453" s="408">
        <v>0</v>
      </c>
      <c r="Q453" s="408">
        <v>0</v>
      </c>
      <c r="R453" s="408">
        <v>0</v>
      </c>
      <c r="S453" s="408">
        <v>0</v>
      </c>
      <c r="T453" s="408">
        <v>0</v>
      </c>
      <c r="U453" s="408">
        <v>0</v>
      </c>
      <c r="V453" s="408">
        <v>0</v>
      </c>
      <c r="W453" s="408">
        <v>0</v>
      </c>
      <c r="Y453" s="409"/>
      <c r="Z453" s="409"/>
      <c r="AA453" s="409"/>
      <c r="AB453" s="409"/>
      <c r="AC453" s="409"/>
      <c r="AD453" s="409"/>
      <c r="AE453" s="409"/>
      <c r="AF453" s="409"/>
      <c r="AG453" s="409"/>
      <c r="AH453" s="409"/>
      <c r="AI453" s="409"/>
      <c r="AJ453" s="409"/>
      <c r="AK453" s="409"/>
      <c r="AL453" s="409"/>
      <c r="AM453" s="409"/>
      <c r="AN453" s="409"/>
      <c r="AO453" s="409"/>
      <c r="AP453" s="409"/>
      <c r="AQ453" s="409"/>
      <c r="AR453" s="409"/>
      <c r="AS453" s="409"/>
    </row>
    <row r="454" spans="2:45" x14ac:dyDescent="0.3">
      <c r="B454" s="171" t="s">
        <v>194</v>
      </c>
      <c r="C454" s="55"/>
      <c r="D454" s="20">
        <v>59</v>
      </c>
      <c r="E454" s="21">
        <v>64</v>
      </c>
      <c r="F454" s="21">
        <v>65</v>
      </c>
      <c r="G454" s="21">
        <v>62</v>
      </c>
      <c r="H454" s="21">
        <v>59</v>
      </c>
      <c r="I454" s="21">
        <v>60</v>
      </c>
      <c r="J454" s="21">
        <v>63</v>
      </c>
      <c r="K454" s="21">
        <v>62</v>
      </c>
      <c r="L454" s="21">
        <v>63</v>
      </c>
      <c r="M454" s="21">
        <v>59</v>
      </c>
      <c r="N454" s="21">
        <v>59</v>
      </c>
      <c r="O454" s="21">
        <v>64</v>
      </c>
      <c r="P454" s="21">
        <v>59</v>
      </c>
      <c r="Q454" s="21">
        <v>59</v>
      </c>
      <c r="R454" s="21">
        <v>60</v>
      </c>
      <c r="S454" s="21">
        <v>60</v>
      </c>
      <c r="T454" s="21">
        <v>63</v>
      </c>
      <c r="U454" s="21">
        <v>71</v>
      </c>
      <c r="V454" s="21">
        <v>63</v>
      </c>
      <c r="W454" s="21">
        <v>59</v>
      </c>
      <c r="Y454" s="390"/>
      <c r="Z454" s="390"/>
      <c r="AA454" s="390"/>
      <c r="AB454" s="390"/>
      <c r="AC454" s="390"/>
      <c r="AD454" s="390"/>
      <c r="AE454" s="390"/>
      <c r="AF454" s="390"/>
      <c r="AG454" s="390"/>
      <c r="AH454" s="390"/>
      <c r="AI454" s="390"/>
      <c r="AJ454" s="390"/>
      <c r="AK454" s="390"/>
      <c r="AL454" s="390"/>
      <c r="AM454" s="390"/>
      <c r="AN454" s="390"/>
      <c r="AO454" s="390"/>
      <c r="AP454" s="390"/>
      <c r="AQ454" s="390"/>
      <c r="AR454" s="390"/>
      <c r="AS454" s="390"/>
    </row>
    <row r="455" spans="2:45" x14ac:dyDescent="0.3">
      <c r="B455" s="61" t="s">
        <v>195</v>
      </c>
      <c r="C455" s="55"/>
      <c r="D455" s="106">
        <v>60</v>
      </c>
      <c r="E455" s="21">
        <v>65</v>
      </c>
      <c r="F455" s="21">
        <v>66</v>
      </c>
      <c r="G455" s="21">
        <v>63</v>
      </c>
      <c r="H455" s="21">
        <v>60</v>
      </c>
      <c r="I455" s="21">
        <v>61</v>
      </c>
      <c r="J455" s="21">
        <v>64</v>
      </c>
      <c r="K455" s="21">
        <v>63</v>
      </c>
      <c r="L455" s="21">
        <v>64</v>
      </c>
      <c r="M455" s="21">
        <v>60</v>
      </c>
      <c r="N455" s="21">
        <v>60</v>
      </c>
      <c r="O455" s="21">
        <v>65</v>
      </c>
      <c r="P455" s="21">
        <v>60</v>
      </c>
      <c r="Q455" s="21">
        <v>60</v>
      </c>
      <c r="R455" s="21">
        <v>61</v>
      </c>
      <c r="S455" s="21">
        <v>61</v>
      </c>
      <c r="T455" s="21">
        <v>64</v>
      </c>
      <c r="U455" s="21">
        <v>72</v>
      </c>
      <c r="V455" s="21">
        <v>64</v>
      </c>
      <c r="W455" s="21">
        <v>60</v>
      </c>
      <c r="Y455" s="390"/>
      <c r="Z455" s="390"/>
      <c r="AA455" s="390"/>
      <c r="AB455" s="390"/>
      <c r="AC455" s="390"/>
      <c r="AD455" s="390"/>
      <c r="AE455" s="390"/>
      <c r="AF455" s="390"/>
      <c r="AG455" s="390"/>
      <c r="AH455" s="390"/>
      <c r="AI455" s="390"/>
      <c r="AJ455" s="390"/>
      <c r="AK455" s="390"/>
      <c r="AL455" s="390"/>
      <c r="AM455" s="390"/>
      <c r="AN455" s="390"/>
      <c r="AO455" s="390"/>
      <c r="AP455" s="390"/>
      <c r="AQ455" s="390"/>
      <c r="AR455" s="390"/>
      <c r="AS455" s="390"/>
    </row>
    <row r="456" spans="2:45" s="30" customFormat="1" x14ac:dyDescent="0.3">
      <c r="B456" s="61" t="s">
        <v>196</v>
      </c>
      <c r="C456" s="62"/>
      <c r="D456" s="28">
        <v>61</v>
      </c>
      <c r="E456" s="28">
        <v>66</v>
      </c>
      <c r="F456" s="28">
        <v>67</v>
      </c>
      <c r="G456" s="28">
        <v>64</v>
      </c>
      <c r="H456" s="28">
        <v>61</v>
      </c>
      <c r="I456" s="28">
        <v>62</v>
      </c>
      <c r="J456" s="28">
        <v>65</v>
      </c>
      <c r="K456" s="28">
        <v>64</v>
      </c>
      <c r="L456" s="28">
        <v>65</v>
      </c>
      <c r="M456" s="28">
        <v>61</v>
      </c>
      <c r="N456" s="28">
        <v>61</v>
      </c>
      <c r="O456" s="28">
        <v>66</v>
      </c>
      <c r="P456" s="28">
        <v>61</v>
      </c>
      <c r="Q456" s="28">
        <v>61</v>
      </c>
      <c r="R456" s="28">
        <v>62</v>
      </c>
      <c r="S456" s="28">
        <v>62</v>
      </c>
      <c r="T456" s="28">
        <v>65</v>
      </c>
      <c r="U456" s="28">
        <v>73</v>
      </c>
      <c r="V456" s="28">
        <v>65</v>
      </c>
      <c r="W456" s="28">
        <v>61</v>
      </c>
      <c r="Y456" s="391"/>
      <c r="Z456" s="391"/>
      <c r="AA456" s="391"/>
      <c r="AB456" s="391"/>
      <c r="AC456" s="391"/>
      <c r="AD456" s="391"/>
      <c r="AE456" s="391"/>
      <c r="AF456" s="391"/>
      <c r="AG456" s="391"/>
      <c r="AH456" s="391"/>
      <c r="AI456" s="391"/>
      <c r="AJ456" s="391"/>
      <c r="AK456" s="391"/>
      <c r="AL456" s="391"/>
      <c r="AM456" s="391"/>
      <c r="AN456" s="391"/>
      <c r="AO456" s="391"/>
      <c r="AP456" s="391"/>
      <c r="AQ456" s="391"/>
      <c r="AR456" s="391"/>
      <c r="AS456" s="391"/>
    </row>
    <row r="457" spans="2:45" s="30" customFormat="1" x14ac:dyDescent="0.3">
      <c r="B457" s="61" t="s">
        <v>197</v>
      </c>
      <c r="C457" s="62"/>
      <c r="D457" s="28">
        <v>62</v>
      </c>
      <c r="E457" s="28">
        <v>67</v>
      </c>
      <c r="F457" s="28">
        <v>68</v>
      </c>
      <c r="G457" s="28">
        <v>65</v>
      </c>
      <c r="H457" s="28">
        <v>62</v>
      </c>
      <c r="I457" s="28">
        <v>63</v>
      </c>
      <c r="J457" s="28">
        <v>66</v>
      </c>
      <c r="K457" s="28">
        <v>65</v>
      </c>
      <c r="L457" s="28">
        <v>66</v>
      </c>
      <c r="M457" s="28">
        <v>62</v>
      </c>
      <c r="N457" s="28">
        <v>62</v>
      </c>
      <c r="O457" s="28">
        <v>67</v>
      </c>
      <c r="P457" s="28">
        <v>62</v>
      </c>
      <c r="Q457" s="28">
        <v>62</v>
      </c>
      <c r="R457" s="28">
        <v>63</v>
      </c>
      <c r="S457" s="28">
        <v>63</v>
      </c>
      <c r="T457" s="28">
        <v>66</v>
      </c>
      <c r="U457" s="28">
        <v>74</v>
      </c>
      <c r="V457" s="28">
        <v>66</v>
      </c>
      <c r="W457" s="28">
        <v>62</v>
      </c>
      <c r="Y457" s="391"/>
      <c r="Z457" s="391"/>
      <c r="AA457" s="391"/>
      <c r="AB457" s="391"/>
      <c r="AC457" s="391"/>
      <c r="AD457" s="391"/>
      <c r="AE457" s="391"/>
      <c r="AF457" s="391"/>
      <c r="AG457" s="391"/>
      <c r="AH457" s="391"/>
      <c r="AI457" s="391"/>
      <c r="AJ457" s="391"/>
      <c r="AK457" s="391"/>
      <c r="AL457" s="391"/>
      <c r="AM457" s="391"/>
      <c r="AN457" s="391"/>
      <c r="AO457" s="391"/>
      <c r="AP457" s="391"/>
      <c r="AQ457" s="391"/>
      <c r="AR457" s="391"/>
      <c r="AS457" s="391"/>
    </row>
    <row r="458" spans="2:45" x14ac:dyDescent="0.3">
      <c r="B458" s="63" t="s">
        <v>103</v>
      </c>
      <c r="C458" s="55"/>
      <c r="D458" s="43">
        <v>0</v>
      </c>
      <c r="E458" s="408">
        <v>0</v>
      </c>
      <c r="F458" s="408">
        <v>0</v>
      </c>
      <c r="G458" s="408">
        <v>0</v>
      </c>
      <c r="H458" s="408">
        <v>0</v>
      </c>
      <c r="I458" s="408">
        <v>0</v>
      </c>
      <c r="J458" s="408">
        <v>0</v>
      </c>
      <c r="K458" s="408">
        <v>0</v>
      </c>
      <c r="L458" s="408">
        <v>0</v>
      </c>
      <c r="M458" s="408">
        <v>0</v>
      </c>
      <c r="N458" s="408">
        <v>0</v>
      </c>
      <c r="O458" s="408">
        <v>0</v>
      </c>
      <c r="P458" s="408">
        <v>0</v>
      </c>
      <c r="Q458" s="408">
        <v>0</v>
      </c>
      <c r="R458" s="408">
        <v>0</v>
      </c>
      <c r="S458" s="408">
        <v>0</v>
      </c>
      <c r="T458" s="408">
        <v>0</v>
      </c>
      <c r="U458" s="408">
        <v>0</v>
      </c>
      <c r="V458" s="408">
        <v>0</v>
      </c>
      <c r="W458" s="408">
        <v>0</v>
      </c>
      <c r="Y458" s="409"/>
      <c r="Z458" s="409"/>
      <c r="AA458" s="409"/>
      <c r="AB458" s="409"/>
      <c r="AC458" s="409"/>
      <c r="AD458" s="409"/>
      <c r="AE458" s="409"/>
      <c r="AF458" s="409"/>
      <c r="AG458" s="409"/>
      <c r="AH458" s="409"/>
      <c r="AI458" s="409"/>
      <c r="AJ458" s="409"/>
      <c r="AK458" s="409"/>
      <c r="AL458" s="409"/>
      <c r="AM458" s="409"/>
      <c r="AN458" s="409"/>
      <c r="AO458" s="409"/>
      <c r="AP458" s="409"/>
      <c r="AQ458" s="409"/>
      <c r="AR458" s="409"/>
      <c r="AS458" s="409"/>
    </row>
    <row r="459" spans="2:45" s="33" customFormat="1" x14ac:dyDescent="0.3">
      <c r="B459" s="63" t="s">
        <v>198</v>
      </c>
      <c r="C459" s="64"/>
      <c r="D459" s="31">
        <f t="shared" ref="D459:W459" si="482">+D454-D$452</f>
        <v>3.1429444444444528</v>
      </c>
      <c r="E459" s="32">
        <f t="shared" si="482"/>
        <v>3.7173888888888982</v>
      </c>
      <c r="F459" s="32">
        <f t="shared" si="482"/>
        <v>3.1360000000000099</v>
      </c>
      <c r="G459" s="32">
        <f t="shared" si="482"/>
        <v>3.2985000000000042</v>
      </c>
      <c r="H459" s="32">
        <f t="shared" si="482"/>
        <v>3.2351666666666716</v>
      </c>
      <c r="I459" s="32">
        <f t="shared" si="482"/>
        <v>3.1057222222222265</v>
      </c>
      <c r="J459" s="32">
        <f t="shared" si="482"/>
        <v>3.6207222222222271</v>
      </c>
      <c r="K459" s="32">
        <f t="shared" si="482"/>
        <v>3.8857222222222276</v>
      </c>
      <c r="L459" s="32">
        <f t="shared" si="482"/>
        <v>3.8468333333333433</v>
      </c>
      <c r="M459" s="32">
        <f t="shared" si="482"/>
        <v>3.3707222222222271</v>
      </c>
      <c r="N459" s="32">
        <f t="shared" si="482"/>
        <v>3.0090555555555625</v>
      </c>
      <c r="O459" s="32">
        <f t="shared" si="482"/>
        <v>3.1287777777777848</v>
      </c>
      <c r="P459" s="32">
        <f t="shared" si="482"/>
        <v>3.3707222222222271</v>
      </c>
      <c r="Q459" s="32">
        <f t="shared" si="482"/>
        <v>3.3707222222222271</v>
      </c>
      <c r="R459" s="32">
        <f t="shared" si="482"/>
        <v>3.3315555555555605</v>
      </c>
      <c r="S459" s="32">
        <f t="shared" si="482"/>
        <v>3.5573888888888945</v>
      </c>
      <c r="T459" s="32">
        <f t="shared" si="482"/>
        <v>3.6364000000000019</v>
      </c>
      <c r="U459" s="32">
        <f t="shared" si="482"/>
        <v>3.1416777777777725</v>
      </c>
      <c r="V459" s="32">
        <f t="shared" si="482"/>
        <v>3.6364000000000019</v>
      </c>
      <c r="W459" s="32">
        <f t="shared" si="482"/>
        <v>3.3707222222222271</v>
      </c>
      <c r="Y459" s="392"/>
      <c r="Z459" s="392"/>
      <c r="AA459" s="392"/>
      <c r="AB459" s="392"/>
      <c r="AC459" s="392"/>
      <c r="AD459" s="392"/>
      <c r="AE459" s="392"/>
      <c r="AF459" s="392"/>
      <c r="AG459" s="392"/>
      <c r="AH459" s="392"/>
      <c r="AI459" s="392"/>
      <c r="AJ459" s="392"/>
      <c r="AK459" s="392"/>
      <c r="AL459" s="392"/>
      <c r="AM459" s="392"/>
      <c r="AN459" s="392"/>
      <c r="AO459" s="392"/>
      <c r="AP459" s="392"/>
      <c r="AQ459" s="392"/>
      <c r="AR459" s="392"/>
      <c r="AS459" s="392"/>
    </row>
    <row r="460" spans="2:45" s="33" customFormat="1" x14ac:dyDescent="0.3">
      <c r="B460" s="63" t="s">
        <v>199</v>
      </c>
      <c r="C460" s="64"/>
      <c r="D460" s="31">
        <f t="shared" ref="D460:W460" si="483">+D455-D$452</f>
        <v>4.1429444444444528</v>
      </c>
      <c r="E460" s="32">
        <f t="shared" si="483"/>
        <v>4.7173888888888982</v>
      </c>
      <c r="F460" s="32">
        <f t="shared" si="483"/>
        <v>4.1360000000000099</v>
      </c>
      <c r="G460" s="32">
        <f t="shared" si="483"/>
        <v>4.2985000000000042</v>
      </c>
      <c r="H460" s="32">
        <f t="shared" si="483"/>
        <v>4.2351666666666716</v>
      </c>
      <c r="I460" s="32">
        <f t="shared" si="483"/>
        <v>4.1057222222222265</v>
      </c>
      <c r="J460" s="32">
        <f t="shared" si="483"/>
        <v>4.6207222222222271</v>
      </c>
      <c r="K460" s="32">
        <f t="shared" si="483"/>
        <v>4.8857222222222276</v>
      </c>
      <c r="L460" s="32">
        <f t="shared" si="483"/>
        <v>4.8468333333333433</v>
      </c>
      <c r="M460" s="32">
        <f t="shared" si="483"/>
        <v>4.3707222222222271</v>
      </c>
      <c r="N460" s="32">
        <f t="shared" si="483"/>
        <v>4.0090555555555625</v>
      </c>
      <c r="O460" s="32">
        <f t="shared" si="483"/>
        <v>4.1287777777777848</v>
      </c>
      <c r="P460" s="32">
        <f t="shared" si="483"/>
        <v>4.3707222222222271</v>
      </c>
      <c r="Q460" s="32">
        <f t="shared" si="483"/>
        <v>4.3707222222222271</v>
      </c>
      <c r="R460" s="32">
        <f t="shared" si="483"/>
        <v>4.3315555555555605</v>
      </c>
      <c r="S460" s="32">
        <f t="shared" si="483"/>
        <v>4.5573888888888945</v>
      </c>
      <c r="T460" s="32">
        <f t="shared" si="483"/>
        <v>4.6364000000000019</v>
      </c>
      <c r="U460" s="32">
        <f t="shared" si="483"/>
        <v>4.1416777777777725</v>
      </c>
      <c r="V460" s="32">
        <f t="shared" si="483"/>
        <v>4.6364000000000019</v>
      </c>
      <c r="W460" s="32">
        <f t="shared" si="483"/>
        <v>4.3707222222222271</v>
      </c>
      <c r="Y460" s="392"/>
      <c r="Z460" s="392"/>
      <c r="AA460" s="392"/>
      <c r="AB460" s="392"/>
      <c r="AC460" s="392"/>
      <c r="AD460" s="392"/>
      <c r="AE460" s="392"/>
      <c r="AF460" s="392"/>
      <c r="AG460" s="392"/>
      <c r="AH460" s="392"/>
      <c r="AI460" s="392"/>
      <c r="AJ460" s="392"/>
      <c r="AK460" s="392"/>
      <c r="AL460" s="392"/>
      <c r="AM460" s="392"/>
      <c r="AN460" s="392"/>
      <c r="AO460" s="392"/>
      <c r="AP460" s="392"/>
      <c r="AQ460" s="392"/>
      <c r="AR460" s="392"/>
      <c r="AS460" s="392"/>
    </row>
    <row r="461" spans="2:45" s="33" customFormat="1" x14ac:dyDescent="0.3">
      <c r="B461" s="63" t="s">
        <v>200</v>
      </c>
      <c r="C461" s="64"/>
      <c r="D461" s="31">
        <f t="shared" ref="D461:W461" si="484">+D456-D$452</f>
        <v>5.1429444444444528</v>
      </c>
      <c r="E461" s="32">
        <f t="shared" si="484"/>
        <v>5.7173888888888982</v>
      </c>
      <c r="F461" s="32">
        <f t="shared" si="484"/>
        <v>5.1360000000000099</v>
      </c>
      <c r="G461" s="32">
        <f t="shared" si="484"/>
        <v>5.2985000000000042</v>
      </c>
      <c r="H461" s="32">
        <f t="shared" si="484"/>
        <v>5.2351666666666716</v>
      </c>
      <c r="I461" s="32">
        <f t="shared" si="484"/>
        <v>5.1057222222222265</v>
      </c>
      <c r="J461" s="32">
        <f t="shared" si="484"/>
        <v>5.6207222222222271</v>
      </c>
      <c r="K461" s="32">
        <f t="shared" si="484"/>
        <v>5.8857222222222276</v>
      </c>
      <c r="L461" s="32">
        <f t="shared" si="484"/>
        <v>5.8468333333333433</v>
      </c>
      <c r="M461" s="32">
        <f t="shared" si="484"/>
        <v>5.3707222222222271</v>
      </c>
      <c r="N461" s="32">
        <f t="shared" si="484"/>
        <v>5.0090555555555625</v>
      </c>
      <c r="O461" s="32">
        <f t="shared" si="484"/>
        <v>5.1287777777777848</v>
      </c>
      <c r="P461" s="32">
        <f t="shared" si="484"/>
        <v>5.3707222222222271</v>
      </c>
      <c r="Q461" s="32">
        <f t="shared" si="484"/>
        <v>5.3707222222222271</v>
      </c>
      <c r="R461" s="32">
        <f t="shared" si="484"/>
        <v>5.3315555555555605</v>
      </c>
      <c r="S461" s="32">
        <f t="shared" si="484"/>
        <v>5.5573888888888945</v>
      </c>
      <c r="T461" s="32">
        <f t="shared" si="484"/>
        <v>5.6364000000000019</v>
      </c>
      <c r="U461" s="32">
        <f t="shared" si="484"/>
        <v>5.1416777777777725</v>
      </c>
      <c r="V461" s="32">
        <f t="shared" si="484"/>
        <v>5.6364000000000019</v>
      </c>
      <c r="W461" s="32">
        <f t="shared" si="484"/>
        <v>5.3707222222222271</v>
      </c>
      <c r="Y461" s="392"/>
      <c r="Z461" s="392"/>
      <c r="AA461" s="392"/>
      <c r="AB461" s="392"/>
      <c r="AC461" s="392"/>
      <c r="AD461" s="392"/>
      <c r="AE461" s="392"/>
      <c r="AF461" s="392"/>
      <c r="AG461" s="392"/>
      <c r="AH461" s="392"/>
      <c r="AI461" s="392"/>
      <c r="AJ461" s="392"/>
      <c r="AK461" s="392"/>
      <c r="AL461" s="392"/>
      <c r="AM461" s="392"/>
      <c r="AN461" s="392"/>
      <c r="AO461" s="392"/>
      <c r="AP461" s="392"/>
      <c r="AQ461" s="392"/>
      <c r="AR461" s="392"/>
      <c r="AS461" s="392"/>
    </row>
    <row r="462" spans="2:45" s="33" customFormat="1" x14ac:dyDescent="0.3">
      <c r="B462" s="63" t="s">
        <v>201</v>
      </c>
      <c r="C462" s="64"/>
      <c r="D462" s="46">
        <f t="shared" ref="D462:W462" si="485">+D457-D$452</f>
        <v>6.1429444444444528</v>
      </c>
      <c r="E462" s="47">
        <f t="shared" si="485"/>
        <v>6.7173888888888982</v>
      </c>
      <c r="F462" s="47">
        <f t="shared" si="485"/>
        <v>6.1360000000000099</v>
      </c>
      <c r="G462" s="47">
        <f t="shared" si="485"/>
        <v>6.2985000000000042</v>
      </c>
      <c r="H462" s="47">
        <f t="shared" si="485"/>
        <v>6.2351666666666716</v>
      </c>
      <c r="I462" s="47">
        <f t="shared" si="485"/>
        <v>6.1057222222222265</v>
      </c>
      <c r="J462" s="47">
        <f t="shared" si="485"/>
        <v>6.6207222222222271</v>
      </c>
      <c r="K462" s="47">
        <f t="shared" si="485"/>
        <v>6.8857222222222276</v>
      </c>
      <c r="L462" s="47">
        <f t="shared" si="485"/>
        <v>6.8468333333333433</v>
      </c>
      <c r="M462" s="47">
        <f t="shared" si="485"/>
        <v>6.3707222222222271</v>
      </c>
      <c r="N462" s="47">
        <f t="shared" si="485"/>
        <v>6.0090555555555625</v>
      </c>
      <c r="O462" s="47">
        <f t="shared" si="485"/>
        <v>6.1287777777777848</v>
      </c>
      <c r="P462" s="47">
        <f t="shared" si="485"/>
        <v>6.3707222222222271</v>
      </c>
      <c r="Q462" s="47">
        <f t="shared" si="485"/>
        <v>6.3707222222222271</v>
      </c>
      <c r="R462" s="47">
        <f t="shared" si="485"/>
        <v>6.3315555555555605</v>
      </c>
      <c r="S462" s="47">
        <f t="shared" si="485"/>
        <v>6.5573888888888945</v>
      </c>
      <c r="T462" s="39">
        <f t="shared" si="485"/>
        <v>6.6364000000000019</v>
      </c>
      <c r="U462" s="39">
        <f t="shared" si="485"/>
        <v>6.1416777777777725</v>
      </c>
      <c r="V462" s="39">
        <f t="shared" si="485"/>
        <v>6.6364000000000019</v>
      </c>
      <c r="W462" s="47">
        <f t="shared" si="485"/>
        <v>6.3707222222222271</v>
      </c>
      <c r="Y462" s="392"/>
      <c r="Z462" s="392"/>
      <c r="AA462" s="392"/>
      <c r="AB462" s="392"/>
      <c r="AC462" s="392"/>
      <c r="AD462" s="392"/>
      <c r="AE462" s="392"/>
      <c r="AF462" s="392"/>
      <c r="AG462" s="392"/>
      <c r="AH462" s="392"/>
      <c r="AI462" s="392"/>
      <c r="AJ462" s="392"/>
      <c r="AK462" s="392"/>
      <c r="AL462" s="392"/>
      <c r="AM462" s="392"/>
      <c r="AN462" s="392"/>
      <c r="AO462" s="392"/>
      <c r="AP462" s="392"/>
      <c r="AQ462" s="392"/>
      <c r="AR462" s="392"/>
      <c r="AS462" s="392"/>
    </row>
    <row r="463" spans="2:45" x14ac:dyDescent="0.3">
      <c r="B463" s="65" t="s">
        <v>108</v>
      </c>
      <c r="C463" s="55"/>
      <c r="D463" s="43">
        <v>0</v>
      </c>
      <c r="E463" s="408">
        <v>0</v>
      </c>
      <c r="F463" s="408">
        <v>0</v>
      </c>
      <c r="G463" s="408">
        <v>0</v>
      </c>
      <c r="H463" s="408">
        <v>0</v>
      </c>
      <c r="I463" s="408">
        <v>0</v>
      </c>
      <c r="J463" s="408">
        <v>0</v>
      </c>
      <c r="K463" s="408">
        <v>0</v>
      </c>
      <c r="L463" s="408">
        <v>0</v>
      </c>
      <c r="M463" s="408">
        <v>0</v>
      </c>
      <c r="N463" s="408">
        <v>0</v>
      </c>
      <c r="O463" s="408">
        <v>0</v>
      </c>
      <c r="P463" s="408">
        <v>0</v>
      </c>
      <c r="Q463" s="408">
        <v>0</v>
      </c>
      <c r="R463" s="408">
        <v>0</v>
      </c>
      <c r="S463" s="408">
        <v>0</v>
      </c>
      <c r="T463" s="408">
        <v>0</v>
      </c>
      <c r="U463" s="408">
        <v>0</v>
      </c>
      <c r="V463" s="408">
        <v>0</v>
      </c>
      <c r="W463" s="408">
        <v>0</v>
      </c>
      <c r="Y463" s="409"/>
      <c r="Z463" s="409"/>
      <c r="AA463" s="409"/>
      <c r="AB463" s="409"/>
      <c r="AC463" s="409"/>
      <c r="AD463" s="409"/>
      <c r="AE463" s="409"/>
      <c r="AF463" s="409"/>
      <c r="AG463" s="409"/>
      <c r="AH463" s="409"/>
      <c r="AI463" s="409"/>
      <c r="AJ463" s="409"/>
      <c r="AK463" s="409"/>
      <c r="AL463" s="409"/>
      <c r="AM463" s="409"/>
      <c r="AN463" s="409"/>
      <c r="AO463" s="409"/>
      <c r="AP463" s="409"/>
      <c r="AQ463" s="409"/>
      <c r="AR463" s="409"/>
      <c r="AS463" s="409"/>
    </row>
    <row r="464" spans="2:45" s="36" customFormat="1" x14ac:dyDescent="0.3">
      <c r="B464" s="65" t="s">
        <v>202</v>
      </c>
      <c r="C464" s="66"/>
      <c r="D464" s="35">
        <f>+D459/D$454</f>
        <v>5.3270244821092418E-2</v>
      </c>
      <c r="E464" s="35">
        <f t="shared" ref="E464:W464" si="486">+E459/E$454</f>
        <v>5.8084201388889034E-2</v>
      </c>
      <c r="F464" s="35">
        <f t="shared" si="486"/>
        <v>4.8246153846154001E-2</v>
      </c>
      <c r="G464" s="35">
        <f t="shared" si="486"/>
        <v>5.3201612903225871E-2</v>
      </c>
      <c r="H464" s="35">
        <f t="shared" si="486"/>
        <v>5.4833333333333414E-2</v>
      </c>
      <c r="I464" s="35">
        <f t="shared" si="486"/>
        <v>5.1762037037037106E-2</v>
      </c>
      <c r="J464" s="35">
        <f t="shared" si="486"/>
        <v>5.7471781305114718E-2</v>
      </c>
      <c r="K464" s="35">
        <f t="shared" si="486"/>
        <v>6.2672939068100439E-2</v>
      </c>
      <c r="L464" s="35">
        <f t="shared" si="486"/>
        <v>6.1060846560846718E-2</v>
      </c>
      <c r="M464" s="35">
        <f t="shared" si="486"/>
        <v>5.713088512241063E-2</v>
      </c>
      <c r="N464" s="35">
        <f t="shared" si="486"/>
        <v>5.1000941619585807E-2</v>
      </c>
      <c r="O464" s="35">
        <f t="shared" si="486"/>
        <v>4.8887152777777887E-2</v>
      </c>
      <c r="P464" s="35">
        <f t="shared" si="486"/>
        <v>5.713088512241063E-2</v>
      </c>
      <c r="Q464" s="35">
        <f t="shared" si="486"/>
        <v>5.713088512241063E-2</v>
      </c>
      <c r="R464" s="35">
        <f t="shared" si="486"/>
        <v>5.5525925925926006E-2</v>
      </c>
      <c r="S464" s="35">
        <f t="shared" si="486"/>
        <v>5.9289814814814906E-2</v>
      </c>
      <c r="T464" s="35">
        <f t="shared" si="486"/>
        <v>5.772063492063495E-2</v>
      </c>
      <c r="U464" s="35">
        <f t="shared" si="486"/>
        <v>4.424898278560243E-2</v>
      </c>
      <c r="V464" s="35">
        <f t="shared" si="486"/>
        <v>5.772063492063495E-2</v>
      </c>
      <c r="W464" s="35">
        <f t="shared" si="486"/>
        <v>5.713088512241063E-2</v>
      </c>
      <c r="Y464" s="393"/>
      <c r="Z464" s="393"/>
      <c r="AA464" s="393"/>
      <c r="AB464" s="393"/>
      <c r="AC464" s="393"/>
      <c r="AD464" s="393"/>
      <c r="AE464" s="393"/>
      <c r="AF464" s="393"/>
      <c r="AG464" s="393"/>
      <c r="AH464" s="393"/>
      <c r="AI464" s="393"/>
      <c r="AJ464" s="393"/>
      <c r="AK464" s="393"/>
      <c r="AL464" s="393"/>
      <c r="AM464" s="393"/>
      <c r="AN464" s="393"/>
      <c r="AO464" s="393"/>
      <c r="AP464" s="393"/>
      <c r="AQ464" s="393"/>
      <c r="AR464" s="393"/>
      <c r="AS464" s="393"/>
    </row>
    <row r="465" spans="1:45" s="36" customFormat="1" x14ac:dyDescent="0.3">
      <c r="B465" s="65" t="s">
        <v>203</v>
      </c>
      <c r="C465" s="66"/>
      <c r="D465" s="35">
        <f>+D460/D$455</f>
        <v>6.9049074074074207E-2</v>
      </c>
      <c r="E465" s="35">
        <f t="shared" ref="E465:W465" si="487">+E460/E$455</f>
        <v>7.2575213675213815E-2</v>
      </c>
      <c r="F465" s="35">
        <f t="shared" si="487"/>
        <v>6.2666666666666815E-2</v>
      </c>
      <c r="G465" s="35">
        <f t="shared" si="487"/>
        <v>6.8230158730158794E-2</v>
      </c>
      <c r="H465" s="35">
        <f t="shared" si="487"/>
        <v>7.0586111111111197E-2</v>
      </c>
      <c r="I465" s="35">
        <f t="shared" si="487"/>
        <v>6.7306921675774206E-2</v>
      </c>
      <c r="J465" s="35">
        <f t="shared" si="487"/>
        <v>7.2198784722222298E-2</v>
      </c>
      <c r="K465" s="35">
        <f t="shared" si="487"/>
        <v>7.755114638447981E-2</v>
      </c>
      <c r="L465" s="35">
        <f t="shared" si="487"/>
        <v>7.5731770833333489E-2</v>
      </c>
      <c r="M465" s="35">
        <f t="shared" si="487"/>
        <v>7.2845370370370449E-2</v>
      </c>
      <c r="N465" s="35">
        <f t="shared" si="487"/>
        <v>6.6817592592592706E-2</v>
      </c>
      <c r="O465" s="35">
        <f t="shared" si="487"/>
        <v>6.3519658119658221E-2</v>
      </c>
      <c r="P465" s="35">
        <f t="shared" si="487"/>
        <v>7.2845370370370449E-2</v>
      </c>
      <c r="Q465" s="35">
        <f t="shared" si="487"/>
        <v>7.2845370370370449E-2</v>
      </c>
      <c r="R465" s="35">
        <f t="shared" si="487"/>
        <v>7.1009107468123944E-2</v>
      </c>
      <c r="S465" s="35">
        <f t="shared" si="487"/>
        <v>7.4711293260473682E-2</v>
      </c>
      <c r="T465" s="35">
        <f t="shared" si="487"/>
        <v>7.2443750000000029E-2</v>
      </c>
      <c r="U465" s="35">
        <f t="shared" si="487"/>
        <v>5.7523302469135729E-2</v>
      </c>
      <c r="V465" s="35">
        <f t="shared" si="487"/>
        <v>7.2443750000000029E-2</v>
      </c>
      <c r="W465" s="35">
        <f t="shared" si="487"/>
        <v>7.2845370370370449E-2</v>
      </c>
      <c r="Y465" s="393"/>
      <c r="Z465" s="393"/>
      <c r="AA465" s="393"/>
      <c r="AB465" s="393"/>
      <c r="AC465" s="393"/>
      <c r="AD465" s="393"/>
      <c r="AE465" s="393"/>
      <c r="AF465" s="393"/>
      <c r="AG465" s="393"/>
      <c r="AH465" s="393"/>
      <c r="AI465" s="393"/>
      <c r="AJ465" s="393"/>
      <c r="AK465" s="393"/>
      <c r="AL465" s="393"/>
      <c r="AM465" s="393"/>
      <c r="AN465" s="393"/>
      <c r="AO465" s="393"/>
      <c r="AP465" s="393"/>
      <c r="AQ465" s="393"/>
      <c r="AR465" s="393"/>
      <c r="AS465" s="393"/>
    </row>
    <row r="466" spans="1:45" s="36" customFormat="1" x14ac:dyDescent="0.3">
      <c r="B466" s="65" t="s">
        <v>204</v>
      </c>
      <c r="C466" s="66"/>
      <c r="D466" s="35">
        <f>+D461/D$456</f>
        <v>8.4310564663023821E-2</v>
      </c>
      <c r="E466" s="35">
        <f t="shared" ref="E466:W466" si="488">+E461/E$456</f>
        <v>8.6627104377104525E-2</v>
      </c>
      <c r="F466" s="35">
        <f t="shared" si="488"/>
        <v>7.6656716417910595E-2</v>
      </c>
      <c r="G466" s="35">
        <f t="shared" si="488"/>
        <v>8.2789062500000066E-2</v>
      </c>
      <c r="H466" s="35">
        <f t="shared" si="488"/>
        <v>8.5822404371584782E-2</v>
      </c>
      <c r="I466" s="35">
        <f t="shared" si="488"/>
        <v>8.2350358422939141E-2</v>
      </c>
      <c r="J466" s="35">
        <f t="shared" si="488"/>
        <v>8.6472649572649649E-2</v>
      </c>
      <c r="K466" s="35">
        <f t="shared" si="488"/>
        <v>9.1964409722222307E-2</v>
      </c>
      <c r="L466" s="35">
        <f t="shared" si="488"/>
        <v>8.9951282051282208E-2</v>
      </c>
      <c r="M466" s="35">
        <f t="shared" si="488"/>
        <v>8.8044626593807004E-2</v>
      </c>
      <c r="N466" s="35">
        <f t="shared" si="488"/>
        <v>8.2115664845173159E-2</v>
      </c>
      <c r="O466" s="35">
        <f t="shared" si="488"/>
        <v>7.770875420875431E-2</v>
      </c>
      <c r="P466" s="35">
        <f t="shared" si="488"/>
        <v>8.8044626593807004E-2</v>
      </c>
      <c r="Q466" s="35">
        <f t="shared" si="488"/>
        <v>8.8044626593807004E-2</v>
      </c>
      <c r="R466" s="35">
        <f t="shared" si="488"/>
        <v>8.5992831541218714E-2</v>
      </c>
      <c r="S466" s="35">
        <f t="shared" si="488"/>
        <v>8.9635304659498302E-2</v>
      </c>
      <c r="T466" s="35">
        <f t="shared" si="488"/>
        <v>8.6713846153846183E-2</v>
      </c>
      <c r="U466" s="35">
        <f t="shared" si="488"/>
        <v>7.0433942161339344E-2</v>
      </c>
      <c r="V466" s="35">
        <f t="shared" si="488"/>
        <v>8.6713846153846183E-2</v>
      </c>
      <c r="W466" s="35">
        <f t="shared" si="488"/>
        <v>8.8044626593807004E-2</v>
      </c>
      <c r="Y466" s="393"/>
      <c r="Z466" s="393"/>
      <c r="AA466" s="393"/>
      <c r="AB466" s="393"/>
      <c r="AC466" s="393"/>
      <c r="AD466" s="393"/>
      <c r="AE466" s="393"/>
      <c r="AF466" s="393"/>
      <c r="AG466" s="393"/>
      <c r="AH466" s="393"/>
      <c r="AI466" s="393"/>
      <c r="AJ466" s="393"/>
      <c r="AK466" s="393"/>
      <c r="AL466" s="393"/>
      <c r="AM466" s="393"/>
      <c r="AN466" s="393"/>
      <c r="AO466" s="393"/>
      <c r="AP466" s="393"/>
      <c r="AQ466" s="393"/>
      <c r="AR466" s="393"/>
      <c r="AS466" s="393"/>
    </row>
    <row r="467" spans="1:45" s="36" customFormat="1" x14ac:dyDescent="0.3">
      <c r="B467" s="65" t="s">
        <v>205</v>
      </c>
      <c r="C467" s="66"/>
      <c r="D467" s="35">
        <f>+D462/D$457</f>
        <v>9.907974910394278E-2</v>
      </c>
      <c r="E467" s="35">
        <f t="shared" ref="E467:W467" si="489">+E462/E$457</f>
        <v>0.10025953565505819</v>
      </c>
      <c r="F467" s="35">
        <f t="shared" si="489"/>
        <v>9.0235294117647205E-2</v>
      </c>
      <c r="G467" s="35">
        <f t="shared" si="489"/>
        <v>9.6900000000000069E-2</v>
      </c>
      <c r="H467" s="35">
        <f t="shared" si="489"/>
        <v>0.10056720430107535</v>
      </c>
      <c r="I467" s="35">
        <f t="shared" si="489"/>
        <v>9.6916225749559146E-2</v>
      </c>
      <c r="J467" s="35">
        <f t="shared" si="489"/>
        <v>0.10031397306397313</v>
      </c>
      <c r="K467" s="35">
        <f t="shared" si="489"/>
        <v>0.10593418803418812</v>
      </c>
      <c r="L467" s="35">
        <f t="shared" si="489"/>
        <v>0.10373989898989915</v>
      </c>
      <c r="M467" s="35">
        <f t="shared" si="489"/>
        <v>0.10275358422939077</v>
      </c>
      <c r="N467" s="35">
        <f t="shared" si="489"/>
        <v>9.6920250896057464E-2</v>
      </c>
      <c r="O467" s="35">
        <f t="shared" si="489"/>
        <v>9.1474295190713206E-2</v>
      </c>
      <c r="P467" s="35">
        <f t="shared" si="489"/>
        <v>0.10275358422939077</v>
      </c>
      <c r="Q467" s="35">
        <f t="shared" si="489"/>
        <v>0.10275358422939077</v>
      </c>
      <c r="R467" s="35">
        <f t="shared" si="489"/>
        <v>0.10050088183421525</v>
      </c>
      <c r="S467" s="35">
        <f t="shared" si="489"/>
        <v>0.10408553791887135</v>
      </c>
      <c r="T467" s="35">
        <f t="shared" si="489"/>
        <v>0.10055151515151518</v>
      </c>
      <c r="U467" s="35">
        <f t="shared" si="489"/>
        <v>8.2995645645645572E-2</v>
      </c>
      <c r="V467" s="35">
        <f t="shared" si="489"/>
        <v>0.10055151515151518</v>
      </c>
      <c r="W467" s="35">
        <f t="shared" si="489"/>
        <v>0.10275358422939077</v>
      </c>
      <c r="Y467" s="393"/>
      <c r="Z467" s="393"/>
      <c r="AA467" s="393"/>
      <c r="AB467" s="393"/>
      <c r="AC467" s="393"/>
      <c r="AD467" s="393"/>
      <c r="AE467" s="393"/>
      <c r="AF467" s="393"/>
      <c r="AG467" s="393"/>
      <c r="AH467" s="393"/>
      <c r="AI467" s="393"/>
      <c r="AJ467" s="393"/>
      <c r="AK467" s="393"/>
      <c r="AL467" s="393"/>
      <c r="AM467" s="393"/>
      <c r="AN467" s="393"/>
      <c r="AO467" s="393"/>
      <c r="AP467" s="393"/>
      <c r="AQ467" s="393"/>
      <c r="AR467" s="393"/>
      <c r="AS467" s="393"/>
    </row>
    <row r="468" spans="1:45" ht="21" thickBot="1" x14ac:dyDescent="0.35"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Y468" s="390"/>
      <c r="Z468" s="390"/>
      <c r="AA468" s="390"/>
      <c r="AB468" s="390"/>
      <c r="AC468" s="390"/>
      <c r="AD468" s="390"/>
      <c r="AE468" s="390"/>
      <c r="AF468" s="390"/>
      <c r="AG468" s="390"/>
      <c r="AH468" s="390"/>
      <c r="AI468" s="390"/>
      <c r="AJ468" s="390"/>
      <c r="AK468" s="390"/>
      <c r="AL468" s="390"/>
      <c r="AM468" s="390"/>
      <c r="AN468" s="390"/>
      <c r="AO468" s="390"/>
      <c r="AP468" s="390"/>
      <c r="AQ468" s="390"/>
      <c r="AR468" s="390"/>
      <c r="AS468" s="390"/>
    </row>
    <row r="469" spans="1:45" ht="21" thickBot="1" x14ac:dyDescent="0.35">
      <c r="A469" s="15" t="s">
        <v>326</v>
      </c>
      <c r="B469" s="74" t="s">
        <v>64</v>
      </c>
      <c r="C469" s="68"/>
      <c r="D469" s="17" t="s">
        <v>5</v>
      </c>
      <c r="E469" s="18" t="s">
        <v>6</v>
      </c>
      <c r="F469" s="18" t="s">
        <v>7</v>
      </c>
      <c r="G469" s="18" t="s">
        <v>8</v>
      </c>
      <c r="H469" s="18" t="s">
        <v>9</v>
      </c>
      <c r="I469" s="18" t="s">
        <v>10</v>
      </c>
      <c r="J469" s="18" t="s">
        <v>11</v>
      </c>
      <c r="K469" s="18" t="s">
        <v>12</v>
      </c>
      <c r="L469" s="18" t="s">
        <v>13</v>
      </c>
      <c r="M469" s="18" t="s">
        <v>14</v>
      </c>
      <c r="N469" s="18" t="s">
        <v>15</v>
      </c>
      <c r="O469" s="18" t="s">
        <v>16</v>
      </c>
      <c r="P469" s="18" t="s">
        <v>17</v>
      </c>
      <c r="Q469" s="18" t="s">
        <v>18</v>
      </c>
      <c r="R469" s="18" t="s">
        <v>19</v>
      </c>
      <c r="S469" s="18" t="s">
        <v>20</v>
      </c>
      <c r="T469" s="18" t="s">
        <v>21</v>
      </c>
      <c r="U469" s="18" t="s">
        <v>22</v>
      </c>
      <c r="V469" s="18" t="s">
        <v>23</v>
      </c>
      <c r="W469" s="18" t="s">
        <v>166</v>
      </c>
      <c r="Y469" s="390"/>
      <c r="Z469" s="390"/>
      <c r="AA469" s="390"/>
      <c r="AB469" s="390"/>
      <c r="AC469" s="390"/>
      <c r="AD469" s="390"/>
      <c r="AE469" s="390"/>
      <c r="AF469" s="390"/>
      <c r="AG469" s="390"/>
      <c r="AH469" s="390"/>
      <c r="AI469" s="390"/>
      <c r="AJ469" s="390"/>
      <c r="AK469" s="390"/>
      <c r="AL469" s="390"/>
      <c r="AM469" s="390"/>
      <c r="AN469" s="390"/>
      <c r="AO469" s="390"/>
      <c r="AP469" s="390"/>
      <c r="AQ469" s="390"/>
      <c r="AR469" s="390"/>
      <c r="AS469" s="390"/>
    </row>
    <row r="470" spans="1:45" x14ac:dyDescent="0.3">
      <c r="B470" s="54" t="s">
        <v>50</v>
      </c>
      <c r="C470" s="55"/>
      <c r="D470" s="20">
        <v>89</v>
      </c>
      <c r="E470" s="21">
        <v>89</v>
      </c>
      <c r="F470" s="21">
        <v>89</v>
      </c>
      <c r="G470" s="21">
        <v>89</v>
      </c>
      <c r="H470" s="21">
        <v>89</v>
      </c>
      <c r="I470" s="21">
        <v>89</v>
      </c>
      <c r="J470" s="21">
        <v>89</v>
      </c>
      <c r="K470" s="21">
        <v>89</v>
      </c>
      <c r="L470" s="21">
        <v>89</v>
      </c>
      <c r="M470" s="21">
        <v>89</v>
      </c>
      <c r="N470" s="21">
        <v>89</v>
      </c>
      <c r="O470" s="21">
        <v>89</v>
      </c>
      <c r="P470" s="21">
        <v>89</v>
      </c>
      <c r="Q470" s="21">
        <v>89</v>
      </c>
      <c r="R470" s="21">
        <v>89</v>
      </c>
      <c r="S470" s="21">
        <v>89</v>
      </c>
      <c r="T470" s="21"/>
      <c r="U470" s="21"/>
      <c r="V470" s="21"/>
      <c r="W470" s="21">
        <v>89</v>
      </c>
      <c r="Y470" s="390"/>
      <c r="Z470" s="390"/>
      <c r="AA470" s="390"/>
      <c r="AB470" s="390"/>
      <c r="AC470" s="390"/>
      <c r="AD470" s="390"/>
      <c r="AE470" s="390"/>
      <c r="AF470" s="390"/>
      <c r="AG470" s="390"/>
      <c r="AH470" s="390"/>
      <c r="AI470" s="390"/>
      <c r="AJ470" s="390"/>
      <c r="AK470" s="390"/>
      <c r="AL470" s="390"/>
      <c r="AM470" s="390"/>
      <c r="AN470" s="390"/>
      <c r="AO470" s="390"/>
      <c r="AP470" s="390"/>
      <c r="AQ470" s="390"/>
      <c r="AR470" s="390"/>
      <c r="AS470" s="390"/>
    </row>
    <row r="471" spans="1:45" x14ac:dyDescent="0.3">
      <c r="B471" s="54" t="s">
        <v>51</v>
      </c>
      <c r="C471" s="55"/>
      <c r="D471" s="218">
        <v>0.45</v>
      </c>
      <c r="E471" s="218">
        <f>D471</f>
        <v>0.45</v>
      </c>
      <c r="F471" s="218">
        <f>D471</f>
        <v>0.45</v>
      </c>
      <c r="G471" s="218">
        <f>D471</f>
        <v>0.45</v>
      </c>
      <c r="H471" s="218">
        <f>D471</f>
        <v>0.45</v>
      </c>
      <c r="I471" s="218">
        <f>D471</f>
        <v>0.45</v>
      </c>
      <c r="J471" s="218">
        <f>D471</f>
        <v>0.45</v>
      </c>
      <c r="K471" s="218">
        <f>D471</f>
        <v>0.45</v>
      </c>
      <c r="L471" s="218">
        <f>D471</f>
        <v>0.45</v>
      </c>
      <c r="M471" s="218">
        <f>D471</f>
        <v>0.45</v>
      </c>
      <c r="N471" s="218">
        <f>D471</f>
        <v>0.45</v>
      </c>
      <c r="O471" s="218">
        <f>D471</f>
        <v>0.45</v>
      </c>
      <c r="P471" s="218">
        <f>D471</f>
        <v>0.45</v>
      </c>
      <c r="Q471" s="218">
        <f>D471</f>
        <v>0.45</v>
      </c>
      <c r="R471" s="218">
        <f>D471</f>
        <v>0.45</v>
      </c>
      <c r="S471" s="218">
        <f>D471</f>
        <v>0.45</v>
      </c>
      <c r="T471" s="218"/>
      <c r="U471" s="218"/>
      <c r="V471" s="218"/>
      <c r="W471" s="218">
        <f>D471</f>
        <v>0.45</v>
      </c>
      <c r="Y471" s="390"/>
      <c r="Z471" s="390"/>
      <c r="AA471" s="390"/>
      <c r="AB471" s="390"/>
      <c r="AC471" s="390"/>
      <c r="AD471" s="390"/>
      <c r="AE471" s="390"/>
      <c r="AF471" s="390"/>
      <c r="AG471" s="390"/>
      <c r="AH471" s="390"/>
      <c r="AI471" s="390"/>
      <c r="AJ471" s="390"/>
      <c r="AK471" s="390"/>
      <c r="AL471" s="390"/>
      <c r="AM471" s="390"/>
      <c r="AN471" s="390"/>
      <c r="AO471" s="390"/>
      <c r="AP471" s="390"/>
      <c r="AQ471" s="390"/>
      <c r="AR471" s="390"/>
      <c r="AS471" s="390"/>
    </row>
    <row r="472" spans="1:45" x14ac:dyDescent="0.3">
      <c r="B472" s="54" t="s">
        <v>56</v>
      </c>
      <c r="C472" s="55"/>
      <c r="D472" s="24">
        <v>0</v>
      </c>
      <c r="E472" s="24">
        <v>0</v>
      </c>
      <c r="F472" s="21">
        <v>0</v>
      </c>
      <c r="G472" s="21">
        <v>0</v>
      </c>
      <c r="H472" s="21">
        <v>0</v>
      </c>
      <c r="I472" s="21">
        <v>0</v>
      </c>
      <c r="J472" s="21">
        <v>0</v>
      </c>
      <c r="K472" s="21">
        <v>0</v>
      </c>
      <c r="L472" s="21">
        <v>0</v>
      </c>
      <c r="M472" s="21">
        <v>0</v>
      </c>
      <c r="N472" s="21">
        <v>0</v>
      </c>
      <c r="O472" s="21">
        <v>0</v>
      </c>
      <c r="P472" s="21">
        <v>0</v>
      </c>
      <c r="Q472" s="21">
        <v>0</v>
      </c>
      <c r="R472" s="21">
        <v>0</v>
      </c>
      <c r="S472" s="21">
        <v>0</v>
      </c>
      <c r="T472" s="21"/>
      <c r="U472" s="21"/>
      <c r="V472" s="21"/>
      <c r="W472" s="21">
        <v>0</v>
      </c>
      <c r="Y472" s="390"/>
      <c r="Z472" s="390"/>
      <c r="AA472" s="390"/>
      <c r="AB472" s="390"/>
      <c r="AC472" s="390"/>
      <c r="AD472" s="390"/>
      <c r="AE472" s="390"/>
      <c r="AF472" s="390"/>
      <c r="AG472" s="390"/>
      <c r="AH472" s="390"/>
      <c r="AI472" s="390"/>
      <c r="AJ472" s="390"/>
      <c r="AK472" s="390"/>
      <c r="AL472" s="390"/>
      <c r="AM472" s="390"/>
      <c r="AN472" s="390"/>
      <c r="AO472" s="390"/>
      <c r="AP472" s="390"/>
      <c r="AQ472" s="390"/>
      <c r="AR472" s="390"/>
      <c r="AS472" s="390"/>
    </row>
    <row r="473" spans="1:45" x14ac:dyDescent="0.3">
      <c r="B473" s="177" t="s">
        <v>67</v>
      </c>
      <c r="C473" s="178"/>
      <c r="D473" s="323">
        <f>D470-(D470*D471)</f>
        <v>48.949999999999996</v>
      </c>
      <c r="E473" s="323">
        <f t="shared" ref="E473:W473" si="490">E470-(E470*E471)</f>
        <v>48.949999999999996</v>
      </c>
      <c r="F473" s="323">
        <f t="shared" si="490"/>
        <v>48.949999999999996</v>
      </c>
      <c r="G473" s="323">
        <f t="shared" si="490"/>
        <v>48.949999999999996</v>
      </c>
      <c r="H473" s="323">
        <f t="shared" si="490"/>
        <v>48.949999999999996</v>
      </c>
      <c r="I473" s="323">
        <f t="shared" si="490"/>
        <v>48.949999999999996</v>
      </c>
      <c r="J473" s="323">
        <f t="shared" si="490"/>
        <v>48.949999999999996</v>
      </c>
      <c r="K473" s="323">
        <f t="shared" si="490"/>
        <v>48.949999999999996</v>
      </c>
      <c r="L473" s="323">
        <f t="shared" si="490"/>
        <v>48.949999999999996</v>
      </c>
      <c r="M473" s="323">
        <f t="shared" si="490"/>
        <v>48.949999999999996</v>
      </c>
      <c r="N473" s="323">
        <f t="shared" si="490"/>
        <v>48.949999999999996</v>
      </c>
      <c r="O473" s="323">
        <f t="shared" si="490"/>
        <v>48.949999999999996</v>
      </c>
      <c r="P473" s="323">
        <f t="shared" si="490"/>
        <v>48.949999999999996</v>
      </c>
      <c r="Q473" s="323">
        <f t="shared" si="490"/>
        <v>48.949999999999996</v>
      </c>
      <c r="R473" s="323">
        <f t="shared" si="490"/>
        <v>48.949999999999996</v>
      </c>
      <c r="S473" s="323">
        <f t="shared" si="490"/>
        <v>48.949999999999996</v>
      </c>
      <c r="T473" s="323">
        <v>55.48</v>
      </c>
      <c r="U473" s="323">
        <v>55.48</v>
      </c>
      <c r="V473" s="323">
        <v>55.48</v>
      </c>
      <c r="W473" s="323">
        <f t="shared" si="490"/>
        <v>48.949999999999996</v>
      </c>
      <c r="Y473" s="390"/>
      <c r="Z473" s="390"/>
      <c r="AA473" s="390"/>
      <c r="AB473" s="390"/>
      <c r="AC473" s="390"/>
      <c r="AD473" s="390"/>
      <c r="AE473" s="390"/>
      <c r="AF473" s="390"/>
      <c r="AG473" s="390"/>
      <c r="AH473" s="390"/>
      <c r="AI473" s="390"/>
      <c r="AJ473" s="390"/>
      <c r="AK473" s="390"/>
      <c r="AL473" s="390"/>
      <c r="AM473" s="390"/>
      <c r="AN473" s="390"/>
      <c r="AO473" s="390"/>
      <c r="AP473" s="390"/>
      <c r="AQ473" s="390"/>
      <c r="AR473" s="390"/>
      <c r="AS473" s="390"/>
    </row>
    <row r="474" spans="1:45" x14ac:dyDescent="0.3">
      <c r="B474" s="54" t="s">
        <v>66</v>
      </c>
      <c r="C474" s="56">
        <v>7.0000000000000007E-2</v>
      </c>
      <c r="D474" s="24">
        <f t="shared" ref="D474:W474" si="491">D473*$C474</f>
        <v>3.4264999999999999</v>
      </c>
      <c r="E474" s="24">
        <f t="shared" si="491"/>
        <v>3.4264999999999999</v>
      </c>
      <c r="F474" s="24">
        <f t="shared" si="491"/>
        <v>3.4264999999999999</v>
      </c>
      <c r="G474" s="24">
        <f t="shared" si="491"/>
        <v>3.4264999999999999</v>
      </c>
      <c r="H474" s="24">
        <f t="shared" si="491"/>
        <v>3.4264999999999999</v>
      </c>
      <c r="I474" s="24">
        <f t="shared" si="491"/>
        <v>3.4264999999999999</v>
      </c>
      <c r="J474" s="24">
        <f t="shared" si="491"/>
        <v>3.4264999999999999</v>
      </c>
      <c r="K474" s="24">
        <f t="shared" si="491"/>
        <v>3.4264999999999999</v>
      </c>
      <c r="L474" s="24">
        <f t="shared" si="491"/>
        <v>3.4264999999999999</v>
      </c>
      <c r="M474" s="24">
        <f t="shared" si="491"/>
        <v>3.4264999999999999</v>
      </c>
      <c r="N474" s="24">
        <f t="shared" si="491"/>
        <v>3.4264999999999999</v>
      </c>
      <c r="O474" s="24">
        <f t="shared" si="491"/>
        <v>3.4264999999999999</v>
      </c>
      <c r="P474" s="24">
        <f t="shared" si="491"/>
        <v>3.4264999999999999</v>
      </c>
      <c r="Q474" s="24">
        <f t="shared" si="491"/>
        <v>3.4264999999999999</v>
      </c>
      <c r="R474" s="24">
        <f t="shared" si="491"/>
        <v>3.4264999999999999</v>
      </c>
      <c r="S474" s="24">
        <f t="shared" si="491"/>
        <v>3.4264999999999999</v>
      </c>
      <c r="T474" s="24">
        <f t="shared" si="491"/>
        <v>3.8835999999999999</v>
      </c>
      <c r="U474" s="24">
        <f t="shared" si="491"/>
        <v>3.8835999999999999</v>
      </c>
      <c r="V474" s="24">
        <f t="shared" si="491"/>
        <v>3.8835999999999999</v>
      </c>
      <c r="W474" s="24">
        <f t="shared" si="491"/>
        <v>3.4264999999999999</v>
      </c>
      <c r="Y474" s="390"/>
      <c r="Z474" s="390"/>
      <c r="AA474" s="390"/>
      <c r="AB474" s="390"/>
      <c r="AC474" s="390"/>
      <c r="AD474" s="390"/>
      <c r="AE474" s="390"/>
      <c r="AF474" s="390"/>
      <c r="AG474" s="390"/>
      <c r="AH474" s="390"/>
      <c r="AI474" s="390"/>
      <c r="AJ474" s="390"/>
      <c r="AK474" s="390"/>
      <c r="AL474" s="390"/>
      <c r="AM474" s="390"/>
      <c r="AN474" s="390"/>
      <c r="AO474" s="390"/>
      <c r="AP474" s="390"/>
      <c r="AQ474" s="390"/>
      <c r="AR474" s="390"/>
      <c r="AS474" s="390"/>
    </row>
    <row r="475" spans="1:45" x14ac:dyDescent="0.3">
      <c r="B475" s="54" t="s">
        <v>68</v>
      </c>
      <c r="C475" s="55"/>
      <c r="D475" s="21">
        <f t="shared" ref="D475:W475" si="492">D473+D474</f>
        <v>52.376499999999993</v>
      </c>
      <c r="E475" s="21">
        <f t="shared" si="492"/>
        <v>52.376499999999993</v>
      </c>
      <c r="F475" s="21">
        <f t="shared" si="492"/>
        <v>52.376499999999993</v>
      </c>
      <c r="G475" s="21">
        <f t="shared" si="492"/>
        <v>52.376499999999993</v>
      </c>
      <c r="H475" s="21">
        <f t="shared" si="492"/>
        <v>52.376499999999993</v>
      </c>
      <c r="I475" s="21">
        <f t="shared" si="492"/>
        <v>52.376499999999993</v>
      </c>
      <c r="J475" s="21">
        <f t="shared" si="492"/>
        <v>52.376499999999993</v>
      </c>
      <c r="K475" s="21">
        <f t="shared" si="492"/>
        <v>52.376499999999993</v>
      </c>
      <c r="L475" s="21">
        <f t="shared" si="492"/>
        <v>52.376499999999993</v>
      </c>
      <c r="M475" s="21">
        <f t="shared" si="492"/>
        <v>52.376499999999993</v>
      </c>
      <c r="N475" s="21">
        <f t="shared" si="492"/>
        <v>52.376499999999993</v>
      </c>
      <c r="O475" s="21">
        <f t="shared" si="492"/>
        <v>52.376499999999993</v>
      </c>
      <c r="P475" s="21">
        <f t="shared" si="492"/>
        <v>52.376499999999993</v>
      </c>
      <c r="Q475" s="21">
        <f t="shared" si="492"/>
        <v>52.376499999999993</v>
      </c>
      <c r="R475" s="21">
        <f t="shared" si="492"/>
        <v>52.376499999999993</v>
      </c>
      <c r="S475" s="21">
        <f t="shared" si="492"/>
        <v>52.376499999999993</v>
      </c>
      <c r="T475" s="21">
        <f t="shared" si="492"/>
        <v>59.363599999999998</v>
      </c>
      <c r="U475" s="21">
        <f t="shared" si="492"/>
        <v>59.363599999999998</v>
      </c>
      <c r="V475" s="21">
        <f t="shared" si="492"/>
        <v>59.363599999999998</v>
      </c>
      <c r="W475" s="21">
        <f t="shared" si="492"/>
        <v>52.376499999999993</v>
      </c>
      <c r="Y475" s="390"/>
      <c r="Z475" s="390"/>
      <c r="AA475" s="390"/>
      <c r="AB475" s="390"/>
      <c r="AC475" s="390"/>
      <c r="AD475" s="390"/>
      <c r="AE475" s="390"/>
      <c r="AF475" s="390"/>
      <c r="AG475" s="390"/>
      <c r="AH475" s="390"/>
      <c r="AI475" s="390"/>
      <c r="AJ475" s="390"/>
      <c r="AK475" s="390"/>
      <c r="AL475" s="390"/>
      <c r="AM475" s="390"/>
      <c r="AN475" s="390"/>
      <c r="AO475" s="390"/>
      <c r="AP475" s="390"/>
      <c r="AQ475" s="390"/>
      <c r="AR475" s="390"/>
      <c r="AS475" s="390"/>
    </row>
    <row r="476" spans="1:45" x14ac:dyDescent="0.3">
      <c r="B476" s="54" t="s">
        <v>52</v>
      </c>
      <c r="C476" s="55"/>
      <c r="D476" s="398">
        <f>Y478</f>
        <v>3.4805555555555556</v>
      </c>
      <c r="E476" s="398">
        <f t="shared" ref="E476:W476" si="493">Z478</f>
        <v>7.9061111111111115</v>
      </c>
      <c r="F476" s="398">
        <f t="shared" si="493"/>
        <v>9.4875000000000007</v>
      </c>
      <c r="G476" s="398">
        <f t="shared" si="493"/>
        <v>6.3250000000000002</v>
      </c>
      <c r="H476" s="398">
        <f t="shared" si="493"/>
        <v>3.3883333333333332</v>
      </c>
      <c r="I476" s="398">
        <f t="shared" si="493"/>
        <v>4.5177777777777779</v>
      </c>
      <c r="J476" s="398">
        <f t="shared" si="493"/>
        <v>7.0027777777777782</v>
      </c>
      <c r="K476" s="398">
        <f t="shared" si="493"/>
        <v>5.7377777777777776</v>
      </c>
      <c r="L476" s="398">
        <f t="shared" si="493"/>
        <v>6.7766666666666664</v>
      </c>
      <c r="M476" s="398">
        <f t="shared" si="493"/>
        <v>3.2527777777777778</v>
      </c>
      <c r="N476" s="398">
        <f t="shared" si="493"/>
        <v>3.6144444444444446</v>
      </c>
      <c r="O476" s="398">
        <f t="shared" si="493"/>
        <v>8.4947222222222223</v>
      </c>
      <c r="P476" s="398">
        <f t="shared" si="493"/>
        <v>3.2527777777777778</v>
      </c>
      <c r="Q476" s="398">
        <f t="shared" si="493"/>
        <v>3.2527777777777778</v>
      </c>
      <c r="R476" s="398">
        <f t="shared" si="493"/>
        <v>4.2919444444444448</v>
      </c>
      <c r="S476" s="398">
        <f t="shared" si="493"/>
        <v>4.0661111111111108</v>
      </c>
      <c r="T476" s="398">
        <f t="shared" si="493"/>
        <v>0</v>
      </c>
      <c r="U476" s="398">
        <f t="shared" si="493"/>
        <v>8.4947222222222223</v>
      </c>
      <c r="V476" s="398">
        <f t="shared" si="493"/>
        <v>0</v>
      </c>
      <c r="W476" s="398">
        <f t="shared" si="493"/>
        <v>3.2527777777777778</v>
      </c>
      <c r="Y476" s="390">
        <v>12530</v>
      </c>
      <c r="Z476" s="390">
        <v>28462</v>
      </c>
      <c r="AA476" s="390">
        <v>34155</v>
      </c>
      <c r="AB476" s="390">
        <v>22770</v>
      </c>
      <c r="AC476" s="390">
        <v>12198</v>
      </c>
      <c r="AD476" s="390">
        <v>16264</v>
      </c>
      <c r="AE476" s="390">
        <v>25210</v>
      </c>
      <c r="AF476" s="390">
        <v>20656</v>
      </c>
      <c r="AG476" s="390">
        <v>24396</v>
      </c>
      <c r="AH476" s="390">
        <v>11710</v>
      </c>
      <c r="AI476" s="390">
        <v>13012</v>
      </c>
      <c r="AJ476" s="390">
        <v>30581</v>
      </c>
      <c r="AK476" s="396">
        <v>11710</v>
      </c>
      <c r="AL476" s="396">
        <v>11710</v>
      </c>
      <c r="AM476" s="390">
        <v>15451</v>
      </c>
      <c r="AN476" s="390">
        <v>14638</v>
      </c>
      <c r="AO476" s="390"/>
      <c r="AP476" s="396">
        <v>30581</v>
      </c>
      <c r="AQ476" s="390"/>
      <c r="AR476" s="396">
        <v>11710</v>
      </c>
      <c r="AS476" s="390"/>
    </row>
    <row r="477" spans="1:45" x14ac:dyDescent="0.3">
      <c r="B477" s="57" t="s">
        <v>53</v>
      </c>
      <c r="C477" s="58"/>
      <c r="D477" s="25">
        <f>SUM(D475:D476)</f>
        <v>55.857055555555547</v>
      </c>
      <c r="E477" s="26">
        <f t="shared" ref="E477:V477" si="494">SUM(E475:E476)</f>
        <v>60.282611111111102</v>
      </c>
      <c r="F477" s="26">
        <f t="shared" si="494"/>
        <v>61.86399999999999</v>
      </c>
      <c r="G477" s="26">
        <f t="shared" si="494"/>
        <v>58.701499999999996</v>
      </c>
      <c r="H477" s="26">
        <f t="shared" si="494"/>
        <v>55.764833333333328</v>
      </c>
      <c r="I477" s="26">
        <f t="shared" si="494"/>
        <v>56.894277777777774</v>
      </c>
      <c r="J477" s="26">
        <f t="shared" si="494"/>
        <v>59.379277777777773</v>
      </c>
      <c r="K477" s="26">
        <f t="shared" si="494"/>
        <v>58.114277777777772</v>
      </c>
      <c r="L477" s="26">
        <f t="shared" si="494"/>
        <v>59.153166666666657</v>
      </c>
      <c r="M477" s="26">
        <f t="shared" si="494"/>
        <v>55.629277777777773</v>
      </c>
      <c r="N477" s="26">
        <f t="shared" si="494"/>
        <v>55.990944444444438</v>
      </c>
      <c r="O477" s="26">
        <f t="shared" si="494"/>
        <v>60.871222222222215</v>
      </c>
      <c r="P477" s="26">
        <f t="shared" si="494"/>
        <v>55.629277777777773</v>
      </c>
      <c r="Q477" s="26">
        <f t="shared" si="494"/>
        <v>55.629277777777773</v>
      </c>
      <c r="R477" s="26">
        <f t="shared" si="494"/>
        <v>56.66844444444444</v>
      </c>
      <c r="S477" s="26">
        <f t="shared" si="494"/>
        <v>56.442611111111106</v>
      </c>
      <c r="T477" s="26">
        <f t="shared" si="494"/>
        <v>59.363599999999998</v>
      </c>
      <c r="U477" s="26">
        <f t="shared" si="494"/>
        <v>67.858322222222228</v>
      </c>
      <c r="V477" s="26">
        <f t="shared" si="494"/>
        <v>59.363599999999998</v>
      </c>
      <c r="W477" s="26">
        <f>SUM(W475:W476)</f>
        <v>55.629277777777773</v>
      </c>
      <c r="Y477" s="390">
        <v>3600</v>
      </c>
      <c r="Z477" s="390">
        <v>3600</v>
      </c>
      <c r="AA477" s="390">
        <v>3600</v>
      </c>
      <c r="AB477" s="390">
        <v>3600</v>
      </c>
      <c r="AC477" s="390">
        <v>3600</v>
      </c>
      <c r="AD477" s="390">
        <v>3600</v>
      </c>
      <c r="AE477" s="390">
        <v>3600</v>
      </c>
      <c r="AF477" s="390">
        <v>3600</v>
      </c>
      <c r="AG477" s="390">
        <v>3600</v>
      </c>
      <c r="AH477" s="390">
        <v>3600</v>
      </c>
      <c r="AI477" s="390">
        <v>3600</v>
      </c>
      <c r="AJ477" s="390">
        <v>3600</v>
      </c>
      <c r="AK477" s="390">
        <v>3600</v>
      </c>
      <c r="AL477" s="390">
        <v>3600</v>
      </c>
      <c r="AM477" s="390">
        <v>3600</v>
      </c>
      <c r="AN477" s="390">
        <v>3600</v>
      </c>
      <c r="AO477" s="390"/>
      <c r="AP477" s="390">
        <v>3600</v>
      </c>
      <c r="AQ477" s="390"/>
      <c r="AR477" s="390">
        <v>3600</v>
      </c>
      <c r="AS477" s="390"/>
    </row>
    <row r="478" spans="1:45" x14ac:dyDescent="0.3">
      <c r="B478" s="54" t="s">
        <v>54</v>
      </c>
      <c r="C478" s="55"/>
      <c r="D478" s="20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Y478" s="389">
        <f>Y476/Y477</f>
        <v>3.4805555555555556</v>
      </c>
      <c r="Z478" s="389">
        <f t="shared" ref="Z478:AN478" si="495">Z476/Z477</f>
        <v>7.9061111111111115</v>
      </c>
      <c r="AA478" s="389">
        <f t="shared" si="495"/>
        <v>9.4875000000000007</v>
      </c>
      <c r="AB478" s="389">
        <f t="shared" si="495"/>
        <v>6.3250000000000002</v>
      </c>
      <c r="AC478" s="389">
        <f t="shared" si="495"/>
        <v>3.3883333333333332</v>
      </c>
      <c r="AD478" s="389">
        <f t="shared" si="495"/>
        <v>4.5177777777777779</v>
      </c>
      <c r="AE478" s="389">
        <f t="shared" si="495"/>
        <v>7.0027777777777782</v>
      </c>
      <c r="AF478" s="389">
        <f t="shared" si="495"/>
        <v>5.7377777777777776</v>
      </c>
      <c r="AG478" s="389">
        <f t="shared" si="495"/>
        <v>6.7766666666666664</v>
      </c>
      <c r="AH478" s="389">
        <f t="shared" si="495"/>
        <v>3.2527777777777778</v>
      </c>
      <c r="AI478" s="389">
        <f t="shared" si="495"/>
        <v>3.6144444444444446</v>
      </c>
      <c r="AJ478" s="389">
        <f t="shared" si="495"/>
        <v>8.4947222222222223</v>
      </c>
      <c r="AK478" s="389">
        <f t="shared" si="495"/>
        <v>3.2527777777777778</v>
      </c>
      <c r="AL478" s="389">
        <f t="shared" si="495"/>
        <v>3.2527777777777778</v>
      </c>
      <c r="AM478" s="389">
        <f t="shared" si="495"/>
        <v>4.2919444444444448</v>
      </c>
      <c r="AN478" s="389">
        <f t="shared" si="495"/>
        <v>4.0661111111111108</v>
      </c>
      <c r="AO478" s="390"/>
      <c r="AP478" s="389">
        <f t="shared" ref="AP478" si="496">AP476/AP477</f>
        <v>8.4947222222222223</v>
      </c>
      <c r="AQ478" s="390"/>
      <c r="AR478" s="389">
        <f t="shared" ref="AR478" si="497">AR476/AR477</f>
        <v>3.2527777777777778</v>
      </c>
      <c r="AS478" s="390"/>
    </row>
    <row r="479" spans="1:45" x14ac:dyDescent="0.3">
      <c r="B479" s="59" t="s">
        <v>55</v>
      </c>
      <c r="C479" s="60"/>
      <c r="D479" s="27">
        <f t="shared" ref="D479:W479" si="498">SUM(D477:D478)</f>
        <v>55.857055555555547</v>
      </c>
      <c r="E479" s="41">
        <f t="shared" si="498"/>
        <v>60.282611111111102</v>
      </c>
      <c r="F479" s="41">
        <f t="shared" si="498"/>
        <v>61.86399999999999</v>
      </c>
      <c r="G479" s="41">
        <f t="shared" si="498"/>
        <v>58.701499999999996</v>
      </c>
      <c r="H479" s="41">
        <f t="shared" si="498"/>
        <v>55.764833333333328</v>
      </c>
      <c r="I479" s="41">
        <f t="shared" si="498"/>
        <v>56.894277777777774</v>
      </c>
      <c r="J479" s="41">
        <f t="shared" si="498"/>
        <v>59.379277777777773</v>
      </c>
      <c r="K479" s="41">
        <f t="shared" si="498"/>
        <v>58.114277777777772</v>
      </c>
      <c r="L479" s="41">
        <f t="shared" si="498"/>
        <v>59.153166666666657</v>
      </c>
      <c r="M479" s="41">
        <f t="shared" si="498"/>
        <v>55.629277777777773</v>
      </c>
      <c r="N479" s="41">
        <f t="shared" si="498"/>
        <v>55.990944444444438</v>
      </c>
      <c r="O479" s="41">
        <f t="shared" si="498"/>
        <v>60.871222222222215</v>
      </c>
      <c r="P479" s="41">
        <f t="shared" si="498"/>
        <v>55.629277777777773</v>
      </c>
      <c r="Q479" s="41">
        <f t="shared" si="498"/>
        <v>55.629277777777773</v>
      </c>
      <c r="R479" s="41">
        <f t="shared" si="498"/>
        <v>56.66844444444444</v>
      </c>
      <c r="S479" s="41">
        <f t="shared" si="498"/>
        <v>56.442611111111106</v>
      </c>
      <c r="T479" s="41">
        <f t="shared" si="498"/>
        <v>59.363599999999998</v>
      </c>
      <c r="U479" s="41">
        <f t="shared" si="498"/>
        <v>67.858322222222228</v>
      </c>
      <c r="V479" s="41">
        <f t="shared" si="498"/>
        <v>59.363599999999998</v>
      </c>
      <c r="W479" s="41">
        <f t="shared" si="498"/>
        <v>55.629277777777773</v>
      </c>
      <c r="Y479" s="390"/>
      <c r="Z479" s="390"/>
      <c r="AA479" s="390"/>
      <c r="AB479" s="390"/>
      <c r="AC479" s="390"/>
      <c r="AD479" s="390"/>
      <c r="AE479" s="390"/>
      <c r="AF479" s="390"/>
      <c r="AG479" s="390"/>
      <c r="AH479" s="390"/>
      <c r="AI479" s="390"/>
      <c r="AJ479" s="390"/>
      <c r="AK479" s="390"/>
      <c r="AL479" s="390"/>
      <c r="AM479" s="390"/>
      <c r="AN479" s="390"/>
      <c r="AO479" s="390"/>
      <c r="AP479" s="390"/>
      <c r="AQ479" s="390"/>
      <c r="AR479" s="390"/>
      <c r="AS479" s="390"/>
    </row>
    <row r="480" spans="1:45" x14ac:dyDescent="0.3">
      <c r="B480" s="61" t="s">
        <v>101</v>
      </c>
      <c r="C480" s="55"/>
      <c r="D480" s="43">
        <v>0</v>
      </c>
      <c r="E480" s="408">
        <v>0</v>
      </c>
      <c r="F480" s="408">
        <v>0</v>
      </c>
      <c r="G480" s="408">
        <v>0</v>
      </c>
      <c r="H480" s="408">
        <v>0</v>
      </c>
      <c r="I480" s="408">
        <v>0</v>
      </c>
      <c r="J480" s="408">
        <v>0</v>
      </c>
      <c r="K480" s="408">
        <v>0</v>
      </c>
      <c r="L480" s="408">
        <v>0</v>
      </c>
      <c r="M480" s="408">
        <v>0</v>
      </c>
      <c r="N480" s="408">
        <v>0</v>
      </c>
      <c r="O480" s="408">
        <v>0</v>
      </c>
      <c r="P480" s="408">
        <v>0</v>
      </c>
      <c r="Q480" s="408">
        <v>0</v>
      </c>
      <c r="R480" s="408">
        <v>0</v>
      </c>
      <c r="S480" s="408">
        <v>0</v>
      </c>
      <c r="T480" s="408">
        <v>0</v>
      </c>
      <c r="U480" s="408">
        <v>0</v>
      </c>
      <c r="V480" s="408">
        <v>0</v>
      </c>
      <c r="W480" s="408">
        <v>0</v>
      </c>
      <c r="Y480" s="409"/>
      <c r="Z480" s="409"/>
      <c r="AA480" s="409"/>
      <c r="AB480" s="409"/>
      <c r="AC480" s="409"/>
      <c r="AD480" s="409"/>
      <c r="AE480" s="409"/>
      <c r="AF480" s="409"/>
      <c r="AG480" s="409"/>
      <c r="AH480" s="409"/>
      <c r="AI480" s="409"/>
      <c r="AJ480" s="409"/>
      <c r="AK480" s="409"/>
      <c r="AL480" s="409"/>
      <c r="AM480" s="409"/>
      <c r="AN480" s="409"/>
      <c r="AO480" s="409"/>
      <c r="AP480" s="409"/>
      <c r="AQ480" s="409"/>
      <c r="AR480" s="409"/>
      <c r="AS480" s="409"/>
    </row>
    <row r="481" spans="2:45" x14ac:dyDescent="0.3">
      <c r="B481" s="171" t="s">
        <v>194</v>
      </c>
      <c r="C481" s="55"/>
      <c r="D481" s="20">
        <v>59</v>
      </c>
      <c r="E481" s="21">
        <v>64</v>
      </c>
      <c r="F481" s="21">
        <v>65</v>
      </c>
      <c r="G481" s="21">
        <v>62</v>
      </c>
      <c r="H481" s="21">
        <v>59</v>
      </c>
      <c r="I481" s="21">
        <v>60</v>
      </c>
      <c r="J481" s="21">
        <v>63</v>
      </c>
      <c r="K481" s="21">
        <v>62</v>
      </c>
      <c r="L481" s="21">
        <v>63</v>
      </c>
      <c r="M481" s="21">
        <v>59</v>
      </c>
      <c r="N481" s="21">
        <v>59</v>
      </c>
      <c r="O481" s="21">
        <v>64</v>
      </c>
      <c r="P481" s="21">
        <v>59</v>
      </c>
      <c r="Q481" s="21">
        <v>59</v>
      </c>
      <c r="R481" s="21">
        <v>60</v>
      </c>
      <c r="S481" s="21">
        <v>60</v>
      </c>
      <c r="T481" s="21">
        <v>63</v>
      </c>
      <c r="U481" s="21">
        <v>71</v>
      </c>
      <c r="V481" s="21">
        <v>63</v>
      </c>
      <c r="W481" s="21">
        <v>59</v>
      </c>
      <c r="Y481" s="390"/>
      <c r="Z481" s="390"/>
      <c r="AA481" s="390"/>
      <c r="AB481" s="390"/>
      <c r="AC481" s="390"/>
      <c r="AD481" s="390"/>
      <c r="AE481" s="390"/>
      <c r="AF481" s="390"/>
      <c r="AG481" s="390"/>
      <c r="AH481" s="390"/>
      <c r="AI481" s="390"/>
      <c r="AJ481" s="390"/>
      <c r="AK481" s="390"/>
      <c r="AL481" s="390"/>
      <c r="AM481" s="390"/>
      <c r="AN481" s="390"/>
      <c r="AO481" s="390"/>
      <c r="AP481" s="390"/>
      <c r="AQ481" s="390"/>
      <c r="AR481" s="390"/>
      <c r="AS481" s="390"/>
    </row>
    <row r="482" spans="2:45" x14ac:dyDescent="0.3">
      <c r="B482" s="61" t="s">
        <v>195</v>
      </c>
      <c r="C482" s="55"/>
      <c r="D482" s="106">
        <v>60</v>
      </c>
      <c r="E482" s="21">
        <v>65</v>
      </c>
      <c r="F482" s="21">
        <v>66</v>
      </c>
      <c r="G482" s="21">
        <v>63</v>
      </c>
      <c r="H482" s="21">
        <v>60</v>
      </c>
      <c r="I482" s="21">
        <v>61</v>
      </c>
      <c r="J482" s="21">
        <v>64</v>
      </c>
      <c r="K482" s="21">
        <v>63</v>
      </c>
      <c r="L482" s="21">
        <v>64</v>
      </c>
      <c r="M482" s="21">
        <v>60</v>
      </c>
      <c r="N482" s="21">
        <v>60</v>
      </c>
      <c r="O482" s="21">
        <v>65</v>
      </c>
      <c r="P482" s="21">
        <v>60</v>
      </c>
      <c r="Q482" s="21">
        <v>60</v>
      </c>
      <c r="R482" s="21">
        <v>61</v>
      </c>
      <c r="S482" s="21">
        <v>61</v>
      </c>
      <c r="T482" s="21">
        <v>64</v>
      </c>
      <c r="U482" s="21">
        <v>72</v>
      </c>
      <c r="V482" s="21">
        <v>64</v>
      </c>
      <c r="W482" s="21">
        <v>60</v>
      </c>
      <c r="Y482" s="390"/>
      <c r="Z482" s="390"/>
      <c r="AA482" s="390"/>
      <c r="AB482" s="390"/>
      <c r="AC482" s="390"/>
      <c r="AD482" s="390"/>
      <c r="AE482" s="390"/>
      <c r="AF482" s="390"/>
      <c r="AG482" s="390"/>
      <c r="AH482" s="390"/>
      <c r="AI482" s="390"/>
      <c r="AJ482" s="390"/>
      <c r="AK482" s="390"/>
      <c r="AL482" s="390"/>
      <c r="AM482" s="390"/>
      <c r="AN482" s="390"/>
      <c r="AO482" s="390"/>
      <c r="AP482" s="390"/>
      <c r="AQ482" s="390"/>
      <c r="AR482" s="390"/>
      <c r="AS482" s="390"/>
    </row>
    <row r="483" spans="2:45" s="30" customFormat="1" x14ac:dyDescent="0.3">
      <c r="B483" s="61" t="s">
        <v>196</v>
      </c>
      <c r="C483" s="62"/>
      <c r="D483" s="28">
        <v>61</v>
      </c>
      <c r="E483" s="28">
        <v>66</v>
      </c>
      <c r="F483" s="28">
        <v>67</v>
      </c>
      <c r="G483" s="28">
        <v>64</v>
      </c>
      <c r="H483" s="28">
        <v>61</v>
      </c>
      <c r="I483" s="28">
        <v>62</v>
      </c>
      <c r="J483" s="28">
        <v>65</v>
      </c>
      <c r="K483" s="28">
        <v>64</v>
      </c>
      <c r="L483" s="28">
        <v>65</v>
      </c>
      <c r="M483" s="28">
        <v>61</v>
      </c>
      <c r="N483" s="28">
        <v>61</v>
      </c>
      <c r="O483" s="28">
        <v>66</v>
      </c>
      <c r="P483" s="28">
        <v>61</v>
      </c>
      <c r="Q483" s="28">
        <v>61</v>
      </c>
      <c r="R483" s="28">
        <v>62</v>
      </c>
      <c r="S483" s="28">
        <v>62</v>
      </c>
      <c r="T483" s="29">
        <v>65</v>
      </c>
      <c r="U483" s="29">
        <v>73</v>
      </c>
      <c r="V483" s="29">
        <v>65</v>
      </c>
      <c r="W483" s="28">
        <v>61</v>
      </c>
      <c r="Y483" s="391"/>
      <c r="Z483" s="391"/>
      <c r="AA483" s="391"/>
      <c r="AB483" s="391"/>
      <c r="AC483" s="391"/>
      <c r="AD483" s="391"/>
      <c r="AE483" s="391"/>
      <c r="AF483" s="391"/>
      <c r="AG483" s="391"/>
      <c r="AH483" s="391"/>
      <c r="AI483" s="391"/>
      <c r="AJ483" s="391"/>
      <c r="AK483" s="391"/>
      <c r="AL483" s="391"/>
      <c r="AM483" s="391"/>
      <c r="AN483" s="391"/>
      <c r="AO483" s="391"/>
      <c r="AP483" s="391"/>
      <c r="AQ483" s="391"/>
      <c r="AR483" s="391"/>
      <c r="AS483" s="391"/>
    </row>
    <row r="484" spans="2:45" s="30" customFormat="1" x14ac:dyDescent="0.3">
      <c r="B484" s="61" t="s">
        <v>197</v>
      </c>
      <c r="C484" s="62"/>
      <c r="D484" s="28">
        <v>62</v>
      </c>
      <c r="E484" s="28">
        <v>67</v>
      </c>
      <c r="F484" s="28">
        <v>68</v>
      </c>
      <c r="G484" s="28">
        <v>65</v>
      </c>
      <c r="H484" s="28">
        <v>62</v>
      </c>
      <c r="I484" s="28">
        <v>63</v>
      </c>
      <c r="J484" s="28">
        <v>66</v>
      </c>
      <c r="K484" s="28">
        <v>65</v>
      </c>
      <c r="L484" s="28">
        <v>66</v>
      </c>
      <c r="M484" s="28">
        <v>62</v>
      </c>
      <c r="N484" s="28">
        <v>62</v>
      </c>
      <c r="O484" s="28">
        <v>67</v>
      </c>
      <c r="P484" s="28">
        <v>62</v>
      </c>
      <c r="Q484" s="28">
        <v>62</v>
      </c>
      <c r="R484" s="28">
        <v>63</v>
      </c>
      <c r="S484" s="28">
        <v>63</v>
      </c>
      <c r="T484" s="29">
        <v>66</v>
      </c>
      <c r="U484" s="29">
        <v>74</v>
      </c>
      <c r="V484" s="29">
        <v>66</v>
      </c>
      <c r="W484" s="28">
        <v>62</v>
      </c>
      <c r="Y484" s="391"/>
      <c r="Z484" s="391"/>
      <c r="AA484" s="391"/>
      <c r="AB484" s="391"/>
      <c r="AC484" s="391"/>
      <c r="AD484" s="391"/>
      <c r="AE484" s="391"/>
      <c r="AF484" s="391"/>
      <c r="AG484" s="391"/>
      <c r="AH484" s="391"/>
      <c r="AI484" s="391"/>
      <c r="AJ484" s="391"/>
      <c r="AK484" s="391"/>
      <c r="AL484" s="391"/>
      <c r="AM484" s="391"/>
      <c r="AN484" s="391"/>
      <c r="AO484" s="391"/>
      <c r="AP484" s="391"/>
      <c r="AQ484" s="391"/>
      <c r="AR484" s="391"/>
      <c r="AS484" s="391"/>
    </row>
    <row r="485" spans="2:45" x14ac:dyDescent="0.3">
      <c r="B485" s="63" t="s">
        <v>103</v>
      </c>
      <c r="C485" s="55"/>
      <c r="D485" s="43">
        <v>0</v>
      </c>
      <c r="E485" s="408">
        <v>0</v>
      </c>
      <c r="F485" s="408">
        <v>0</v>
      </c>
      <c r="G485" s="408">
        <v>0</v>
      </c>
      <c r="H485" s="408">
        <v>0</v>
      </c>
      <c r="I485" s="408">
        <v>0</v>
      </c>
      <c r="J485" s="408">
        <v>0</v>
      </c>
      <c r="K485" s="408">
        <v>0</v>
      </c>
      <c r="L485" s="408">
        <v>0</v>
      </c>
      <c r="M485" s="408">
        <v>0</v>
      </c>
      <c r="N485" s="408">
        <v>0</v>
      </c>
      <c r="O485" s="408">
        <v>0</v>
      </c>
      <c r="P485" s="408">
        <v>0</v>
      </c>
      <c r="Q485" s="408">
        <v>0</v>
      </c>
      <c r="R485" s="408">
        <v>0</v>
      </c>
      <c r="S485" s="408">
        <v>0</v>
      </c>
      <c r="T485" s="408">
        <v>0</v>
      </c>
      <c r="U485" s="408">
        <v>0</v>
      </c>
      <c r="V485" s="408">
        <v>0</v>
      </c>
      <c r="W485" s="408">
        <v>0</v>
      </c>
      <c r="Y485" s="409"/>
      <c r="Z485" s="409"/>
      <c r="AA485" s="409"/>
      <c r="AB485" s="409"/>
      <c r="AC485" s="409"/>
      <c r="AD485" s="409"/>
      <c r="AE485" s="409"/>
      <c r="AF485" s="409"/>
      <c r="AG485" s="409"/>
      <c r="AH485" s="409"/>
      <c r="AI485" s="409"/>
      <c r="AJ485" s="409"/>
      <c r="AK485" s="409"/>
      <c r="AL485" s="409"/>
      <c r="AM485" s="409"/>
      <c r="AN485" s="409"/>
      <c r="AO485" s="409"/>
      <c r="AP485" s="409"/>
      <c r="AQ485" s="409"/>
      <c r="AR485" s="409"/>
      <c r="AS485" s="409"/>
    </row>
    <row r="486" spans="2:45" s="33" customFormat="1" x14ac:dyDescent="0.3">
      <c r="B486" s="63" t="s">
        <v>198</v>
      </c>
      <c r="C486" s="64"/>
      <c r="D486" s="31">
        <f t="shared" ref="D486:W486" si="499">+D481-D$479</f>
        <v>3.1429444444444528</v>
      </c>
      <c r="E486" s="32">
        <f t="shared" si="499"/>
        <v>3.7173888888888982</v>
      </c>
      <c r="F486" s="32">
        <f t="shared" si="499"/>
        <v>3.1360000000000099</v>
      </c>
      <c r="G486" s="32">
        <f t="shared" si="499"/>
        <v>3.2985000000000042</v>
      </c>
      <c r="H486" s="32">
        <f t="shared" si="499"/>
        <v>3.2351666666666716</v>
      </c>
      <c r="I486" s="32">
        <f t="shared" si="499"/>
        <v>3.1057222222222265</v>
      </c>
      <c r="J486" s="32">
        <f t="shared" si="499"/>
        <v>3.6207222222222271</v>
      </c>
      <c r="K486" s="32">
        <f t="shared" si="499"/>
        <v>3.8857222222222276</v>
      </c>
      <c r="L486" s="32">
        <f t="shared" si="499"/>
        <v>3.8468333333333433</v>
      </c>
      <c r="M486" s="32">
        <f t="shared" si="499"/>
        <v>3.3707222222222271</v>
      </c>
      <c r="N486" s="32">
        <f t="shared" si="499"/>
        <v>3.0090555555555625</v>
      </c>
      <c r="O486" s="32">
        <f t="shared" si="499"/>
        <v>3.1287777777777848</v>
      </c>
      <c r="P486" s="32">
        <f t="shared" si="499"/>
        <v>3.3707222222222271</v>
      </c>
      <c r="Q486" s="32">
        <f t="shared" si="499"/>
        <v>3.3707222222222271</v>
      </c>
      <c r="R486" s="32">
        <f t="shared" si="499"/>
        <v>3.3315555555555605</v>
      </c>
      <c r="S486" s="32">
        <f t="shared" si="499"/>
        <v>3.5573888888888945</v>
      </c>
      <c r="T486" s="32">
        <f t="shared" si="499"/>
        <v>3.6364000000000019</v>
      </c>
      <c r="U486" s="32">
        <f t="shared" si="499"/>
        <v>3.1416777777777725</v>
      </c>
      <c r="V486" s="32">
        <f t="shared" si="499"/>
        <v>3.6364000000000019</v>
      </c>
      <c r="W486" s="32">
        <f t="shared" si="499"/>
        <v>3.3707222222222271</v>
      </c>
      <c r="Y486" s="392"/>
      <c r="Z486" s="392"/>
      <c r="AA486" s="392"/>
      <c r="AB486" s="392"/>
      <c r="AC486" s="392"/>
      <c r="AD486" s="392"/>
      <c r="AE486" s="392"/>
      <c r="AF486" s="392"/>
      <c r="AG486" s="392"/>
      <c r="AH486" s="392"/>
      <c r="AI486" s="392"/>
      <c r="AJ486" s="392"/>
      <c r="AK486" s="392"/>
      <c r="AL486" s="392"/>
      <c r="AM486" s="392"/>
      <c r="AN486" s="392"/>
      <c r="AO486" s="392"/>
      <c r="AP486" s="392"/>
      <c r="AQ486" s="392"/>
      <c r="AR486" s="392"/>
      <c r="AS486" s="392"/>
    </row>
    <row r="487" spans="2:45" s="33" customFormat="1" x14ac:dyDescent="0.3">
      <c r="B487" s="63" t="s">
        <v>199</v>
      </c>
      <c r="C487" s="64"/>
      <c r="D487" s="31">
        <f t="shared" ref="D487:W487" si="500">+D482-D$479</f>
        <v>4.1429444444444528</v>
      </c>
      <c r="E487" s="32">
        <f t="shared" si="500"/>
        <v>4.7173888888888982</v>
      </c>
      <c r="F487" s="32">
        <f t="shared" si="500"/>
        <v>4.1360000000000099</v>
      </c>
      <c r="G487" s="32">
        <f t="shared" si="500"/>
        <v>4.2985000000000042</v>
      </c>
      <c r="H487" s="32">
        <f t="shared" si="500"/>
        <v>4.2351666666666716</v>
      </c>
      <c r="I487" s="32">
        <f t="shared" si="500"/>
        <v>4.1057222222222265</v>
      </c>
      <c r="J487" s="32">
        <f t="shared" si="500"/>
        <v>4.6207222222222271</v>
      </c>
      <c r="K487" s="32">
        <f t="shared" si="500"/>
        <v>4.8857222222222276</v>
      </c>
      <c r="L487" s="32">
        <f t="shared" si="500"/>
        <v>4.8468333333333433</v>
      </c>
      <c r="M487" s="32">
        <f t="shared" si="500"/>
        <v>4.3707222222222271</v>
      </c>
      <c r="N487" s="32">
        <f t="shared" si="500"/>
        <v>4.0090555555555625</v>
      </c>
      <c r="O487" s="32">
        <f t="shared" si="500"/>
        <v>4.1287777777777848</v>
      </c>
      <c r="P487" s="32">
        <f t="shared" si="500"/>
        <v>4.3707222222222271</v>
      </c>
      <c r="Q487" s="32">
        <f t="shared" si="500"/>
        <v>4.3707222222222271</v>
      </c>
      <c r="R487" s="32">
        <f t="shared" si="500"/>
        <v>4.3315555555555605</v>
      </c>
      <c r="S487" s="32">
        <f t="shared" si="500"/>
        <v>4.5573888888888945</v>
      </c>
      <c r="T487" s="32">
        <f t="shared" si="500"/>
        <v>4.6364000000000019</v>
      </c>
      <c r="U487" s="32">
        <f t="shared" si="500"/>
        <v>4.1416777777777725</v>
      </c>
      <c r="V487" s="32">
        <f t="shared" si="500"/>
        <v>4.6364000000000019</v>
      </c>
      <c r="W487" s="32">
        <f t="shared" si="500"/>
        <v>4.3707222222222271</v>
      </c>
      <c r="Y487" s="392"/>
      <c r="Z487" s="392"/>
      <c r="AA487" s="392"/>
      <c r="AB487" s="392"/>
      <c r="AC487" s="392"/>
      <c r="AD487" s="392"/>
      <c r="AE487" s="392"/>
      <c r="AF487" s="392"/>
      <c r="AG487" s="392"/>
      <c r="AH487" s="392"/>
      <c r="AI487" s="392"/>
      <c r="AJ487" s="392"/>
      <c r="AK487" s="392"/>
      <c r="AL487" s="392"/>
      <c r="AM487" s="392"/>
      <c r="AN487" s="392"/>
      <c r="AO487" s="392"/>
      <c r="AP487" s="392"/>
      <c r="AQ487" s="392"/>
      <c r="AR487" s="392"/>
      <c r="AS487" s="392"/>
    </row>
    <row r="488" spans="2:45" s="33" customFormat="1" x14ac:dyDescent="0.3">
      <c r="B488" s="63" t="s">
        <v>200</v>
      </c>
      <c r="C488" s="64"/>
      <c r="D488" s="31">
        <f t="shared" ref="D488:W488" si="501">+D483-D$479</f>
        <v>5.1429444444444528</v>
      </c>
      <c r="E488" s="32">
        <f t="shared" si="501"/>
        <v>5.7173888888888982</v>
      </c>
      <c r="F488" s="32">
        <f t="shared" si="501"/>
        <v>5.1360000000000099</v>
      </c>
      <c r="G488" s="32">
        <f t="shared" si="501"/>
        <v>5.2985000000000042</v>
      </c>
      <c r="H488" s="32">
        <f t="shared" si="501"/>
        <v>5.2351666666666716</v>
      </c>
      <c r="I488" s="32">
        <f t="shared" si="501"/>
        <v>5.1057222222222265</v>
      </c>
      <c r="J488" s="32">
        <f t="shared" si="501"/>
        <v>5.6207222222222271</v>
      </c>
      <c r="K488" s="32">
        <f t="shared" si="501"/>
        <v>5.8857222222222276</v>
      </c>
      <c r="L488" s="32">
        <f t="shared" si="501"/>
        <v>5.8468333333333433</v>
      </c>
      <c r="M488" s="32">
        <f t="shared" si="501"/>
        <v>5.3707222222222271</v>
      </c>
      <c r="N488" s="32">
        <f t="shared" si="501"/>
        <v>5.0090555555555625</v>
      </c>
      <c r="O488" s="32">
        <f t="shared" si="501"/>
        <v>5.1287777777777848</v>
      </c>
      <c r="P488" s="32">
        <f t="shared" si="501"/>
        <v>5.3707222222222271</v>
      </c>
      <c r="Q488" s="32">
        <f t="shared" si="501"/>
        <v>5.3707222222222271</v>
      </c>
      <c r="R488" s="32">
        <f t="shared" si="501"/>
        <v>5.3315555555555605</v>
      </c>
      <c r="S488" s="32">
        <f t="shared" si="501"/>
        <v>5.5573888888888945</v>
      </c>
      <c r="T488" s="32">
        <f t="shared" si="501"/>
        <v>5.6364000000000019</v>
      </c>
      <c r="U488" s="32">
        <f t="shared" si="501"/>
        <v>5.1416777777777725</v>
      </c>
      <c r="V488" s="32">
        <f t="shared" si="501"/>
        <v>5.6364000000000019</v>
      </c>
      <c r="W488" s="32">
        <f t="shared" si="501"/>
        <v>5.3707222222222271</v>
      </c>
      <c r="Y488" s="392"/>
      <c r="Z488" s="392"/>
      <c r="AA488" s="392"/>
      <c r="AB488" s="392"/>
      <c r="AC488" s="392"/>
      <c r="AD488" s="392"/>
      <c r="AE488" s="392"/>
      <c r="AF488" s="392"/>
      <c r="AG488" s="392"/>
      <c r="AH488" s="392"/>
      <c r="AI488" s="392"/>
      <c r="AJ488" s="392"/>
      <c r="AK488" s="392"/>
      <c r="AL488" s="392"/>
      <c r="AM488" s="392"/>
      <c r="AN488" s="392"/>
      <c r="AO488" s="392"/>
      <c r="AP488" s="392"/>
      <c r="AQ488" s="392"/>
      <c r="AR488" s="392"/>
      <c r="AS488" s="392"/>
    </row>
    <row r="489" spans="2:45" s="33" customFormat="1" x14ac:dyDescent="0.3">
      <c r="B489" s="63" t="s">
        <v>201</v>
      </c>
      <c r="C489" s="64"/>
      <c r="D489" s="46">
        <f t="shared" ref="D489:W489" si="502">+D484-D$479</f>
        <v>6.1429444444444528</v>
      </c>
      <c r="E489" s="34">
        <f t="shared" si="502"/>
        <v>6.7173888888888982</v>
      </c>
      <c r="F489" s="34">
        <f t="shared" si="502"/>
        <v>6.1360000000000099</v>
      </c>
      <c r="G489" s="34">
        <f t="shared" si="502"/>
        <v>6.2985000000000042</v>
      </c>
      <c r="H489" s="34">
        <f t="shared" si="502"/>
        <v>6.2351666666666716</v>
      </c>
      <c r="I489" s="34">
        <f t="shared" si="502"/>
        <v>6.1057222222222265</v>
      </c>
      <c r="J489" s="34">
        <f t="shared" si="502"/>
        <v>6.6207222222222271</v>
      </c>
      <c r="K489" s="34">
        <f t="shared" si="502"/>
        <v>6.8857222222222276</v>
      </c>
      <c r="L489" s="34">
        <f t="shared" si="502"/>
        <v>6.8468333333333433</v>
      </c>
      <c r="M489" s="34">
        <f t="shared" si="502"/>
        <v>6.3707222222222271</v>
      </c>
      <c r="N489" s="34">
        <f t="shared" si="502"/>
        <v>6.0090555555555625</v>
      </c>
      <c r="O489" s="34">
        <f t="shared" si="502"/>
        <v>6.1287777777777848</v>
      </c>
      <c r="P489" s="34">
        <f t="shared" si="502"/>
        <v>6.3707222222222271</v>
      </c>
      <c r="Q489" s="34">
        <f t="shared" si="502"/>
        <v>6.3707222222222271</v>
      </c>
      <c r="R489" s="34">
        <f t="shared" si="502"/>
        <v>6.3315555555555605</v>
      </c>
      <c r="S489" s="34">
        <f t="shared" si="502"/>
        <v>6.5573888888888945</v>
      </c>
      <c r="T489" s="34">
        <f t="shared" si="502"/>
        <v>6.6364000000000019</v>
      </c>
      <c r="U489" s="34">
        <f t="shared" si="502"/>
        <v>6.1416777777777725</v>
      </c>
      <c r="V489" s="34">
        <f t="shared" si="502"/>
        <v>6.6364000000000019</v>
      </c>
      <c r="W489" s="34">
        <f t="shared" si="502"/>
        <v>6.3707222222222271</v>
      </c>
      <c r="Y489" s="392"/>
      <c r="Z489" s="392"/>
      <c r="AA489" s="392"/>
      <c r="AB489" s="392"/>
      <c r="AC489" s="392"/>
      <c r="AD489" s="392"/>
      <c r="AE489" s="392"/>
      <c r="AF489" s="392"/>
      <c r="AG489" s="392"/>
      <c r="AH489" s="392"/>
      <c r="AI489" s="392"/>
      <c r="AJ489" s="392"/>
      <c r="AK489" s="392"/>
      <c r="AL489" s="392"/>
      <c r="AM489" s="392"/>
      <c r="AN489" s="392"/>
      <c r="AO489" s="392"/>
      <c r="AP489" s="392"/>
      <c r="AQ489" s="392"/>
      <c r="AR489" s="392"/>
      <c r="AS489" s="392"/>
    </row>
    <row r="490" spans="2:45" x14ac:dyDescent="0.3">
      <c r="B490" s="65" t="s">
        <v>108</v>
      </c>
      <c r="C490" s="55"/>
      <c r="D490" s="43">
        <v>0</v>
      </c>
      <c r="E490" s="408">
        <v>0</v>
      </c>
      <c r="F490" s="408">
        <v>0</v>
      </c>
      <c r="G490" s="408">
        <v>0</v>
      </c>
      <c r="H490" s="408">
        <v>0</v>
      </c>
      <c r="I490" s="408">
        <v>0</v>
      </c>
      <c r="J490" s="408">
        <v>0</v>
      </c>
      <c r="K490" s="408">
        <v>0</v>
      </c>
      <c r="L490" s="408">
        <v>0</v>
      </c>
      <c r="M490" s="408">
        <v>0</v>
      </c>
      <c r="N490" s="408">
        <v>0</v>
      </c>
      <c r="O490" s="408">
        <v>0</v>
      </c>
      <c r="P490" s="408">
        <v>0</v>
      </c>
      <c r="Q490" s="408">
        <v>0</v>
      </c>
      <c r="R490" s="408">
        <v>0</v>
      </c>
      <c r="S490" s="408">
        <v>0</v>
      </c>
      <c r="T490" s="408">
        <v>0</v>
      </c>
      <c r="U490" s="408">
        <v>0</v>
      </c>
      <c r="V490" s="408">
        <v>0</v>
      </c>
      <c r="W490" s="408">
        <v>0</v>
      </c>
      <c r="Y490" s="409"/>
      <c r="Z490" s="409"/>
      <c r="AA490" s="409"/>
      <c r="AB490" s="409"/>
      <c r="AC490" s="409"/>
      <c r="AD490" s="409"/>
      <c r="AE490" s="409"/>
      <c r="AF490" s="409"/>
      <c r="AG490" s="409"/>
      <c r="AH490" s="409"/>
      <c r="AI490" s="409"/>
      <c r="AJ490" s="409"/>
      <c r="AK490" s="409"/>
      <c r="AL490" s="409"/>
      <c r="AM490" s="409"/>
      <c r="AN490" s="409"/>
      <c r="AO490" s="409"/>
      <c r="AP490" s="409"/>
      <c r="AQ490" s="409"/>
      <c r="AR490" s="409"/>
      <c r="AS490" s="409"/>
    </row>
    <row r="491" spans="2:45" s="36" customFormat="1" x14ac:dyDescent="0.3">
      <c r="B491" s="65" t="s">
        <v>202</v>
      </c>
      <c r="C491" s="66"/>
      <c r="D491" s="35">
        <f>+D486/D$481</f>
        <v>5.3270244821092418E-2</v>
      </c>
      <c r="E491" s="35">
        <f t="shared" ref="E491:W491" si="503">+E486/E$481</f>
        <v>5.8084201388889034E-2</v>
      </c>
      <c r="F491" s="35">
        <f t="shared" si="503"/>
        <v>4.8246153846154001E-2</v>
      </c>
      <c r="G491" s="35">
        <f t="shared" si="503"/>
        <v>5.3201612903225871E-2</v>
      </c>
      <c r="H491" s="35">
        <f t="shared" si="503"/>
        <v>5.4833333333333414E-2</v>
      </c>
      <c r="I491" s="35">
        <f t="shared" si="503"/>
        <v>5.1762037037037106E-2</v>
      </c>
      <c r="J491" s="35">
        <f t="shared" si="503"/>
        <v>5.7471781305114718E-2</v>
      </c>
      <c r="K491" s="35">
        <f t="shared" si="503"/>
        <v>6.2672939068100439E-2</v>
      </c>
      <c r="L491" s="35">
        <f t="shared" si="503"/>
        <v>6.1060846560846718E-2</v>
      </c>
      <c r="M491" s="35">
        <f t="shared" si="503"/>
        <v>5.713088512241063E-2</v>
      </c>
      <c r="N491" s="35">
        <f t="shared" si="503"/>
        <v>5.1000941619585807E-2</v>
      </c>
      <c r="O491" s="35">
        <f t="shared" si="503"/>
        <v>4.8887152777777887E-2</v>
      </c>
      <c r="P491" s="35">
        <f t="shared" si="503"/>
        <v>5.713088512241063E-2</v>
      </c>
      <c r="Q491" s="35">
        <f t="shared" si="503"/>
        <v>5.713088512241063E-2</v>
      </c>
      <c r="R491" s="35">
        <f t="shared" si="503"/>
        <v>5.5525925925926006E-2</v>
      </c>
      <c r="S491" s="35">
        <f t="shared" si="503"/>
        <v>5.9289814814814906E-2</v>
      </c>
      <c r="T491" s="75">
        <f t="shared" si="503"/>
        <v>5.772063492063495E-2</v>
      </c>
      <c r="U491" s="75">
        <f t="shared" si="503"/>
        <v>4.424898278560243E-2</v>
      </c>
      <c r="V491" s="75">
        <f t="shared" si="503"/>
        <v>5.772063492063495E-2</v>
      </c>
      <c r="W491" s="35">
        <f t="shared" si="503"/>
        <v>5.713088512241063E-2</v>
      </c>
      <c r="Y491" s="393"/>
      <c r="Z491" s="393"/>
      <c r="AA491" s="393"/>
      <c r="AB491" s="393"/>
      <c r="AC491" s="393"/>
      <c r="AD491" s="393"/>
      <c r="AE491" s="393"/>
      <c r="AF491" s="393"/>
      <c r="AG491" s="393"/>
      <c r="AH491" s="393"/>
      <c r="AI491" s="393"/>
      <c r="AJ491" s="393"/>
      <c r="AK491" s="393"/>
      <c r="AL491" s="393"/>
      <c r="AM491" s="393"/>
      <c r="AN491" s="393"/>
      <c r="AO491" s="393"/>
      <c r="AP491" s="393"/>
      <c r="AQ491" s="393"/>
      <c r="AR491" s="393"/>
      <c r="AS491" s="393"/>
    </row>
    <row r="492" spans="2:45" s="36" customFormat="1" x14ac:dyDescent="0.3">
      <c r="B492" s="65" t="s">
        <v>203</v>
      </c>
      <c r="C492" s="66"/>
      <c r="D492" s="35">
        <f>+D487/D$482</f>
        <v>6.9049074074074207E-2</v>
      </c>
      <c r="E492" s="35">
        <f t="shared" ref="E492:W492" si="504">+E487/E$482</f>
        <v>7.2575213675213815E-2</v>
      </c>
      <c r="F492" s="35">
        <f t="shared" si="504"/>
        <v>6.2666666666666815E-2</v>
      </c>
      <c r="G492" s="35">
        <f t="shared" si="504"/>
        <v>6.8230158730158794E-2</v>
      </c>
      <c r="H492" s="35">
        <f t="shared" si="504"/>
        <v>7.0586111111111197E-2</v>
      </c>
      <c r="I492" s="35">
        <f t="shared" si="504"/>
        <v>6.7306921675774206E-2</v>
      </c>
      <c r="J492" s="35">
        <f t="shared" si="504"/>
        <v>7.2198784722222298E-2</v>
      </c>
      <c r="K492" s="35">
        <f t="shared" si="504"/>
        <v>7.755114638447981E-2</v>
      </c>
      <c r="L492" s="35">
        <f t="shared" si="504"/>
        <v>7.5731770833333489E-2</v>
      </c>
      <c r="M492" s="35">
        <f t="shared" si="504"/>
        <v>7.2845370370370449E-2</v>
      </c>
      <c r="N492" s="35">
        <f t="shared" si="504"/>
        <v>6.6817592592592706E-2</v>
      </c>
      <c r="O492" s="35">
        <f t="shared" si="504"/>
        <v>6.3519658119658221E-2</v>
      </c>
      <c r="P492" s="35">
        <f t="shared" si="504"/>
        <v>7.2845370370370449E-2</v>
      </c>
      <c r="Q492" s="35">
        <f t="shared" si="504"/>
        <v>7.2845370370370449E-2</v>
      </c>
      <c r="R492" s="35">
        <f t="shared" si="504"/>
        <v>7.1009107468123944E-2</v>
      </c>
      <c r="S492" s="35">
        <f t="shared" si="504"/>
        <v>7.4711293260473682E-2</v>
      </c>
      <c r="T492" s="75">
        <f t="shared" si="504"/>
        <v>7.2443750000000029E-2</v>
      </c>
      <c r="U492" s="75">
        <f t="shared" si="504"/>
        <v>5.7523302469135729E-2</v>
      </c>
      <c r="V492" s="75">
        <f t="shared" si="504"/>
        <v>7.2443750000000029E-2</v>
      </c>
      <c r="W492" s="35">
        <f t="shared" si="504"/>
        <v>7.2845370370370449E-2</v>
      </c>
      <c r="Y492" s="393"/>
      <c r="Z492" s="393"/>
      <c r="AA492" s="393"/>
      <c r="AB492" s="393"/>
      <c r="AC492" s="393"/>
      <c r="AD492" s="393"/>
      <c r="AE492" s="393"/>
      <c r="AF492" s="393"/>
      <c r="AG492" s="393"/>
      <c r="AH492" s="393"/>
      <c r="AI492" s="393"/>
      <c r="AJ492" s="393"/>
      <c r="AK492" s="393"/>
      <c r="AL492" s="393"/>
      <c r="AM492" s="393"/>
      <c r="AN492" s="393"/>
      <c r="AO492" s="393"/>
      <c r="AP492" s="393"/>
      <c r="AQ492" s="393"/>
      <c r="AR492" s="393"/>
      <c r="AS492" s="393"/>
    </row>
    <row r="493" spans="2:45" s="36" customFormat="1" x14ac:dyDescent="0.3">
      <c r="B493" s="65" t="s">
        <v>204</v>
      </c>
      <c r="C493" s="66"/>
      <c r="D493" s="35">
        <f>+D488/D$483</f>
        <v>8.4310564663023821E-2</v>
      </c>
      <c r="E493" s="35">
        <f t="shared" ref="E493:W493" si="505">+E488/E$483</f>
        <v>8.6627104377104525E-2</v>
      </c>
      <c r="F493" s="35">
        <f t="shared" si="505"/>
        <v>7.6656716417910595E-2</v>
      </c>
      <c r="G493" s="35">
        <f t="shared" si="505"/>
        <v>8.2789062500000066E-2</v>
      </c>
      <c r="H493" s="35">
        <f t="shared" si="505"/>
        <v>8.5822404371584782E-2</v>
      </c>
      <c r="I493" s="35">
        <f t="shared" si="505"/>
        <v>8.2350358422939141E-2</v>
      </c>
      <c r="J493" s="35">
        <f t="shared" si="505"/>
        <v>8.6472649572649649E-2</v>
      </c>
      <c r="K493" s="35">
        <f t="shared" si="505"/>
        <v>9.1964409722222307E-2</v>
      </c>
      <c r="L493" s="35">
        <f t="shared" si="505"/>
        <v>8.9951282051282208E-2</v>
      </c>
      <c r="M493" s="35">
        <f t="shared" si="505"/>
        <v>8.8044626593807004E-2</v>
      </c>
      <c r="N493" s="35">
        <f t="shared" si="505"/>
        <v>8.2115664845173159E-2</v>
      </c>
      <c r="O493" s="35">
        <f t="shared" si="505"/>
        <v>7.770875420875431E-2</v>
      </c>
      <c r="P493" s="35">
        <f t="shared" si="505"/>
        <v>8.8044626593807004E-2</v>
      </c>
      <c r="Q493" s="35">
        <f t="shared" si="505"/>
        <v>8.8044626593807004E-2</v>
      </c>
      <c r="R493" s="35">
        <f t="shared" si="505"/>
        <v>8.5992831541218714E-2</v>
      </c>
      <c r="S493" s="35">
        <f t="shared" si="505"/>
        <v>8.9635304659498302E-2</v>
      </c>
      <c r="T493" s="75">
        <f t="shared" si="505"/>
        <v>8.6713846153846183E-2</v>
      </c>
      <c r="U493" s="75">
        <f t="shared" si="505"/>
        <v>7.0433942161339344E-2</v>
      </c>
      <c r="V493" s="75">
        <f t="shared" si="505"/>
        <v>8.6713846153846183E-2</v>
      </c>
      <c r="W493" s="35">
        <f t="shared" si="505"/>
        <v>8.8044626593807004E-2</v>
      </c>
      <c r="Y493" s="393"/>
      <c r="Z493" s="393"/>
      <c r="AA493" s="393"/>
      <c r="AB493" s="393"/>
      <c r="AC493" s="393"/>
      <c r="AD493" s="393"/>
      <c r="AE493" s="393"/>
      <c r="AF493" s="393"/>
      <c r="AG493" s="393"/>
      <c r="AH493" s="393"/>
      <c r="AI493" s="393"/>
      <c r="AJ493" s="393"/>
      <c r="AK493" s="393"/>
      <c r="AL493" s="393"/>
      <c r="AM493" s="393"/>
      <c r="AN493" s="393"/>
      <c r="AO493" s="393"/>
      <c r="AP493" s="393"/>
      <c r="AQ493" s="393"/>
      <c r="AR493" s="393"/>
      <c r="AS493" s="393"/>
    </row>
    <row r="494" spans="2:45" s="36" customFormat="1" x14ac:dyDescent="0.3">
      <c r="B494" s="65" t="s">
        <v>205</v>
      </c>
      <c r="C494" s="66"/>
      <c r="D494" s="35">
        <f>+D489/D$484</f>
        <v>9.907974910394278E-2</v>
      </c>
      <c r="E494" s="35">
        <f t="shared" ref="E494:W494" si="506">+E489/E$484</f>
        <v>0.10025953565505819</v>
      </c>
      <c r="F494" s="35">
        <f t="shared" si="506"/>
        <v>9.0235294117647205E-2</v>
      </c>
      <c r="G494" s="35">
        <f t="shared" si="506"/>
        <v>9.6900000000000069E-2</v>
      </c>
      <c r="H494" s="35">
        <f t="shared" si="506"/>
        <v>0.10056720430107535</v>
      </c>
      <c r="I494" s="35">
        <f t="shared" si="506"/>
        <v>9.6916225749559146E-2</v>
      </c>
      <c r="J494" s="35">
        <f t="shared" si="506"/>
        <v>0.10031397306397313</v>
      </c>
      <c r="K494" s="35">
        <f t="shared" si="506"/>
        <v>0.10593418803418812</v>
      </c>
      <c r="L494" s="35">
        <f t="shared" si="506"/>
        <v>0.10373989898989915</v>
      </c>
      <c r="M494" s="35">
        <f t="shared" si="506"/>
        <v>0.10275358422939077</v>
      </c>
      <c r="N494" s="35">
        <f t="shared" si="506"/>
        <v>9.6920250896057464E-2</v>
      </c>
      <c r="O494" s="35">
        <f t="shared" si="506"/>
        <v>9.1474295190713206E-2</v>
      </c>
      <c r="P494" s="35">
        <f t="shared" si="506"/>
        <v>0.10275358422939077</v>
      </c>
      <c r="Q494" s="35">
        <f t="shared" si="506"/>
        <v>0.10275358422939077</v>
      </c>
      <c r="R494" s="35">
        <f t="shared" si="506"/>
        <v>0.10050088183421525</v>
      </c>
      <c r="S494" s="35">
        <f t="shared" si="506"/>
        <v>0.10408553791887135</v>
      </c>
      <c r="T494" s="75">
        <f t="shared" si="506"/>
        <v>0.10055151515151518</v>
      </c>
      <c r="U494" s="75">
        <f t="shared" si="506"/>
        <v>8.2995645645645572E-2</v>
      </c>
      <c r="V494" s="75">
        <f t="shared" si="506"/>
        <v>0.10055151515151518</v>
      </c>
      <c r="W494" s="35">
        <f t="shared" si="506"/>
        <v>0.10275358422939077</v>
      </c>
      <c r="Y494" s="393"/>
      <c r="Z494" s="393"/>
      <c r="AA494" s="393"/>
      <c r="AB494" s="393"/>
      <c r="AC494" s="393"/>
      <c r="AD494" s="393"/>
      <c r="AE494" s="393"/>
      <c r="AF494" s="393"/>
      <c r="AG494" s="393"/>
      <c r="AH494" s="393"/>
      <c r="AI494" s="393"/>
      <c r="AJ494" s="393"/>
      <c r="AK494" s="393"/>
      <c r="AL494" s="393"/>
      <c r="AM494" s="393"/>
      <c r="AN494" s="393"/>
      <c r="AO494" s="393"/>
      <c r="AP494" s="393"/>
      <c r="AQ494" s="393"/>
      <c r="AR494" s="393"/>
      <c r="AS494" s="393"/>
    </row>
    <row r="495" spans="2:45" x14ac:dyDescent="0.3">
      <c r="B495" s="54"/>
      <c r="C495" s="55"/>
      <c r="D495" s="20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Y495" s="390"/>
      <c r="Z495" s="390"/>
      <c r="AA495" s="390"/>
      <c r="AB495" s="390"/>
      <c r="AC495" s="390"/>
      <c r="AD495" s="390"/>
      <c r="AE495" s="390"/>
      <c r="AF495" s="390"/>
      <c r="AG495" s="390"/>
      <c r="AH495" s="390"/>
      <c r="AI495" s="390"/>
      <c r="AJ495" s="390"/>
      <c r="AK495" s="390"/>
      <c r="AL495" s="390"/>
      <c r="AM495" s="390"/>
      <c r="AN495" s="390"/>
      <c r="AO495" s="390"/>
      <c r="AP495" s="390"/>
      <c r="AQ495" s="390"/>
      <c r="AR495" s="390"/>
      <c r="AS495" s="390"/>
    </row>
    <row r="496" spans="2:45" ht="21" thickBot="1" x14ac:dyDescent="0.35">
      <c r="Y496" s="390"/>
      <c r="Z496" s="390"/>
      <c r="AA496" s="390"/>
      <c r="AB496" s="390"/>
      <c r="AC496" s="390"/>
      <c r="AD496" s="390"/>
      <c r="AE496" s="390"/>
      <c r="AF496" s="390"/>
      <c r="AG496" s="390"/>
      <c r="AH496" s="390"/>
      <c r="AI496" s="390"/>
      <c r="AJ496" s="390"/>
      <c r="AK496" s="390"/>
      <c r="AL496" s="390"/>
      <c r="AM496" s="390"/>
      <c r="AN496" s="390"/>
      <c r="AO496" s="390"/>
      <c r="AP496" s="390"/>
      <c r="AQ496" s="390"/>
      <c r="AR496" s="390"/>
      <c r="AS496" s="390"/>
    </row>
    <row r="497" spans="1:45" ht="21" thickBot="1" x14ac:dyDescent="0.35">
      <c r="A497" s="15" t="s">
        <v>327</v>
      </c>
      <c r="B497" s="74" t="s">
        <v>65</v>
      </c>
      <c r="C497" s="68"/>
      <c r="D497" s="17" t="s">
        <v>5</v>
      </c>
      <c r="E497" s="18" t="s">
        <v>6</v>
      </c>
      <c r="F497" s="18" t="s">
        <v>7</v>
      </c>
      <c r="G497" s="18" t="s">
        <v>8</v>
      </c>
      <c r="H497" s="18" t="s">
        <v>9</v>
      </c>
      <c r="I497" s="18" t="s">
        <v>10</v>
      </c>
      <c r="J497" s="18" t="s">
        <v>11</v>
      </c>
      <c r="K497" s="18" t="s">
        <v>12</v>
      </c>
      <c r="L497" s="18" t="s">
        <v>13</v>
      </c>
      <c r="M497" s="18" t="s">
        <v>14</v>
      </c>
      <c r="N497" s="18" t="s">
        <v>15</v>
      </c>
      <c r="O497" s="18" t="s">
        <v>16</v>
      </c>
      <c r="P497" s="18" t="s">
        <v>17</v>
      </c>
      <c r="Q497" s="18" t="s">
        <v>18</v>
      </c>
      <c r="R497" s="18" t="s">
        <v>19</v>
      </c>
      <c r="S497" s="18" t="s">
        <v>20</v>
      </c>
      <c r="T497" s="18" t="s">
        <v>21</v>
      </c>
      <c r="U497" s="18" t="s">
        <v>22</v>
      </c>
      <c r="V497" s="18" t="s">
        <v>23</v>
      </c>
      <c r="W497" s="18" t="s">
        <v>166</v>
      </c>
      <c r="Y497" s="390"/>
      <c r="Z497" s="390"/>
      <c r="AA497" s="390"/>
      <c r="AB497" s="390"/>
      <c r="AC497" s="390"/>
      <c r="AD497" s="390"/>
      <c r="AE497" s="390"/>
      <c r="AF497" s="390"/>
      <c r="AG497" s="390"/>
      <c r="AH497" s="390"/>
      <c r="AI497" s="390"/>
      <c r="AJ497" s="390"/>
      <c r="AK497" s="390"/>
      <c r="AL497" s="390"/>
      <c r="AM497" s="390"/>
      <c r="AN497" s="390"/>
      <c r="AO497" s="390"/>
      <c r="AP497" s="390"/>
      <c r="AQ497" s="390"/>
      <c r="AR497" s="390"/>
      <c r="AS497" s="390"/>
    </row>
    <row r="498" spans="1:45" s="42" customFormat="1" x14ac:dyDescent="0.3">
      <c r="B498" s="69" t="s">
        <v>50</v>
      </c>
      <c r="C498" s="70"/>
      <c r="D498" s="20">
        <v>265</v>
      </c>
      <c r="E498" s="20">
        <v>265</v>
      </c>
      <c r="F498" s="20">
        <v>265</v>
      </c>
      <c r="G498" s="20">
        <v>265</v>
      </c>
      <c r="H498" s="20">
        <v>265</v>
      </c>
      <c r="I498" s="20">
        <v>265</v>
      </c>
      <c r="J498" s="20">
        <v>265</v>
      </c>
      <c r="K498" s="20">
        <v>265</v>
      </c>
      <c r="L498" s="20">
        <v>265</v>
      </c>
      <c r="M498" s="20">
        <v>265</v>
      </c>
      <c r="N498" s="20">
        <v>265</v>
      </c>
      <c r="O498" s="20">
        <v>265</v>
      </c>
      <c r="P498" s="20">
        <v>265</v>
      </c>
      <c r="Q498" s="20">
        <v>265</v>
      </c>
      <c r="R498" s="20">
        <v>265</v>
      </c>
      <c r="S498" s="20">
        <v>265</v>
      </c>
      <c r="T498" s="20"/>
      <c r="U498" s="20"/>
      <c r="V498" s="20"/>
      <c r="W498" s="20">
        <v>265</v>
      </c>
      <c r="Y498" s="390"/>
      <c r="Z498" s="390"/>
      <c r="AA498" s="390"/>
      <c r="AB498" s="390"/>
      <c r="AC498" s="390"/>
      <c r="AD498" s="390"/>
      <c r="AE498" s="390"/>
      <c r="AF498" s="390"/>
      <c r="AG498" s="390"/>
      <c r="AH498" s="390"/>
      <c r="AI498" s="390"/>
      <c r="AJ498" s="390"/>
      <c r="AK498" s="390"/>
      <c r="AL498" s="390"/>
      <c r="AM498" s="390"/>
      <c r="AN498" s="390"/>
      <c r="AO498" s="390"/>
      <c r="AP498" s="390"/>
      <c r="AQ498" s="390"/>
      <c r="AR498" s="390"/>
      <c r="AS498" s="390"/>
    </row>
    <row r="499" spans="1:45" x14ac:dyDescent="0.3">
      <c r="B499" s="54" t="s">
        <v>51</v>
      </c>
      <c r="C499" s="55"/>
      <c r="D499" s="322">
        <v>0.45</v>
      </c>
      <c r="E499" s="322">
        <f>D499</f>
        <v>0.45</v>
      </c>
      <c r="F499" s="322">
        <f>D499</f>
        <v>0.45</v>
      </c>
      <c r="G499" s="322">
        <f>D499</f>
        <v>0.45</v>
      </c>
      <c r="H499" s="322">
        <f>D499</f>
        <v>0.45</v>
      </c>
      <c r="I499" s="322">
        <f>D499</f>
        <v>0.45</v>
      </c>
      <c r="J499" s="322">
        <f>D499</f>
        <v>0.45</v>
      </c>
      <c r="K499" s="322">
        <f>D499</f>
        <v>0.45</v>
      </c>
      <c r="L499" s="322">
        <f>D499</f>
        <v>0.45</v>
      </c>
      <c r="M499" s="322">
        <f>D499</f>
        <v>0.45</v>
      </c>
      <c r="N499" s="322">
        <f>D499</f>
        <v>0.45</v>
      </c>
      <c r="O499" s="322">
        <f>D499</f>
        <v>0.45</v>
      </c>
      <c r="P499" s="322">
        <f>D499</f>
        <v>0.45</v>
      </c>
      <c r="Q499" s="322">
        <f>D499</f>
        <v>0.45</v>
      </c>
      <c r="R499" s="322">
        <f>D499</f>
        <v>0.45</v>
      </c>
      <c r="S499" s="322">
        <f>D499</f>
        <v>0.45</v>
      </c>
      <c r="T499" s="218"/>
      <c r="U499" s="218"/>
      <c r="V499" s="218"/>
      <c r="W499" s="322">
        <f>J499</f>
        <v>0.45</v>
      </c>
      <c r="Y499" s="390"/>
      <c r="Z499" s="390"/>
      <c r="AA499" s="390"/>
      <c r="AB499" s="390"/>
      <c r="AC499" s="390"/>
      <c r="AD499" s="390"/>
      <c r="AE499" s="390"/>
      <c r="AF499" s="390"/>
      <c r="AG499" s="390"/>
      <c r="AH499" s="390"/>
      <c r="AI499" s="390"/>
      <c r="AJ499" s="390"/>
      <c r="AK499" s="390"/>
      <c r="AL499" s="390"/>
      <c r="AM499" s="390"/>
      <c r="AN499" s="390"/>
      <c r="AO499" s="390"/>
      <c r="AP499" s="390"/>
      <c r="AQ499" s="390"/>
      <c r="AR499" s="390"/>
      <c r="AS499" s="390"/>
    </row>
    <row r="500" spans="1:45" x14ac:dyDescent="0.3">
      <c r="B500" s="54" t="s">
        <v>56</v>
      </c>
      <c r="C500" s="55"/>
      <c r="D500" s="21">
        <v>0</v>
      </c>
      <c r="E500" s="21">
        <v>0</v>
      </c>
      <c r="F500" s="21">
        <v>0</v>
      </c>
      <c r="G500" s="21">
        <v>0</v>
      </c>
      <c r="H500" s="21">
        <v>0</v>
      </c>
      <c r="I500" s="21">
        <v>0</v>
      </c>
      <c r="J500" s="21">
        <v>0</v>
      </c>
      <c r="K500" s="21">
        <v>0</v>
      </c>
      <c r="L500" s="21">
        <v>0</v>
      </c>
      <c r="M500" s="21">
        <v>0</v>
      </c>
      <c r="N500" s="21">
        <v>0</v>
      </c>
      <c r="O500" s="21">
        <v>0</v>
      </c>
      <c r="P500" s="21">
        <v>0</v>
      </c>
      <c r="Q500" s="21">
        <v>0</v>
      </c>
      <c r="R500" s="21">
        <v>0</v>
      </c>
      <c r="S500" s="21">
        <v>0</v>
      </c>
      <c r="T500" s="21"/>
      <c r="U500" s="21"/>
      <c r="V500" s="21"/>
      <c r="W500" s="21">
        <v>0</v>
      </c>
      <c r="Y500" s="390"/>
      <c r="Z500" s="390"/>
      <c r="AA500" s="390"/>
      <c r="AB500" s="390"/>
      <c r="AC500" s="390"/>
      <c r="AD500" s="390"/>
      <c r="AE500" s="390"/>
      <c r="AF500" s="390"/>
      <c r="AG500" s="390"/>
      <c r="AH500" s="390"/>
      <c r="AI500" s="390"/>
      <c r="AJ500" s="390"/>
      <c r="AK500" s="390"/>
      <c r="AL500" s="390"/>
      <c r="AM500" s="390"/>
      <c r="AN500" s="390"/>
      <c r="AO500" s="390"/>
      <c r="AP500" s="390"/>
      <c r="AQ500" s="390"/>
      <c r="AR500" s="390"/>
      <c r="AS500" s="390"/>
    </row>
    <row r="501" spans="1:45" x14ac:dyDescent="0.3">
      <c r="B501" s="177" t="s">
        <v>67</v>
      </c>
      <c r="C501" s="178"/>
      <c r="D501" s="323">
        <f>D498-(D498*D499)</f>
        <v>145.75</v>
      </c>
      <c r="E501" s="323">
        <f t="shared" ref="E501:W501" si="507">E498-(E498*E499)</f>
        <v>145.75</v>
      </c>
      <c r="F501" s="323">
        <f t="shared" si="507"/>
        <v>145.75</v>
      </c>
      <c r="G501" s="323">
        <f t="shared" si="507"/>
        <v>145.75</v>
      </c>
      <c r="H501" s="323">
        <f t="shared" si="507"/>
        <v>145.75</v>
      </c>
      <c r="I501" s="323">
        <f t="shared" si="507"/>
        <v>145.75</v>
      </c>
      <c r="J501" s="323">
        <f t="shared" si="507"/>
        <v>145.75</v>
      </c>
      <c r="K501" s="323">
        <f t="shared" si="507"/>
        <v>145.75</v>
      </c>
      <c r="L501" s="323">
        <f t="shared" si="507"/>
        <v>145.75</v>
      </c>
      <c r="M501" s="323">
        <f t="shared" si="507"/>
        <v>145.75</v>
      </c>
      <c r="N501" s="323">
        <f t="shared" si="507"/>
        <v>145.75</v>
      </c>
      <c r="O501" s="323">
        <f t="shared" si="507"/>
        <v>145.75</v>
      </c>
      <c r="P501" s="323">
        <f t="shared" si="507"/>
        <v>145.75</v>
      </c>
      <c r="Q501" s="323">
        <f t="shared" si="507"/>
        <v>145.75</v>
      </c>
      <c r="R501" s="323">
        <f t="shared" si="507"/>
        <v>145.75</v>
      </c>
      <c r="S501" s="323">
        <f t="shared" si="507"/>
        <v>145.75</v>
      </c>
      <c r="T501" s="323">
        <v>165.12</v>
      </c>
      <c r="U501" s="323">
        <v>165.12</v>
      </c>
      <c r="V501" s="323">
        <v>165.12</v>
      </c>
      <c r="W501" s="323">
        <f t="shared" si="507"/>
        <v>145.75</v>
      </c>
      <c r="Y501" s="390"/>
      <c r="Z501" s="390"/>
      <c r="AA501" s="390"/>
      <c r="AB501" s="390"/>
      <c r="AC501" s="390"/>
      <c r="AD501" s="390"/>
      <c r="AE501" s="390"/>
      <c r="AF501" s="390"/>
      <c r="AG501" s="390"/>
      <c r="AH501" s="390"/>
      <c r="AI501" s="390"/>
      <c r="AJ501" s="390"/>
      <c r="AK501" s="390"/>
      <c r="AL501" s="390"/>
      <c r="AM501" s="390"/>
      <c r="AN501" s="390"/>
      <c r="AO501" s="390"/>
      <c r="AP501" s="390"/>
      <c r="AQ501" s="390"/>
      <c r="AR501" s="390"/>
      <c r="AS501" s="390"/>
    </row>
    <row r="502" spans="1:45" x14ac:dyDescent="0.3">
      <c r="B502" s="54" t="s">
        <v>66</v>
      </c>
      <c r="C502" s="56">
        <v>7.0000000000000007E-2</v>
      </c>
      <c r="D502" s="24">
        <f t="shared" ref="D502:W502" si="508">D501*$C502</f>
        <v>10.202500000000001</v>
      </c>
      <c r="E502" s="24">
        <f t="shared" si="508"/>
        <v>10.202500000000001</v>
      </c>
      <c r="F502" s="24">
        <f t="shared" si="508"/>
        <v>10.202500000000001</v>
      </c>
      <c r="G502" s="24">
        <f t="shared" si="508"/>
        <v>10.202500000000001</v>
      </c>
      <c r="H502" s="24">
        <f t="shared" si="508"/>
        <v>10.202500000000001</v>
      </c>
      <c r="I502" s="24">
        <f t="shared" si="508"/>
        <v>10.202500000000001</v>
      </c>
      <c r="J502" s="24">
        <f t="shared" si="508"/>
        <v>10.202500000000001</v>
      </c>
      <c r="K502" s="24">
        <f t="shared" si="508"/>
        <v>10.202500000000001</v>
      </c>
      <c r="L502" s="24">
        <f t="shared" si="508"/>
        <v>10.202500000000001</v>
      </c>
      <c r="M502" s="24">
        <f t="shared" si="508"/>
        <v>10.202500000000001</v>
      </c>
      <c r="N502" s="24">
        <f t="shared" si="508"/>
        <v>10.202500000000001</v>
      </c>
      <c r="O502" s="24">
        <f t="shared" si="508"/>
        <v>10.202500000000001</v>
      </c>
      <c r="P502" s="24">
        <f t="shared" si="508"/>
        <v>10.202500000000001</v>
      </c>
      <c r="Q502" s="24">
        <f t="shared" si="508"/>
        <v>10.202500000000001</v>
      </c>
      <c r="R502" s="24">
        <f t="shared" si="508"/>
        <v>10.202500000000001</v>
      </c>
      <c r="S502" s="24">
        <f t="shared" si="508"/>
        <v>10.202500000000001</v>
      </c>
      <c r="T502" s="24">
        <f t="shared" si="508"/>
        <v>11.558400000000001</v>
      </c>
      <c r="U502" s="24">
        <f t="shared" si="508"/>
        <v>11.558400000000001</v>
      </c>
      <c r="V502" s="24">
        <f t="shared" si="508"/>
        <v>11.558400000000001</v>
      </c>
      <c r="W502" s="24">
        <f t="shared" si="508"/>
        <v>10.202500000000001</v>
      </c>
      <c r="Y502" s="390"/>
      <c r="Z502" s="390"/>
      <c r="AA502" s="390"/>
      <c r="AB502" s="390"/>
      <c r="AC502" s="390"/>
      <c r="AD502" s="390"/>
      <c r="AE502" s="390"/>
      <c r="AF502" s="390"/>
      <c r="AG502" s="390"/>
      <c r="AH502" s="390"/>
      <c r="AI502" s="390"/>
      <c r="AJ502" s="390"/>
      <c r="AK502" s="390"/>
      <c r="AL502" s="390"/>
      <c r="AM502" s="390"/>
      <c r="AN502" s="390"/>
      <c r="AO502" s="390"/>
      <c r="AP502" s="390"/>
      <c r="AQ502" s="390"/>
      <c r="AR502" s="390"/>
      <c r="AS502" s="390"/>
    </row>
    <row r="503" spans="1:45" x14ac:dyDescent="0.3">
      <c r="B503" s="54" t="s">
        <v>68</v>
      </c>
      <c r="C503" s="55"/>
      <c r="D503" s="21">
        <f t="shared" ref="D503:W503" si="509">D501+D502</f>
        <v>155.95249999999999</v>
      </c>
      <c r="E503" s="21">
        <f t="shared" si="509"/>
        <v>155.95249999999999</v>
      </c>
      <c r="F503" s="21">
        <f t="shared" si="509"/>
        <v>155.95249999999999</v>
      </c>
      <c r="G503" s="21">
        <f t="shared" si="509"/>
        <v>155.95249999999999</v>
      </c>
      <c r="H503" s="21">
        <f t="shared" si="509"/>
        <v>155.95249999999999</v>
      </c>
      <c r="I503" s="21">
        <f t="shared" si="509"/>
        <v>155.95249999999999</v>
      </c>
      <c r="J503" s="21">
        <f t="shared" si="509"/>
        <v>155.95249999999999</v>
      </c>
      <c r="K503" s="21">
        <f t="shared" si="509"/>
        <v>155.95249999999999</v>
      </c>
      <c r="L503" s="21">
        <f t="shared" si="509"/>
        <v>155.95249999999999</v>
      </c>
      <c r="M503" s="21">
        <f t="shared" si="509"/>
        <v>155.95249999999999</v>
      </c>
      <c r="N503" s="21">
        <f t="shared" si="509"/>
        <v>155.95249999999999</v>
      </c>
      <c r="O503" s="21">
        <f t="shared" si="509"/>
        <v>155.95249999999999</v>
      </c>
      <c r="P503" s="21">
        <f t="shared" si="509"/>
        <v>155.95249999999999</v>
      </c>
      <c r="Q503" s="21">
        <f t="shared" si="509"/>
        <v>155.95249999999999</v>
      </c>
      <c r="R503" s="21">
        <f t="shared" si="509"/>
        <v>155.95249999999999</v>
      </c>
      <c r="S503" s="21">
        <f t="shared" si="509"/>
        <v>155.95249999999999</v>
      </c>
      <c r="T503" s="21">
        <f t="shared" si="509"/>
        <v>176.67840000000001</v>
      </c>
      <c r="U503" s="21">
        <f t="shared" si="509"/>
        <v>176.67840000000001</v>
      </c>
      <c r="V503" s="21">
        <f t="shared" si="509"/>
        <v>176.67840000000001</v>
      </c>
      <c r="W503" s="21">
        <f t="shared" si="509"/>
        <v>155.95249999999999</v>
      </c>
      <c r="Y503" s="390"/>
      <c r="Z503" s="390"/>
      <c r="AA503" s="390"/>
      <c r="AB503" s="390"/>
      <c r="AC503" s="390"/>
      <c r="AD503" s="390"/>
      <c r="AE503" s="390"/>
      <c r="AF503" s="390"/>
      <c r="AG503" s="390"/>
      <c r="AH503" s="390"/>
      <c r="AI503" s="390"/>
      <c r="AJ503" s="390"/>
      <c r="AK503" s="390"/>
      <c r="AL503" s="390"/>
      <c r="AM503" s="390"/>
      <c r="AN503" s="390"/>
      <c r="AO503" s="390"/>
      <c r="AP503" s="390"/>
      <c r="AQ503" s="390"/>
      <c r="AR503" s="390"/>
      <c r="AS503" s="390"/>
    </row>
    <row r="504" spans="1:45" x14ac:dyDescent="0.3">
      <c r="B504" s="54" t="s">
        <v>52</v>
      </c>
      <c r="C504" s="55"/>
      <c r="D504" s="398">
        <f>Y506</f>
        <v>10.441666666666666</v>
      </c>
      <c r="E504" s="398">
        <f t="shared" ref="E504:W504" si="510">Z506</f>
        <v>23.718333333333334</v>
      </c>
      <c r="F504" s="398">
        <f t="shared" si="510"/>
        <v>28.462499999999999</v>
      </c>
      <c r="G504" s="398">
        <f t="shared" si="510"/>
        <v>18.975000000000001</v>
      </c>
      <c r="H504" s="398">
        <f t="shared" si="510"/>
        <v>10.164999999999999</v>
      </c>
      <c r="I504" s="398">
        <f t="shared" si="510"/>
        <v>13.553333333333333</v>
      </c>
      <c r="J504" s="398">
        <f t="shared" si="510"/>
        <v>21.008333333333333</v>
      </c>
      <c r="K504" s="398">
        <f t="shared" si="510"/>
        <v>17.213333333333335</v>
      </c>
      <c r="L504" s="398">
        <f t="shared" si="510"/>
        <v>20.329999999999998</v>
      </c>
      <c r="M504" s="398">
        <f t="shared" si="510"/>
        <v>9.7583333333333329</v>
      </c>
      <c r="N504" s="398">
        <f t="shared" si="510"/>
        <v>10.843333333333334</v>
      </c>
      <c r="O504" s="398">
        <f t="shared" si="510"/>
        <v>25.484166666666667</v>
      </c>
      <c r="P504" s="398">
        <f t="shared" si="510"/>
        <v>9.7583333333333329</v>
      </c>
      <c r="Q504" s="398">
        <f t="shared" si="510"/>
        <v>9.7583333333333329</v>
      </c>
      <c r="R504" s="398">
        <f t="shared" si="510"/>
        <v>12.875833333333333</v>
      </c>
      <c r="S504" s="398">
        <f t="shared" si="510"/>
        <v>12.198333333333334</v>
      </c>
      <c r="T504" s="398">
        <f t="shared" si="510"/>
        <v>0</v>
      </c>
      <c r="U504" s="398">
        <f t="shared" si="510"/>
        <v>25.484166666666667</v>
      </c>
      <c r="V504" s="398">
        <f t="shared" si="510"/>
        <v>0</v>
      </c>
      <c r="W504" s="398">
        <f t="shared" si="510"/>
        <v>9.7583333333333329</v>
      </c>
      <c r="Y504" s="390">
        <v>12530</v>
      </c>
      <c r="Z504" s="390">
        <v>28462</v>
      </c>
      <c r="AA504" s="390">
        <v>34155</v>
      </c>
      <c r="AB504" s="390">
        <v>22770</v>
      </c>
      <c r="AC504" s="390">
        <v>12198</v>
      </c>
      <c r="AD504" s="390">
        <v>16264</v>
      </c>
      <c r="AE504" s="390">
        <v>25210</v>
      </c>
      <c r="AF504" s="390">
        <v>20656</v>
      </c>
      <c r="AG504" s="390">
        <v>24396</v>
      </c>
      <c r="AH504" s="390">
        <v>11710</v>
      </c>
      <c r="AI504" s="390">
        <v>13012</v>
      </c>
      <c r="AJ504" s="390">
        <v>30581</v>
      </c>
      <c r="AK504" s="396">
        <v>11710</v>
      </c>
      <c r="AL504" s="396">
        <v>11710</v>
      </c>
      <c r="AM504" s="390">
        <v>15451</v>
      </c>
      <c r="AN504" s="390">
        <v>14638</v>
      </c>
      <c r="AO504" s="390"/>
      <c r="AP504" s="396">
        <v>30581</v>
      </c>
      <c r="AQ504" s="390"/>
      <c r="AR504" s="396">
        <v>11710</v>
      </c>
      <c r="AS504" s="390"/>
    </row>
    <row r="505" spans="1:45" x14ac:dyDescent="0.3">
      <c r="B505" s="57" t="s">
        <v>53</v>
      </c>
      <c r="C505" s="58"/>
      <c r="D505" s="25">
        <f>SUM(D503:D504)</f>
        <v>166.39416666666665</v>
      </c>
      <c r="E505" s="26">
        <f t="shared" ref="E505:V505" si="511">SUM(E503:E504)</f>
        <v>179.67083333333332</v>
      </c>
      <c r="F505" s="26">
        <f t="shared" si="511"/>
        <v>184.41499999999999</v>
      </c>
      <c r="G505" s="26">
        <f t="shared" si="511"/>
        <v>174.92749999999998</v>
      </c>
      <c r="H505" s="26">
        <f t="shared" si="511"/>
        <v>166.11749999999998</v>
      </c>
      <c r="I505" s="26">
        <f t="shared" si="511"/>
        <v>169.50583333333333</v>
      </c>
      <c r="J505" s="26">
        <f t="shared" si="511"/>
        <v>176.96083333333331</v>
      </c>
      <c r="K505" s="26">
        <f t="shared" si="511"/>
        <v>173.16583333333332</v>
      </c>
      <c r="L505" s="26">
        <f t="shared" si="511"/>
        <v>176.28249999999997</v>
      </c>
      <c r="M505" s="26">
        <f t="shared" si="511"/>
        <v>165.71083333333331</v>
      </c>
      <c r="N505" s="26">
        <f t="shared" si="511"/>
        <v>166.79583333333332</v>
      </c>
      <c r="O505" s="26">
        <f t="shared" si="511"/>
        <v>181.43666666666667</v>
      </c>
      <c r="P505" s="26">
        <f t="shared" si="511"/>
        <v>165.71083333333331</v>
      </c>
      <c r="Q505" s="26">
        <f t="shared" si="511"/>
        <v>165.71083333333331</v>
      </c>
      <c r="R505" s="26">
        <f t="shared" si="511"/>
        <v>168.82833333333332</v>
      </c>
      <c r="S505" s="26">
        <f t="shared" si="511"/>
        <v>168.15083333333331</v>
      </c>
      <c r="T505" s="26">
        <f t="shared" si="511"/>
        <v>176.67840000000001</v>
      </c>
      <c r="U505" s="26">
        <f t="shared" si="511"/>
        <v>202.16256666666669</v>
      </c>
      <c r="V505" s="26">
        <f t="shared" si="511"/>
        <v>176.67840000000001</v>
      </c>
      <c r="W505" s="26">
        <f>SUM(W503:W504)</f>
        <v>165.71083333333331</v>
      </c>
      <c r="Y505" s="390">
        <v>1200</v>
      </c>
      <c r="Z505" s="390">
        <v>1200</v>
      </c>
      <c r="AA505" s="390">
        <v>1200</v>
      </c>
      <c r="AB505" s="390">
        <v>1200</v>
      </c>
      <c r="AC505" s="390">
        <v>1200</v>
      </c>
      <c r="AD505" s="390">
        <v>1200</v>
      </c>
      <c r="AE505" s="390">
        <v>1200</v>
      </c>
      <c r="AF505" s="390">
        <v>1200</v>
      </c>
      <c r="AG505" s="390">
        <v>1200</v>
      </c>
      <c r="AH505" s="390">
        <v>1200</v>
      </c>
      <c r="AI505" s="390">
        <v>1200</v>
      </c>
      <c r="AJ505" s="390">
        <v>1200</v>
      </c>
      <c r="AK505" s="390">
        <v>1200</v>
      </c>
      <c r="AL505" s="390">
        <v>1200</v>
      </c>
      <c r="AM505" s="390">
        <v>1200</v>
      </c>
      <c r="AN505" s="390">
        <v>1200</v>
      </c>
      <c r="AO505" s="390"/>
      <c r="AP505" s="390">
        <v>1200</v>
      </c>
      <c r="AQ505" s="390"/>
      <c r="AR505" s="390">
        <v>1200</v>
      </c>
      <c r="AS505" s="390"/>
    </row>
    <row r="506" spans="1:45" x14ac:dyDescent="0.3">
      <c r="B506" s="54" t="s">
        <v>54</v>
      </c>
      <c r="C506" s="55"/>
      <c r="D506" s="20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Y506" s="389">
        <f>Y504/Y505</f>
        <v>10.441666666666666</v>
      </c>
      <c r="Z506" s="389">
        <f t="shared" ref="Z506:AN506" si="512">Z504/Z505</f>
        <v>23.718333333333334</v>
      </c>
      <c r="AA506" s="389">
        <f t="shared" si="512"/>
        <v>28.462499999999999</v>
      </c>
      <c r="AB506" s="389">
        <f t="shared" si="512"/>
        <v>18.975000000000001</v>
      </c>
      <c r="AC506" s="389">
        <f t="shared" si="512"/>
        <v>10.164999999999999</v>
      </c>
      <c r="AD506" s="389">
        <f t="shared" si="512"/>
        <v>13.553333333333333</v>
      </c>
      <c r="AE506" s="389">
        <f t="shared" si="512"/>
        <v>21.008333333333333</v>
      </c>
      <c r="AF506" s="389">
        <f t="shared" si="512"/>
        <v>17.213333333333335</v>
      </c>
      <c r="AG506" s="389">
        <f t="shared" si="512"/>
        <v>20.329999999999998</v>
      </c>
      <c r="AH506" s="389">
        <f t="shared" si="512"/>
        <v>9.7583333333333329</v>
      </c>
      <c r="AI506" s="389">
        <f t="shared" si="512"/>
        <v>10.843333333333334</v>
      </c>
      <c r="AJ506" s="389">
        <f t="shared" si="512"/>
        <v>25.484166666666667</v>
      </c>
      <c r="AK506" s="389">
        <f t="shared" si="512"/>
        <v>9.7583333333333329</v>
      </c>
      <c r="AL506" s="389">
        <f t="shared" si="512"/>
        <v>9.7583333333333329</v>
      </c>
      <c r="AM506" s="389">
        <f t="shared" si="512"/>
        <v>12.875833333333333</v>
      </c>
      <c r="AN506" s="389">
        <f t="shared" si="512"/>
        <v>12.198333333333334</v>
      </c>
      <c r="AO506" s="390"/>
      <c r="AP506" s="389">
        <f t="shared" ref="AP506" si="513">AP504/AP505</f>
        <v>25.484166666666667</v>
      </c>
      <c r="AQ506" s="390"/>
      <c r="AR506" s="389">
        <f t="shared" ref="AR506" si="514">AR504/AR505</f>
        <v>9.7583333333333329</v>
      </c>
      <c r="AS506" s="390"/>
    </row>
    <row r="507" spans="1:45" x14ac:dyDescent="0.3">
      <c r="B507" s="59" t="s">
        <v>55</v>
      </c>
      <c r="C507" s="60"/>
      <c r="D507" s="27">
        <f t="shared" ref="D507:W507" si="515">SUM(D505:D506)</f>
        <v>166.39416666666665</v>
      </c>
      <c r="E507" s="41">
        <f t="shared" si="515"/>
        <v>179.67083333333332</v>
      </c>
      <c r="F507" s="41">
        <f t="shared" si="515"/>
        <v>184.41499999999999</v>
      </c>
      <c r="G507" s="41">
        <f t="shared" si="515"/>
        <v>174.92749999999998</v>
      </c>
      <c r="H507" s="41">
        <f t="shared" si="515"/>
        <v>166.11749999999998</v>
      </c>
      <c r="I507" s="41">
        <f t="shared" si="515"/>
        <v>169.50583333333333</v>
      </c>
      <c r="J507" s="41">
        <f t="shared" si="515"/>
        <v>176.96083333333331</v>
      </c>
      <c r="K507" s="41">
        <f t="shared" si="515"/>
        <v>173.16583333333332</v>
      </c>
      <c r="L507" s="41">
        <f t="shared" si="515"/>
        <v>176.28249999999997</v>
      </c>
      <c r="M507" s="41">
        <f t="shared" si="515"/>
        <v>165.71083333333331</v>
      </c>
      <c r="N507" s="41">
        <f t="shared" si="515"/>
        <v>166.79583333333332</v>
      </c>
      <c r="O507" s="41">
        <f t="shared" si="515"/>
        <v>181.43666666666667</v>
      </c>
      <c r="P507" s="41">
        <f t="shared" si="515"/>
        <v>165.71083333333331</v>
      </c>
      <c r="Q507" s="41">
        <f t="shared" si="515"/>
        <v>165.71083333333331</v>
      </c>
      <c r="R507" s="41">
        <f t="shared" si="515"/>
        <v>168.82833333333332</v>
      </c>
      <c r="S507" s="41">
        <f t="shared" si="515"/>
        <v>168.15083333333331</v>
      </c>
      <c r="T507" s="41">
        <f t="shared" si="515"/>
        <v>176.67840000000001</v>
      </c>
      <c r="U507" s="41">
        <f t="shared" si="515"/>
        <v>202.16256666666669</v>
      </c>
      <c r="V507" s="41">
        <f t="shared" si="515"/>
        <v>176.67840000000001</v>
      </c>
      <c r="W507" s="41">
        <f t="shared" si="515"/>
        <v>165.71083333333331</v>
      </c>
      <c r="Y507" s="390"/>
      <c r="Z507" s="390"/>
      <c r="AA507" s="390"/>
      <c r="AB507" s="390"/>
      <c r="AC507" s="390"/>
      <c r="AD507" s="390"/>
      <c r="AE507" s="390"/>
      <c r="AF507" s="390"/>
      <c r="AG507" s="390"/>
      <c r="AH507" s="390"/>
      <c r="AI507" s="390"/>
      <c r="AJ507" s="390"/>
      <c r="AK507" s="390"/>
      <c r="AL507" s="390"/>
      <c r="AM507" s="390"/>
      <c r="AN507" s="390"/>
      <c r="AO507" s="390"/>
      <c r="AP507" s="390"/>
      <c r="AQ507" s="390"/>
      <c r="AR507" s="390"/>
      <c r="AS507" s="390"/>
    </row>
    <row r="508" spans="1:45" x14ac:dyDescent="0.3">
      <c r="B508" s="61" t="s">
        <v>101</v>
      </c>
      <c r="C508" s="55"/>
      <c r="D508" s="43">
        <v>0</v>
      </c>
      <c r="E508" s="408">
        <v>0</v>
      </c>
      <c r="F508" s="408">
        <v>0</v>
      </c>
      <c r="G508" s="408">
        <v>0</v>
      </c>
      <c r="H508" s="408">
        <v>0</v>
      </c>
      <c r="I508" s="408">
        <v>0</v>
      </c>
      <c r="J508" s="408">
        <v>0</v>
      </c>
      <c r="K508" s="408">
        <v>0</v>
      </c>
      <c r="L508" s="408">
        <v>0</v>
      </c>
      <c r="M508" s="408">
        <v>0</v>
      </c>
      <c r="N508" s="408">
        <v>0</v>
      </c>
      <c r="O508" s="408">
        <v>0</v>
      </c>
      <c r="P508" s="408">
        <v>0</v>
      </c>
      <c r="Q508" s="408">
        <v>0</v>
      </c>
      <c r="R508" s="408">
        <v>0</v>
      </c>
      <c r="S508" s="408">
        <v>0</v>
      </c>
      <c r="T508" s="408">
        <v>0</v>
      </c>
      <c r="U508" s="408">
        <v>0</v>
      </c>
      <c r="V508" s="408">
        <v>0</v>
      </c>
      <c r="W508" s="408">
        <v>0</v>
      </c>
      <c r="Y508" s="409"/>
      <c r="Z508" s="409"/>
      <c r="AA508" s="409"/>
      <c r="AB508" s="409"/>
      <c r="AC508" s="409"/>
      <c r="AD508" s="409"/>
      <c r="AE508" s="409"/>
      <c r="AF508" s="409"/>
      <c r="AG508" s="409"/>
      <c r="AH508" s="409"/>
      <c r="AI508" s="409"/>
      <c r="AJ508" s="409"/>
      <c r="AK508" s="409"/>
      <c r="AL508" s="409"/>
      <c r="AM508" s="409"/>
      <c r="AN508" s="409"/>
      <c r="AO508" s="409"/>
      <c r="AP508" s="409"/>
      <c r="AQ508" s="409"/>
      <c r="AR508" s="409"/>
      <c r="AS508" s="409"/>
    </row>
    <row r="509" spans="1:45" x14ac:dyDescent="0.3">
      <c r="B509" s="171" t="s">
        <v>194</v>
      </c>
      <c r="C509" s="55"/>
      <c r="D509" s="20">
        <v>176</v>
      </c>
      <c r="E509" s="21">
        <v>189</v>
      </c>
      <c r="F509" s="21">
        <v>194</v>
      </c>
      <c r="G509" s="21">
        <v>184</v>
      </c>
      <c r="H509" s="21">
        <v>176</v>
      </c>
      <c r="I509" s="21">
        <v>179</v>
      </c>
      <c r="J509" s="21">
        <v>186</v>
      </c>
      <c r="K509" s="21">
        <v>183</v>
      </c>
      <c r="L509" s="21">
        <v>186</v>
      </c>
      <c r="M509" s="21">
        <v>175</v>
      </c>
      <c r="N509" s="21">
        <v>176</v>
      </c>
      <c r="O509" s="21">
        <v>191</v>
      </c>
      <c r="P509" s="21">
        <v>175</v>
      </c>
      <c r="Q509" s="21">
        <v>175</v>
      </c>
      <c r="R509" s="21">
        <v>178</v>
      </c>
      <c r="S509" s="21">
        <v>178</v>
      </c>
      <c r="T509" s="21">
        <v>186</v>
      </c>
      <c r="U509" s="21">
        <v>212</v>
      </c>
      <c r="V509" s="21">
        <v>186</v>
      </c>
      <c r="W509" s="21">
        <v>175</v>
      </c>
      <c r="Y509" s="390"/>
      <c r="Z509" s="390"/>
      <c r="AA509" s="390"/>
      <c r="AB509" s="390"/>
      <c r="AC509" s="390"/>
      <c r="AD509" s="390"/>
      <c r="AE509" s="390"/>
      <c r="AF509" s="390"/>
      <c r="AG509" s="390"/>
      <c r="AH509" s="390"/>
      <c r="AI509" s="390"/>
      <c r="AJ509" s="390"/>
      <c r="AK509" s="390"/>
      <c r="AL509" s="390"/>
      <c r="AM509" s="390"/>
      <c r="AN509" s="390"/>
      <c r="AO509" s="390"/>
      <c r="AP509" s="390"/>
      <c r="AQ509" s="390"/>
      <c r="AR509" s="390"/>
      <c r="AS509" s="390"/>
    </row>
    <row r="510" spans="1:45" x14ac:dyDescent="0.3">
      <c r="B510" s="61" t="s">
        <v>195</v>
      </c>
      <c r="C510" s="55"/>
      <c r="D510" s="106">
        <v>179</v>
      </c>
      <c r="E510" s="21">
        <v>192</v>
      </c>
      <c r="F510" s="21">
        <v>197</v>
      </c>
      <c r="G510" s="21">
        <v>187</v>
      </c>
      <c r="H510" s="21">
        <v>179</v>
      </c>
      <c r="I510" s="21">
        <v>182</v>
      </c>
      <c r="J510" s="21">
        <v>189</v>
      </c>
      <c r="K510" s="21">
        <v>186</v>
      </c>
      <c r="L510" s="21">
        <v>189</v>
      </c>
      <c r="M510" s="21">
        <v>178</v>
      </c>
      <c r="N510" s="21">
        <v>179</v>
      </c>
      <c r="O510" s="21">
        <v>194</v>
      </c>
      <c r="P510" s="21">
        <v>178</v>
      </c>
      <c r="Q510" s="21">
        <v>178</v>
      </c>
      <c r="R510" s="21">
        <v>181</v>
      </c>
      <c r="S510" s="21">
        <v>181</v>
      </c>
      <c r="T510" s="21">
        <v>189</v>
      </c>
      <c r="U510" s="21">
        <v>215</v>
      </c>
      <c r="V510" s="21">
        <v>189</v>
      </c>
      <c r="W510" s="21">
        <v>178</v>
      </c>
      <c r="Y510" s="390"/>
      <c r="Z510" s="390"/>
      <c r="AA510" s="390"/>
      <c r="AB510" s="390"/>
      <c r="AC510" s="390"/>
      <c r="AD510" s="390"/>
      <c r="AE510" s="390"/>
      <c r="AF510" s="390"/>
      <c r="AG510" s="390"/>
      <c r="AH510" s="390"/>
      <c r="AI510" s="390"/>
      <c r="AJ510" s="390"/>
      <c r="AK510" s="390"/>
      <c r="AL510" s="390"/>
      <c r="AM510" s="390"/>
      <c r="AN510" s="390"/>
      <c r="AO510" s="390"/>
      <c r="AP510" s="390"/>
      <c r="AQ510" s="390"/>
      <c r="AR510" s="390"/>
      <c r="AS510" s="390"/>
    </row>
    <row r="511" spans="1:45" s="30" customFormat="1" x14ac:dyDescent="0.3">
      <c r="B511" s="61" t="s">
        <v>196</v>
      </c>
      <c r="C511" s="62"/>
      <c r="D511" s="28">
        <v>181</v>
      </c>
      <c r="E511" s="28">
        <v>194</v>
      </c>
      <c r="F511" s="28">
        <v>199</v>
      </c>
      <c r="G511" s="28">
        <v>189</v>
      </c>
      <c r="H511" s="28">
        <v>181</v>
      </c>
      <c r="I511" s="28">
        <v>184</v>
      </c>
      <c r="J511" s="28">
        <v>191</v>
      </c>
      <c r="K511" s="28">
        <v>188</v>
      </c>
      <c r="L511" s="28">
        <v>191</v>
      </c>
      <c r="M511" s="28">
        <v>180</v>
      </c>
      <c r="N511" s="28">
        <v>181</v>
      </c>
      <c r="O511" s="28">
        <v>196</v>
      </c>
      <c r="P511" s="28">
        <v>180</v>
      </c>
      <c r="Q511" s="28">
        <v>180</v>
      </c>
      <c r="R511" s="28">
        <v>183</v>
      </c>
      <c r="S511" s="28">
        <v>183</v>
      </c>
      <c r="T511" s="29">
        <v>191</v>
      </c>
      <c r="U511" s="29">
        <v>217</v>
      </c>
      <c r="V511" s="29">
        <v>191</v>
      </c>
      <c r="W511" s="28">
        <v>180</v>
      </c>
      <c r="Y511" s="391"/>
      <c r="Z511" s="391"/>
      <c r="AA511" s="391"/>
      <c r="AB511" s="391"/>
      <c r="AC511" s="391"/>
      <c r="AD511" s="391"/>
      <c r="AE511" s="391"/>
      <c r="AF511" s="391"/>
      <c r="AG511" s="391"/>
      <c r="AH511" s="391"/>
      <c r="AI511" s="391"/>
      <c r="AJ511" s="391"/>
      <c r="AK511" s="391"/>
      <c r="AL511" s="391"/>
      <c r="AM511" s="391"/>
      <c r="AN511" s="391"/>
      <c r="AO511" s="391"/>
      <c r="AP511" s="391"/>
      <c r="AQ511" s="391"/>
      <c r="AR511" s="391"/>
      <c r="AS511" s="391"/>
    </row>
    <row r="512" spans="1:45" s="30" customFormat="1" x14ac:dyDescent="0.3">
      <c r="B512" s="61" t="s">
        <v>197</v>
      </c>
      <c r="C512" s="62"/>
      <c r="D512" s="28">
        <v>183</v>
      </c>
      <c r="E512" s="28">
        <v>196</v>
      </c>
      <c r="F512" s="28">
        <v>201</v>
      </c>
      <c r="G512" s="28">
        <v>191</v>
      </c>
      <c r="H512" s="28">
        <v>183</v>
      </c>
      <c r="I512" s="28">
        <v>186</v>
      </c>
      <c r="J512" s="28">
        <v>193</v>
      </c>
      <c r="K512" s="28">
        <v>190</v>
      </c>
      <c r="L512" s="28">
        <v>193</v>
      </c>
      <c r="M512" s="28">
        <v>182</v>
      </c>
      <c r="N512" s="28">
        <v>183</v>
      </c>
      <c r="O512" s="28">
        <v>198</v>
      </c>
      <c r="P512" s="28">
        <v>182</v>
      </c>
      <c r="Q512" s="28">
        <v>182</v>
      </c>
      <c r="R512" s="28">
        <v>185</v>
      </c>
      <c r="S512" s="28">
        <v>185</v>
      </c>
      <c r="T512" s="29">
        <v>193</v>
      </c>
      <c r="U512" s="29">
        <v>219</v>
      </c>
      <c r="V512" s="29">
        <v>193</v>
      </c>
      <c r="W512" s="28">
        <v>182</v>
      </c>
      <c r="Y512" s="391"/>
      <c r="Z512" s="391"/>
      <c r="AA512" s="391"/>
      <c r="AB512" s="391"/>
      <c r="AC512" s="391"/>
      <c r="AD512" s="391"/>
      <c r="AE512" s="391"/>
      <c r="AF512" s="391"/>
      <c r="AG512" s="391"/>
      <c r="AH512" s="391"/>
      <c r="AI512" s="391"/>
      <c r="AJ512" s="391"/>
      <c r="AK512" s="391"/>
      <c r="AL512" s="391"/>
      <c r="AM512" s="391"/>
      <c r="AN512" s="391"/>
      <c r="AO512" s="391"/>
      <c r="AP512" s="391"/>
      <c r="AQ512" s="391"/>
      <c r="AR512" s="391"/>
      <c r="AS512" s="391"/>
    </row>
    <row r="513" spans="1:45" x14ac:dyDescent="0.3">
      <c r="B513" s="63" t="s">
        <v>103</v>
      </c>
      <c r="C513" s="55"/>
      <c r="D513" s="43">
        <v>0</v>
      </c>
      <c r="E513" s="408">
        <v>0</v>
      </c>
      <c r="F513" s="408">
        <v>0</v>
      </c>
      <c r="G513" s="408">
        <v>0</v>
      </c>
      <c r="H513" s="408">
        <v>0</v>
      </c>
      <c r="I513" s="408">
        <v>0</v>
      </c>
      <c r="J513" s="408">
        <v>0</v>
      </c>
      <c r="K513" s="408">
        <v>0</v>
      </c>
      <c r="L513" s="408">
        <v>0</v>
      </c>
      <c r="M513" s="408">
        <v>0</v>
      </c>
      <c r="N513" s="408">
        <v>0</v>
      </c>
      <c r="O513" s="408">
        <v>0</v>
      </c>
      <c r="P513" s="408">
        <v>0</v>
      </c>
      <c r="Q513" s="408">
        <v>0</v>
      </c>
      <c r="R513" s="408">
        <v>0</v>
      </c>
      <c r="S513" s="408">
        <v>0</v>
      </c>
      <c r="T513" s="408">
        <v>0</v>
      </c>
      <c r="U513" s="408">
        <v>0</v>
      </c>
      <c r="V513" s="408">
        <v>0</v>
      </c>
      <c r="W513" s="408">
        <v>0</v>
      </c>
      <c r="Y513" s="409"/>
      <c r="Z513" s="409"/>
      <c r="AA513" s="409"/>
      <c r="AB513" s="409"/>
      <c r="AC513" s="409"/>
      <c r="AD513" s="409"/>
      <c r="AE513" s="409"/>
      <c r="AF513" s="409"/>
      <c r="AG513" s="409"/>
      <c r="AH513" s="409"/>
      <c r="AI513" s="409"/>
      <c r="AJ513" s="409"/>
      <c r="AK513" s="409"/>
      <c r="AL513" s="409"/>
      <c r="AM513" s="409"/>
      <c r="AN513" s="409"/>
      <c r="AO513" s="409"/>
      <c r="AP513" s="409"/>
      <c r="AQ513" s="409"/>
      <c r="AR513" s="409"/>
      <c r="AS513" s="409"/>
    </row>
    <row r="514" spans="1:45" s="33" customFormat="1" x14ac:dyDescent="0.3">
      <c r="B514" s="63" t="s">
        <v>198</v>
      </c>
      <c r="C514" s="64"/>
      <c r="D514" s="31">
        <f t="shared" ref="D514:W514" si="516">+D509-D$507</f>
        <v>9.6058333333333508</v>
      </c>
      <c r="E514" s="32">
        <f t="shared" si="516"/>
        <v>9.3291666666666799</v>
      </c>
      <c r="F514" s="32">
        <f t="shared" si="516"/>
        <v>9.585000000000008</v>
      </c>
      <c r="G514" s="32">
        <f t="shared" si="516"/>
        <v>9.0725000000000193</v>
      </c>
      <c r="H514" s="32">
        <f t="shared" si="516"/>
        <v>9.8825000000000216</v>
      </c>
      <c r="I514" s="32">
        <f t="shared" si="516"/>
        <v>9.494166666666672</v>
      </c>
      <c r="J514" s="32">
        <f t="shared" si="516"/>
        <v>9.0391666666666879</v>
      </c>
      <c r="K514" s="32">
        <f t="shared" si="516"/>
        <v>9.8341666666666754</v>
      </c>
      <c r="L514" s="32">
        <f t="shared" si="516"/>
        <v>9.7175000000000296</v>
      </c>
      <c r="M514" s="32">
        <f t="shared" si="516"/>
        <v>9.2891666666666879</v>
      </c>
      <c r="N514" s="32">
        <f t="shared" si="516"/>
        <v>9.2041666666666799</v>
      </c>
      <c r="O514" s="32">
        <f t="shared" si="516"/>
        <v>9.5633333333333326</v>
      </c>
      <c r="P514" s="32">
        <f t="shared" si="516"/>
        <v>9.2891666666666879</v>
      </c>
      <c r="Q514" s="32">
        <f t="shared" si="516"/>
        <v>9.2891666666666879</v>
      </c>
      <c r="R514" s="32">
        <f t="shared" si="516"/>
        <v>9.1716666666666811</v>
      </c>
      <c r="S514" s="32">
        <f t="shared" si="516"/>
        <v>9.8491666666666902</v>
      </c>
      <c r="T514" s="32">
        <f t="shared" si="516"/>
        <v>9.3215999999999894</v>
      </c>
      <c r="U514" s="32">
        <f t="shared" si="516"/>
        <v>9.8374333333333084</v>
      </c>
      <c r="V514" s="32">
        <f t="shared" si="516"/>
        <v>9.3215999999999894</v>
      </c>
      <c r="W514" s="32">
        <f t="shared" si="516"/>
        <v>9.2891666666666879</v>
      </c>
      <c r="Y514" s="392"/>
      <c r="Z514" s="392"/>
      <c r="AA514" s="392"/>
      <c r="AB514" s="392"/>
      <c r="AC514" s="392"/>
      <c r="AD514" s="392"/>
      <c r="AE514" s="392"/>
      <c r="AF514" s="392"/>
      <c r="AG514" s="392"/>
      <c r="AH514" s="392"/>
      <c r="AI514" s="392"/>
      <c r="AJ514" s="392"/>
      <c r="AK514" s="392"/>
      <c r="AL514" s="392"/>
      <c r="AM514" s="392"/>
      <c r="AN514" s="392"/>
      <c r="AO514" s="392"/>
      <c r="AP514" s="392"/>
      <c r="AQ514" s="392"/>
      <c r="AR514" s="392"/>
      <c r="AS514" s="392"/>
    </row>
    <row r="515" spans="1:45" s="33" customFormat="1" x14ac:dyDescent="0.3">
      <c r="B515" s="63" t="s">
        <v>199</v>
      </c>
      <c r="C515" s="64"/>
      <c r="D515" s="31">
        <f t="shared" ref="D515:W515" si="517">+D510-D$507</f>
        <v>12.605833333333351</v>
      </c>
      <c r="E515" s="32">
        <f t="shared" si="517"/>
        <v>12.32916666666668</v>
      </c>
      <c r="F515" s="32">
        <f t="shared" si="517"/>
        <v>12.585000000000008</v>
      </c>
      <c r="G515" s="32">
        <f t="shared" si="517"/>
        <v>12.072500000000019</v>
      </c>
      <c r="H515" s="32">
        <f t="shared" si="517"/>
        <v>12.882500000000022</v>
      </c>
      <c r="I515" s="32">
        <f t="shared" si="517"/>
        <v>12.494166666666672</v>
      </c>
      <c r="J515" s="32">
        <f t="shared" si="517"/>
        <v>12.039166666666688</v>
      </c>
      <c r="K515" s="32">
        <f t="shared" si="517"/>
        <v>12.834166666666675</v>
      </c>
      <c r="L515" s="32">
        <f t="shared" si="517"/>
        <v>12.71750000000003</v>
      </c>
      <c r="M515" s="32">
        <f t="shared" si="517"/>
        <v>12.289166666666688</v>
      </c>
      <c r="N515" s="32">
        <f t="shared" si="517"/>
        <v>12.20416666666668</v>
      </c>
      <c r="O515" s="32">
        <f t="shared" si="517"/>
        <v>12.563333333333333</v>
      </c>
      <c r="P515" s="32">
        <f t="shared" si="517"/>
        <v>12.289166666666688</v>
      </c>
      <c r="Q515" s="32">
        <f t="shared" si="517"/>
        <v>12.289166666666688</v>
      </c>
      <c r="R515" s="32">
        <f t="shared" si="517"/>
        <v>12.171666666666681</v>
      </c>
      <c r="S515" s="32">
        <f t="shared" si="517"/>
        <v>12.84916666666669</v>
      </c>
      <c r="T515" s="32">
        <f t="shared" si="517"/>
        <v>12.321599999999989</v>
      </c>
      <c r="U515" s="32">
        <f t="shared" si="517"/>
        <v>12.837433333333308</v>
      </c>
      <c r="V515" s="32">
        <f t="shared" si="517"/>
        <v>12.321599999999989</v>
      </c>
      <c r="W515" s="32">
        <f t="shared" si="517"/>
        <v>12.289166666666688</v>
      </c>
      <c r="Y515" s="392"/>
      <c r="Z515" s="392"/>
      <c r="AA515" s="392"/>
      <c r="AB515" s="392"/>
      <c r="AC515" s="392"/>
      <c r="AD515" s="392"/>
      <c r="AE515" s="392"/>
      <c r="AF515" s="392"/>
      <c r="AG515" s="392"/>
      <c r="AH515" s="392"/>
      <c r="AI515" s="392"/>
      <c r="AJ515" s="392"/>
      <c r="AK515" s="392"/>
      <c r="AL515" s="392"/>
      <c r="AM515" s="392"/>
      <c r="AN515" s="392"/>
      <c r="AO515" s="392"/>
      <c r="AP515" s="392"/>
      <c r="AQ515" s="392"/>
      <c r="AR515" s="392"/>
      <c r="AS515" s="392"/>
    </row>
    <row r="516" spans="1:45" s="33" customFormat="1" x14ac:dyDescent="0.3">
      <c r="B516" s="63" t="s">
        <v>200</v>
      </c>
      <c r="C516" s="64"/>
      <c r="D516" s="31">
        <f t="shared" ref="D516:W516" si="518">+D511-D$507</f>
        <v>14.605833333333351</v>
      </c>
      <c r="E516" s="32">
        <f t="shared" si="518"/>
        <v>14.32916666666668</v>
      </c>
      <c r="F516" s="32">
        <f t="shared" si="518"/>
        <v>14.585000000000008</v>
      </c>
      <c r="G516" s="32">
        <f t="shared" si="518"/>
        <v>14.072500000000019</v>
      </c>
      <c r="H516" s="32">
        <f t="shared" si="518"/>
        <v>14.882500000000022</v>
      </c>
      <c r="I516" s="32">
        <f t="shared" si="518"/>
        <v>14.494166666666672</v>
      </c>
      <c r="J516" s="32">
        <f t="shared" si="518"/>
        <v>14.039166666666688</v>
      </c>
      <c r="K516" s="32">
        <f t="shared" si="518"/>
        <v>14.834166666666675</v>
      </c>
      <c r="L516" s="32">
        <f t="shared" si="518"/>
        <v>14.71750000000003</v>
      </c>
      <c r="M516" s="32">
        <f t="shared" si="518"/>
        <v>14.289166666666688</v>
      </c>
      <c r="N516" s="32">
        <f t="shared" si="518"/>
        <v>14.20416666666668</v>
      </c>
      <c r="O516" s="32">
        <f t="shared" si="518"/>
        <v>14.563333333333333</v>
      </c>
      <c r="P516" s="32">
        <f t="shared" si="518"/>
        <v>14.289166666666688</v>
      </c>
      <c r="Q516" s="32">
        <f t="shared" si="518"/>
        <v>14.289166666666688</v>
      </c>
      <c r="R516" s="32">
        <f t="shared" si="518"/>
        <v>14.171666666666681</v>
      </c>
      <c r="S516" s="32">
        <f t="shared" si="518"/>
        <v>14.84916666666669</v>
      </c>
      <c r="T516" s="32">
        <f t="shared" si="518"/>
        <v>14.321599999999989</v>
      </c>
      <c r="U516" s="32">
        <f t="shared" si="518"/>
        <v>14.837433333333308</v>
      </c>
      <c r="V516" s="32">
        <f t="shared" si="518"/>
        <v>14.321599999999989</v>
      </c>
      <c r="W516" s="32">
        <f t="shared" si="518"/>
        <v>14.289166666666688</v>
      </c>
      <c r="Y516" s="392"/>
      <c r="Z516" s="392"/>
      <c r="AA516" s="392"/>
      <c r="AB516" s="392"/>
      <c r="AC516" s="392"/>
      <c r="AD516" s="392"/>
      <c r="AE516" s="392"/>
      <c r="AF516" s="392"/>
      <c r="AG516" s="392"/>
      <c r="AH516" s="392"/>
      <c r="AI516" s="392"/>
      <c r="AJ516" s="392"/>
      <c r="AK516" s="392"/>
      <c r="AL516" s="392"/>
      <c r="AM516" s="392"/>
      <c r="AN516" s="392"/>
      <c r="AO516" s="392"/>
      <c r="AP516" s="392"/>
      <c r="AQ516" s="392"/>
      <c r="AR516" s="392"/>
      <c r="AS516" s="392"/>
    </row>
    <row r="517" spans="1:45" s="33" customFormat="1" x14ac:dyDescent="0.3">
      <c r="B517" s="63" t="s">
        <v>201</v>
      </c>
      <c r="C517" s="64"/>
      <c r="D517" s="31">
        <f t="shared" ref="D517:W517" si="519">+D512-D$507</f>
        <v>16.605833333333351</v>
      </c>
      <c r="E517" s="34">
        <f t="shared" si="519"/>
        <v>16.32916666666668</v>
      </c>
      <c r="F517" s="34">
        <f t="shared" si="519"/>
        <v>16.585000000000008</v>
      </c>
      <c r="G517" s="34">
        <f t="shared" si="519"/>
        <v>16.072500000000019</v>
      </c>
      <c r="H517" s="34">
        <f t="shared" si="519"/>
        <v>16.882500000000022</v>
      </c>
      <c r="I517" s="34">
        <f t="shared" si="519"/>
        <v>16.494166666666672</v>
      </c>
      <c r="J517" s="34">
        <f t="shared" si="519"/>
        <v>16.039166666666688</v>
      </c>
      <c r="K517" s="34">
        <f t="shared" si="519"/>
        <v>16.834166666666675</v>
      </c>
      <c r="L517" s="34">
        <f t="shared" si="519"/>
        <v>16.71750000000003</v>
      </c>
      <c r="M517" s="34">
        <f t="shared" si="519"/>
        <v>16.289166666666688</v>
      </c>
      <c r="N517" s="34">
        <f t="shared" si="519"/>
        <v>16.20416666666668</v>
      </c>
      <c r="O517" s="34">
        <f t="shared" si="519"/>
        <v>16.563333333333333</v>
      </c>
      <c r="P517" s="34">
        <f t="shared" si="519"/>
        <v>16.289166666666688</v>
      </c>
      <c r="Q517" s="34">
        <f t="shared" si="519"/>
        <v>16.289166666666688</v>
      </c>
      <c r="R517" s="34">
        <f t="shared" si="519"/>
        <v>16.171666666666681</v>
      </c>
      <c r="S517" s="34">
        <f t="shared" si="519"/>
        <v>16.84916666666669</v>
      </c>
      <c r="T517" s="34">
        <f t="shared" si="519"/>
        <v>16.321599999999989</v>
      </c>
      <c r="U517" s="34">
        <f t="shared" si="519"/>
        <v>16.837433333333308</v>
      </c>
      <c r="V517" s="34">
        <f t="shared" si="519"/>
        <v>16.321599999999989</v>
      </c>
      <c r="W517" s="34">
        <f t="shared" si="519"/>
        <v>16.289166666666688</v>
      </c>
      <c r="Y517" s="392"/>
      <c r="Z517" s="392"/>
      <c r="AA517" s="392"/>
      <c r="AB517" s="392"/>
      <c r="AC517" s="392"/>
      <c r="AD517" s="392"/>
      <c r="AE517" s="392"/>
      <c r="AF517" s="392"/>
      <c r="AG517" s="392"/>
      <c r="AH517" s="392"/>
      <c r="AI517" s="392"/>
      <c r="AJ517" s="392"/>
      <c r="AK517" s="392"/>
      <c r="AL517" s="392"/>
      <c r="AM517" s="392"/>
      <c r="AN517" s="392"/>
      <c r="AO517" s="392"/>
      <c r="AP517" s="392"/>
      <c r="AQ517" s="392"/>
      <c r="AR517" s="392"/>
      <c r="AS517" s="392"/>
    </row>
    <row r="518" spans="1:45" x14ac:dyDescent="0.3">
      <c r="B518" s="65" t="s">
        <v>108</v>
      </c>
      <c r="C518" s="55"/>
      <c r="D518" s="43">
        <v>0</v>
      </c>
      <c r="E518" s="408">
        <v>0</v>
      </c>
      <c r="F518" s="408">
        <v>0</v>
      </c>
      <c r="G518" s="408">
        <v>0</v>
      </c>
      <c r="H518" s="408">
        <v>0</v>
      </c>
      <c r="I518" s="408">
        <v>0</v>
      </c>
      <c r="J518" s="408">
        <v>0</v>
      </c>
      <c r="K518" s="408">
        <v>0</v>
      </c>
      <c r="L518" s="408">
        <v>0</v>
      </c>
      <c r="M518" s="408">
        <v>0</v>
      </c>
      <c r="N518" s="408">
        <v>0</v>
      </c>
      <c r="O518" s="408">
        <v>0</v>
      </c>
      <c r="P518" s="408">
        <v>0</v>
      </c>
      <c r="Q518" s="408">
        <v>0</v>
      </c>
      <c r="R518" s="408">
        <v>0</v>
      </c>
      <c r="S518" s="408">
        <v>0</v>
      </c>
      <c r="T518" s="408">
        <v>0</v>
      </c>
      <c r="U518" s="408">
        <v>0</v>
      </c>
      <c r="V518" s="408">
        <v>0</v>
      </c>
      <c r="W518" s="408">
        <v>0</v>
      </c>
      <c r="Y518" s="409"/>
      <c r="Z518" s="409"/>
      <c r="AA518" s="409"/>
      <c r="AB518" s="409"/>
      <c r="AC518" s="409"/>
      <c r="AD518" s="409"/>
      <c r="AE518" s="409"/>
      <c r="AF518" s="409"/>
      <c r="AG518" s="409"/>
      <c r="AH518" s="409"/>
      <c r="AI518" s="409"/>
      <c r="AJ518" s="409"/>
      <c r="AK518" s="409"/>
      <c r="AL518" s="409"/>
      <c r="AM518" s="409"/>
      <c r="AN518" s="409"/>
      <c r="AO518" s="409"/>
      <c r="AP518" s="409"/>
      <c r="AQ518" s="409"/>
      <c r="AR518" s="409"/>
      <c r="AS518" s="409"/>
    </row>
    <row r="519" spans="1:45" s="36" customFormat="1" x14ac:dyDescent="0.3">
      <c r="B519" s="65" t="s">
        <v>202</v>
      </c>
      <c r="C519" s="66"/>
      <c r="D519" s="35">
        <f>+D514/D$509</f>
        <v>5.4578598484848584E-2</v>
      </c>
      <c r="E519" s="35">
        <f t="shared" ref="E519:W519" si="520">+E514/E$509</f>
        <v>4.93606701940036E-2</v>
      </c>
      <c r="F519" s="35">
        <f t="shared" si="520"/>
        <v>4.9407216494845405E-2</v>
      </c>
      <c r="G519" s="35">
        <f t="shared" si="520"/>
        <v>4.9307065217391408E-2</v>
      </c>
      <c r="H519" s="35">
        <f t="shared" si="520"/>
        <v>5.6150568181818301E-2</v>
      </c>
      <c r="I519" s="35">
        <f t="shared" si="520"/>
        <v>5.3040037243947888E-2</v>
      </c>
      <c r="J519" s="35">
        <f t="shared" si="520"/>
        <v>4.8597670250896174E-2</v>
      </c>
      <c r="K519" s="35">
        <f t="shared" si="520"/>
        <v>5.3738615664845224E-2</v>
      </c>
      <c r="L519" s="35">
        <f t="shared" si="520"/>
        <v>5.2244623655914139E-2</v>
      </c>
      <c r="M519" s="35">
        <f t="shared" si="520"/>
        <v>5.3080952380952499E-2</v>
      </c>
      <c r="N519" s="35">
        <f t="shared" si="520"/>
        <v>5.2296401515151587E-2</v>
      </c>
      <c r="O519" s="35">
        <f t="shared" si="520"/>
        <v>5.0069808027923206E-2</v>
      </c>
      <c r="P519" s="35">
        <f t="shared" si="520"/>
        <v>5.3080952380952499E-2</v>
      </c>
      <c r="Q519" s="35">
        <f t="shared" si="520"/>
        <v>5.3080952380952499E-2</v>
      </c>
      <c r="R519" s="35">
        <f t="shared" si="520"/>
        <v>5.1526217228464503E-2</v>
      </c>
      <c r="S519" s="35">
        <f t="shared" si="520"/>
        <v>5.5332397003745454E-2</v>
      </c>
      <c r="T519" s="35">
        <f t="shared" si="520"/>
        <v>5.0116129032258011E-2</v>
      </c>
      <c r="U519" s="35">
        <f t="shared" si="520"/>
        <v>4.6402987421383532E-2</v>
      </c>
      <c r="V519" s="35">
        <f t="shared" si="520"/>
        <v>5.0116129032258011E-2</v>
      </c>
      <c r="W519" s="35">
        <f t="shared" si="520"/>
        <v>5.3080952380952499E-2</v>
      </c>
      <c r="Y519" s="393"/>
      <c r="Z519" s="393"/>
      <c r="AA519" s="393"/>
      <c r="AB519" s="393"/>
      <c r="AC519" s="393"/>
      <c r="AD519" s="393"/>
      <c r="AE519" s="393"/>
      <c r="AF519" s="393"/>
      <c r="AG519" s="393"/>
      <c r="AH519" s="393"/>
      <c r="AI519" s="393"/>
      <c r="AJ519" s="393"/>
      <c r="AK519" s="393"/>
      <c r="AL519" s="393"/>
      <c r="AM519" s="393"/>
      <c r="AN519" s="393"/>
      <c r="AO519" s="393"/>
      <c r="AP519" s="393"/>
      <c r="AQ519" s="393"/>
      <c r="AR519" s="393"/>
      <c r="AS519" s="393"/>
    </row>
    <row r="520" spans="1:45" s="36" customFormat="1" x14ac:dyDescent="0.3">
      <c r="B520" s="65" t="s">
        <v>203</v>
      </c>
      <c r="C520" s="66"/>
      <c r="D520" s="35">
        <f>+D515/D$510</f>
        <v>7.0423649906890234E-2</v>
      </c>
      <c r="E520" s="35">
        <f t="shared" ref="E520:W520" si="521">+E515/E$510</f>
        <v>6.4214409722222296E-2</v>
      </c>
      <c r="F520" s="35">
        <f t="shared" si="521"/>
        <v>6.3883248730964501E-2</v>
      </c>
      <c r="G520" s="35">
        <f t="shared" si="521"/>
        <v>6.4558823529411863E-2</v>
      </c>
      <c r="H520" s="35">
        <f t="shared" si="521"/>
        <v>7.1969273743016884E-2</v>
      </c>
      <c r="I520" s="35">
        <f t="shared" si="521"/>
        <v>6.8649267399267425E-2</v>
      </c>
      <c r="J520" s="35">
        <f t="shared" si="521"/>
        <v>6.3699294532627973E-2</v>
      </c>
      <c r="K520" s="35">
        <f t="shared" si="521"/>
        <v>6.9000896057347716E-2</v>
      </c>
      <c r="L520" s="35">
        <f t="shared" si="521"/>
        <v>6.7288359788359939E-2</v>
      </c>
      <c r="M520" s="35">
        <f t="shared" si="521"/>
        <v>6.9040262172284761E-2</v>
      </c>
      <c r="N520" s="35">
        <f t="shared" si="521"/>
        <v>6.8179702048417209E-2</v>
      </c>
      <c r="O520" s="35">
        <f t="shared" si="521"/>
        <v>6.4759450171821303E-2</v>
      </c>
      <c r="P520" s="35">
        <f t="shared" si="521"/>
        <v>6.9040262172284761E-2</v>
      </c>
      <c r="Q520" s="35">
        <f t="shared" si="521"/>
        <v>6.9040262172284761E-2</v>
      </c>
      <c r="R520" s="35">
        <f t="shared" si="521"/>
        <v>6.7246777163904314E-2</v>
      </c>
      <c r="S520" s="35">
        <f t="shared" si="521"/>
        <v>7.09898710865563E-2</v>
      </c>
      <c r="T520" s="35">
        <f t="shared" si="521"/>
        <v>6.5193650793650734E-2</v>
      </c>
      <c r="U520" s="35">
        <f t="shared" si="521"/>
        <v>5.97089922480619E-2</v>
      </c>
      <c r="V520" s="35">
        <f t="shared" si="521"/>
        <v>6.5193650793650734E-2</v>
      </c>
      <c r="W520" s="35">
        <f t="shared" si="521"/>
        <v>6.9040262172284761E-2</v>
      </c>
      <c r="Y520" s="393"/>
      <c r="Z520" s="393"/>
      <c r="AA520" s="393"/>
      <c r="AB520" s="393"/>
      <c r="AC520" s="393"/>
      <c r="AD520" s="393"/>
      <c r="AE520" s="393"/>
      <c r="AF520" s="393"/>
      <c r="AG520" s="393"/>
      <c r="AH520" s="393"/>
      <c r="AI520" s="393"/>
      <c r="AJ520" s="393"/>
      <c r="AK520" s="393"/>
      <c r="AL520" s="393"/>
      <c r="AM520" s="393"/>
      <c r="AN520" s="393"/>
      <c r="AO520" s="393"/>
      <c r="AP520" s="393"/>
      <c r="AQ520" s="393"/>
      <c r="AR520" s="393"/>
      <c r="AS520" s="393"/>
    </row>
    <row r="521" spans="1:45" s="36" customFormat="1" x14ac:dyDescent="0.3">
      <c r="B521" s="65" t="s">
        <v>204</v>
      </c>
      <c r="C521" s="66"/>
      <c r="D521" s="35">
        <f>+D516/D$511</f>
        <v>8.0695211786372109E-2</v>
      </c>
      <c r="E521" s="35">
        <f t="shared" ref="E521:W521" si="522">+E516/E$511</f>
        <v>7.3861683848797322E-2</v>
      </c>
      <c r="F521" s="35">
        <f t="shared" si="522"/>
        <v>7.3291457286432202E-2</v>
      </c>
      <c r="G521" s="35">
        <f t="shared" si="522"/>
        <v>7.4457671957672056E-2</v>
      </c>
      <c r="H521" s="35">
        <f t="shared" si="522"/>
        <v>8.2223756906077472E-2</v>
      </c>
      <c r="I521" s="35">
        <f t="shared" si="522"/>
        <v>7.8772644927536259E-2</v>
      </c>
      <c r="J521" s="35">
        <f t="shared" si="522"/>
        <v>7.3503490401396268E-2</v>
      </c>
      <c r="K521" s="35">
        <f t="shared" si="522"/>
        <v>7.8905141843971682E-2</v>
      </c>
      <c r="L521" s="35">
        <f t="shared" si="522"/>
        <v>7.7054973821989683E-2</v>
      </c>
      <c r="M521" s="35">
        <f t="shared" si="522"/>
        <v>7.9384259259259377E-2</v>
      </c>
      <c r="N521" s="35">
        <f t="shared" si="522"/>
        <v>7.8476058931860104E-2</v>
      </c>
      <c r="O521" s="35">
        <f t="shared" si="522"/>
        <v>7.4302721088435372E-2</v>
      </c>
      <c r="P521" s="35">
        <f t="shared" si="522"/>
        <v>7.9384259259259377E-2</v>
      </c>
      <c r="Q521" s="35">
        <f t="shared" si="522"/>
        <v>7.9384259259259377E-2</v>
      </c>
      <c r="R521" s="35">
        <f t="shared" si="522"/>
        <v>7.744080145719498E-2</v>
      </c>
      <c r="S521" s="35">
        <f t="shared" si="522"/>
        <v>8.114298724954476E-2</v>
      </c>
      <c r="T521" s="35">
        <f t="shared" si="522"/>
        <v>7.4982198952879525E-2</v>
      </c>
      <c r="U521" s="35">
        <f t="shared" si="522"/>
        <v>6.8375268817204182E-2</v>
      </c>
      <c r="V521" s="35">
        <f t="shared" si="522"/>
        <v>7.4982198952879525E-2</v>
      </c>
      <c r="W521" s="35">
        <f t="shared" si="522"/>
        <v>7.9384259259259377E-2</v>
      </c>
      <c r="Y521" s="393"/>
      <c r="Z521" s="393"/>
      <c r="AA521" s="393"/>
      <c r="AB521" s="393"/>
      <c r="AC521" s="393"/>
      <c r="AD521" s="393"/>
      <c r="AE521" s="393"/>
      <c r="AF521" s="393"/>
      <c r="AG521" s="393"/>
      <c r="AH521" s="393"/>
      <c r="AI521" s="393"/>
      <c r="AJ521" s="393"/>
      <c r="AK521" s="393"/>
      <c r="AL521" s="393"/>
      <c r="AM521" s="393"/>
      <c r="AN521" s="393"/>
      <c r="AO521" s="393"/>
      <c r="AP521" s="393"/>
      <c r="AQ521" s="393"/>
      <c r="AR521" s="393"/>
      <c r="AS521" s="393"/>
    </row>
    <row r="522" spans="1:45" s="36" customFormat="1" x14ac:dyDescent="0.3">
      <c r="B522" s="65" t="s">
        <v>205</v>
      </c>
      <c r="C522" s="66"/>
      <c r="D522" s="35">
        <f>+D517/D$512</f>
        <v>9.0742258652094815E-2</v>
      </c>
      <c r="E522" s="35">
        <f t="shared" ref="E522:W522" si="523">+E517/E$512</f>
        <v>8.331207482993204E-2</v>
      </c>
      <c r="F522" s="35">
        <f t="shared" si="523"/>
        <v>8.2512437810945319E-2</v>
      </c>
      <c r="G522" s="35">
        <f t="shared" si="523"/>
        <v>8.4149214659685959E-2</v>
      </c>
      <c r="H522" s="35">
        <f t="shared" si="523"/>
        <v>9.2254098360655859E-2</v>
      </c>
      <c r="I522" s="35">
        <f t="shared" si="523"/>
        <v>8.8678315412186404E-2</v>
      </c>
      <c r="J522" s="35">
        <f t="shared" si="523"/>
        <v>8.3104490500863673E-2</v>
      </c>
      <c r="K522" s="35">
        <f t="shared" si="523"/>
        <v>8.86008771929825E-2</v>
      </c>
      <c r="L522" s="35">
        <f t="shared" si="523"/>
        <v>8.6619170984456109E-2</v>
      </c>
      <c r="M522" s="35">
        <f t="shared" si="523"/>
        <v>8.9500915750915871E-2</v>
      </c>
      <c r="N522" s="35">
        <f t="shared" si="523"/>
        <v>8.8547358834244153E-2</v>
      </c>
      <c r="O522" s="35">
        <f t="shared" si="523"/>
        <v>8.3653198653198646E-2</v>
      </c>
      <c r="P522" s="35">
        <f t="shared" si="523"/>
        <v>8.9500915750915871E-2</v>
      </c>
      <c r="Q522" s="35">
        <f t="shared" si="523"/>
        <v>8.9500915750915871E-2</v>
      </c>
      <c r="R522" s="35">
        <f t="shared" si="523"/>
        <v>8.7414414414414499E-2</v>
      </c>
      <c r="S522" s="35">
        <f t="shared" si="523"/>
        <v>9.1076576576576709E-2</v>
      </c>
      <c r="T522" s="35">
        <f t="shared" si="523"/>
        <v>8.4567875647668336E-2</v>
      </c>
      <c r="U522" s="35">
        <f t="shared" si="523"/>
        <v>7.6883257229832455E-2</v>
      </c>
      <c r="V522" s="35">
        <f t="shared" si="523"/>
        <v>8.4567875647668336E-2</v>
      </c>
      <c r="W522" s="35">
        <f t="shared" si="523"/>
        <v>8.9500915750915871E-2</v>
      </c>
      <c r="Y522" s="393"/>
      <c r="Z522" s="393"/>
      <c r="AA522" s="393"/>
      <c r="AB522" s="393"/>
      <c r="AC522" s="393"/>
      <c r="AD522" s="393"/>
      <c r="AE522" s="393"/>
      <c r="AF522" s="393"/>
      <c r="AG522" s="393"/>
      <c r="AH522" s="393"/>
      <c r="AI522" s="393"/>
      <c r="AJ522" s="393"/>
      <c r="AK522" s="393"/>
      <c r="AL522" s="393"/>
      <c r="AM522" s="393"/>
      <c r="AN522" s="393"/>
      <c r="AO522" s="393"/>
      <c r="AP522" s="393"/>
      <c r="AQ522" s="393"/>
      <c r="AR522" s="393"/>
      <c r="AS522" s="393"/>
    </row>
    <row r="523" spans="1:45" ht="21" thickBot="1" x14ac:dyDescent="0.35">
      <c r="Y523" s="390"/>
      <c r="Z523" s="390"/>
      <c r="AA523" s="390"/>
      <c r="AB523" s="390"/>
      <c r="AC523" s="390"/>
      <c r="AD523" s="390"/>
      <c r="AE523" s="390"/>
      <c r="AF523" s="390"/>
      <c r="AG523" s="390"/>
      <c r="AH523" s="390"/>
      <c r="AI523" s="390"/>
      <c r="AJ523" s="390"/>
      <c r="AK523" s="390"/>
      <c r="AL523" s="390"/>
      <c r="AM523" s="390"/>
      <c r="AN523" s="390"/>
      <c r="AO523" s="390"/>
      <c r="AP523" s="390"/>
      <c r="AQ523" s="390"/>
      <c r="AR523" s="390"/>
      <c r="AS523" s="390"/>
    </row>
    <row r="524" spans="1:45" ht="21" thickBot="1" x14ac:dyDescent="0.35">
      <c r="A524" s="15" t="s">
        <v>328</v>
      </c>
      <c r="B524" s="67" t="s">
        <v>109</v>
      </c>
      <c r="C524" s="68"/>
      <c r="D524" s="17" t="s">
        <v>5</v>
      </c>
      <c r="E524" s="18" t="s">
        <v>6</v>
      </c>
      <c r="F524" s="18" t="s">
        <v>7</v>
      </c>
      <c r="G524" s="18" t="s">
        <v>8</v>
      </c>
      <c r="H524" s="18" t="s">
        <v>9</v>
      </c>
      <c r="I524" s="18" t="s">
        <v>10</v>
      </c>
      <c r="J524" s="18" t="s">
        <v>11</v>
      </c>
      <c r="K524" s="18" t="s">
        <v>12</v>
      </c>
      <c r="L524" s="18" t="s">
        <v>13</v>
      </c>
      <c r="M524" s="18" t="s">
        <v>14</v>
      </c>
      <c r="N524" s="18" t="s">
        <v>15</v>
      </c>
      <c r="O524" s="18" t="s">
        <v>16</v>
      </c>
      <c r="P524" s="18" t="s">
        <v>17</v>
      </c>
      <c r="Q524" s="18" t="s">
        <v>18</v>
      </c>
      <c r="R524" s="18" t="s">
        <v>19</v>
      </c>
      <c r="S524" s="18" t="s">
        <v>20</v>
      </c>
      <c r="T524" s="18" t="s">
        <v>21</v>
      </c>
      <c r="U524" s="18" t="s">
        <v>22</v>
      </c>
      <c r="V524" s="18" t="s">
        <v>23</v>
      </c>
      <c r="W524" s="18" t="s">
        <v>166</v>
      </c>
      <c r="Y524" s="390"/>
      <c r="Z524" s="390"/>
      <c r="AA524" s="390"/>
      <c r="AB524" s="390"/>
      <c r="AC524" s="390"/>
      <c r="AD524" s="390"/>
      <c r="AE524" s="390"/>
      <c r="AF524" s="390"/>
      <c r="AG524" s="390"/>
      <c r="AH524" s="390"/>
      <c r="AI524" s="390"/>
      <c r="AJ524" s="390"/>
      <c r="AK524" s="390"/>
      <c r="AL524" s="390"/>
      <c r="AM524" s="390"/>
      <c r="AN524" s="390"/>
      <c r="AO524" s="390"/>
      <c r="AP524" s="390"/>
      <c r="AQ524" s="390"/>
      <c r="AR524" s="390"/>
      <c r="AS524" s="390"/>
    </row>
    <row r="525" spans="1:45" x14ac:dyDescent="0.3">
      <c r="B525" s="54" t="s">
        <v>50</v>
      </c>
      <c r="C525" s="55"/>
      <c r="D525" s="20">
        <v>50</v>
      </c>
      <c r="E525" s="21">
        <v>50</v>
      </c>
      <c r="F525" s="21">
        <v>50</v>
      </c>
      <c r="G525" s="21">
        <v>50</v>
      </c>
      <c r="H525" s="21">
        <v>50</v>
      </c>
      <c r="I525" s="21">
        <v>50</v>
      </c>
      <c r="J525" s="21">
        <v>50</v>
      </c>
      <c r="K525" s="21">
        <v>50</v>
      </c>
      <c r="L525" s="21">
        <v>50</v>
      </c>
      <c r="M525" s="21">
        <v>50</v>
      </c>
      <c r="N525" s="21">
        <v>50</v>
      </c>
      <c r="O525" s="21">
        <v>50</v>
      </c>
      <c r="P525" s="21">
        <v>50</v>
      </c>
      <c r="Q525" s="21">
        <v>50</v>
      </c>
      <c r="R525" s="21">
        <v>50</v>
      </c>
      <c r="S525" s="21">
        <v>50</v>
      </c>
      <c r="T525" s="21"/>
      <c r="U525" s="21"/>
      <c r="V525" s="21"/>
      <c r="W525" s="21">
        <v>50</v>
      </c>
      <c r="Y525" s="390"/>
      <c r="Z525" s="390"/>
      <c r="AA525" s="390"/>
      <c r="AB525" s="390"/>
      <c r="AC525" s="390"/>
      <c r="AD525" s="390"/>
      <c r="AE525" s="390"/>
      <c r="AF525" s="390"/>
      <c r="AG525" s="390"/>
      <c r="AH525" s="390"/>
      <c r="AI525" s="390"/>
      <c r="AJ525" s="390"/>
      <c r="AK525" s="390"/>
      <c r="AL525" s="390"/>
      <c r="AM525" s="390"/>
      <c r="AN525" s="390"/>
      <c r="AO525" s="390"/>
      <c r="AP525" s="390"/>
      <c r="AQ525" s="390"/>
      <c r="AR525" s="390"/>
      <c r="AS525" s="390"/>
    </row>
    <row r="526" spans="1:45" x14ac:dyDescent="0.3">
      <c r="B526" s="54" t="s">
        <v>51</v>
      </c>
      <c r="C526" s="55"/>
      <c r="D526" s="218">
        <v>0.49</v>
      </c>
      <c r="E526" s="218">
        <f>D526</f>
        <v>0.49</v>
      </c>
      <c r="F526" s="218">
        <f t="shared" ref="F526:S526" si="524">E526</f>
        <v>0.49</v>
      </c>
      <c r="G526" s="218">
        <f t="shared" si="524"/>
        <v>0.49</v>
      </c>
      <c r="H526" s="218">
        <f t="shared" si="524"/>
        <v>0.49</v>
      </c>
      <c r="I526" s="218">
        <f t="shared" si="524"/>
        <v>0.49</v>
      </c>
      <c r="J526" s="218">
        <f t="shared" si="524"/>
        <v>0.49</v>
      </c>
      <c r="K526" s="218">
        <f t="shared" si="524"/>
        <v>0.49</v>
      </c>
      <c r="L526" s="218">
        <f t="shared" si="524"/>
        <v>0.49</v>
      </c>
      <c r="M526" s="218">
        <f t="shared" si="524"/>
        <v>0.49</v>
      </c>
      <c r="N526" s="218">
        <f t="shared" si="524"/>
        <v>0.49</v>
      </c>
      <c r="O526" s="218">
        <f t="shared" si="524"/>
        <v>0.49</v>
      </c>
      <c r="P526" s="218">
        <f t="shared" si="524"/>
        <v>0.49</v>
      </c>
      <c r="Q526" s="218">
        <f t="shared" si="524"/>
        <v>0.49</v>
      </c>
      <c r="R526" s="218">
        <f t="shared" si="524"/>
        <v>0.49</v>
      </c>
      <c r="S526" s="218">
        <f t="shared" si="524"/>
        <v>0.49</v>
      </c>
      <c r="T526" s="218"/>
      <c r="U526" s="218"/>
      <c r="V526" s="218"/>
      <c r="W526" s="218">
        <f>D526</f>
        <v>0.49</v>
      </c>
      <c r="Y526" s="390"/>
      <c r="Z526" s="390"/>
      <c r="AA526" s="390"/>
      <c r="AB526" s="390"/>
      <c r="AC526" s="390"/>
      <c r="AD526" s="390"/>
      <c r="AE526" s="390"/>
      <c r="AF526" s="390"/>
      <c r="AG526" s="390"/>
      <c r="AH526" s="390"/>
      <c r="AI526" s="390"/>
      <c r="AJ526" s="390"/>
      <c r="AK526" s="390"/>
      <c r="AL526" s="390"/>
      <c r="AM526" s="390"/>
      <c r="AN526" s="390"/>
      <c r="AO526" s="390"/>
      <c r="AP526" s="390"/>
      <c r="AQ526" s="390"/>
      <c r="AR526" s="390"/>
      <c r="AS526" s="390"/>
    </row>
    <row r="527" spans="1:45" x14ac:dyDescent="0.3">
      <c r="B527" s="54" t="s">
        <v>60</v>
      </c>
      <c r="C527" s="55"/>
      <c r="D527" s="21">
        <v>0</v>
      </c>
      <c r="E527" s="21">
        <v>0</v>
      </c>
      <c r="F527" s="21">
        <v>0</v>
      </c>
      <c r="G527" s="21">
        <v>0</v>
      </c>
      <c r="H527" s="21">
        <v>0</v>
      </c>
      <c r="I527" s="21">
        <v>0</v>
      </c>
      <c r="J527" s="21">
        <v>0</v>
      </c>
      <c r="K527" s="21">
        <v>0</v>
      </c>
      <c r="L527" s="21">
        <v>0</v>
      </c>
      <c r="M527" s="21">
        <v>0</v>
      </c>
      <c r="N527" s="21">
        <v>0</v>
      </c>
      <c r="O527" s="21">
        <v>0</v>
      </c>
      <c r="P527" s="21">
        <v>0</v>
      </c>
      <c r="Q527" s="21">
        <v>0</v>
      </c>
      <c r="R527" s="21">
        <v>0</v>
      </c>
      <c r="S527" s="21">
        <v>0</v>
      </c>
      <c r="T527" s="21"/>
      <c r="U527" s="21"/>
      <c r="V527" s="21"/>
      <c r="W527" s="21">
        <v>0</v>
      </c>
      <c r="Y527" s="390"/>
      <c r="Z527" s="390"/>
      <c r="AA527" s="390"/>
      <c r="AB527" s="390"/>
      <c r="AC527" s="390"/>
      <c r="AD527" s="390"/>
      <c r="AE527" s="390"/>
      <c r="AF527" s="390"/>
      <c r="AG527" s="390"/>
      <c r="AH527" s="390"/>
      <c r="AI527" s="390"/>
      <c r="AJ527" s="390"/>
      <c r="AK527" s="390"/>
      <c r="AL527" s="390"/>
      <c r="AM527" s="390"/>
      <c r="AN527" s="390"/>
      <c r="AO527" s="390"/>
      <c r="AP527" s="390"/>
      <c r="AQ527" s="390"/>
      <c r="AR527" s="390"/>
      <c r="AS527" s="390"/>
    </row>
    <row r="528" spans="1:45" x14ac:dyDescent="0.3">
      <c r="B528" s="177" t="s">
        <v>67</v>
      </c>
      <c r="C528" s="178"/>
      <c r="D528" s="323">
        <f>D525-(D525*D526)</f>
        <v>25.5</v>
      </c>
      <c r="E528" s="323">
        <f t="shared" ref="E528:W528" si="525">E525-(E525*E526)</f>
        <v>25.5</v>
      </c>
      <c r="F528" s="323">
        <f t="shared" si="525"/>
        <v>25.5</v>
      </c>
      <c r="G528" s="323">
        <f t="shared" si="525"/>
        <v>25.5</v>
      </c>
      <c r="H528" s="323">
        <f t="shared" si="525"/>
        <v>25.5</v>
      </c>
      <c r="I528" s="323">
        <f t="shared" si="525"/>
        <v>25.5</v>
      </c>
      <c r="J528" s="323">
        <f t="shared" si="525"/>
        <v>25.5</v>
      </c>
      <c r="K528" s="323">
        <f t="shared" si="525"/>
        <v>25.5</v>
      </c>
      <c r="L528" s="323">
        <f t="shared" si="525"/>
        <v>25.5</v>
      </c>
      <c r="M528" s="323">
        <f t="shared" si="525"/>
        <v>25.5</v>
      </c>
      <c r="N528" s="323">
        <f t="shared" si="525"/>
        <v>25.5</v>
      </c>
      <c r="O528" s="323">
        <f t="shared" si="525"/>
        <v>25.5</v>
      </c>
      <c r="P528" s="323">
        <f t="shared" si="525"/>
        <v>25.5</v>
      </c>
      <c r="Q528" s="323">
        <f t="shared" si="525"/>
        <v>25.5</v>
      </c>
      <c r="R528" s="323">
        <f t="shared" si="525"/>
        <v>25.5</v>
      </c>
      <c r="S528" s="323">
        <f t="shared" si="525"/>
        <v>25.5</v>
      </c>
      <c r="T528" s="323">
        <v>26.34</v>
      </c>
      <c r="U528" s="323">
        <v>26.34</v>
      </c>
      <c r="V528" s="323">
        <v>26.34</v>
      </c>
      <c r="W528" s="323">
        <f t="shared" si="525"/>
        <v>25.5</v>
      </c>
      <c r="Y528" s="390"/>
      <c r="Z528" s="390"/>
      <c r="AA528" s="390"/>
      <c r="AB528" s="390"/>
      <c r="AC528" s="390"/>
      <c r="AD528" s="390"/>
      <c r="AE528" s="390"/>
      <c r="AF528" s="390"/>
      <c r="AG528" s="390"/>
      <c r="AH528" s="390"/>
      <c r="AI528" s="390"/>
      <c r="AJ528" s="390"/>
      <c r="AK528" s="390"/>
      <c r="AL528" s="390"/>
      <c r="AM528" s="390"/>
      <c r="AN528" s="390"/>
      <c r="AO528" s="390"/>
      <c r="AP528" s="390"/>
      <c r="AQ528" s="390"/>
      <c r="AR528" s="390"/>
      <c r="AS528" s="390"/>
    </row>
    <row r="529" spans="2:45" x14ac:dyDescent="0.3">
      <c r="B529" s="54" t="s">
        <v>66</v>
      </c>
      <c r="C529" s="56">
        <v>7.0000000000000007E-2</v>
      </c>
      <c r="D529" s="24">
        <f>D528*$C529</f>
        <v>1.7850000000000001</v>
      </c>
      <c r="E529" s="24">
        <f t="shared" ref="E529:S529" si="526">E528*$C529</f>
        <v>1.7850000000000001</v>
      </c>
      <c r="F529" s="24">
        <f t="shared" si="526"/>
        <v>1.7850000000000001</v>
      </c>
      <c r="G529" s="24">
        <f t="shared" si="526"/>
        <v>1.7850000000000001</v>
      </c>
      <c r="H529" s="24">
        <f t="shared" si="526"/>
        <v>1.7850000000000001</v>
      </c>
      <c r="I529" s="24">
        <f t="shared" si="526"/>
        <v>1.7850000000000001</v>
      </c>
      <c r="J529" s="24">
        <f t="shared" si="526"/>
        <v>1.7850000000000001</v>
      </c>
      <c r="K529" s="24">
        <f t="shared" si="526"/>
        <v>1.7850000000000001</v>
      </c>
      <c r="L529" s="24">
        <f t="shared" si="526"/>
        <v>1.7850000000000001</v>
      </c>
      <c r="M529" s="24">
        <f t="shared" si="526"/>
        <v>1.7850000000000001</v>
      </c>
      <c r="N529" s="24">
        <f t="shared" si="526"/>
        <v>1.7850000000000001</v>
      </c>
      <c r="O529" s="24">
        <f t="shared" si="526"/>
        <v>1.7850000000000001</v>
      </c>
      <c r="P529" s="24">
        <f t="shared" si="526"/>
        <v>1.7850000000000001</v>
      </c>
      <c r="Q529" s="24">
        <f>Q528*$C529</f>
        <v>1.7850000000000001</v>
      </c>
      <c r="R529" s="24">
        <f t="shared" si="526"/>
        <v>1.7850000000000001</v>
      </c>
      <c r="S529" s="24">
        <f t="shared" si="526"/>
        <v>1.7850000000000001</v>
      </c>
      <c r="T529" s="24">
        <f>T528*$C529</f>
        <v>1.8438000000000001</v>
      </c>
      <c r="U529" s="24">
        <f>U528*$C529</f>
        <v>1.8438000000000001</v>
      </c>
      <c r="V529" s="24">
        <f>V528*$C529</f>
        <v>1.8438000000000001</v>
      </c>
      <c r="W529" s="24">
        <f>W528*$C529</f>
        <v>1.7850000000000001</v>
      </c>
      <c r="Y529" s="390"/>
      <c r="Z529" s="390"/>
      <c r="AA529" s="390"/>
      <c r="AB529" s="390"/>
      <c r="AC529" s="390"/>
      <c r="AD529" s="390"/>
      <c r="AE529" s="390"/>
      <c r="AF529" s="390"/>
      <c r="AG529" s="390"/>
      <c r="AH529" s="390"/>
      <c r="AI529" s="390"/>
      <c r="AJ529" s="390"/>
      <c r="AK529" s="390"/>
      <c r="AL529" s="390"/>
      <c r="AM529" s="390"/>
      <c r="AN529" s="390"/>
      <c r="AO529" s="390"/>
      <c r="AP529" s="390"/>
      <c r="AQ529" s="390"/>
      <c r="AR529" s="390"/>
      <c r="AS529" s="390"/>
    </row>
    <row r="530" spans="2:45" x14ac:dyDescent="0.3">
      <c r="B530" s="54" t="s">
        <v>68</v>
      </c>
      <c r="C530" s="55"/>
      <c r="D530" s="21">
        <f>D528+D529</f>
        <v>27.285</v>
      </c>
      <c r="E530" s="21">
        <f t="shared" ref="E530:V530" si="527">E528+E529</f>
        <v>27.285</v>
      </c>
      <c r="F530" s="21">
        <f t="shared" si="527"/>
        <v>27.285</v>
      </c>
      <c r="G530" s="21">
        <f t="shared" si="527"/>
        <v>27.285</v>
      </c>
      <c r="H530" s="21">
        <f t="shared" si="527"/>
        <v>27.285</v>
      </c>
      <c r="I530" s="21">
        <f t="shared" si="527"/>
        <v>27.285</v>
      </c>
      <c r="J530" s="21">
        <f t="shared" si="527"/>
        <v>27.285</v>
      </c>
      <c r="K530" s="21">
        <f t="shared" si="527"/>
        <v>27.285</v>
      </c>
      <c r="L530" s="21">
        <f t="shared" si="527"/>
        <v>27.285</v>
      </c>
      <c r="M530" s="21">
        <f t="shared" si="527"/>
        <v>27.285</v>
      </c>
      <c r="N530" s="21">
        <f t="shared" si="527"/>
        <v>27.285</v>
      </c>
      <c r="O530" s="21">
        <f t="shared" si="527"/>
        <v>27.285</v>
      </c>
      <c r="P530" s="21">
        <f t="shared" si="527"/>
        <v>27.285</v>
      </c>
      <c r="Q530" s="21">
        <f t="shared" si="527"/>
        <v>27.285</v>
      </c>
      <c r="R530" s="21">
        <f t="shared" si="527"/>
        <v>27.285</v>
      </c>
      <c r="S530" s="21">
        <f t="shared" si="527"/>
        <v>27.285</v>
      </c>
      <c r="T530" s="21">
        <f t="shared" si="527"/>
        <v>28.183800000000002</v>
      </c>
      <c r="U530" s="21">
        <f t="shared" si="527"/>
        <v>28.183800000000002</v>
      </c>
      <c r="V530" s="21">
        <f t="shared" si="527"/>
        <v>28.183800000000002</v>
      </c>
      <c r="W530" s="21">
        <f>W528+W529</f>
        <v>27.285</v>
      </c>
      <c r="Y530" s="390"/>
      <c r="Z530" s="390"/>
      <c r="AA530" s="390"/>
      <c r="AB530" s="390"/>
      <c r="AC530" s="390"/>
      <c r="AD530" s="390"/>
      <c r="AE530" s="390"/>
      <c r="AF530" s="390"/>
      <c r="AG530" s="390"/>
      <c r="AH530" s="390"/>
      <c r="AI530" s="390"/>
      <c r="AJ530" s="390"/>
      <c r="AK530" s="390"/>
      <c r="AL530" s="390"/>
      <c r="AM530" s="390"/>
      <c r="AN530" s="390"/>
      <c r="AO530" s="390"/>
      <c r="AP530" s="390"/>
      <c r="AQ530" s="390"/>
      <c r="AR530" s="390"/>
      <c r="AS530" s="390"/>
    </row>
    <row r="531" spans="2:45" x14ac:dyDescent="0.3">
      <c r="B531" s="54" t="s">
        <v>52</v>
      </c>
      <c r="C531" s="55"/>
      <c r="D531" s="398">
        <f>Y533</f>
        <v>0.67729729729729726</v>
      </c>
      <c r="E531" s="398">
        <f t="shared" ref="E531:W531" si="528">Z533</f>
        <v>1.5384864864864864</v>
      </c>
      <c r="F531" s="398">
        <f t="shared" si="528"/>
        <v>1.8462162162162161</v>
      </c>
      <c r="G531" s="398">
        <f t="shared" si="528"/>
        <v>1.2308108108108109</v>
      </c>
      <c r="H531" s="398">
        <f t="shared" si="528"/>
        <v>0.65935135135135137</v>
      </c>
      <c r="I531" s="398">
        <f t="shared" si="528"/>
        <v>0.87913513513513508</v>
      </c>
      <c r="J531" s="398">
        <f t="shared" si="528"/>
        <v>1.3627027027027028</v>
      </c>
      <c r="K531" s="398">
        <f t="shared" si="528"/>
        <v>1.1165405405405406</v>
      </c>
      <c r="L531" s="398">
        <f t="shared" si="528"/>
        <v>1.3187027027027027</v>
      </c>
      <c r="M531" s="398">
        <f t="shared" si="528"/>
        <v>0.63297297297297295</v>
      </c>
      <c r="N531" s="398">
        <f t="shared" si="528"/>
        <v>0.70335135135135141</v>
      </c>
      <c r="O531" s="398">
        <f t="shared" si="528"/>
        <v>1.6530270270270271</v>
      </c>
      <c r="P531" s="398">
        <f t="shared" si="528"/>
        <v>0.63297297297297295</v>
      </c>
      <c r="Q531" s="398">
        <f t="shared" si="528"/>
        <v>0.63297297297297295</v>
      </c>
      <c r="R531" s="398">
        <f t="shared" si="528"/>
        <v>0.83518918918918916</v>
      </c>
      <c r="S531" s="398">
        <f t="shared" si="528"/>
        <v>0.79124324324324324</v>
      </c>
      <c r="T531" s="398">
        <f t="shared" si="528"/>
        <v>0</v>
      </c>
      <c r="U531" s="398">
        <f t="shared" si="528"/>
        <v>1.6530270270270271</v>
      </c>
      <c r="V531" s="398">
        <f t="shared" si="528"/>
        <v>0</v>
      </c>
      <c r="W531" s="398">
        <f t="shared" si="528"/>
        <v>0.63297297297297295</v>
      </c>
      <c r="Y531" s="390">
        <v>12530</v>
      </c>
      <c r="Z531" s="390">
        <v>28462</v>
      </c>
      <c r="AA531" s="390">
        <v>34155</v>
      </c>
      <c r="AB531" s="390">
        <v>22770</v>
      </c>
      <c r="AC531" s="390">
        <v>12198</v>
      </c>
      <c r="AD531" s="390">
        <v>16264</v>
      </c>
      <c r="AE531" s="390">
        <v>25210</v>
      </c>
      <c r="AF531" s="390">
        <v>20656</v>
      </c>
      <c r="AG531" s="390">
        <v>24396</v>
      </c>
      <c r="AH531" s="390">
        <v>11710</v>
      </c>
      <c r="AI531" s="390">
        <v>13012</v>
      </c>
      <c r="AJ531" s="390">
        <v>30581</v>
      </c>
      <c r="AK531" s="396">
        <v>11710</v>
      </c>
      <c r="AL531" s="396">
        <v>11710</v>
      </c>
      <c r="AM531" s="390">
        <v>15451</v>
      </c>
      <c r="AN531" s="390">
        <v>14638</v>
      </c>
      <c r="AO531" s="390"/>
      <c r="AP531" s="396">
        <v>30581</v>
      </c>
      <c r="AQ531" s="390"/>
      <c r="AR531" s="396">
        <v>11710</v>
      </c>
      <c r="AS531" s="390"/>
    </row>
    <row r="532" spans="2:45" x14ac:dyDescent="0.3">
      <c r="B532" s="57" t="s">
        <v>53</v>
      </c>
      <c r="C532" s="58"/>
      <c r="D532" s="25">
        <f>SUM(D530:D531)</f>
        <v>27.962297297297297</v>
      </c>
      <c r="E532" s="26">
        <f t="shared" ref="E532:S532" si="529">SUM(E530:E531)</f>
        <v>28.823486486486487</v>
      </c>
      <c r="F532" s="26">
        <f t="shared" si="529"/>
        <v>29.131216216216217</v>
      </c>
      <c r="G532" s="26">
        <f t="shared" si="529"/>
        <v>28.515810810810812</v>
      </c>
      <c r="H532" s="26">
        <f t="shared" si="529"/>
        <v>27.944351351351351</v>
      </c>
      <c r="I532" s="26">
        <f t="shared" si="529"/>
        <v>28.164135135135137</v>
      </c>
      <c r="J532" s="26">
        <f t="shared" si="529"/>
        <v>28.647702702702702</v>
      </c>
      <c r="K532" s="26">
        <f t="shared" si="529"/>
        <v>28.401540540540541</v>
      </c>
      <c r="L532" s="26">
        <f t="shared" si="529"/>
        <v>28.603702702702702</v>
      </c>
      <c r="M532" s="26">
        <f t="shared" si="529"/>
        <v>27.917972972972972</v>
      </c>
      <c r="N532" s="26">
        <f t="shared" si="529"/>
        <v>27.988351351351351</v>
      </c>
      <c r="O532" s="26">
        <f t="shared" si="529"/>
        <v>28.938027027027026</v>
      </c>
      <c r="P532" s="26">
        <f t="shared" si="529"/>
        <v>27.917972972972972</v>
      </c>
      <c r="Q532" s="26">
        <f t="shared" si="529"/>
        <v>27.917972972972972</v>
      </c>
      <c r="R532" s="26">
        <f t="shared" si="529"/>
        <v>28.12018918918919</v>
      </c>
      <c r="S532" s="26">
        <f t="shared" si="529"/>
        <v>28.076243243243244</v>
      </c>
      <c r="T532" s="26">
        <f>SUM(T530:T531)+T531</f>
        <v>28.183800000000002</v>
      </c>
      <c r="U532" s="26">
        <f>SUM(U530:U531)+U531</f>
        <v>31.489854054054053</v>
      </c>
      <c r="V532" s="26">
        <f>SUM(V530:V531)+V531</f>
        <v>28.183800000000002</v>
      </c>
      <c r="W532" s="26">
        <f>SUM(W530:W531)</f>
        <v>27.917972972972972</v>
      </c>
      <c r="Y532" s="390">
        <v>18500</v>
      </c>
      <c r="Z532" s="390">
        <v>18500</v>
      </c>
      <c r="AA532" s="390">
        <v>18500</v>
      </c>
      <c r="AB532" s="390">
        <v>18500</v>
      </c>
      <c r="AC532" s="390">
        <v>18500</v>
      </c>
      <c r="AD532" s="390">
        <v>18500</v>
      </c>
      <c r="AE532" s="390">
        <v>18500</v>
      </c>
      <c r="AF532" s="390">
        <v>18500</v>
      </c>
      <c r="AG532" s="390">
        <v>18500</v>
      </c>
      <c r="AH532" s="390">
        <v>18500</v>
      </c>
      <c r="AI532" s="390">
        <v>18500</v>
      </c>
      <c r="AJ532" s="390">
        <v>18500</v>
      </c>
      <c r="AK532" s="390">
        <v>18500</v>
      </c>
      <c r="AL532" s="390">
        <v>18500</v>
      </c>
      <c r="AM532" s="390">
        <v>18500</v>
      </c>
      <c r="AN532" s="390">
        <v>18500</v>
      </c>
      <c r="AO532" s="390"/>
      <c r="AP532" s="390">
        <v>18500</v>
      </c>
      <c r="AQ532" s="390"/>
      <c r="AR532" s="390">
        <v>18500</v>
      </c>
      <c r="AS532" s="390"/>
    </row>
    <row r="533" spans="2:45" x14ac:dyDescent="0.3">
      <c r="B533" s="54" t="s">
        <v>54</v>
      </c>
      <c r="C533" s="55"/>
      <c r="D533" s="20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Y533" s="389">
        <f>Y531/Y532</f>
        <v>0.67729729729729726</v>
      </c>
      <c r="Z533" s="389">
        <f t="shared" ref="Z533:AN533" si="530">Z531/Z532</f>
        <v>1.5384864864864864</v>
      </c>
      <c r="AA533" s="389">
        <f t="shared" si="530"/>
        <v>1.8462162162162161</v>
      </c>
      <c r="AB533" s="389">
        <f t="shared" si="530"/>
        <v>1.2308108108108109</v>
      </c>
      <c r="AC533" s="389">
        <f t="shared" si="530"/>
        <v>0.65935135135135137</v>
      </c>
      <c r="AD533" s="389">
        <f t="shared" si="530"/>
        <v>0.87913513513513508</v>
      </c>
      <c r="AE533" s="389">
        <f t="shared" si="530"/>
        <v>1.3627027027027028</v>
      </c>
      <c r="AF533" s="389">
        <f t="shared" si="530"/>
        <v>1.1165405405405406</v>
      </c>
      <c r="AG533" s="389">
        <f t="shared" si="530"/>
        <v>1.3187027027027027</v>
      </c>
      <c r="AH533" s="389">
        <f t="shared" si="530"/>
        <v>0.63297297297297295</v>
      </c>
      <c r="AI533" s="389">
        <f t="shared" si="530"/>
        <v>0.70335135135135141</v>
      </c>
      <c r="AJ533" s="389">
        <f t="shared" si="530"/>
        <v>1.6530270270270271</v>
      </c>
      <c r="AK533" s="389">
        <f t="shared" si="530"/>
        <v>0.63297297297297295</v>
      </c>
      <c r="AL533" s="389">
        <f t="shared" si="530"/>
        <v>0.63297297297297295</v>
      </c>
      <c r="AM533" s="389">
        <f t="shared" si="530"/>
        <v>0.83518918918918916</v>
      </c>
      <c r="AN533" s="389">
        <f t="shared" si="530"/>
        <v>0.79124324324324324</v>
      </c>
      <c r="AO533" s="390"/>
      <c r="AP533" s="389">
        <f t="shared" ref="AP533" si="531">AP531/AP532</f>
        <v>1.6530270270270271</v>
      </c>
      <c r="AQ533" s="390"/>
      <c r="AR533" s="389">
        <f t="shared" ref="AR533" si="532">AR531/AR532</f>
        <v>0.63297297297297295</v>
      </c>
      <c r="AS533" s="390"/>
    </row>
    <row r="534" spans="2:45" x14ac:dyDescent="0.3">
      <c r="B534" s="59" t="s">
        <v>55</v>
      </c>
      <c r="C534" s="60"/>
      <c r="D534" s="27">
        <f>SUM(D532:D533)</f>
        <v>27.962297297297297</v>
      </c>
      <c r="E534" s="41">
        <f t="shared" ref="E534:V534" si="533">SUM(E532:E533)</f>
        <v>28.823486486486487</v>
      </c>
      <c r="F534" s="41">
        <f t="shared" si="533"/>
        <v>29.131216216216217</v>
      </c>
      <c r="G534" s="41">
        <f t="shared" si="533"/>
        <v>28.515810810810812</v>
      </c>
      <c r="H534" s="41">
        <f t="shared" si="533"/>
        <v>27.944351351351351</v>
      </c>
      <c r="I534" s="41">
        <f t="shared" si="533"/>
        <v>28.164135135135137</v>
      </c>
      <c r="J534" s="41">
        <f t="shared" si="533"/>
        <v>28.647702702702702</v>
      </c>
      <c r="K534" s="41">
        <f t="shared" si="533"/>
        <v>28.401540540540541</v>
      </c>
      <c r="L534" s="41">
        <f t="shared" si="533"/>
        <v>28.603702702702702</v>
      </c>
      <c r="M534" s="41">
        <f t="shared" si="533"/>
        <v>27.917972972972972</v>
      </c>
      <c r="N534" s="41">
        <f t="shared" si="533"/>
        <v>27.988351351351351</v>
      </c>
      <c r="O534" s="41">
        <f t="shared" si="533"/>
        <v>28.938027027027026</v>
      </c>
      <c r="P534" s="41">
        <f t="shared" si="533"/>
        <v>27.917972972972972</v>
      </c>
      <c r="Q534" s="41">
        <f t="shared" si="533"/>
        <v>27.917972972972972</v>
      </c>
      <c r="R534" s="41">
        <f t="shared" si="533"/>
        <v>28.12018918918919</v>
      </c>
      <c r="S534" s="41">
        <f t="shared" si="533"/>
        <v>28.076243243243244</v>
      </c>
      <c r="T534" s="41">
        <f t="shared" si="533"/>
        <v>28.183800000000002</v>
      </c>
      <c r="U534" s="41">
        <f t="shared" si="533"/>
        <v>31.489854054054053</v>
      </c>
      <c r="V534" s="41">
        <f t="shared" si="533"/>
        <v>28.183800000000002</v>
      </c>
      <c r="W534" s="41">
        <f>SUM(W532:W533)</f>
        <v>27.917972972972972</v>
      </c>
      <c r="Y534" s="390"/>
      <c r="Z534" s="390"/>
      <c r="AA534" s="390"/>
      <c r="AB534" s="390"/>
      <c r="AC534" s="390"/>
      <c r="AD534" s="390"/>
      <c r="AE534" s="390"/>
      <c r="AF534" s="390"/>
      <c r="AG534" s="390"/>
      <c r="AH534" s="390"/>
      <c r="AI534" s="390"/>
      <c r="AJ534" s="390"/>
      <c r="AK534" s="390"/>
      <c r="AL534" s="390"/>
      <c r="AM534" s="390"/>
      <c r="AN534" s="390"/>
      <c r="AO534" s="390"/>
      <c r="AP534" s="390"/>
      <c r="AQ534" s="390"/>
      <c r="AR534" s="390"/>
      <c r="AS534" s="390"/>
    </row>
    <row r="535" spans="2:45" x14ac:dyDescent="0.3">
      <c r="B535" s="61" t="s">
        <v>101</v>
      </c>
      <c r="C535" s="55"/>
      <c r="D535" s="43">
        <v>0</v>
      </c>
      <c r="E535" s="408">
        <v>0</v>
      </c>
      <c r="F535" s="408">
        <v>0</v>
      </c>
      <c r="G535" s="408">
        <v>0</v>
      </c>
      <c r="H535" s="408">
        <v>0</v>
      </c>
      <c r="I535" s="408">
        <v>0</v>
      </c>
      <c r="J535" s="408">
        <v>0</v>
      </c>
      <c r="K535" s="408">
        <v>0</v>
      </c>
      <c r="L535" s="408">
        <v>0</v>
      </c>
      <c r="M535" s="408">
        <v>0</v>
      </c>
      <c r="N535" s="408">
        <v>0</v>
      </c>
      <c r="O535" s="408">
        <v>0</v>
      </c>
      <c r="P535" s="408">
        <v>0</v>
      </c>
      <c r="Q535" s="408">
        <v>0</v>
      </c>
      <c r="R535" s="408">
        <v>0</v>
      </c>
      <c r="S535" s="408">
        <v>0</v>
      </c>
      <c r="T535" s="408">
        <v>0</v>
      </c>
      <c r="U535" s="408">
        <v>0</v>
      </c>
      <c r="V535" s="408">
        <v>0</v>
      </c>
      <c r="W535" s="408">
        <v>0</v>
      </c>
      <c r="Y535" s="409"/>
      <c r="Z535" s="409"/>
      <c r="AA535" s="409"/>
      <c r="AB535" s="409"/>
      <c r="AC535" s="409"/>
      <c r="AD535" s="409"/>
      <c r="AE535" s="409"/>
      <c r="AF535" s="409"/>
      <c r="AG535" s="409"/>
      <c r="AH535" s="409"/>
      <c r="AI535" s="409"/>
      <c r="AJ535" s="409"/>
      <c r="AK535" s="409"/>
      <c r="AL535" s="409"/>
      <c r="AM535" s="409"/>
      <c r="AN535" s="409"/>
      <c r="AO535" s="409"/>
      <c r="AP535" s="409"/>
      <c r="AQ535" s="409"/>
      <c r="AR535" s="409"/>
      <c r="AS535" s="409"/>
    </row>
    <row r="536" spans="2:45" x14ac:dyDescent="0.3">
      <c r="B536" s="171" t="s">
        <v>194</v>
      </c>
      <c r="C536" s="55"/>
      <c r="D536" s="20">
        <v>29</v>
      </c>
      <c r="E536" s="20">
        <v>30</v>
      </c>
      <c r="F536" s="20">
        <v>31</v>
      </c>
      <c r="G536" s="20">
        <v>30</v>
      </c>
      <c r="H536" s="20">
        <v>29</v>
      </c>
      <c r="I536" s="20">
        <v>30</v>
      </c>
      <c r="J536" s="20">
        <v>30</v>
      </c>
      <c r="K536" s="20">
        <v>30</v>
      </c>
      <c r="L536" s="20">
        <v>30</v>
      </c>
      <c r="M536" s="20">
        <v>29</v>
      </c>
      <c r="N536" s="20">
        <v>29</v>
      </c>
      <c r="O536" s="20">
        <v>30</v>
      </c>
      <c r="P536" s="20">
        <v>29</v>
      </c>
      <c r="Q536" s="20">
        <v>29</v>
      </c>
      <c r="R536" s="20">
        <v>30</v>
      </c>
      <c r="S536" s="20">
        <v>30</v>
      </c>
      <c r="T536" s="20">
        <v>30</v>
      </c>
      <c r="U536" s="20">
        <v>33</v>
      </c>
      <c r="V536" s="20">
        <v>30</v>
      </c>
      <c r="W536" s="20">
        <v>29</v>
      </c>
      <c r="Y536" s="390"/>
      <c r="Z536" s="390"/>
      <c r="AA536" s="390"/>
      <c r="AB536" s="390"/>
      <c r="AC536" s="390"/>
      <c r="AD536" s="390"/>
      <c r="AE536" s="390"/>
      <c r="AF536" s="390"/>
      <c r="AG536" s="390"/>
      <c r="AH536" s="390"/>
      <c r="AI536" s="390"/>
      <c r="AJ536" s="390"/>
      <c r="AK536" s="390"/>
      <c r="AL536" s="390"/>
      <c r="AM536" s="390"/>
      <c r="AN536" s="390"/>
      <c r="AO536" s="390"/>
      <c r="AP536" s="390"/>
      <c r="AQ536" s="390"/>
      <c r="AR536" s="390"/>
      <c r="AS536" s="390"/>
    </row>
    <row r="537" spans="2:45" x14ac:dyDescent="0.3">
      <c r="B537" s="61" t="s">
        <v>195</v>
      </c>
      <c r="C537" s="55"/>
      <c r="D537" s="106">
        <v>30</v>
      </c>
      <c r="E537" s="21">
        <v>31</v>
      </c>
      <c r="F537" s="21">
        <v>32</v>
      </c>
      <c r="G537" s="21">
        <v>31</v>
      </c>
      <c r="H537" s="21">
        <v>30</v>
      </c>
      <c r="I537" s="21">
        <v>31</v>
      </c>
      <c r="J537" s="21">
        <v>31</v>
      </c>
      <c r="K537" s="21">
        <v>31</v>
      </c>
      <c r="L537" s="21">
        <v>31</v>
      </c>
      <c r="M537" s="21">
        <v>30</v>
      </c>
      <c r="N537" s="21">
        <v>30</v>
      </c>
      <c r="O537" s="21">
        <v>31</v>
      </c>
      <c r="P537" s="21">
        <v>30</v>
      </c>
      <c r="Q537" s="21">
        <v>30</v>
      </c>
      <c r="R537" s="21">
        <v>31</v>
      </c>
      <c r="S537" s="21">
        <v>31</v>
      </c>
      <c r="T537" s="21">
        <v>31</v>
      </c>
      <c r="U537" s="21">
        <v>34</v>
      </c>
      <c r="V537" s="21">
        <v>31</v>
      </c>
      <c r="W537" s="21">
        <v>30</v>
      </c>
      <c r="Y537" s="390"/>
      <c r="Z537" s="390"/>
      <c r="AA537" s="390"/>
      <c r="AB537" s="390"/>
      <c r="AC537" s="390"/>
      <c r="AD537" s="390"/>
      <c r="AE537" s="390"/>
      <c r="AF537" s="390"/>
      <c r="AG537" s="390"/>
      <c r="AH537" s="390"/>
      <c r="AI537" s="390"/>
      <c r="AJ537" s="390"/>
      <c r="AK537" s="390"/>
      <c r="AL537" s="390"/>
      <c r="AM537" s="390"/>
      <c r="AN537" s="390"/>
      <c r="AO537" s="390"/>
      <c r="AP537" s="390"/>
      <c r="AQ537" s="390"/>
      <c r="AR537" s="390"/>
      <c r="AS537" s="390"/>
    </row>
    <row r="538" spans="2:45" s="30" customFormat="1" x14ac:dyDescent="0.3">
      <c r="B538" s="61" t="s">
        <v>196</v>
      </c>
      <c r="C538" s="62"/>
      <c r="D538" s="28">
        <v>31</v>
      </c>
      <c r="E538" s="28">
        <v>32</v>
      </c>
      <c r="F538" s="28">
        <v>33</v>
      </c>
      <c r="G538" s="28">
        <v>32</v>
      </c>
      <c r="H538" s="28">
        <v>31</v>
      </c>
      <c r="I538" s="28">
        <v>32</v>
      </c>
      <c r="J538" s="28">
        <v>32</v>
      </c>
      <c r="K538" s="28">
        <v>32</v>
      </c>
      <c r="L538" s="28">
        <v>32</v>
      </c>
      <c r="M538" s="28">
        <v>31</v>
      </c>
      <c r="N538" s="28">
        <v>31</v>
      </c>
      <c r="O538" s="28">
        <v>32</v>
      </c>
      <c r="P538" s="28">
        <v>31</v>
      </c>
      <c r="Q538" s="28">
        <v>31</v>
      </c>
      <c r="R538" s="28">
        <v>32</v>
      </c>
      <c r="S538" s="28">
        <v>32</v>
      </c>
      <c r="T538" s="28">
        <v>32</v>
      </c>
      <c r="U538" s="28">
        <v>35</v>
      </c>
      <c r="V538" s="28">
        <v>32</v>
      </c>
      <c r="W538" s="28">
        <v>31</v>
      </c>
      <c r="Y538" s="391"/>
      <c r="Z538" s="391"/>
      <c r="AA538" s="391"/>
      <c r="AB538" s="391"/>
      <c r="AC538" s="391"/>
      <c r="AD538" s="391"/>
      <c r="AE538" s="391"/>
      <c r="AF538" s="391"/>
      <c r="AG538" s="391"/>
      <c r="AH538" s="391"/>
      <c r="AI538" s="391"/>
      <c r="AJ538" s="391"/>
      <c r="AK538" s="391"/>
      <c r="AL538" s="391"/>
      <c r="AM538" s="391"/>
      <c r="AN538" s="391"/>
      <c r="AO538" s="391"/>
      <c r="AP538" s="391"/>
      <c r="AQ538" s="391"/>
      <c r="AR538" s="391"/>
      <c r="AS538" s="391"/>
    </row>
    <row r="539" spans="2:45" s="30" customFormat="1" x14ac:dyDescent="0.3">
      <c r="B539" s="61" t="s">
        <v>197</v>
      </c>
      <c r="C539" s="62"/>
      <c r="D539" s="28">
        <v>32</v>
      </c>
      <c r="E539" s="28">
        <v>33</v>
      </c>
      <c r="F539" s="28">
        <v>34</v>
      </c>
      <c r="G539" s="28">
        <v>33</v>
      </c>
      <c r="H539" s="28">
        <v>32</v>
      </c>
      <c r="I539" s="28">
        <v>33</v>
      </c>
      <c r="J539" s="28">
        <v>33</v>
      </c>
      <c r="K539" s="28">
        <v>33</v>
      </c>
      <c r="L539" s="28">
        <v>33</v>
      </c>
      <c r="M539" s="28">
        <v>32</v>
      </c>
      <c r="N539" s="28">
        <v>32</v>
      </c>
      <c r="O539" s="28">
        <v>33</v>
      </c>
      <c r="P539" s="28">
        <v>32</v>
      </c>
      <c r="Q539" s="28">
        <v>32</v>
      </c>
      <c r="R539" s="28">
        <v>33</v>
      </c>
      <c r="S539" s="28">
        <v>33</v>
      </c>
      <c r="T539" s="28">
        <v>33</v>
      </c>
      <c r="U539" s="28">
        <v>36</v>
      </c>
      <c r="V539" s="28">
        <v>33</v>
      </c>
      <c r="W539" s="28">
        <v>32</v>
      </c>
      <c r="Y539" s="391"/>
      <c r="Z539" s="391"/>
      <c r="AA539" s="391"/>
      <c r="AB539" s="391"/>
      <c r="AC539" s="391"/>
      <c r="AD539" s="391"/>
      <c r="AE539" s="391"/>
      <c r="AF539" s="391"/>
      <c r="AG539" s="391"/>
      <c r="AH539" s="391"/>
      <c r="AI539" s="391"/>
      <c r="AJ539" s="391"/>
      <c r="AK539" s="391"/>
      <c r="AL539" s="391"/>
      <c r="AM539" s="391"/>
      <c r="AN539" s="391"/>
      <c r="AO539" s="391"/>
      <c r="AP539" s="391"/>
      <c r="AQ539" s="391"/>
      <c r="AR539" s="391"/>
      <c r="AS539" s="391"/>
    </row>
    <row r="540" spans="2:45" x14ac:dyDescent="0.3">
      <c r="B540" s="63" t="s">
        <v>103</v>
      </c>
      <c r="C540" s="55"/>
      <c r="D540" s="43">
        <v>0</v>
      </c>
      <c r="E540" s="408">
        <v>0</v>
      </c>
      <c r="F540" s="408">
        <v>0</v>
      </c>
      <c r="G540" s="408">
        <v>0</v>
      </c>
      <c r="H540" s="408">
        <v>0</v>
      </c>
      <c r="I540" s="408">
        <v>0</v>
      </c>
      <c r="J540" s="408">
        <v>0</v>
      </c>
      <c r="K540" s="408">
        <v>0</v>
      </c>
      <c r="L540" s="408">
        <v>0</v>
      </c>
      <c r="M540" s="408">
        <v>0</v>
      </c>
      <c r="N540" s="408">
        <v>0</v>
      </c>
      <c r="O540" s="408">
        <v>0</v>
      </c>
      <c r="P540" s="408">
        <v>0</v>
      </c>
      <c r="Q540" s="408">
        <v>0</v>
      </c>
      <c r="R540" s="408">
        <v>0</v>
      </c>
      <c r="S540" s="408">
        <v>0</v>
      </c>
      <c r="T540" s="408">
        <v>0</v>
      </c>
      <c r="U540" s="408">
        <v>0</v>
      </c>
      <c r="V540" s="408">
        <v>0</v>
      </c>
      <c r="W540" s="408">
        <v>0</v>
      </c>
      <c r="Y540" s="409"/>
      <c r="Z540" s="409"/>
      <c r="AA540" s="409"/>
      <c r="AB540" s="409"/>
      <c r="AC540" s="409"/>
      <c r="AD540" s="409"/>
      <c r="AE540" s="409"/>
      <c r="AF540" s="409"/>
      <c r="AG540" s="409"/>
      <c r="AH540" s="409"/>
      <c r="AI540" s="409"/>
      <c r="AJ540" s="409"/>
      <c r="AK540" s="409"/>
      <c r="AL540" s="409"/>
      <c r="AM540" s="409"/>
      <c r="AN540" s="409"/>
      <c r="AO540" s="409"/>
      <c r="AP540" s="409"/>
      <c r="AQ540" s="409"/>
      <c r="AR540" s="409"/>
      <c r="AS540" s="409"/>
    </row>
    <row r="541" spans="2:45" s="33" customFormat="1" x14ac:dyDescent="0.3">
      <c r="B541" s="63" t="s">
        <v>198</v>
      </c>
      <c r="C541" s="64"/>
      <c r="D541" s="31">
        <f>+D536-D$534</f>
        <v>1.0377027027027026</v>
      </c>
      <c r="E541" s="32">
        <f t="shared" ref="E541:W541" si="534">+E536-E$534</f>
        <v>1.1765135135135125</v>
      </c>
      <c r="F541" s="32">
        <f t="shared" si="534"/>
        <v>1.8687837837837833</v>
      </c>
      <c r="G541" s="32">
        <f t="shared" si="534"/>
        <v>1.4841891891891876</v>
      </c>
      <c r="H541" s="32">
        <f t="shared" si="534"/>
        <v>1.0556486486486492</v>
      </c>
      <c r="I541" s="32">
        <f t="shared" si="534"/>
        <v>1.8358648648648632</v>
      </c>
      <c r="J541" s="32">
        <f t="shared" si="534"/>
        <v>1.352297297297298</v>
      </c>
      <c r="K541" s="32">
        <f t="shared" si="534"/>
        <v>1.598459459459459</v>
      </c>
      <c r="L541" s="32">
        <f t="shared" si="534"/>
        <v>1.3962972972972985</v>
      </c>
      <c r="M541" s="32">
        <f t="shared" si="534"/>
        <v>1.0820270270270278</v>
      </c>
      <c r="N541" s="32">
        <f t="shared" si="534"/>
        <v>1.0116486486486487</v>
      </c>
      <c r="O541" s="32">
        <f t="shared" si="534"/>
        <v>1.0619729729729741</v>
      </c>
      <c r="P541" s="32">
        <f t="shared" si="534"/>
        <v>1.0820270270270278</v>
      </c>
      <c r="Q541" s="32">
        <f t="shared" si="534"/>
        <v>1.0820270270270278</v>
      </c>
      <c r="R541" s="32">
        <f t="shared" si="534"/>
        <v>1.8798108108108096</v>
      </c>
      <c r="S541" s="32">
        <f t="shared" si="534"/>
        <v>1.9237567567567559</v>
      </c>
      <c r="T541" s="32">
        <f t="shared" si="534"/>
        <v>1.8161999999999985</v>
      </c>
      <c r="U541" s="32">
        <f t="shared" si="534"/>
        <v>1.510145945945947</v>
      </c>
      <c r="V541" s="32">
        <f t="shared" si="534"/>
        <v>1.8161999999999985</v>
      </c>
      <c r="W541" s="32">
        <f t="shared" si="534"/>
        <v>1.0820270270270278</v>
      </c>
      <c r="Y541" s="392"/>
      <c r="Z541" s="392"/>
      <c r="AA541" s="392"/>
      <c r="AB541" s="392"/>
      <c r="AC541" s="392"/>
      <c r="AD541" s="392"/>
      <c r="AE541" s="392"/>
      <c r="AF541" s="392"/>
      <c r="AG541" s="392"/>
      <c r="AH541" s="392"/>
      <c r="AI541" s="392"/>
      <c r="AJ541" s="392"/>
      <c r="AK541" s="392"/>
      <c r="AL541" s="392"/>
      <c r="AM541" s="392"/>
      <c r="AN541" s="392"/>
      <c r="AO541" s="392"/>
      <c r="AP541" s="392"/>
      <c r="AQ541" s="392"/>
      <c r="AR541" s="392"/>
      <c r="AS541" s="392"/>
    </row>
    <row r="542" spans="2:45" s="33" customFormat="1" x14ac:dyDescent="0.3">
      <c r="B542" s="63" t="s">
        <v>199</v>
      </c>
      <c r="C542" s="64"/>
      <c r="D542" s="31">
        <f t="shared" ref="D542:W542" si="535">+D537-D$534</f>
        <v>2.0377027027027026</v>
      </c>
      <c r="E542" s="32">
        <f t="shared" si="535"/>
        <v>2.1765135135135125</v>
      </c>
      <c r="F542" s="32">
        <f t="shared" si="535"/>
        <v>2.8687837837837833</v>
      </c>
      <c r="G542" s="32">
        <f t="shared" si="535"/>
        <v>2.4841891891891876</v>
      </c>
      <c r="H542" s="32">
        <f t="shared" si="535"/>
        <v>2.0556486486486492</v>
      </c>
      <c r="I542" s="32">
        <f t="shared" si="535"/>
        <v>2.8358648648648632</v>
      </c>
      <c r="J542" s="32">
        <f t="shared" si="535"/>
        <v>2.352297297297298</v>
      </c>
      <c r="K542" s="32">
        <f t="shared" si="535"/>
        <v>2.598459459459459</v>
      </c>
      <c r="L542" s="32">
        <f t="shared" si="535"/>
        <v>2.3962972972972985</v>
      </c>
      <c r="M542" s="32">
        <f t="shared" si="535"/>
        <v>2.0820270270270278</v>
      </c>
      <c r="N542" s="32">
        <f t="shared" si="535"/>
        <v>2.0116486486486487</v>
      </c>
      <c r="O542" s="32">
        <f t="shared" si="535"/>
        <v>2.0619729729729741</v>
      </c>
      <c r="P542" s="32">
        <f t="shared" si="535"/>
        <v>2.0820270270270278</v>
      </c>
      <c r="Q542" s="32">
        <f t="shared" si="535"/>
        <v>2.0820270270270278</v>
      </c>
      <c r="R542" s="32">
        <f t="shared" si="535"/>
        <v>2.8798108108108096</v>
      </c>
      <c r="S542" s="32">
        <f t="shared" si="535"/>
        <v>2.9237567567567559</v>
      </c>
      <c r="T542" s="32">
        <f t="shared" si="535"/>
        <v>2.8161999999999985</v>
      </c>
      <c r="U542" s="32">
        <f t="shared" si="535"/>
        <v>2.510145945945947</v>
      </c>
      <c r="V542" s="32">
        <f t="shared" si="535"/>
        <v>2.8161999999999985</v>
      </c>
      <c r="W542" s="32">
        <f t="shared" si="535"/>
        <v>2.0820270270270278</v>
      </c>
      <c r="Y542" s="392"/>
      <c r="Z542" s="392"/>
      <c r="AA542" s="392"/>
      <c r="AB542" s="392"/>
      <c r="AC542" s="392"/>
      <c r="AD542" s="392"/>
      <c r="AE542" s="392"/>
      <c r="AF542" s="392"/>
      <c r="AG542" s="392"/>
      <c r="AH542" s="392"/>
      <c r="AI542" s="392"/>
      <c r="AJ542" s="392"/>
      <c r="AK542" s="392"/>
      <c r="AL542" s="392"/>
      <c r="AM542" s="392"/>
      <c r="AN542" s="392"/>
      <c r="AO542" s="392"/>
      <c r="AP542" s="392"/>
      <c r="AQ542" s="392"/>
      <c r="AR542" s="392"/>
      <c r="AS542" s="392"/>
    </row>
    <row r="543" spans="2:45" s="33" customFormat="1" x14ac:dyDescent="0.3">
      <c r="B543" s="63" t="s">
        <v>200</v>
      </c>
      <c r="C543" s="64"/>
      <c r="D543" s="31">
        <f t="shared" ref="D543:W543" si="536">+D538-D$534</f>
        <v>3.0377027027027026</v>
      </c>
      <c r="E543" s="32">
        <f t="shared" si="536"/>
        <v>3.1765135135135125</v>
      </c>
      <c r="F543" s="32">
        <f t="shared" si="536"/>
        <v>3.8687837837837833</v>
      </c>
      <c r="G543" s="32">
        <f t="shared" si="536"/>
        <v>3.4841891891891876</v>
      </c>
      <c r="H543" s="32">
        <f t="shared" si="536"/>
        <v>3.0556486486486492</v>
      </c>
      <c r="I543" s="32">
        <f t="shared" si="536"/>
        <v>3.8358648648648632</v>
      </c>
      <c r="J543" s="32">
        <f t="shared" si="536"/>
        <v>3.352297297297298</v>
      </c>
      <c r="K543" s="32">
        <f t="shared" si="536"/>
        <v>3.598459459459459</v>
      </c>
      <c r="L543" s="32">
        <f t="shared" si="536"/>
        <v>3.3962972972972985</v>
      </c>
      <c r="M543" s="32">
        <f t="shared" si="536"/>
        <v>3.0820270270270278</v>
      </c>
      <c r="N543" s="32">
        <f t="shared" si="536"/>
        <v>3.0116486486486487</v>
      </c>
      <c r="O543" s="32">
        <f t="shared" si="536"/>
        <v>3.0619729729729741</v>
      </c>
      <c r="P543" s="32">
        <f t="shared" si="536"/>
        <v>3.0820270270270278</v>
      </c>
      <c r="Q543" s="32">
        <f t="shared" si="536"/>
        <v>3.0820270270270278</v>
      </c>
      <c r="R543" s="32">
        <f t="shared" si="536"/>
        <v>3.8798108108108096</v>
      </c>
      <c r="S543" s="32">
        <f t="shared" si="536"/>
        <v>3.9237567567567559</v>
      </c>
      <c r="T543" s="32">
        <f t="shared" si="536"/>
        <v>3.8161999999999985</v>
      </c>
      <c r="U543" s="32">
        <f t="shared" si="536"/>
        <v>3.510145945945947</v>
      </c>
      <c r="V543" s="32">
        <f t="shared" si="536"/>
        <v>3.8161999999999985</v>
      </c>
      <c r="W543" s="32">
        <f t="shared" si="536"/>
        <v>3.0820270270270278</v>
      </c>
      <c r="Y543" s="392"/>
      <c r="Z543" s="392"/>
      <c r="AA543" s="392"/>
      <c r="AB543" s="392"/>
      <c r="AC543" s="392"/>
      <c r="AD543" s="392"/>
      <c r="AE543" s="392"/>
      <c r="AF543" s="392"/>
      <c r="AG543" s="392"/>
      <c r="AH543" s="392"/>
      <c r="AI543" s="392"/>
      <c r="AJ543" s="392"/>
      <c r="AK543" s="392"/>
      <c r="AL543" s="392"/>
      <c r="AM543" s="392"/>
      <c r="AN543" s="392"/>
      <c r="AO543" s="392"/>
      <c r="AP543" s="392"/>
      <c r="AQ543" s="392"/>
      <c r="AR543" s="392"/>
      <c r="AS543" s="392"/>
    </row>
    <row r="544" spans="2:45" s="33" customFormat="1" x14ac:dyDescent="0.3">
      <c r="B544" s="63" t="s">
        <v>201</v>
      </c>
      <c r="C544" s="64"/>
      <c r="D544" s="31">
        <f t="shared" ref="D544:W544" si="537">+D539-D$534</f>
        <v>4.0377027027027026</v>
      </c>
      <c r="E544" s="34">
        <f t="shared" si="537"/>
        <v>4.1765135135135125</v>
      </c>
      <c r="F544" s="34">
        <f t="shared" si="537"/>
        <v>4.8687837837837833</v>
      </c>
      <c r="G544" s="34">
        <f t="shared" si="537"/>
        <v>4.4841891891891876</v>
      </c>
      <c r="H544" s="34">
        <f t="shared" si="537"/>
        <v>4.0556486486486492</v>
      </c>
      <c r="I544" s="34">
        <f t="shared" si="537"/>
        <v>4.8358648648648632</v>
      </c>
      <c r="J544" s="34">
        <f t="shared" si="537"/>
        <v>4.352297297297298</v>
      </c>
      <c r="K544" s="34">
        <f t="shared" si="537"/>
        <v>4.598459459459459</v>
      </c>
      <c r="L544" s="34">
        <f t="shared" si="537"/>
        <v>4.3962972972972985</v>
      </c>
      <c r="M544" s="34">
        <f t="shared" si="537"/>
        <v>4.0820270270270278</v>
      </c>
      <c r="N544" s="34">
        <f t="shared" si="537"/>
        <v>4.0116486486486487</v>
      </c>
      <c r="O544" s="34">
        <f t="shared" si="537"/>
        <v>4.0619729729729741</v>
      </c>
      <c r="P544" s="34">
        <f t="shared" si="537"/>
        <v>4.0820270270270278</v>
      </c>
      <c r="Q544" s="34">
        <f t="shared" si="537"/>
        <v>4.0820270270270278</v>
      </c>
      <c r="R544" s="34">
        <f t="shared" si="537"/>
        <v>4.8798108108108096</v>
      </c>
      <c r="S544" s="34">
        <f t="shared" si="537"/>
        <v>4.9237567567567559</v>
      </c>
      <c r="T544" s="34">
        <f t="shared" si="537"/>
        <v>4.8161999999999985</v>
      </c>
      <c r="U544" s="34">
        <f t="shared" si="537"/>
        <v>4.510145945945947</v>
      </c>
      <c r="V544" s="34">
        <f t="shared" si="537"/>
        <v>4.8161999999999985</v>
      </c>
      <c r="W544" s="34">
        <f t="shared" si="537"/>
        <v>4.0820270270270278</v>
      </c>
      <c r="Y544" s="392"/>
      <c r="Z544" s="392"/>
      <c r="AA544" s="392"/>
      <c r="AB544" s="392"/>
      <c r="AC544" s="392"/>
      <c r="AD544" s="392"/>
      <c r="AE544" s="392"/>
      <c r="AF544" s="392"/>
      <c r="AG544" s="392"/>
      <c r="AH544" s="392"/>
      <c r="AI544" s="392"/>
      <c r="AJ544" s="392"/>
      <c r="AK544" s="392"/>
      <c r="AL544" s="392"/>
      <c r="AM544" s="392"/>
      <c r="AN544" s="392"/>
      <c r="AO544" s="392"/>
      <c r="AP544" s="392"/>
      <c r="AQ544" s="392"/>
      <c r="AR544" s="392"/>
      <c r="AS544" s="392"/>
    </row>
    <row r="545" spans="1:45" x14ac:dyDescent="0.3">
      <c r="B545" s="65" t="s">
        <v>108</v>
      </c>
      <c r="C545" s="55"/>
      <c r="D545" s="43">
        <v>0</v>
      </c>
      <c r="E545" s="408">
        <v>0</v>
      </c>
      <c r="F545" s="408">
        <v>0</v>
      </c>
      <c r="G545" s="408">
        <v>0</v>
      </c>
      <c r="H545" s="408">
        <v>0</v>
      </c>
      <c r="I545" s="408">
        <v>0</v>
      </c>
      <c r="J545" s="408">
        <v>0</v>
      </c>
      <c r="K545" s="408">
        <v>0</v>
      </c>
      <c r="L545" s="408">
        <v>0</v>
      </c>
      <c r="M545" s="408">
        <v>0</v>
      </c>
      <c r="N545" s="408">
        <v>0</v>
      </c>
      <c r="O545" s="408">
        <v>0</v>
      </c>
      <c r="P545" s="408">
        <v>0</v>
      </c>
      <c r="Q545" s="408">
        <v>0</v>
      </c>
      <c r="R545" s="408">
        <v>0</v>
      </c>
      <c r="S545" s="408">
        <v>0</v>
      </c>
      <c r="T545" s="408">
        <v>0</v>
      </c>
      <c r="U545" s="408">
        <v>0</v>
      </c>
      <c r="V545" s="408">
        <v>0</v>
      </c>
      <c r="W545" s="408">
        <v>0</v>
      </c>
      <c r="Y545" s="409"/>
      <c r="Z545" s="409"/>
      <c r="AA545" s="409"/>
      <c r="AB545" s="409"/>
      <c r="AC545" s="409"/>
      <c r="AD545" s="409"/>
      <c r="AE545" s="409"/>
      <c r="AF545" s="409"/>
      <c r="AG545" s="409"/>
      <c r="AH545" s="409"/>
      <c r="AI545" s="409"/>
      <c r="AJ545" s="409"/>
      <c r="AK545" s="409"/>
      <c r="AL545" s="409"/>
      <c r="AM545" s="409"/>
      <c r="AN545" s="409"/>
      <c r="AO545" s="409"/>
      <c r="AP545" s="409"/>
      <c r="AQ545" s="409"/>
      <c r="AR545" s="409"/>
      <c r="AS545" s="409"/>
    </row>
    <row r="546" spans="1:45" s="36" customFormat="1" x14ac:dyDescent="0.3">
      <c r="B546" s="65" t="s">
        <v>202</v>
      </c>
      <c r="C546" s="66"/>
      <c r="D546" s="35">
        <f>+D541/D$536</f>
        <v>3.5782851817334572E-2</v>
      </c>
      <c r="E546" s="35">
        <f t="shared" ref="E546:W546" si="538">+E541/E$536</f>
        <v>3.9217117117117083E-2</v>
      </c>
      <c r="F546" s="35">
        <f t="shared" si="538"/>
        <v>6.028334786399301E-2</v>
      </c>
      <c r="G546" s="35">
        <f t="shared" si="538"/>
        <v>4.9472972972972921E-2</v>
      </c>
      <c r="H546" s="35">
        <f t="shared" si="538"/>
        <v>3.6401677539608594E-2</v>
      </c>
      <c r="I546" s="35">
        <f t="shared" si="538"/>
        <v>6.1195495495495439E-2</v>
      </c>
      <c r="J546" s="35">
        <f t="shared" si="538"/>
        <v>4.5076576576576599E-2</v>
      </c>
      <c r="K546" s="35">
        <f t="shared" si="538"/>
        <v>5.3281981981981967E-2</v>
      </c>
      <c r="L546" s="35">
        <f t="shared" si="538"/>
        <v>4.6543243243243285E-2</v>
      </c>
      <c r="M546" s="35">
        <f t="shared" si="538"/>
        <v>3.7311276794035439E-2</v>
      </c>
      <c r="N546" s="35">
        <f t="shared" si="538"/>
        <v>3.4884436160298231E-2</v>
      </c>
      <c r="O546" s="35">
        <f t="shared" si="538"/>
        <v>3.5399099099099135E-2</v>
      </c>
      <c r="P546" s="35">
        <f t="shared" si="538"/>
        <v>3.7311276794035439E-2</v>
      </c>
      <c r="Q546" s="35">
        <f t="shared" si="538"/>
        <v>3.7311276794035439E-2</v>
      </c>
      <c r="R546" s="35">
        <f t="shared" si="538"/>
        <v>6.2660360360360323E-2</v>
      </c>
      <c r="S546" s="35">
        <f t="shared" si="538"/>
        <v>6.4125225225225194E-2</v>
      </c>
      <c r="T546" s="35">
        <f t="shared" si="538"/>
        <v>6.0539999999999948E-2</v>
      </c>
      <c r="U546" s="35">
        <f t="shared" si="538"/>
        <v>4.5761998361998395E-2</v>
      </c>
      <c r="V546" s="35">
        <f t="shared" si="538"/>
        <v>6.0539999999999948E-2</v>
      </c>
      <c r="W546" s="35">
        <f t="shared" si="538"/>
        <v>3.7311276794035439E-2</v>
      </c>
      <c r="Y546" s="393"/>
      <c r="Z546" s="393"/>
      <c r="AA546" s="393"/>
      <c r="AB546" s="393"/>
      <c r="AC546" s="393"/>
      <c r="AD546" s="393"/>
      <c r="AE546" s="393"/>
      <c r="AF546" s="393"/>
      <c r="AG546" s="393"/>
      <c r="AH546" s="393"/>
      <c r="AI546" s="393"/>
      <c r="AJ546" s="393"/>
      <c r="AK546" s="393"/>
      <c r="AL546" s="393"/>
      <c r="AM546" s="393"/>
      <c r="AN546" s="393"/>
      <c r="AO546" s="393"/>
      <c r="AP546" s="393"/>
      <c r="AQ546" s="393"/>
      <c r="AR546" s="393"/>
      <c r="AS546" s="393"/>
    </row>
    <row r="547" spans="1:45" s="36" customFormat="1" x14ac:dyDescent="0.3">
      <c r="B547" s="65" t="s">
        <v>203</v>
      </c>
      <c r="C547" s="66"/>
      <c r="D547" s="35">
        <f>+D542/D$537</f>
        <v>6.7923423423423418E-2</v>
      </c>
      <c r="E547" s="35">
        <f t="shared" ref="E547:W547" si="539">+E542/E$537</f>
        <v>7.0210113339145563E-2</v>
      </c>
      <c r="F547" s="35">
        <f t="shared" si="539"/>
        <v>8.9649493243243228E-2</v>
      </c>
      <c r="G547" s="35">
        <f t="shared" si="539"/>
        <v>8.013513513513508E-2</v>
      </c>
      <c r="H547" s="35">
        <f t="shared" si="539"/>
        <v>6.8521621621621634E-2</v>
      </c>
      <c r="I547" s="35">
        <f t="shared" si="539"/>
        <v>9.1479511769834293E-2</v>
      </c>
      <c r="J547" s="35">
        <f t="shared" si="539"/>
        <v>7.5880557977332189E-2</v>
      </c>
      <c r="K547" s="35">
        <f t="shared" si="539"/>
        <v>8.3821272885789E-2</v>
      </c>
      <c r="L547" s="35">
        <f t="shared" si="539"/>
        <v>7.7299912816041885E-2</v>
      </c>
      <c r="M547" s="35">
        <f t="shared" si="539"/>
        <v>6.9400900900900925E-2</v>
      </c>
      <c r="N547" s="35">
        <f t="shared" si="539"/>
        <v>6.7054954954954962E-2</v>
      </c>
      <c r="O547" s="35">
        <f t="shared" si="539"/>
        <v>6.6515257192676577E-2</v>
      </c>
      <c r="P547" s="35">
        <f t="shared" si="539"/>
        <v>6.9400900900900925E-2</v>
      </c>
      <c r="Q547" s="35">
        <f t="shared" si="539"/>
        <v>6.9400900900900925E-2</v>
      </c>
      <c r="R547" s="35">
        <f t="shared" si="539"/>
        <v>9.289712292938096E-2</v>
      </c>
      <c r="S547" s="35">
        <f t="shared" si="539"/>
        <v>9.4314734088927613E-2</v>
      </c>
      <c r="T547" s="35">
        <f t="shared" si="539"/>
        <v>9.0845161290322538E-2</v>
      </c>
      <c r="U547" s="35">
        <f t="shared" si="539"/>
        <v>7.3827821939586674E-2</v>
      </c>
      <c r="V547" s="35">
        <f t="shared" si="539"/>
        <v>9.0845161290322538E-2</v>
      </c>
      <c r="W547" s="35">
        <f t="shared" si="539"/>
        <v>6.9400900900900925E-2</v>
      </c>
      <c r="Y547" s="393"/>
      <c r="Z547" s="393"/>
      <c r="AA547" s="393"/>
      <c r="AB547" s="393"/>
      <c r="AC547" s="393"/>
      <c r="AD547" s="393"/>
      <c r="AE547" s="393"/>
      <c r="AF547" s="393"/>
      <c r="AG547" s="393"/>
      <c r="AH547" s="393"/>
      <c r="AI547" s="393"/>
      <c r="AJ547" s="393"/>
      <c r="AK547" s="393"/>
      <c r="AL547" s="393"/>
      <c r="AM547" s="393"/>
      <c r="AN547" s="393"/>
      <c r="AO547" s="393"/>
      <c r="AP547" s="393"/>
      <c r="AQ547" s="393"/>
      <c r="AR547" s="393"/>
      <c r="AS547" s="393"/>
    </row>
    <row r="548" spans="1:45" s="36" customFormat="1" x14ac:dyDescent="0.3">
      <c r="B548" s="65" t="s">
        <v>204</v>
      </c>
      <c r="C548" s="66"/>
      <c r="D548" s="35">
        <f>+D543/D$538</f>
        <v>9.7990409764603312E-2</v>
      </c>
      <c r="E548" s="35">
        <f t="shared" ref="E548:W548" si="540">+E543/E$538</f>
        <v>9.9266047297297266E-2</v>
      </c>
      <c r="F548" s="35">
        <f t="shared" si="540"/>
        <v>0.11723587223587222</v>
      </c>
      <c r="G548" s="35">
        <f t="shared" si="540"/>
        <v>0.10888091216216211</v>
      </c>
      <c r="H548" s="35">
        <f t="shared" si="540"/>
        <v>9.8569311246730615E-2</v>
      </c>
      <c r="I548" s="35">
        <f t="shared" si="540"/>
        <v>0.11987077702702698</v>
      </c>
      <c r="J548" s="35">
        <f t="shared" si="540"/>
        <v>0.10475929054054056</v>
      </c>
      <c r="K548" s="35">
        <f t="shared" si="540"/>
        <v>0.11245185810810809</v>
      </c>
      <c r="L548" s="35">
        <f t="shared" si="540"/>
        <v>0.10613429054054058</v>
      </c>
      <c r="M548" s="35">
        <f t="shared" si="540"/>
        <v>9.9420226678291215E-2</v>
      </c>
      <c r="N548" s="35">
        <f t="shared" si="540"/>
        <v>9.7149956408020918E-2</v>
      </c>
      <c r="O548" s="35">
        <f t="shared" si="540"/>
        <v>9.5686655405405441E-2</v>
      </c>
      <c r="P548" s="35">
        <f t="shared" si="540"/>
        <v>9.9420226678291215E-2</v>
      </c>
      <c r="Q548" s="35">
        <f t="shared" si="540"/>
        <v>9.9420226678291215E-2</v>
      </c>
      <c r="R548" s="35">
        <f t="shared" si="540"/>
        <v>0.1212440878378378</v>
      </c>
      <c r="S548" s="35">
        <f t="shared" si="540"/>
        <v>0.12261739864864862</v>
      </c>
      <c r="T548" s="35">
        <f t="shared" si="540"/>
        <v>0.11925624999999995</v>
      </c>
      <c r="U548" s="35">
        <f t="shared" si="540"/>
        <v>0.1002898841698842</v>
      </c>
      <c r="V548" s="35">
        <f t="shared" si="540"/>
        <v>0.11925624999999995</v>
      </c>
      <c r="W548" s="35">
        <f t="shared" si="540"/>
        <v>9.9420226678291215E-2</v>
      </c>
      <c r="Y548" s="393"/>
      <c r="Z548" s="393"/>
      <c r="AA548" s="393"/>
      <c r="AB548" s="393"/>
      <c r="AC548" s="393"/>
      <c r="AD548" s="393"/>
      <c r="AE548" s="393"/>
      <c r="AF548" s="393"/>
      <c r="AG548" s="393"/>
      <c r="AH548" s="393"/>
      <c r="AI548" s="393"/>
      <c r="AJ548" s="393"/>
      <c r="AK548" s="393"/>
      <c r="AL548" s="393"/>
      <c r="AM548" s="393"/>
      <c r="AN548" s="393"/>
      <c r="AO548" s="393"/>
      <c r="AP548" s="393"/>
      <c r="AQ548" s="393"/>
      <c r="AR548" s="393"/>
      <c r="AS548" s="393"/>
    </row>
    <row r="549" spans="1:45" s="36" customFormat="1" x14ac:dyDescent="0.3">
      <c r="B549" s="65" t="s">
        <v>205</v>
      </c>
      <c r="C549" s="66"/>
      <c r="D549" s="35">
        <f>+D544/D$539</f>
        <v>0.12617820945945946</v>
      </c>
      <c r="E549" s="35">
        <f t="shared" ref="E549:W549" si="541">+E544/E$539</f>
        <v>0.12656101556101554</v>
      </c>
      <c r="F549" s="35">
        <f t="shared" si="541"/>
        <v>0.14319952305246422</v>
      </c>
      <c r="G549" s="35">
        <f t="shared" si="541"/>
        <v>0.13588452088452083</v>
      </c>
      <c r="H549" s="35">
        <f t="shared" si="541"/>
        <v>0.12673902027027029</v>
      </c>
      <c r="I549" s="35">
        <f t="shared" si="541"/>
        <v>0.14654135954135949</v>
      </c>
      <c r="J549" s="35">
        <f t="shared" si="541"/>
        <v>0.13188779688779692</v>
      </c>
      <c r="K549" s="35">
        <f t="shared" si="541"/>
        <v>0.13934725634725634</v>
      </c>
      <c r="L549" s="35">
        <f t="shared" si="541"/>
        <v>0.13322113022113025</v>
      </c>
      <c r="M549" s="35">
        <f t="shared" si="541"/>
        <v>0.12756334459459462</v>
      </c>
      <c r="N549" s="35">
        <f t="shared" si="541"/>
        <v>0.12536402027027027</v>
      </c>
      <c r="O549" s="35">
        <f t="shared" si="541"/>
        <v>0.12309009009009013</v>
      </c>
      <c r="P549" s="35">
        <f t="shared" si="541"/>
        <v>0.12756334459459462</v>
      </c>
      <c r="Q549" s="35">
        <f t="shared" si="541"/>
        <v>0.12756334459459462</v>
      </c>
      <c r="R549" s="35">
        <f t="shared" si="541"/>
        <v>0.14787305487305483</v>
      </c>
      <c r="S549" s="35">
        <f t="shared" si="541"/>
        <v>0.14920475020475019</v>
      </c>
      <c r="T549" s="35">
        <f t="shared" si="541"/>
        <v>0.14594545454545449</v>
      </c>
      <c r="U549" s="35">
        <f t="shared" si="541"/>
        <v>0.12528183183183186</v>
      </c>
      <c r="V549" s="35">
        <f t="shared" si="541"/>
        <v>0.14594545454545449</v>
      </c>
      <c r="W549" s="35">
        <f t="shared" si="541"/>
        <v>0.12756334459459462</v>
      </c>
      <c r="Y549" s="393"/>
      <c r="Z549" s="393"/>
      <c r="AA549" s="393"/>
      <c r="AB549" s="393"/>
      <c r="AC549" s="393"/>
      <c r="AD549" s="393"/>
      <c r="AE549" s="393"/>
      <c r="AF549" s="393"/>
      <c r="AG549" s="393"/>
      <c r="AH549" s="393"/>
      <c r="AI549" s="393"/>
      <c r="AJ549" s="393"/>
      <c r="AK549" s="393"/>
      <c r="AL549" s="393"/>
      <c r="AM549" s="393"/>
      <c r="AN549" s="393"/>
      <c r="AO549" s="393"/>
      <c r="AP549" s="393"/>
      <c r="AQ549" s="393"/>
      <c r="AR549" s="393"/>
      <c r="AS549" s="393"/>
    </row>
    <row r="550" spans="1:45" x14ac:dyDescent="0.3">
      <c r="B550" s="73"/>
      <c r="D550" s="37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Y550" s="390"/>
      <c r="Z550" s="390"/>
      <c r="AA550" s="390"/>
      <c r="AB550" s="390"/>
      <c r="AC550" s="390"/>
      <c r="AD550" s="390"/>
      <c r="AE550" s="390"/>
      <c r="AF550" s="390"/>
      <c r="AG550" s="390"/>
      <c r="AH550" s="390"/>
      <c r="AI550" s="390"/>
      <c r="AJ550" s="390"/>
      <c r="AK550" s="390"/>
      <c r="AL550" s="390"/>
      <c r="AM550" s="390"/>
      <c r="AN550" s="390"/>
      <c r="AO550" s="390"/>
      <c r="AP550" s="390"/>
      <c r="AQ550" s="390"/>
      <c r="AR550" s="390"/>
      <c r="AS550" s="390"/>
    </row>
    <row r="551" spans="1:45" ht="21" thickBot="1" x14ac:dyDescent="0.35">
      <c r="B551" s="73" t="s">
        <v>61</v>
      </c>
      <c r="Y551" s="390"/>
      <c r="Z551" s="390"/>
      <c r="AA551" s="390"/>
      <c r="AB551" s="390"/>
      <c r="AC551" s="390"/>
      <c r="AD551" s="390"/>
      <c r="AE551" s="390"/>
      <c r="AF551" s="390"/>
      <c r="AG551" s="390"/>
      <c r="AH551" s="390"/>
      <c r="AI551" s="390"/>
      <c r="AJ551" s="390"/>
      <c r="AK551" s="390"/>
      <c r="AL551" s="390"/>
      <c r="AM551" s="390"/>
      <c r="AN551" s="390"/>
      <c r="AO551" s="390"/>
      <c r="AP551" s="390"/>
      <c r="AQ551" s="390"/>
      <c r="AR551" s="390"/>
      <c r="AS551" s="390"/>
    </row>
    <row r="552" spans="1:45" ht="21" thickBot="1" x14ac:dyDescent="0.35">
      <c r="A552" s="15" t="s">
        <v>329</v>
      </c>
      <c r="B552" s="74" t="s">
        <v>110</v>
      </c>
      <c r="C552" s="68"/>
      <c r="D552" s="17" t="s">
        <v>5</v>
      </c>
      <c r="E552" s="18" t="s">
        <v>6</v>
      </c>
      <c r="F552" s="18" t="s">
        <v>7</v>
      </c>
      <c r="G552" s="18" t="s">
        <v>8</v>
      </c>
      <c r="H552" s="18" t="s">
        <v>9</v>
      </c>
      <c r="I552" s="18" t="s">
        <v>10</v>
      </c>
      <c r="J552" s="18" t="s">
        <v>11</v>
      </c>
      <c r="K552" s="18" t="s">
        <v>12</v>
      </c>
      <c r="L552" s="18" t="s">
        <v>13</v>
      </c>
      <c r="M552" s="18" t="s">
        <v>14</v>
      </c>
      <c r="N552" s="18" t="s">
        <v>15</v>
      </c>
      <c r="O552" s="18" t="s">
        <v>16</v>
      </c>
      <c r="P552" s="18" t="s">
        <v>17</v>
      </c>
      <c r="Q552" s="18" t="s">
        <v>18</v>
      </c>
      <c r="R552" s="18" t="s">
        <v>19</v>
      </c>
      <c r="S552" s="18" t="s">
        <v>20</v>
      </c>
      <c r="T552" s="18" t="s">
        <v>21</v>
      </c>
      <c r="U552" s="18" t="s">
        <v>22</v>
      </c>
      <c r="V552" s="18" t="s">
        <v>23</v>
      </c>
      <c r="W552" s="18" t="s">
        <v>166</v>
      </c>
      <c r="Y552" s="390"/>
      <c r="Z552" s="390"/>
      <c r="AA552" s="390"/>
      <c r="AB552" s="390"/>
      <c r="AC552" s="390"/>
      <c r="AD552" s="390"/>
      <c r="AE552" s="390"/>
      <c r="AF552" s="390"/>
      <c r="AG552" s="390"/>
      <c r="AH552" s="390"/>
      <c r="AI552" s="390"/>
      <c r="AJ552" s="390"/>
      <c r="AK552" s="390"/>
      <c r="AL552" s="390"/>
      <c r="AM552" s="390"/>
      <c r="AN552" s="390"/>
      <c r="AO552" s="390"/>
      <c r="AP552" s="390"/>
      <c r="AQ552" s="390"/>
      <c r="AR552" s="390"/>
      <c r="AS552" s="390"/>
    </row>
    <row r="553" spans="1:45" x14ac:dyDescent="0.3">
      <c r="B553" s="54" t="s">
        <v>50</v>
      </c>
      <c r="C553" s="55"/>
      <c r="D553" s="20">
        <v>45</v>
      </c>
      <c r="E553" s="21">
        <v>45</v>
      </c>
      <c r="F553" s="21">
        <v>45</v>
      </c>
      <c r="G553" s="21">
        <v>45</v>
      </c>
      <c r="H553" s="21">
        <v>45</v>
      </c>
      <c r="I553" s="21">
        <v>45</v>
      </c>
      <c r="J553" s="21">
        <v>45</v>
      </c>
      <c r="K553" s="21">
        <v>45</v>
      </c>
      <c r="L553" s="21">
        <v>45</v>
      </c>
      <c r="M553" s="21">
        <v>45</v>
      </c>
      <c r="N553" s="21">
        <v>45</v>
      </c>
      <c r="O553" s="21">
        <v>45</v>
      </c>
      <c r="P553" s="21">
        <v>45</v>
      </c>
      <c r="Q553" s="21">
        <v>45</v>
      </c>
      <c r="R553" s="21">
        <v>45</v>
      </c>
      <c r="S553" s="21">
        <v>45</v>
      </c>
      <c r="T553" s="21"/>
      <c r="U553" s="21"/>
      <c r="V553" s="21"/>
      <c r="W553" s="21">
        <v>45</v>
      </c>
      <c r="Y553" s="390"/>
      <c r="Z553" s="390"/>
      <c r="AA553" s="390"/>
      <c r="AB553" s="390"/>
      <c r="AC553" s="390"/>
      <c r="AD553" s="390"/>
      <c r="AE553" s="390"/>
      <c r="AF553" s="390"/>
      <c r="AG553" s="390"/>
      <c r="AH553" s="390"/>
      <c r="AI553" s="390"/>
      <c r="AJ553" s="390"/>
      <c r="AK553" s="390"/>
      <c r="AL553" s="390"/>
      <c r="AM553" s="390"/>
      <c r="AN553" s="390"/>
      <c r="AO553" s="390"/>
      <c r="AP553" s="390"/>
      <c r="AQ553" s="390"/>
      <c r="AR553" s="390"/>
      <c r="AS553" s="390"/>
    </row>
    <row r="554" spans="1:45" x14ac:dyDescent="0.3">
      <c r="B554" s="54" t="s">
        <v>51</v>
      </c>
      <c r="C554" s="55"/>
      <c r="D554" s="218">
        <v>0.42</v>
      </c>
      <c r="E554" s="218">
        <f>D554</f>
        <v>0.42</v>
      </c>
      <c r="F554" s="218">
        <f>D554</f>
        <v>0.42</v>
      </c>
      <c r="G554" s="218">
        <f>D554</f>
        <v>0.42</v>
      </c>
      <c r="H554" s="218">
        <f>D554</f>
        <v>0.42</v>
      </c>
      <c r="I554" s="218">
        <f>D554</f>
        <v>0.42</v>
      </c>
      <c r="J554" s="218">
        <f>D554</f>
        <v>0.42</v>
      </c>
      <c r="K554" s="218">
        <f>D554</f>
        <v>0.42</v>
      </c>
      <c r="L554" s="218">
        <f>D554</f>
        <v>0.42</v>
      </c>
      <c r="M554" s="218">
        <f>D554</f>
        <v>0.42</v>
      </c>
      <c r="N554" s="218">
        <f>D554</f>
        <v>0.42</v>
      </c>
      <c r="O554" s="218">
        <f>D554</f>
        <v>0.42</v>
      </c>
      <c r="P554" s="218">
        <f>D554</f>
        <v>0.42</v>
      </c>
      <c r="Q554" s="218">
        <f>D554</f>
        <v>0.42</v>
      </c>
      <c r="R554" s="218">
        <f>D554</f>
        <v>0.42</v>
      </c>
      <c r="S554" s="218">
        <f>D554</f>
        <v>0.42</v>
      </c>
      <c r="T554" s="218"/>
      <c r="U554" s="218"/>
      <c r="V554" s="218"/>
      <c r="W554" s="218">
        <f>J554</f>
        <v>0.42</v>
      </c>
      <c r="Y554" s="390"/>
      <c r="Z554" s="390"/>
      <c r="AA554" s="390"/>
      <c r="AB554" s="390"/>
      <c r="AC554" s="390"/>
      <c r="AD554" s="390"/>
      <c r="AE554" s="390"/>
      <c r="AF554" s="390"/>
      <c r="AG554" s="390"/>
      <c r="AH554" s="390"/>
      <c r="AI554" s="390"/>
      <c r="AJ554" s="390"/>
      <c r="AK554" s="390"/>
      <c r="AL554" s="390"/>
      <c r="AM554" s="390"/>
      <c r="AN554" s="390"/>
      <c r="AO554" s="390"/>
      <c r="AP554" s="390"/>
      <c r="AQ554" s="390"/>
      <c r="AR554" s="390"/>
      <c r="AS554" s="390"/>
    </row>
    <row r="555" spans="1:45" x14ac:dyDescent="0.3">
      <c r="B555" s="54" t="s">
        <v>60</v>
      </c>
      <c r="C555" s="55"/>
      <c r="D555" s="21">
        <v>0</v>
      </c>
      <c r="E555" s="21">
        <v>0</v>
      </c>
      <c r="F555" s="21">
        <v>0</v>
      </c>
      <c r="G555" s="21">
        <v>0</v>
      </c>
      <c r="H555" s="21">
        <v>0</v>
      </c>
      <c r="I555" s="21">
        <v>0</v>
      </c>
      <c r="J555" s="21">
        <v>0</v>
      </c>
      <c r="K555" s="21">
        <v>0</v>
      </c>
      <c r="L555" s="21">
        <v>0</v>
      </c>
      <c r="M555" s="21">
        <v>0</v>
      </c>
      <c r="N555" s="21">
        <v>0</v>
      </c>
      <c r="O555" s="21">
        <v>0</v>
      </c>
      <c r="P555" s="21">
        <v>0</v>
      </c>
      <c r="Q555" s="21">
        <v>0</v>
      </c>
      <c r="R555" s="21">
        <v>0</v>
      </c>
      <c r="S555" s="21">
        <v>0</v>
      </c>
      <c r="T555" s="21"/>
      <c r="U555" s="21"/>
      <c r="V555" s="21"/>
      <c r="W555" s="21">
        <v>0</v>
      </c>
      <c r="Y555" s="390"/>
      <c r="Z555" s="390"/>
      <c r="AA555" s="390"/>
      <c r="AB555" s="390"/>
      <c r="AC555" s="390"/>
      <c r="AD555" s="390"/>
      <c r="AE555" s="390"/>
      <c r="AF555" s="390"/>
      <c r="AG555" s="390"/>
      <c r="AH555" s="390"/>
      <c r="AI555" s="390"/>
      <c r="AJ555" s="390"/>
      <c r="AK555" s="390"/>
      <c r="AL555" s="390"/>
      <c r="AM555" s="390"/>
      <c r="AN555" s="390"/>
      <c r="AO555" s="390"/>
      <c r="AP555" s="390"/>
      <c r="AQ555" s="390"/>
      <c r="AR555" s="390"/>
      <c r="AS555" s="390"/>
    </row>
    <row r="556" spans="1:45" x14ac:dyDescent="0.3">
      <c r="B556" s="177" t="s">
        <v>67</v>
      </c>
      <c r="C556" s="178"/>
      <c r="D556" s="323">
        <f>D553-(D553*D554)</f>
        <v>26.1</v>
      </c>
      <c r="E556" s="323">
        <f t="shared" ref="E556:W556" si="542">E553-(E553*E554)</f>
        <v>26.1</v>
      </c>
      <c r="F556" s="323">
        <f t="shared" si="542"/>
        <v>26.1</v>
      </c>
      <c r="G556" s="323">
        <f t="shared" si="542"/>
        <v>26.1</v>
      </c>
      <c r="H556" s="323">
        <f t="shared" si="542"/>
        <v>26.1</v>
      </c>
      <c r="I556" s="323">
        <f t="shared" si="542"/>
        <v>26.1</v>
      </c>
      <c r="J556" s="323">
        <f t="shared" si="542"/>
        <v>26.1</v>
      </c>
      <c r="K556" s="323">
        <f t="shared" si="542"/>
        <v>26.1</v>
      </c>
      <c r="L556" s="323">
        <f t="shared" si="542"/>
        <v>26.1</v>
      </c>
      <c r="M556" s="323">
        <f t="shared" si="542"/>
        <v>26.1</v>
      </c>
      <c r="N556" s="323">
        <f t="shared" si="542"/>
        <v>26.1</v>
      </c>
      <c r="O556" s="323">
        <f t="shared" si="542"/>
        <v>26.1</v>
      </c>
      <c r="P556" s="323">
        <f t="shared" si="542"/>
        <v>26.1</v>
      </c>
      <c r="Q556" s="323">
        <f t="shared" si="542"/>
        <v>26.1</v>
      </c>
      <c r="R556" s="323">
        <f t="shared" si="542"/>
        <v>26.1</v>
      </c>
      <c r="S556" s="323">
        <f t="shared" si="542"/>
        <v>26.1</v>
      </c>
      <c r="T556" s="323">
        <v>29.1</v>
      </c>
      <c r="U556" s="323">
        <v>29.1</v>
      </c>
      <c r="V556" s="323">
        <v>29.1</v>
      </c>
      <c r="W556" s="323">
        <f t="shared" si="542"/>
        <v>26.1</v>
      </c>
      <c r="Y556" s="390"/>
      <c r="Z556" s="390"/>
      <c r="AA556" s="390"/>
      <c r="AB556" s="390"/>
      <c r="AC556" s="390"/>
      <c r="AD556" s="390"/>
      <c r="AE556" s="390"/>
      <c r="AF556" s="390"/>
      <c r="AG556" s="390"/>
      <c r="AH556" s="390"/>
      <c r="AI556" s="390"/>
      <c r="AJ556" s="390"/>
      <c r="AK556" s="390"/>
      <c r="AL556" s="390"/>
      <c r="AM556" s="390"/>
      <c r="AN556" s="390"/>
      <c r="AO556" s="390"/>
      <c r="AP556" s="390"/>
      <c r="AQ556" s="390"/>
      <c r="AR556" s="390"/>
      <c r="AS556" s="390"/>
    </row>
    <row r="557" spans="1:45" x14ac:dyDescent="0.3">
      <c r="B557" s="54" t="s">
        <v>66</v>
      </c>
      <c r="C557" s="56">
        <v>7.0000000000000007E-2</v>
      </c>
      <c r="D557" s="24">
        <f>D556*$C557</f>
        <v>1.8270000000000002</v>
      </c>
      <c r="E557" s="24">
        <f t="shared" ref="E557:V557" si="543">E556*$C557</f>
        <v>1.8270000000000002</v>
      </c>
      <c r="F557" s="24">
        <f t="shared" si="543"/>
        <v>1.8270000000000002</v>
      </c>
      <c r="G557" s="24">
        <f t="shared" si="543"/>
        <v>1.8270000000000002</v>
      </c>
      <c r="H557" s="24">
        <f t="shared" si="543"/>
        <v>1.8270000000000002</v>
      </c>
      <c r="I557" s="24">
        <f t="shared" si="543"/>
        <v>1.8270000000000002</v>
      </c>
      <c r="J557" s="24">
        <f t="shared" si="543"/>
        <v>1.8270000000000002</v>
      </c>
      <c r="K557" s="24">
        <f t="shared" si="543"/>
        <v>1.8270000000000002</v>
      </c>
      <c r="L557" s="24">
        <f t="shared" si="543"/>
        <v>1.8270000000000002</v>
      </c>
      <c r="M557" s="24">
        <f t="shared" si="543"/>
        <v>1.8270000000000002</v>
      </c>
      <c r="N557" s="24">
        <f t="shared" si="543"/>
        <v>1.8270000000000002</v>
      </c>
      <c r="O557" s="24">
        <f t="shared" si="543"/>
        <v>1.8270000000000002</v>
      </c>
      <c r="P557" s="24">
        <f t="shared" si="543"/>
        <v>1.8270000000000002</v>
      </c>
      <c r="Q557" s="24">
        <f t="shared" si="543"/>
        <v>1.8270000000000002</v>
      </c>
      <c r="R557" s="24">
        <f t="shared" si="543"/>
        <v>1.8270000000000002</v>
      </c>
      <c r="S557" s="24">
        <f t="shared" si="543"/>
        <v>1.8270000000000002</v>
      </c>
      <c r="T557" s="24">
        <f t="shared" si="543"/>
        <v>2.0370000000000004</v>
      </c>
      <c r="U557" s="24">
        <f t="shared" si="543"/>
        <v>2.0370000000000004</v>
      </c>
      <c r="V557" s="24">
        <f t="shared" si="543"/>
        <v>2.0370000000000004</v>
      </c>
      <c r="W557" s="24">
        <f>W556*$C557</f>
        <v>1.8270000000000002</v>
      </c>
      <c r="Y557" s="390"/>
      <c r="Z557" s="390"/>
      <c r="AA557" s="390"/>
      <c r="AB557" s="390"/>
      <c r="AC557" s="390"/>
      <c r="AD557" s="390"/>
      <c r="AE557" s="390"/>
      <c r="AF557" s="390"/>
      <c r="AG557" s="390"/>
      <c r="AH557" s="390"/>
      <c r="AI557" s="390"/>
      <c r="AJ557" s="390"/>
      <c r="AK557" s="390"/>
      <c r="AL557" s="390"/>
      <c r="AM557" s="390"/>
      <c r="AN557" s="390"/>
      <c r="AO557" s="390"/>
      <c r="AP557" s="390"/>
      <c r="AQ557" s="390"/>
      <c r="AR557" s="390"/>
      <c r="AS557" s="390"/>
    </row>
    <row r="558" spans="1:45" x14ac:dyDescent="0.3">
      <c r="B558" s="54" t="s">
        <v>68</v>
      </c>
      <c r="C558" s="55"/>
      <c r="D558" s="21">
        <f>D556+D557</f>
        <v>27.927000000000003</v>
      </c>
      <c r="E558" s="21">
        <f t="shared" ref="E558:V558" si="544">E556+E557</f>
        <v>27.927000000000003</v>
      </c>
      <c r="F558" s="21">
        <f t="shared" si="544"/>
        <v>27.927000000000003</v>
      </c>
      <c r="G558" s="21">
        <f t="shared" si="544"/>
        <v>27.927000000000003</v>
      </c>
      <c r="H558" s="21">
        <f t="shared" si="544"/>
        <v>27.927000000000003</v>
      </c>
      <c r="I558" s="21">
        <f t="shared" si="544"/>
        <v>27.927000000000003</v>
      </c>
      <c r="J558" s="21">
        <f t="shared" si="544"/>
        <v>27.927000000000003</v>
      </c>
      <c r="K558" s="21">
        <f t="shared" si="544"/>
        <v>27.927000000000003</v>
      </c>
      <c r="L558" s="21">
        <f t="shared" si="544"/>
        <v>27.927000000000003</v>
      </c>
      <c r="M558" s="21">
        <f t="shared" si="544"/>
        <v>27.927000000000003</v>
      </c>
      <c r="N558" s="21">
        <f t="shared" si="544"/>
        <v>27.927000000000003</v>
      </c>
      <c r="O558" s="21">
        <f t="shared" si="544"/>
        <v>27.927000000000003</v>
      </c>
      <c r="P558" s="21">
        <f t="shared" si="544"/>
        <v>27.927000000000003</v>
      </c>
      <c r="Q558" s="21">
        <f t="shared" si="544"/>
        <v>27.927000000000003</v>
      </c>
      <c r="R558" s="21">
        <f t="shared" si="544"/>
        <v>27.927000000000003</v>
      </c>
      <c r="S558" s="21">
        <f t="shared" si="544"/>
        <v>27.927000000000003</v>
      </c>
      <c r="T558" s="21">
        <f t="shared" si="544"/>
        <v>31.137</v>
      </c>
      <c r="U558" s="21">
        <f t="shared" si="544"/>
        <v>31.137</v>
      </c>
      <c r="V558" s="21">
        <f t="shared" si="544"/>
        <v>31.137</v>
      </c>
      <c r="W558" s="21">
        <f>W556+W557</f>
        <v>27.927000000000003</v>
      </c>
      <c r="Y558" s="390"/>
      <c r="Z558" s="390"/>
      <c r="AA558" s="390"/>
      <c r="AB558" s="390"/>
      <c r="AC558" s="390"/>
      <c r="AD558" s="390"/>
      <c r="AE558" s="390"/>
      <c r="AF558" s="390"/>
      <c r="AG558" s="390"/>
      <c r="AH558" s="390"/>
      <c r="AI558" s="390"/>
      <c r="AJ558" s="390"/>
      <c r="AK558" s="390"/>
      <c r="AL558" s="390"/>
      <c r="AM558" s="390"/>
      <c r="AN558" s="390"/>
      <c r="AO558" s="390"/>
      <c r="AP558" s="390"/>
      <c r="AQ558" s="390"/>
      <c r="AR558" s="390"/>
      <c r="AS558" s="390"/>
    </row>
    <row r="559" spans="1:45" x14ac:dyDescent="0.3">
      <c r="B559" s="54" t="s">
        <v>52</v>
      </c>
      <c r="C559" s="55"/>
      <c r="D559" s="398">
        <f>Y561</f>
        <v>1.0709401709401709</v>
      </c>
      <c r="E559" s="398">
        <f t="shared" ref="E559:W559" si="545">Z561</f>
        <v>2.4326495726495727</v>
      </c>
      <c r="F559" s="398">
        <f t="shared" si="545"/>
        <v>2.9192307692307691</v>
      </c>
      <c r="G559" s="398">
        <f t="shared" si="545"/>
        <v>1.9461538461538461</v>
      </c>
      <c r="H559" s="398">
        <f t="shared" si="545"/>
        <v>1.0425641025641026</v>
      </c>
      <c r="I559" s="398">
        <f t="shared" si="545"/>
        <v>1.3900854700854701</v>
      </c>
      <c r="J559" s="398">
        <f t="shared" si="545"/>
        <v>2.1547008547008546</v>
      </c>
      <c r="K559" s="398">
        <f t="shared" si="545"/>
        <v>1.7654700854700855</v>
      </c>
      <c r="L559" s="398">
        <f t="shared" si="545"/>
        <v>2.0851282051282052</v>
      </c>
      <c r="M559" s="398">
        <f t="shared" si="545"/>
        <v>1.0008547008547009</v>
      </c>
      <c r="N559" s="398">
        <f t="shared" si="545"/>
        <v>1.1121367521367522</v>
      </c>
      <c r="O559" s="398">
        <f t="shared" si="545"/>
        <v>2.6137606837606837</v>
      </c>
      <c r="P559" s="398">
        <f t="shared" si="545"/>
        <v>1.0008547008547009</v>
      </c>
      <c r="Q559" s="398">
        <f t="shared" si="545"/>
        <v>1.0008547008547009</v>
      </c>
      <c r="R559" s="398">
        <f t="shared" si="545"/>
        <v>1.3205982905982907</v>
      </c>
      <c r="S559" s="398">
        <f t="shared" si="545"/>
        <v>1.2511111111111111</v>
      </c>
      <c r="T559" s="398">
        <f t="shared" si="545"/>
        <v>0</v>
      </c>
      <c r="U559" s="398">
        <f t="shared" si="545"/>
        <v>2.6137606837606837</v>
      </c>
      <c r="V559" s="398">
        <f t="shared" si="545"/>
        <v>0</v>
      </c>
      <c r="W559" s="398">
        <f t="shared" si="545"/>
        <v>1.0008547008547009</v>
      </c>
      <c r="Y559" s="390">
        <v>12530</v>
      </c>
      <c r="Z559" s="390">
        <v>28462</v>
      </c>
      <c r="AA559" s="390">
        <v>34155</v>
      </c>
      <c r="AB559" s="390">
        <v>22770</v>
      </c>
      <c r="AC559" s="390">
        <v>12198</v>
      </c>
      <c r="AD559" s="390">
        <v>16264</v>
      </c>
      <c r="AE559" s="390">
        <v>25210</v>
      </c>
      <c r="AF559" s="390">
        <v>20656</v>
      </c>
      <c r="AG559" s="390">
        <v>24396</v>
      </c>
      <c r="AH559" s="390">
        <v>11710</v>
      </c>
      <c r="AI559" s="390">
        <v>13012</v>
      </c>
      <c r="AJ559" s="390">
        <v>30581</v>
      </c>
      <c r="AK559" s="396">
        <v>11710</v>
      </c>
      <c r="AL559" s="396">
        <v>11710</v>
      </c>
      <c r="AM559" s="390">
        <v>15451</v>
      </c>
      <c r="AN559" s="390">
        <v>14638</v>
      </c>
      <c r="AO559" s="390"/>
      <c r="AP559" s="396">
        <v>30581</v>
      </c>
      <c r="AQ559" s="390"/>
      <c r="AR559" s="396">
        <v>11710</v>
      </c>
      <c r="AS559" s="390"/>
    </row>
    <row r="560" spans="1:45" x14ac:dyDescent="0.3">
      <c r="B560" s="57" t="s">
        <v>53</v>
      </c>
      <c r="C560" s="58"/>
      <c r="D560" s="25">
        <f>SUM(D558:D559)</f>
        <v>28.997940170940176</v>
      </c>
      <c r="E560" s="26">
        <f t="shared" ref="E560:V560" si="546">SUM(E558:E559)</f>
        <v>30.359649572649577</v>
      </c>
      <c r="F560" s="26">
        <f t="shared" si="546"/>
        <v>30.846230769230772</v>
      </c>
      <c r="G560" s="26">
        <f t="shared" si="546"/>
        <v>29.873153846153848</v>
      </c>
      <c r="H560" s="26">
        <f t="shared" si="546"/>
        <v>28.969564102564107</v>
      </c>
      <c r="I560" s="26">
        <f t="shared" si="546"/>
        <v>29.317085470085473</v>
      </c>
      <c r="J560" s="26">
        <f t="shared" si="546"/>
        <v>30.081700854700859</v>
      </c>
      <c r="K560" s="26">
        <f t="shared" si="546"/>
        <v>29.692470085470088</v>
      </c>
      <c r="L560" s="26">
        <f t="shared" si="546"/>
        <v>30.012128205128207</v>
      </c>
      <c r="M560" s="26">
        <f t="shared" si="546"/>
        <v>28.927854700854702</v>
      </c>
      <c r="N560" s="26">
        <f t="shared" si="546"/>
        <v>29.039136752136756</v>
      </c>
      <c r="O560" s="26">
        <f t="shared" si="546"/>
        <v>30.540760683760688</v>
      </c>
      <c r="P560" s="26">
        <f t="shared" si="546"/>
        <v>28.927854700854702</v>
      </c>
      <c r="Q560" s="26">
        <f t="shared" si="546"/>
        <v>28.927854700854702</v>
      </c>
      <c r="R560" s="26">
        <f t="shared" si="546"/>
        <v>29.247598290598294</v>
      </c>
      <c r="S560" s="26">
        <f t="shared" si="546"/>
        <v>29.178111111111114</v>
      </c>
      <c r="T560" s="26">
        <f t="shared" si="546"/>
        <v>31.137</v>
      </c>
      <c r="U560" s="26">
        <f t="shared" si="546"/>
        <v>33.750760683760682</v>
      </c>
      <c r="V560" s="26">
        <f t="shared" si="546"/>
        <v>31.137</v>
      </c>
      <c r="W560" s="26">
        <f>SUM(W558:W559)</f>
        <v>28.927854700854702</v>
      </c>
      <c r="Y560" s="390">
        <v>11700</v>
      </c>
      <c r="Z560" s="390">
        <v>11700</v>
      </c>
      <c r="AA560" s="390">
        <v>11700</v>
      </c>
      <c r="AB560" s="390">
        <v>11700</v>
      </c>
      <c r="AC560" s="390">
        <v>11700</v>
      </c>
      <c r="AD560" s="390">
        <v>11700</v>
      </c>
      <c r="AE560" s="390">
        <v>11700</v>
      </c>
      <c r="AF560" s="390">
        <v>11700</v>
      </c>
      <c r="AG560" s="390">
        <v>11700</v>
      </c>
      <c r="AH560" s="390">
        <v>11700</v>
      </c>
      <c r="AI560" s="390">
        <v>11700</v>
      </c>
      <c r="AJ560" s="390">
        <v>11700</v>
      </c>
      <c r="AK560" s="390">
        <v>11700</v>
      </c>
      <c r="AL560" s="390">
        <v>11700</v>
      </c>
      <c r="AM560" s="390">
        <v>11700</v>
      </c>
      <c r="AN560" s="390">
        <v>11700</v>
      </c>
      <c r="AO560" s="390"/>
      <c r="AP560" s="390">
        <v>11700</v>
      </c>
      <c r="AQ560" s="390"/>
      <c r="AR560" s="390">
        <v>11700</v>
      </c>
      <c r="AS560" s="390"/>
    </row>
    <row r="561" spans="2:45" x14ac:dyDescent="0.3">
      <c r="B561" s="54" t="s">
        <v>54</v>
      </c>
      <c r="C561" s="55"/>
      <c r="D561" s="20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Y561" s="389">
        <f>Y559/Y560</f>
        <v>1.0709401709401709</v>
      </c>
      <c r="Z561" s="389">
        <f t="shared" ref="Z561:AN561" si="547">Z559/Z560</f>
        <v>2.4326495726495727</v>
      </c>
      <c r="AA561" s="389">
        <f t="shared" si="547"/>
        <v>2.9192307692307691</v>
      </c>
      <c r="AB561" s="389">
        <f t="shared" si="547"/>
        <v>1.9461538461538461</v>
      </c>
      <c r="AC561" s="389">
        <f t="shared" si="547"/>
        <v>1.0425641025641026</v>
      </c>
      <c r="AD561" s="389">
        <f t="shared" si="547"/>
        <v>1.3900854700854701</v>
      </c>
      <c r="AE561" s="389">
        <f t="shared" si="547"/>
        <v>2.1547008547008546</v>
      </c>
      <c r="AF561" s="389">
        <f t="shared" si="547"/>
        <v>1.7654700854700855</v>
      </c>
      <c r="AG561" s="389">
        <f t="shared" si="547"/>
        <v>2.0851282051282052</v>
      </c>
      <c r="AH561" s="389">
        <f t="shared" si="547"/>
        <v>1.0008547008547009</v>
      </c>
      <c r="AI561" s="389">
        <f t="shared" si="547"/>
        <v>1.1121367521367522</v>
      </c>
      <c r="AJ561" s="389">
        <f t="shared" si="547"/>
        <v>2.6137606837606837</v>
      </c>
      <c r="AK561" s="389">
        <f t="shared" si="547"/>
        <v>1.0008547008547009</v>
      </c>
      <c r="AL561" s="389">
        <f t="shared" si="547"/>
        <v>1.0008547008547009</v>
      </c>
      <c r="AM561" s="389">
        <f t="shared" si="547"/>
        <v>1.3205982905982907</v>
      </c>
      <c r="AN561" s="389">
        <f t="shared" si="547"/>
        <v>1.2511111111111111</v>
      </c>
      <c r="AO561" s="390"/>
      <c r="AP561" s="389">
        <f t="shared" ref="AP561" si="548">AP559/AP560</f>
        <v>2.6137606837606837</v>
      </c>
      <c r="AQ561" s="390"/>
      <c r="AR561" s="389">
        <f t="shared" ref="AR561" si="549">AR559/AR560</f>
        <v>1.0008547008547009</v>
      </c>
      <c r="AS561" s="390"/>
    </row>
    <row r="562" spans="2:45" x14ac:dyDescent="0.3">
      <c r="B562" s="59" t="s">
        <v>55</v>
      </c>
      <c r="C562" s="60"/>
      <c r="D562" s="27">
        <f>SUM(D560:D561)</f>
        <v>28.997940170940176</v>
      </c>
      <c r="E562" s="41">
        <f t="shared" ref="E562:V562" si="550">SUM(E560:E561)</f>
        <v>30.359649572649577</v>
      </c>
      <c r="F562" s="41">
        <f t="shared" si="550"/>
        <v>30.846230769230772</v>
      </c>
      <c r="G562" s="41">
        <f t="shared" si="550"/>
        <v>29.873153846153848</v>
      </c>
      <c r="H562" s="41">
        <f t="shared" si="550"/>
        <v>28.969564102564107</v>
      </c>
      <c r="I562" s="41">
        <f t="shared" si="550"/>
        <v>29.317085470085473</v>
      </c>
      <c r="J562" s="41">
        <f t="shared" si="550"/>
        <v>30.081700854700859</v>
      </c>
      <c r="K562" s="41">
        <f t="shared" si="550"/>
        <v>29.692470085470088</v>
      </c>
      <c r="L562" s="41">
        <f t="shared" si="550"/>
        <v>30.012128205128207</v>
      </c>
      <c r="M562" s="41">
        <f t="shared" si="550"/>
        <v>28.927854700854702</v>
      </c>
      <c r="N562" s="41">
        <f t="shared" si="550"/>
        <v>29.039136752136756</v>
      </c>
      <c r="O562" s="41">
        <f t="shared" si="550"/>
        <v>30.540760683760688</v>
      </c>
      <c r="P562" s="41">
        <f t="shared" si="550"/>
        <v>28.927854700854702</v>
      </c>
      <c r="Q562" s="41">
        <f t="shared" si="550"/>
        <v>28.927854700854702</v>
      </c>
      <c r="R562" s="41">
        <f t="shared" si="550"/>
        <v>29.247598290598294</v>
      </c>
      <c r="S562" s="41">
        <f t="shared" si="550"/>
        <v>29.178111111111114</v>
      </c>
      <c r="T562" s="41">
        <f t="shared" si="550"/>
        <v>31.137</v>
      </c>
      <c r="U562" s="41">
        <f t="shared" si="550"/>
        <v>33.750760683760682</v>
      </c>
      <c r="V562" s="41">
        <f t="shared" si="550"/>
        <v>31.137</v>
      </c>
      <c r="W562" s="41">
        <f>SUM(W560:W561)</f>
        <v>28.927854700854702</v>
      </c>
      <c r="Y562" s="390"/>
      <c r="Z562" s="390"/>
      <c r="AA562" s="390"/>
      <c r="AB562" s="390"/>
      <c r="AC562" s="390"/>
      <c r="AD562" s="390"/>
      <c r="AE562" s="390"/>
      <c r="AF562" s="390"/>
      <c r="AG562" s="390"/>
      <c r="AH562" s="390"/>
      <c r="AI562" s="390"/>
      <c r="AJ562" s="390"/>
      <c r="AK562" s="390"/>
      <c r="AL562" s="390"/>
      <c r="AM562" s="390"/>
      <c r="AN562" s="390"/>
      <c r="AO562" s="390"/>
      <c r="AP562" s="390"/>
      <c r="AQ562" s="390"/>
      <c r="AR562" s="390"/>
      <c r="AS562" s="390"/>
    </row>
    <row r="563" spans="2:45" x14ac:dyDescent="0.3">
      <c r="B563" s="61" t="s">
        <v>101</v>
      </c>
      <c r="C563" s="55"/>
      <c r="D563" s="43">
        <v>0</v>
      </c>
      <c r="E563" s="408">
        <v>0</v>
      </c>
      <c r="F563" s="408">
        <v>0</v>
      </c>
      <c r="G563" s="408">
        <v>0</v>
      </c>
      <c r="H563" s="408">
        <v>0</v>
      </c>
      <c r="I563" s="408">
        <v>0</v>
      </c>
      <c r="J563" s="408">
        <v>0</v>
      </c>
      <c r="K563" s="408">
        <v>0</v>
      </c>
      <c r="L563" s="408">
        <v>0</v>
      </c>
      <c r="M563" s="408">
        <v>0</v>
      </c>
      <c r="N563" s="408">
        <v>0</v>
      </c>
      <c r="O563" s="408">
        <v>0</v>
      </c>
      <c r="P563" s="408">
        <v>0</v>
      </c>
      <c r="Q563" s="408">
        <v>0</v>
      </c>
      <c r="R563" s="408">
        <v>0</v>
      </c>
      <c r="S563" s="408">
        <v>0</v>
      </c>
      <c r="T563" s="408">
        <v>0</v>
      </c>
      <c r="U563" s="408">
        <v>0</v>
      </c>
      <c r="V563" s="408">
        <v>0</v>
      </c>
      <c r="W563" s="408">
        <v>0</v>
      </c>
      <c r="Y563" s="409"/>
      <c r="Z563" s="409"/>
      <c r="AA563" s="409"/>
      <c r="AB563" s="409"/>
      <c r="AC563" s="409"/>
      <c r="AD563" s="409"/>
      <c r="AE563" s="409"/>
      <c r="AF563" s="409"/>
      <c r="AG563" s="409"/>
      <c r="AH563" s="409"/>
      <c r="AI563" s="409"/>
      <c r="AJ563" s="409"/>
      <c r="AK563" s="409"/>
      <c r="AL563" s="409"/>
      <c r="AM563" s="409"/>
      <c r="AN563" s="409"/>
      <c r="AO563" s="409"/>
      <c r="AP563" s="409"/>
      <c r="AQ563" s="409"/>
      <c r="AR563" s="409"/>
      <c r="AS563" s="409"/>
    </row>
    <row r="564" spans="2:45" x14ac:dyDescent="0.3">
      <c r="B564" s="171" t="s">
        <v>194</v>
      </c>
      <c r="C564" s="55"/>
      <c r="D564" s="20">
        <v>31</v>
      </c>
      <c r="E564" s="21">
        <v>33</v>
      </c>
      <c r="F564" s="21">
        <v>33</v>
      </c>
      <c r="G564" s="21">
        <v>32</v>
      </c>
      <c r="H564" s="21">
        <v>31</v>
      </c>
      <c r="I564" s="21">
        <v>32</v>
      </c>
      <c r="J564" s="21">
        <v>33</v>
      </c>
      <c r="K564" s="21">
        <v>32</v>
      </c>
      <c r="L564" s="21">
        <v>33</v>
      </c>
      <c r="M564" s="21">
        <v>31</v>
      </c>
      <c r="N564" s="21">
        <v>32</v>
      </c>
      <c r="O564" s="21">
        <v>33</v>
      </c>
      <c r="P564" s="21">
        <v>31</v>
      </c>
      <c r="Q564" s="21">
        <v>31</v>
      </c>
      <c r="R564" s="21">
        <v>32</v>
      </c>
      <c r="S564" s="21">
        <v>32</v>
      </c>
      <c r="T564" s="21">
        <v>34</v>
      </c>
      <c r="U564" s="21">
        <v>36</v>
      </c>
      <c r="V564" s="21">
        <v>34</v>
      </c>
      <c r="W564" s="21">
        <v>31</v>
      </c>
      <c r="Y564" s="390"/>
      <c r="Z564" s="390"/>
      <c r="AA564" s="390"/>
      <c r="AB564" s="390"/>
      <c r="AC564" s="390"/>
      <c r="AD564" s="390"/>
      <c r="AE564" s="390"/>
      <c r="AF564" s="390"/>
      <c r="AG564" s="390"/>
      <c r="AH564" s="390"/>
      <c r="AI564" s="390"/>
      <c r="AJ564" s="390"/>
      <c r="AK564" s="390"/>
      <c r="AL564" s="390"/>
      <c r="AM564" s="390"/>
      <c r="AN564" s="390"/>
      <c r="AO564" s="390"/>
      <c r="AP564" s="390"/>
      <c r="AQ564" s="390"/>
      <c r="AR564" s="390"/>
      <c r="AS564" s="390"/>
    </row>
    <row r="565" spans="2:45" x14ac:dyDescent="0.3">
      <c r="B565" s="61" t="s">
        <v>195</v>
      </c>
      <c r="C565" s="55"/>
      <c r="D565" s="106">
        <v>32</v>
      </c>
      <c r="E565" s="21">
        <v>34</v>
      </c>
      <c r="F565" s="21">
        <v>34</v>
      </c>
      <c r="G565" s="21">
        <v>33</v>
      </c>
      <c r="H565" s="21">
        <v>32</v>
      </c>
      <c r="I565" s="21">
        <v>33</v>
      </c>
      <c r="J565" s="21">
        <v>34</v>
      </c>
      <c r="K565" s="21">
        <v>33</v>
      </c>
      <c r="L565" s="21">
        <v>34</v>
      </c>
      <c r="M565" s="21">
        <v>32</v>
      </c>
      <c r="N565" s="21">
        <v>33</v>
      </c>
      <c r="O565" s="21">
        <v>34</v>
      </c>
      <c r="P565" s="21">
        <v>32</v>
      </c>
      <c r="Q565" s="21">
        <v>32</v>
      </c>
      <c r="R565" s="21">
        <v>33</v>
      </c>
      <c r="S565" s="21">
        <v>33</v>
      </c>
      <c r="T565" s="21">
        <v>35</v>
      </c>
      <c r="U565" s="21">
        <v>37</v>
      </c>
      <c r="V565" s="21">
        <v>35</v>
      </c>
      <c r="W565" s="21">
        <v>32</v>
      </c>
      <c r="Y565" s="390"/>
      <c r="Z565" s="390"/>
      <c r="AA565" s="390"/>
      <c r="AB565" s="390"/>
      <c r="AC565" s="390"/>
      <c r="AD565" s="390"/>
      <c r="AE565" s="390"/>
      <c r="AF565" s="390"/>
      <c r="AG565" s="390"/>
      <c r="AH565" s="390"/>
      <c r="AI565" s="390"/>
      <c r="AJ565" s="390"/>
      <c r="AK565" s="390"/>
      <c r="AL565" s="390"/>
      <c r="AM565" s="390"/>
      <c r="AN565" s="390"/>
      <c r="AO565" s="390"/>
      <c r="AP565" s="390"/>
      <c r="AQ565" s="390"/>
      <c r="AR565" s="390"/>
      <c r="AS565" s="390"/>
    </row>
    <row r="566" spans="2:45" s="30" customFormat="1" x14ac:dyDescent="0.3">
      <c r="B566" s="61" t="s">
        <v>196</v>
      </c>
      <c r="C566" s="62"/>
      <c r="D566" s="28">
        <v>33</v>
      </c>
      <c r="E566" s="28">
        <v>35</v>
      </c>
      <c r="F566" s="28">
        <v>35</v>
      </c>
      <c r="G566" s="28">
        <v>34</v>
      </c>
      <c r="H566" s="28">
        <v>33</v>
      </c>
      <c r="I566" s="28">
        <v>34</v>
      </c>
      <c r="J566" s="28">
        <v>35</v>
      </c>
      <c r="K566" s="28">
        <v>34</v>
      </c>
      <c r="L566" s="28">
        <v>35</v>
      </c>
      <c r="M566" s="28">
        <v>33</v>
      </c>
      <c r="N566" s="28">
        <v>34</v>
      </c>
      <c r="O566" s="28">
        <v>35</v>
      </c>
      <c r="P566" s="28">
        <v>33</v>
      </c>
      <c r="Q566" s="28">
        <v>33</v>
      </c>
      <c r="R566" s="28">
        <v>34</v>
      </c>
      <c r="S566" s="28">
        <v>34</v>
      </c>
      <c r="T566" s="28">
        <v>36</v>
      </c>
      <c r="U566" s="28">
        <v>38</v>
      </c>
      <c r="V566" s="28">
        <v>36</v>
      </c>
      <c r="W566" s="28">
        <v>33</v>
      </c>
      <c r="Y566" s="391"/>
      <c r="Z566" s="391"/>
      <c r="AA566" s="391"/>
      <c r="AB566" s="391"/>
      <c r="AC566" s="391"/>
      <c r="AD566" s="391"/>
      <c r="AE566" s="391"/>
      <c r="AF566" s="391"/>
      <c r="AG566" s="391"/>
      <c r="AH566" s="391"/>
      <c r="AI566" s="391"/>
      <c r="AJ566" s="391"/>
      <c r="AK566" s="391"/>
      <c r="AL566" s="391"/>
      <c r="AM566" s="391"/>
      <c r="AN566" s="391"/>
      <c r="AO566" s="391"/>
      <c r="AP566" s="391"/>
      <c r="AQ566" s="391"/>
      <c r="AR566" s="391"/>
      <c r="AS566" s="391"/>
    </row>
    <row r="567" spans="2:45" s="30" customFormat="1" x14ac:dyDescent="0.3">
      <c r="B567" s="61" t="s">
        <v>197</v>
      </c>
      <c r="C567" s="62"/>
      <c r="D567" s="28">
        <v>34</v>
      </c>
      <c r="E567" s="28">
        <v>36</v>
      </c>
      <c r="F567" s="28">
        <v>36</v>
      </c>
      <c r="G567" s="28">
        <v>35</v>
      </c>
      <c r="H567" s="28">
        <v>34</v>
      </c>
      <c r="I567" s="28">
        <v>35</v>
      </c>
      <c r="J567" s="28">
        <v>36</v>
      </c>
      <c r="K567" s="28">
        <v>35</v>
      </c>
      <c r="L567" s="28">
        <v>36</v>
      </c>
      <c r="M567" s="28">
        <v>34</v>
      </c>
      <c r="N567" s="28">
        <v>35</v>
      </c>
      <c r="O567" s="28">
        <v>36</v>
      </c>
      <c r="P567" s="28">
        <v>34</v>
      </c>
      <c r="Q567" s="28">
        <v>34</v>
      </c>
      <c r="R567" s="28">
        <v>35</v>
      </c>
      <c r="S567" s="28">
        <v>35</v>
      </c>
      <c r="T567" s="28">
        <v>37</v>
      </c>
      <c r="U567" s="28">
        <v>39</v>
      </c>
      <c r="V567" s="28">
        <v>37</v>
      </c>
      <c r="W567" s="28">
        <v>34</v>
      </c>
      <c r="Y567" s="391"/>
      <c r="Z567" s="391"/>
      <c r="AA567" s="391"/>
      <c r="AB567" s="391"/>
      <c r="AC567" s="391"/>
      <c r="AD567" s="391"/>
      <c r="AE567" s="391"/>
      <c r="AF567" s="391"/>
      <c r="AG567" s="391"/>
      <c r="AH567" s="391"/>
      <c r="AI567" s="391"/>
      <c r="AJ567" s="391"/>
      <c r="AK567" s="391"/>
      <c r="AL567" s="391"/>
      <c r="AM567" s="391"/>
      <c r="AN567" s="391"/>
      <c r="AO567" s="391"/>
      <c r="AP567" s="391"/>
      <c r="AQ567" s="391"/>
      <c r="AR567" s="391"/>
      <c r="AS567" s="391"/>
    </row>
    <row r="568" spans="2:45" x14ac:dyDescent="0.3">
      <c r="B568" s="63" t="s">
        <v>103</v>
      </c>
      <c r="C568" s="55"/>
      <c r="D568" s="43">
        <v>0</v>
      </c>
      <c r="E568" s="408">
        <v>0</v>
      </c>
      <c r="F568" s="408">
        <v>0</v>
      </c>
      <c r="G568" s="408">
        <v>0</v>
      </c>
      <c r="H568" s="408">
        <v>0</v>
      </c>
      <c r="I568" s="408">
        <v>0</v>
      </c>
      <c r="J568" s="408">
        <v>0</v>
      </c>
      <c r="K568" s="408">
        <v>0</v>
      </c>
      <c r="L568" s="408">
        <v>0</v>
      </c>
      <c r="M568" s="408">
        <v>0</v>
      </c>
      <c r="N568" s="408">
        <v>0</v>
      </c>
      <c r="O568" s="408">
        <v>0</v>
      </c>
      <c r="P568" s="408">
        <v>0</v>
      </c>
      <c r="Q568" s="408">
        <v>0</v>
      </c>
      <c r="R568" s="408">
        <v>0</v>
      </c>
      <c r="S568" s="408">
        <v>0</v>
      </c>
      <c r="T568" s="408">
        <v>0</v>
      </c>
      <c r="U568" s="408">
        <v>0</v>
      </c>
      <c r="V568" s="408">
        <v>0</v>
      </c>
      <c r="W568" s="408">
        <v>0</v>
      </c>
      <c r="Y568" s="409"/>
      <c r="Z568" s="409"/>
      <c r="AA568" s="409"/>
      <c r="AB568" s="409"/>
      <c r="AC568" s="409"/>
      <c r="AD568" s="409"/>
      <c r="AE568" s="409"/>
      <c r="AF568" s="409"/>
      <c r="AG568" s="409"/>
      <c r="AH568" s="409"/>
      <c r="AI568" s="409"/>
      <c r="AJ568" s="409"/>
      <c r="AK568" s="409"/>
      <c r="AL568" s="409"/>
      <c r="AM568" s="409"/>
      <c r="AN568" s="409"/>
      <c r="AO568" s="409"/>
      <c r="AP568" s="409"/>
      <c r="AQ568" s="409"/>
      <c r="AR568" s="409"/>
      <c r="AS568" s="409"/>
    </row>
    <row r="569" spans="2:45" s="33" customFormat="1" x14ac:dyDescent="0.3">
      <c r="B569" s="63" t="s">
        <v>198</v>
      </c>
      <c r="C569" s="64"/>
      <c r="D569" s="31">
        <f t="shared" ref="D569:W569" si="551">+D564-D$562</f>
        <v>2.0020598290598244</v>
      </c>
      <c r="E569" s="32">
        <f t="shared" si="551"/>
        <v>2.6403504273504232</v>
      </c>
      <c r="F569" s="32">
        <f t="shared" si="551"/>
        <v>2.1537692307692282</v>
      </c>
      <c r="G569" s="32">
        <f t="shared" si="551"/>
        <v>2.1268461538461523</v>
      </c>
      <c r="H569" s="32">
        <f t="shared" si="551"/>
        <v>2.0304358974358934</v>
      </c>
      <c r="I569" s="32">
        <f t="shared" si="551"/>
        <v>2.6829145299145267</v>
      </c>
      <c r="J569" s="32">
        <f t="shared" si="551"/>
        <v>2.9182991452991409</v>
      </c>
      <c r="K569" s="32">
        <f t="shared" si="551"/>
        <v>2.307529914529912</v>
      </c>
      <c r="L569" s="32">
        <f t="shared" si="551"/>
        <v>2.9878717948717934</v>
      </c>
      <c r="M569" s="32">
        <f t="shared" si="551"/>
        <v>2.0721452991452978</v>
      </c>
      <c r="N569" s="32">
        <f t="shared" si="551"/>
        <v>2.9608632478632444</v>
      </c>
      <c r="O569" s="32">
        <f t="shared" si="551"/>
        <v>2.4592393162393122</v>
      </c>
      <c r="P569" s="32">
        <f t="shared" si="551"/>
        <v>2.0721452991452978</v>
      </c>
      <c r="Q569" s="32">
        <f t="shared" si="551"/>
        <v>2.0721452991452978</v>
      </c>
      <c r="R569" s="32">
        <f t="shared" si="551"/>
        <v>2.7524017094017061</v>
      </c>
      <c r="S569" s="32">
        <f t="shared" si="551"/>
        <v>2.8218888888888856</v>
      </c>
      <c r="T569" s="32">
        <f t="shared" si="551"/>
        <v>2.8629999999999995</v>
      </c>
      <c r="U569" s="32">
        <f t="shared" si="551"/>
        <v>2.2492393162393185</v>
      </c>
      <c r="V569" s="32">
        <f t="shared" si="551"/>
        <v>2.8629999999999995</v>
      </c>
      <c r="W569" s="32">
        <f t="shared" si="551"/>
        <v>2.0721452991452978</v>
      </c>
      <c r="Y569" s="392"/>
      <c r="Z569" s="392"/>
      <c r="AA569" s="392"/>
      <c r="AB569" s="392"/>
      <c r="AC569" s="392"/>
      <c r="AD569" s="392"/>
      <c r="AE569" s="392"/>
      <c r="AF569" s="392"/>
      <c r="AG569" s="392"/>
      <c r="AH569" s="392"/>
      <c r="AI569" s="392"/>
      <c r="AJ569" s="392"/>
      <c r="AK569" s="392"/>
      <c r="AL569" s="392"/>
      <c r="AM569" s="392"/>
      <c r="AN569" s="392"/>
      <c r="AO569" s="392"/>
      <c r="AP569" s="392"/>
      <c r="AQ569" s="392"/>
      <c r="AR569" s="392"/>
      <c r="AS569" s="392"/>
    </row>
    <row r="570" spans="2:45" s="33" customFormat="1" x14ac:dyDescent="0.3">
      <c r="B570" s="63" t="s">
        <v>199</v>
      </c>
      <c r="C570" s="64"/>
      <c r="D570" s="31">
        <f t="shared" ref="D570:W570" si="552">+D565-D$562</f>
        <v>3.0020598290598244</v>
      </c>
      <c r="E570" s="32">
        <f t="shared" si="552"/>
        <v>3.6403504273504232</v>
      </c>
      <c r="F570" s="32">
        <f t="shared" si="552"/>
        <v>3.1537692307692282</v>
      </c>
      <c r="G570" s="32">
        <f t="shared" si="552"/>
        <v>3.1268461538461523</v>
      </c>
      <c r="H570" s="32">
        <f t="shared" si="552"/>
        <v>3.0304358974358934</v>
      </c>
      <c r="I570" s="32">
        <f t="shared" si="552"/>
        <v>3.6829145299145267</v>
      </c>
      <c r="J570" s="32">
        <f t="shared" si="552"/>
        <v>3.9182991452991409</v>
      </c>
      <c r="K570" s="32">
        <f t="shared" si="552"/>
        <v>3.307529914529912</v>
      </c>
      <c r="L570" s="32">
        <f t="shared" si="552"/>
        <v>3.9878717948717934</v>
      </c>
      <c r="M570" s="32">
        <f t="shared" si="552"/>
        <v>3.0721452991452978</v>
      </c>
      <c r="N570" s="32">
        <f t="shared" si="552"/>
        <v>3.9608632478632444</v>
      </c>
      <c r="O570" s="32">
        <f t="shared" si="552"/>
        <v>3.4592393162393122</v>
      </c>
      <c r="P570" s="32">
        <f t="shared" si="552"/>
        <v>3.0721452991452978</v>
      </c>
      <c r="Q570" s="32">
        <f t="shared" si="552"/>
        <v>3.0721452991452978</v>
      </c>
      <c r="R570" s="32">
        <f t="shared" si="552"/>
        <v>3.7524017094017061</v>
      </c>
      <c r="S570" s="32">
        <f t="shared" si="552"/>
        <v>3.8218888888888856</v>
      </c>
      <c r="T570" s="32">
        <f t="shared" si="552"/>
        <v>3.8629999999999995</v>
      </c>
      <c r="U570" s="32">
        <f t="shared" si="552"/>
        <v>3.2492393162393185</v>
      </c>
      <c r="V570" s="32">
        <f t="shared" si="552"/>
        <v>3.8629999999999995</v>
      </c>
      <c r="W570" s="32">
        <f t="shared" si="552"/>
        <v>3.0721452991452978</v>
      </c>
      <c r="Y570" s="392"/>
      <c r="Z570" s="392"/>
      <c r="AA570" s="392"/>
      <c r="AB570" s="392"/>
      <c r="AC570" s="392"/>
      <c r="AD570" s="392"/>
      <c r="AE570" s="392"/>
      <c r="AF570" s="392"/>
      <c r="AG570" s="392"/>
      <c r="AH570" s="392"/>
      <c r="AI570" s="392"/>
      <c r="AJ570" s="392"/>
      <c r="AK570" s="392"/>
      <c r="AL570" s="392"/>
      <c r="AM570" s="392"/>
      <c r="AN570" s="392"/>
      <c r="AO570" s="392"/>
      <c r="AP570" s="392"/>
      <c r="AQ570" s="392"/>
      <c r="AR570" s="392"/>
      <c r="AS570" s="392"/>
    </row>
    <row r="571" spans="2:45" s="33" customFormat="1" x14ac:dyDescent="0.3">
      <c r="B571" s="63" t="s">
        <v>200</v>
      </c>
      <c r="C571" s="64"/>
      <c r="D571" s="31">
        <f t="shared" ref="D571:W571" si="553">+D566-D$562</f>
        <v>4.0020598290598244</v>
      </c>
      <c r="E571" s="32">
        <f t="shared" si="553"/>
        <v>4.6403504273504232</v>
      </c>
      <c r="F571" s="32">
        <f t="shared" si="553"/>
        <v>4.1537692307692282</v>
      </c>
      <c r="G571" s="32">
        <f t="shared" si="553"/>
        <v>4.1268461538461523</v>
      </c>
      <c r="H571" s="32">
        <f t="shared" si="553"/>
        <v>4.0304358974358934</v>
      </c>
      <c r="I571" s="32">
        <f t="shared" si="553"/>
        <v>4.6829145299145267</v>
      </c>
      <c r="J571" s="32">
        <f t="shared" si="553"/>
        <v>4.9182991452991409</v>
      </c>
      <c r="K571" s="32">
        <f t="shared" si="553"/>
        <v>4.307529914529912</v>
      </c>
      <c r="L571" s="32">
        <f t="shared" si="553"/>
        <v>4.9878717948717934</v>
      </c>
      <c r="M571" s="32">
        <f t="shared" si="553"/>
        <v>4.0721452991452978</v>
      </c>
      <c r="N571" s="32">
        <f t="shared" si="553"/>
        <v>4.9608632478632444</v>
      </c>
      <c r="O571" s="32">
        <f t="shared" si="553"/>
        <v>4.4592393162393122</v>
      </c>
      <c r="P571" s="32">
        <f t="shared" si="553"/>
        <v>4.0721452991452978</v>
      </c>
      <c r="Q571" s="32">
        <f t="shared" si="553"/>
        <v>4.0721452991452978</v>
      </c>
      <c r="R571" s="32">
        <f t="shared" si="553"/>
        <v>4.7524017094017061</v>
      </c>
      <c r="S571" s="32">
        <f t="shared" si="553"/>
        <v>4.8218888888888856</v>
      </c>
      <c r="T571" s="32">
        <f t="shared" si="553"/>
        <v>4.8629999999999995</v>
      </c>
      <c r="U571" s="32">
        <f t="shared" si="553"/>
        <v>4.2492393162393185</v>
      </c>
      <c r="V571" s="32">
        <f t="shared" si="553"/>
        <v>4.8629999999999995</v>
      </c>
      <c r="W571" s="32">
        <f t="shared" si="553"/>
        <v>4.0721452991452978</v>
      </c>
      <c r="Y571" s="392"/>
      <c r="Z571" s="392"/>
      <c r="AA571" s="392"/>
      <c r="AB571" s="392"/>
      <c r="AC571" s="392"/>
      <c r="AD571" s="392"/>
      <c r="AE571" s="392"/>
      <c r="AF571" s="392"/>
      <c r="AG571" s="392"/>
      <c r="AH571" s="392"/>
      <c r="AI571" s="392"/>
      <c r="AJ571" s="392"/>
      <c r="AK571" s="392"/>
      <c r="AL571" s="392"/>
      <c r="AM571" s="392"/>
      <c r="AN571" s="392"/>
      <c r="AO571" s="392"/>
      <c r="AP571" s="392"/>
      <c r="AQ571" s="392"/>
      <c r="AR571" s="392"/>
      <c r="AS571" s="392"/>
    </row>
    <row r="572" spans="2:45" s="33" customFormat="1" x14ac:dyDescent="0.3">
      <c r="B572" s="63" t="s">
        <v>201</v>
      </c>
      <c r="C572" s="64"/>
      <c r="D572" s="31">
        <f t="shared" ref="D572:W572" si="554">+D567-D$562</f>
        <v>5.0020598290598244</v>
      </c>
      <c r="E572" s="34">
        <f t="shared" si="554"/>
        <v>5.6403504273504232</v>
      </c>
      <c r="F572" s="34">
        <f t="shared" si="554"/>
        <v>5.1537692307692282</v>
      </c>
      <c r="G572" s="34">
        <f t="shared" si="554"/>
        <v>5.1268461538461523</v>
      </c>
      <c r="H572" s="34">
        <f t="shared" si="554"/>
        <v>5.0304358974358934</v>
      </c>
      <c r="I572" s="34">
        <f t="shared" si="554"/>
        <v>5.6829145299145267</v>
      </c>
      <c r="J572" s="34">
        <f t="shared" si="554"/>
        <v>5.9182991452991409</v>
      </c>
      <c r="K572" s="34">
        <f t="shared" si="554"/>
        <v>5.307529914529912</v>
      </c>
      <c r="L572" s="34">
        <f t="shared" si="554"/>
        <v>5.9878717948717934</v>
      </c>
      <c r="M572" s="34">
        <f t="shared" si="554"/>
        <v>5.0721452991452978</v>
      </c>
      <c r="N572" s="34">
        <f t="shared" si="554"/>
        <v>5.9608632478632444</v>
      </c>
      <c r="O572" s="34">
        <f t="shared" si="554"/>
        <v>5.4592393162393122</v>
      </c>
      <c r="P572" s="34">
        <f t="shared" si="554"/>
        <v>5.0721452991452978</v>
      </c>
      <c r="Q572" s="34">
        <f t="shared" si="554"/>
        <v>5.0721452991452978</v>
      </c>
      <c r="R572" s="34">
        <f t="shared" si="554"/>
        <v>5.7524017094017061</v>
      </c>
      <c r="S572" s="34">
        <f t="shared" si="554"/>
        <v>5.8218888888888856</v>
      </c>
      <c r="T572" s="34">
        <f t="shared" si="554"/>
        <v>5.8629999999999995</v>
      </c>
      <c r="U572" s="34">
        <f t="shared" si="554"/>
        <v>5.2492393162393185</v>
      </c>
      <c r="V572" s="34">
        <f t="shared" si="554"/>
        <v>5.8629999999999995</v>
      </c>
      <c r="W572" s="34">
        <f t="shared" si="554"/>
        <v>5.0721452991452978</v>
      </c>
      <c r="Y572" s="392"/>
      <c r="Z572" s="392"/>
      <c r="AA572" s="392"/>
      <c r="AB572" s="392"/>
      <c r="AC572" s="392"/>
      <c r="AD572" s="392"/>
      <c r="AE572" s="392"/>
      <c r="AF572" s="392"/>
      <c r="AG572" s="392"/>
      <c r="AH572" s="392"/>
      <c r="AI572" s="392"/>
      <c r="AJ572" s="392"/>
      <c r="AK572" s="392"/>
      <c r="AL572" s="392"/>
      <c r="AM572" s="392"/>
      <c r="AN572" s="392"/>
      <c r="AO572" s="392"/>
      <c r="AP572" s="392"/>
      <c r="AQ572" s="392"/>
      <c r="AR572" s="392"/>
      <c r="AS572" s="392"/>
    </row>
    <row r="573" spans="2:45" x14ac:dyDescent="0.3">
      <c r="B573" s="65" t="s">
        <v>108</v>
      </c>
      <c r="C573" s="55"/>
      <c r="D573" s="43">
        <v>0</v>
      </c>
      <c r="E573" s="408">
        <v>0</v>
      </c>
      <c r="F573" s="408">
        <v>0</v>
      </c>
      <c r="G573" s="408">
        <v>0</v>
      </c>
      <c r="H573" s="408">
        <v>0</v>
      </c>
      <c r="I573" s="408">
        <v>0</v>
      </c>
      <c r="J573" s="408">
        <v>0</v>
      </c>
      <c r="K573" s="408">
        <v>0</v>
      </c>
      <c r="L573" s="408">
        <v>0</v>
      </c>
      <c r="M573" s="408">
        <v>0</v>
      </c>
      <c r="N573" s="408">
        <v>0</v>
      </c>
      <c r="O573" s="408">
        <v>0</v>
      </c>
      <c r="P573" s="408">
        <v>0</v>
      </c>
      <c r="Q573" s="408">
        <v>0</v>
      </c>
      <c r="R573" s="408">
        <v>0</v>
      </c>
      <c r="S573" s="408">
        <v>0</v>
      </c>
      <c r="T573" s="408">
        <v>0</v>
      </c>
      <c r="U573" s="408">
        <v>0</v>
      </c>
      <c r="V573" s="408">
        <v>0</v>
      </c>
      <c r="W573" s="408">
        <v>0</v>
      </c>
      <c r="Y573" s="409"/>
      <c r="Z573" s="409"/>
      <c r="AA573" s="409"/>
      <c r="AB573" s="409"/>
      <c r="AC573" s="409"/>
      <c r="AD573" s="409"/>
      <c r="AE573" s="409"/>
      <c r="AF573" s="409"/>
      <c r="AG573" s="409"/>
      <c r="AH573" s="409"/>
      <c r="AI573" s="409"/>
      <c r="AJ573" s="409"/>
      <c r="AK573" s="409"/>
      <c r="AL573" s="409"/>
      <c r="AM573" s="409"/>
      <c r="AN573" s="409"/>
      <c r="AO573" s="409"/>
      <c r="AP573" s="409"/>
      <c r="AQ573" s="409"/>
      <c r="AR573" s="409"/>
      <c r="AS573" s="409"/>
    </row>
    <row r="574" spans="2:45" s="36" customFormat="1" x14ac:dyDescent="0.3">
      <c r="B574" s="65" t="s">
        <v>202</v>
      </c>
      <c r="C574" s="66"/>
      <c r="D574" s="35">
        <f>+D569/D$564</f>
        <v>6.4582575130962078E-2</v>
      </c>
      <c r="E574" s="35">
        <f t="shared" ref="E574:W574" si="555">+E569/E$564</f>
        <v>8.0010619010618886E-2</v>
      </c>
      <c r="F574" s="35">
        <f t="shared" si="555"/>
        <v>6.526573426573419E-2</v>
      </c>
      <c r="G574" s="35">
        <f t="shared" si="555"/>
        <v>6.6463942307692259E-2</v>
      </c>
      <c r="H574" s="35">
        <f t="shared" si="555"/>
        <v>6.5497932175351395E-2</v>
      </c>
      <c r="I574" s="35">
        <f t="shared" si="555"/>
        <v>8.384107905982896E-2</v>
      </c>
      <c r="J574" s="35">
        <f t="shared" si="555"/>
        <v>8.8433307433307295E-2</v>
      </c>
      <c r="K574" s="35">
        <f t="shared" si="555"/>
        <v>7.2110309829059749E-2</v>
      </c>
      <c r="L574" s="35">
        <f t="shared" si="555"/>
        <v>9.05415695415695E-2</v>
      </c>
      <c r="M574" s="35">
        <f t="shared" si="555"/>
        <v>6.6843396746622513E-2</v>
      </c>
      <c r="N574" s="35">
        <f t="shared" si="555"/>
        <v>9.2526976495726387E-2</v>
      </c>
      <c r="O574" s="35">
        <f t="shared" si="555"/>
        <v>7.4522403522403399E-2</v>
      </c>
      <c r="P574" s="35">
        <f t="shared" si="555"/>
        <v>6.6843396746622513E-2</v>
      </c>
      <c r="Q574" s="35">
        <f t="shared" si="555"/>
        <v>6.6843396746622513E-2</v>
      </c>
      <c r="R574" s="35">
        <f t="shared" si="555"/>
        <v>8.6012553418803317E-2</v>
      </c>
      <c r="S574" s="35">
        <f t="shared" si="555"/>
        <v>8.8184027777777674E-2</v>
      </c>
      <c r="T574" s="35">
        <f t="shared" si="555"/>
        <v>8.4205882352941158E-2</v>
      </c>
      <c r="U574" s="35">
        <f t="shared" si="555"/>
        <v>6.2478869895536623E-2</v>
      </c>
      <c r="V574" s="35">
        <f t="shared" si="555"/>
        <v>8.4205882352941158E-2</v>
      </c>
      <c r="W574" s="35">
        <f t="shared" si="555"/>
        <v>6.6843396746622513E-2</v>
      </c>
      <c r="Y574" s="393"/>
      <c r="Z574" s="393"/>
      <c r="AA574" s="393"/>
      <c r="AB574" s="393"/>
      <c r="AC574" s="393"/>
      <c r="AD574" s="393"/>
      <c r="AE574" s="393"/>
      <c r="AF574" s="393"/>
      <c r="AG574" s="393"/>
      <c r="AH574" s="393"/>
      <c r="AI574" s="393"/>
      <c r="AJ574" s="393"/>
      <c r="AK574" s="393"/>
      <c r="AL574" s="393"/>
      <c r="AM574" s="393"/>
      <c r="AN574" s="393"/>
      <c r="AO574" s="393"/>
      <c r="AP574" s="393"/>
      <c r="AQ574" s="393"/>
      <c r="AR574" s="393"/>
      <c r="AS574" s="393"/>
    </row>
    <row r="575" spans="2:45" s="36" customFormat="1" x14ac:dyDescent="0.3">
      <c r="B575" s="65" t="s">
        <v>203</v>
      </c>
      <c r="C575" s="66"/>
      <c r="D575" s="35">
        <f>+D570/D$565</f>
        <v>9.3814369658119512E-2</v>
      </c>
      <c r="E575" s="35">
        <f t="shared" ref="E575:W575" si="556">+E570/E$565</f>
        <v>0.10706913021618891</v>
      </c>
      <c r="F575" s="35">
        <f t="shared" si="556"/>
        <v>9.275791855203612E-2</v>
      </c>
      <c r="G575" s="35">
        <f t="shared" si="556"/>
        <v>9.4752913752913712E-2</v>
      </c>
      <c r="H575" s="35">
        <f t="shared" si="556"/>
        <v>9.4701121794871668E-2</v>
      </c>
      <c r="I575" s="35">
        <f t="shared" si="556"/>
        <v>0.11160347060347051</v>
      </c>
      <c r="J575" s="35">
        <f t="shared" si="556"/>
        <v>0.11524409250879826</v>
      </c>
      <c r="K575" s="35">
        <f t="shared" si="556"/>
        <v>0.10022817922817916</v>
      </c>
      <c r="L575" s="35">
        <f t="shared" si="556"/>
        <v>0.11729034690799392</v>
      </c>
      <c r="M575" s="35">
        <f t="shared" si="556"/>
        <v>9.6004540598290555E-2</v>
      </c>
      <c r="N575" s="35">
        <f t="shared" si="556"/>
        <v>0.12002615902615892</v>
      </c>
      <c r="O575" s="35">
        <f t="shared" si="556"/>
        <v>0.10174233283056801</v>
      </c>
      <c r="P575" s="35">
        <f t="shared" si="556"/>
        <v>9.6004540598290555E-2</v>
      </c>
      <c r="Q575" s="35">
        <f t="shared" si="556"/>
        <v>9.6004540598290555E-2</v>
      </c>
      <c r="R575" s="35">
        <f t="shared" si="556"/>
        <v>0.1137091427091426</v>
      </c>
      <c r="S575" s="35">
        <f t="shared" si="556"/>
        <v>0.11581481481481472</v>
      </c>
      <c r="T575" s="35">
        <f t="shared" si="556"/>
        <v>0.11037142857142856</v>
      </c>
      <c r="U575" s="35">
        <f t="shared" si="556"/>
        <v>8.7817278817278882E-2</v>
      </c>
      <c r="V575" s="35">
        <f t="shared" si="556"/>
        <v>0.11037142857142856</v>
      </c>
      <c r="W575" s="35">
        <f t="shared" si="556"/>
        <v>9.6004540598290555E-2</v>
      </c>
      <c r="Y575" s="393"/>
      <c r="Z575" s="393"/>
      <c r="AA575" s="393"/>
      <c r="AB575" s="393"/>
      <c r="AC575" s="393"/>
      <c r="AD575" s="393"/>
      <c r="AE575" s="393"/>
      <c r="AF575" s="393"/>
      <c r="AG575" s="393"/>
      <c r="AH575" s="393"/>
      <c r="AI575" s="393"/>
      <c r="AJ575" s="393"/>
      <c r="AK575" s="393"/>
      <c r="AL575" s="393"/>
      <c r="AM575" s="393"/>
      <c r="AN575" s="393"/>
      <c r="AO575" s="393"/>
      <c r="AP575" s="393"/>
      <c r="AQ575" s="393"/>
      <c r="AR575" s="393"/>
      <c r="AS575" s="393"/>
    </row>
    <row r="576" spans="2:45" s="36" customFormat="1" x14ac:dyDescent="0.3">
      <c r="B576" s="65" t="s">
        <v>204</v>
      </c>
      <c r="C576" s="66"/>
      <c r="D576" s="35">
        <f>+D571/D$566</f>
        <v>0.12127454027454013</v>
      </c>
      <c r="E576" s="35">
        <f t="shared" ref="E576:W576" si="557">+E571/E$566</f>
        <v>0.13258144078144066</v>
      </c>
      <c r="F576" s="35">
        <f t="shared" si="557"/>
        <v>0.1186791208791208</v>
      </c>
      <c r="G576" s="35">
        <f t="shared" si="557"/>
        <v>0.1213778280542986</v>
      </c>
      <c r="H576" s="35">
        <f t="shared" si="557"/>
        <v>0.12213442113442101</v>
      </c>
      <c r="I576" s="35">
        <f t="shared" si="557"/>
        <v>0.13773278029160374</v>
      </c>
      <c r="J576" s="35">
        <f t="shared" si="557"/>
        <v>0.14052283272283259</v>
      </c>
      <c r="K576" s="35">
        <f t="shared" si="557"/>
        <v>0.12669205630970329</v>
      </c>
      <c r="L576" s="35">
        <f t="shared" si="557"/>
        <v>0.14251062271062268</v>
      </c>
      <c r="M576" s="35">
        <f t="shared" si="557"/>
        <v>0.12339834239834235</v>
      </c>
      <c r="N576" s="35">
        <f t="shared" si="557"/>
        <v>0.14590774258421307</v>
      </c>
      <c r="O576" s="35">
        <f t="shared" si="557"/>
        <v>0.12740683760683749</v>
      </c>
      <c r="P576" s="35">
        <f t="shared" si="557"/>
        <v>0.12339834239834235</v>
      </c>
      <c r="Q576" s="35">
        <f t="shared" si="557"/>
        <v>0.12339834239834235</v>
      </c>
      <c r="R576" s="35">
        <f t="shared" si="557"/>
        <v>0.13977652086475606</v>
      </c>
      <c r="S576" s="35">
        <f t="shared" si="557"/>
        <v>0.14182026143790841</v>
      </c>
      <c r="T576" s="35">
        <f t="shared" si="557"/>
        <v>0.13508333333333333</v>
      </c>
      <c r="U576" s="35">
        <f t="shared" si="557"/>
        <v>0.11182208726945575</v>
      </c>
      <c r="V576" s="35">
        <f t="shared" si="557"/>
        <v>0.13508333333333333</v>
      </c>
      <c r="W576" s="35">
        <f t="shared" si="557"/>
        <v>0.12339834239834235</v>
      </c>
      <c r="Y576" s="393"/>
      <c r="Z576" s="393"/>
      <c r="AA576" s="393"/>
      <c r="AB576" s="393"/>
      <c r="AC576" s="393"/>
      <c r="AD576" s="393"/>
      <c r="AE576" s="393"/>
      <c r="AF576" s="393"/>
      <c r="AG576" s="393"/>
      <c r="AH576" s="393"/>
      <c r="AI576" s="393"/>
      <c r="AJ576" s="393"/>
      <c r="AK576" s="393"/>
      <c r="AL576" s="393"/>
      <c r="AM576" s="393"/>
      <c r="AN576" s="393"/>
      <c r="AO576" s="393"/>
      <c r="AP576" s="393"/>
      <c r="AQ576" s="393"/>
      <c r="AR576" s="393"/>
      <c r="AS576" s="393"/>
    </row>
    <row r="577" spans="1:45" s="36" customFormat="1" x14ac:dyDescent="0.3">
      <c r="B577" s="65" t="s">
        <v>205</v>
      </c>
      <c r="C577" s="66"/>
      <c r="D577" s="35">
        <f>+D572/D$567</f>
        <v>0.14711940673705365</v>
      </c>
      <c r="E577" s="35">
        <f t="shared" ref="E577:W577" si="558">+E572/E$567</f>
        <v>0.15667640075973399</v>
      </c>
      <c r="F577" s="35">
        <f t="shared" si="558"/>
        <v>0.14316025641025634</v>
      </c>
      <c r="G577" s="35">
        <f t="shared" si="558"/>
        <v>0.14648131868131864</v>
      </c>
      <c r="H577" s="35">
        <f t="shared" si="558"/>
        <v>0.14795399698340864</v>
      </c>
      <c r="I577" s="35">
        <f t="shared" si="558"/>
        <v>0.16236898656898649</v>
      </c>
      <c r="J577" s="35">
        <f t="shared" si="558"/>
        <v>0.16439719848053169</v>
      </c>
      <c r="K577" s="35">
        <f t="shared" si="558"/>
        <v>0.15164371184371178</v>
      </c>
      <c r="L577" s="35">
        <f t="shared" si="558"/>
        <v>0.16632977207977204</v>
      </c>
      <c r="M577" s="35">
        <f t="shared" si="558"/>
        <v>0.14918074409250875</v>
      </c>
      <c r="N577" s="35">
        <f t="shared" si="558"/>
        <v>0.17031037851037842</v>
      </c>
      <c r="O577" s="35">
        <f t="shared" si="558"/>
        <v>0.15164553656220311</v>
      </c>
      <c r="P577" s="35">
        <f t="shared" si="558"/>
        <v>0.14918074409250875</v>
      </c>
      <c r="Q577" s="35">
        <f t="shared" si="558"/>
        <v>0.14918074409250875</v>
      </c>
      <c r="R577" s="35">
        <f t="shared" si="558"/>
        <v>0.16435433455433446</v>
      </c>
      <c r="S577" s="35">
        <f t="shared" si="558"/>
        <v>0.16633968253968245</v>
      </c>
      <c r="T577" s="35">
        <f t="shared" si="558"/>
        <v>0.15845945945945944</v>
      </c>
      <c r="U577" s="35">
        <f t="shared" si="558"/>
        <v>0.13459587990357227</v>
      </c>
      <c r="V577" s="35">
        <f t="shared" si="558"/>
        <v>0.15845945945945944</v>
      </c>
      <c r="W577" s="35">
        <f t="shared" si="558"/>
        <v>0.14918074409250875</v>
      </c>
      <c r="Y577" s="393"/>
      <c r="Z577" s="393"/>
      <c r="AA577" s="393"/>
      <c r="AB577" s="393"/>
      <c r="AC577" s="393"/>
      <c r="AD577" s="393"/>
      <c r="AE577" s="393"/>
      <c r="AF577" s="393"/>
      <c r="AG577" s="393"/>
      <c r="AH577" s="393"/>
      <c r="AI577" s="393"/>
      <c r="AJ577" s="393"/>
      <c r="AK577" s="393"/>
      <c r="AL577" s="393"/>
      <c r="AM577" s="393"/>
      <c r="AN577" s="393"/>
      <c r="AO577" s="393"/>
      <c r="AP577" s="393"/>
      <c r="AQ577" s="393"/>
      <c r="AR577" s="393"/>
      <c r="AS577" s="393"/>
    </row>
    <row r="578" spans="1:45" ht="21" thickBot="1" x14ac:dyDescent="0.35">
      <c r="Y578" s="390"/>
      <c r="Z578" s="390"/>
      <c r="AA578" s="390"/>
      <c r="AB578" s="390"/>
      <c r="AC578" s="390"/>
      <c r="AD578" s="390"/>
      <c r="AE578" s="390"/>
      <c r="AF578" s="390"/>
      <c r="AG578" s="390"/>
      <c r="AH578" s="390"/>
      <c r="AI578" s="390"/>
      <c r="AJ578" s="390"/>
      <c r="AK578" s="390"/>
      <c r="AL578" s="390"/>
      <c r="AM578" s="390"/>
      <c r="AN578" s="390"/>
      <c r="AO578" s="390"/>
      <c r="AP578" s="390"/>
      <c r="AQ578" s="390"/>
      <c r="AR578" s="390"/>
      <c r="AS578" s="390"/>
    </row>
    <row r="579" spans="1:45" ht="21" thickBot="1" x14ac:dyDescent="0.35">
      <c r="A579" s="15" t="s">
        <v>330</v>
      </c>
      <c r="B579" s="74" t="s">
        <v>111</v>
      </c>
      <c r="C579" s="68"/>
      <c r="D579" s="17" t="s">
        <v>5</v>
      </c>
      <c r="E579" s="18" t="s">
        <v>6</v>
      </c>
      <c r="F579" s="18" t="s">
        <v>7</v>
      </c>
      <c r="G579" s="18" t="s">
        <v>8</v>
      </c>
      <c r="H579" s="18" t="s">
        <v>9</v>
      </c>
      <c r="I579" s="18" t="s">
        <v>10</v>
      </c>
      <c r="J579" s="18" t="s">
        <v>11</v>
      </c>
      <c r="K579" s="18" t="s">
        <v>12</v>
      </c>
      <c r="L579" s="18" t="s">
        <v>13</v>
      </c>
      <c r="M579" s="18" t="s">
        <v>14</v>
      </c>
      <c r="N579" s="18" t="s">
        <v>15</v>
      </c>
      <c r="O579" s="18" t="s">
        <v>16</v>
      </c>
      <c r="P579" s="18" t="s">
        <v>17</v>
      </c>
      <c r="Q579" s="18" t="s">
        <v>18</v>
      </c>
      <c r="R579" s="18" t="s">
        <v>19</v>
      </c>
      <c r="S579" s="18" t="s">
        <v>20</v>
      </c>
      <c r="T579" s="18" t="s">
        <v>21</v>
      </c>
      <c r="U579" s="18" t="s">
        <v>22</v>
      </c>
      <c r="V579" s="18" t="s">
        <v>23</v>
      </c>
      <c r="W579" s="18" t="s">
        <v>166</v>
      </c>
      <c r="Y579" s="390"/>
      <c r="Z579" s="390"/>
      <c r="AA579" s="390"/>
      <c r="AB579" s="390"/>
      <c r="AC579" s="390"/>
      <c r="AD579" s="390"/>
      <c r="AE579" s="390"/>
      <c r="AF579" s="390"/>
      <c r="AG579" s="390"/>
      <c r="AH579" s="390"/>
      <c r="AI579" s="390"/>
      <c r="AJ579" s="390"/>
      <c r="AK579" s="390"/>
      <c r="AL579" s="390"/>
      <c r="AM579" s="390"/>
      <c r="AN579" s="390"/>
      <c r="AO579" s="390"/>
      <c r="AP579" s="390"/>
      <c r="AQ579" s="390"/>
      <c r="AR579" s="390"/>
      <c r="AS579" s="390"/>
    </row>
    <row r="580" spans="1:45" s="42" customFormat="1" x14ac:dyDescent="0.3">
      <c r="B580" s="69" t="s">
        <v>50</v>
      </c>
      <c r="C580" s="70"/>
      <c r="D580" s="20">
        <v>365</v>
      </c>
      <c r="E580" s="20">
        <v>365</v>
      </c>
      <c r="F580" s="20">
        <v>365</v>
      </c>
      <c r="G580" s="20">
        <v>365</v>
      </c>
      <c r="H580" s="20">
        <v>365</v>
      </c>
      <c r="I580" s="20">
        <v>365</v>
      </c>
      <c r="J580" s="20">
        <v>365</v>
      </c>
      <c r="K580" s="20">
        <v>365</v>
      </c>
      <c r="L580" s="20">
        <v>365</v>
      </c>
      <c r="M580" s="20">
        <v>365</v>
      </c>
      <c r="N580" s="20">
        <v>365</v>
      </c>
      <c r="O580" s="20">
        <v>365</v>
      </c>
      <c r="P580" s="20">
        <v>365</v>
      </c>
      <c r="Q580" s="20">
        <v>365</v>
      </c>
      <c r="R580" s="20">
        <v>365</v>
      </c>
      <c r="S580" s="20">
        <v>365</v>
      </c>
      <c r="T580" s="20"/>
      <c r="U580" s="20"/>
      <c r="V580" s="20"/>
      <c r="W580" s="20">
        <v>365</v>
      </c>
      <c r="Y580" s="390"/>
      <c r="Z580" s="390"/>
      <c r="AA580" s="390"/>
      <c r="AB580" s="390"/>
      <c r="AC580" s="390"/>
      <c r="AD580" s="390"/>
      <c r="AE580" s="390"/>
      <c r="AF580" s="390"/>
      <c r="AG580" s="390"/>
      <c r="AH580" s="390"/>
      <c r="AI580" s="390"/>
      <c r="AJ580" s="390"/>
      <c r="AK580" s="390"/>
      <c r="AL580" s="390"/>
      <c r="AM580" s="390"/>
      <c r="AN580" s="390"/>
      <c r="AO580" s="390"/>
      <c r="AP580" s="390"/>
      <c r="AQ580" s="390"/>
      <c r="AR580" s="390"/>
      <c r="AS580" s="390"/>
    </row>
    <row r="581" spans="1:45" x14ac:dyDescent="0.3">
      <c r="B581" s="54" t="s">
        <v>51</v>
      </c>
      <c r="C581" s="55"/>
      <c r="D581" s="322">
        <v>0.39</v>
      </c>
      <c r="E581" s="322">
        <f>D581</f>
        <v>0.39</v>
      </c>
      <c r="F581" s="322">
        <f>D581</f>
        <v>0.39</v>
      </c>
      <c r="G581" s="322">
        <f>D581</f>
        <v>0.39</v>
      </c>
      <c r="H581" s="322">
        <f>D581</f>
        <v>0.39</v>
      </c>
      <c r="I581" s="322">
        <f>D581</f>
        <v>0.39</v>
      </c>
      <c r="J581" s="322">
        <f>D581</f>
        <v>0.39</v>
      </c>
      <c r="K581" s="322">
        <f>D581</f>
        <v>0.39</v>
      </c>
      <c r="L581" s="322">
        <f>D581</f>
        <v>0.39</v>
      </c>
      <c r="M581" s="322">
        <f>D581</f>
        <v>0.39</v>
      </c>
      <c r="N581" s="322">
        <f>D581</f>
        <v>0.39</v>
      </c>
      <c r="O581" s="322">
        <f>D581</f>
        <v>0.39</v>
      </c>
      <c r="P581" s="322">
        <f>D581</f>
        <v>0.39</v>
      </c>
      <c r="Q581" s="322">
        <f>D581</f>
        <v>0.39</v>
      </c>
      <c r="R581" s="322">
        <f>D581</f>
        <v>0.39</v>
      </c>
      <c r="S581" s="322">
        <f>D581</f>
        <v>0.39</v>
      </c>
      <c r="T581" s="218"/>
      <c r="U581" s="218"/>
      <c r="V581" s="218"/>
      <c r="W581" s="322">
        <f>J581</f>
        <v>0.39</v>
      </c>
      <c r="Y581" s="390"/>
      <c r="Z581" s="390"/>
      <c r="AA581" s="390"/>
      <c r="AB581" s="390"/>
      <c r="AC581" s="390"/>
      <c r="AD581" s="390"/>
      <c r="AE581" s="390"/>
      <c r="AF581" s="390"/>
      <c r="AG581" s="390"/>
      <c r="AH581" s="390"/>
      <c r="AI581" s="390"/>
      <c r="AJ581" s="390"/>
      <c r="AK581" s="390"/>
      <c r="AL581" s="390"/>
      <c r="AM581" s="390"/>
      <c r="AN581" s="390"/>
      <c r="AO581" s="390"/>
      <c r="AP581" s="390"/>
      <c r="AQ581" s="390"/>
      <c r="AR581" s="390"/>
      <c r="AS581" s="390"/>
    </row>
    <row r="582" spans="1:45" x14ac:dyDescent="0.3">
      <c r="B582" s="54" t="s">
        <v>56</v>
      </c>
      <c r="C582" s="55"/>
      <c r="D582" s="21">
        <v>0</v>
      </c>
      <c r="E582" s="21">
        <v>0</v>
      </c>
      <c r="F582" s="21">
        <v>0</v>
      </c>
      <c r="G582" s="21">
        <v>0</v>
      </c>
      <c r="H582" s="21">
        <v>0</v>
      </c>
      <c r="I582" s="21">
        <v>0</v>
      </c>
      <c r="J582" s="21">
        <v>0</v>
      </c>
      <c r="K582" s="21">
        <v>0</v>
      </c>
      <c r="L582" s="21">
        <v>0</v>
      </c>
      <c r="M582" s="21">
        <v>0</v>
      </c>
      <c r="N582" s="21">
        <v>0</v>
      </c>
      <c r="O582" s="21">
        <v>0</v>
      </c>
      <c r="P582" s="21">
        <v>0</v>
      </c>
      <c r="Q582" s="21">
        <v>0</v>
      </c>
      <c r="R582" s="21">
        <v>0</v>
      </c>
      <c r="S582" s="21">
        <v>0</v>
      </c>
      <c r="T582" s="21"/>
      <c r="U582" s="21"/>
      <c r="V582" s="21"/>
      <c r="W582" s="21">
        <v>0</v>
      </c>
      <c r="Y582" s="390"/>
      <c r="Z582" s="390"/>
      <c r="AA582" s="390"/>
      <c r="AB582" s="390"/>
      <c r="AC582" s="390"/>
      <c r="AD582" s="390"/>
      <c r="AE582" s="390"/>
      <c r="AF582" s="390"/>
      <c r="AG582" s="390"/>
      <c r="AH582" s="390"/>
      <c r="AI582" s="390"/>
      <c r="AJ582" s="390"/>
      <c r="AK582" s="390"/>
      <c r="AL582" s="390"/>
      <c r="AM582" s="390"/>
      <c r="AN582" s="390"/>
      <c r="AO582" s="390"/>
      <c r="AP582" s="390"/>
      <c r="AQ582" s="390"/>
      <c r="AR582" s="390"/>
      <c r="AS582" s="390"/>
    </row>
    <row r="583" spans="1:45" x14ac:dyDescent="0.3">
      <c r="B583" s="177" t="s">
        <v>67</v>
      </c>
      <c r="C583" s="178"/>
      <c r="D583" s="323">
        <f>D580-(D580*D581)</f>
        <v>222.65</v>
      </c>
      <c r="E583" s="323">
        <f t="shared" ref="E583:W583" si="559">E580-(E580*E581)</f>
        <v>222.65</v>
      </c>
      <c r="F583" s="323">
        <f t="shared" si="559"/>
        <v>222.65</v>
      </c>
      <c r="G583" s="323">
        <f t="shared" si="559"/>
        <v>222.65</v>
      </c>
      <c r="H583" s="323">
        <f t="shared" si="559"/>
        <v>222.65</v>
      </c>
      <c r="I583" s="323">
        <f t="shared" si="559"/>
        <v>222.65</v>
      </c>
      <c r="J583" s="323">
        <f t="shared" si="559"/>
        <v>222.65</v>
      </c>
      <c r="K583" s="323">
        <f t="shared" si="559"/>
        <v>222.65</v>
      </c>
      <c r="L583" s="323">
        <f t="shared" si="559"/>
        <v>222.65</v>
      </c>
      <c r="M583" s="323">
        <f t="shared" si="559"/>
        <v>222.65</v>
      </c>
      <c r="N583" s="323">
        <f t="shared" si="559"/>
        <v>222.65</v>
      </c>
      <c r="O583" s="323">
        <f t="shared" si="559"/>
        <v>222.65</v>
      </c>
      <c r="P583" s="323">
        <f t="shared" si="559"/>
        <v>222.65</v>
      </c>
      <c r="Q583" s="323">
        <f t="shared" si="559"/>
        <v>222.65</v>
      </c>
      <c r="R583" s="323">
        <f t="shared" si="559"/>
        <v>222.65</v>
      </c>
      <c r="S583" s="323">
        <f t="shared" si="559"/>
        <v>222.65</v>
      </c>
      <c r="T583" s="323">
        <v>227.28</v>
      </c>
      <c r="U583" s="323">
        <v>227.28</v>
      </c>
      <c r="V583" s="323">
        <v>227.28</v>
      </c>
      <c r="W583" s="323">
        <f t="shared" si="559"/>
        <v>222.65</v>
      </c>
      <c r="Y583" s="390"/>
      <c r="Z583" s="390"/>
      <c r="AA583" s="390"/>
      <c r="AB583" s="390"/>
      <c r="AC583" s="390"/>
      <c r="AD583" s="390"/>
      <c r="AE583" s="390"/>
      <c r="AF583" s="390"/>
      <c r="AG583" s="390"/>
      <c r="AH583" s="390"/>
      <c r="AI583" s="390"/>
      <c r="AJ583" s="390"/>
      <c r="AK583" s="390"/>
      <c r="AL583" s="390"/>
      <c r="AM583" s="390"/>
      <c r="AN583" s="390"/>
      <c r="AO583" s="390"/>
      <c r="AP583" s="390"/>
      <c r="AQ583" s="390"/>
      <c r="AR583" s="390"/>
      <c r="AS583" s="390"/>
    </row>
    <row r="584" spans="1:45" x14ac:dyDescent="0.3">
      <c r="B584" s="54" t="s">
        <v>66</v>
      </c>
      <c r="C584" s="56">
        <v>7.0000000000000007E-2</v>
      </c>
      <c r="D584" s="24">
        <f>D583*$C584</f>
        <v>15.585500000000001</v>
      </c>
      <c r="E584" s="24">
        <f t="shared" ref="E584:V584" si="560">E583*$C584</f>
        <v>15.585500000000001</v>
      </c>
      <c r="F584" s="24">
        <f t="shared" si="560"/>
        <v>15.585500000000001</v>
      </c>
      <c r="G584" s="24">
        <f t="shared" si="560"/>
        <v>15.585500000000001</v>
      </c>
      <c r="H584" s="24">
        <f t="shared" si="560"/>
        <v>15.585500000000001</v>
      </c>
      <c r="I584" s="24">
        <f t="shared" si="560"/>
        <v>15.585500000000001</v>
      </c>
      <c r="J584" s="24">
        <f t="shared" si="560"/>
        <v>15.585500000000001</v>
      </c>
      <c r="K584" s="24">
        <f t="shared" si="560"/>
        <v>15.585500000000001</v>
      </c>
      <c r="L584" s="24">
        <f t="shared" si="560"/>
        <v>15.585500000000001</v>
      </c>
      <c r="M584" s="24">
        <f t="shared" si="560"/>
        <v>15.585500000000001</v>
      </c>
      <c r="N584" s="24">
        <f t="shared" si="560"/>
        <v>15.585500000000001</v>
      </c>
      <c r="O584" s="24">
        <f t="shared" si="560"/>
        <v>15.585500000000001</v>
      </c>
      <c r="P584" s="24">
        <f t="shared" si="560"/>
        <v>15.585500000000001</v>
      </c>
      <c r="Q584" s="24">
        <f t="shared" si="560"/>
        <v>15.585500000000001</v>
      </c>
      <c r="R584" s="24">
        <f t="shared" si="560"/>
        <v>15.585500000000001</v>
      </c>
      <c r="S584" s="24">
        <f t="shared" si="560"/>
        <v>15.585500000000001</v>
      </c>
      <c r="T584" s="24">
        <f t="shared" si="560"/>
        <v>15.909600000000001</v>
      </c>
      <c r="U584" s="24">
        <f t="shared" si="560"/>
        <v>15.909600000000001</v>
      </c>
      <c r="V584" s="24">
        <f t="shared" si="560"/>
        <v>15.909600000000001</v>
      </c>
      <c r="W584" s="24">
        <f>W583*$C584</f>
        <v>15.585500000000001</v>
      </c>
      <c r="Y584" s="390"/>
      <c r="Z584" s="390"/>
      <c r="AA584" s="390"/>
      <c r="AB584" s="390"/>
      <c r="AC584" s="390"/>
      <c r="AD584" s="390"/>
      <c r="AE584" s="390"/>
      <c r="AF584" s="390"/>
      <c r="AG584" s="390"/>
      <c r="AH584" s="390"/>
      <c r="AI584" s="390"/>
      <c r="AJ584" s="390"/>
      <c r="AK584" s="390"/>
      <c r="AL584" s="390"/>
      <c r="AM584" s="390"/>
      <c r="AN584" s="390"/>
      <c r="AO584" s="390"/>
      <c r="AP584" s="390"/>
      <c r="AQ584" s="390"/>
      <c r="AR584" s="390"/>
      <c r="AS584" s="390"/>
    </row>
    <row r="585" spans="1:45" x14ac:dyDescent="0.3">
      <c r="B585" s="54" t="s">
        <v>68</v>
      </c>
      <c r="C585" s="55"/>
      <c r="D585" s="21">
        <f>D583+D584</f>
        <v>238.2355</v>
      </c>
      <c r="E585" s="21">
        <f t="shared" ref="E585:V585" si="561">E583+E584</f>
        <v>238.2355</v>
      </c>
      <c r="F585" s="21">
        <f t="shared" si="561"/>
        <v>238.2355</v>
      </c>
      <c r="G585" s="21">
        <f t="shared" si="561"/>
        <v>238.2355</v>
      </c>
      <c r="H585" s="21">
        <f t="shared" si="561"/>
        <v>238.2355</v>
      </c>
      <c r="I585" s="21">
        <f t="shared" si="561"/>
        <v>238.2355</v>
      </c>
      <c r="J585" s="21">
        <f t="shared" si="561"/>
        <v>238.2355</v>
      </c>
      <c r="K585" s="21">
        <f t="shared" si="561"/>
        <v>238.2355</v>
      </c>
      <c r="L585" s="21">
        <f t="shared" si="561"/>
        <v>238.2355</v>
      </c>
      <c r="M585" s="21">
        <f t="shared" si="561"/>
        <v>238.2355</v>
      </c>
      <c r="N585" s="21">
        <f t="shared" si="561"/>
        <v>238.2355</v>
      </c>
      <c r="O585" s="21">
        <f t="shared" si="561"/>
        <v>238.2355</v>
      </c>
      <c r="P585" s="21">
        <f t="shared" si="561"/>
        <v>238.2355</v>
      </c>
      <c r="Q585" s="21">
        <f t="shared" si="561"/>
        <v>238.2355</v>
      </c>
      <c r="R585" s="21">
        <f t="shared" si="561"/>
        <v>238.2355</v>
      </c>
      <c r="S585" s="21">
        <f t="shared" si="561"/>
        <v>238.2355</v>
      </c>
      <c r="T585" s="21">
        <f t="shared" si="561"/>
        <v>243.18960000000001</v>
      </c>
      <c r="U585" s="21">
        <f t="shared" si="561"/>
        <v>243.18960000000001</v>
      </c>
      <c r="V585" s="21">
        <f t="shared" si="561"/>
        <v>243.18960000000001</v>
      </c>
      <c r="W585" s="21">
        <f>W583+W584</f>
        <v>238.2355</v>
      </c>
      <c r="Y585" s="390"/>
      <c r="Z585" s="390"/>
      <c r="AA585" s="390"/>
      <c r="AB585" s="390"/>
      <c r="AC585" s="390"/>
      <c r="AD585" s="390"/>
      <c r="AE585" s="390"/>
      <c r="AF585" s="390"/>
      <c r="AG585" s="390"/>
      <c r="AH585" s="390"/>
      <c r="AI585" s="390"/>
      <c r="AJ585" s="390"/>
      <c r="AK585" s="390"/>
      <c r="AL585" s="390"/>
      <c r="AM585" s="390"/>
      <c r="AN585" s="390"/>
      <c r="AO585" s="390"/>
      <c r="AP585" s="390"/>
      <c r="AQ585" s="390"/>
      <c r="AR585" s="390"/>
      <c r="AS585" s="390"/>
    </row>
    <row r="586" spans="1:45" x14ac:dyDescent="0.3">
      <c r="B586" s="54" t="s">
        <v>52</v>
      </c>
      <c r="C586" s="55"/>
      <c r="D586" s="398">
        <f>Y588</f>
        <v>13.76923076923077</v>
      </c>
      <c r="E586" s="398">
        <f t="shared" ref="E586:W586" si="562">Z588</f>
        <v>31.276923076923076</v>
      </c>
      <c r="F586" s="398">
        <f t="shared" si="562"/>
        <v>37.532967032967036</v>
      </c>
      <c r="G586" s="398">
        <f t="shared" si="562"/>
        <v>25.021978021978022</v>
      </c>
      <c r="H586" s="398">
        <f t="shared" si="562"/>
        <v>13.404395604395605</v>
      </c>
      <c r="I586" s="398">
        <f t="shared" si="562"/>
        <v>17.872527472527473</v>
      </c>
      <c r="J586" s="398">
        <f t="shared" si="562"/>
        <v>27.703296703296704</v>
      </c>
      <c r="K586" s="398">
        <f t="shared" si="562"/>
        <v>22.6989010989011</v>
      </c>
      <c r="L586" s="398">
        <f t="shared" si="562"/>
        <v>26.808791208791209</v>
      </c>
      <c r="M586" s="398">
        <f t="shared" si="562"/>
        <v>12.868131868131869</v>
      </c>
      <c r="N586" s="398">
        <f t="shared" si="562"/>
        <v>14.2989010989011</v>
      </c>
      <c r="O586" s="398">
        <f t="shared" si="562"/>
        <v>33.605494505494505</v>
      </c>
      <c r="P586" s="398">
        <f t="shared" si="562"/>
        <v>12.868131868131869</v>
      </c>
      <c r="Q586" s="398">
        <f t="shared" si="562"/>
        <v>12.868131868131869</v>
      </c>
      <c r="R586" s="398">
        <f t="shared" si="562"/>
        <v>16.979120879120877</v>
      </c>
      <c r="S586" s="398">
        <f t="shared" si="562"/>
        <v>16.085714285714285</v>
      </c>
      <c r="T586" s="398">
        <f t="shared" si="562"/>
        <v>0</v>
      </c>
      <c r="U586" s="398">
        <f t="shared" si="562"/>
        <v>33.605494505494505</v>
      </c>
      <c r="V586" s="398">
        <f t="shared" si="562"/>
        <v>0</v>
      </c>
      <c r="W586" s="398">
        <f t="shared" si="562"/>
        <v>12.868131868131869</v>
      </c>
      <c r="Y586" s="390">
        <v>12530</v>
      </c>
      <c r="Z586" s="390">
        <v>28462</v>
      </c>
      <c r="AA586" s="390">
        <v>34155</v>
      </c>
      <c r="AB586" s="390">
        <v>22770</v>
      </c>
      <c r="AC586" s="390">
        <v>12198</v>
      </c>
      <c r="AD586" s="390">
        <v>16264</v>
      </c>
      <c r="AE586" s="390">
        <v>25210</v>
      </c>
      <c r="AF586" s="390">
        <v>20656</v>
      </c>
      <c r="AG586" s="390">
        <v>24396</v>
      </c>
      <c r="AH586" s="390">
        <v>11710</v>
      </c>
      <c r="AI586" s="390">
        <v>13012</v>
      </c>
      <c r="AJ586" s="390">
        <v>30581</v>
      </c>
      <c r="AK586" s="396">
        <v>11710</v>
      </c>
      <c r="AL586" s="396">
        <v>11710</v>
      </c>
      <c r="AM586" s="390">
        <v>15451</v>
      </c>
      <c r="AN586" s="390">
        <v>14638</v>
      </c>
      <c r="AO586" s="390"/>
      <c r="AP586" s="396">
        <v>30581</v>
      </c>
      <c r="AQ586" s="390"/>
      <c r="AR586" s="396">
        <v>11710</v>
      </c>
      <c r="AS586" s="390"/>
    </row>
    <row r="587" spans="1:45" x14ac:dyDescent="0.3">
      <c r="B587" s="57" t="s">
        <v>53</v>
      </c>
      <c r="C587" s="58"/>
      <c r="D587" s="25">
        <f>SUM(D585:D586)</f>
        <v>252.00473076923078</v>
      </c>
      <c r="E587" s="26">
        <f t="shared" ref="E587:V587" si="563">SUM(E585:E586)</f>
        <v>269.51242307692308</v>
      </c>
      <c r="F587" s="26">
        <f t="shared" si="563"/>
        <v>275.76846703296701</v>
      </c>
      <c r="G587" s="26">
        <f t="shared" si="563"/>
        <v>263.25747802197805</v>
      </c>
      <c r="H587" s="26">
        <f t="shared" si="563"/>
        <v>251.6398956043956</v>
      </c>
      <c r="I587" s="26">
        <f t="shared" si="563"/>
        <v>256.10802747252745</v>
      </c>
      <c r="J587" s="26">
        <f t="shared" si="563"/>
        <v>265.9387967032967</v>
      </c>
      <c r="K587" s="26">
        <f t="shared" si="563"/>
        <v>260.93440109890111</v>
      </c>
      <c r="L587" s="26">
        <f t="shared" si="563"/>
        <v>265.04429120879121</v>
      </c>
      <c r="M587" s="26">
        <f t="shared" si="563"/>
        <v>251.10363186813186</v>
      </c>
      <c r="N587" s="26">
        <f t="shared" si="563"/>
        <v>252.5344010989011</v>
      </c>
      <c r="O587" s="26">
        <f t="shared" si="563"/>
        <v>271.84099450549451</v>
      </c>
      <c r="P587" s="26">
        <f t="shared" si="563"/>
        <v>251.10363186813186</v>
      </c>
      <c r="Q587" s="26">
        <f t="shared" si="563"/>
        <v>251.10363186813186</v>
      </c>
      <c r="R587" s="26">
        <f t="shared" si="563"/>
        <v>255.21462087912087</v>
      </c>
      <c r="S587" s="26">
        <f t="shared" si="563"/>
        <v>254.32121428571429</v>
      </c>
      <c r="T587" s="26">
        <f t="shared" si="563"/>
        <v>243.18960000000001</v>
      </c>
      <c r="U587" s="26">
        <f t="shared" si="563"/>
        <v>276.79509450549449</v>
      </c>
      <c r="V587" s="26">
        <f t="shared" si="563"/>
        <v>243.18960000000001</v>
      </c>
      <c r="W587" s="26">
        <f>SUM(W585:W586)</f>
        <v>251.10363186813186</v>
      </c>
      <c r="Y587" s="390">
        <v>910</v>
      </c>
      <c r="Z587" s="390">
        <v>910</v>
      </c>
      <c r="AA587" s="390">
        <v>910</v>
      </c>
      <c r="AB587" s="390">
        <v>910</v>
      </c>
      <c r="AC587" s="390">
        <v>910</v>
      </c>
      <c r="AD587" s="390">
        <v>910</v>
      </c>
      <c r="AE587" s="390">
        <v>910</v>
      </c>
      <c r="AF587" s="390">
        <v>910</v>
      </c>
      <c r="AG587" s="390">
        <v>910</v>
      </c>
      <c r="AH587" s="390">
        <v>910</v>
      </c>
      <c r="AI587" s="390">
        <v>910</v>
      </c>
      <c r="AJ587" s="390">
        <v>910</v>
      </c>
      <c r="AK587" s="390">
        <v>910</v>
      </c>
      <c r="AL587" s="390">
        <v>910</v>
      </c>
      <c r="AM587" s="390">
        <v>910</v>
      </c>
      <c r="AN587" s="390">
        <v>910</v>
      </c>
      <c r="AO587" s="390"/>
      <c r="AP587" s="390">
        <v>910</v>
      </c>
      <c r="AQ587" s="390"/>
      <c r="AR587" s="390">
        <v>910</v>
      </c>
      <c r="AS587" s="390"/>
    </row>
    <row r="588" spans="1:45" x14ac:dyDescent="0.3">
      <c r="B588" s="54" t="s">
        <v>54</v>
      </c>
      <c r="C588" s="55"/>
      <c r="D588" s="20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Y588" s="389">
        <f>Y586/Y587</f>
        <v>13.76923076923077</v>
      </c>
      <c r="Z588" s="389">
        <f t="shared" ref="Z588:AN588" si="564">Z586/Z587</f>
        <v>31.276923076923076</v>
      </c>
      <c r="AA588" s="389">
        <f t="shared" si="564"/>
        <v>37.532967032967036</v>
      </c>
      <c r="AB588" s="389">
        <f t="shared" si="564"/>
        <v>25.021978021978022</v>
      </c>
      <c r="AC588" s="389">
        <f t="shared" si="564"/>
        <v>13.404395604395605</v>
      </c>
      <c r="AD588" s="389">
        <f t="shared" si="564"/>
        <v>17.872527472527473</v>
      </c>
      <c r="AE588" s="389">
        <f t="shared" si="564"/>
        <v>27.703296703296704</v>
      </c>
      <c r="AF588" s="389">
        <f t="shared" si="564"/>
        <v>22.6989010989011</v>
      </c>
      <c r="AG588" s="389">
        <f t="shared" si="564"/>
        <v>26.808791208791209</v>
      </c>
      <c r="AH588" s="389">
        <f t="shared" si="564"/>
        <v>12.868131868131869</v>
      </c>
      <c r="AI588" s="389">
        <f t="shared" si="564"/>
        <v>14.2989010989011</v>
      </c>
      <c r="AJ588" s="389">
        <f t="shared" si="564"/>
        <v>33.605494505494505</v>
      </c>
      <c r="AK588" s="389">
        <f t="shared" si="564"/>
        <v>12.868131868131869</v>
      </c>
      <c r="AL588" s="389">
        <f t="shared" si="564"/>
        <v>12.868131868131869</v>
      </c>
      <c r="AM588" s="389">
        <f t="shared" si="564"/>
        <v>16.979120879120877</v>
      </c>
      <c r="AN588" s="389">
        <f t="shared" si="564"/>
        <v>16.085714285714285</v>
      </c>
      <c r="AO588" s="390"/>
      <c r="AP588" s="389">
        <f t="shared" ref="AP588" si="565">AP586/AP587</f>
        <v>33.605494505494505</v>
      </c>
      <c r="AQ588" s="390"/>
      <c r="AR588" s="389">
        <f t="shared" ref="AR588" si="566">AR586/AR587</f>
        <v>12.868131868131869</v>
      </c>
      <c r="AS588" s="390"/>
    </row>
    <row r="589" spans="1:45" x14ac:dyDescent="0.3">
      <c r="B589" s="59" t="s">
        <v>55</v>
      </c>
      <c r="C589" s="60"/>
      <c r="D589" s="27">
        <f>SUM(D587:D588)</f>
        <v>252.00473076923078</v>
      </c>
      <c r="E589" s="41">
        <f t="shared" ref="E589:V589" si="567">SUM(E587:E588)</f>
        <v>269.51242307692308</v>
      </c>
      <c r="F589" s="41">
        <f t="shared" si="567"/>
        <v>275.76846703296701</v>
      </c>
      <c r="G589" s="41">
        <f t="shared" si="567"/>
        <v>263.25747802197805</v>
      </c>
      <c r="H589" s="41">
        <f t="shared" si="567"/>
        <v>251.6398956043956</v>
      </c>
      <c r="I589" s="41">
        <f t="shared" si="567"/>
        <v>256.10802747252745</v>
      </c>
      <c r="J589" s="41">
        <f t="shared" si="567"/>
        <v>265.9387967032967</v>
      </c>
      <c r="K589" s="41">
        <f t="shared" si="567"/>
        <v>260.93440109890111</v>
      </c>
      <c r="L589" s="41">
        <f t="shared" si="567"/>
        <v>265.04429120879121</v>
      </c>
      <c r="M589" s="41">
        <f t="shared" si="567"/>
        <v>251.10363186813186</v>
      </c>
      <c r="N589" s="41">
        <f t="shared" si="567"/>
        <v>252.5344010989011</v>
      </c>
      <c r="O589" s="41">
        <f t="shared" si="567"/>
        <v>271.84099450549451</v>
      </c>
      <c r="P589" s="41">
        <f t="shared" si="567"/>
        <v>251.10363186813186</v>
      </c>
      <c r="Q589" s="41">
        <f t="shared" si="567"/>
        <v>251.10363186813186</v>
      </c>
      <c r="R589" s="41">
        <f t="shared" si="567"/>
        <v>255.21462087912087</v>
      </c>
      <c r="S589" s="41">
        <f t="shared" si="567"/>
        <v>254.32121428571429</v>
      </c>
      <c r="T589" s="41">
        <f t="shared" si="567"/>
        <v>243.18960000000001</v>
      </c>
      <c r="U589" s="41">
        <f t="shared" si="567"/>
        <v>276.79509450549449</v>
      </c>
      <c r="V589" s="41">
        <f t="shared" si="567"/>
        <v>243.18960000000001</v>
      </c>
      <c r="W589" s="41">
        <f>SUM(W587:W588)</f>
        <v>251.10363186813186</v>
      </c>
      <c r="Y589" s="390"/>
      <c r="Z589" s="390"/>
      <c r="AA589" s="390"/>
      <c r="AB589" s="390"/>
      <c r="AC589" s="390"/>
      <c r="AD589" s="390"/>
      <c r="AE589" s="390"/>
      <c r="AF589" s="390"/>
      <c r="AG589" s="390"/>
      <c r="AH589" s="390"/>
      <c r="AI589" s="390"/>
      <c r="AJ589" s="390"/>
      <c r="AK589" s="390"/>
      <c r="AL589" s="390"/>
      <c r="AM589" s="390"/>
      <c r="AN589" s="390"/>
      <c r="AO589" s="390"/>
      <c r="AP589" s="390"/>
      <c r="AQ589" s="390"/>
      <c r="AR589" s="390"/>
      <c r="AS589" s="390"/>
    </row>
    <row r="590" spans="1:45" x14ac:dyDescent="0.3">
      <c r="B590" s="61" t="s">
        <v>101</v>
      </c>
      <c r="C590" s="55"/>
      <c r="D590" s="43">
        <v>0</v>
      </c>
      <c r="E590" s="408">
        <v>0</v>
      </c>
      <c r="F590" s="408">
        <v>0</v>
      </c>
      <c r="G590" s="408">
        <v>0</v>
      </c>
      <c r="H590" s="408">
        <v>0</v>
      </c>
      <c r="I590" s="408">
        <v>0</v>
      </c>
      <c r="J590" s="408">
        <v>0</v>
      </c>
      <c r="K590" s="408">
        <v>0</v>
      </c>
      <c r="L590" s="408">
        <v>0</v>
      </c>
      <c r="M590" s="408">
        <v>0</v>
      </c>
      <c r="N590" s="408">
        <v>0</v>
      </c>
      <c r="O590" s="408">
        <v>0</v>
      </c>
      <c r="P590" s="408">
        <v>0</v>
      </c>
      <c r="Q590" s="408">
        <v>0</v>
      </c>
      <c r="R590" s="408">
        <v>0</v>
      </c>
      <c r="S590" s="408">
        <v>0</v>
      </c>
      <c r="T590" s="408">
        <v>0</v>
      </c>
      <c r="U590" s="408">
        <v>0</v>
      </c>
      <c r="V590" s="408">
        <v>0</v>
      </c>
      <c r="W590" s="408">
        <v>0</v>
      </c>
      <c r="Y590" s="409"/>
      <c r="Z590" s="409"/>
      <c r="AA590" s="409"/>
      <c r="AB590" s="409"/>
      <c r="AC590" s="409"/>
      <c r="AD590" s="409"/>
      <c r="AE590" s="409"/>
      <c r="AF590" s="409"/>
      <c r="AG590" s="409"/>
      <c r="AH590" s="409"/>
      <c r="AI590" s="409"/>
      <c r="AJ590" s="409"/>
      <c r="AK590" s="409"/>
      <c r="AL590" s="409"/>
      <c r="AM590" s="409"/>
      <c r="AN590" s="409"/>
      <c r="AO590" s="409"/>
      <c r="AP590" s="409"/>
      <c r="AQ590" s="409"/>
      <c r="AR590" s="409"/>
      <c r="AS590" s="409"/>
    </row>
    <row r="591" spans="1:45" x14ac:dyDescent="0.3">
      <c r="B591" s="171" t="s">
        <v>194</v>
      </c>
      <c r="C591" s="55"/>
      <c r="D591" s="20">
        <v>271</v>
      </c>
      <c r="E591" s="21">
        <v>288</v>
      </c>
      <c r="F591" s="21">
        <v>294</v>
      </c>
      <c r="G591" s="21">
        <v>282</v>
      </c>
      <c r="H591" s="21">
        <v>270</v>
      </c>
      <c r="I591" s="21">
        <v>275</v>
      </c>
      <c r="J591" s="21">
        <v>284</v>
      </c>
      <c r="K591" s="21">
        <v>279</v>
      </c>
      <c r="L591" s="21">
        <v>284</v>
      </c>
      <c r="M591" s="21">
        <v>270</v>
      </c>
      <c r="N591" s="21">
        <v>271</v>
      </c>
      <c r="O591" s="21">
        <v>290</v>
      </c>
      <c r="P591" s="21">
        <v>270</v>
      </c>
      <c r="Q591" s="21">
        <v>270</v>
      </c>
      <c r="R591" s="21">
        <v>274</v>
      </c>
      <c r="S591" s="21">
        <v>273</v>
      </c>
      <c r="T591" s="21">
        <v>262</v>
      </c>
      <c r="U591" s="21">
        <v>295</v>
      </c>
      <c r="V591" s="21">
        <v>262</v>
      </c>
      <c r="W591" s="21">
        <v>270</v>
      </c>
      <c r="Y591" s="390"/>
      <c r="Z591" s="390"/>
      <c r="AA591" s="390"/>
      <c r="AB591" s="390"/>
      <c r="AC591" s="390"/>
      <c r="AD591" s="390"/>
      <c r="AE591" s="390"/>
      <c r="AF591" s="390"/>
      <c r="AG591" s="390"/>
      <c r="AH591" s="390"/>
      <c r="AI591" s="390"/>
      <c r="AJ591" s="390"/>
      <c r="AK591" s="390"/>
      <c r="AL591" s="390"/>
      <c r="AM591" s="390"/>
      <c r="AN591" s="390"/>
      <c r="AO591" s="390"/>
      <c r="AP591" s="390"/>
      <c r="AQ591" s="390"/>
      <c r="AR591" s="390"/>
      <c r="AS591" s="390"/>
    </row>
    <row r="592" spans="1:45" x14ac:dyDescent="0.3">
      <c r="B592" s="61" t="s">
        <v>195</v>
      </c>
      <c r="C592" s="55"/>
      <c r="D592" s="106">
        <v>275</v>
      </c>
      <c r="E592" s="21">
        <v>292</v>
      </c>
      <c r="F592" s="21">
        <v>298</v>
      </c>
      <c r="G592" s="21">
        <v>286</v>
      </c>
      <c r="H592" s="21">
        <v>274</v>
      </c>
      <c r="I592" s="21">
        <v>279</v>
      </c>
      <c r="J592" s="21">
        <v>288</v>
      </c>
      <c r="K592" s="21">
        <v>283</v>
      </c>
      <c r="L592" s="21">
        <v>288</v>
      </c>
      <c r="M592" s="21">
        <v>274</v>
      </c>
      <c r="N592" s="21">
        <v>275</v>
      </c>
      <c r="O592" s="21">
        <v>294</v>
      </c>
      <c r="P592" s="21">
        <v>274</v>
      </c>
      <c r="Q592" s="21">
        <v>274</v>
      </c>
      <c r="R592" s="21">
        <v>278</v>
      </c>
      <c r="S592" s="21">
        <v>277</v>
      </c>
      <c r="T592" s="21">
        <v>266</v>
      </c>
      <c r="U592" s="21">
        <v>299</v>
      </c>
      <c r="V592" s="21">
        <v>266</v>
      </c>
      <c r="W592" s="21">
        <v>274</v>
      </c>
      <c r="Y592" s="390"/>
      <c r="Z592" s="390"/>
      <c r="AA592" s="390"/>
      <c r="AB592" s="390"/>
      <c r="AC592" s="390"/>
      <c r="AD592" s="390"/>
      <c r="AE592" s="390"/>
      <c r="AF592" s="390"/>
      <c r="AG592" s="390"/>
      <c r="AH592" s="390"/>
      <c r="AI592" s="390"/>
      <c r="AJ592" s="390"/>
      <c r="AK592" s="390"/>
      <c r="AL592" s="390"/>
      <c r="AM592" s="390"/>
      <c r="AN592" s="390"/>
      <c r="AO592" s="390"/>
      <c r="AP592" s="390"/>
      <c r="AQ592" s="390"/>
      <c r="AR592" s="390"/>
      <c r="AS592" s="390"/>
    </row>
    <row r="593" spans="1:45" s="30" customFormat="1" x14ac:dyDescent="0.3">
      <c r="B593" s="61" t="s">
        <v>196</v>
      </c>
      <c r="C593" s="62"/>
      <c r="D593" s="28">
        <v>277</v>
      </c>
      <c r="E593" s="28">
        <v>294</v>
      </c>
      <c r="F593" s="28">
        <v>300</v>
      </c>
      <c r="G593" s="28">
        <v>288</v>
      </c>
      <c r="H593" s="28">
        <v>276</v>
      </c>
      <c r="I593" s="28">
        <v>281</v>
      </c>
      <c r="J593" s="28">
        <v>290</v>
      </c>
      <c r="K593" s="28">
        <v>285</v>
      </c>
      <c r="L593" s="28">
        <v>290</v>
      </c>
      <c r="M593" s="28">
        <v>276</v>
      </c>
      <c r="N593" s="28">
        <v>277</v>
      </c>
      <c r="O593" s="28">
        <v>296</v>
      </c>
      <c r="P593" s="28">
        <v>276</v>
      </c>
      <c r="Q593" s="28">
        <v>276</v>
      </c>
      <c r="R593" s="28">
        <v>280</v>
      </c>
      <c r="S593" s="28">
        <v>279</v>
      </c>
      <c r="T593" s="29">
        <v>268</v>
      </c>
      <c r="U593" s="29">
        <v>301</v>
      </c>
      <c r="V593" s="29">
        <v>268</v>
      </c>
      <c r="W593" s="28">
        <v>276</v>
      </c>
      <c r="Y593" s="391"/>
      <c r="Z593" s="391"/>
      <c r="AA593" s="391"/>
      <c r="AB593" s="391"/>
      <c r="AC593" s="391"/>
      <c r="AD593" s="391"/>
      <c r="AE593" s="391"/>
      <c r="AF593" s="391"/>
      <c r="AG593" s="391"/>
      <c r="AH593" s="391"/>
      <c r="AI593" s="391"/>
      <c r="AJ593" s="391"/>
      <c r="AK593" s="391"/>
      <c r="AL593" s="391"/>
      <c r="AM593" s="391"/>
      <c r="AN593" s="391"/>
      <c r="AO593" s="391"/>
      <c r="AP593" s="391"/>
      <c r="AQ593" s="391"/>
      <c r="AR593" s="391"/>
      <c r="AS593" s="391"/>
    </row>
    <row r="594" spans="1:45" s="30" customFormat="1" x14ac:dyDescent="0.3">
      <c r="B594" s="61" t="s">
        <v>197</v>
      </c>
      <c r="C594" s="62"/>
      <c r="D594" s="28">
        <v>279</v>
      </c>
      <c r="E594" s="28">
        <v>296</v>
      </c>
      <c r="F594" s="28">
        <v>302</v>
      </c>
      <c r="G594" s="28">
        <v>290</v>
      </c>
      <c r="H594" s="28">
        <v>278</v>
      </c>
      <c r="I594" s="28">
        <v>283</v>
      </c>
      <c r="J594" s="28">
        <v>292</v>
      </c>
      <c r="K594" s="28">
        <v>287</v>
      </c>
      <c r="L594" s="28">
        <v>292</v>
      </c>
      <c r="M594" s="28">
        <v>278</v>
      </c>
      <c r="N594" s="28">
        <v>279</v>
      </c>
      <c r="O594" s="28">
        <v>298</v>
      </c>
      <c r="P594" s="28">
        <v>278</v>
      </c>
      <c r="Q594" s="28">
        <v>278</v>
      </c>
      <c r="R594" s="28">
        <v>282</v>
      </c>
      <c r="S594" s="28">
        <v>281</v>
      </c>
      <c r="T594" s="29">
        <v>270</v>
      </c>
      <c r="U594" s="29">
        <v>303</v>
      </c>
      <c r="V594" s="29">
        <v>270</v>
      </c>
      <c r="W594" s="28">
        <v>278</v>
      </c>
      <c r="Y594" s="391"/>
      <c r="Z594" s="391"/>
      <c r="AA594" s="391"/>
      <c r="AB594" s="391"/>
      <c r="AC594" s="391"/>
      <c r="AD594" s="391"/>
      <c r="AE594" s="391"/>
      <c r="AF594" s="391"/>
      <c r="AG594" s="391"/>
      <c r="AH594" s="391"/>
      <c r="AI594" s="391"/>
      <c r="AJ594" s="391"/>
      <c r="AK594" s="391"/>
      <c r="AL594" s="391"/>
      <c r="AM594" s="391"/>
      <c r="AN594" s="391"/>
      <c r="AO594" s="391"/>
      <c r="AP594" s="391"/>
      <c r="AQ594" s="391"/>
      <c r="AR594" s="391"/>
      <c r="AS594" s="391"/>
    </row>
    <row r="595" spans="1:45" x14ac:dyDescent="0.3">
      <c r="B595" s="63" t="s">
        <v>103</v>
      </c>
      <c r="C595" s="55"/>
      <c r="D595" s="43">
        <v>0</v>
      </c>
      <c r="E595" s="408">
        <v>0</v>
      </c>
      <c r="F595" s="408">
        <v>0</v>
      </c>
      <c r="G595" s="408">
        <v>0</v>
      </c>
      <c r="H595" s="408">
        <v>0</v>
      </c>
      <c r="I595" s="408">
        <v>0</v>
      </c>
      <c r="J595" s="408">
        <v>0</v>
      </c>
      <c r="K595" s="408">
        <v>0</v>
      </c>
      <c r="L595" s="408">
        <v>0</v>
      </c>
      <c r="M595" s="408">
        <v>0</v>
      </c>
      <c r="N595" s="408">
        <v>0</v>
      </c>
      <c r="O595" s="408">
        <v>0</v>
      </c>
      <c r="P595" s="408">
        <v>0</v>
      </c>
      <c r="Q595" s="408">
        <v>0</v>
      </c>
      <c r="R595" s="408">
        <v>0</v>
      </c>
      <c r="S595" s="408">
        <v>0</v>
      </c>
      <c r="T595" s="408">
        <v>0</v>
      </c>
      <c r="U595" s="408">
        <v>0</v>
      </c>
      <c r="V595" s="408">
        <v>0</v>
      </c>
      <c r="W595" s="408">
        <v>0</v>
      </c>
      <c r="Y595" s="409"/>
      <c r="Z595" s="409"/>
      <c r="AA595" s="409"/>
      <c r="AB595" s="409"/>
      <c r="AC595" s="409"/>
      <c r="AD595" s="409"/>
      <c r="AE595" s="409"/>
      <c r="AF595" s="409"/>
      <c r="AG595" s="409"/>
      <c r="AH595" s="409"/>
      <c r="AI595" s="409"/>
      <c r="AJ595" s="409"/>
      <c r="AK595" s="409"/>
      <c r="AL595" s="409"/>
      <c r="AM595" s="409"/>
      <c r="AN595" s="409"/>
      <c r="AO595" s="409"/>
      <c r="AP595" s="409"/>
      <c r="AQ595" s="409"/>
      <c r="AR595" s="409"/>
      <c r="AS595" s="409"/>
    </row>
    <row r="596" spans="1:45" s="33" customFormat="1" x14ac:dyDescent="0.3">
      <c r="B596" s="63" t="s">
        <v>198</v>
      </c>
      <c r="C596" s="64"/>
      <c r="D596" s="31">
        <f t="shared" ref="D596:W596" si="568">+D591-D589</f>
        <v>18.995269230769225</v>
      </c>
      <c r="E596" s="31">
        <f t="shared" si="568"/>
        <v>18.487576923076915</v>
      </c>
      <c r="F596" s="31">
        <f t="shared" si="568"/>
        <v>18.23153296703299</v>
      </c>
      <c r="G596" s="31">
        <f t="shared" si="568"/>
        <v>18.742521978021955</v>
      </c>
      <c r="H596" s="31">
        <f t="shared" si="568"/>
        <v>18.360104395604395</v>
      </c>
      <c r="I596" s="31">
        <f t="shared" si="568"/>
        <v>18.891972527472547</v>
      </c>
      <c r="J596" s="31">
        <f t="shared" si="568"/>
        <v>18.061203296703297</v>
      </c>
      <c r="K596" s="31">
        <f t="shared" si="568"/>
        <v>18.065598901098895</v>
      </c>
      <c r="L596" s="31">
        <f t="shared" si="568"/>
        <v>18.955708791208792</v>
      </c>
      <c r="M596" s="31">
        <f t="shared" si="568"/>
        <v>18.896368131868144</v>
      </c>
      <c r="N596" s="31">
        <f t="shared" si="568"/>
        <v>18.4655989010989</v>
      </c>
      <c r="O596" s="31">
        <f t="shared" si="568"/>
        <v>18.159005494505493</v>
      </c>
      <c r="P596" s="31">
        <f t="shared" si="568"/>
        <v>18.896368131868144</v>
      </c>
      <c r="Q596" s="31">
        <f t="shared" si="568"/>
        <v>18.896368131868144</v>
      </c>
      <c r="R596" s="31">
        <f t="shared" si="568"/>
        <v>18.785379120879128</v>
      </c>
      <c r="S596" s="31">
        <f t="shared" si="568"/>
        <v>18.678785714285709</v>
      </c>
      <c r="T596" s="32">
        <f t="shared" si="568"/>
        <v>18.810399999999987</v>
      </c>
      <c r="U596" s="32">
        <f t="shared" si="568"/>
        <v>18.20490549450551</v>
      </c>
      <c r="V596" s="32">
        <f t="shared" si="568"/>
        <v>18.810399999999987</v>
      </c>
      <c r="W596" s="31">
        <f t="shared" si="568"/>
        <v>18.896368131868144</v>
      </c>
      <c r="Y596" s="392"/>
      <c r="Z596" s="392"/>
      <c r="AA596" s="392"/>
      <c r="AB596" s="392"/>
      <c r="AC596" s="392"/>
      <c r="AD596" s="392"/>
      <c r="AE596" s="392"/>
      <c r="AF596" s="392"/>
      <c r="AG596" s="392"/>
      <c r="AH596" s="392"/>
      <c r="AI596" s="392"/>
      <c r="AJ596" s="392"/>
      <c r="AK596" s="392"/>
      <c r="AL596" s="392"/>
      <c r="AM596" s="392"/>
      <c r="AN596" s="392"/>
      <c r="AO596" s="392"/>
      <c r="AP596" s="392"/>
      <c r="AQ596" s="392"/>
      <c r="AR596" s="392"/>
      <c r="AS596" s="392"/>
    </row>
    <row r="597" spans="1:45" s="33" customFormat="1" x14ac:dyDescent="0.3">
      <c r="B597" s="63" t="s">
        <v>199</v>
      </c>
      <c r="C597" s="64"/>
      <c r="D597" s="31">
        <f t="shared" ref="D597:W597" si="569">+D592-D589</f>
        <v>22.995269230769225</v>
      </c>
      <c r="E597" s="32">
        <f t="shared" si="569"/>
        <v>22.487576923076915</v>
      </c>
      <c r="F597" s="32">
        <f t="shared" si="569"/>
        <v>22.23153296703299</v>
      </c>
      <c r="G597" s="32">
        <f t="shared" si="569"/>
        <v>22.742521978021955</v>
      </c>
      <c r="H597" s="32">
        <f t="shared" si="569"/>
        <v>22.360104395604395</v>
      </c>
      <c r="I597" s="32">
        <f t="shared" si="569"/>
        <v>22.891972527472547</v>
      </c>
      <c r="J597" s="32">
        <f t="shared" si="569"/>
        <v>22.061203296703297</v>
      </c>
      <c r="K597" s="32">
        <f t="shared" si="569"/>
        <v>22.065598901098895</v>
      </c>
      <c r="L597" s="32">
        <f t="shared" si="569"/>
        <v>22.955708791208792</v>
      </c>
      <c r="M597" s="32">
        <f t="shared" si="569"/>
        <v>22.896368131868144</v>
      </c>
      <c r="N597" s="32">
        <f t="shared" si="569"/>
        <v>22.4655989010989</v>
      </c>
      <c r="O597" s="32">
        <f t="shared" si="569"/>
        <v>22.159005494505493</v>
      </c>
      <c r="P597" s="32">
        <f t="shared" si="569"/>
        <v>22.896368131868144</v>
      </c>
      <c r="Q597" s="32">
        <f t="shared" si="569"/>
        <v>22.896368131868144</v>
      </c>
      <c r="R597" s="32">
        <f t="shared" si="569"/>
        <v>22.785379120879128</v>
      </c>
      <c r="S597" s="32">
        <f t="shared" si="569"/>
        <v>22.678785714285709</v>
      </c>
      <c r="T597" s="32">
        <f t="shared" si="569"/>
        <v>22.810399999999987</v>
      </c>
      <c r="U597" s="32">
        <f t="shared" si="569"/>
        <v>22.20490549450551</v>
      </c>
      <c r="V597" s="32">
        <f t="shared" si="569"/>
        <v>22.810399999999987</v>
      </c>
      <c r="W597" s="32">
        <f t="shared" si="569"/>
        <v>22.896368131868144</v>
      </c>
      <c r="Y597" s="392"/>
      <c r="Z597" s="392"/>
      <c r="AA597" s="392"/>
      <c r="AB597" s="392"/>
      <c r="AC597" s="392"/>
      <c r="AD597" s="392"/>
      <c r="AE597" s="392"/>
      <c r="AF597" s="392"/>
      <c r="AG597" s="392"/>
      <c r="AH597" s="392"/>
      <c r="AI597" s="392"/>
      <c r="AJ597" s="392"/>
      <c r="AK597" s="392"/>
      <c r="AL597" s="392"/>
      <c r="AM597" s="392"/>
      <c r="AN597" s="392"/>
      <c r="AO597" s="392"/>
      <c r="AP597" s="392"/>
      <c r="AQ597" s="392"/>
      <c r="AR597" s="392"/>
      <c r="AS597" s="392"/>
    </row>
    <row r="598" spans="1:45" s="33" customFormat="1" x14ac:dyDescent="0.3">
      <c r="B598" s="63" t="s">
        <v>200</v>
      </c>
      <c r="C598" s="64"/>
      <c r="D598" s="31">
        <f t="shared" ref="D598:W598" si="570">+D593-D589</f>
        <v>24.995269230769225</v>
      </c>
      <c r="E598" s="32">
        <f t="shared" si="570"/>
        <v>24.487576923076915</v>
      </c>
      <c r="F598" s="32">
        <f t="shared" si="570"/>
        <v>24.23153296703299</v>
      </c>
      <c r="G598" s="32">
        <f t="shared" si="570"/>
        <v>24.742521978021955</v>
      </c>
      <c r="H598" s="32">
        <f t="shared" si="570"/>
        <v>24.360104395604395</v>
      </c>
      <c r="I598" s="32">
        <f t="shared" si="570"/>
        <v>24.891972527472547</v>
      </c>
      <c r="J598" s="32">
        <f t="shared" si="570"/>
        <v>24.061203296703297</v>
      </c>
      <c r="K598" s="32">
        <f t="shared" si="570"/>
        <v>24.065598901098895</v>
      </c>
      <c r="L598" s="32">
        <f t="shared" si="570"/>
        <v>24.955708791208792</v>
      </c>
      <c r="M598" s="32">
        <f t="shared" si="570"/>
        <v>24.896368131868144</v>
      </c>
      <c r="N598" s="32">
        <f t="shared" si="570"/>
        <v>24.4655989010989</v>
      </c>
      <c r="O598" s="32">
        <f t="shared" si="570"/>
        <v>24.159005494505493</v>
      </c>
      <c r="P598" s="32">
        <f t="shared" si="570"/>
        <v>24.896368131868144</v>
      </c>
      <c r="Q598" s="32">
        <f t="shared" si="570"/>
        <v>24.896368131868144</v>
      </c>
      <c r="R598" s="32">
        <f t="shared" si="570"/>
        <v>24.785379120879128</v>
      </c>
      <c r="S598" s="32">
        <f t="shared" si="570"/>
        <v>24.678785714285709</v>
      </c>
      <c r="T598" s="32">
        <f t="shared" si="570"/>
        <v>24.810399999999987</v>
      </c>
      <c r="U598" s="32">
        <f t="shared" si="570"/>
        <v>24.20490549450551</v>
      </c>
      <c r="V598" s="32">
        <f t="shared" si="570"/>
        <v>24.810399999999987</v>
      </c>
      <c r="W598" s="32">
        <f t="shared" si="570"/>
        <v>24.896368131868144</v>
      </c>
      <c r="Y598" s="392"/>
      <c r="Z598" s="392"/>
      <c r="AA598" s="392"/>
      <c r="AB598" s="392"/>
      <c r="AC598" s="392"/>
      <c r="AD598" s="392"/>
      <c r="AE598" s="392"/>
      <c r="AF598" s="392"/>
      <c r="AG598" s="392"/>
      <c r="AH598" s="392"/>
      <c r="AI598" s="392"/>
      <c r="AJ598" s="392"/>
      <c r="AK598" s="392"/>
      <c r="AL598" s="392"/>
      <c r="AM598" s="392"/>
      <c r="AN598" s="392"/>
      <c r="AO598" s="392"/>
      <c r="AP598" s="392"/>
      <c r="AQ598" s="392"/>
      <c r="AR598" s="392"/>
      <c r="AS598" s="392"/>
    </row>
    <row r="599" spans="1:45" s="33" customFormat="1" x14ac:dyDescent="0.3">
      <c r="B599" s="63" t="s">
        <v>201</v>
      </c>
      <c r="C599" s="64"/>
      <c r="D599" s="31">
        <f t="shared" ref="D599:W599" si="571">+D594-D589</f>
        <v>26.995269230769225</v>
      </c>
      <c r="E599" s="34">
        <f t="shared" si="571"/>
        <v>26.487576923076915</v>
      </c>
      <c r="F599" s="34">
        <f t="shared" si="571"/>
        <v>26.23153296703299</v>
      </c>
      <c r="G599" s="34">
        <f t="shared" si="571"/>
        <v>26.742521978021955</v>
      </c>
      <c r="H599" s="34">
        <f t="shared" si="571"/>
        <v>26.360104395604395</v>
      </c>
      <c r="I599" s="34">
        <f t="shared" si="571"/>
        <v>26.891972527472547</v>
      </c>
      <c r="J599" s="34">
        <f t="shared" si="571"/>
        <v>26.061203296703297</v>
      </c>
      <c r="K599" s="34">
        <f t="shared" si="571"/>
        <v>26.065598901098895</v>
      </c>
      <c r="L599" s="34">
        <f t="shared" si="571"/>
        <v>26.955708791208792</v>
      </c>
      <c r="M599" s="34">
        <f t="shared" si="571"/>
        <v>26.896368131868144</v>
      </c>
      <c r="N599" s="34">
        <f t="shared" si="571"/>
        <v>26.4655989010989</v>
      </c>
      <c r="O599" s="34">
        <f t="shared" si="571"/>
        <v>26.159005494505493</v>
      </c>
      <c r="P599" s="34">
        <f t="shared" si="571"/>
        <v>26.896368131868144</v>
      </c>
      <c r="Q599" s="34">
        <f t="shared" si="571"/>
        <v>26.896368131868144</v>
      </c>
      <c r="R599" s="34">
        <f t="shared" si="571"/>
        <v>26.785379120879128</v>
      </c>
      <c r="S599" s="34">
        <f t="shared" si="571"/>
        <v>26.678785714285709</v>
      </c>
      <c r="T599" s="34">
        <f t="shared" si="571"/>
        <v>26.810399999999987</v>
      </c>
      <c r="U599" s="34">
        <f t="shared" si="571"/>
        <v>26.20490549450551</v>
      </c>
      <c r="V599" s="34">
        <f t="shared" si="571"/>
        <v>26.810399999999987</v>
      </c>
      <c r="W599" s="34">
        <f t="shared" si="571"/>
        <v>26.896368131868144</v>
      </c>
      <c r="Y599" s="392"/>
      <c r="Z599" s="392"/>
      <c r="AA599" s="392"/>
      <c r="AB599" s="392"/>
      <c r="AC599" s="392"/>
      <c r="AD599" s="392"/>
      <c r="AE599" s="392"/>
      <c r="AF599" s="392"/>
      <c r="AG599" s="392"/>
      <c r="AH599" s="392"/>
      <c r="AI599" s="392"/>
      <c r="AJ599" s="392"/>
      <c r="AK599" s="392"/>
      <c r="AL599" s="392"/>
      <c r="AM599" s="392"/>
      <c r="AN599" s="392"/>
      <c r="AO599" s="392"/>
      <c r="AP599" s="392"/>
      <c r="AQ599" s="392"/>
      <c r="AR599" s="392"/>
      <c r="AS599" s="392"/>
    </row>
    <row r="600" spans="1:45" x14ac:dyDescent="0.3">
      <c r="B600" s="65" t="s">
        <v>108</v>
      </c>
      <c r="C600" s="55"/>
      <c r="D600" s="43">
        <v>0</v>
      </c>
      <c r="E600" s="408">
        <v>0</v>
      </c>
      <c r="F600" s="408">
        <v>0</v>
      </c>
      <c r="G600" s="408">
        <v>0</v>
      </c>
      <c r="H600" s="408">
        <v>0</v>
      </c>
      <c r="I600" s="408">
        <v>0</v>
      </c>
      <c r="J600" s="408">
        <v>0</v>
      </c>
      <c r="K600" s="408">
        <v>0</v>
      </c>
      <c r="L600" s="408">
        <v>0</v>
      </c>
      <c r="M600" s="408">
        <v>0</v>
      </c>
      <c r="N600" s="408">
        <v>0</v>
      </c>
      <c r="O600" s="408">
        <v>0</v>
      </c>
      <c r="P600" s="408">
        <v>0</v>
      </c>
      <c r="Q600" s="408">
        <v>0</v>
      </c>
      <c r="R600" s="408">
        <v>0</v>
      </c>
      <c r="S600" s="408">
        <v>0</v>
      </c>
      <c r="T600" s="408">
        <v>0</v>
      </c>
      <c r="U600" s="408">
        <v>0</v>
      </c>
      <c r="V600" s="408">
        <v>0</v>
      </c>
      <c r="W600" s="408">
        <v>0</v>
      </c>
      <c r="Y600" s="409"/>
      <c r="Z600" s="409"/>
      <c r="AA600" s="409"/>
      <c r="AB600" s="409"/>
      <c r="AC600" s="409"/>
      <c r="AD600" s="409"/>
      <c r="AE600" s="409"/>
      <c r="AF600" s="409"/>
      <c r="AG600" s="409"/>
      <c r="AH600" s="409"/>
      <c r="AI600" s="409"/>
      <c r="AJ600" s="409"/>
      <c r="AK600" s="409"/>
      <c r="AL600" s="409"/>
      <c r="AM600" s="409"/>
      <c r="AN600" s="409"/>
      <c r="AO600" s="409"/>
      <c r="AP600" s="409"/>
      <c r="AQ600" s="409"/>
      <c r="AR600" s="409"/>
      <c r="AS600" s="409"/>
    </row>
    <row r="601" spans="1:45" s="36" customFormat="1" x14ac:dyDescent="0.3">
      <c r="B601" s="65" t="s">
        <v>202</v>
      </c>
      <c r="C601" s="66"/>
      <c r="D601" s="35">
        <f>+D596/D$591</f>
        <v>7.0093244393982373E-2</v>
      </c>
      <c r="E601" s="35">
        <f t="shared" ref="E601:W601" si="572">+E596/E$591</f>
        <v>6.4192975427350404E-2</v>
      </c>
      <c r="F601" s="35">
        <f t="shared" si="572"/>
        <v>6.2012016894670036E-2</v>
      </c>
      <c r="G601" s="35">
        <f t="shared" si="572"/>
        <v>6.6462843893694876E-2</v>
      </c>
      <c r="H601" s="35">
        <f t="shared" si="572"/>
        <v>6.8000386650386643E-2</v>
      </c>
      <c r="I601" s="35">
        <f t="shared" si="572"/>
        <v>6.8698081918081993E-2</v>
      </c>
      <c r="J601" s="35">
        <f t="shared" si="572"/>
        <v>6.359578625599753E-2</v>
      </c>
      <c r="K601" s="35">
        <f t="shared" si="572"/>
        <v>6.4751250541573102E-2</v>
      </c>
      <c r="L601" s="35">
        <f t="shared" si="572"/>
        <v>6.6745453490171802E-2</v>
      </c>
      <c r="M601" s="35">
        <f t="shared" si="572"/>
        <v>6.9986548636548684E-2</v>
      </c>
      <c r="N601" s="35">
        <f t="shared" si="572"/>
        <v>6.8138741332468264E-2</v>
      </c>
      <c r="O601" s="35">
        <f t="shared" si="572"/>
        <v>6.2617260325881011E-2</v>
      </c>
      <c r="P601" s="35">
        <f t="shared" si="572"/>
        <v>6.9986548636548684E-2</v>
      </c>
      <c r="Q601" s="35">
        <f t="shared" si="572"/>
        <v>6.9986548636548684E-2</v>
      </c>
      <c r="R601" s="35">
        <f t="shared" si="572"/>
        <v>6.855977781342748E-2</v>
      </c>
      <c r="S601" s="35">
        <f t="shared" si="572"/>
        <v>6.8420460491889046E-2</v>
      </c>
      <c r="T601" s="35">
        <f t="shared" si="572"/>
        <v>7.1795419847328193E-2</v>
      </c>
      <c r="U601" s="35">
        <f t="shared" si="572"/>
        <v>6.1711544049171223E-2</v>
      </c>
      <c r="V601" s="35">
        <f t="shared" si="572"/>
        <v>7.1795419847328193E-2</v>
      </c>
      <c r="W601" s="35">
        <f t="shared" si="572"/>
        <v>6.9986548636548684E-2</v>
      </c>
      <c r="Y601" s="393"/>
      <c r="Z601" s="393"/>
      <c r="AA601" s="393"/>
      <c r="AB601" s="393"/>
      <c r="AC601" s="393"/>
      <c r="AD601" s="393"/>
      <c r="AE601" s="393"/>
      <c r="AF601" s="393"/>
      <c r="AG601" s="393"/>
      <c r="AH601" s="393"/>
      <c r="AI601" s="393"/>
      <c r="AJ601" s="393"/>
      <c r="AK601" s="393"/>
      <c r="AL601" s="393"/>
      <c r="AM601" s="393"/>
      <c r="AN601" s="393"/>
      <c r="AO601" s="393"/>
      <c r="AP601" s="393"/>
      <c r="AQ601" s="393"/>
      <c r="AR601" s="393"/>
      <c r="AS601" s="393"/>
    </row>
    <row r="602" spans="1:45" s="36" customFormat="1" x14ac:dyDescent="0.3">
      <c r="B602" s="65" t="s">
        <v>203</v>
      </c>
      <c r="C602" s="66"/>
      <c r="D602" s="35">
        <f>+D597/D$592</f>
        <v>8.3619160839160822E-2</v>
      </c>
      <c r="E602" s="35">
        <f t="shared" ref="E602:W602" si="573">+E597/E$592</f>
        <v>7.7012249736564772E-2</v>
      </c>
      <c r="F602" s="35">
        <f t="shared" si="573"/>
        <v>7.4602459620916078E-2</v>
      </c>
      <c r="G602" s="35">
        <f t="shared" si="573"/>
        <v>7.9519307615461388E-2</v>
      </c>
      <c r="H602" s="35">
        <f t="shared" si="573"/>
        <v>8.1606220421913844E-2</v>
      </c>
      <c r="I602" s="35">
        <f t="shared" si="573"/>
        <v>8.2050080743629197E-2</v>
      </c>
      <c r="J602" s="35">
        <f t="shared" si="573"/>
        <v>7.6601400335775338E-2</v>
      </c>
      <c r="K602" s="35">
        <f t="shared" si="573"/>
        <v>7.7970314138158636E-2</v>
      </c>
      <c r="L602" s="35">
        <f t="shared" si="573"/>
        <v>7.9707322191697197E-2</v>
      </c>
      <c r="M602" s="35">
        <f t="shared" si="573"/>
        <v>8.3563387342584464E-2</v>
      </c>
      <c r="N602" s="35">
        <f t="shared" si="573"/>
        <v>8.169308691308691E-2</v>
      </c>
      <c r="O602" s="35">
        <f t="shared" si="573"/>
        <v>7.5370766988113916E-2</v>
      </c>
      <c r="P602" s="35">
        <f t="shared" si="573"/>
        <v>8.3563387342584464E-2</v>
      </c>
      <c r="Q602" s="35">
        <f t="shared" si="573"/>
        <v>8.3563387342584464E-2</v>
      </c>
      <c r="R602" s="35">
        <f t="shared" si="573"/>
        <v>8.196179539884578E-2</v>
      </c>
      <c r="S602" s="35">
        <f t="shared" si="573"/>
        <v>8.1872872614749848E-2</v>
      </c>
      <c r="T602" s="35">
        <f t="shared" si="573"/>
        <v>8.5753383458646568E-2</v>
      </c>
      <c r="U602" s="35">
        <f t="shared" si="573"/>
        <v>7.4263897974934823E-2</v>
      </c>
      <c r="V602" s="35">
        <f t="shared" si="573"/>
        <v>8.5753383458646568E-2</v>
      </c>
      <c r="W602" s="35">
        <f t="shared" si="573"/>
        <v>8.3563387342584464E-2</v>
      </c>
      <c r="Y602" s="393"/>
      <c r="Z602" s="393"/>
      <c r="AA602" s="393"/>
      <c r="AB602" s="393"/>
      <c r="AC602" s="393"/>
      <c r="AD602" s="393"/>
      <c r="AE602" s="393"/>
      <c r="AF602" s="393"/>
      <c r="AG602" s="393"/>
      <c r="AH602" s="393"/>
      <c r="AI602" s="393"/>
      <c r="AJ602" s="393"/>
      <c r="AK602" s="393"/>
      <c r="AL602" s="393"/>
      <c r="AM602" s="393"/>
      <c r="AN602" s="393"/>
      <c r="AO602" s="393"/>
      <c r="AP602" s="393"/>
      <c r="AQ602" s="393"/>
      <c r="AR602" s="393"/>
      <c r="AS602" s="393"/>
    </row>
    <row r="603" spans="1:45" s="36" customFormat="1" x14ac:dyDescent="0.3">
      <c r="B603" s="65" t="s">
        <v>204</v>
      </c>
      <c r="C603" s="66"/>
      <c r="D603" s="35">
        <f>+D598/D$593</f>
        <v>9.0235628991946662E-2</v>
      </c>
      <c r="E603" s="35">
        <f t="shared" ref="E603:W603" si="574">+E598/E$593</f>
        <v>8.3291077969649366E-2</v>
      </c>
      <c r="F603" s="35">
        <f t="shared" si="574"/>
        <v>8.0771776556776628E-2</v>
      </c>
      <c r="G603" s="35">
        <f t="shared" si="574"/>
        <v>8.591153464590956E-2</v>
      </c>
      <c r="H603" s="35">
        <f t="shared" si="574"/>
        <v>8.8261247810160856E-2</v>
      </c>
      <c r="I603" s="35">
        <f t="shared" si="574"/>
        <v>8.8583532126236819E-2</v>
      </c>
      <c r="J603" s="35">
        <f t="shared" si="574"/>
        <v>8.2969666540356202E-2</v>
      </c>
      <c r="K603" s="35">
        <f t="shared" si="574"/>
        <v>8.4440697898592612E-2</v>
      </c>
      <c r="L603" s="35">
        <f t="shared" si="574"/>
        <v>8.6054168245547555E-2</v>
      </c>
      <c r="M603" s="35">
        <f t="shared" si="574"/>
        <v>9.0204232361841094E-2</v>
      </c>
      <c r="N603" s="35">
        <f t="shared" si="574"/>
        <v>8.8323461736819139E-2</v>
      </c>
      <c r="O603" s="35">
        <f t="shared" si="574"/>
        <v>8.1618261805761802E-2</v>
      </c>
      <c r="P603" s="35">
        <f t="shared" si="574"/>
        <v>9.0204232361841094E-2</v>
      </c>
      <c r="Q603" s="35">
        <f t="shared" si="574"/>
        <v>9.0204232361841094E-2</v>
      </c>
      <c r="R603" s="35">
        <f t="shared" si="574"/>
        <v>8.8519211145996882E-2</v>
      </c>
      <c r="S603" s="35">
        <f t="shared" si="574"/>
        <v>8.8454429083461322E-2</v>
      </c>
      <c r="T603" s="35">
        <f t="shared" si="574"/>
        <v>9.2576119402985033E-2</v>
      </c>
      <c r="U603" s="35">
        <f t="shared" si="574"/>
        <v>8.0414968420284089E-2</v>
      </c>
      <c r="V603" s="35">
        <f t="shared" si="574"/>
        <v>9.2576119402985033E-2</v>
      </c>
      <c r="W603" s="35">
        <f t="shared" si="574"/>
        <v>9.0204232361841094E-2</v>
      </c>
      <c r="Y603" s="393"/>
      <c r="Z603" s="393"/>
      <c r="AA603" s="393"/>
      <c r="AB603" s="393"/>
      <c r="AC603" s="393"/>
      <c r="AD603" s="393"/>
      <c r="AE603" s="393"/>
      <c r="AF603" s="393"/>
      <c r="AG603" s="393"/>
      <c r="AH603" s="393"/>
      <c r="AI603" s="393"/>
      <c r="AJ603" s="393"/>
      <c r="AK603" s="393"/>
      <c r="AL603" s="393"/>
      <c r="AM603" s="393"/>
      <c r="AN603" s="393"/>
      <c r="AO603" s="393"/>
      <c r="AP603" s="393"/>
      <c r="AQ603" s="393"/>
      <c r="AR603" s="393"/>
      <c r="AS603" s="393"/>
    </row>
    <row r="604" spans="1:45" s="36" customFormat="1" x14ac:dyDescent="0.3">
      <c r="B604" s="65" t="s">
        <v>205</v>
      </c>
      <c r="C604" s="66"/>
      <c r="D604" s="35">
        <f>+D599/D$594</f>
        <v>9.6757237386269623E-2</v>
      </c>
      <c r="E604" s="35">
        <f t="shared" ref="E604:W604" si="575">+E599/E$594</f>
        <v>8.9485057172557142E-2</v>
      </c>
      <c r="F604" s="35">
        <f t="shared" si="575"/>
        <v>8.6859380685539708E-2</v>
      </c>
      <c r="G604" s="35">
        <f t="shared" si="575"/>
        <v>9.2215593027661913E-2</v>
      </c>
      <c r="H604" s="35">
        <f t="shared" si="575"/>
        <v>9.4820519408648898E-2</v>
      </c>
      <c r="I604" s="35">
        <f t="shared" si="575"/>
        <v>9.5024637906263421E-2</v>
      </c>
      <c r="J604" s="35">
        <f t="shared" si="575"/>
        <v>8.9250696221586628E-2</v>
      </c>
      <c r="K604" s="35">
        <f t="shared" si="575"/>
        <v>9.082090209442123E-2</v>
      </c>
      <c r="L604" s="35">
        <f t="shared" si="575"/>
        <v>9.231407120276984E-2</v>
      </c>
      <c r="M604" s="35">
        <f t="shared" si="575"/>
        <v>9.6749525654201959E-2</v>
      </c>
      <c r="N604" s="35">
        <f t="shared" si="575"/>
        <v>9.4858777423293544E-2</v>
      </c>
      <c r="O604" s="35">
        <f t="shared" si="575"/>
        <v>8.7781897632568773E-2</v>
      </c>
      <c r="P604" s="35">
        <f t="shared" si="575"/>
        <v>9.6749525654201959E-2</v>
      </c>
      <c r="Q604" s="35">
        <f t="shared" si="575"/>
        <v>9.6749525654201959E-2</v>
      </c>
      <c r="R604" s="35">
        <f t="shared" si="575"/>
        <v>9.4983613903826689E-2</v>
      </c>
      <c r="S604" s="35">
        <f t="shared" si="575"/>
        <v>9.4942297915607501E-2</v>
      </c>
      <c r="T604" s="35">
        <f t="shared" si="575"/>
        <v>9.9297777777777735E-2</v>
      </c>
      <c r="U604" s="35">
        <f t="shared" si="575"/>
        <v>8.6484836615529734E-2</v>
      </c>
      <c r="V604" s="35">
        <f t="shared" si="575"/>
        <v>9.9297777777777735E-2</v>
      </c>
      <c r="W604" s="35">
        <f t="shared" si="575"/>
        <v>9.6749525654201959E-2</v>
      </c>
      <c r="Y604" s="393"/>
      <c r="Z604" s="393"/>
      <c r="AA604" s="393"/>
      <c r="AB604" s="393"/>
      <c r="AC604" s="393"/>
      <c r="AD604" s="393"/>
      <c r="AE604" s="393"/>
      <c r="AF604" s="393"/>
      <c r="AG604" s="393"/>
      <c r="AH604" s="393"/>
      <c r="AI604" s="393"/>
      <c r="AJ604" s="393"/>
      <c r="AK604" s="393"/>
      <c r="AL604" s="393"/>
      <c r="AM604" s="393"/>
      <c r="AN604" s="393"/>
      <c r="AO604" s="393"/>
      <c r="AP604" s="393"/>
      <c r="AQ604" s="393"/>
      <c r="AR604" s="393"/>
      <c r="AS604" s="393"/>
    </row>
    <row r="605" spans="1:45" ht="21" thickBot="1" x14ac:dyDescent="0.35">
      <c r="Y605" s="390"/>
      <c r="Z605" s="390"/>
      <c r="AA605" s="390"/>
      <c r="AB605" s="390"/>
      <c r="AC605" s="390"/>
      <c r="AD605" s="390"/>
      <c r="AE605" s="390"/>
      <c r="AF605" s="390"/>
      <c r="AG605" s="390"/>
      <c r="AH605" s="390"/>
      <c r="AI605" s="390"/>
      <c r="AJ605" s="390"/>
      <c r="AK605" s="390"/>
      <c r="AL605" s="390"/>
      <c r="AM605" s="390"/>
      <c r="AN605" s="390"/>
      <c r="AO605" s="390"/>
      <c r="AP605" s="390"/>
      <c r="AQ605" s="390"/>
      <c r="AR605" s="390"/>
      <c r="AS605" s="390"/>
    </row>
    <row r="606" spans="1:45" ht="21" thickBot="1" x14ac:dyDescent="0.35">
      <c r="A606" s="15" t="s">
        <v>331</v>
      </c>
      <c r="B606" s="74" t="s">
        <v>236</v>
      </c>
      <c r="C606" s="68"/>
      <c r="D606" s="17" t="s">
        <v>5</v>
      </c>
      <c r="E606" s="18" t="s">
        <v>6</v>
      </c>
      <c r="F606" s="18" t="s">
        <v>7</v>
      </c>
      <c r="G606" s="18" t="s">
        <v>8</v>
      </c>
      <c r="H606" s="18" t="s">
        <v>9</v>
      </c>
      <c r="I606" s="18" t="s">
        <v>10</v>
      </c>
      <c r="J606" s="18" t="s">
        <v>11</v>
      </c>
      <c r="K606" s="18" t="s">
        <v>12</v>
      </c>
      <c r="L606" s="18" t="s">
        <v>13</v>
      </c>
      <c r="M606" s="18" t="s">
        <v>14</v>
      </c>
      <c r="N606" s="18" t="s">
        <v>15</v>
      </c>
      <c r="O606" s="18" t="s">
        <v>16</v>
      </c>
      <c r="P606" s="18" t="s">
        <v>17</v>
      </c>
      <c r="Q606" s="18" t="s">
        <v>18</v>
      </c>
      <c r="R606" s="18" t="s">
        <v>19</v>
      </c>
      <c r="S606" s="18" t="s">
        <v>20</v>
      </c>
      <c r="T606" s="18" t="s">
        <v>21</v>
      </c>
      <c r="U606" s="18" t="s">
        <v>22</v>
      </c>
      <c r="V606" s="18" t="s">
        <v>23</v>
      </c>
      <c r="W606" s="18" t="s">
        <v>166</v>
      </c>
      <c r="Y606" s="390"/>
      <c r="Z606" s="390"/>
      <c r="AA606" s="390"/>
      <c r="AB606" s="390"/>
      <c r="AC606" s="390"/>
      <c r="AD606" s="390"/>
      <c r="AE606" s="390"/>
      <c r="AF606" s="390"/>
      <c r="AG606" s="390"/>
      <c r="AH606" s="390"/>
      <c r="AI606" s="390"/>
      <c r="AJ606" s="390"/>
      <c r="AK606" s="390"/>
      <c r="AL606" s="390"/>
      <c r="AM606" s="390"/>
      <c r="AN606" s="390"/>
      <c r="AO606" s="390"/>
      <c r="AP606" s="390"/>
      <c r="AQ606" s="390"/>
      <c r="AR606" s="390"/>
      <c r="AS606" s="390"/>
    </row>
    <row r="607" spans="1:45" x14ac:dyDescent="0.3">
      <c r="B607" s="69" t="s">
        <v>50</v>
      </c>
      <c r="C607" s="70"/>
      <c r="D607" s="20">
        <v>68</v>
      </c>
      <c r="E607" s="20">
        <v>68</v>
      </c>
      <c r="F607" s="20">
        <v>68</v>
      </c>
      <c r="G607" s="20">
        <v>68</v>
      </c>
      <c r="H607" s="20">
        <v>68</v>
      </c>
      <c r="I607" s="20">
        <v>68</v>
      </c>
      <c r="J607" s="20">
        <v>68</v>
      </c>
      <c r="K607" s="20">
        <v>68</v>
      </c>
      <c r="L607" s="20">
        <v>68</v>
      </c>
      <c r="M607" s="20">
        <v>68</v>
      </c>
      <c r="N607" s="20">
        <v>68</v>
      </c>
      <c r="O607" s="20">
        <v>68</v>
      </c>
      <c r="P607" s="20">
        <v>68</v>
      </c>
      <c r="Q607" s="20">
        <v>68</v>
      </c>
      <c r="R607" s="20">
        <v>68</v>
      </c>
      <c r="S607" s="20">
        <v>68</v>
      </c>
      <c r="T607" s="20"/>
      <c r="U607" s="20"/>
      <c r="V607" s="20"/>
      <c r="W607" s="20">
        <v>68</v>
      </c>
      <c r="Y607" s="390"/>
      <c r="Z607" s="390"/>
      <c r="AA607" s="390"/>
      <c r="AB607" s="390"/>
      <c r="AC607" s="390"/>
      <c r="AD607" s="390"/>
      <c r="AE607" s="390"/>
      <c r="AF607" s="390"/>
      <c r="AG607" s="390"/>
      <c r="AH607" s="390"/>
      <c r="AI607" s="390"/>
      <c r="AJ607" s="390"/>
      <c r="AK607" s="390"/>
      <c r="AL607" s="390"/>
      <c r="AM607" s="390"/>
      <c r="AN607" s="390"/>
      <c r="AO607" s="390"/>
      <c r="AP607" s="390"/>
      <c r="AQ607" s="390"/>
      <c r="AR607" s="390"/>
      <c r="AS607" s="390"/>
    </row>
    <row r="608" spans="1:45" x14ac:dyDescent="0.3">
      <c r="B608" s="54" t="s">
        <v>51</v>
      </c>
      <c r="C608" s="55"/>
      <c r="D608" s="322">
        <v>0.15</v>
      </c>
      <c r="E608" s="322">
        <f>D608</f>
        <v>0.15</v>
      </c>
      <c r="F608" s="322">
        <f>D608</f>
        <v>0.15</v>
      </c>
      <c r="G608" s="322">
        <f>D608</f>
        <v>0.15</v>
      </c>
      <c r="H608" s="322">
        <f>D608</f>
        <v>0.15</v>
      </c>
      <c r="I608" s="322">
        <f>D608</f>
        <v>0.15</v>
      </c>
      <c r="J608" s="322">
        <f>D608</f>
        <v>0.15</v>
      </c>
      <c r="K608" s="322">
        <f>D608</f>
        <v>0.15</v>
      </c>
      <c r="L608" s="322">
        <f>D608</f>
        <v>0.15</v>
      </c>
      <c r="M608" s="322">
        <f>D608</f>
        <v>0.15</v>
      </c>
      <c r="N608" s="322">
        <f>D608</f>
        <v>0.15</v>
      </c>
      <c r="O608" s="322">
        <f>D608</f>
        <v>0.15</v>
      </c>
      <c r="P608" s="322">
        <f>D608</f>
        <v>0.15</v>
      </c>
      <c r="Q608" s="322">
        <f>D608</f>
        <v>0.15</v>
      </c>
      <c r="R608" s="322">
        <f>D608</f>
        <v>0.15</v>
      </c>
      <c r="S608" s="322">
        <f>D608</f>
        <v>0.15</v>
      </c>
      <c r="T608" s="218"/>
      <c r="U608" s="218"/>
      <c r="V608" s="218"/>
      <c r="W608" s="322">
        <f>J608</f>
        <v>0.15</v>
      </c>
      <c r="Y608" s="390"/>
      <c r="Z608" s="390"/>
      <c r="AA608" s="390"/>
      <c r="AB608" s="390"/>
      <c r="AC608" s="390"/>
      <c r="AD608" s="390"/>
      <c r="AE608" s="390"/>
      <c r="AF608" s="390"/>
      <c r="AG608" s="390"/>
      <c r="AH608" s="390"/>
      <c r="AI608" s="390"/>
      <c r="AJ608" s="390"/>
      <c r="AK608" s="390"/>
      <c r="AL608" s="390"/>
      <c r="AM608" s="390"/>
      <c r="AN608" s="390"/>
      <c r="AO608" s="390"/>
      <c r="AP608" s="390"/>
      <c r="AQ608" s="390"/>
      <c r="AR608" s="390"/>
      <c r="AS608" s="390"/>
    </row>
    <row r="609" spans="2:45" x14ac:dyDescent="0.3">
      <c r="B609" s="54" t="s">
        <v>56</v>
      </c>
      <c r="C609" s="55"/>
      <c r="D609" s="21">
        <v>0</v>
      </c>
      <c r="E609" s="21">
        <v>0</v>
      </c>
      <c r="F609" s="21">
        <v>0</v>
      </c>
      <c r="G609" s="21">
        <v>0</v>
      </c>
      <c r="H609" s="21">
        <v>0</v>
      </c>
      <c r="I609" s="21">
        <v>0</v>
      </c>
      <c r="J609" s="21">
        <v>0</v>
      </c>
      <c r="K609" s="21">
        <v>0</v>
      </c>
      <c r="L609" s="21">
        <v>0</v>
      </c>
      <c r="M609" s="21">
        <v>0</v>
      </c>
      <c r="N609" s="21">
        <v>0</v>
      </c>
      <c r="O609" s="21">
        <v>0</v>
      </c>
      <c r="P609" s="21">
        <v>0</v>
      </c>
      <c r="Q609" s="21">
        <v>0</v>
      </c>
      <c r="R609" s="21">
        <v>0</v>
      </c>
      <c r="S609" s="21">
        <v>0</v>
      </c>
      <c r="T609" s="21"/>
      <c r="U609" s="21"/>
      <c r="V609" s="21"/>
      <c r="W609" s="21">
        <v>0</v>
      </c>
      <c r="Y609" s="390"/>
      <c r="Z609" s="390"/>
      <c r="AA609" s="390"/>
      <c r="AB609" s="390"/>
      <c r="AC609" s="390"/>
      <c r="AD609" s="390"/>
      <c r="AE609" s="390"/>
      <c r="AF609" s="390"/>
      <c r="AG609" s="390"/>
      <c r="AH609" s="390"/>
      <c r="AI609" s="390"/>
      <c r="AJ609" s="390"/>
      <c r="AK609" s="390"/>
      <c r="AL609" s="390"/>
      <c r="AM609" s="390"/>
      <c r="AN609" s="390"/>
      <c r="AO609" s="390"/>
      <c r="AP609" s="390"/>
      <c r="AQ609" s="390"/>
      <c r="AR609" s="390"/>
      <c r="AS609" s="390"/>
    </row>
    <row r="610" spans="2:45" x14ac:dyDescent="0.3">
      <c r="B610" s="177" t="s">
        <v>67</v>
      </c>
      <c r="C610" s="178"/>
      <c r="D610" s="323">
        <f>D607-(D607*D608)</f>
        <v>57.8</v>
      </c>
      <c r="E610" s="323">
        <f t="shared" ref="E610:W610" si="576">E607-(E607*E608)</f>
        <v>57.8</v>
      </c>
      <c r="F610" s="323">
        <f t="shared" si="576"/>
        <v>57.8</v>
      </c>
      <c r="G610" s="323">
        <f t="shared" si="576"/>
        <v>57.8</v>
      </c>
      <c r="H610" s="323">
        <f t="shared" si="576"/>
        <v>57.8</v>
      </c>
      <c r="I610" s="323">
        <f t="shared" si="576"/>
        <v>57.8</v>
      </c>
      <c r="J610" s="323">
        <f t="shared" si="576"/>
        <v>57.8</v>
      </c>
      <c r="K610" s="323">
        <f t="shared" si="576"/>
        <v>57.8</v>
      </c>
      <c r="L610" s="323">
        <f t="shared" si="576"/>
        <v>57.8</v>
      </c>
      <c r="M610" s="323">
        <f t="shared" si="576"/>
        <v>57.8</v>
      </c>
      <c r="N610" s="323">
        <f t="shared" si="576"/>
        <v>57.8</v>
      </c>
      <c r="O610" s="323">
        <f t="shared" si="576"/>
        <v>57.8</v>
      </c>
      <c r="P610" s="323">
        <f t="shared" si="576"/>
        <v>57.8</v>
      </c>
      <c r="Q610" s="323">
        <f t="shared" si="576"/>
        <v>57.8</v>
      </c>
      <c r="R610" s="323">
        <f t="shared" si="576"/>
        <v>57.8</v>
      </c>
      <c r="S610" s="323">
        <f t="shared" si="576"/>
        <v>57.8</v>
      </c>
      <c r="T610" s="323">
        <v>55.97</v>
      </c>
      <c r="U610" s="323">
        <v>55.97</v>
      </c>
      <c r="V610" s="323">
        <v>55.97</v>
      </c>
      <c r="W610" s="323">
        <f t="shared" si="576"/>
        <v>57.8</v>
      </c>
      <c r="Y610" s="390"/>
      <c r="Z610" s="390"/>
      <c r="AA610" s="390"/>
      <c r="AB610" s="390"/>
      <c r="AC610" s="390"/>
      <c r="AD610" s="390"/>
      <c r="AE610" s="390"/>
      <c r="AF610" s="390"/>
      <c r="AG610" s="390"/>
      <c r="AH610" s="390"/>
      <c r="AI610" s="390"/>
      <c r="AJ610" s="390"/>
      <c r="AK610" s="390"/>
      <c r="AL610" s="390"/>
      <c r="AM610" s="390"/>
      <c r="AN610" s="390"/>
      <c r="AO610" s="390"/>
      <c r="AP610" s="390"/>
      <c r="AQ610" s="390"/>
      <c r="AR610" s="390"/>
      <c r="AS610" s="390"/>
    </row>
    <row r="611" spans="2:45" x14ac:dyDescent="0.3">
      <c r="B611" s="54" t="s">
        <v>66</v>
      </c>
      <c r="C611" s="56">
        <v>7.0000000000000007E-2</v>
      </c>
      <c r="D611" s="24">
        <f>D610*$C611</f>
        <v>4.0460000000000003</v>
      </c>
      <c r="E611" s="24">
        <f t="shared" ref="E611:V611" si="577">E610*$C611</f>
        <v>4.0460000000000003</v>
      </c>
      <c r="F611" s="24">
        <f t="shared" si="577"/>
        <v>4.0460000000000003</v>
      </c>
      <c r="G611" s="24">
        <f t="shared" si="577"/>
        <v>4.0460000000000003</v>
      </c>
      <c r="H611" s="24">
        <f t="shared" si="577"/>
        <v>4.0460000000000003</v>
      </c>
      <c r="I611" s="24">
        <f t="shared" si="577"/>
        <v>4.0460000000000003</v>
      </c>
      <c r="J611" s="24">
        <f t="shared" si="577"/>
        <v>4.0460000000000003</v>
      </c>
      <c r="K611" s="24">
        <f t="shared" si="577"/>
        <v>4.0460000000000003</v>
      </c>
      <c r="L611" s="24">
        <f t="shared" si="577"/>
        <v>4.0460000000000003</v>
      </c>
      <c r="M611" s="24">
        <f t="shared" si="577"/>
        <v>4.0460000000000003</v>
      </c>
      <c r="N611" s="24">
        <f t="shared" si="577"/>
        <v>4.0460000000000003</v>
      </c>
      <c r="O611" s="24">
        <f t="shared" si="577"/>
        <v>4.0460000000000003</v>
      </c>
      <c r="P611" s="24">
        <f t="shared" si="577"/>
        <v>4.0460000000000003</v>
      </c>
      <c r="Q611" s="24">
        <f t="shared" si="577"/>
        <v>4.0460000000000003</v>
      </c>
      <c r="R611" s="24">
        <f t="shared" si="577"/>
        <v>4.0460000000000003</v>
      </c>
      <c r="S611" s="24">
        <f t="shared" si="577"/>
        <v>4.0460000000000003</v>
      </c>
      <c r="T611" s="24">
        <f t="shared" si="577"/>
        <v>3.9179000000000004</v>
      </c>
      <c r="U611" s="24">
        <f t="shared" si="577"/>
        <v>3.9179000000000004</v>
      </c>
      <c r="V611" s="24">
        <f t="shared" si="577"/>
        <v>3.9179000000000004</v>
      </c>
      <c r="W611" s="24">
        <f>W610*$C611</f>
        <v>4.0460000000000003</v>
      </c>
      <c r="Y611" s="390"/>
      <c r="Z611" s="390"/>
      <c r="AA611" s="390"/>
      <c r="AB611" s="390"/>
      <c r="AC611" s="390"/>
      <c r="AD611" s="390"/>
      <c r="AE611" s="390"/>
      <c r="AF611" s="390"/>
      <c r="AG611" s="390"/>
      <c r="AH611" s="390"/>
      <c r="AI611" s="390"/>
      <c r="AJ611" s="390"/>
      <c r="AK611" s="390"/>
      <c r="AL611" s="390"/>
      <c r="AM611" s="390"/>
      <c r="AN611" s="390"/>
      <c r="AO611" s="390"/>
      <c r="AP611" s="390"/>
      <c r="AQ611" s="390"/>
      <c r="AR611" s="390"/>
      <c r="AS611" s="390"/>
    </row>
    <row r="612" spans="2:45" x14ac:dyDescent="0.3">
      <c r="B612" s="54" t="s">
        <v>68</v>
      </c>
      <c r="C612" s="55"/>
      <c r="D612" s="21">
        <f>D610+D611</f>
        <v>61.845999999999997</v>
      </c>
      <c r="E612" s="21">
        <f t="shared" ref="E612:V612" si="578">E610+E611</f>
        <v>61.845999999999997</v>
      </c>
      <c r="F612" s="21">
        <f t="shared" si="578"/>
        <v>61.845999999999997</v>
      </c>
      <c r="G612" s="21">
        <f t="shared" si="578"/>
        <v>61.845999999999997</v>
      </c>
      <c r="H612" s="21">
        <f t="shared" si="578"/>
        <v>61.845999999999997</v>
      </c>
      <c r="I612" s="21">
        <f t="shared" si="578"/>
        <v>61.845999999999997</v>
      </c>
      <c r="J612" s="21">
        <f t="shared" si="578"/>
        <v>61.845999999999997</v>
      </c>
      <c r="K612" s="21">
        <f t="shared" si="578"/>
        <v>61.845999999999997</v>
      </c>
      <c r="L612" s="21">
        <f t="shared" si="578"/>
        <v>61.845999999999997</v>
      </c>
      <c r="M612" s="21">
        <f t="shared" si="578"/>
        <v>61.845999999999997</v>
      </c>
      <c r="N612" s="21">
        <f t="shared" si="578"/>
        <v>61.845999999999997</v>
      </c>
      <c r="O612" s="21">
        <f t="shared" si="578"/>
        <v>61.845999999999997</v>
      </c>
      <c r="P612" s="21">
        <f t="shared" si="578"/>
        <v>61.845999999999997</v>
      </c>
      <c r="Q612" s="21">
        <f t="shared" si="578"/>
        <v>61.845999999999997</v>
      </c>
      <c r="R612" s="21">
        <f t="shared" si="578"/>
        <v>61.845999999999997</v>
      </c>
      <c r="S612" s="21">
        <f t="shared" si="578"/>
        <v>61.845999999999997</v>
      </c>
      <c r="T612" s="21">
        <f t="shared" si="578"/>
        <v>59.887900000000002</v>
      </c>
      <c r="U612" s="21">
        <f t="shared" si="578"/>
        <v>59.887900000000002</v>
      </c>
      <c r="V612" s="21">
        <f t="shared" si="578"/>
        <v>59.887900000000002</v>
      </c>
      <c r="W612" s="21">
        <f>W610+W611</f>
        <v>61.845999999999997</v>
      </c>
      <c r="Y612" s="390"/>
      <c r="Z612" s="390"/>
      <c r="AA612" s="390"/>
      <c r="AB612" s="390"/>
      <c r="AC612" s="390"/>
      <c r="AD612" s="390"/>
      <c r="AE612" s="390"/>
      <c r="AF612" s="390"/>
      <c r="AG612" s="390"/>
      <c r="AH612" s="390"/>
      <c r="AI612" s="390"/>
      <c r="AJ612" s="390"/>
      <c r="AK612" s="390"/>
      <c r="AL612" s="390"/>
      <c r="AM612" s="390"/>
      <c r="AN612" s="390"/>
      <c r="AO612" s="390"/>
      <c r="AP612" s="390"/>
      <c r="AQ612" s="390"/>
      <c r="AR612" s="390"/>
      <c r="AS612" s="390"/>
    </row>
    <row r="613" spans="2:45" x14ac:dyDescent="0.3">
      <c r="B613" s="54" t="s">
        <v>52</v>
      </c>
      <c r="C613" s="55"/>
      <c r="D613" s="398">
        <f>Y615</f>
        <v>1.9276923076923076</v>
      </c>
      <c r="E613" s="398">
        <f t="shared" ref="E613:W613" si="579">Z615</f>
        <v>4.3787692307692305</v>
      </c>
      <c r="F613" s="398">
        <f t="shared" si="579"/>
        <v>5.2546153846153842</v>
      </c>
      <c r="G613" s="398">
        <f t="shared" si="579"/>
        <v>3.503076923076923</v>
      </c>
      <c r="H613" s="398">
        <f t="shared" si="579"/>
        <v>1.8766153846153846</v>
      </c>
      <c r="I613" s="398">
        <f t="shared" si="579"/>
        <v>2.502153846153846</v>
      </c>
      <c r="J613" s="398">
        <f t="shared" si="579"/>
        <v>3.8784615384615386</v>
      </c>
      <c r="K613" s="398">
        <f t="shared" si="579"/>
        <v>3.1778461538461538</v>
      </c>
      <c r="L613" s="398">
        <f t="shared" si="579"/>
        <v>3.7532307692307691</v>
      </c>
      <c r="M613" s="398">
        <f t="shared" si="579"/>
        <v>1.8015384615384615</v>
      </c>
      <c r="N613" s="398">
        <f t="shared" si="579"/>
        <v>2.0018461538461541</v>
      </c>
      <c r="O613" s="398">
        <f t="shared" si="579"/>
        <v>4.704769230769231</v>
      </c>
      <c r="P613" s="398">
        <f t="shared" si="579"/>
        <v>1.8015384615384615</v>
      </c>
      <c r="Q613" s="398">
        <f t="shared" si="579"/>
        <v>1.8015384615384615</v>
      </c>
      <c r="R613" s="398">
        <f t="shared" si="579"/>
        <v>2.3770769230769231</v>
      </c>
      <c r="S613" s="398">
        <f t="shared" si="579"/>
        <v>2.2519999999999998</v>
      </c>
      <c r="T613" s="398">
        <f t="shared" si="579"/>
        <v>0</v>
      </c>
      <c r="U613" s="398">
        <f t="shared" si="579"/>
        <v>4.704769230769231</v>
      </c>
      <c r="V613" s="398">
        <f t="shared" si="579"/>
        <v>0</v>
      </c>
      <c r="W613" s="398">
        <f t="shared" si="579"/>
        <v>1.8015384615384615</v>
      </c>
      <c r="Y613" s="390">
        <v>12530</v>
      </c>
      <c r="Z613" s="390">
        <v>28462</v>
      </c>
      <c r="AA613" s="390">
        <v>34155</v>
      </c>
      <c r="AB613" s="390">
        <v>22770</v>
      </c>
      <c r="AC613" s="390">
        <v>12198</v>
      </c>
      <c r="AD613" s="390">
        <v>16264</v>
      </c>
      <c r="AE613" s="390">
        <v>25210</v>
      </c>
      <c r="AF613" s="390">
        <v>20656</v>
      </c>
      <c r="AG613" s="390">
        <v>24396</v>
      </c>
      <c r="AH613" s="390">
        <v>11710</v>
      </c>
      <c r="AI613" s="390">
        <v>13012</v>
      </c>
      <c r="AJ613" s="390">
        <v>30581</v>
      </c>
      <c r="AK613" s="396">
        <v>11710</v>
      </c>
      <c r="AL613" s="396">
        <v>11710</v>
      </c>
      <c r="AM613" s="390">
        <v>15451</v>
      </c>
      <c r="AN613" s="390">
        <v>14638</v>
      </c>
      <c r="AO613" s="390"/>
      <c r="AP613" s="396">
        <v>30581</v>
      </c>
      <c r="AQ613" s="390"/>
      <c r="AR613" s="396">
        <v>11710</v>
      </c>
      <c r="AS613" s="390"/>
    </row>
    <row r="614" spans="2:45" x14ac:dyDescent="0.3">
      <c r="B614" s="57" t="s">
        <v>53</v>
      </c>
      <c r="C614" s="58"/>
      <c r="D614" s="25">
        <f>SUM(D612:D613)</f>
        <v>63.773692307692301</v>
      </c>
      <c r="E614" s="26">
        <f t="shared" ref="E614:V614" si="580">SUM(E612:E613)</f>
        <v>66.224769230769226</v>
      </c>
      <c r="F614" s="26">
        <f t="shared" si="580"/>
        <v>67.100615384615381</v>
      </c>
      <c r="G614" s="26">
        <f t="shared" si="580"/>
        <v>65.349076923076922</v>
      </c>
      <c r="H614" s="26">
        <f t="shared" si="580"/>
        <v>63.722615384615381</v>
      </c>
      <c r="I614" s="26">
        <f t="shared" si="580"/>
        <v>64.348153846153849</v>
      </c>
      <c r="J614" s="26">
        <f t="shared" si="580"/>
        <v>65.72446153846154</v>
      </c>
      <c r="K614" s="26">
        <f t="shared" si="580"/>
        <v>65.023846153846151</v>
      </c>
      <c r="L614" s="26">
        <f t="shared" si="580"/>
        <v>65.599230769230772</v>
      </c>
      <c r="M614" s="26">
        <f t="shared" si="580"/>
        <v>63.64753846153846</v>
      </c>
      <c r="N614" s="26">
        <f t="shared" si="580"/>
        <v>63.847846153846149</v>
      </c>
      <c r="O614" s="26">
        <f t="shared" si="580"/>
        <v>66.550769230769234</v>
      </c>
      <c r="P614" s="26">
        <f t="shared" si="580"/>
        <v>63.64753846153846</v>
      </c>
      <c r="Q614" s="26">
        <f t="shared" si="580"/>
        <v>63.64753846153846</v>
      </c>
      <c r="R614" s="26">
        <f t="shared" si="580"/>
        <v>64.223076923076917</v>
      </c>
      <c r="S614" s="26">
        <f t="shared" si="580"/>
        <v>64.097999999999999</v>
      </c>
      <c r="T614" s="26">
        <f t="shared" si="580"/>
        <v>59.887900000000002</v>
      </c>
      <c r="U614" s="26">
        <f t="shared" si="580"/>
        <v>64.592669230769232</v>
      </c>
      <c r="V614" s="26">
        <f t="shared" si="580"/>
        <v>59.887900000000002</v>
      </c>
      <c r="W614" s="26">
        <f>SUM(W612:W613)</f>
        <v>63.64753846153846</v>
      </c>
      <c r="Y614" s="390">
        <v>6500</v>
      </c>
      <c r="Z614" s="390">
        <v>6500</v>
      </c>
      <c r="AA614" s="390">
        <v>6500</v>
      </c>
      <c r="AB614" s="390">
        <v>6500</v>
      </c>
      <c r="AC614" s="390">
        <v>6500</v>
      </c>
      <c r="AD614" s="390">
        <v>6500</v>
      </c>
      <c r="AE614" s="390">
        <v>6500</v>
      </c>
      <c r="AF614" s="390">
        <v>6500</v>
      </c>
      <c r="AG614" s="390">
        <v>6500</v>
      </c>
      <c r="AH614" s="390">
        <v>6500</v>
      </c>
      <c r="AI614" s="390">
        <v>6500</v>
      </c>
      <c r="AJ614" s="390">
        <v>6500</v>
      </c>
      <c r="AK614" s="390">
        <v>6500</v>
      </c>
      <c r="AL614" s="390">
        <v>6500</v>
      </c>
      <c r="AM614" s="390">
        <v>6500</v>
      </c>
      <c r="AN614" s="390">
        <v>6500</v>
      </c>
      <c r="AO614" s="390"/>
      <c r="AP614" s="390">
        <v>6500</v>
      </c>
      <c r="AQ614" s="390"/>
      <c r="AR614" s="390">
        <v>6500</v>
      </c>
      <c r="AS614" s="390"/>
    </row>
    <row r="615" spans="2:45" x14ac:dyDescent="0.3">
      <c r="B615" s="54" t="s">
        <v>54</v>
      </c>
      <c r="C615" s="55"/>
      <c r="D615" s="20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Y615" s="389">
        <f>Y613/Y614</f>
        <v>1.9276923076923076</v>
      </c>
      <c r="Z615" s="389">
        <f t="shared" ref="Z615:AN615" si="581">Z613/Z614</f>
        <v>4.3787692307692305</v>
      </c>
      <c r="AA615" s="389">
        <f t="shared" si="581"/>
        <v>5.2546153846153842</v>
      </c>
      <c r="AB615" s="389">
        <f t="shared" si="581"/>
        <v>3.503076923076923</v>
      </c>
      <c r="AC615" s="389">
        <f t="shared" si="581"/>
        <v>1.8766153846153846</v>
      </c>
      <c r="AD615" s="389">
        <f t="shared" si="581"/>
        <v>2.502153846153846</v>
      </c>
      <c r="AE615" s="389">
        <f t="shared" si="581"/>
        <v>3.8784615384615386</v>
      </c>
      <c r="AF615" s="389">
        <f t="shared" si="581"/>
        <v>3.1778461538461538</v>
      </c>
      <c r="AG615" s="389">
        <f t="shared" si="581"/>
        <v>3.7532307692307691</v>
      </c>
      <c r="AH615" s="389">
        <f t="shared" si="581"/>
        <v>1.8015384615384615</v>
      </c>
      <c r="AI615" s="389">
        <f t="shared" si="581"/>
        <v>2.0018461538461541</v>
      </c>
      <c r="AJ615" s="389">
        <f t="shared" si="581"/>
        <v>4.704769230769231</v>
      </c>
      <c r="AK615" s="389">
        <f t="shared" si="581"/>
        <v>1.8015384615384615</v>
      </c>
      <c r="AL615" s="389">
        <f t="shared" si="581"/>
        <v>1.8015384615384615</v>
      </c>
      <c r="AM615" s="389">
        <f t="shared" si="581"/>
        <v>2.3770769230769231</v>
      </c>
      <c r="AN615" s="389">
        <f t="shared" si="581"/>
        <v>2.2519999999999998</v>
      </c>
      <c r="AO615" s="390"/>
      <c r="AP615" s="389">
        <f t="shared" ref="AP615" si="582">AP613/AP614</f>
        <v>4.704769230769231</v>
      </c>
      <c r="AQ615" s="390"/>
      <c r="AR615" s="389">
        <f t="shared" ref="AR615" si="583">AR613/AR614</f>
        <v>1.8015384615384615</v>
      </c>
      <c r="AS615" s="390"/>
    </row>
    <row r="616" spans="2:45" x14ac:dyDescent="0.3">
      <c r="B616" s="59" t="s">
        <v>55</v>
      </c>
      <c r="C616" s="60"/>
      <c r="D616" s="27">
        <f>SUM(D614:D615)</f>
        <v>63.773692307692301</v>
      </c>
      <c r="E616" s="41">
        <f t="shared" ref="E616:V616" si="584">SUM(E614:E615)</f>
        <v>66.224769230769226</v>
      </c>
      <c r="F616" s="41">
        <f t="shared" si="584"/>
        <v>67.100615384615381</v>
      </c>
      <c r="G616" s="41">
        <f t="shared" si="584"/>
        <v>65.349076923076922</v>
      </c>
      <c r="H616" s="41">
        <f t="shared" si="584"/>
        <v>63.722615384615381</v>
      </c>
      <c r="I616" s="41">
        <f t="shared" si="584"/>
        <v>64.348153846153849</v>
      </c>
      <c r="J616" s="41">
        <f t="shared" si="584"/>
        <v>65.72446153846154</v>
      </c>
      <c r="K616" s="41">
        <f t="shared" si="584"/>
        <v>65.023846153846151</v>
      </c>
      <c r="L616" s="41">
        <f t="shared" si="584"/>
        <v>65.599230769230772</v>
      </c>
      <c r="M616" s="41">
        <f t="shared" si="584"/>
        <v>63.64753846153846</v>
      </c>
      <c r="N616" s="41">
        <f t="shared" si="584"/>
        <v>63.847846153846149</v>
      </c>
      <c r="O616" s="41">
        <f t="shared" si="584"/>
        <v>66.550769230769234</v>
      </c>
      <c r="P616" s="41">
        <f t="shared" si="584"/>
        <v>63.64753846153846</v>
      </c>
      <c r="Q616" s="41">
        <f t="shared" si="584"/>
        <v>63.64753846153846</v>
      </c>
      <c r="R616" s="41">
        <f t="shared" si="584"/>
        <v>64.223076923076917</v>
      </c>
      <c r="S616" s="41">
        <f t="shared" si="584"/>
        <v>64.097999999999999</v>
      </c>
      <c r="T616" s="41">
        <f t="shared" si="584"/>
        <v>59.887900000000002</v>
      </c>
      <c r="U616" s="41">
        <f t="shared" si="584"/>
        <v>64.592669230769232</v>
      </c>
      <c r="V616" s="41">
        <f t="shared" si="584"/>
        <v>59.887900000000002</v>
      </c>
      <c r="W616" s="41">
        <f>SUM(W614:W615)</f>
        <v>63.64753846153846</v>
      </c>
      <c r="Y616" s="390"/>
      <c r="Z616" s="390"/>
      <c r="AA616" s="390"/>
      <c r="AB616" s="390"/>
      <c r="AC616" s="390"/>
      <c r="AD616" s="390"/>
      <c r="AE616" s="390"/>
      <c r="AF616" s="390"/>
      <c r="AG616" s="390"/>
      <c r="AH616" s="390"/>
      <c r="AI616" s="390"/>
      <c r="AJ616" s="390"/>
      <c r="AK616" s="390"/>
      <c r="AL616" s="390"/>
      <c r="AM616" s="390"/>
      <c r="AN616" s="390"/>
      <c r="AO616" s="390"/>
      <c r="AP616" s="390"/>
      <c r="AQ616" s="390"/>
      <c r="AR616" s="390"/>
      <c r="AS616" s="390"/>
    </row>
    <row r="617" spans="2:45" x14ac:dyDescent="0.3">
      <c r="B617" s="61" t="s">
        <v>101</v>
      </c>
      <c r="C617" s="55"/>
      <c r="D617" s="43">
        <v>0</v>
      </c>
      <c r="E617" s="408">
        <v>0</v>
      </c>
      <c r="F617" s="408">
        <v>0</v>
      </c>
      <c r="G617" s="408">
        <v>0</v>
      </c>
      <c r="H617" s="408">
        <v>0</v>
      </c>
      <c r="I617" s="408">
        <v>0</v>
      </c>
      <c r="J617" s="408">
        <v>0</v>
      </c>
      <c r="K617" s="408">
        <v>0</v>
      </c>
      <c r="L617" s="408">
        <v>0</v>
      </c>
      <c r="M617" s="408">
        <v>0</v>
      </c>
      <c r="N617" s="408">
        <v>0</v>
      </c>
      <c r="O617" s="408">
        <v>0</v>
      </c>
      <c r="P617" s="408">
        <v>0</v>
      </c>
      <c r="Q617" s="408">
        <v>0</v>
      </c>
      <c r="R617" s="408">
        <v>0</v>
      </c>
      <c r="S617" s="408">
        <v>0</v>
      </c>
      <c r="T617" s="408">
        <v>0</v>
      </c>
      <c r="U617" s="408">
        <v>0</v>
      </c>
      <c r="V617" s="408">
        <v>0</v>
      </c>
      <c r="W617" s="408">
        <v>0</v>
      </c>
      <c r="Y617" s="409"/>
      <c r="Z617" s="409"/>
      <c r="AA617" s="409"/>
      <c r="AB617" s="409"/>
      <c r="AC617" s="409"/>
      <c r="AD617" s="409"/>
      <c r="AE617" s="409"/>
      <c r="AF617" s="409"/>
      <c r="AG617" s="409"/>
      <c r="AH617" s="409"/>
      <c r="AI617" s="409"/>
      <c r="AJ617" s="409"/>
      <c r="AK617" s="409"/>
      <c r="AL617" s="409"/>
      <c r="AM617" s="409"/>
      <c r="AN617" s="409"/>
      <c r="AO617" s="409"/>
      <c r="AP617" s="409"/>
      <c r="AQ617" s="409"/>
      <c r="AR617" s="409"/>
      <c r="AS617" s="409"/>
    </row>
    <row r="618" spans="2:45" x14ac:dyDescent="0.3">
      <c r="B618" s="171" t="s">
        <v>194</v>
      </c>
      <c r="C618" s="55"/>
      <c r="D618" s="20">
        <v>68</v>
      </c>
      <c r="E618" s="20">
        <v>71</v>
      </c>
      <c r="F618" s="20">
        <v>72</v>
      </c>
      <c r="G618" s="20">
        <v>70</v>
      </c>
      <c r="H618" s="20">
        <v>68</v>
      </c>
      <c r="I618" s="20">
        <v>69</v>
      </c>
      <c r="J618" s="20">
        <v>70</v>
      </c>
      <c r="K618" s="20">
        <v>70</v>
      </c>
      <c r="L618" s="20">
        <v>70</v>
      </c>
      <c r="M618" s="20">
        <v>68</v>
      </c>
      <c r="N618" s="20">
        <v>68</v>
      </c>
      <c r="O618" s="20">
        <v>71</v>
      </c>
      <c r="P618" s="20">
        <v>68</v>
      </c>
      <c r="Q618" s="20">
        <v>68</v>
      </c>
      <c r="R618" s="20">
        <v>69</v>
      </c>
      <c r="S618" s="20">
        <v>69</v>
      </c>
      <c r="T618" s="20">
        <v>64</v>
      </c>
      <c r="U618" s="20">
        <v>69</v>
      </c>
      <c r="V618" s="20">
        <v>64</v>
      </c>
      <c r="W618" s="20">
        <v>68</v>
      </c>
      <c r="Y618" s="390"/>
      <c r="Z618" s="390"/>
      <c r="AA618" s="390"/>
      <c r="AB618" s="390"/>
      <c r="AC618" s="390"/>
      <c r="AD618" s="390"/>
      <c r="AE618" s="390"/>
      <c r="AF618" s="390"/>
      <c r="AG618" s="390"/>
      <c r="AH618" s="390"/>
      <c r="AI618" s="390"/>
      <c r="AJ618" s="390"/>
      <c r="AK618" s="390"/>
      <c r="AL618" s="390"/>
      <c r="AM618" s="390"/>
      <c r="AN618" s="390"/>
      <c r="AO618" s="390"/>
      <c r="AP618" s="390"/>
      <c r="AQ618" s="390"/>
      <c r="AR618" s="390"/>
      <c r="AS618" s="390"/>
    </row>
    <row r="619" spans="2:45" x14ac:dyDescent="0.3">
      <c r="B619" s="61" t="s">
        <v>195</v>
      </c>
      <c r="C619" s="55"/>
      <c r="D619" s="106">
        <v>69</v>
      </c>
      <c r="E619" s="21">
        <v>72</v>
      </c>
      <c r="F619" s="21">
        <v>73</v>
      </c>
      <c r="G619" s="21">
        <v>71</v>
      </c>
      <c r="H619" s="21">
        <v>69</v>
      </c>
      <c r="I619" s="21">
        <v>70</v>
      </c>
      <c r="J619" s="21">
        <v>71</v>
      </c>
      <c r="K619" s="21">
        <v>71</v>
      </c>
      <c r="L619" s="21">
        <v>71</v>
      </c>
      <c r="M619" s="21">
        <v>69</v>
      </c>
      <c r="N619" s="21">
        <v>69</v>
      </c>
      <c r="O619" s="21">
        <v>72</v>
      </c>
      <c r="P619" s="21">
        <v>69</v>
      </c>
      <c r="Q619" s="21">
        <v>69</v>
      </c>
      <c r="R619" s="21">
        <v>70</v>
      </c>
      <c r="S619" s="21">
        <v>70</v>
      </c>
      <c r="T619" s="21">
        <v>65</v>
      </c>
      <c r="U619" s="21">
        <v>70</v>
      </c>
      <c r="V619" s="21">
        <v>65</v>
      </c>
      <c r="W619" s="21">
        <v>69</v>
      </c>
      <c r="Y619" s="390"/>
      <c r="Z619" s="390"/>
      <c r="AA619" s="390"/>
      <c r="AB619" s="390"/>
      <c r="AC619" s="390"/>
      <c r="AD619" s="390"/>
      <c r="AE619" s="390"/>
      <c r="AF619" s="390"/>
      <c r="AG619" s="390"/>
      <c r="AH619" s="390"/>
      <c r="AI619" s="390"/>
      <c r="AJ619" s="390"/>
      <c r="AK619" s="390"/>
      <c r="AL619" s="390"/>
      <c r="AM619" s="390"/>
      <c r="AN619" s="390"/>
      <c r="AO619" s="390"/>
      <c r="AP619" s="390"/>
      <c r="AQ619" s="390"/>
      <c r="AR619" s="390"/>
      <c r="AS619" s="390"/>
    </row>
    <row r="620" spans="2:45" x14ac:dyDescent="0.3">
      <c r="B620" s="61" t="s">
        <v>196</v>
      </c>
      <c r="C620" s="62"/>
      <c r="D620" s="28">
        <v>70</v>
      </c>
      <c r="E620" s="28">
        <v>73</v>
      </c>
      <c r="F620" s="28">
        <v>74</v>
      </c>
      <c r="G620" s="28">
        <v>72</v>
      </c>
      <c r="H620" s="28">
        <v>70</v>
      </c>
      <c r="I620" s="28">
        <v>71</v>
      </c>
      <c r="J620" s="28">
        <v>72</v>
      </c>
      <c r="K620" s="28">
        <v>72</v>
      </c>
      <c r="L620" s="28">
        <v>72</v>
      </c>
      <c r="M620" s="28">
        <v>70</v>
      </c>
      <c r="N620" s="28">
        <v>70</v>
      </c>
      <c r="O620" s="28">
        <v>73</v>
      </c>
      <c r="P620" s="28">
        <v>70</v>
      </c>
      <c r="Q620" s="28">
        <v>70</v>
      </c>
      <c r="R620" s="28">
        <v>71</v>
      </c>
      <c r="S620" s="28">
        <v>71</v>
      </c>
      <c r="T620" s="28">
        <v>66</v>
      </c>
      <c r="U620" s="28">
        <v>71</v>
      </c>
      <c r="V620" s="28">
        <v>66</v>
      </c>
      <c r="W620" s="28">
        <v>70</v>
      </c>
      <c r="Y620" s="390"/>
      <c r="Z620" s="390"/>
      <c r="AA620" s="390"/>
      <c r="AB620" s="390"/>
      <c r="AC620" s="390"/>
      <c r="AD620" s="390"/>
      <c r="AE620" s="390"/>
      <c r="AF620" s="390"/>
      <c r="AG620" s="390"/>
      <c r="AH620" s="390"/>
      <c r="AI620" s="390"/>
      <c r="AJ620" s="390"/>
      <c r="AK620" s="390"/>
      <c r="AL620" s="390"/>
      <c r="AM620" s="390"/>
      <c r="AN620" s="390"/>
      <c r="AO620" s="390"/>
      <c r="AP620" s="390"/>
      <c r="AQ620" s="390"/>
      <c r="AR620" s="390"/>
      <c r="AS620" s="390"/>
    </row>
    <row r="621" spans="2:45" x14ac:dyDescent="0.3">
      <c r="B621" s="61" t="s">
        <v>197</v>
      </c>
      <c r="C621" s="62"/>
      <c r="D621" s="28">
        <v>71</v>
      </c>
      <c r="E621" s="28">
        <v>74</v>
      </c>
      <c r="F621" s="28">
        <v>75</v>
      </c>
      <c r="G621" s="28">
        <v>73</v>
      </c>
      <c r="H621" s="28">
        <v>71</v>
      </c>
      <c r="I621" s="28">
        <v>72</v>
      </c>
      <c r="J621" s="28">
        <v>73</v>
      </c>
      <c r="K621" s="28">
        <v>73</v>
      </c>
      <c r="L621" s="28">
        <v>73</v>
      </c>
      <c r="M621" s="28">
        <v>71</v>
      </c>
      <c r="N621" s="28">
        <v>71</v>
      </c>
      <c r="O621" s="28">
        <v>74</v>
      </c>
      <c r="P621" s="28">
        <v>71</v>
      </c>
      <c r="Q621" s="28"/>
      <c r="R621" s="28">
        <v>72</v>
      </c>
      <c r="S621" s="28">
        <v>72</v>
      </c>
      <c r="T621" s="28">
        <v>67</v>
      </c>
      <c r="U621" s="28">
        <v>72</v>
      </c>
      <c r="V621" s="28">
        <v>67</v>
      </c>
      <c r="W621" s="28">
        <v>71</v>
      </c>
      <c r="Y621" s="390"/>
      <c r="Z621" s="390"/>
      <c r="AA621" s="390"/>
      <c r="AB621" s="390"/>
      <c r="AC621" s="390"/>
      <c r="AD621" s="390"/>
      <c r="AE621" s="390"/>
      <c r="AF621" s="390"/>
      <c r="AG621" s="390"/>
      <c r="AH621" s="390"/>
      <c r="AI621" s="390"/>
      <c r="AJ621" s="390"/>
      <c r="AK621" s="390"/>
      <c r="AL621" s="390"/>
      <c r="AM621" s="390"/>
      <c r="AN621" s="390"/>
      <c r="AO621" s="390"/>
      <c r="AP621" s="390"/>
      <c r="AQ621" s="390"/>
      <c r="AR621" s="390"/>
      <c r="AS621" s="390"/>
    </row>
    <row r="622" spans="2:45" x14ac:dyDescent="0.3">
      <c r="B622" s="63" t="s">
        <v>103</v>
      </c>
      <c r="C622" s="55"/>
      <c r="D622" s="43">
        <v>0</v>
      </c>
      <c r="E622" s="408">
        <v>0</v>
      </c>
      <c r="F622" s="408">
        <v>0</v>
      </c>
      <c r="G622" s="408">
        <v>0</v>
      </c>
      <c r="H622" s="408">
        <v>0</v>
      </c>
      <c r="I622" s="408">
        <v>0</v>
      </c>
      <c r="J622" s="408">
        <v>0</v>
      </c>
      <c r="K622" s="408">
        <v>0</v>
      </c>
      <c r="L622" s="408">
        <v>0</v>
      </c>
      <c r="M622" s="408">
        <v>0</v>
      </c>
      <c r="N622" s="408">
        <v>0</v>
      </c>
      <c r="O622" s="408">
        <v>0</v>
      </c>
      <c r="P622" s="408">
        <v>0</v>
      </c>
      <c r="Q622" s="408">
        <v>0</v>
      </c>
      <c r="R622" s="408">
        <v>0</v>
      </c>
      <c r="S622" s="408">
        <v>0</v>
      </c>
      <c r="T622" s="408">
        <v>0</v>
      </c>
      <c r="U622" s="408">
        <v>0</v>
      </c>
      <c r="V622" s="408">
        <v>0</v>
      </c>
      <c r="W622" s="408">
        <v>0</v>
      </c>
      <c r="Y622" s="409"/>
      <c r="Z622" s="409"/>
      <c r="AA622" s="409"/>
      <c r="AB622" s="409"/>
      <c r="AC622" s="409"/>
      <c r="AD622" s="409"/>
      <c r="AE622" s="409"/>
      <c r="AF622" s="409"/>
      <c r="AG622" s="409"/>
      <c r="AH622" s="409"/>
      <c r="AI622" s="409"/>
      <c r="AJ622" s="409"/>
      <c r="AK622" s="409"/>
      <c r="AL622" s="409"/>
      <c r="AM622" s="409"/>
      <c r="AN622" s="409"/>
      <c r="AO622" s="409"/>
      <c r="AP622" s="409"/>
      <c r="AQ622" s="409"/>
      <c r="AR622" s="409"/>
      <c r="AS622" s="409"/>
    </row>
    <row r="623" spans="2:45" x14ac:dyDescent="0.3">
      <c r="B623" s="63" t="s">
        <v>198</v>
      </c>
      <c r="C623" s="64"/>
      <c r="D623" s="31">
        <f t="shared" ref="D623:W623" si="585">+D618-D616</f>
        <v>4.2263076923076994</v>
      </c>
      <c r="E623" s="32">
        <f t="shared" si="585"/>
        <v>4.7752307692307738</v>
      </c>
      <c r="F623" s="32">
        <f t="shared" si="585"/>
        <v>4.8993846153846192</v>
      </c>
      <c r="G623" s="32">
        <f t="shared" si="585"/>
        <v>4.6509230769230783</v>
      </c>
      <c r="H623" s="32">
        <f t="shared" si="585"/>
        <v>4.2773846153846193</v>
      </c>
      <c r="I623" s="32">
        <f t="shared" si="585"/>
        <v>4.6518461538461509</v>
      </c>
      <c r="J623" s="32">
        <f t="shared" si="585"/>
        <v>4.27553846153846</v>
      </c>
      <c r="K623" s="32">
        <f t="shared" si="585"/>
        <v>4.9761538461538493</v>
      </c>
      <c r="L623" s="32">
        <f t="shared" si="585"/>
        <v>4.4007692307692281</v>
      </c>
      <c r="M623" s="32">
        <f t="shared" si="585"/>
        <v>4.3524615384615402</v>
      </c>
      <c r="N623" s="32">
        <f t="shared" si="585"/>
        <v>4.1521538461538512</v>
      </c>
      <c r="O623" s="32">
        <f t="shared" si="585"/>
        <v>4.4492307692307662</v>
      </c>
      <c r="P623" s="32">
        <f t="shared" si="585"/>
        <v>4.3524615384615402</v>
      </c>
      <c r="Q623" s="32">
        <f t="shared" si="585"/>
        <v>4.3524615384615402</v>
      </c>
      <c r="R623" s="32">
        <f t="shared" si="585"/>
        <v>4.776923076923083</v>
      </c>
      <c r="S623" s="32">
        <f t="shared" si="585"/>
        <v>4.902000000000001</v>
      </c>
      <c r="T623" s="32">
        <f t="shared" si="585"/>
        <v>4.1120999999999981</v>
      </c>
      <c r="U623" s="32">
        <f t="shared" si="585"/>
        <v>4.4073307692307679</v>
      </c>
      <c r="V623" s="32">
        <f t="shared" si="585"/>
        <v>4.1120999999999981</v>
      </c>
      <c r="W623" s="32">
        <f t="shared" si="585"/>
        <v>4.3524615384615402</v>
      </c>
      <c r="Y623" s="390"/>
      <c r="Z623" s="390"/>
      <c r="AA623" s="390"/>
      <c r="AB623" s="390"/>
      <c r="AC623" s="390"/>
      <c r="AD623" s="390"/>
      <c r="AE623" s="390"/>
      <c r="AF623" s="390"/>
      <c r="AG623" s="390"/>
      <c r="AH623" s="390"/>
      <c r="AI623" s="390"/>
      <c r="AJ623" s="390"/>
      <c r="AK623" s="390"/>
      <c r="AL623" s="390"/>
      <c r="AM623" s="390"/>
      <c r="AN623" s="390"/>
      <c r="AO623" s="390"/>
      <c r="AP623" s="390"/>
      <c r="AQ623" s="390"/>
      <c r="AR623" s="390"/>
      <c r="AS623" s="390"/>
    </row>
    <row r="624" spans="2:45" x14ac:dyDescent="0.3">
      <c r="B624" s="63" t="s">
        <v>199</v>
      </c>
      <c r="C624" s="64"/>
      <c r="D624" s="31">
        <f t="shared" ref="D624:W624" si="586">+D619-D616</f>
        <v>5.2263076923076994</v>
      </c>
      <c r="E624" s="32">
        <f t="shared" si="586"/>
        <v>5.7752307692307738</v>
      </c>
      <c r="F624" s="32">
        <f t="shared" si="586"/>
        <v>5.8993846153846192</v>
      </c>
      <c r="G624" s="32">
        <f t="shared" si="586"/>
        <v>5.6509230769230783</v>
      </c>
      <c r="H624" s="32">
        <f t="shared" si="586"/>
        <v>5.2773846153846193</v>
      </c>
      <c r="I624" s="32">
        <f t="shared" si="586"/>
        <v>5.6518461538461509</v>
      </c>
      <c r="J624" s="32">
        <f t="shared" si="586"/>
        <v>5.27553846153846</v>
      </c>
      <c r="K624" s="32">
        <f t="shared" si="586"/>
        <v>5.9761538461538493</v>
      </c>
      <c r="L624" s="32">
        <f t="shared" si="586"/>
        <v>5.4007692307692281</v>
      </c>
      <c r="M624" s="32">
        <f t="shared" si="586"/>
        <v>5.3524615384615402</v>
      </c>
      <c r="N624" s="32">
        <f t="shared" si="586"/>
        <v>5.1521538461538512</v>
      </c>
      <c r="O624" s="32">
        <f t="shared" si="586"/>
        <v>5.4492307692307662</v>
      </c>
      <c r="P624" s="32">
        <f t="shared" si="586"/>
        <v>5.3524615384615402</v>
      </c>
      <c r="Q624" s="32">
        <f t="shared" si="586"/>
        <v>5.3524615384615402</v>
      </c>
      <c r="R624" s="32">
        <f t="shared" si="586"/>
        <v>5.776923076923083</v>
      </c>
      <c r="S624" s="32">
        <f t="shared" si="586"/>
        <v>5.902000000000001</v>
      </c>
      <c r="T624" s="32">
        <f t="shared" si="586"/>
        <v>5.1120999999999981</v>
      </c>
      <c r="U624" s="32">
        <f t="shared" si="586"/>
        <v>5.4073307692307679</v>
      </c>
      <c r="V624" s="32">
        <f t="shared" si="586"/>
        <v>5.1120999999999981</v>
      </c>
      <c r="W624" s="32">
        <f t="shared" si="586"/>
        <v>5.3524615384615402</v>
      </c>
      <c r="Y624" s="390"/>
      <c r="Z624" s="390"/>
      <c r="AA624" s="390"/>
      <c r="AB624" s="390"/>
      <c r="AC624" s="390"/>
      <c r="AD624" s="390"/>
      <c r="AE624" s="390"/>
      <c r="AF624" s="390"/>
      <c r="AG624" s="390"/>
      <c r="AH624" s="390"/>
      <c r="AI624" s="390"/>
      <c r="AJ624" s="390"/>
      <c r="AK624" s="390"/>
      <c r="AL624" s="390"/>
      <c r="AM624" s="390"/>
      <c r="AN624" s="390"/>
      <c r="AO624" s="390"/>
      <c r="AP624" s="390"/>
      <c r="AQ624" s="390"/>
      <c r="AR624" s="390"/>
      <c r="AS624" s="390"/>
    </row>
    <row r="625" spans="1:45" x14ac:dyDescent="0.3">
      <c r="B625" s="63" t="s">
        <v>200</v>
      </c>
      <c r="C625" s="64"/>
      <c r="D625" s="31">
        <f t="shared" ref="D625:W625" si="587">+D620-D616</f>
        <v>6.2263076923076994</v>
      </c>
      <c r="E625" s="32">
        <f t="shared" si="587"/>
        <v>6.7752307692307738</v>
      </c>
      <c r="F625" s="32">
        <f t="shared" si="587"/>
        <v>6.8993846153846192</v>
      </c>
      <c r="G625" s="32">
        <f t="shared" si="587"/>
        <v>6.6509230769230783</v>
      </c>
      <c r="H625" s="32">
        <f t="shared" si="587"/>
        <v>6.2773846153846193</v>
      </c>
      <c r="I625" s="32">
        <f t="shared" si="587"/>
        <v>6.6518461538461509</v>
      </c>
      <c r="J625" s="32">
        <f t="shared" si="587"/>
        <v>6.27553846153846</v>
      </c>
      <c r="K625" s="32">
        <f t="shared" si="587"/>
        <v>6.9761538461538493</v>
      </c>
      <c r="L625" s="32">
        <f t="shared" si="587"/>
        <v>6.4007692307692281</v>
      </c>
      <c r="M625" s="32">
        <f t="shared" si="587"/>
        <v>6.3524615384615402</v>
      </c>
      <c r="N625" s="32">
        <f t="shared" si="587"/>
        <v>6.1521538461538512</v>
      </c>
      <c r="O625" s="32">
        <f t="shared" si="587"/>
        <v>6.4492307692307662</v>
      </c>
      <c r="P625" s="32">
        <f t="shared" si="587"/>
        <v>6.3524615384615402</v>
      </c>
      <c r="Q625" s="32">
        <f t="shared" si="587"/>
        <v>6.3524615384615402</v>
      </c>
      <c r="R625" s="32">
        <f t="shared" si="587"/>
        <v>6.776923076923083</v>
      </c>
      <c r="S625" s="32">
        <f t="shared" si="587"/>
        <v>6.902000000000001</v>
      </c>
      <c r="T625" s="32">
        <f t="shared" si="587"/>
        <v>6.1120999999999981</v>
      </c>
      <c r="U625" s="32">
        <f t="shared" si="587"/>
        <v>6.4073307692307679</v>
      </c>
      <c r="V625" s="32">
        <f t="shared" si="587"/>
        <v>6.1120999999999981</v>
      </c>
      <c r="W625" s="32">
        <f t="shared" si="587"/>
        <v>6.3524615384615402</v>
      </c>
      <c r="Y625" s="390"/>
      <c r="Z625" s="390"/>
      <c r="AA625" s="390"/>
      <c r="AB625" s="390"/>
      <c r="AC625" s="390"/>
      <c r="AD625" s="390"/>
      <c r="AE625" s="390"/>
      <c r="AF625" s="390"/>
      <c r="AG625" s="390"/>
      <c r="AH625" s="390"/>
      <c r="AI625" s="390"/>
      <c r="AJ625" s="390"/>
      <c r="AK625" s="390"/>
      <c r="AL625" s="390"/>
      <c r="AM625" s="390"/>
      <c r="AN625" s="390"/>
      <c r="AO625" s="390"/>
      <c r="AP625" s="390"/>
      <c r="AQ625" s="390"/>
      <c r="AR625" s="390"/>
      <c r="AS625" s="390"/>
    </row>
    <row r="626" spans="1:45" x14ac:dyDescent="0.3">
      <c r="B626" s="63" t="s">
        <v>201</v>
      </c>
      <c r="C626" s="64"/>
      <c r="D626" s="31">
        <f t="shared" ref="D626:W626" si="588">+D621-D616</f>
        <v>7.2263076923076994</v>
      </c>
      <c r="E626" s="34">
        <f t="shared" si="588"/>
        <v>7.7752307692307738</v>
      </c>
      <c r="F626" s="34">
        <f t="shared" si="588"/>
        <v>7.8993846153846192</v>
      </c>
      <c r="G626" s="34">
        <f t="shared" si="588"/>
        <v>7.6509230769230783</v>
      </c>
      <c r="H626" s="34">
        <f t="shared" si="588"/>
        <v>7.2773846153846193</v>
      </c>
      <c r="I626" s="34">
        <f t="shared" si="588"/>
        <v>7.6518461538461509</v>
      </c>
      <c r="J626" s="34">
        <f t="shared" si="588"/>
        <v>7.27553846153846</v>
      </c>
      <c r="K626" s="34">
        <f t="shared" si="588"/>
        <v>7.9761538461538493</v>
      </c>
      <c r="L626" s="34">
        <f t="shared" si="588"/>
        <v>7.4007692307692281</v>
      </c>
      <c r="M626" s="34">
        <f t="shared" si="588"/>
        <v>7.3524615384615402</v>
      </c>
      <c r="N626" s="34">
        <f t="shared" si="588"/>
        <v>7.1521538461538512</v>
      </c>
      <c r="O626" s="34">
        <f t="shared" si="588"/>
        <v>7.4492307692307662</v>
      </c>
      <c r="P626" s="34">
        <f t="shared" si="588"/>
        <v>7.3524615384615402</v>
      </c>
      <c r="Q626" s="34">
        <f t="shared" si="588"/>
        <v>-63.64753846153846</v>
      </c>
      <c r="R626" s="34">
        <f t="shared" si="588"/>
        <v>7.776923076923083</v>
      </c>
      <c r="S626" s="34">
        <f t="shared" si="588"/>
        <v>7.902000000000001</v>
      </c>
      <c r="T626" s="34">
        <f t="shared" si="588"/>
        <v>7.1120999999999981</v>
      </c>
      <c r="U626" s="34">
        <f t="shared" si="588"/>
        <v>7.4073307692307679</v>
      </c>
      <c r="V626" s="34">
        <f t="shared" si="588"/>
        <v>7.1120999999999981</v>
      </c>
      <c r="W626" s="34">
        <f t="shared" si="588"/>
        <v>7.3524615384615402</v>
      </c>
      <c r="Y626" s="390"/>
      <c r="Z626" s="390"/>
      <c r="AA626" s="390"/>
      <c r="AB626" s="390"/>
      <c r="AC626" s="390"/>
      <c r="AD626" s="390"/>
      <c r="AE626" s="390"/>
      <c r="AF626" s="390"/>
      <c r="AG626" s="390"/>
      <c r="AH626" s="390"/>
      <c r="AI626" s="390"/>
      <c r="AJ626" s="390"/>
      <c r="AK626" s="390"/>
      <c r="AL626" s="390"/>
      <c r="AM626" s="390"/>
      <c r="AN626" s="390"/>
      <c r="AO626" s="390"/>
      <c r="AP626" s="390"/>
      <c r="AQ626" s="390"/>
      <c r="AR626" s="390"/>
      <c r="AS626" s="390"/>
    </row>
    <row r="627" spans="1:45" x14ac:dyDescent="0.3">
      <c r="B627" s="65" t="s">
        <v>108</v>
      </c>
      <c r="C627" s="55"/>
      <c r="D627" s="43">
        <v>0</v>
      </c>
      <c r="E627" s="408">
        <v>0</v>
      </c>
      <c r="F627" s="408">
        <v>0</v>
      </c>
      <c r="G627" s="408">
        <v>0</v>
      </c>
      <c r="H627" s="408">
        <v>0</v>
      </c>
      <c r="I627" s="408">
        <v>0</v>
      </c>
      <c r="J627" s="408">
        <v>0</v>
      </c>
      <c r="K627" s="408">
        <v>0</v>
      </c>
      <c r="L627" s="408">
        <v>0</v>
      </c>
      <c r="M627" s="408">
        <v>0</v>
      </c>
      <c r="N627" s="408">
        <v>0</v>
      </c>
      <c r="O627" s="408">
        <v>0</v>
      </c>
      <c r="P627" s="408">
        <v>0</v>
      </c>
      <c r="Q627" s="408">
        <v>0</v>
      </c>
      <c r="R627" s="408">
        <v>0</v>
      </c>
      <c r="S627" s="408">
        <v>0</v>
      </c>
      <c r="T627" s="408">
        <v>0</v>
      </c>
      <c r="U627" s="408">
        <v>0</v>
      </c>
      <c r="V627" s="408">
        <v>0</v>
      </c>
      <c r="W627" s="408">
        <v>0</v>
      </c>
      <c r="Y627" s="409"/>
      <c r="Z627" s="409"/>
      <c r="AA627" s="409"/>
      <c r="AB627" s="409"/>
      <c r="AC627" s="409"/>
      <c r="AD627" s="409"/>
      <c r="AE627" s="409"/>
      <c r="AF627" s="409"/>
      <c r="AG627" s="409"/>
      <c r="AH627" s="409"/>
      <c r="AI627" s="409"/>
      <c r="AJ627" s="409"/>
      <c r="AK627" s="409"/>
      <c r="AL627" s="409"/>
      <c r="AM627" s="409"/>
      <c r="AN627" s="409"/>
      <c r="AO627" s="409"/>
      <c r="AP627" s="409"/>
      <c r="AQ627" s="409"/>
      <c r="AR627" s="409"/>
      <c r="AS627" s="409"/>
    </row>
    <row r="628" spans="1:45" x14ac:dyDescent="0.3">
      <c r="B628" s="65" t="s">
        <v>202</v>
      </c>
      <c r="C628" s="66"/>
      <c r="D628" s="35">
        <f>+D623/D618</f>
        <v>6.2151583710407347E-2</v>
      </c>
      <c r="E628" s="35">
        <f t="shared" ref="E628:W628" si="589">+E623/E618</f>
        <v>6.725677139761653E-2</v>
      </c>
      <c r="F628" s="35">
        <f t="shared" si="589"/>
        <v>6.8047008547008597E-2</v>
      </c>
      <c r="G628" s="35">
        <f t="shared" si="589"/>
        <v>6.6441758241758256E-2</v>
      </c>
      <c r="H628" s="35">
        <f t="shared" si="589"/>
        <v>6.2902714932126749E-2</v>
      </c>
      <c r="I628" s="35">
        <f t="shared" si="589"/>
        <v>6.7418060200668858E-2</v>
      </c>
      <c r="J628" s="35">
        <f t="shared" si="589"/>
        <v>6.1079120879120853E-2</v>
      </c>
      <c r="K628" s="35">
        <f t="shared" si="589"/>
        <v>7.1087912087912139E-2</v>
      </c>
      <c r="L628" s="35">
        <f t="shared" si="589"/>
        <v>6.2868131868131824E-2</v>
      </c>
      <c r="M628" s="35">
        <f t="shared" si="589"/>
        <v>6.4006787330316769E-2</v>
      </c>
      <c r="N628" s="35">
        <f t="shared" si="589"/>
        <v>6.1061085972850752E-2</v>
      </c>
      <c r="O628" s="35">
        <f t="shared" si="589"/>
        <v>6.2665222101841778E-2</v>
      </c>
      <c r="P628" s="35">
        <f t="shared" si="589"/>
        <v>6.4006787330316769E-2</v>
      </c>
      <c r="Q628" s="35">
        <f t="shared" si="589"/>
        <v>6.4006787330316769E-2</v>
      </c>
      <c r="R628" s="35">
        <f t="shared" si="589"/>
        <v>6.9230769230769318E-2</v>
      </c>
      <c r="S628" s="35">
        <f t="shared" si="589"/>
        <v>7.1043478260869583E-2</v>
      </c>
      <c r="T628" s="35">
        <f t="shared" si="589"/>
        <v>6.425156249999997E-2</v>
      </c>
      <c r="U628" s="35">
        <f t="shared" si="589"/>
        <v>6.3874358974358961E-2</v>
      </c>
      <c r="V628" s="35">
        <f t="shared" si="589"/>
        <v>6.425156249999997E-2</v>
      </c>
      <c r="W628" s="35">
        <f t="shared" si="589"/>
        <v>6.4006787330316769E-2</v>
      </c>
      <c r="Y628" s="390"/>
      <c r="Z628" s="390"/>
      <c r="AA628" s="390"/>
      <c r="AB628" s="390"/>
      <c r="AC628" s="390"/>
      <c r="AD628" s="390"/>
      <c r="AE628" s="390"/>
      <c r="AF628" s="390"/>
      <c r="AG628" s="390"/>
      <c r="AH628" s="390"/>
      <c r="AI628" s="390"/>
      <c r="AJ628" s="390"/>
      <c r="AK628" s="390"/>
      <c r="AL628" s="390"/>
      <c r="AM628" s="390"/>
      <c r="AN628" s="390"/>
      <c r="AO628" s="390"/>
      <c r="AP628" s="390"/>
      <c r="AQ628" s="390"/>
      <c r="AR628" s="390"/>
      <c r="AS628" s="390"/>
    </row>
    <row r="629" spans="1:45" x14ac:dyDescent="0.3">
      <c r="B629" s="65" t="s">
        <v>203</v>
      </c>
      <c r="C629" s="66"/>
      <c r="D629" s="35">
        <f>+D624/D619</f>
        <v>7.5743589743589843E-2</v>
      </c>
      <c r="E629" s="35">
        <f t="shared" ref="E629:W629" si="590">+E624/E619</f>
        <v>8.0211538461538529E-2</v>
      </c>
      <c r="F629" s="35">
        <f t="shared" si="590"/>
        <v>8.0813487881981089E-2</v>
      </c>
      <c r="G629" s="35">
        <f t="shared" si="590"/>
        <v>7.9590465872156027E-2</v>
      </c>
      <c r="H629" s="35">
        <f t="shared" si="590"/>
        <v>7.6483835005574194E-2</v>
      </c>
      <c r="I629" s="35">
        <f t="shared" si="590"/>
        <v>8.0740659340659299E-2</v>
      </c>
      <c r="J629" s="35">
        <f t="shared" si="590"/>
        <v>7.430335861321774E-2</v>
      </c>
      <c r="K629" s="35">
        <f t="shared" si="590"/>
        <v>8.417118093174436E-2</v>
      </c>
      <c r="L629" s="35">
        <f t="shared" si="590"/>
        <v>7.6067172264355332E-2</v>
      </c>
      <c r="M629" s="35">
        <f t="shared" si="590"/>
        <v>7.757190635451508E-2</v>
      </c>
      <c r="N629" s="35">
        <f t="shared" si="590"/>
        <v>7.4668896321070308E-2</v>
      </c>
      <c r="O629" s="35">
        <f t="shared" si="590"/>
        <v>7.5683760683760648E-2</v>
      </c>
      <c r="P629" s="35">
        <f t="shared" si="590"/>
        <v>7.757190635451508E-2</v>
      </c>
      <c r="Q629" s="35">
        <f t="shared" si="590"/>
        <v>7.757190635451508E-2</v>
      </c>
      <c r="R629" s="35">
        <f t="shared" si="590"/>
        <v>8.2527472527472612E-2</v>
      </c>
      <c r="S629" s="35">
        <f t="shared" si="590"/>
        <v>8.431428571428573E-2</v>
      </c>
      <c r="T629" s="35">
        <f t="shared" si="590"/>
        <v>7.864769230769228E-2</v>
      </c>
      <c r="U629" s="35">
        <f t="shared" si="590"/>
        <v>7.7247582417582394E-2</v>
      </c>
      <c r="V629" s="35">
        <f t="shared" si="590"/>
        <v>7.864769230769228E-2</v>
      </c>
      <c r="W629" s="35">
        <f t="shared" si="590"/>
        <v>7.757190635451508E-2</v>
      </c>
      <c r="Y629" s="390"/>
      <c r="Z629" s="390"/>
      <c r="AA629" s="390"/>
      <c r="AB629" s="390"/>
      <c r="AC629" s="390"/>
      <c r="AD629" s="390"/>
      <c r="AE629" s="390"/>
      <c r="AF629" s="390"/>
      <c r="AG629" s="390"/>
      <c r="AH629" s="390"/>
      <c r="AI629" s="390"/>
      <c r="AJ629" s="390"/>
      <c r="AK629" s="390"/>
      <c r="AL629" s="390"/>
      <c r="AM629" s="390"/>
      <c r="AN629" s="390"/>
      <c r="AO629" s="390"/>
      <c r="AP629" s="390"/>
      <c r="AQ629" s="390"/>
      <c r="AR629" s="390"/>
      <c r="AS629" s="390"/>
    </row>
    <row r="630" spans="1:45" x14ac:dyDescent="0.3">
      <c r="B630" s="65" t="s">
        <v>204</v>
      </c>
      <c r="C630" s="66"/>
      <c r="D630" s="35">
        <f>+D625/D620</f>
        <v>8.8947252747252847E-2</v>
      </c>
      <c r="E630" s="35">
        <f t="shared" ref="E630:W630" si="591">+E625/E620</f>
        <v>9.2811380400421556E-2</v>
      </c>
      <c r="F630" s="35">
        <f t="shared" si="591"/>
        <v>9.3234927234927281E-2</v>
      </c>
      <c r="G630" s="35">
        <f t="shared" si="591"/>
        <v>9.2373931623931649E-2</v>
      </c>
      <c r="H630" s="35">
        <f t="shared" si="591"/>
        <v>8.967692307692314E-2</v>
      </c>
      <c r="I630" s="35">
        <f t="shared" si="591"/>
        <v>9.3687973997833116E-2</v>
      </c>
      <c r="J630" s="35">
        <f t="shared" si="591"/>
        <v>8.716025641025639E-2</v>
      </c>
      <c r="K630" s="35">
        <f t="shared" si="591"/>
        <v>9.6891025641025683E-2</v>
      </c>
      <c r="L630" s="35">
        <f t="shared" si="591"/>
        <v>8.8899572649572614E-2</v>
      </c>
      <c r="M630" s="35">
        <f t="shared" si="591"/>
        <v>9.0749450549450578E-2</v>
      </c>
      <c r="N630" s="35">
        <f t="shared" si="591"/>
        <v>8.7887912087912162E-2</v>
      </c>
      <c r="O630" s="35">
        <f t="shared" si="591"/>
        <v>8.8345626975763925E-2</v>
      </c>
      <c r="P630" s="35">
        <f t="shared" si="591"/>
        <v>9.0749450549450578E-2</v>
      </c>
      <c r="Q630" s="35">
        <f t="shared" si="591"/>
        <v>9.0749450549450578E-2</v>
      </c>
      <c r="R630" s="35">
        <f t="shared" si="591"/>
        <v>9.5449620801733567E-2</v>
      </c>
      <c r="S630" s="35">
        <f t="shared" si="591"/>
        <v>9.7211267605633811E-2</v>
      </c>
      <c r="T630" s="35">
        <f t="shared" si="591"/>
        <v>9.2607575757575722E-2</v>
      </c>
      <c r="U630" s="35">
        <f t="shared" si="591"/>
        <v>9.0244095341278419E-2</v>
      </c>
      <c r="V630" s="35">
        <f t="shared" si="591"/>
        <v>9.2607575757575722E-2</v>
      </c>
      <c r="W630" s="35">
        <f t="shared" si="591"/>
        <v>9.0749450549450578E-2</v>
      </c>
      <c r="Y630" s="390"/>
      <c r="Z630" s="390"/>
      <c r="AA630" s="390"/>
      <c r="AB630" s="390"/>
      <c r="AC630" s="390"/>
      <c r="AD630" s="390"/>
      <c r="AE630" s="390"/>
      <c r="AF630" s="390"/>
      <c r="AG630" s="390"/>
      <c r="AH630" s="390"/>
      <c r="AI630" s="390"/>
      <c r="AJ630" s="390"/>
      <c r="AK630" s="390"/>
      <c r="AL630" s="390"/>
      <c r="AM630" s="390"/>
      <c r="AN630" s="390"/>
      <c r="AO630" s="390"/>
      <c r="AP630" s="390"/>
      <c r="AQ630" s="390"/>
      <c r="AR630" s="390"/>
      <c r="AS630" s="390"/>
    </row>
    <row r="631" spans="1:45" x14ac:dyDescent="0.3">
      <c r="B631" s="65" t="s">
        <v>205</v>
      </c>
      <c r="C631" s="66"/>
      <c r="D631" s="35">
        <f>+D626/D621</f>
        <v>0.10177898158179859</v>
      </c>
      <c r="E631" s="35">
        <f t="shared" ref="E631:W631" si="592">+E626/E621</f>
        <v>0.10507068607068613</v>
      </c>
      <c r="F631" s="35">
        <f t="shared" si="592"/>
        <v>0.10532512820512825</v>
      </c>
      <c r="G631" s="35">
        <f t="shared" si="592"/>
        <v>0.10480716543730244</v>
      </c>
      <c r="H631" s="35">
        <f t="shared" si="592"/>
        <v>0.1024983748645721</v>
      </c>
      <c r="I631" s="35">
        <f t="shared" si="592"/>
        <v>0.10627564102564098</v>
      </c>
      <c r="J631" s="35">
        <f t="shared" si="592"/>
        <v>9.9664910432033696E-2</v>
      </c>
      <c r="K631" s="35">
        <f t="shared" si="592"/>
        <v>0.10926238145416232</v>
      </c>
      <c r="L631" s="35">
        <f t="shared" si="592"/>
        <v>0.10138040042149628</v>
      </c>
      <c r="M631" s="35">
        <f t="shared" si="592"/>
        <v>0.10355579631635972</v>
      </c>
      <c r="N631" s="35">
        <f t="shared" si="592"/>
        <v>0.10073456121343452</v>
      </c>
      <c r="O631" s="35">
        <f t="shared" si="592"/>
        <v>0.10066528066528062</v>
      </c>
      <c r="P631" s="35">
        <f t="shared" si="592"/>
        <v>0.10355579631635972</v>
      </c>
      <c r="Q631" s="35" t="e">
        <f t="shared" si="592"/>
        <v>#DIV/0!</v>
      </c>
      <c r="R631" s="35">
        <f t="shared" si="592"/>
        <v>0.1080128205128206</v>
      </c>
      <c r="S631" s="35">
        <f t="shared" si="592"/>
        <v>0.10975000000000001</v>
      </c>
      <c r="T631" s="35">
        <f t="shared" si="592"/>
        <v>0.10615074626865668</v>
      </c>
      <c r="U631" s="35">
        <f t="shared" si="592"/>
        <v>0.102879594017094</v>
      </c>
      <c r="V631" s="35">
        <f t="shared" si="592"/>
        <v>0.10615074626865668</v>
      </c>
      <c r="W631" s="35">
        <f t="shared" si="592"/>
        <v>0.10355579631635972</v>
      </c>
      <c r="Y631" s="390"/>
      <c r="Z631" s="390"/>
      <c r="AA631" s="390"/>
      <c r="AB631" s="390"/>
      <c r="AC631" s="390"/>
      <c r="AD631" s="390"/>
      <c r="AE631" s="390"/>
      <c r="AF631" s="390"/>
      <c r="AG631" s="390"/>
      <c r="AH631" s="390"/>
      <c r="AI631" s="390"/>
      <c r="AJ631" s="390"/>
      <c r="AK631" s="390"/>
      <c r="AL631" s="390"/>
      <c r="AM631" s="390"/>
      <c r="AN631" s="390"/>
      <c r="AO631" s="390"/>
      <c r="AP631" s="390"/>
      <c r="AQ631" s="390"/>
      <c r="AR631" s="390"/>
      <c r="AS631" s="390"/>
    </row>
    <row r="632" spans="1:45" ht="21" thickBot="1" x14ac:dyDescent="0.35">
      <c r="Y632" s="390"/>
      <c r="Z632" s="390"/>
      <c r="AA632" s="390"/>
      <c r="AB632" s="390"/>
      <c r="AC632" s="390"/>
      <c r="AD632" s="390"/>
      <c r="AE632" s="390"/>
      <c r="AF632" s="390"/>
      <c r="AG632" s="390"/>
      <c r="AH632" s="390"/>
      <c r="AI632" s="390"/>
      <c r="AJ632" s="390"/>
      <c r="AK632" s="390"/>
      <c r="AL632" s="390"/>
      <c r="AM632" s="390"/>
      <c r="AN632" s="390"/>
      <c r="AO632" s="390"/>
      <c r="AP632" s="390"/>
      <c r="AQ632" s="390"/>
      <c r="AR632" s="390"/>
      <c r="AS632" s="390"/>
    </row>
    <row r="633" spans="1:45" ht="21" thickBot="1" x14ac:dyDescent="0.35">
      <c r="A633" s="15" t="s">
        <v>332</v>
      </c>
      <c r="B633" s="74" t="s">
        <v>230</v>
      </c>
      <c r="C633" s="68"/>
      <c r="D633" s="17" t="s">
        <v>5</v>
      </c>
      <c r="E633" s="18" t="s">
        <v>6</v>
      </c>
      <c r="F633" s="18" t="s">
        <v>7</v>
      </c>
      <c r="G633" s="18" t="s">
        <v>8</v>
      </c>
      <c r="H633" s="18" t="s">
        <v>9</v>
      </c>
      <c r="I633" s="18" t="s">
        <v>10</v>
      </c>
      <c r="J633" s="18" t="s">
        <v>11</v>
      </c>
      <c r="K633" s="18" t="s">
        <v>12</v>
      </c>
      <c r="L633" s="18" t="s">
        <v>13</v>
      </c>
      <c r="M633" s="18" t="s">
        <v>14</v>
      </c>
      <c r="N633" s="18" t="s">
        <v>15</v>
      </c>
      <c r="O633" s="18" t="s">
        <v>16</v>
      </c>
      <c r="P633" s="18" t="s">
        <v>17</v>
      </c>
      <c r="Q633" s="18" t="s">
        <v>18</v>
      </c>
      <c r="R633" s="18" t="s">
        <v>19</v>
      </c>
      <c r="S633" s="18" t="s">
        <v>20</v>
      </c>
      <c r="T633" s="18" t="s">
        <v>21</v>
      </c>
      <c r="U633" s="18" t="s">
        <v>22</v>
      </c>
      <c r="V633" s="18" t="s">
        <v>23</v>
      </c>
      <c r="W633" s="18" t="s">
        <v>166</v>
      </c>
      <c r="Y633" s="390"/>
      <c r="Z633" s="390"/>
      <c r="AA633" s="390"/>
      <c r="AB633" s="390"/>
      <c r="AC633" s="390"/>
      <c r="AD633" s="390"/>
      <c r="AE633" s="390"/>
      <c r="AF633" s="390"/>
      <c r="AG633" s="390"/>
      <c r="AH633" s="390"/>
      <c r="AI633" s="390"/>
      <c r="AJ633" s="390"/>
      <c r="AK633" s="390"/>
      <c r="AL633" s="390"/>
      <c r="AM633" s="390"/>
      <c r="AN633" s="390"/>
      <c r="AO633" s="390"/>
      <c r="AP633" s="390"/>
      <c r="AQ633" s="390"/>
      <c r="AR633" s="390"/>
      <c r="AS633" s="390"/>
    </row>
    <row r="634" spans="1:45" x14ac:dyDescent="0.3">
      <c r="B634" s="69" t="s">
        <v>50</v>
      </c>
      <c r="C634" s="70"/>
      <c r="D634" s="20">
        <v>730</v>
      </c>
      <c r="E634" s="20">
        <v>730</v>
      </c>
      <c r="F634" s="20">
        <v>730</v>
      </c>
      <c r="G634" s="20">
        <v>730</v>
      </c>
      <c r="H634" s="20">
        <v>730</v>
      </c>
      <c r="I634" s="20">
        <v>730</v>
      </c>
      <c r="J634" s="20">
        <v>730</v>
      </c>
      <c r="K634" s="20">
        <v>730</v>
      </c>
      <c r="L634" s="20">
        <v>730</v>
      </c>
      <c r="M634" s="20">
        <v>730</v>
      </c>
      <c r="N634" s="20">
        <v>730</v>
      </c>
      <c r="O634" s="20">
        <v>730</v>
      </c>
      <c r="P634" s="20">
        <v>730</v>
      </c>
      <c r="Q634" s="20">
        <v>730</v>
      </c>
      <c r="R634" s="20">
        <v>730</v>
      </c>
      <c r="S634" s="20">
        <v>730</v>
      </c>
      <c r="T634" s="20"/>
      <c r="U634" s="20"/>
      <c r="V634" s="20"/>
      <c r="W634" s="20">
        <v>730</v>
      </c>
      <c r="Y634" s="390"/>
      <c r="Z634" s="390"/>
      <c r="AA634" s="390"/>
      <c r="AB634" s="390"/>
      <c r="AC634" s="390"/>
      <c r="AD634" s="390"/>
      <c r="AE634" s="390"/>
      <c r="AF634" s="390"/>
      <c r="AG634" s="390"/>
      <c r="AH634" s="390"/>
      <c r="AI634" s="390"/>
      <c r="AJ634" s="390"/>
      <c r="AK634" s="390"/>
      <c r="AL634" s="390"/>
      <c r="AM634" s="390"/>
      <c r="AN634" s="390"/>
      <c r="AO634" s="390"/>
      <c r="AP634" s="390"/>
      <c r="AQ634" s="390"/>
      <c r="AR634" s="390"/>
      <c r="AS634" s="390"/>
    </row>
    <row r="635" spans="1:45" x14ac:dyDescent="0.3">
      <c r="B635" s="54" t="s">
        <v>51</v>
      </c>
      <c r="C635" s="55"/>
      <c r="D635" s="322">
        <v>0.24</v>
      </c>
      <c r="E635" s="322">
        <f>D635</f>
        <v>0.24</v>
      </c>
      <c r="F635" s="322">
        <f>D635</f>
        <v>0.24</v>
      </c>
      <c r="G635" s="322">
        <f>D635</f>
        <v>0.24</v>
      </c>
      <c r="H635" s="322">
        <f>D635</f>
        <v>0.24</v>
      </c>
      <c r="I635" s="322">
        <f>D635</f>
        <v>0.24</v>
      </c>
      <c r="J635" s="322">
        <f>D635</f>
        <v>0.24</v>
      </c>
      <c r="K635" s="322">
        <f>D635</f>
        <v>0.24</v>
      </c>
      <c r="L635" s="322">
        <f>D635</f>
        <v>0.24</v>
      </c>
      <c r="M635" s="322">
        <f>D635</f>
        <v>0.24</v>
      </c>
      <c r="N635" s="322">
        <f>D635</f>
        <v>0.24</v>
      </c>
      <c r="O635" s="322">
        <f>D635</f>
        <v>0.24</v>
      </c>
      <c r="P635" s="322">
        <f>D635</f>
        <v>0.24</v>
      </c>
      <c r="Q635" s="322">
        <f>D635</f>
        <v>0.24</v>
      </c>
      <c r="R635" s="322">
        <f>D635</f>
        <v>0.24</v>
      </c>
      <c r="S635" s="322">
        <f>D635</f>
        <v>0.24</v>
      </c>
      <c r="T635" s="218"/>
      <c r="U635" s="218"/>
      <c r="V635" s="218"/>
      <c r="W635" s="322">
        <f>J635</f>
        <v>0.24</v>
      </c>
      <c r="Y635" s="390"/>
      <c r="Z635" s="390"/>
      <c r="AA635" s="390"/>
      <c r="AB635" s="390"/>
      <c r="AC635" s="390"/>
      <c r="AD635" s="390"/>
      <c r="AE635" s="390"/>
      <c r="AF635" s="390"/>
      <c r="AG635" s="390"/>
      <c r="AH635" s="390"/>
      <c r="AI635" s="390"/>
      <c r="AJ635" s="390"/>
      <c r="AK635" s="390"/>
      <c r="AL635" s="390"/>
      <c r="AM635" s="390"/>
      <c r="AN635" s="390"/>
      <c r="AO635" s="390"/>
      <c r="AP635" s="390"/>
      <c r="AQ635" s="390"/>
      <c r="AR635" s="390"/>
      <c r="AS635" s="390"/>
    </row>
    <row r="636" spans="1:45" x14ac:dyDescent="0.3">
      <c r="B636" s="54" t="s">
        <v>56</v>
      </c>
      <c r="C636" s="55"/>
      <c r="D636" s="21">
        <v>0</v>
      </c>
      <c r="E636" s="21">
        <v>0</v>
      </c>
      <c r="F636" s="21">
        <v>0</v>
      </c>
      <c r="G636" s="21">
        <v>0</v>
      </c>
      <c r="H636" s="21">
        <v>0</v>
      </c>
      <c r="I636" s="21">
        <v>0</v>
      </c>
      <c r="J636" s="21">
        <v>0</v>
      </c>
      <c r="K636" s="21">
        <v>0</v>
      </c>
      <c r="L636" s="21">
        <v>0</v>
      </c>
      <c r="M636" s="21">
        <v>0</v>
      </c>
      <c r="N636" s="21">
        <v>0</v>
      </c>
      <c r="O636" s="21">
        <v>0</v>
      </c>
      <c r="P636" s="21">
        <v>0</v>
      </c>
      <c r="Q636" s="21">
        <v>0</v>
      </c>
      <c r="R636" s="21">
        <v>0</v>
      </c>
      <c r="S636" s="21">
        <v>0</v>
      </c>
      <c r="T636" s="21"/>
      <c r="U636" s="21"/>
      <c r="V636" s="21"/>
      <c r="W636" s="21">
        <v>0</v>
      </c>
      <c r="Y636" s="390"/>
      <c r="Z636" s="390"/>
      <c r="AA636" s="390"/>
      <c r="AB636" s="390"/>
      <c r="AC636" s="390"/>
      <c r="AD636" s="390"/>
      <c r="AE636" s="390"/>
      <c r="AF636" s="390"/>
      <c r="AG636" s="390"/>
      <c r="AH636" s="390"/>
      <c r="AI636" s="390"/>
      <c r="AJ636" s="390"/>
      <c r="AK636" s="390"/>
      <c r="AL636" s="390"/>
      <c r="AM636" s="390"/>
      <c r="AN636" s="390"/>
      <c r="AO636" s="390"/>
      <c r="AP636" s="390"/>
      <c r="AQ636" s="390"/>
      <c r="AR636" s="390"/>
      <c r="AS636" s="390"/>
    </row>
    <row r="637" spans="1:45" x14ac:dyDescent="0.3">
      <c r="B637" s="177" t="s">
        <v>67</v>
      </c>
      <c r="C637" s="178"/>
      <c r="D637" s="323">
        <f>D634-(D634*D635)</f>
        <v>554.79999999999995</v>
      </c>
      <c r="E637" s="323">
        <f t="shared" ref="E637:W637" si="593">E634-(E634*E635)</f>
        <v>554.79999999999995</v>
      </c>
      <c r="F637" s="323">
        <f t="shared" si="593"/>
        <v>554.79999999999995</v>
      </c>
      <c r="G637" s="323">
        <f t="shared" si="593"/>
        <v>554.79999999999995</v>
      </c>
      <c r="H637" s="323">
        <f t="shared" si="593"/>
        <v>554.79999999999995</v>
      </c>
      <c r="I637" s="323">
        <f t="shared" si="593"/>
        <v>554.79999999999995</v>
      </c>
      <c r="J637" s="323">
        <f t="shared" si="593"/>
        <v>554.79999999999995</v>
      </c>
      <c r="K637" s="323">
        <f t="shared" si="593"/>
        <v>554.79999999999995</v>
      </c>
      <c r="L637" s="323">
        <f t="shared" si="593"/>
        <v>554.79999999999995</v>
      </c>
      <c r="M637" s="323">
        <f t="shared" si="593"/>
        <v>554.79999999999995</v>
      </c>
      <c r="N637" s="323">
        <f t="shared" si="593"/>
        <v>554.79999999999995</v>
      </c>
      <c r="O637" s="323">
        <f t="shared" si="593"/>
        <v>554.79999999999995</v>
      </c>
      <c r="P637" s="323">
        <f t="shared" si="593"/>
        <v>554.79999999999995</v>
      </c>
      <c r="Q637" s="323">
        <f t="shared" si="593"/>
        <v>554.79999999999995</v>
      </c>
      <c r="R637" s="323">
        <f t="shared" si="593"/>
        <v>554.79999999999995</v>
      </c>
      <c r="S637" s="323">
        <f t="shared" si="593"/>
        <v>554.79999999999995</v>
      </c>
      <c r="T637" s="323">
        <v>594.29999999999995</v>
      </c>
      <c r="U637" s="323">
        <v>594.29999999999995</v>
      </c>
      <c r="V637" s="323">
        <v>594.29999999999995</v>
      </c>
      <c r="W637" s="323">
        <f t="shared" si="593"/>
        <v>554.79999999999995</v>
      </c>
      <c r="Y637" s="390"/>
      <c r="Z637" s="390"/>
      <c r="AA637" s="390"/>
      <c r="AB637" s="390"/>
      <c r="AC637" s="390"/>
      <c r="AD637" s="390"/>
      <c r="AE637" s="390"/>
      <c r="AF637" s="390"/>
      <c r="AG637" s="390"/>
      <c r="AH637" s="390"/>
      <c r="AI637" s="390"/>
      <c r="AJ637" s="390"/>
      <c r="AK637" s="390"/>
      <c r="AL637" s="390"/>
      <c r="AM637" s="390"/>
      <c r="AN637" s="390"/>
      <c r="AO637" s="390"/>
      <c r="AP637" s="390"/>
      <c r="AQ637" s="390"/>
      <c r="AR637" s="390"/>
      <c r="AS637" s="390"/>
    </row>
    <row r="638" spans="1:45" x14ac:dyDescent="0.3">
      <c r="B638" s="54" t="s">
        <v>66</v>
      </c>
      <c r="C638" s="56">
        <v>7.0000000000000007E-2</v>
      </c>
      <c r="D638" s="24">
        <f>D637*$C638</f>
        <v>38.835999999999999</v>
      </c>
      <c r="E638" s="24">
        <f t="shared" ref="E638:V638" si="594">E637*$C638</f>
        <v>38.835999999999999</v>
      </c>
      <c r="F638" s="24">
        <f t="shared" si="594"/>
        <v>38.835999999999999</v>
      </c>
      <c r="G638" s="24">
        <f t="shared" si="594"/>
        <v>38.835999999999999</v>
      </c>
      <c r="H638" s="24">
        <f t="shared" si="594"/>
        <v>38.835999999999999</v>
      </c>
      <c r="I638" s="24">
        <f t="shared" si="594"/>
        <v>38.835999999999999</v>
      </c>
      <c r="J638" s="24">
        <f t="shared" si="594"/>
        <v>38.835999999999999</v>
      </c>
      <c r="K638" s="24">
        <f t="shared" si="594"/>
        <v>38.835999999999999</v>
      </c>
      <c r="L638" s="24">
        <f t="shared" si="594"/>
        <v>38.835999999999999</v>
      </c>
      <c r="M638" s="24">
        <f t="shared" si="594"/>
        <v>38.835999999999999</v>
      </c>
      <c r="N638" s="24">
        <f t="shared" si="594"/>
        <v>38.835999999999999</v>
      </c>
      <c r="O638" s="24">
        <f t="shared" si="594"/>
        <v>38.835999999999999</v>
      </c>
      <c r="P638" s="24">
        <f t="shared" si="594"/>
        <v>38.835999999999999</v>
      </c>
      <c r="Q638" s="24">
        <f t="shared" si="594"/>
        <v>38.835999999999999</v>
      </c>
      <c r="R638" s="24">
        <f t="shared" si="594"/>
        <v>38.835999999999999</v>
      </c>
      <c r="S638" s="24">
        <f t="shared" si="594"/>
        <v>38.835999999999999</v>
      </c>
      <c r="T638" s="24">
        <f t="shared" si="594"/>
        <v>41.600999999999999</v>
      </c>
      <c r="U638" s="24">
        <f t="shared" si="594"/>
        <v>41.600999999999999</v>
      </c>
      <c r="V638" s="24">
        <f t="shared" si="594"/>
        <v>41.600999999999999</v>
      </c>
      <c r="W638" s="24">
        <f>W637*$C638</f>
        <v>38.835999999999999</v>
      </c>
      <c r="Y638" s="390"/>
      <c r="Z638" s="390"/>
      <c r="AA638" s="390"/>
      <c r="AB638" s="390"/>
      <c r="AC638" s="390"/>
      <c r="AD638" s="390"/>
      <c r="AE638" s="390"/>
      <c r="AF638" s="390"/>
      <c r="AG638" s="390"/>
      <c r="AH638" s="390"/>
      <c r="AI638" s="390"/>
      <c r="AJ638" s="390"/>
      <c r="AK638" s="390"/>
      <c r="AL638" s="390"/>
      <c r="AM638" s="390"/>
      <c r="AN638" s="390"/>
      <c r="AO638" s="390"/>
      <c r="AP638" s="390"/>
      <c r="AQ638" s="390"/>
      <c r="AR638" s="390"/>
      <c r="AS638" s="390"/>
    </row>
    <row r="639" spans="1:45" x14ac:dyDescent="0.3">
      <c r="B639" s="54" t="s">
        <v>68</v>
      </c>
      <c r="C639" s="55"/>
      <c r="D639" s="21">
        <f>D637+D638</f>
        <v>593.63599999999997</v>
      </c>
      <c r="E639" s="21">
        <f t="shared" ref="E639:V639" si="595">E637+E638</f>
        <v>593.63599999999997</v>
      </c>
      <c r="F639" s="21">
        <f t="shared" si="595"/>
        <v>593.63599999999997</v>
      </c>
      <c r="G639" s="21">
        <f t="shared" si="595"/>
        <v>593.63599999999997</v>
      </c>
      <c r="H639" s="21">
        <f t="shared" si="595"/>
        <v>593.63599999999997</v>
      </c>
      <c r="I639" s="21">
        <f t="shared" si="595"/>
        <v>593.63599999999997</v>
      </c>
      <c r="J639" s="21">
        <f t="shared" si="595"/>
        <v>593.63599999999997</v>
      </c>
      <c r="K639" s="21">
        <f t="shared" si="595"/>
        <v>593.63599999999997</v>
      </c>
      <c r="L639" s="21">
        <f t="shared" si="595"/>
        <v>593.63599999999997</v>
      </c>
      <c r="M639" s="21">
        <f t="shared" si="595"/>
        <v>593.63599999999997</v>
      </c>
      <c r="N639" s="21">
        <f t="shared" si="595"/>
        <v>593.63599999999997</v>
      </c>
      <c r="O639" s="21">
        <f t="shared" si="595"/>
        <v>593.63599999999997</v>
      </c>
      <c r="P639" s="21">
        <f t="shared" si="595"/>
        <v>593.63599999999997</v>
      </c>
      <c r="Q639" s="21">
        <f t="shared" si="595"/>
        <v>593.63599999999997</v>
      </c>
      <c r="R639" s="21">
        <f t="shared" si="595"/>
        <v>593.63599999999997</v>
      </c>
      <c r="S639" s="21">
        <f t="shared" si="595"/>
        <v>593.63599999999997</v>
      </c>
      <c r="T639" s="21">
        <f t="shared" si="595"/>
        <v>635.90099999999995</v>
      </c>
      <c r="U639" s="21">
        <f t="shared" si="595"/>
        <v>635.90099999999995</v>
      </c>
      <c r="V639" s="21">
        <f t="shared" si="595"/>
        <v>635.90099999999995</v>
      </c>
      <c r="W639" s="21">
        <f>W637+W638</f>
        <v>593.63599999999997</v>
      </c>
      <c r="Y639" s="390"/>
      <c r="Z639" s="390"/>
      <c r="AA639" s="390"/>
      <c r="AB639" s="390"/>
      <c r="AC639" s="390"/>
      <c r="AD639" s="390"/>
      <c r="AE639" s="390"/>
      <c r="AF639" s="390"/>
      <c r="AG639" s="390"/>
      <c r="AH639" s="390"/>
      <c r="AI639" s="390"/>
      <c r="AJ639" s="390"/>
      <c r="AK639" s="390"/>
      <c r="AL639" s="390"/>
      <c r="AM639" s="390"/>
      <c r="AN639" s="390"/>
      <c r="AO639" s="390"/>
      <c r="AP639" s="390"/>
      <c r="AQ639" s="390"/>
      <c r="AR639" s="390"/>
      <c r="AS639" s="390"/>
    </row>
    <row r="640" spans="1:45" x14ac:dyDescent="0.3">
      <c r="B640" s="54" t="s">
        <v>52</v>
      </c>
      <c r="C640" s="55"/>
      <c r="D640" s="398">
        <f>Y642</f>
        <v>25.571428571428573</v>
      </c>
      <c r="E640" s="398">
        <f t="shared" ref="E640:W640" si="596">Z642</f>
        <v>58.085714285714289</v>
      </c>
      <c r="F640" s="398">
        <f t="shared" si="596"/>
        <v>69.704081632653057</v>
      </c>
      <c r="G640" s="398">
        <f t="shared" si="596"/>
        <v>46.469387755102041</v>
      </c>
      <c r="H640" s="398">
        <f t="shared" si="596"/>
        <v>24.89387755102041</v>
      </c>
      <c r="I640" s="398">
        <f t="shared" si="596"/>
        <v>33.191836734693879</v>
      </c>
      <c r="J640" s="398">
        <f t="shared" si="596"/>
        <v>51.448979591836732</v>
      </c>
      <c r="K640" s="398">
        <f t="shared" si="596"/>
        <v>42.155102040816324</v>
      </c>
      <c r="L640" s="398">
        <f t="shared" si="596"/>
        <v>49.787755102040819</v>
      </c>
      <c r="M640" s="398">
        <f t="shared" si="596"/>
        <v>23.897959183673468</v>
      </c>
      <c r="N640" s="398">
        <f t="shared" si="596"/>
        <v>26.555102040816326</v>
      </c>
      <c r="O640" s="398">
        <f t="shared" si="596"/>
        <v>62.410204081632656</v>
      </c>
      <c r="P640" s="398">
        <f t="shared" si="596"/>
        <v>23.897959183673468</v>
      </c>
      <c r="Q640" s="398">
        <f t="shared" si="596"/>
        <v>23.897959183673468</v>
      </c>
      <c r="R640" s="398">
        <f t="shared" si="596"/>
        <v>31.53265306122449</v>
      </c>
      <c r="S640" s="398">
        <f t="shared" si="596"/>
        <v>29.873469387755101</v>
      </c>
      <c r="T640" s="398">
        <f t="shared" si="596"/>
        <v>0</v>
      </c>
      <c r="U640" s="398">
        <f t="shared" si="596"/>
        <v>62.410204081632656</v>
      </c>
      <c r="V640" s="398">
        <f t="shared" si="596"/>
        <v>0</v>
      </c>
      <c r="W640" s="398">
        <f t="shared" si="596"/>
        <v>23.897959183673468</v>
      </c>
      <c r="Y640" s="390">
        <v>12530</v>
      </c>
      <c r="Z640" s="390">
        <v>28462</v>
      </c>
      <c r="AA640" s="390">
        <v>34155</v>
      </c>
      <c r="AB640" s="390">
        <v>22770</v>
      </c>
      <c r="AC640" s="390">
        <v>12198</v>
      </c>
      <c r="AD640" s="390">
        <v>16264</v>
      </c>
      <c r="AE640" s="390">
        <v>25210</v>
      </c>
      <c r="AF640" s="390">
        <v>20656</v>
      </c>
      <c r="AG640" s="390">
        <v>24396</v>
      </c>
      <c r="AH640" s="390">
        <v>11710</v>
      </c>
      <c r="AI640" s="390">
        <v>13012</v>
      </c>
      <c r="AJ640" s="390">
        <v>30581</v>
      </c>
      <c r="AK640" s="396">
        <v>11710</v>
      </c>
      <c r="AL640" s="396">
        <v>11710</v>
      </c>
      <c r="AM640" s="390">
        <v>15451</v>
      </c>
      <c r="AN640" s="390">
        <v>14638</v>
      </c>
      <c r="AO640" s="390"/>
      <c r="AP640" s="396">
        <v>30581</v>
      </c>
      <c r="AQ640" s="390"/>
      <c r="AR640" s="396">
        <v>11710</v>
      </c>
      <c r="AS640" s="390"/>
    </row>
    <row r="641" spans="2:45" x14ac:dyDescent="0.3">
      <c r="B641" s="57" t="s">
        <v>53</v>
      </c>
      <c r="C641" s="58"/>
      <c r="D641" s="25">
        <f>SUM(D639:D640)</f>
        <v>619.20742857142852</v>
      </c>
      <c r="E641" s="26">
        <f t="shared" ref="E641:V641" si="597">SUM(E639:E640)</f>
        <v>651.72171428571426</v>
      </c>
      <c r="F641" s="26">
        <f t="shared" si="597"/>
        <v>663.34008163265298</v>
      </c>
      <c r="G641" s="26">
        <f t="shared" si="597"/>
        <v>640.10538775510202</v>
      </c>
      <c r="H641" s="26">
        <f t="shared" si="597"/>
        <v>618.52987755102038</v>
      </c>
      <c r="I641" s="26">
        <f t="shared" si="597"/>
        <v>626.82783673469385</v>
      </c>
      <c r="J641" s="26">
        <f t="shared" si="597"/>
        <v>645.08497959183671</v>
      </c>
      <c r="K641" s="26">
        <f t="shared" si="597"/>
        <v>635.79110204081633</v>
      </c>
      <c r="L641" s="26">
        <f t="shared" si="597"/>
        <v>643.42375510204079</v>
      </c>
      <c r="M641" s="26">
        <f t="shared" si="597"/>
        <v>617.53395918367346</v>
      </c>
      <c r="N641" s="26">
        <f t="shared" si="597"/>
        <v>620.1911020408163</v>
      </c>
      <c r="O641" s="26">
        <f t="shared" si="597"/>
        <v>656.0462040816326</v>
      </c>
      <c r="P641" s="26">
        <f t="shared" si="597"/>
        <v>617.53395918367346</v>
      </c>
      <c r="Q641" s="26">
        <f t="shared" si="597"/>
        <v>617.53395918367346</v>
      </c>
      <c r="R641" s="26">
        <f t="shared" si="597"/>
        <v>625.1686530612244</v>
      </c>
      <c r="S641" s="26">
        <f t="shared" si="597"/>
        <v>623.50946938775508</v>
      </c>
      <c r="T641" s="26">
        <f t="shared" si="597"/>
        <v>635.90099999999995</v>
      </c>
      <c r="U641" s="26">
        <f t="shared" si="597"/>
        <v>698.31120408163258</v>
      </c>
      <c r="V641" s="26">
        <f t="shared" si="597"/>
        <v>635.90099999999995</v>
      </c>
      <c r="W641" s="26">
        <f>SUM(W639:W640)</f>
        <v>617.53395918367346</v>
      </c>
      <c r="Y641" s="390">
        <v>490</v>
      </c>
      <c r="Z641" s="390">
        <v>490</v>
      </c>
      <c r="AA641" s="390">
        <v>490</v>
      </c>
      <c r="AB641" s="390">
        <v>490</v>
      </c>
      <c r="AC641" s="390">
        <v>490</v>
      </c>
      <c r="AD641" s="390">
        <v>490</v>
      </c>
      <c r="AE641" s="390">
        <v>490</v>
      </c>
      <c r="AF641" s="390">
        <v>490</v>
      </c>
      <c r="AG641" s="390">
        <v>490</v>
      </c>
      <c r="AH641" s="390">
        <v>490</v>
      </c>
      <c r="AI641" s="390">
        <v>490</v>
      </c>
      <c r="AJ641" s="390">
        <v>490</v>
      </c>
      <c r="AK641" s="390">
        <v>490</v>
      </c>
      <c r="AL641" s="390">
        <v>490</v>
      </c>
      <c r="AM641" s="390">
        <v>490</v>
      </c>
      <c r="AN641" s="390">
        <v>490</v>
      </c>
      <c r="AO641" s="390">
        <v>490</v>
      </c>
      <c r="AP641" s="390">
        <v>490</v>
      </c>
      <c r="AQ641" s="390">
        <v>490</v>
      </c>
      <c r="AR641" s="390">
        <v>490</v>
      </c>
      <c r="AS641" s="390"/>
    </row>
    <row r="642" spans="2:45" x14ac:dyDescent="0.3">
      <c r="B642" s="54" t="s">
        <v>54</v>
      </c>
      <c r="C642" s="55"/>
      <c r="D642" s="20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Y642" s="389">
        <f>Y640/Y641</f>
        <v>25.571428571428573</v>
      </c>
      <c r="Z642" s="389">
        <f t="shared" ref="Z642:AN642" si="598">Z640/Z641</f>
        <v>58.085714285714289</v>
      </c>
      <c r="AA642" s="389">
        <f t="shared" si="598"/>
        <v>69.704081632653057</v>
      </c>
      <c r="AB642" s="389">
        <f t="shared" si="598"/>
        <v>46.469387755102041</v>
      </c>
      <c r="AC642" s="389">
        <f t="shared" si="598"/>
        <v>24.89387755102041</v>
      </c>
      <c r="AD642" s="389">
        <f t="shared" si="598"/>
        <v>33.191836734693879</v>
      </c>
      <c r="AE642" s="389">
        <f t="shared" si="598"/>
        <v>51.448979591836732</v>
      </c>
      <c r="AF642" s="389">
        <f t="shared" si="598"/>
        <v>42.155102040816324</v>
      </c>
      <c r="AG642" s="389">
        <f t="shared" si="598"/>
        <v>49.787755102040819</v>
      </c>
      <c r="AH642" s="389">
        <f t="shared" si="598"/>
        <v>23.897959183673468</v>
      </c>
      <c r="AI642" s="389">
        <f t="shared" si="598"/>
        <v>26.555102040816326</v>
      </c>
      <c r="AJ642" s="389">
        <f t="shared" si="598"/>
        <v>62.410204081632656</v>
      </c>
      <c r="AK642" s="389">
        <f t="shared" si="598"/>
        <v>23.897959183673468</v>
      </c>
      <c r="AL642" s="389">
        <f t="shared" si="598"/>
        <v>23.897959183673468</v>
      </c>
      <c r="AM642" s="389">
        <f t="shared" si="598"/>
        <v>31.53265306122449</v>
      </c>
      <c r="AN642" s="389">
        <f t="shared" si="598"/>
        <v>29.873469387755101</v>
      </c>
      <c r="AO642" s="390"/>
      <c r="AP642" s="389">
        <f t="shared" ref="AP642" si="599">AP640/AP641</f>
        <v>62.410204081632656</v>
      </c>
      <c r="AQ642" s="390"/>
      <c r="AR642" s="389">
        <f t="shared" ref="AR642" si="600">AR640/AR641</f>
        <v>23.897959183673468</v>
      </c>
      <c r="AS642" s="390"/>
    </row>
    <row r="643" spans="2:45" x14ac:dyDescent="0.3">
      <c r="B643" s="59" t="s">
        <v>55</v>
      </c>
      <c r="C643" s="60"/>
      <c r="D643" s="27">
        <f>SUM(D641:D642)</f>
        <v>619.20742857142852</v>
      </c>
      <c r="E643" s="41">
        <f t="shared" ref="E643:V643" si="601">SUM(E641:E642)</f>
        <v>651.72171428571426</v>
      </c>
      <c r="F643" s="41">
        <f t="shared" si="601"/>
        <v>663.34008163265298</v>
      </c>
      <c r="G643" s="41">
        <f t="shared" si="601"/>
        <v>640.10538775510202</v>
      </c>
      <c r="H643" s="41">
        <f t="shared" si="601"/>
        <v>618.52987755102038</v>
      </c>
      <c r="I643" s="41">
        <f t="shared" si="601"/>
        <v>626.82783673469385</v>
      </c>
      <c r="J643" s="41">
        <f t="shared" si="601"/>
        <v>645.08497959183671</v>
      </c>
      <c r="K643" s="41">
        <f t="shared" si="601"/>
        <v>635.79110204081633</v>
      </c>
      <c r="L643" s="41">
        <f t="shared" si="601"/>
        <v>643.42375510204079</v>
      </c>
      <c r="M643" s="41">
        <f t="shared" si="601"/>
        <v>617.53395918367346</v>
      </c>
      <c r="N643" s="41">
        <f t="shared" si="601"/>
        <v>620.1911020408163</v>
      </c>
      <c r="O643" s="41">
        <f t="shared" si="601"/>
        <v>656.0462040816326</v>
      </c>
      <c r="P643" s="41">
        <f t="shared" si="601"/>
        <v>617.53395918367346</v>
      </c>
      <c r="Q643" s="41">
        <f t="shared" si="601"/>
        <v>617.53395918367346</v>
      </c>
      <c r="R643" s="41">
        <f t="shared" si="601"/>
        <v>625.1686530612244</v>
      </c>
      <c r="S643" s="41">
        <f t="shared" si="601"/>
        <v>623.50946938775508</v>
      </c>
      <c r="T643" s="41">
        <f t="shared" si="601"/>
        <v>635.90099999999995</v>
      </c>
      <c r="U643" s="41">
        <f t="shared" si="601"/>
        <v>698.31120408163258</v>
      </c>
      <c r="V643" s="41">
        <f t="shared" si="601"/>
        <v>635.90099999999995</v>
      </c>
      <c r="W643" s="41">
        <f>SUM(W641:W642)</f>
        <v>617.53395918367346</v>
      </c>
      <c r="Y643" s="390"/>
      <c r="Z643" s="390"/>
      <c r="AA643" s="390"/>
      <c r="AB643" s="390"/>
      <c r="AC643" s="390"/>
      <c r="AD643" s="390"/>
      <c r="AE643" s="390"/>
      <c r="AF643" s="390"/>
      <c r="AG643" s="390"/>
      <c r="AH643" s="390"/>
      <c r="AI643" s="390"/>
      <c r="AJ643" s="390"/>
      <c r="AK643" s="390"/>
      <c r="AL643" s="390"/>
      <c r="AM643" s="390"/>
      <c r="AN643" s="390"/>
      <c r="AO643" s="390"/>
      <c r="AP643" s="390"/>
      <c r="AQ643" s="390"/>
      <c r="AR643" s="390"/>
      <c r="AS643" s="390"/>
    </row>
    <row r="644" spans="2:45" x14ac:dyDescent="0.3">
      <c r="B644" s="61" t="s">
        <v>101</v>
      </c>
      <c r="C644" s="55"/>
      <c r="D644" s="43">
        <v>0</v>
      </c>
      <c r="E644" s="408">
        <v>0</v>
      </c>
      <c r="F644" s="408">
        <v>0</v>
      </c>
      <c r="G644" s="408">
        <v>0</v>
      </c>
      <c r="H644" s="408">
        <v>0</v>
      </c>
      <c r="I644" s="408">
        <v>0</v>
      </c>
      <c r="J644" s="408">
        <v>0</v>
      </c>
      <c r="K644" s="408">
        <v>0</v>
      </c>
      <c r="L644" s="408">
        <v>0</v>
      </c>
      <c r="M644" s="408">
        <v>0</v>
      </c>
      <c r="N644" s="408">
        <v>0</v>
      </c>
      <c r="O644" s="408">
        <v>0</v>
      </c>
      <c r="P644" s="408">
        <v>0</v>
      </c>
      <c r="Q644" s="408">
        <v>0</v>
      </c>
      <c r="R644" s="408">
        <v>0</v>
      </c>
      <c r="S644" s="408">
        <v>0</v>
      </c>
      <c r="T644" s="408">
        <v>0</v>
      </c>
      <c r="U644" s="408">
        <v>0</v>
      </c>
      <c r="V644" s="408">
        <v>0</v>
      </c>
      <c r="W644" s="408">
        <v>0</v>
      </c>
      <c r="Y644" s="409"/>
      <c r="Z644" s="409"/>
      <c r="AA644" s="409"/>
      <c r="AB644" s="409"/>
      <c r="AC644" s="409"/>
      <c r="AD644" s="409"/>
      <c r="AE644" s="409"/>
      <c r="AF644" s="409"/>
      <c r="AG644" s="409"/>
      <c r="AH644" s="409"/>
      <c r="AI644" s="409"/>
      <c r="AJ644" s="409"/>
      <c r="AK644" s="409"/>
      <c r="AL644" s="409"/>
      <c r="AM644" s="409"/>
      <c r="AN644" s="409"/>
      <c r="AO644" s="409"/>
      <c r="AP644" s="409"/>
      <c r="AQ644" s="409"/>
      <c r="AR644" s="409"/>
      <c r="AS644" s="409"/>
    </row>
    <row r="645" spans="2:45" x14ac:dyDescent="0.3">
      <c r="B645" s="171" t="s">
        <v>194</v>
      </c>
      <c r="C645" s="55"/>
      <c r="D645" s="20">
        <v>660</v>
      </c>
      <c r="E645" s="21">
        <v>692</v>
      </c>
      <c r="F645" s="21">
        <v>704</v>
      </c>
      <c r="G645" s="21">
        <v>681</v>
      </c>
      <c r="H645" s="21">
        <v>659</v>
      </c>
      <c r="I645" s="21">
        <v>667</v>
      </c>
      <c r="J645" s="21">
        <v>686</v>
      </c>
      <c r="K645" s="21">
        <v>676</v>
      </c>
      <c r="L645" s="21">
        <v>684</v>
      </c>
      <c r="M645" s="21">
        <v>658</v>
      </c>
      <c r="N645" s="21">
        <v>661</v>
      </c>
      <c r="O645" s="21">
        <v>697</v>
      </c>
      <c r="P645" s="21">
        <v>658</v>
      </c>
      <c r="Q645" s="21">
        <v>658</v>
      </c>
      <c r="R645" s="21">
        <v>666</v>
      </c>
      <c r="S645" s="21">
        <v>664</v>
      </c>
      <c r="T645" s="21">
        <v>676</v>
      </c>
      <c r="U645" s="21">
        <v>739</v>
      </c>
      <c r="V645" s="21">
        <v>676</v>
      </c>
      <c r="W645" s="21">
        <v>658</v>
      </c>
      <c r="Y645" s="390"/>
      <c r="Z645" s="390"/>
      <c r="AA645" s="390"/>
      <c r="AB645" s="390"/>
      <c r="AC645" s="390"/>
      <c r="AD645" s="390"/>
      <c r="AE645" s="390"/>
      <c r="AF645" s="390"/>
      <c r="AG645" s="390"/>
      <c r="AH645" s="390"/>
      <c r="AI645" s="390"/>
      <c r="AJ645" s="390"/>
      <c r="AK645" s="390"/>
      <c r="AL645" s="390"/>
      <c r="AM645" s="390"/>
      <c r="AN645" s="390"/>
      <c r="AO645" s="390"/>
      <c r="AP645" s="390"/>
      <c r="AQ645" s="390"/>
      <c r="AR645" s="390"/>
      <c r="AS645" s="390"/>
    </row>
    <row r="646" spans="2:45" x14ac:dyDescent="0.3">
      <c r="B646" s="61" t="s">
        <v>195</v>
      </c>
      <c r="C646" s="55"/>
      <c r="D646" s="106">
        <v>670</v>
      </c>
      <c r="E646" s="21">
        <v>702</v>
      </c>
      <c r="F646" s="21">
        <v>714</v>
      </c>
      <c r="G646" s="21">
        <v>691</v>
      </c>
      <c r="H646" s="21">
        <v>669</v>
      </c>
      <c r="I646" s="21">
        <v>677</v>
      </c>
      <c r="J646" s="21">
        <v>696</v>
      </c>
      <c r="K646" s="21">
        <v>686</v>
      </c>
      <c r="L646" s="21">
        <v>694</v>
      </c>
      <c r="M646" s="21">
        <v>668</v>
      </c>
      <c r="N646" s="21">
        <v>671</v>
      </c>
      <c r="O646" s="21">
        <v>707</v>
      </c>
      <c r="P646" s="21">
        <v>668</v>
      </c>
      <c r="Q646" s="21">
        <v>668</v>
      </c>
      <c r="R646" s="21">
        <v>676</v>
      </c>
      <c r="S646" s="21">
        <v>674</v>
      </c>
      <c r="T646" s="21">
        <v>686</v>
      </c>
      <c r="U646" s="21">
        <v>749</v>
      </c>
      <c r="V646" s="21">
        <v>686</v>
      </c>
      <c r="W646" s="21">
        <v>668</v>
      </c>
      <c r="Y646" s="390"/>
      <c r="Z646" s="390"/>
      <c r="AA646" s="390"/>
      <c r="AB646" s="390"/>
      <c r="AC646" s="390"/>
      <c r="AD646" s="390"/>
      <c r="AE646" s="390"/>
      <c r="AF646" s="390"/>
      <c r="AG646" s="390"/>
      <c r="AH646" s="390"/>
      <c r="AI646" s="390"/>
      <c r="AJ646" s="390"/>
      <c r="AK646" s="390"/>
      <c r="AL646" s="390"/>
      <c r="AM646" s="390"/>
      <c r="AN646" s="390"/>
      <c r="AO646" s="390"/>
      <c r="AP646" s="390"/>
      <c r="AQ646" s="390"/>
      <c r="AR646" s="390"/>
      <c r="AS646" s="390"/>
    </row>
    <row r="647" spans="2:45" x14ac:dyDescent="0.3">
      <c r="B647" s="61" t="s">
        <v>196</v>
      </c>
      <c r="C647" s="62"/>
      <c r="D647" s="28">
        <v>680</v>
      </c>
      <c r="E647" s="28">
        <v>712</v>
      </c>
      <c r="F647" s="28">
        <v>724</v>
      </c>
      <c r="G647" s="28">
        <v>701</v>
      </c>
      <c r="H647" s="28">
        <v>679</v>
      </c>
      <c r="I647" s="28">
        <v>687</v>
      </c>
      <c r="J647" s="28">
        <v>706</v>
      </c>
      <c r="K647" s="28">
        <v>696</v>
      </c>
      <c r="L647" s="28">
        <v>704</v>
      </c>
      <c r="M647" s="28">
        <v>678</v>
      </c>
      <c r="N647" s="28">
        <v>681</v>
      </c>
      <c r="O647" s="28">
        <v>717</v>
      </c>
      <c r="P647" s="28">
        <v>678</v>
      </c>
      <c r="Q647" s="28">
        <v>678</v>
      </c>
      <c r="R647" s="28">
        <v>686</v>
      </c>
      <c r="S647" s="28">
        <v>684</v>
      </c>
      <c r="T647" s="29">
        <v>696</v>
      </c>
      <c r="U647" s="29">
        <v>759</v>
      </c>
      <c r="V647" s="29">
        <v>696</v>
      </c>
      <c r="W647" s="28">
        <v>678</v>
      </c>
      <c r="Y647" s="390"/>
      <c r="Z647" s="390"/>
      <c r="AA647" s="390"/>
      <c r="AB647" s="390"/>
      <c r="AC647" s="390"/>
      <c r="AD647" s="390"/>
      <c r="AE647" s="390"/>
      <c r="AF647" s="390"/>
      <c r="AG647" s="390"/>
      <c r="AH647" s="390"/>
      <c r="AI647" s="390"/>
      <c r="AJ647" s="390"/>
      <c r="AK647" s="390"/>
      <c r="AL647" s="390"/>
      <c r="AM647" s="390"/>
      <c r="AN647" s="390"/>
      <c r="AO647" s="390"/>
      <c r="AP647" s="390"/>
      <c r="AQ647" s="390"/>
      <c r="AR647" s="390"/>
      <c r="AS647" s="390"/>
    </row>
    <row r="648" spans="2:45" x14ac:dyDescent="0.3">
      <c r="B648" s="61" t="s">
        <v>197</v>
      </c>
      <c r="C648" s="62"/>
      <c r="D648" s="28">
        <v>685</v>
      </c>
      <c r="E648" s="28">
        <v>717</v>
      </c>
      <c r="F648" s="28">
        <v>729</v>
      </c>
      <c r="G648" s="28">
        <v>706</v>
      </c>
      <c r="H648" s="28">
        <v>684</v>
      </c>
      <c r="I648" s="28">
        <v>692</v>
      </c>
      <c r="J648" s="28">
        <v>711</v>
      </c>
      <c r="K648" s="28">
        <v>701</v>
      </c>
      <c r="L648" s="28">
        <v>709</v>
      </c>
      <c r="M648" s="28">
        <v>683</v>
      </c>
      <c r="N648" s="28">
        <v>686</v>
      </c>
      <c r="O648" s="28">
        <v>722</v>
      </c>
      <c r="P648" s="28">
        <v>683</v>
      </c>
      <c r="Q648" s="28">
        <v>683</v>
      </c>
      <c r="R648" s="28">
        <v>691</v>
      </c>
      <c r="S648" s="28">
        <v>689</v>
      </c>
      <c r="T648" s="29">
        <v>701</v>
      </c>
      <c r="U648" s="29">
        <v>764</v>
      </c>
      <c r="V648" s="29">
        <v>701</v>
      </c>
      <c r="W648" s="28">
        <v>683</v>
      </c>
      <c r="Y648" s="390"/>
      <c r="Z648" s="390"/>
      <c r="AA648" s="390"/>
      <c r="AB648" s="390"/>
      <c r="AC648" s="390"/>
      <c r="AD648" s="390"/>
      <c r="AE648" s="390"/>
      <c r="AF648" s="390"/>
      <c r="AG648" s="390"/>
      <c r="AH648" s="390"/>
      <c r="AI648" s="390"/>
      <c r="AJ648" s="390"/>
      <c r="AK648" s="390"/>
      <c r="AL648" s="390"/>
      <c r="AM648" s="390"/>
      <c r="AN648" s="390"/>
      <c r="AO648" s="390"/>
      <c r="AP648" s="390"/>
      <c r="AQ648" s="390"/>
      <c r="AR648" s="390"/>
      <c r="AS648" s="390"/>
    </row>
    <row r="649" spans="2:45" x14ac:dyDescent="0.3">
      <c r="B649" s="63" t="s">
        <v>103</v>
      </c>
      <c r="C649" s="55"/>
      <c r="D649" s="43">
        <v>0</v>
      </c>
      <c r="E649" s="408">
        <v>0</v>
      </c>
      <c r="F649" s="408">
        <v>0</v>
      </c>
      <c r="G649" s="408">
        <v>0</v>
      </c>
      <c r="H649" s="408">
        <v>0</v>
      </c>
      <c r="I649" s="408">
        <v>0</v>
      </c>
      <c r="J649" s="408">
        <v>0</v>
      </c>
      <c r="K649" s="408">
        <v>0</v>
      </c>
      <c r="L649" s="408">
        <v>0</v>
      </c>
      <c r="M649" s="408">
        <v>0</v>
      </c>
      <c r="N649" s="408">
        <v>0</v>
      </c>
      <c r="O649" s="408">
        <v>0</v>
      </c>
      <c r="P649" s="408">
        <v>0</v>
      </c>
      <c r="Q649" s="408">
        <v>0</v>
      </c>
      <c r="R649" s="408">
        <v>0</v>
      </c>
      <c r="S649" s="408">
        <v>0</v>
      </c>
      <c r="T649" s="408">
        <v>0</v>
      </c>
      <c r="U649" s="408">
        <v>0</v>
      </c>
      <c r="V649" s="408">
        <v>0</v>
      </c>
      <c r="W649" s="408">
        <v>0</v>
      </c>
      <c r="Y649" s="409"/>
      <c r="Z649" s="409"/>
      <c r="AA649" s="409"/>
      <c r="AB649" s="409"/>
      <c r="AC649" s="409"/>
      <c r="AD649" s="409"/>
      <c r="AE649" s="409"/>
      <c r="AF649" s="409"/>
      <c r="AG649" s="409"/>
      <c r="AH649" s="409"/>
      <c r="AI649" s="409"/>
      <c r="AJ649" s="409"/>
      <c r="AK649" s="409"/>
      <c r="AL649" s="409"/>
      <c r="AM649" s="409"/>
      <c r="AN649" s="409"/>
      <c r="AO649" s="409"/>
      <c r="AP649" s="409"/>
      <c r="AQ649" s="409"/>
      <c r="AR649" s="409"/>
      <c r="AS649" s="409"/>
    </row>
    <row r="650" spans="2:45" x14ac:dyDescent="0.3">
      <c r="B650" s="63" t="s">
        <v>198</v>
      </c>
      <c r="C650" s="64"/>
      <c r="D650" s="31">
        <f t="shared" ref="D650:W650" si="602">+D645-D$643</f>
        <v>40.792571428571478</v>
      </c>
      <c r="E650" s="32">
        <f t="shared" si="602"/>
        <v>40.278285714285744</v>
      </c>
      <c r="F650" s="32">
        <f t="shared" si="602"/>
        <v>40.659918367347018</v>
      </c>
      <c r="G650" s="32">
        <f t="shared" si="602"/>
        <v>40.894612244897985</v>
      </c>
      <c r="H650" s="32">
        <f t="shared" si="602"/>
        <v>40.470122448979623</v>
      </c>
      <c r="I650" s="32">
        <f t="shared" si="602"/>
        <v>40.172163265306153</v>
      </c>
      <c r="J650" s="32">
        <f t="shared" si="602"/>
        <v>40.915020408163286</v>
      </c>
      <c r="K650" s="32">
        <f t="shared" si="602"/>
        <v>40.208897959183673</v>
      </c>
      <c r="L650" s="32">
        <f t="shared" si="602"/>
        <v>40.576244897959214</v>
      </c>
      <c r="M650" s="32">
        <f t="shared" si="602"/>
        <v>40.46604081632654</v>
      </c>
      <c r="N650" s="32">
        <f t="shared" si="602"/>
        <v>40.808897959183696</v>
      </c>
      <c r="O650" s="32">
        <f t="shared" si="602"/>
        <v>40.953795918367405</v>
      </c>
      <c r="P650" s="32">
        <f t="shared" si="602"/>
        <v>40.46604081632654</v>
      </c>
      <c r="Q650" s="32">
        <f t="shared" si="602"/>
        <v>40.46604081632654</v>
      </c>
      <c r="R650" s="32">
        <f t="shared" si="602"/>
        <v>40.831346938775596</v>
      </c>
      <c r="S650" s="32">
        <f t="shared" si="602"/>
        <v>40.490530612244925</v>
      </c>
      <c r="T650" s="32">
        <f t="shared" si="602"/>
        <v>40.099000000000046</v>
      </c>
      <c r="U650" s="32">
        <f t="shared" si="602"/>
        <v>40.688795918367418</v>
      </c>
      <c r="V650" s="32">
        <f t="shared" si="602"/>
        <v>40.099000000000046</v>
      </c>
      <c r="W650" s="32">
        <f t="shared" si="602"/>
        <v>40.46604081632654</v>
      </c>
      <c r="Y650" s="390"/>
      <c r="Z650" s="390"/>
      <c r="AA650" s="390"/>
      <c r="AB650" s="390"/>
      <c r="AC650" s="390"/>
      <c r="AD650" s="390"/>
      <c r="AE650" s="390"/>
      <c r="AF650" s="390"/>
      <c r="AG650" s="390"/>
      <c r="AH650" s="390"/>
      <c r="AI650" s="390"/>
      <c r="AJ650" s="390"/>
      <c r="AK650" s="390"/>
      <c r="AL650" s="390"/>
      <c r="AM650" s="390"/>
      <c r="AN650" s="390"/>
      <c r="AO650" s="390"/>
      <c r="AP650" s="390"/>
      <c r="AQ650" s="390"/>
      <c r="AR650" s="390"/>
      <c r="AS650" s="390"/>
    </row>
    <row r="651" spans="2:45" x14ac:dyDescent="0.3">
      <c r="B651" s="63" t="s">
        <v>199</v>
      </c>
      <c r="C651" s="64"/>
      <c r="D651" s="31">
        <f t="shared" ref="D651:W651" si="603">+D646-D$643</f>
        <v>50.792571428571478</v>
      </c>
      <c r="E651" s="32">
        <f t="shared" si="603"/>
        <v>50.278285714285744</v>
      </c>
      <c r="F651" s="32">
        <f t="shared" si="603"/>
        <v>50.659918367347018</v>
      </c>
      <c r="G651" s="32">
        <f t="shared" si="603"/>
        <v>50.894612244897985</v>
      </c>
      <c r="H651" s="32">
        <f t="shared" si="603"/>
        <v>50.470122448979623</v>
      </c>
      <c r="I651" s="32">
        <f t="shared" si="603"/>
        <v>50.172163265306153</v>
      </c>
      <c r="J651" s="32">
        <f t="shared" si="603"/>
        <v>50.915020408163286</v>
      </c>
      <c r="K651" s="32">
        <f t="shared" si="603"/>
        <v>50.208897959183673</v>
      </c>
      <c r="L651" s="32">
        <f t="shared" si="603"/>
        <v>50.576244897959214</v>
      </c>
      <c r="M651" s="32">
        <f t="shared" si="603"/>
        <v>50.46604081632654</v>
      </c>
      <c r="N651" s="32">
        <f t="shared" si="603"/>
        <v>50.808897959183696</v>
      </c>
      <c r="O651" s="32">
        <f t="shared" si="603"/>
        <v>50.953795918367405</v>
      </c>
      <c r="P651" s="32">
        <f t="shared" si="603"/>
        <v>50.46604081632654</v>
      </c>
      <c r="Q651" s="32">
        <f t="shared" si="603"/>
        <v>50.46604081632654</v>
      </c>
      <c r="R651" s="32">
        <f t="shared" si="603"/>
        <v>50.831346938775596</v>
      </c>
      <c r="S651" s="32">
        <f t="shared" si="603"/>
        <v>50.490530612244925</v>
      </c>
      <c r="T651" s="32">
        <f t="shared" si="603"/>
        <v>50.099000000000046</v>
      </c>
      <c r="U651" s="32">
        <f t="shared" si="603"/>
        <v>50.688795918367418</v>
      </c>
      <c r="V651" s="32">
        <f t="shared" si="603"/>
        <v>50.099000000000046</v>
      </c>
      <c r="W651" s="32">
        <f t="shared" si="603"/>
        <v>50.46604081632654</v>
      </c>
      <c r="Y651" s="390"/>
      <c r="Z651" s="390"/>
      <c r="AA651" s="390"/>
      <c r="AB651" s="390"/>
      <c r="AC651" s="390"/>
      <c r="AD651" s="390"/>
      <c r="AE651" s="390"/>
      <c r="AF651" s="390"/>
      <c r="AG651" s="390"/>
      <c r="AH651" s="390"/>
      <c r="AI651" s="390"/>
      <c r="AJ651" s="390"/>
      <c r="AK651" s="390"/>
      <c r="AL651" s="390"/>
      <c r="AM651" s="390"/>
      <c r="AN651" s="390"/>
      <c r="AO651" s="390"/>
      <c r="AP651" s="390"/>
      <c r="AQ651" s="390"/>
      <c r="AR651" s="390"/>
      <c r="AS651" s="390"/>
    </row>
    <row r="652" spans="2:45" x14ac:dyDescent="0.3">
      <c r="B652" s="63" t="s">
        <v>200</v>
      </c>
      <c r="C652" s="64"/>
      <c r="D652" s="31">
        <f t="shared" ref="D652:W652" si="604">+D647-D$643</f>
        <v>60.792571428571478</v>
      </c>
      <c r="E652" s="32">
        <f t="shared" si="604"/>
        <v>60.278285714285744</v>
      </c>
      <c r="F652" s="32">
        <f t="shared" si="604"/>
        <v>60.659918367347018</v>
      </c>
      <c r="G652" s="32">
        <f t="shared" si="604"/>
        <v>60.894612244897985</v>
      </c>
      <c r="H652" s="32">
        <f t="shared" si="604"/>
        <v>60.470122448979623</v>
      </c>
      <c r="I652" s="32">
        <f t="shared" si="604"/>
        <v>60.172163265306153</v>
      </c>
      <c r="J652" s="32">
        <f t="shared" si="604"/>
        <v>60.915020408163286</v>
      </c>
      <c r="K652" s="32">
        <f t="shared" si="604"/>
        <v>60.208897959183673</v>
      </c>
      <c r="L652" s="32">
        <f t="shared" si="604"/>
        <v>60.576244897959214</v>
      </c>
      <c r="M652" s="32">
        <f t="shared" si="604"/>
        <v>60.46604081632654</v>
      </c>
      <c r="N652" s="32">
        <f t="shared" si="604"/>
        <v>60.808897959183696</v>
      </c>
      <c r="O652" s="32">
        <f t="shared" si="604"/>
        <v>60.953795918367405</v>
      </c>
      <c r="P652" s="32">
        <f t="shared" si="604"/>
        <v>60.46604081632654</v>
      </c>
      <c r="Q652" s="32">
        <f t="shared" si="604"/>
        <v>60.46604081632654</v>
      </c>
      <c r="R652" s="32">
        <f t="shared" si="604"/>
        <v>60.831346938775596</v>
      </c>
      <c r="S652" s="32">
        <f t="shared" si="604"/>
        <v>60.490530612244925</v>
      </c>
      <c r="T652" s="32">
        <f t="shared" si="604"/>
        <v>60.099000000000046</v>
      </c>
      <c r="U652" s="32">
        <f t="shared" si="604"/>
        <v>60.688795918367418</v>
      </c>
      <c r="V652" s="32">
        <f t="shared" si="604"/>
        <v>60.099000000000046</v>
      </c>
      <c r="W652" s="32">
        <f t="shared" si="604"/>
        <v>60.46604081632654</v>
      </c>
      <c r="Y652" s="390"/>
      <c r="Z652" s="390"/>
      <c r="AA652" s="390"/>
      <c r="AB652" s="390"/>
      <c r="AC652" s="390"/>
      <c r="AD652" s="390"/>
      <c r="AE652" s="390"/>
      <c r="AF652" s="390"/>
      <c r="AG652" s="390"/>
      <c r="AH652" s="390"/>
      <c r="AI652" s="390"/>
      <c r="AJ652" s="390"/>
      <c r="AK652" s="390"/>
      <c r="AL652" s="390"/>
      <c r="AM652" s="390"/>
      <c r="AN652" s="390"/>
      <c r="AO652" s="390"/>
      <c r="AP652" s="390"/>
      <c r="AQ652" s="390"/>
      <c r="AR652" s="390"/>
      <c r="AS652" s="390"/>
    </row>
    <row r="653" spans="2:45" x14ac:dyDescent="0.3">
      <c r="B653" s="63" t="s">
        <v>201</v>
      </c>
      <c r="C653" s="64"/>
      <c r="D653" s="31">
        <f t="shared" ref="D653:W653" si="605">+D648-D$643</f>
        <v>65.792571428571478</v>
      </c>
      <c r="E653" s="34">
        <f t="shared" si="605"/>
        <v>65.278285714285744</v>
      </c>
      <c r="F653" s="34">
        <f t="shared" si="605"/>
        <v>65.659918367347018</v>
      </c>
      <c r="G653" s="34">
        <f t="shared" si="605"/>
        <v>65.894612244897985</v>
      </c>
      <c r="H653" s="34">
        <f t="shared" si="605"/>
        <v>65.470122448979623</v>
      </c>
      <c r="I653" s="34">
        <f t="shared" si="605"/>
        <v>65.172163265306153</v>
      </c>
      <c r="J653" s="34">
        <f t="shared" si="605"/>
        <v>65.915020408163286</v>
      </c>
      <c r="K653" s="34">
        <f t="shared" si="605"/>
        <v>65.208897959183673</v>
      </c>
      <c r="L653" s="34">
        <f t="shared" si="605"/>
        <v>65.576244897959214</v>
      </c>
      <c r="M653" s="34">
        <f t="shared" si="605"/>
        <v>65.46604081632654</v>
      </c>
      <c r="N653" s="34">
        <f t="shared" si="605"/>
        <v>65.808897959183696</v>
      </c>
      <c r="O653" s="34">
        <f t="shared" si="605"/>
        <v>65.953795918367405</v>
      </c>
      <c r="P653" s="34">
        <f t="shared" si="605"/>
        <v>65.46604081632654</v>
      </c>
      <c r="Q653" s="34">
        <f t="shared" si="605"/>
        <v>65.46604081632654</v>
      </c>
      <c r="R653" s="34">
        <f t="shared" si="605"/>
        <v>65.831346938775596</v>
      </c>
      <c r="S653" s="34">
        <f t="shared" si="605"/>
        <v>65.490530612244925</v>
      </c>
      <c r="T653" s="34">
        <f t="shared" si="605"/>
        <v>65.099000000000046</v>
      </c>
      <c r="U653" s="34">
        <f t="shared" si="605"/>
        <v>65.688795918367418</v>
      </c>
      <c r="V653" s="34">
        <f t="shared" si="605"/>
        <v>65.099000000000046</v>
      </c>
      <c r="W653" s="34">
        <f t="shared" si="605"/>
        <v>65.46604081632654</v>
      </c>
      <c r="Y653" s="390"/>
      <c r="Z653" s="390"/>
      <c r="AA653" s="390"/>
      <c r="AB653" s="390"/>
      <c r="AC653" s="390"/>
      <c r="AD653" s="390"/>
      <c r="AE653" s="390"/>
      <c r="AF653" s="390"/>
      <c r="AG653" s="390"/>
      <c r="AH653" s="390"/>
      <c r="AI653" s="390"/>
      <c r="AJ653" s="390"/>
      <c r="AK653" s="390"/>
      <c r="AL653" s="390"/>
      <c r="AM653" s="390"/>
      <c r="AN653" s="390"/>
      <c r="AO653" s="390"/>
      <c r="AP653" s="390"/>
      <c r="AQ653" s="390"/>
      <c r="AR653" s="390"/>
      <c r="AS653" s="390"/>
    </row>
    <row r="654" spans="2:45" x14ac:dyDescent="0.3">
      <c r="B654" s="65" t="s">
        <v>108</v>
      </c>
      <c r="C654" s="55"/>
      <c r="D654" s="43">
        <v>0</v>
      </c>
      <c r="E654" s="408">
        <v>0</v>
      </c>
      <c r="F654" s="408">
        <v>0</v>
      </c>
      <c r="G654" s="408">
        <v>0</v>
      </c>
      <c r="H654" s="408">
        <v>0</v>
      </c>
      <c r="I654" s="408">
        <v>0</v>
      </c>
      <c r="J654" s="408">
        <v>0</v>
      </c>
      <c r="K654" s="408">
        <v>0</v>
      </c>
      <c r="L654" s="408">
        <v>0</v>
      </c>
      <c r="M654" s="408">
        <v>0</v>
      </c>
      <c r="N654" s="408">
        <v>0</v>
      </c>
      <c r="O654" s="408">
        <v>0</v>
      </c>
      <c r="P654" s="408">
        <v>0</v>
      </c>
      <c r="Q654" s="408">
        <v>0</v>
      </c>
      <c r="R654" s="408">
        <v>0</v>
      </c>
      <c r="S654" s="408">
        <v>0</v>
      </c>
      <c r="T654" s="408">
        <v>0</v>
      </c>
      <c r="U654" s="408">
        <v>0</v>
      </c>
      <c r="V654" s="408">
        <v>0</v>
      </c>
      <c r="W654" s="408">
        <v>0</v>
      </c>
      <c r="Y654" s="409"/>
      <c r="Z654" s="409"/>
      <c r="AA654" s="409"/>
      <c r="AB654" s="409"/>
      <c r="AC654" s="409"/>
      <c r="AD654" s="409"/>
      <c r="AE654" s="409"/>
      <c r="AF654" s="409"/>
      <c r="AG654" s="409"/>
      <c r="AH654" s="409"/>
      <c r="AI654" s="409"/>
      <c r="AJ654" s="409"/>
      <c r="AK654" s="409"/>
      <c r="AL654" s="409"/>
      <c r="AM654" s="409"/>
      <c r="AN654" s="409"/>
      <c r="AO654" s="409"/>
      <c r="AP654" s="409"/>
      <c r="AQ654" s="409"/>
      <c r="AR654" s="409"/>
      <c r="AS654" s="409"/>
    </row>
    <row r="655" spans="2:45" x14ac:dyDescent="0.3">
      <c r="B655" s="65" t="s">
        <v>202</v>
      </c>
      <c r="C655" s="66"/>
      <c r="D655" s="35">
        <f>+D650/D$645</f>
        <v>6.1806926406926484E-2</v>
      </c>
      <c r="E655" s="35">
        <f t="shared" ref="E655:W655" si="606">+E650/E$645</f>
        <v>5.8205615194054545E-2</v>
      </c>
      <c r="F655" s="35">
        <f t="shared" si="606"/>
        <v>5.775556586270883E-2</v>
      </c>
      <c r="G655" s="35">
        <f t="shared" si="606"/>
        <v>6.0050825616590288E-2</v>
      </c>
      <c r="H655" s="35">
        <f t="shared" si="606"/>
        <v>6.1411414945340852E-2</v>
      </c>
      <c r="I655" s="35">
        <f t="shared" si="606"/>
        <v>6.0228130832542956E-2</v>
      </c>
      <c r="J655" s="35">
        <f t="shared" si="606"/>
        <v>5.9642886892366305E-2</v>
      </c>
      <c r="K655" s="35">
        <f t="shared" si="606"/>
        <v>5.9480618282816082E-2</v>
      </c>
      <c r="L655" s="35">
        <f t="shared" si="606"/>
        <v>5.9321995464852652E-2</v>
      </c>
      <c r="M655" s="35">
        <f t="shared" si="606"/>
        <v>6.1498542274052492E-2</v>
      </c>
      <c r="N655" s="35">
        <f t="shared" si="606"/>
        <v>6.1738120966994998E-2</v>
      </c>
      <c r="O655" s="35">
        <f t="shared" si="606"/>
        <v>5.8757239481158401E-2</v>
      </c>
      <c r="P655" s="35">
        <f t="shared" si="606"/>
        <v>6.1498542274052492E-2</v>
      </c>
      <c r="Q655" s="35">
        <f t="shared" si="606"/>
        <v>6.1498542274052492E-2</v>
      </c>
      <c r="R655" s="35">
        <f t="shared" si="606"/>
        <v>6.1308328736900293E-2</v>
      </c>
      <c r="S655" s="35">
        <f t="shared" si="606"/>
        <v>6.0979714777477295E-2</v>
      </c>
      <c r="T655" s="35">
        <f t="shared" si="606"/>
        <v>5.9318047337278176E-2</v>
      </c>
      <c r="U655" s="35">
        <f t="shared" si="606"/>
        <v>5.5059263759631147E-2</v>
      </c>
      <c r="V655" s="35">
        <f t="shared" si="606"/>
        <v>5.9318047337278176E-2</v>
      </c>
      <c r="W655" s="35">
        <f t="shared" si="606"/>
        <v>6.1498542274052492E-2</v>
      </c>
      <c r="Y655" s="390"/>
      <c r="Z655" s="390"/>
      <c r="AA655" s="390"/>
      <c r="AB655" s="390"/>
      <c r="AC655" s="390"/>
      <c r="AD655" s="390"/>
      <c r="AE655" s="390"/>
      <c r="AF655" s="390"/>
      <c r="AG655" s="390"/>
      <c r="AH655" s="390"/>
      <c r="AI655" s="390"/>
      <c r="AJ655" s="390"/>
      <c r="AK655" s="390"/>
      <c r="AL655" s="390"/>
      <c r="AM655" s="390"/>
      <c r="AN655" s="390"/>
      <c r="AO655" s="390"/>
      <c r="AP655" s="390"/>
      <c r="AQ655" s="390"/>
      <c r="AR655" s="390"/>
      <c r="AS655" s="390"/>
    </row>
    <row r="656" spans="2:45" x14ac:dyDescent="0.3">
      <c r="B656" s="65" t="s">
        <v>203</v>
      </c>
      <c r="C656" s="66"/>
      <c r="D656" s="35">
        <f>+D651/D$646</f>
        <v>7.5809808102345486E-2</v>
      </c>
      <c r="E656" s="35">
        <f t="shared" ref="E656:W656" si="607">+E651/E$646</f>
        <v>7.1621489621489662E-2</v>
      </c>
      <c r="F656" s="35">
        <f t="shared" si="607"/>
        <v>7.0952266620934193E-2</v>
      </c>
      <c r="G656" s="35">
        <f t="shared" si="607"/>
        <v>7.3653563306654096E-2</v>
      </c>
      <c r="H656" s="35">
        <f t="shared" si="607"/>
        <v>7.544113968457343E-2</v>
      </c>
      <c r="I656" s="35">
        <f t="shared" si="607"/>
        <v>7.4109546920688552E-2</v>
      </c>
      <c r="J656" s="35">
        <f t="shared" si="607"/>
        <v>7.31537649542576E-2</v>
      </c>
      <c r="K656" s="35">
        <f t="shared" si="607"/>
        <v>7.3190813351579703E-2</v>
      </c>
      <c r="L656" s="35">
        <f t="shared" si="607"/>
        <v>7.287643357054642E-2</v>
      </c>
      <c r="M656" s="35">
        <f t="shared" si="607"/>
        <v>7.5547965293902009E-2</v>
      </c>
      <c r="N656" s="35">
        <f t="shared" si="607"/>
        <v>7.5721159402658264E-2</v>
      </c>
      <c r="O656" s="35">
        <f t="shared" si="607"/>
        <v>7.2070432699246678E-2</v>
      </c>
      <c r="P656" s="35">
        <f t="shared" si="607"/>
        <v>7.5547965293902009E-2</v>
      </c>
      <c r="Q656" s="35">
        <f t="shared" si="607"/>
        <v>7.5547965293902009E-2</v>
      </c>
      <c r="R656" s="35">
        <f t="shared" si="607"/>
        <v>7.5194300205289347E-2</v>
      </c>
      <c r="S656" s="35">
        <f t="shared" si="607"/>
        <v>7.491176648701027E-2</v>
      </c>
      <c r="T656" s="35">
        <f t="shared" si="607"/>
        <v>7.3030612244898027E-2</v>
      </c>
      <c r="U656" s="35">
        <f t="shared" si="607"/>
        <v>6.7675294951091342E-2</v>
      </c>
      <c r="V656" s="35">
        <f t="shared" si="607"/>
        <v>7.3030612244898027E-2</v>
      </c>
      <c r="W656" s="35">
        <f t="shared" si="607"/>
        <v>7.5547965293902009E-2</v>
      </c>
      <c r="Y656" s="390"/>
      <c r="Z656" s="390"/>
      <c r="AA656" s="390"/>
      <c r="AB656" s="390"/>
      <c r="AC656" s="390"/>
      <c r="AD656" s="390"/>
      <c r="AE656" s="390"/>
      <c r="AF656" s="390"/>
      <c r="AG656" s="390"/>
      <c r="AH656" s="390"/>
      <c r="AI656" s="390"/>
      <c r="AJ656" s="390"/>
      <c r="AK656" s="390"/>
      <c r="AL656" s="390"/>
      <c r="AM656" s="390"/>
      <c r="AN656" s="390"/>
      <c r="AO656" s="390"/>
      <c r="AP656" s="390"/>
      <c r="AQ656" s="390"/>
      <c r="AR656" s="390"/>
      <c r="AS656" s="390"/>
    </row>
    <row r="657" spans="1:45" x14ac:dyDescent="0.3">
      <c r="B657" s="65" t="s">
        <v>204</v>
      </c>
      <c r="C657" s="66"/>
      <c r="D657" s="35">
        <f>+D652/D$647</f>
        <v>8.9400840336134532E-2</v>
      </c>
      <c r="E657" s="35">
        <f t="shared" ref="E657:W657" si="608">+E652/E$647</f>
        <v>8.4660513643659757E-2</v>
      </c>
      <c r="F657" s="35">
        <f t="shared" si="608"/>
        <v>8.3784417634457209E-2</v>
      </c>
      <c r="G657" s="35">
        <f t="shared" si="608"/>
        <v>8.6868205770182574E-2</v>
      </c>
      <c r="H657" s="35">
        <f t="shared" si="608"/>
        <v>8.9057617745183545E-2</v>
      </c>
      <c r="I657" s="35">
        <f t="shared" si="608"/>
        <v>8.7586846092148701E-2</v>
      </c>
      <c r="J657" s="35">
        <f t="shared" si="608"/>
        <v>8.6281898595132134E-2</v>
      </c>
      <c r="K657" s="35">
        <f t="shared" si="608"/>
        <v>8.6507037297677697E-2</v>
      </c>
      <c r="L657" s="35">
        <f t="shared" si="608"/>
        <v>8.6045802411873887E-2</v>
      </c>
      <c r="M657" s="35">
        <f t="shared" si="608"/>
        <v>8.918295105652882E-2</v>
      </c>
      <c r="N657" s="35">
        <f t="shared" si="608"/>
        <v>8.92935359165693E-2</v>
      </c>
      <c r="O657" s="35">
        <f t="shared" si="608"/>
        <v>8.5012267668573782E-2</v>
      </c>
      <c r="P657" s="35">
        <f t="shared" si="608"/>
        <v>8.918295105652882E-2</v>
      </c>
      <c r="Q657" s="35">
        <f t="shared" si="608"/>
        <v>8.918295105652882E-2</v>
      </c>
      <c r="R657" s="35">
        <f t="shared" si="608"/>
        <v>8.8675432855358005E-2</v>
      </c>
      <c r="S657" s="35">
        <f t="shared" si="608"/>
        <v>8.8436448263515974E-2</v>
      </c>
      <c r="T657" s="35">
        <f t="shared" si="608"/>
        <v>8.6349137931034547E-2</v>
      </c>
      <c r="U657" s="35">
        <f t="shared" si="608"/>
        <v>7.9958887902987372E-2</v>
      </c>
      <c r="V657" s="35">
        <f t="shared" si="608"/>
        <v>8.6349137931034547E-2</v>
      </c>
      <c r="W657" s="35">
        <f t="shared" si="608"/>
        <v>8.918295105652882E-2</v>
      </c>
      <c r="Y657" s="390"/>
      <c r="Z657" s="390"/>
      <c r="AA657" s="390"/>
      <c r="AB657" s="390"/>
      <c r="AC657" s="390"/>
      <c r="AD657" s="390"/>
      <c r="AE657" s="390"/>
      <c r="AF657" s="390"/>
      <c r="AG657" s="390"/>
      <c r="AH657" s="390"/>
      <c r="AI657" s="390"/>
      <c r="AJ657" s="390"/>
      <c r="AK657" s="390"/>
      <c r="AL657" s="390"/>
      <c r="AM657" s="390"/>
      <c r="AN657" s="390"/>
      <c r="AO657" s="390"/>
      <c r="AP657" s="390"/>
      <c r="AQ657" s="390"/>
      <c r="AR657" s="390"/>
      <c r="AS657" s="390"/>
    </row>
    <row r="658" spans="1:45" x14ac:dyDescent="0.3">
      <c r="B658" s="65" t="s">
        <v>205</v>
      </c>
      <c r="C658" s="66"/>
      <c r="D658" s="35">
        <f>+D653/D$648</f>
        <v>9.6047549530761278E-2</v>
      </c>
      <c r="E658" s="35">
        <f t="shared" ref="E658:W658" si="609">+E653/E$648</f>
        <v>9.1043634190077743E-2</v>
      </c>
      <c r="F658" s="35">
        <f t="shared" si="609"/>
        <v>9.006847512667629E-2</v>
      </c>
      <c r="G658" s="35">
        <f t="shared" si="609"/>
        <v>9.3335144822801683E-2</v>
      </c>
      <c r="H658" s="35">
        <f t="shared" si="609"/>
        <v>9.5716553287981912E-2</v>
      </c>
      <c r="I658" s="35">
        <f t="shared" si="609"/>
        <v>9.4179426683968434E-2</v>
      </c>
      <c r="J658" s="35">
        <f t="shared" si="609"/>
        <v>9.270748299319731E-2</v>
      </c>
      <c r="K658" s="35">
        <f t="shared" si="609"/>
        <v>9.3022678971731346E-2</v>
      </c>
      <c r="L658" s="35">
        <f t="shared" si="609"/>
        <v>9.249117757116955E-2</v>
      </c>
      <c r="M658" s="35">
        <f t="shared" si="609"/>
        <v>9.5850718618340464E-2</v>
      </c>
      <c r="N658" s="35">
        <f t="shared" si="609"/>
        <v>9.5931338132920846E-2</v>
      </c>
      <c r="O658" s="35">
        <f t="shared" si="609"/>
        <v>9.1348747809373132E-2</v>
      </c>
      <c r="P658" s="35">
        <f t="shared" si="609"/>
        <v>9.5850718618340464E-2</v>
      </c>
      <c r="Q658" s="35">
        <f t="shared" si="609"/>
        <v>9.5850718618340464E-2</v>
      </c>
      <c r="R658" s="35">
        <f t="shared" si="609"/>
        <v>9.5269677190702742E-2</v>
      </c>
      <c r="S658" s="35">
        <f t="shared" si="609"/>
        <v>9.5051568377713974E-2</v>
      </c>
      <c r="T658" s="35">
        <f t="shared" si="609"/>
        <v>9.2865905848787511E-2</v>
      </c>
      <c r="U658" s="35">
        <f t="shared" si="609"/>
        <v>8.5980099369590862E-2</v>
      </c>
      <c r="V658" s="35">
        <f t="shared" si="609"/>
        <v>9.2865905848787511E-2</v>
      </c>
      <c r="W658" s="35">
        <f t="shared" si="609"/>
        <v>9.5850718618340464E-2</v>
      </c>
      <c r="Y658" s="390"/>
      <c r="Z658" s="390"/>
      <c r="AA658" s="390"/>
      <c r="AB658" s="390"/>
      <c r="AC658" s="390"/>
      <c r="AD658" s="390"/>
      <c r="AE658" s="390"/>
      <c r="AF658" s="390"/>
      <c r="AG658" s="390"/>
      <c r="AH658" s="390"/>
      <c r="AI658" s="390"/>
      <c r="AJ658" s="390"/>
      <c r="AK658" s="390"/>
      <c r="AL658" s="390"/>
      <c r="AM658" s="390"/>
      <c r="AN658" s="390"/>
      <c r="AO658" s="390"/>
      <c r="AP658" s="390"/>
      <c r="AQ658" s="390"/>
      <c r="AR658" s="390"/>
      <c r="AS658" s="390"/>
    </row>
    <row r="659" spans="1:45" ht="21" thickBot="1" x14ac:dyDescent="0.35">
      <c r="Y659" s="390"/>
      <c r="Z659" s="390"/>
      <c r="AA659" s="390"/>
      <c r="AB659" s="390"/>
      <c r="AC659" s="390"/>
      <c r="AD659" s="390"/>
      <c r="AE659" s="390"/>
      <c r="AF659" s="390"/>
      <c r="AG659" s="390"/>
      <c r="AH659" s="390"/>
      <c r="AI659" s="390"/>
      <c r="AJ659" s="390"/>
      <c r="AK659" s="390"/>
      <c r="AL659" s="390"/>
      <c r="AM659" s="390"/>
      <c r="AN659" s="390"/>
      <c r="AO659" s="390"/>
      <c r="AP659" s="390"/>
      <c r="AQ659" s="390"/>
      <c r="AR659" s="390"/>
      <c r="AS659" s="390"/>
    </row>
    <row r="660" spans="1:45" ht="21" thickBot="1" x14ac:dyDescent="0.35">
      <c r="A660" s="15" t="s">
        <v>333</v>
      </c>
      <c r="B660" s="74" t="s">
        <v>125</v>
      </c>
      <c r="C660" s="68"/>
      <c r="D660" s="17" t="s">
        <v>5</v>
      </c>
      <c r="E660" s="18" t="s">
        <v>6</v>
      </c>
      <c r="F660" s="18" t="s">
        <v>7</v>
      </c>
      <c r="G660" s="18" t="s">
        <v>8</v>
      </c>
      <c r="H660" s="18" t="s">
        <v>9</v>
      </c>
      <c r="I660" s="18" t="s">
        <v>10</v>
      </c>
      <c r="J660" s="18" t="s">
        <v>11</v>
      </c>
      <c r="K660" s="18" t="s">
        <v>12</v>
      </c>
      <c r="L660" s="18" t="s">
        <v>13</v>
      </c>
      <c r="M660" s="18" t="s">
        <v>14</v>
      </c>
      <c r="N660" s="18" t="s">
        <v>15</v>
      </c>
      <c r="O660" s="18" t="s">
        <v>16</v>
      </c>
      <c r="P660" s="18" t="s">
        <v>17</v>
      </c>
      <c r="Q660" s="18" t="s">
        <v>18</v>
      </c>
      <c r="R660" s="18" t="s">
        <v>19</v>
      </c>
      <c r="S660" s="18" t="s">
        <v>20</v>
      </c>
      <c r="T660" s="18" t="s">
        <v>21</v>
      </c>
      <c r="U660" s="18" t="s">
        <v>22</v>
      </c>
      <c r="V660" s="18" t="s">
        <v>23</v>
      </c>
      <c r="W660" s="18" t="s">
        <v>166</v>
      </c>
      <c r="Y660" s="390"/>
      <c r="Z660" s="390"/>
      <c r="AA660" s="390"/>
      <c r="AB660" s="390"/>
      <c r="AC660" s="390"/>
      <c r="AD660" s="390"/>
      <c r="AE660" s="390"/>
      <c r="AF660" s="390"/>
      <c r="AG660" s="390"/>
      <c r="AH660" s="390"/>
      <c r="AI660" s="390"/>
      <c r="AJ660" s="390"/>
      <c r="AK660" s="390"/>
      <c r="AL660" s="390"/>
      <c r="AM660" s="390"/>
      <c r="AN660" s="390"/>
      <c r="AO660" s="390"/>
      <c r="AP660" s="390"/>
      <c r="AQ660" s="390"/>
      <c r="AR660" s="390"/>
      <c r="AS660" s="390"/>
    </row>
    <row r="661" spans="1:45" x14ac:dyDescent="0.3">
      <c r="B661" s="69" t="s">
        <v>50</v>
      </c>
      <c r="C661" s="70"/>
      <c r="D661" s="20">
        <v>780</v>
      </c>
      <c r="E661" s="20">
        <v>780</v>
      </c>
      <c r="F661" s="20">
        <v>780</v>
      </c>
      <c r="G661" s="20">
        <v>780</v>
      </c>
      <c r="H661" s="20">
        <v>780</v>
      </c>
      <c r="I661" s="20">
        <v>780</v>
      </c>
      <c r="J661" s="20">
        <v>780</v>
      </c>
      <c r="K661" s="20">
        <v>780</v>
      </c>
      <c r="L661" s="20">
        <v>780</v>
      </c>
      <c r="M661" s="20">
        <v>780</v>
      </c>
      <c r="N661" s="20">
        <v>780</v>
      </c>
      <c r="O661" s="20">
        <v>780</v>
      </c>
      <c r="P661" s="20">
        <v>780</v>
      </c>
      <c r="Q661" s="20">
        <v>780</v>
      </c>
      <c r="R661" s="20">
        <v>780</v>
      </c>
      <c r="S661" s="20">
        <v>780</v>
      </c>
      <c r="T661" s="20"/>
      <c r="U661" s="20"/>
      <c r="V661" s="20"/>
      <c r="W661" s="20">
        <v>780</v>
      </c>
      <c r="Y661" s="390"/>
      <c r="Z661" s="390"/>
      <c r="AA661" s="390"/>
      <c r="AB661" s="390"/>
      <c r="AC661" s="390"/>
      <c r="AD661" s="390"/>
      <c r="AE661" s="390"/>
      <c r="AF661" s="390"/>
      <c r="AG661" s="390"/>
      <c r="AH661" s="390"/>
      <c r="AI661" s="390"/>
      <c r="AJ661" s="390"/>
      <c r="AK661" s="390"/>
      <c r="AL661" s="390"/>
      <c r="AM661" s="390"/>
      <c r="AN661" s="390"/>
      <c r="AO661" s="390"/>
      <c r="AP661" s="390"/>
      <c r="AQ661" s="390"/>
      <c r="AR661" s="390"/>
      <c r="AS661" s="390"/>
    </row>
    <row r="662" spans="1:45" x14ac:dyDescent="0.3">
      <c r="B662" s="54" t="s">
        <v>51</v>
      </c>
      <c r="C662" s="55"/>
      <c r="D662" s="322">
        <v>0.24</v>
      </c>
      <c r="E662" s="322">
        <f>D662</f>
        <v>0.24</v>
      </c>
      <c r="F662" s="322">
        <f>D662</f>
        <v>0.24</v>
      </c>
      <c r="G662" s="322">
        <f>D662</f>
        <v>0.24</v>
      </c>
      <c r="H662" s="322">
        <f>D662</f>
        <v>0.24</v>
      </c>
      <c r="I662" s="322">
        <f>D662</f>
        <v>0.24</v>
      </c>
      <c r="J662" s="322">
        <f>D662</f>
        <v>0.24</v>
      </c>
      <c r="K662" s="322">
        <f>D662</f>
        <v>0.24</v>
      </c>
      <c r="L662" s="322">
        <f>D662</f>
        <v>0.24</v>
      </c>
      <c r="M662" s="322">
        <f>D662</f>
        <v>0.24</v>
      </c>
      <c r="N662" s="322">
        <f>D662</f>
        <v>0.24</v>
      </c>
      <c r="O662" s="322">
        <f>D662</f>
        <v>0.24</v>
      </c>
      <c r="P662" s="322">
        <f>D662</f>
        <v>0.24</v>
      </c>
      <c r="Q662" s="322">
        <f>D662</f>
        <v>0.24</v>
      </c>
      <c r="R662" s="322">
        <f>D662</f>
        <v>0.24</v>
      </c>
      <c r="S662" s="322">
        <f>D662</f>
        <v>0.24</v>
      </c>
      <c r="T662" s="218"/>
      <c r="U662" s="218"/>
      <c r="V662" s="218"/>
      <c r="W662" s="322">
        <f>J662</f>
        <v>0.24</v>
      </c>
      <c r="Y662" s="390"/>
      <c r="Z662" s="390"/>
      <c r="AA662" s="390"/>
      <c r="AB662" s="390"/>
      <c r="AC662" s="390"/>
      <c r="AD662" s="390"/>
      <c r="AE662" s="390"/>
      <c r="AF662" s="390"/>
      <c r="AG662" s="390"/>
      <c r="AH662" s="390"/>
      <c r="AI662" s="390"/>
      <c r="AJ662" s="390"/>
      <c r="AK662" s="390"/>
      <c r="AL662" s="390"/>
      <c r="AM662" s="390"/>
      <c r="AN662" s="390"/>
      <c r="AO662" s="390"/>
      <c r="AP662" s="390"/>
      <c r="AQ662" s="390"/>
      <c r="AR662" s="390"/>
      <c r="AS662" s="390"/>
    </row>
    <row r="663" spans="1:45" x14ac:dyDescent="0.3">
      <c r="B663" s="54" t="s">
        <v>56</v>
      </c>
      <c r="C663" s="55"/>
      <c r="D663" s="21">
        <v>0</v>
      </c>
      <c r="E663" s="21">
        <v>0</v>
      </c>
      <c r="F663" s="21">
        <v>0</v>
      </c>
      <c r="G663" s="21">
        <v>0</v>
      </c>
      <c r="H663" s="21">
        <v>0</v>
      </c>
      <c r="I663" s="21">
        <v>0</v>
      </c>
      <c r="J663" s="21">
        <v>0</v>
      </c>
      <c r="K663" s="21">
        <v>0</v>
      </c>
      <c r="L663" s="21">
        <v>0</v>
      </c>
      <c r="M663" s="21">
        <v>0</v>
      </c>
      <c r="N663" s="21">
        <v>0</v>
      </c>
      <c r="O663" s="21">
        <v>0</v>
      </c>
      <c r="P663" s="21">
        <v>0</v>
      </c>
      <c r="Q663" s="21">
        <v>0</v>
      </c>
      <c r="R663" s="21">
        <v>0</v>
      </c>
      <c r="S663" s="21">
        <v>0</v>
      </c>
      <c r="T663" s="21"/>
      <c r="U663" s="21"/>
      <c r="V663" s="21"/>
      <c r="W663" s="21">
        <v>0</v>
      </c>
      <c r="Y663" s="390"/>
      <c r="Z663" s="390"/>
      <c r="AA663" s="390"/>
      <c r="AB663" s="390"/>
      <c r="AC663" s="390"/>
      <c r="AD663" s="390"/>
      <c r="AE663" s="390"/>
      <c r="AF663" s="390"/>
      <c r="AG663" s="390"/>
      <c r="AH663" s="390"/>
      <c r="AI663" s="390"/>
      <c r="AJ663" s="390"/>
      <c r="AK663" s="390"/>
      <c r="AL663" s="390"/>
      <c r="AM663" s="390"/>
      <c r="AN663" s="390"/>
      <c r="AO663" s="390"/>
      <c r="AP663" s="390"/>
      <c r="AQ663" s="390"/>
      <c r="AR663" s="390"/>
      <c r="AS663" s="390"/>
    </row>
    <row r="664" spans="1:45" x14ac:dyDescent="0.3">
      <c r="B664" s="177" t="s">
        <v>67</v>
      </c>
      <c r="C664" s="178"/>
      <c r="D664" s="323">
        <f>D661-(D661*D662)</f>
        <v>592.79999999999995</v>
      </c>
      <c r="E664" s="323">
        <f t="shared" ref="E664:W664" si="610">E661-(E661*E662)</f>
        <v>592.79999999999995</v>
      </c>
      <c r="F664" s="323">
        <f t="shared" si="610"/>
        <v>592.79999999999995</v>
      </c>
      <c r="G664" s="323">
        <f t="shared" si="610"/>
        <v>592.79999999999995</v>
      </c>
      <c r="H664" s="323">
        <f t="shared" si="610"/>
        <v>592.79999999999995</v>
      </c>
      <c r="I664" s="323">
        <f t="shared" si="610"/>
        <v>592.79999999999995</v>
      </c>
      <c r="J664" s="323">
        <f t="shared" si="610"/>
        <v>592.79999999999995</v>
      </c>
      <c r="K664" s="323">
        <f t="shared" si="610"/>
        <v>592.79999999999995</v>
      </c>
      <c r="L664" s="323">
        <f t="shared" si="610"/>
        <v>592.79999999999995</v>
      </c>
      <c r="M664" s="323">
        <f t="shared" si="610"/>
        <v>592.79999999999995</v>
      </c>
      <c r="N664" s="323">
        <f t="shared" si="610"/>
        <v>592.79999999999995</v>
      </c>
      <c r="O664" s="323">
        <f t="shared" si="610"/>
        <v>592.79999999999995</v>
      </c>
      <c r="P664" s="323">
        <f t="shared" si="610"/>
        <v>592.79999999999995</v>
      </c>
      <c r="Q664" s="323">
        <f t="shared" si="610"/>
        <v>592.79999999999995</v>
      </c>
      <c r="R664" s="323">
        <f t="shared" si="610"/>
        <v>592.79999999999995</v>
      </c>
      <c r="S664" s="323">
        <f t="shared" si="610"/>
        <v>592.79999999999995</v>
      </c>
      <c r="T664" s="323">
        <v>635.76</v>
      </c>
      <c r="U664" s="323">
        <v>635.76</v>
      </c>
      <c r="V664" s="323">
        <v>635.76</v>
      </c>
      <c r="W664" s="323">
        <f t="shared" si="610"/>
        <v>592.79999999999995</v>
      </c>
      <c r="Y664" s="390"/>
      <c r="Z664" s="390"/>
      <c r="AA664" s="390"/>
      <c r="AB664" s="390"/>
      <c r="AC664" s="390"/>
      <c r="AD664" s="390"/>
      <c r="AE664" s="390"/>
      <c r="AF664" s="390"/>
      <c r="AG664" s="390"/>
      <c r="AH664" s="390"/>
      <c r="AI664" s="390"/>
      <c r="AJ664" s="390"/>
      <c r="AK664" s="390"/>
      <c r="AL664" s="390"/>
      <c r="AM664" s="390"/>
      <c r="AN664" s="390"/>
      <c r="AO664" s="390"/>
      <c r="AP664" s="390"/>
      <c r="AQ664" s="390"/>
      <c r="AR664" s="390"/>
      <c r="AS664" s="390"/>
    </row>
    <row r="665" spans="1:45" x14ac:dyDescent="0.3">
      <c r="B665" s="54" t="s">
        <v>66</v>
      </c>
      <c r="C665" s="56">
        <v>7.0000000000000007E-2</v>
      </c>
      <c r="D665" s="24">
        <f>D664*$C665</f>
        <v>41.496000000000002</v>
      </c>
      <c r="E665" s="24">
        <f t="shared" ref="E665:V665" si="611">E664*$C665</f>
        <v>41.496000000000002</v>
      </c>
      <c r="F665" s="24">
        <f t="shared" si="611"/>
        <v>41.496000000000002</v>
      </c>
      <c r="G665" s="24">
        <f t="shared" si="611"/>
        <v>41.496000000000002</v>
      </c>
      <c r="H665" s="24">
        <f t="shared" si="611"/>
        <v>41.496000000000002</v>
      </c>
      <c r="I665" s="24">
        <f t="shared" si="611"/>
        <v>41.496000000000002</v>
      </c>
      <c r="J665" s="24">
        <f t="shared" si="611"/>
        <v>41.496000000000002</v>
      </c>
      <c r="K665" s="24">
        <f t="shared" si="611"/>
        <v>41.496000000000002</v>
      </c>
      <c r="L665" s="24">
        <f t="shared" si="611"/>
        <v>41.496000000000002</v>
      </c>
      <c r="M665" s="24">
        <f t="shared" si="611"/>
        <v>41.496000000000002</v>
      </c>
      <c r="N665" s="24">
        <f t="shared" si="611"/>
        <v>41.496000000000002</v>
      </c>
      <c r="O665" s="24">
        <f t="shared" si="611"/>
        <v>41.496000000000002</v>
      </c>
      <c r="P665" s="24">
        <f t="shared" si="611"/>
        <v>41.496000000000002</v>
      </c>
      <c r="Q665" s="24">
        <f t="shared" si="611"/>
        <v>41.496000000000002</v>
      </c>
      <c r="R665" s="24">
        <f t="shared" si="611"/>
        <v>41.496000000000002</v>
      </c>
      <c r="S665" s="24">
        <f t="shared" si="611"/>
        <v>41.496000000000002</v>
      </c>
      <c r="T665" s="24">
        <f t="shared" si="611"/>
        <v>44.503200000000007</v>
      </c>
      <c r="U665" s="24">
        <f t="shared" si="611"/>
        <v>44.503200000000007</v>
      </c>
      <c r="V665" s="24">
        <f t="shared" si="611"/>
        <v>44.503200000000007</v>
      </c>
      <c r="W665" s="24">
        <f>W664*$C665</f>
        <v>41.496000000000002</v>
      </c>
      <c r="Y665" s="390"/>
      <c r="Z665" s="390"/>
      <c r="AA665" s="390"/>
      <c r="AB665" s="390"/>
      <c r="AC665" s="390"/>
      <c r="AD665" s="390"/>
      <c r="AE665" s="390"/>
      <c r="AF665" s="390"/>
      <c r="AG665" s="390"/>
      <c r="AH665" s="390"/>
      <c r="AI665" s="390"/>
      <c r="AJ665" s="390"/>
      <c r="AK665" s="390"/>
      <c r="AL665" s="390"/>
      <c r="AM665" s="390"/>
      <c r="AN665" s="390"/>
      <c r="AO665" s="390"/>
      <c r="AP665" s="390"/>
      <c r="AQ665" s="390"/>
      <c r="AR665" s="390"/>
      <c r="AS665" s="390"/>
    </row>
    <row r="666" spans="1:45" x14ac:dyDescent="0.3">
      <c r="B666" s="54" t="s">
        <v>68</v>
      </c>
      <c r="C666" s="55"/>
      <c r="D666" s="21">
        <f>D664+D665</f>
        <v>634.29599999999994</v>
      </c>
      <c r="E666" s="21">
        <f t="shared" ref="E666:V666" si="612">E664+E665</f>
        <v>634.29599999999994</v>
      </c>
      <c r="F666" s="21">
        <f t="shared" si="612"/>
        <v>634.29599999999994</v>
      </c>
      <c r="G666" s="21">
        <f t="shared" si="612"/>
        <v>634.29599999999994</v>
      </c>
      <c r="H666" s="21">
        <f t="shared" si="612"/>
        <v>634.29599999999994</v>
      </c>
      <c r="I666" s="21">
        <f t="shared" si="612"/>
        <v>634.29599999999994</v>
      </c>
      <c r="J666" s="21">
        <f t="shared" si="612"/>
        <v>634.29599999999994</v>
      </c>
      <c r="K666" s="21">
        <f t="shared" si="612"/>
        <v>634.29599999999994</v>
      </c>
      <c r="L666" s="21">
        <f t="shared" si="612"/>
        <v>634.29599999999994</v>
      </c>
      <c r="M666" s="21">
        <f t="shared" si="612"/>
        <v>634.29599999999994</v>
      </c>
      <c r="N666" s="21">
        <f t="shared" si="612"/>
        <v>634.29599999999994</v>
      </c>
      <c r="O666" s="21">
        <f t="shared" si="612"/>
        <v>634.29599999999994</v>
      </c>
      <c r="P666" s="21">
        <f t="shared" si="612"/>
        <v>634.29599999999994</v>
      </c>
      <c r="Q666" s="21">
        <f t="shared" si="612"/>
        <v>634.29599999999994</v>
      </c>
      <c r="R666" s="21">
        <f t="shared" si="612"/>
        <v>634.29599999999994</v>
      </c>
      <c r="S666" s="21">
        <f t="shared" si="612"/>
        <v>634.29599999999994</v>
      </c>
      <c r="T666" s="21">
        <f t="shared" si="612"/>
        <v>680.26319999999998</v>
      </c>
      <c r="U666" s="21">
        <f t="shared" si="612"/>
        <v>680.26319999999998</v>
      </c>
      <c r="V666" s="21">
        <f t="shared" si="612"/>
        <v>680.26319999999998</v>
      </c>
      <c r="W666" s="21">
        <f>W664+W665</f>
        <v>634.29599999999994</v>
      </c>
      <c r="Y666" s="390"/>
      <c r="Z666" s="390"/>
      <c r="AA666" s="390"/>
      <c r="AB666" s="390"/>
      <c r="AC666" s="390"/>
      <c r="AD666" s="390"/>
      <c r="AE666" s="390"/>
      <c r="AF666" s="390"/>
      <c r="AG666" s="390"/>
      <c r="AH666" s="390"/>
      <c r="AI666" s="390"/>
      <c r="AJ666" s="390"/>
      <c r="AK666" s="390"/>
      <c r="AL666" s="390"/>
      <c r="AM666" s="390"/>
      <c r="AN666" s="390"/>
      <c r="AO666" s="390"/>
      <c r="AP666" s="390"/>
      <c r="AQ666" s="390"/>
      <c r="AR666" s="390"/>
      <c r="AS666" s="390"/>
    </row>
    <row r="667" spans="1:45" x14ac:dyDescent="0.3">
      <c r="B667" s="54" t="s">
        <v>52</v>
      </c>
      <c r="C667" s="55"/>
      <c r="D667" s="398">
        <f>Y669</f>
        <v>27.844444444444445</v>
      </c>
      <c r="E667" s="398">
        <f t="shared" ref="E667:W667" si="613">Z669</f>
        <v>63.248888888888892</v>
      </c>
      <c r="F667" s="398">
        <f t="shared" si="613"/>
        <v>75.900000000000006</v>
      </c>
      <c r="G667" s="398">
        <f t="shared" si="613"/>
        <v>50.6</v>
      </c>
      <c r="H667" s="398">
        <f t="shared" si="613"/>
        <v>27.106666666666666</v>
      </c>
      <c r="I667" s="398">
        <f t="shared" si="613"/>
        <v>36.142222222222223</v>
      </c>
      <c r="J667" s="398">
        <f t="shared" si="613"/>
        <v>56.022222222222226</v>
      </c>
      <c r="K667" s="398">
        <f t="shared" si="613"/>
        <v>45.902222222222221</v>
      </c>
      <c r="L667" s="398">
        <f t="shared" si="613"/>
        <v>54.213333333333331</v>
      </c>
      <c r="M667" s="398">
        <f t="shared" si="613"/>
        <v>26.022222222222222</v>
      </c>
      <c r="N667" s="398">
        <f t="shared" si="613"/>
        <v>28.915555555555557</v>
      </c>
      <c r="O667" s="398">
        <f t="shared" si="613"/>
        <v>67.957777777777778</v>
      </c>
      <c r="P667" s="398">
        <f t="shared" si="613"/>
        <v>26.022222222222222</v>
      </c>
      <c r="Q667" s="398">
        <f t="shared" si="613"/>
        <v>26.022222222222222</v>
      </c>
      <c r="R667" s="398">
        <f t="shared" si="613"/>
        <v>34.335555555555558</v>
      </c>
      <c r="S667" s="398">
        <f t="shared" si="613"/>
        <v>32.528888888888886</v>
      </c>
      <c r="T667" s="398">
        <f t="shared" si="613"/>
        <v>0</v>
      </c>
      <c r="U667" s="398">
        <f t="shared" si="613"/>
        <v>67.957777777777778</v>
      </c>
      <c r="V667" s="398">
        <f t="shared" si="613"/>
        <v>0</v>
      </c>
      <c r="W667" s="398">
        <f t="shared" si="613"/>
        <v>26.022222222222222</v>
      </c>
      <c r="Y667" s="390">
        <v>12530</v>
      </c>
      <c r="Z667" s="390">
        <v>28462</v>
      </c>
      <c r="AA667" s="390">
        <v>34155</v>
      </c>
      <c r="AB667" s="390">
        <v>22770</v>
      </c>
      <c r="AC667" s="390">
        <v>12198</v>
      </c>
      <c r="AD667" s="390">
        <v>16264</v>
      </c>
      <c r="AE667" s="390">
        <v>25210</v>
      </c>
      <c r="AF667" s="390">
        <v>20656</v>
      </c>
      <c r="AG667" s="390">
        <v>24396</v>
      </c>
      <c r="AH667" s="390">
        <v>11710</v>
      </c>
      <c r="AI667" s="390">
        <v>13012</v>
      </c>
      <c r="AJ667" s="390">
        <v>30581</v>
      </c>
      <c r="AK667" s="396">
        <v>11710</v>
      </c>
      <c r="AL667" s="396">
        <v>11710</v>
      </c>
      <c r="AM667" s="390">
        <v>15451</v>
      </c>
      <c r="AN667" s="390">
        <v>14638</v>
      </c>
      <c r="AO667" s="390"/>
      <c r="AP667" s="396">
        <v>30581</v>
      </c>
      <c r="AQ667" s="390"/>
      <c r="AR667" s="396">
        <v>11710</v>
      </c>
      <c r="AS667" s="390"/>
    </row>
    <row r="668" spans="1:45" x14ac:dyDescent="0.3">
      <c r="B668" s="57" t="s">
        <v>53</v>
      </c>
      <c r="C668" s="58"/>
      <c r="D668" s="25">
        <f>SUM(D666:D667)</f>
        <v>662.14044444444437</v>
      </c>
      <c r="E668" s="26">
        <f t="shared" ref="E668:V668" si="614">SUM(E666:E667)</f>
        <v>697.54488888888886</v>
      </c>
      <c r="F668" s="26">
        <f t="shared" si="614"/>
        <v>710.19599999999991</v>
      </c>
      <c r="G668" s="26">
        <f t="shared" si="614"/>
        <v>684.89599999999996</v>
      </c>
      <c r="H668" s="26">
        <f t="shared" si="614"/>
        <v>661.40266666666662</v>
      </c>
      <c r="I668" s="26">
        <f t="shared" si="614"/>
        <v>670.43822222222218</v>
      </c>
      <c r="J668" s="26">
        <f t="shared" si="614"/>
        <v>690.31822222222218</v>
      </c>
      <c r="K668" s="26">
        <f t="shared" si="614"/>
        <v>680.19822222222217</v>
      </c>
      <c r="L668" s="26">
        <f t="shared" si="614"/>
        <v>688.5093333333333</v>
      </c>
      <c r="M668" s="26">
        <f t="shared" si="614"/>
        <v>660.31822222222218</v>
      </c>
      <c r="N668" s="26">
        <f t="shared" si="614"/>
        <v>663.21155555555549</v>
      </c>
      <c r="O668" s="26">
        <f t="shared" si="614"/>
        <v>702.25377777777771</v>
      </c>
      <c r="P668" s="26">
        <f t="shared" si="614"/>
        <v>660.31822222222218</v>
      </c>
      <c r="Q668" s="26">
        <f t="shared" si="614"/>
        <v>660.31822222222218</v>
      </c>
      <c r="R668" s="26">
        <f t="shared" si="614"/>
        <v>668.63155555555545</v>
      </c>
      <c r="S668" s="26">
        <f t="shared" si="614"/>
        <v>666.82488888888884</v>
      </c>
      <c r="T668" s="26">
        <f t="shared" si="614"/>
        <v>680.26319999999998</v>
      </c>
      <c r="U668" s="26">
        <f t="shared" si="614"/>
        <v>748.22097777777776</v>
      </c>
      <c r="V668" s="26">
        <f t="shared" si="614"/>
        <v>680.26319999999998</v>
      </c>
      <c r="W668" s="26">
        <f>SUM(W666:W667)</f>
        <v>660.31822222222218</v>
      </c>
      <c r="Y668" s="390">
        <v>450</v>
      </c>
      <c r="Z668" s="390">
        <v>450</v>
      </c>
      <c r="AA668" s="390">
        <v>450</v>
      </c>
      <c r="AB668" s="390">
        <v>450</v>
      </c>
      <c r="AC668" s="390">
        <v>450</v>
      </c>
      <c r="AD668" s="390">
        <v>450</v>
      </c>
      <c r="AE668" s="390">
        <v>450</v>
      </c>
      <c r="AF668" s="390">
        <v>450</v>
      </c>
      <c r="AG668" s="390">
        <v>450</v>
      </c>
      <c r="AH668" s="390">
        <v>450</v>
      </c>
      <c r="AI668" s="390">
        <v>450</v>
      </c>
      <c r="AJ668" s="390">
        <v>450</v>
      </c>
      <c r="AK668" s="390">
        <v>450</v>
      </c>
      <c r="AL668" s="390">
        <v>450</v>
      </c>
      <c r="AM668" s="390">
        <v>450</v>
      </c>
      <c r="AN668" s="390">
        <v>450</v>
      </c>
      <c r="AO668" s="390"/>
      <c r="AP668" s="390">
        <v>450</v>
      </c>
      <c r="AQ668" s="390"/>
      <c r="AR668" s="390">
        <v>450</v>
      </c>
      <c r="AS668" s="390"/>
    </row>
    <row r="669" spans="1:45" x14ac:dyDescent="0.3">
      <c r="B669" s="54" t="s">
        <v>54</v>
      </c>
      <c r="C669" s="55"/>
      <c r="D669" s="20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Y669" s="389">
        <f>Y667/Y668</f>
        <v>27.844444444444445</v>
      </c>
      <c r="Z669" s="389">
        <f t="shared" ref="Z669:AN669" si="615">Z667/Z668</f>
        <v>63.248888888888892</v>
      </c>
      <c r="AA669" s="389">
        <f t="shared" si="615"/>
        <v>75.900000000000006</v>
      </c>
      <c r="AB669" s="389">
        <f t="shared" si="615"/>
        <v>50.6</v>
      </c>
      <c r="AC669" s="389">
        <f t="shared" si="615"/>
        <v>27.106666666666666</v>
      </c>
      <c r="AD669" s="389">
        <f t="shared" si="615"/>
        <v>36.142222222222223</v>
      </c>
      <c r="AE669" s="389">
        <f t="shared" si="615"/>
        <v>56.022222222222226</v>
      </c>
      <c r="AF669" s="389">
        <f t="shared" si="615"/>
        <v>45.902222222222221</v>
      </c>
      <c r="AG669" s="389">
        <f t="shared" si="615"/>
        <v>54.213333333333331</v>
      </c>
      <c r="AH669" s="389">
        <f t="shared" si="615"/>
        <v>26.022222222222222</v>
      </c>
      <c r="AI669" s="389">
        <f t="shared" si="615"/>
        <v>28.915555555555557</v>
      </c>
      <c r="AJ669" s="389">
        <f t="shared" si="615"/>
        <v>67.957777777777778</v>
      </c>
      <c r="AK669" s="389">
        <f t="shared" si="615"/>
        <v>26.022222222222222</v>
      </c>
      <c r="AL669" s="389">
        <f t="shared" si="615"/>
        <v>26.022222222222222</v>
      </c>
      <c r="AM669" s="389">
        <f t="shared" si="615"/>
        <v>34.335555555555558</v>
      </c>
      <c r="AN669" s="389">
        <f t="shared" si="615"/>
        <v>32.528888888888886</v>
      </c>
      <c r="AO669" s="390"/>
      <c r="AP669" s="389">
        <f t="shared" ref="AP669" si="616">AP667/AP668</f>
        <v>67.957777777777778</v>
      </c>
      <c r="AQ669" s="390"/>
      <c r="AR669" s="389">
        <f t="shared" ref="AR669" si="617">AR667/AR668</f>
        <v>26.022222222222222</v>
      </c>
      <c r="AS669" s="390"/>
    </row>
    <row r="670" spans="1:45" x14ac:dyDescent="0.3">
      <c r="B670" s="59" t="s">
        <v>55</v>
      </c>
      <c r="C670" s="60"/>
      <c r="D670" s="27">
        <f>SUM(D668:D669)</f>
        <v>662.14044444444437</v>
      </c>
      <c r="E670" s="41">
        <f t="shared" ref="E670:V670" si="618">SUM(E668:E669)</f>
        <v>697.54488888888886</v>
      </c>
      <c r="F670" s="41">
        <f t="shared" si="618"/>
        <v>710.19599999999991</v>
      </c>
      <c r="G670" s="41">
        <f t="shared" si="618"/>
        <v>684.89599999999996</v>
      </c>
      <c r="H670" s="41">
        <f t="shared" si="618"/>
        <v>661.40266666666662</v>
      </c>
      <c r="I670" s="41">
        <f t="shared" si="618"/>
        <v>670.43822222222218</v>
      </c>
      <c r="J670" s="41">
        <f t="shared" si="618"/>
        <v>690.31822222222218</v>
      </c>
      <c r="K670" s="41">
        <f t="shared" si="618"/>
        <v>680.19822222222217</v>
      </c>
      <c r="L670" s="41">
        <f t="shared" si="618"/>
        <v>688.5093333333333</v>
      </c>
      <c r="M670" s="41">
        <f t="shared" si="618"/>
        <v>660.31822222222218</v>
      </c>
      <c r="N670" s="41">
        <f t="shared" si="618"/>
        <v>663.21155555555549</v>
      </c>
      <c r="O670" s="41">
        <f t="shared" si="618"/>
        <v>702.25377777777771</v>
      </c>
      <c r="P670" s="41">
        <f t="shared" si="618"/>
        <v>660.31822222222218</v>
      </c>
      <c r="Q670" s="41">
        <f t="shared" si="618"/>
        <v>660.31822222222218</v>
      </c>
      <c r="R670" s="41">
        <f t="shared" si="618"/>
        <v>668.63155555555545</v>
      </c>
      <c r="S670" s="41">
        <f t="shared" si="618"/>
        <v>666.82488888888884</v>
      </c>
      <c r="T670" s="41">
        <f t="shared" si="618"/>
        <v>680.26319999999998</v>
      </c>
      <c r="U670" s="41">
        <f t="shared" si="618"/>
        <v>748.22097777777776</v>
      </c>
      <c r="V670" s="41">
        <f t="shared" si="618"/>
        <v>680.26319999999998</v>
      </c>
      <c r="W670" s="41">
        <f>SUM(W668:W669)</f>
        <v>660.31822222222218</v>
      </c>
      <c r="Y670" s="390"/>
      <c r="Z670" s="390"/>
      <c r="AA670" s="390"/>
      <c r="AB670" s="390"/>
      <c r="AC670" s="390"/>
      <c r="AD670" s="390"/>
      <c r="AE670" s="390"/>
      <c r="AF670" s="390"/>
      <c r="AG670" s="390"/>
      <c r="AH670" s="390"/>
      <c r="AI670" s="390"/>
      <c r="AJ670" s="390"/>
      <c r="AK670" s="390"/>
      <c r="AL670" s="390"/>
      <c r="AM670" s="390"/>
      <c r="AN670" s="390"/>
      <c r="AO670" s="390"/>
      <c r="AP670" s="390"/>
      <c r="AQ670" s="390"/>
      <c r="AR670" s="390"/>
      <c r="AS670" s="390"/>
    </row>
    <row r="671" spans="1:45" x14ac:dyDescent="0.3">
      <c r="B671" s="61" t="s">
        <v>101</v>
      </c>
      <c r="C671" s="55"/>
      <c r="D671" s="43">
        <v>0</v>
      </c>
      <c r="E671" s="408">
        <v>0</v>
      </c>
      <c r="F671" s="408">
        <v>0</v>
      </c>
      <c r="G671" s="408">
        <v>0</v>
      </c>
      <c r="H671" s="408">
        <v>0</v>
      </c>
      <c r="I671" s="408">
        <v>0</v>
      </c>
      <c r="J671" s="408">
        <v>0</v>
      </c>
      <c r="K671" s="408">
        <v>0</v>
      </c>
      <c r="L671" s="408">
        <v>0</v>
      </c>
      <c r="M671" s="408">
        <v>0</v>
      </c>
      <c r="N671" s="408">
        <v>0</v>
      </c>
      <c r="O671" s="408">
        <v>0</v>
      </c>
      <c r="P671" s="408">
        <v>0</v>
      </c>
      <c r="Q671" s="408">
        <v>0</v>
      </c>
      <c r="R671" s="408">
        <v>0</v>
      </c>
      <c r="S671" s="408">
        <v>0</v>
      </c>
      <c r="T671" s="408">
        <v>0</v>
      </c>
      <c r="U671" s="408">
        <v>0</v>
      </c>
      <c r="V671" s="408">
        <v>0</v>
      </c>
      <c r="W671" s="408">
        <v>0</v>
      </c>
      <c r="Y671" s="409"/>
      <c r="Z671" s="409"/>
      <c r="AA671" s="409"/>
      <c r="AB671" s="409"/>
      <c r="AC671" s="409"/>
      <c r="AD671" s="409"/>
      <c r="AE671" s="409"/>
      <c r="AF671" s="409"/>
      <c r="AG671" s="409"/>
      <c r="AH671" s="409"/>
      <c r="AI671" s="409"/>
      <c r="AJ671" s="409"/>
      <c r="AK671" s="409"/>
      <c r="AL671" s="409"/>
      <c r="AM671" s="409"/>
      <c r="AN671" s="409"/>
      <c r="AO671" s="409"/>
      <c r="AP671" s="409"/>
      <c r="AQ671" s="409"/>
      <c r="AR671" s="409"/>
      <c r="AS671" s="409"/>
    </row>
    <row r="672" spans="1:45" x14ac:dyDescent="0.3">
      <c r="B672" s="171" t="s">
        <v>194</v>
      </c>
      <c r="C672" s="55"/>
      <c r="D672" s="20">
        <v>698</v>
      </c>
      <c r="E672" s="21">
        <v>733</v>
      </c>
      <c r="F672" s="21">
        <v>746</v>
      </c>
      <c r="G672" s="21">
        <v>720</v>
      </c>
      <c r="H672" s="21">
        <v>697</v>
      </c>
      <c r="I672" s="21">
        <v>706</v>
      </c>
      <c r="J672" s="21">
        <v>726</v>
      </c>
      <c r="K672" s="21">
        <v>716</v>
      </c>
      <c r="L672" s="21">
        <v>724</v>
      </c>
      <c r="M672" s="21">
        <v>696</v>
      </c>
      <c r="N672" s="21">
        <v>699</v>
      </c>
      <c r="O672" s="21">
        <v>738</v>
      </c>
      <c r="P672" s="21">
        <v>696</v>
      </c>
      <c r="Q672" s="21">
        <v>696</v>
      </c>
      <c r="R672" s="21">
        <v>704</v>
      </c>
      <c r="S672" s="21">
        <v>702</v>
      </c>
      <c r="T672" s="21">
        <v>716</v>
      </c>
      <c r="U672" s="21">
        <v>784</v>
      </c>
      <c r="V672" s="21">
        <v>716</v>
      </c>
      <c r="W672" s="21">
        <v>696</v>
      </c>
      <c r="Y672" s="390"/>
      <c r="Z672" s="390"/>
      <c r="AA672" s="390"/>
      <c r="AB672" s="390"/>
      <c r="AC672" s="390"/>
      <c r="AD672" s="390"/>
      <c r="AE672" s="390"/>
      <c r="AF672" s="390"/>
      <c r="AG672" s="390"/>
      <c r="AH672" s="390"/>
      <c r="AI672" s="390"/>
      <c r="AJ672" s="390"/>
      <c r="AK672" s="390"/>
      <c r="AL672" s="390"/>
      <c r="AM672" s="390"/>
      <c r="AN672" s="390"/>
      <c r="AO672" s="390"/>
      <c r="AP672" s="390"/>
      <c r="AQ672" s="390"/>
      <c r="AR672" s="390"/>
      <c r="AS672" s="390"/>
    </row>
    <row r="673" spans="1:45" x14ac:dyDescent="0.3">
      <c r="B673" s="61" t="s">
        <v>195</v>
      </c>
      <c r="C673" s="55"/>
      <c r="D673" s="106">
        <v>708</v>
      </c>
      <c r="E673" s="21">
        <v>743</v>
      </c>
      <c r="F673" s="21">
        <v>756</v>
      </c>
      <c r="G673" s="21">
        <v>730</v>
      </c>
      <c r="H673" s="21">
        <v>707</v>
      </c>
      <c r="I673" s="21">
        <v>716</v>
      </c>
      <c r="J673" s="21">
        <v>736</v>
      </c>
      <c r="K673" s="21">
        <v>726</v>
      </c>
      <c r="L673" s="21">
        <v>734</v>
      </c>
      <c r="M673" s="21">
        <v>706</v>
      </c>
      <c r="N673" s="21">
        <v>709</v>
      </c>
      <c r="O673" s="21">
        <v>748</v>
      </c>
      <c r="P673" s="21">
        <v>706</v>
      </c>
      <c r="Q673" s="21">
        <v>706</v>
      </c>
      <c r="R673" s="21">
        <v>714</v>
      </c>
      <c r="S673" s="21">
        <v>712</v>
      </c>
      <c r="T673" s="21">
        <v>726</v>
      </c>
      <c r="U673" s="21">
        <v>794</v>
      </c>
      <c r="V673" s="21">
        <v>726</v>
      </c>
      <c r="W673" s="21">
        <v>706</v>
      </c>
      <c r="Y673" s="390"/>
      <c r="Z673" s="390"/>
      <c r="AA673" s="390"/>
      <c r="AB673" s="390"/>
      <c r="AC673" s="390"/>
      <c r="AD673" s="390"/>
      <c r="AE673" s="390"/>
      <c r="AF673" s="390"/>
      <c r="AG673" s="390"/>
      <c r="AH673" s="390"/>
      <c r="AI673" s="390"/>
      <c r="AJ673" s="390"/>
      <c r="AK673" s="390"/>
      <c r="AL673" s="390"/>
      <c r="AM673" s="390"/>
      <c r="AN673" s="390"/>
      <c r="AO673" s="390"/>
      <c r="AP673" s="390"/>
      <c r="AQ673" s="390"/>
      <c r="AR673" s="390"/>
      <c r="AS673" s="390"/>
    </row>
    <row r="674" spans="1:45" x14ac:dyDescent="0.3">
      <c r="B674" s="61" t="s">
        <v>196</v>
      </c>
      <c r="C674" s="62"/>
      <c r="D674" s="28">
        <v>718</v>
      </c>
      <c r="E674" s="28">
        <v>753</v>
      </c>
      <c r="F674" s="28">
        <v>766</v>
      </c>
      <c r="G674" s="28">
        <v>740</v>
      </c>
      <c r="H674" s="28">
        <v>717</v>
      </c>
      <c r="I674" s="28">
        <v>726</v>
      </c>
      <c r="J674" s="28">
        <v>746</v>
      </c>
      <c r="K674" s="28">
        <v>736</v>
      </c>
      <c r="L674" s="28">
        <v>744</v>
      </c>
      <c r="M674" s="28">
        <v>716</v>
      </c>
      <c r="N674" s="28">
        <v>719</v>
      </c>
      <c r="O674" s="28">
        <v>758</v>
      </c>
      <c r="P674" s="28">
        <v>716</v>
      </c>
      <c r="Q674" s="28">
        <v>716</v>
      </c>
      <c r="R674" s="28">
        <v>724</v>
      </c>
      <c r="S674" s="28">
        <v>722</v>
      </c>
      <c r="T674" s="29">
        <v>736</v>
      </c>
      <c r="U674" s="29">
        <v>804</v>
      </c>
      <c r="V674" s="29">
        <v>736</v>
      </c>
      <c r="W674" s="28">
        <v>716</v>
      </c>
      <c r="Y674" s="390"/>
      <c r="Z674" s="390"/>
      <c r="AA674" s="390"/>
      <c r="AB674" s="390"/>
      <c r="AC674" s="390"/>
      <c r="AD674" s="390"/>
      <c r="AE674" s="390"/>
      <c r="AF674" s="390"/>
      <c r="AG674" s="390"/>
      <c r="AH674" s="390"/>
      <c r="AI674" s="390"/>
      <c r="AJ674" s="390"/>
      <c r="AK674" s="390"/>
      <c r="AL674" s="390"/>
      <c r="AM674" s="390"/>
      <c r="AN674" s="390"/>
      <c r="AO674" s="390"/>
      <c r="AP674" s="390"/>
      <c r="AQ674" s="390"/>
      <c r="AR674" s="390"/>
      <c r="AS674" s="390"/>
    </row>
    <row r="675" spans="1:45" x14ac:dyDescent="0.3">
      <c r="B675" s="61" t="s">
        <v>197</v>
      </c>
      <c r="C675" s="62"/>
      <c r="D675" s="28">
        <v>728</v>
      </c>
      <c r="E675" s="28">
        <v>763</v>
      </c>
      <c r="F675" s="28">
        <v>776</v>
      </c>
      <c r="G675" s="28">
        <v>750</v>
      </c>
      <c r="H675" s="28">
        <v>727</v>
      </c>
      <c r="I675" s="28">
        <v>736</v>
      </c>
      <c r="J675" s="28">
        <v>756</v>
      </c>
      <c r="K675" s="28">
        <v>746</v>
      </c>
      <c r="L675" s="28">
        <v>754</v>
      </c>
      <c r="M675" s="28">
        <v>726</v>
      </c>
      <c r="N675" s="28">
        <v>729</v>
      </c>
      <c r="O675" s="28">
        <v>768</v>
      </c>
      <c r="P675" s="28">
        <v>726</v>
      </c>
      <c r="Q675" s="28">
        <v>726</v>
      </c>
      <c r="R675" s="28">
        <v>734</v>
      </c>
      <c r="S675" s="28">
        <v>732</v>
      </c>
      <c r="T675" s="29">
        <v>746</v>
      </c>
      <c r="U675" s="29">
        <v>814</v>
      </c>
      <c r="V675" s="29">
        <v>746</v>
      </c>
      <c r="W675" s="28">
        <v>726</v>
      </c>
      <c r="Y675" s="390"/>
      <c r="Z675" s="390"/>
      <c r="AA675" s="390"/>
      <c r="AB675" s="390"/>
      <c r="AC675" s="390"/>
      <c r="AD675" s="390"/>
      <c r="AE675" s="390"/>
      <c r="AF675" s="390"/>
      <c r="AG675" s="390"/>
      <c r="AH675" s="390"/>
      <c r="AI675" s="390"/>
      <c r="AJ675" s="390"/>
      <c r="AK675" s="390"/>
      <c r="AL675" s="390"/>
      <c r="AM675" s="390"/>
      <c r="AN675" s="390"/>
      <c r="AO675" s="390"/>
      <c r="AP675" s="390"/>
      <c r="AQ675" s="390"/>
      <c r="AR675" s="390"/>
      <c r="AS675" s="390"/>
    </row>
    <row r="676" spans="1:45" x14ac:dyDescent="0.3">
      <c r="B676" s="63" t="s">
        <v>103</v>
      </c>
      <c r="C676" s="55"/>
      <c r="D676" s="43">
        <v>0</v>
      </c>
      <c r="E676" s="408">
        <v>0</v>
      </c>
      <c r="F676" s="408">
        <v>0</v>
      </c>
      <c r="G676" s="408">
        <v>0</v>
      </c>
      <c r="H676" s="408">
        <v>0</v>
      </c>
      <c r="I676" s="408">
        <v>0</v>
      </c>
      <c r="J676" s="408">
        <v>0</v>
      </c>
      <c r="K676" s="408">
        <v>0</v>
      </c>
      <c r="L676" s="408">
        <v>0</v>
      </c>
      <c r="M676" s="408">
        <v>0</v>
      </c>
      <c r="N676" s="408">
        <v>0</v>
      </c>
      <c r="O676" s="408">
        <v>0</v>
      </c>
      <c r="P676" s="408">
        <v>0</v>
      </c>
      <c r="Q676" s="408">
        <v>0</v>
      </c>
      <c r="R676" s="408">
        <v>0</v>
      </c>
      <c r="S676" s="408">
        <v>0</v>
      </c>
      <c r="T676" s="408">
        <v>0</v>
      </c>
      <c r="U676" s="408">
        <v>0</v>
      </c>
      <c r="V676" s="408">
        <v>0</v>
      </c>
      <c r="W676" s="408">
        <v>0</v>
      </c>
      <c r="Y676" s="409"/>
      <c r="Z676" s="409"/>
      <c r="AA676" s="409"/>
      <c r="AB676" s="409"/>
      <c r="AC676" s="409"/>
      <c r="AD676" s="409"/>
      <c r="AE676" s="409"/>
      <c r="AF676" s="409"/>
      <c r="AG676" s="409"/>
      <c r="AH676" s="409"/>
      <c r="AI676" s="409"/>
      <c r="AJ676" s="409"/>
      <c r="AK676" s="409"/>
      <c r="AL676" s="409"/>
      <c r="AM676" s="409"/>
      <c r="AN676" s="409"/>
      <c r="AO676" s="409"/>
      <c r="AP676" s="409"/>
      <c r="AQ676" s="409"/>
      <c r="AR676" s="409"/>
      <c r="AS676" s="409"/>
    </row>
    <row r="677" spans="1:45" x14ac:dyDescent="0.3">
      <c r="B677" s="63" t="s">
        <v>198</v>
      </c>
      <c r="C677" s="64"/>
      <c r="D677" s="31">
        <f t="shared" ref="D677:W677" si="619">+D672-D$670</f>
        <v>35.85955555555563</v>
      </c>
      <c r="E677" s="32">
        <f t="shared" si="619"/>
        <v>35.455111111111137</v>
      </c>
      <c r="F677" s="32">
        <f t="shared" si="619"/>
        <v>35.804000000000087</v>
      </c>
      <c r="G677" s="32">
        <f t="shared" si="619"/>
        <v>35.104000000000042</v>
      </c>
      <c r="H677" s="32">
        <f t="shared" si="619"/>
        <v>35.597333333333381</v>
      </c>
      <c r="I677" s="32">
        <f t="shared" si="619"/>
        <v>35.56177777777782</v>
      </c>
      <c r="J677" s="32">
        <f t="shared" si="619"/>
        <v>35.681777777777825</v>
      </c>
      <c r="K677" s="32">
        <f t="shared" si="619"/>
        <v>35.801777777777829</v>
      </c>
      <c r="L677" s="32">
        <f t="shared" si="619"/>
        <v>35.490666666666698</v>
      </c>
      <c r="M677" s="32">
        <f t="shared" si="619"/>
        <v>35.681777777777825</v>
      </c>
      <c r="N677" s="32">
        <f t="shared" si="619"/>
        <v>35.788444444444508</v>
      </c>
      <c r="O677" s="32">
        <f t="shared" si="619"/>
        <v>35.746222222222286</v>
      </c>
      <c r="P677" s="32">
        <f t="shared" si="619"/>
        <v>35.681777777777825</v>
      </c>
      <c r="Q677" s="32">
        <f t="shared" si="619"/>
        <v>35.681777777777825</v>
      </c>
      <c r="R677" s="32">
        <f t="shared" si="619"/>
        <v>35.368444444444549</v>
      </c>
      <c r="S677" s="32">
        <f t="shared" si="619"/>
        <v>35.175111111111164</v>
      </c>
      <c r="T677" s="32">
        <f t="shared" si="619"/>
        <v>35.736800000000017</v>
      </c>
      <c r="U677" s="32">
        <f t="shared" si="619"/>
        <v>35.779022222222238</v>
      </c>
      <c r="V677" s="32">
        <f t="shared" si="619"/>
        <v>35.736800000000017</v>
      </c>
      <c r="W677" s="32">
        <f t="shared" si="619"/>
        <v>35.681777777777825</v>
      </c>
      <c r="Y677" s="390"/>
      <c r="Z677" s="390"/>
      <c r="AA677" s="390"/>
      <c r="AB677" s="390"/>
      <c r="AC677" s="390"/>
      <c r="AD677" s="390"/>
      <c r="AE677" s="390"/>
      <c r="AF677" s="390"/>
      <c r="AG677" s="390"/>
      <c r="AH677" s="390"/>
      <c r="AI677" s="390"/>
      <c r="AJ677" s="390"/>
      <c r="AK677" s="390"/>
      <c r="AL677" s="390"/>
      <c r="AM677" s="390"/>
      <c r="AN677" s="390"/>
      <c r="AO677" s="390"/>
      <c r="AP677" s="390"/>
      <c r="AQ677" s="390"/>
      <c r="AR677" s="390"/>
      <c r="AS677" s="390"/>
    </row>
    <row r="678" spans="1:45" x14ac:dyDescent="0.3">
      <c r="B678" s="63" t="s">
        <v>199</v>
      </c>
      <c r="C678" s="64"/>
      <c r="D678" s="31">
        <f t="shared" ref="D678:W678" si="620">+D673-D$670</f>
        <v>45.85955555555563</v>
      </c>
      <c r="E678" s="32">
        <f t="shared" si="620"/>
        <v>45.455111111111137</v>
      </c>
      <c r="F678" s="32">
        <f t="shared" si="620"/>
        <v>45.804000000000087</v>
      </c>
      <c r="G678" s="32">
        <f t="shared" si="620"/>
        <v>45.104000000000042</v>
      </c>
      <c r="H678" s="32">
        <f t="shared" si="620"/>
        <v>45.597333333333381</v>
      </c>
      <c r="I678" s="32">
        <f t="shared" si="620"/>
        <v>45.56177777777782</v>
      </c>
      <c r="J678" s="32">
        <f t="shared" si="620"/>
        <v>45.681777777777825</v>
      </c>
      <c r="K678" s="32">
        <f t="shared" si="620"/>
        <v>45.801777777777829</v>
      </c>
      <c r="L678" s="32">
        <f t="shared" si="620"/>
        <v>45.490666666666698</v>
      </c>
      <c r="M678" s="32">
        <f t="shared" si="620"/>
        <v>45.681777777777825</v>
      </c>
      <c r="N678" s="32">
        <f t="shared" si="620"/>
        <v>45.788444444444508</v>
      </c>
      <c r="O678" s="32">
        <f t="shared" si="620"/>
        <v>45.746222222222286</v>
      </c>
      <c r="P678" s="32">
        <f t="shared" si="620"/>
        <v>45.681777777777825</v>
      </c>
      <c r="Q678" s="32">
        <f t="shared" si="620"/>
        <v>45.681777777777825</v>
      </c>
      <c r="R678" s="32">
        <f t="shared" si="620"/>
        <v>45.368444444444549</v>
      </c>
      <c r="S678" s="32">
        <f t="shared" si="620"/>
        <v>45.175111111111164</v>
      </c>
      <c r="T678" s="32">
        <f t="shared" si="620"/>
        <v>45.736800000000017</v>
      </c>
      <c r="U678" s="32">
        <f t="shared" si="620"/>
        <v>45.779022222222238</v>
      </c>
      <c r="V678" s="32">
        <f t="shared" si="620"/>
        <v>45.736800000000017</v>
      </c>
      <c r="W678" s="32">
        <f t="shared" si="620"/>
        <v>45.681777777777825</v>
      </c>
      <c r="Y678" s="390"/>
      <c r="Z678" s="390"/>
      <c r="AA678" s="390"/>
      <c r="AB678" s="390"/>
      <c r="AC678" s="390"/>
      <c r="AD678" s="390"/>
      <c r="AE678" s="390"/>
      <c r="AF678" s="390"/>
      <c r="AG678" s="390"/>
      <c r="AH678" s="390"/>
      <c r="AI678" s="390"/>
      <c r="AJ678" s="390"/>
      <c r="AK678" s="390"/>
      <c r="AL678" s="390"/>
      <c r="AM678" s="390"/>
      <c r="AN678" s="390"/>
      <c r="AO678" s="390"/>
      <c r="AP678" s="390"/>
      <c r="AQ678" s="390"/>
      <c r="AR678" s="390"/>
      <c r="AS678" s="390"/>
    </row>
    <row r="679" spans="1:45" x14ac:dyDescent="0.3">
      <c r="B679" s="63" t="s">
        <v>200</v>
      </c>
      <c r="C679" s="64"/>
      <c r="D679" s="31">
        <f t="shared" ref="D679:W679" si="621">+D674-D$670</f>
        <v>55.85955555555563</v>
      </c>
      <c r="E679" s="32">
        <f t="shared" si="621"/>
        <v>55.455111111111137</v>
      </c>
      <c r="F679" s="32">
        <f t="shared" si="621"/>
        <v>55.804000000000087</v>
      </c>
      <c r="G679" s="32">
        <f t="shared" si="621"/>
        <v>55.104000000000042</v>
      </c>
      <c r="H679" s="32">
        <f t="shared" si="621"/>
        <v>55.597333333333381</v>
      </c>
      <c r="I679" s="32">
        <f t="shared" si="621"/>
        <v>55.56177777777782</v>
      </c>
      <c r="J679" s="32">
        <f t="shared" si="621"/>
        <v>55.681777777777825</v>
      </c>
      <c r="K679" s="32">
        <f t="shared" si="621"/>
        <v>55.801777777777829</v>
      </c>
      <c r="L679" s="32">
        <f t="shared" si="621"/>
        <v>55.490666666666698</v>
      </c>
      <c r="M679" s="32">
        <f t="shared" si="621"/>
        <v>55.681777777777825</v>
      </c>
      <c r="N679" s="32">
        <f t="shared" si="621"/>
        <v>55.788444444444508</v>
      </c>
      <c r="O679" s="32">
        <f t="shared" si="621"/>
        <v>55.746222222222286</v>
      </c>
      <c r="P679" s="32">
        <f t="shared" si="621"/>
        <v>55.681777777777825</v>
      </c>
      <c r="Q679" s="32">
        <f t="shared" si="621"/>
        <v>55.681777777777825</v>
      </c>
      <c r="R679" s="32">
        <f t="shared" si="621"/>
        <v>55.368444444444549</v>
      </c>
      <c r="S679" s="32">
        <f t="shared" si="621"/>
        <v>55.175111111111164</v>
      </c>
      <c r="T679" s="32">
        <f t="shared" si="621"/>
        <v>55.736800000000017</v>
      </c>
      <c r="U679" s="32">
        <f t="shared" si="621"/>
        <v>55.779022222222238</v>
      </c>
      <c r="V679" s="32">
        <f t="shared" si="621"/>
        <v>55.736800000000017</v>
      </c>
      <c r="W679" s="32">
        <f t="shared" si="621"/>
        <v>55.681777777777825</v>
      </c>
      <c r="Y679" s="390"/>
      <c r="Z679" s="390"/>
      <c r="AA679" s="390"/>
      <c r="AB679" s="390"/>
      <c r="AC679" s="390"/>
      <c r="AD679" s="390"/>
      <c r="AE679" s="390"/>
      <c r="AF679" s="390"/>
      <c r="AG679" s="390"/>
      <c r="AH679" s="390"/>
      <c r="AI679" s="390"/>
      <c r="AJ679" s="390"/>
      <c r="AK679" s="390"/>
      <c r="AL679" s="390"/>
      <c r="AM679" s="390"/>
      <c r="AN679" s="390"/>
      <c r="AO679" s="390"/>
      <c r="AP679" s="390"/>
      <c r="AQ679" s="390"/>
      <c r="AR679" s="390"/>
      <c r="AS679" s="390"/>
    </row>
    <row r="680" spans="1:45" x14ac:dyDescent="0.3">
      <c r="B680" s="63" t="s">
        <v>201</v>
      </c>
      <c r="C680" s="64"/>
      <c r="D680" s="31">
        <f t="shared" ref="D680:W680" si="622">+D675-D$670</f>
        <v>65.85955555555563</v>
      </c>
      <c r="E680" s="34">
        <f t="shared" si="622"/>
        <v>65.455111111111137</v>
      </c>
      <c r="F680" s="34">
        <f t="shared" si="622"/>
        <v>65.804000000000087</v>
      </c>
      <c r="G680" s="34">
        <f t="shared" si="622"/>
        <v>65.104000000000042</v>
      </c>
      <c r="H680" s="34">
        <f t="shared" si="622"/>
        <v>65.597333333333381</v>
      </c>
      <c r="I680" s="34">
        <f t="shared" si="622"/>
        <v>65.56177777777782</v>
      </c>
      <c r="J680" s="34">
        <f t="shared" si="622"/>
        <v>65.681777777777825</v>
      </c>
      <c r="K680" s="34">
        <f t="shared" si="622"/>
        <v>65.801777777777829</v>
      </c>
      <c r="L680" s="34">
        <f t="shared" si="622"/>
        <v>65.490666666666698</v>
      </c>
      <c r="M680" s="34">
        <f t="shared" si="622"/>
        <v>65.681777777777825</v>
      </c>
      <c r="N680" s="34">
        <f t="shared" si="622"/>
        <v>65.788444444444508</v>
      </c>
      <c r="O680" s="34">
        <f t="shared" si="622"/>
        <v>65.746222222222286</v>
      </c>
      <c r="P680" s="34">
        <f t="shared" si="622"/>
        <v>65.681777777777825</v>
      </c>
      <c r="Q680" s="34">
        <f t="shared" si="622"/>
        <v>65.681777777777825</v>
      </c>
      <c r="R680" s="34">
        <f t="shared" si="622"/>
        <v>65.368444444444549</v>
      </c>
      <c r="S680" s="34">
        <f t="shared" si="622"/>
        <v>65.175111111111164</v>
      </c>
      <c r="T680" s="34">
        <f t="shared" si="622"/>
        <v>65.736800000000017</v>
      </c>
      <c r="U680" s="34">
        <f t="shared" si="622"/>
        <v>65.779022222222238</v>
      </c>
      <c r="V680" s="34">
        <f t="shared" si="622"/>
        <v>65.736800000000017</v>
      </c>
      <c r="W680" s="34">
        <f t="shared" si="622"/>
        <v>65.681777777777825</v>
      </c>
      <c r="Y680" s="390"/>
      <c r="Z680" s="390"/>
      <c r="AA680" s="390"/>
      <c r="AB680" s="390"/>
      <c r="AC680" s="390"/>
      <c r="AD680" s="390"/>
      <c r="AE680" s="390"/>
      <c r="AF680" s="390"/>
      <c r="AG680" s="390"/>
      <c r="AH680" s="390"/>
      <c r="AI680" s="390"/>
      <c r="AJ680" s="390"/>
      <c r="AK680" s="390"/>
      <c r="AL680" s="390"/>
      <c r="AM680" s="390"/>
      <c r="AN680" s="390"/>
      <c r="AO680" s="390"/>
      <c r="AP680" s="390"/>
      <c r="AQ680" s="390"/>
      <c r="AR680" s="390"/>
      <c r="AS680" s="390"/>
    </row>
    <row r="681" spans="1:45" x14ac:dyDescent="0.3">
      <c r="B681" s="65" t="s">
        <v>108</v>
      </c>
      <c r="C681" s="55"/>
      <c r="D681" s="43">
        <v>0</v>
      </c>
      <c r="E681" s="408">
        <v>0</v>
      </c>
      <c r="F681" s="408">
        <v>0</v>
      </c>
      <c r="G681" s="408">
        <v>0</v>
      </c>
      <c r="H681" s="408">
        <v>0</v>
      </c>
      <c r="I681" s="408">
        <v>0</v>
      </c>
      <c r="J681" s="408">
        <v>0</v>
      </c>
      <c r="K681" s="408">
        <v>0</v>
      </c>
      <c r="L681" s="408">
        <v>0</v>
      </c>
      <c r="M681" s="408">
        <v>0</v>
      </c>
      <c r="N681" s="408">
        <v>0</v>
      </c>
      <c r="O681" s="408">
        <v>0</v>
      </c>
      <c r="P681" s="408">
        <v>0</v>
      </c>
      <c r="Q681" s="408">
        <v>0</v>
      </c>
      <c r="R681" s="408">
        <v>0</v>
      </c>
      <c r="S681" s="408">
        <v>0</v>
      </c>
      <c r="T681" s="408">
        <v>0</v>
      </c>
      <c r="U681" s="408">
        <v>0</v>
      </c>
      <c r="V681" s="408">
        <v>0</v>
      </c>
      <c r="W681" s="408">
        <v>0</v>
      </c>
      <c r="Y681" s="409"/>
      <c r="Z681" s="409"/>
      <c r="AA681" s="409"/>
      <c r="AB681" s="409"/>
      <c r="AC681" s="409"/>
      <c r="AD681" s="409"/>
      <c r="AE681" s="409"/>
      <c r="AF681" s="409"/>
      <c r="AG681" s="409"/>
      <c r="AH681" s="409"/>
      <c r="AI681" s="409"/>
      <c r="AJ681" s="409"/>
      <c r="AK681" s="409"/>
      <c r="AL681" s="409"/>
      <c r="AM681" s="409"/>
      <c r="AN681" s="409"/>
      <c r="AO681" s="409"/>
      <c r="AP681" s="409"/>
      <c r="AQ681" s="409"/>
      <c r="AR681" s="409"/>
      <c r="AS681" s="409"/>
    </row>
    <row r="682" spans="1:45" x14ac:dyDescent="0.3">
      <c r="B682" s="65" t="s">
        <v>202</v>
      </c>
      <c r="C682" s="66"/>
      <c r="D682" s="35">
        <f>+D677/D$672</f>
        <v>5.1374721426297468E-2</v>
      </c>
      <c r="E682" s="35">
        <f t="shared" ref="E682:W682" si="623">+E677/E$672</f>
        <v>4.8369865090192546E-2</v>
      </c>
      <c r="F682" s="35">
        <f t="shared" si="623"/>
        <v>4.7994638069705213E-2</v>
      </c>
      <c r="G682" s="35">
        <f t="shared" si="623"/>
        <v>4.8755555555555614E-2</v>
      </c>
      <c r="H682" s="35">
        <f t="shared" si="623"/>
        <v>5.1072214251554351E-2</v>
      </c>
      <c r="I682" s="35">
        <f t="shared" si="623"/>
        <v>5.0370790053509661E-2</v>
      </c>
      <c r="J682" s="35">
        <f t="shared" si="623"/>
        <v>4.9148454239363398E-2</v>
      </c>
      <c r="K682" s="35">
        <f t="shared" si="623"/>
        <v>5.0002482929857303E-2</v>
      </c>
      <c r="L682" s="35">
        <f t="shared" si="623"/>
        <v>4.9020257826887702E-2</v>
      </c>
      <c r="M682" s="35">
        <f t="shared" si="623"/>
        <v>5.1266922094508366E-2</v>
      </c>
      <c r="N682" s="35">
        <f t="shared" si="623"/>
        <v>5.1199491336830487E-2</v>
      </c>
      <c r="O682" s="35">
        <f t="shared" si="623"/>
        <v>4.8436615477265972E-2</v>
      </c>
      <c r="P682" s="35">
        <f t="shared" si="623"/>
        <v>5.1266922094508366E-2</v>
      </c>
      <c r="Q682" s="35">
        <f t="shared" si="623"/>
        <v>5.1266922094508366E-2</v>
      </c>
      <c r="R682" s="35">
        <f t="shared" si="623"/>
        <v>5.0239267676767826E-2</v>
      </c>
      <c r="S682" s="35">
        <f t="shared" si="623"/>
        <v>5.0106995884773735E-2</v>
      </c>
      <c r="T682" s="35">
        <f t="shared" si="623"/>
        <v>4.991173184357544E-2</v>
      </c>
      <c r="U682" s="35">
        <f t="shared" si="623"/>
        <v>4.5636507936507954E-2</v>
      </c>
      <c r="V682" s="35">
        <f t="shared" si="623"/>
        <v>4.991173184357544E-2</v>
      </c>
      <c r="W682" s="35">
        <f t="shared" si="623"/>
        <v>5.1266922094508366E-2</v>
      </c>
      <c r="Y682" s="390"/>
      <c r="Z682" s="390"/>
      <c r="AA682" s="390"/>
      <c r="AB682" s="390"/>
      <c r="AC682" s="390"/>
      <c r="AD682" s="390"/>
      <c r="AE682" s="390"/>
      <c r="AF682" s="390"/>
      <c r="AG682" s="390"/>
      <c r="AH682" s="390"/>
      <c r="AI682" s="390"/>
      <c r="AJ682" s="390"/>
      <c r="AK682" s="390"/>
      <c r="AL682" s="390"/>
      <c r="AM682" s="390"/>
      <c r="AN682" s="390"/>
      <c r="AO682" s="390"/>
      <c r="AP682" s="390"/>
      <c r="AQ682" s="390"/>
      <c r="AR682" s="390"/>
      <c r="AS682" s="390"/>
    </row>
    <row r="683" spans="1:45" x14ac:dyDescent="0.3">
      <c r="B683" s="65" t="s">
        <v>203</v>
      </c>
      <c r="C683" s="66"/>
      <c r="D683" s="35">
        <f>+D678/D$673</f>
        <v>6.4773383553044669E-2</v>
      </c>
      <c r="E683" s="35">
        <f t="shared" ref="E683:W683" si="624">+E678/E$673</f>
        <v>6.1177807686556042E-2</v>
      </c>
      <c r="F683" s="35">
        <f t="shared" si="624"/>
        <v>6.0587301587301703E-2</v>
      </c>
      <c r="G683" s="35">
        <f t="shared" si="624"/>
        <v>6.1786301369863073E-2</v>
      </c>
      <c r="H683" s="35">
        <f t="shared" si="624"/>
        <v>6.4494106553512565E-2</v>
      </c>
      <c r="I683" s="35">
        <f t="shared" si="624"/>
        <v>6.3633767846058412E-2</v>
      </c>
      <c r="J683" s="35">
        <f t="shared" si="624"/>
        <v>6.2067632850241611E-2</v>
      </c>
      <c r="K683" s="35">
        <f t="shared" si="624"/>
        <v>6.3087848178757344E-2</v>
      </c>
      <c r="L683" s="35">
        <f t="shared" si="624"/>
        <v>6.197638510445054E-2</v>
      </c>
      <c r="M683" s="35">
        <f t="shared" si="624"/>
        <v>6.4705067673906269E-2</v>
      </c>
      <c r="N683" s="35">
        <f t="shared" si="624"/>
        <v>6.458172700203739E-2</v>
      </c>
      <c r="O683" s="35">
        <f t="shared" si="624"/>
        <v>6.1158051099227659E-2</v>
      </c>
      <c r="P683" s="35">
        <f t="shared" si="624"/>
        <v>6.4705067673906269E-2</v>
      </c>
      <c r="Q683" s="35">
        <f t="shared" si="624"/>
        <v>6.4705067673906269E-2</v>
      </c>
      <c r="R683" s="35">
        <f t="shared" si="624"/>
        <v>6.3541238717709447E-2</v>
      </c>
      <c r="S683" s="35">
        <f t="shared" si="624"/>
        <v>6.3448189762796578E-2</v>
      </c>
      <c r="T683" s="35">
        <f t="shared" si="624"/>
        <v>6.2998347107438041E-2</v>
      </c>
      <c r="U683" s="35">
        <f t="shared" si="624"/>
        <v>5.7656199272320199E-2</v>
      </c>
      <c r="V683" s="35">
        <f t="shared" si="624"/>
        <v>6.2998347107438041E-2</v>
      </c>
      <c r="W683" s="35">
        <f t="shared" si="624"/>
        <v>6.4705067673906269E-2</v>
      </c>
      <c r="Y683" s="390"/>
      <c r="Z683" s="390"/>
      <c r="AA683" s="390"/>
      <c r="AB683" s="390"/>
      <c r="AC683" s="390"/>
      <c r="AD683" s="390"/>
      <c r="AE683" s="390"/>
      <c r="AF683" s="390"/>
      <c r="AG683" s="390"/>
      <c r="AH683" s="390"/>
      <c r="AI683" s="390"/>
      <c r="AJ683" s="390"/>
      <c r="AK683" s="390"/>
      <c r="AL683" s="390"/>
      <c r="AM683" s="390"/>
      <c r="AN683" s="390"/>
      <c r="AO683" s="390"/>
      <c r="AP683" s="390"/>
      <c r="AQ683" s="390"/>
      <c r="AR683" s="390"/>
      <c r="AS683" s="390"/>
    </row>
    <row r="684" spans="1:45" x14ac:dyDescent="0.3">
      <c r="B684" s="65" t="s">
        <v>204</v>
      </c>
      <c r="C684" s="66"/>
      <c r="D684" s="35">
        <f>+D679/D$674</f>
        <v>7.7798823893531516E-2</v>
      </c>
      <c r="E684" s="35">
        <f t="shared" ref="E684:W684" si="625">+E679/E$674</f>
        <v>7.3645565884609743E-2</v>
      </c>
      <c r="F684" s="35">
        <f t="shared" si="625"/>
        <v>7.2851174934725968E-2</v>
      </c>
      <c r="G684" s="35">
        <f t="shared" si="625"/>
        <v>7.4464864864864921E-2</v>
      </c>
      <c r="H684" s="35">
        <f t="shared" si="625"/>
        <v>7.7541608554160923E-2</v>
      </c>
      <c r="I684" s="35">
        <f t="shared" si="625"/>
        <v>7.653137434955623E-2</v>
      </c>
      <c r="J684" s="35">
        <f t="shared" si="625"/>
        <v>7.4640452785224964E-2</v>
      </c>
      <c r="K684" s="35">
        <f t="shared" si="625"/>
        <v>7.5817632850241609E-2</v>
      </c>
      <c r="L684" s="35">
        <f t="shared" si="625"/>
        <v>7.4584229390681045E-2</v>
      </c>
      <c r="M684" s="35">
        <f t="shared" si="625"/>
        <v>7.7767846058348911E-2</v>
      </c>
      <c r="N684" s="35">
        <f t="shared" si="625"/>
        <v>7.7591716890743401E-2</v>
      </c>
      <c r="O684" s="35">
        <f t="shared" si="625"/>
        <v>7.3543828789211466E-2</v>
      </c>
      <c r="P684" s="35">
        <f t="shared" si="625"/>
        <v>7.7767846058348911E-2</v>
      </c>
      <c r="Q684" s="35">
        <f t="shared" si="625"/>
        <v>7.7767846058348911E-2</v>
      </c>
      <c r="R684" s="35">
        <f t="shared" si="625"/>
        <v>7.6475751995089158E-2</v>
      </c>
      <c r="S684" s="35">
        <f t="shared" si="625"/>
        <v>7.6419821483533462E-2</v>
      </c>
      <c r="T684" s="35">
        <f t="shared" si="625"/>
        <v>7.5729347826086979E-2</v>
      </c>
      <c r="U684" s="35">
        <f t="shared" si="625"/>
        <v>6.9376893311221696E-2</v>
      </c>
      <c r="V684" s="35">
        <f t="shared" si="625"/>
        <v>7.5729347826086979E-2</v>
      </c>
      <c r="W684" s="35">
        <f t="shared" si="625"/>
        <v>7.7767846058348911E-2</v>
      </c>
      <c r="Y684" s="390"/>
      <c r="Z684" s="390"/>
      <c r="AA684" s="390"/>
      <c r="AB684" s="390"/>
      <c r="AC684" s="390"/>
      <c r="AD684" s="390"/>
      <c r="AE684" s="390"/>
      <c r="AF684" s="390"/>
      <c r="AG684" s="390"/>
      <c r="AH684" s="390"/>
      <c r="AI684" s="390"/>
      <c r="AJ684" s="390"/>
      <c r="AK684" s="390"/>
      <c r="AL684" s="390"/>
      <c r="AM684" s="390"/>
      <c r="AN684" s="390"/>
      <c r="AO684" s="390"/>
      <c r="AP684" s="390"/>
      <c r="AQ684" s="390"/>
      <c r="AR684" s="390"/>
      <c r="AS684" s="390"/>
    </row>
    <row r="685" spans="1:45" x14ac:dyDescent="0.3">
      <c r="B685" s="65" t="s">
        <v>205</v>
      </c>
      <c r="C685" s="66"/>
      <c r="D685" s="35">
        <f>+D680/D$675</f>
        <v>9.0466422466422572E-2</v>
      </c>
      <c r="E685" s="35">
        <f t="shared" ref="E685:W685" si="626">+E680/E$675</f>
        <v>8.5786515217707915E-2</v>
      </c>
      <c r="F685" s="35">
        <f t="shared" si="626"/>
        <v>8.4798969072165067E-2</v>
      </c>
      <c r="G685" s="35">
        <f t="shared" si="626"/>
        <v>8.6805333333333387E-2</v>
      </c>
      <c r="H685" s="35">
        <f t="shared" si="626"/>
        <v>9.0230169646951006E-2</v>
      </c>
      <c r="I685" s="35">
        <f t="shared" si="626"/>
        <v>8.9078502415458991E-2</v>
      </c>
      <c r="J685" s="35">
        <f t="shared" si="626"/>
        <v>8.688065843621405E-2</v>
      </c>
      <c r="K685" s="35">
        <f t="shared" si="626"/>
        <v>8.8206136431337567E-2</v>
      </c>
      <c r="L685" s="35">
        <f t="shared" si="626"/>
        <v>8.6857648099027449E-2</v>
      </c>
      <c r="M685" s="35">
        <f t="shared" si="626"/>
        <v>9.0470768288950176E-2</v>
      </c>
      <c r="N685" s="35">
        <f t="shared" si="626"/>
        <v>9.0244779759183144E-2</v>
      </c>
      <c r="O685" s="35">
        <f t="shared" si="626"/>
        <v>8.5607060185185269E-2</v>
      </c>
      <c r="P685" s="35">
        <f t="shared" si="626"/>
        <v>9.0470768288950176E-2</v>
      </c>
      <c r="Q685" s="35">
        <f t="shared" si="626"/>
        <v>9.0470768288950176E-2</v>
      </c>
      <c r="R685" s="35">
        <f t="shared" si="626"/>
        <v>8.9057826218589306E-2</v>
      </c>
      <c r="S685" s="35">
        <f t="shared" si="626"/>
        <v>8.9037037037037109E-2</v>
      </c>
      <c r="T685" s="35">
        <f t="shared" si="626"/>
        <v>8.8119034852546935E-2</v>
      </c>
      <c r="U685" s="35">
        <f t="shared" si="626"/>
        <v>8.0809609609609631E-2</v>
      </c>
      <c r="V685" s="35">
        <f t="shared" si="626"/>
        <v>8.8119034852546935E-2</v>
      </c>
      <c r="W685" s="35">
        <f t="shared" si="626"/>
        <v>9.0470768288950176E-2</v>
      </c>
      <c r="Y685" s="390"/>
      <c r="Z685" s="390"/>
      <c r="AA685" s="390"/>
      <c r="AB685" s="390"/>
      <c r="AC685" s="390"/>
      <c r="AD685" s="390"/>
      <c r="AE685" s="390"/>
      <c r="AF685" s="390"/>
      <c r="AG685" s="390"/>
      <c r="AH685" s="390"/>
      <c r="AI685" s="390"/>
      <c r="AJ685" s="390"/>
      <c r="AK685" s="390"/>
      <c r="AL685" s="390"/>
      <c r="AM685" s="390"/>
      <c r="AN685" s="390"/>
      <c r="AO685" s="390"/>
      <c r="AP685" s="390"/>
      <c r="AQ685" s="390"/>
      <c r="AR685" s="390"/>
      <c r="AS685" s="390"/>
    </row>
    <row r="686" spans="1:45" ht="21" thickBot="1" x14ac:dyDescent="0.35">
      <c r="Y686" s="390"/>
      <c r="Z686" s="390"/>
      <c r="AA686" s="390"/>
      <c r="AB686" s="390"/>
      <c r="AC686" s="390"/>
      <c r="AD686" s="390"/>
      <c r="AE686" s="390"/>
      <c r="AF686" s="390"/>
      <c r="AG686" s="390"/>
      <c r="AH686" s="390"/>
      <c r="AI686" s="390"/>
      <c r="AJ686" s="390"/>
      <c r="AK686" s="390"/>
      <c r="AL686" s="390"/>
      <c r="AM686" s="390"/>
      <c r="AN686" s="390"/>
      <c r="AO686" s="390"/>
      <c r="AP686" s="390"/>
      <c r="AQ686" s="390"/>
      <c r="AR686" s="390"/>
      <c r="AS686" s="390"/>
    </row>
    <row r="687" spans="1:45" ht="21" thickBot="1" x14ac:dyDescent="0.35">
      <c r="A687" s="15" t="s">
        <v>334</v>
      </c>
      <c r="B687" s="74" t="s">
        <v>129</v>
      </c>
      <c r="C687" s="68"/>
      <c r="D687" s="17" t="s">
        <v>5</v>
      </c>
      <c r="E687" s="18" t="s">
        <v>6</v>
      </c>
      <c r="F687" s="18" t="s">
        <v>7</v>
      </c>
      <c r="G687" s="18" t="s">
        <v>8</v>
      </c>
      <c r="H687" s="18" t="s">
        <v>9</v>
      </c>
      <c r="I687" s="18" t="s">
        <v>10</v>
      </c>
      <c r="J687" s="18" t="s">
        <v>11</v>
      </c>
      <c r="K687" s="18" t="s">
        <v>12</v>
      </c>
      <c r="L687" s="18" t="s">
        <v>13</v>
      </c>
      <c r="M687" s="18" t="s">
        <v>14</v>
      </c>
      <c r="N687" s="18" t="s">
        <v>15</v>
      </c>
      <c r="O687" s="18" t="s">
        <v>16</v>
      </c>
      <c r="P687" s="18" t="s">
        <v>17</v>
      </c>
      <c r="Q687" s="18" t="s">
        <v>18</v>
      </c>
      <c r="R687" s="18" t="s">
        <v>19</v>
      </c>
      <c r="S687" s="18" t="s">
        <v>20</v>
      </c>
      <c r="T687" s="18" t="s">
        <v>21</v>
      </c>
      <c r="U687" s="18" t="s">
        <v>22</v>
      </c>
      <c r="V687" s="18" t="s">
        <v>23</v>
      </c>
      <c r="W687" s="18" t="s">
        <v>166</v>
      </c>
      <c r="Y687" s="390"/>
      <c r="Z687" s="390"/>
      <c r="AA687" s="390"/>
      <c r="AB687" s="390"/>
      <c r="AC687" s="390"/>
      <c r="AD687" s="390"/>
      <c r="AE687" s="390"/>
      <c r="AF687" s="390"/>
      <c r="AG687" s="390"/>
      <c r="AH687" s="390"/>
      <c r="AI687" s="390"/>
      <c r="AJ687" s="390"/>
      <c r="AK687" s="390"/>
      <c r="AL687" s="390"/>
      <c r="AM687" s="390"/>
      <c r="AN687" s="390"/>
      <c r="AO687" s="390"/>
      <c r="AP687" s="390"/>
      <c r="AQ687" s="390"/>
      <c r="AR687" s="390"/>
      <c r="AS687" s="390"/>
    </row>
    <row r="688" spans="1:45" x14ac:dyDescent="0.3">
      <c r="B688" s="69" t="s">
        <v>50</v>
      </c>
      <c r="C688" s="70"/>
      <c r="D688" s="20">
        <v>880</v>
      </c>
      <c r="E688" s="20">
        <v>880</v>
      </c>
      <c r="F688" s="20">
        <v>880</v>
      </c>
      <c r="G688" s="20">
        <v>880</v>
      </c>
      <c r="H688" s="20">
        <v>880</v>
      </c>
      <c r="I688" s="20">
        <v>880</v>
      </c>
      <c r="J688" s="20">
        <v>880</v>
      </c>
      <c r="K688" s="20">
        <v>880</v>
      </c>
      <c r="L688" s="20">
        <v>880</v>
      </c>
      <c r="M688" s="20">
        <v>880</v>
      </c>
      <c r="N688" s="20">
        <v>880</v>
      </c>
      <c r="O688" s="20">
        <v>880</v>
      </c>
      <c r="P688" s="20">
        <v>880</v>
      </c>
      <c r="Q688" s="20">
        <v>880</v>
      </c>
      <c r="R688" s="20">
        <v>880</v>
      </c>
      <c r="S688" s="20">
        <v>880</v>
      </c>
      <c r="T688" s="20"/>
      <c r="U688" s="20"/>
      <c r="V688" s="20"/>
      <c r="W688" s="20">
        <v>880</v>
      </c>
      <c r="Y688" s="390"/>
      <c r="Z688" s="390"/>
      <c r="AA688" s="390"/>
      <c r="AB688" s="390"/>
      <c r="AC688" s="390"/>
      <c r="AD688" s="390"/>
      <c r="AE688" s="390"/>
      <c r="AF688" s="390"/>
      <c r="AG688" s="390"/>
      <c r="AH688" s="390"/>
      <c r="AI688" s="390"/>
      <c r="AJ688" s="390"/>
      <c r="AK688" s="390"/>
      <c r="AL688" s="390"/>
      <c r="AM688" s="390"/>
      <c r="AN688" s="390"/>
      <c r="AO688" s="390"/>
      <c r="AP688" s="390"/>
      <c r="AQ688" s="390"/>
      <c r="AR688" s="390"/>
      <c r="AS688" s="390"/>
    </row>
    <row r="689" spans="2:45" x14ac:dyDescent="0.3">
      <c r="B689" s="54" t="s">
        <v>51</v>
      </c>
      <c r="C689" s="55"/>
      <c r="D689" s="322">
        <v>0.24</v>
      </c>
      <c r="E689" s="322">
        <f>D689</f>
        <v>0.24</v>
      </c>
      <c r="F689" s="322">
        <f>D689</f>
        <v>0.24</v>
      </c>
      <c r="G689" s="322">
        <f>D689</f>
        <v>0.24</v>
      </c>
      <c r="H689" s="322">
        <f>D689</f>
        <v>0.24</v>
      </c>
      <c r="I689" s="322">
        <f>D689</f>
        <v>0.24</v>
      </c>
      <c r="J689" s="322">
        <f>D689</f>
        <v>0.24</v>
      </c>
      <c r="K689" s="322">
        <f>D689</f>
        <v>0.24</v>
      </c>
      <c r="L689" s="322">
        <f>D689</f>
        <v>0.24</v>
      </c>
      <c r="M689" s="322">
        <f>D689</f>
        <v>0.24</v>
      </c>
      <c r="N689" s="322">
        <f>D689</f>
        <v>0.24</v>
      </c>
      <c r="O689" s="322">
        <f>D689</f>
        <v>0.24</v>
      </c>
      <c r="P689" s="322">
        <f>D689</f>
        <v>0.24</v>
      </c>
      <c r="Q689" s="322">
        <f>D689</f>
        <v>0.24</v>
      </c>
      <c r="R689" s="322">
        <f>D689</f>
        <v>0.24</v>
      </c>
      <c r="S689" s="322">
        <f>D689</f>
        <v>0.24</v>
      </c>
      <c r="T689" s="218"/>
      <c r="U689" s="218"/>
      <c r="V689" s="218"/>
      <c r="W689" s="322">
        <f>J689</f>
        <v>0.24</v>
      </c>
      <c r="Y689" s="390"/>
      <c r="Z689" s="390"/>
      <c r="AA689" s="390"/>
      <c r="AB689" s="390"/>
      <c r="AC689" s="390"/>
      <c r="AD689" s="390"/>
      <c r="AE689" s="390"/>
      <c r="AF689" s="390"/>
      <c r="AG689" s="390"/>
      <c r="AH689" s="390"/>
      <c r="AI689" s="390"/>
      <c r="AJ689" s="390"/>
      <c r="AK689" s="390"/>
      <c r="AL689" s="390"/>
      <c r="AM689" s="390"/>
      <c r="AN689" s="390"/>
      <c r="AO689" s="390"/>
      <c r="AP689" s="390"/>
      <c r="AQ689" s="390"/>
      <c r="AR689" s="390"/>
      <c r="AS689" s="390"/>
    </row>
    <row r="690" spans="2:45" x14ac:dyDescent="0.3">
      <c r="B690" s="54" t="s">
        <v>56</v>
      </c>
      <c r="C690" s="55"/>
      <c r="D690" s="21">
        <v>0</v>
      </c>
      <c r="E690" s="21">
        <v>0</v>
      </c>
      <c r="F690" s="21">
        <v>0</v>
      </c>
      <c r="G690" s="21">
        <v>0</v>
      </c>
      <c r="H690" s="21">
        <v>0</v>
      </c>
      <c r="I690" s="21">
        <v>0</v>
      </c>
      <c r="J690" s="21">
        <v>0</v>
      </c>
      <c r="K690" s="21">
        <v>0</v>
      </c>
      <c r="L690" s="21">
        <v>0</v>
      </c>
      <c r="M690" s="21">
        <v>0</v>
      </c>
      <c r="N690" s="21">
        <v>0</v>
      </c>
      <c r="O690" s="21">
        <v>0</v>
      </c>
      <c r="P690" s="21">
        <v>0</v>
      </c>
      <c r="Q690" s="21">
        <v>0</v>
      </c>
      <c r="R690" s="21">
        <v>0</v>
      </c>
      <c r="S690" s="21">
        <v>0</v>
      </c>
      <c r="T690" s="21"/>
      <c r="U690" s="21"/>
      <c r="V690" s="21"/>
      <c r="W690" s="21">
        <v>0</v>
      </c>
      <c r="Y690" s="390"/>
      <c r="Z690" s="390"/>
      <c r="AA690" s="390"/>
      <c r="AB690" s="390"/>
      <c r="AC690" s="390"/>
      <c r="AD690" s="390"/>
      <c r="AE690" s="390"/>
      <c r="AF690" s="390"/>
      <c r="AG690" s="390"/>
      <c r="AH690" s="390"/>
      <c r="AI690" s="390"/>
      <c r="AJ690" s="390"/>
      <c r="AK690" s="390"/>
      <c r="AL690" s="390"/>
      <c r="AM690" s="390"/>
      <c r="AN690" s="390"/>
      <c r="AO690" s="390"/>
      <c r="AP690" s="390"/>
      <c r="AQ690" s="390"/>
      <c r="AR690" s="390"/>
      <c r="AS690" s="390"/>
    </row>
    <row r="691" spans="2:45" x14ac:dyDescent="0.3">
      <c r="B691" s="177" t="s">
        <v>67</v>
      </c>
      <c r="C691" s="178"/>
      <c r="D691" s="323">
        <f>D688-(D688*D689)</f>
        <v>668.8</v>
      </c>
      <c r="E691" s="323">
        <f t="shared" ref="E691:W691" si="627">E688-(E688*E689)</f>
        <v>668.8</v>
      </c>
      <c r="F691" s="323">
        <f t="shared" si="627"/>
        <v>668.8</v>
      </c>
      <c r="G691" s="323">
        <f t="shared" si="627"/>
        <v>668.8</v>
      </c>
      <c r="H691" s="323">
        <f t="shared" si="627"/>
        <v>668.8</v>
      </c>
      <c r="I691" s="323">
        <f t="shared" si="627"/>
        <v>668.8</v>
      </c>
      <c r="J691" s="323">
        <f t="shared" si="627"/>
        <v>668.8</v>
      </c>
      <c r="K691" s="323">
        <f t="shared" si="627"/>
        <v>668.8</v>
      </c>
      <c r="L691" s="323">
        <f t="shared" si="627"/>
        <v>668.8</v>
      </c>
      <c r="M691" s="323">
        <f t="shared" si="627"/>
        <v>668.8</v>
      </c>
      <c r="N691" s="323">
        <f t="shared" si="627"/>
        <v>668.8</v>
      </c>
      <c r="O691" s="323">
        <f t="shared" si="627"/>
        <v>668.8</v>
      </c>
      <c r="P691" s="323">
        <f t="shared" si="627"/>
        <v>668.8</v>
      </c>
      <c r="Q691" s="323">
        <f t="shared" si="627"/>
        <v>668.8</v>
      </c>
      <c r="R691" s="323">
        <f t="shared" si="627"/>
        <v>668.8</v>
      </c>
      <c r="S691" s="323">
        <f t="shared" si="627"/>
        <v>668.8</v>
      </c>
      <c r="T691" s="323">
        <v>717.19</v>
      </c>
      <c r="U691" s="323">
        <v>717.19</v>
      </c>
      <c r="V691" s="323">
        <v>717.19</v>
      </c>
      <c r="W691" s="323">
        <f t="shared" si="627"/>
        <v>668.8</v>
      </c>
      <c r="Y691" s="390"/>
      <c r="Z691" s="390"/>
      <c r="AA691" s="390"/>
      <c r="AB691" s="390"/>
      <c r="AC691" s="390"/>
      <c r="AD691" s="390"/>
      <c r="AE691" s="390"/>
      <c r="AF691" s="390"/>
      <c r="AG691" s="390"/>
      <c r="AH691" s="390"/>
      <c r="AI691" s="390"/>
      <c r="AJ691" s="390"/>
      <c r="AK691" s="390"/>
      <c r="AL691" s="390"/>
      <c r="AM691" s="390"/>
      <c r="AN691" s="390"/>
      <c r="AO691" s="390"/>
      <c r="AP691" s="390"/>
      <c r="AQ691" s="390"/>
      <c r="AR691" s="390"/>
      <c r="AS691" s="390"/>
    </row>
    <row r="692" spans="2:45" x14ac:dyDescent="0.3">
      <c r="B692" s="54" t="s">
        <v>66</v>
      </c>
      <c r="C692" s="56">
        <v>7.0000000000000007E-2</v>
      </c>
      <c r="D692" s="24">
        <f>D691*$C692</f>
        <v>46.816000000000003</v>
      </c>
      <c r="E692" s="24">
        <f t="shared" ref="E692:V692" si="628">E691*$C692</f>
        <v>46.816000000000003</v>
      </c>
      <c r="F692" s="24">
        <f t="shared" si="628"/>
        <v>46.816000000000003</v>
      </c>
      <c r="G692" s="24">
        <f t="shared" si="628"/>
        <v>46.816000000000003</v>
      </c>
      <c r="H692" s="24">
        <f t="shared" si="628"/>
        <v>46.816000000000003</v>
      </c>
      <c r="I692" s="24">
        <f t="shared" si="628"/>
        <v>46.816000000000003</v>
      </c>
      <c r="J692" s="24">
        <f t="shared" si="628"/>
        <v>46.816000000000003</v>
      </c>
      <c r="K692" s="24">
        <f t="shared" si="628"/>
        <v>46.816000000000003</v>
      </c>
      <c r="L692" s="24">
        <f t="shared" si="628"/>
        <v>46.816000000000003</v>
      </c>
      <c r="M692" s="24">
        <f t="shared" si="628"/>
        <v>46.816000000000003</v>
      </c>
      <c r="N692" s="24">
        <f t="shared" si="628"/>
        <v>46.816000000000003</v>
      </c>
      <c r="O692" s="24">
        <f t="shared" si="628"/>
        <v>46.816000000000003</v>
      </c>
      <c r="P692" s="24">
        <f t="shared" si="628"/>
        <v>46.816000000000003</v>
      </c>
      <c r="Q692" s="24">
        <f t="shared" si="628"/>
        <v>46.816000000000003</v>
      </c>
      <c r="R692" s="24">
        <f t="shared" si="628"/>
        <v>46.816000000000003</v>
      </c>
      <c r="S692" s="24">
        <f t="shared" si="628"/>
        <v>46.816000000000003</v>
      </c>
      <c r="T692" s="24">
        <f t="shared" si="628"/>
        <v>50.203300000000006</v>
      </c>
      <c r="U692" s="24">
        <f t="shared" si="628"/>
        <v>50.203300000000006</v>
      </c>
      <c r="V692" s="24">
        <f t="shared" si="628"/>
        <v>50.203300000000006</v>
      </c>
      <c r="W692" s="24">
        <f>W691*$C692</f>
        <v>46.816000000000003</v>
      </c>
      <c r="Y692" s="390"/>
      <c r="Z692" s="390"/>
      <c r="AA692" s="390"/>
      <c r="AB692" s="390"/>
      <c r="AC692" s="390"/>
      <c r="AD692" s="390"/>
      <c r="AE692" s="390"/>
      <c r="AF692" s="390"/>
      <c r="AG692" s="390"/>
      <c r="AH692" s="390"/>
      <c r="AI692" s="390"/>
      <c r="AJ692" s="390"/>
      <c r="AK692" s="390"/>
      <c r="AL692" s="390"/>
      <c r="AM692" s="390"/>
      <c r="AN692" s="390"/>
      <c r="AO692" s="390"/>
      <c r="AP692" s="390"/>
      <c r="AQ692" s="390"/>
      <c r="AR692" s="390"/>
      <c r="AS692" s="390"/>
    </row>
    <row r="693" spans="2:45" x14ac:dyDescent="0.3">
      <c r="B693" s="54" t="s">
        <v>68</v>
      </c>
      <c r="C693" s="55"/>
      <c r="D693" s="21">
        <f>D691+D692</f>
        <v>715.61599999999999</v>
      </c>
      <c r="E693" s="21">
        <f t="shared" ref="E693:V693" si="629">E691+E692</f>
        <v>715.61599999999999</v>
      </c>
      <c r="F693" s="21">
        <f t="shared" si="629"/>
        <v>715.61599999999999</v>
      </c>
      <c r="G693" s="21">
        <f t="shared" si="629"/>
        <v>715.61599999999999</v>
      </c>
      <c r="H693" s="21">
        <f t="shared" si="629"/>
        <v>715.61599999999999</v>
      </c>
      <c r="I693" s="21">
        <f t="shared" si="629"/>
        <v>715.61599999999999</v>
      </c>
      <c r="J693" s="21">
        <f t="shared" si="629"/>
        <v>715.61599999999999</v>
      </c>
      <c r="K693" s="21">
        <f t="shared" si="629"/>
        <v>715.61599999999999</v>
      </c>
      <c r="L693" s="21">
        <f t="shared" si="629"/>
        <v>715.61599999999999</v>
      </c>
      <c r="M693" s="21">
        <f t="shared" si="629"/>
        <v>715.61599999999999</v>
      </c>
      <c r="N693" s="21">
        <f t="shared" si="629"/>
        <v>715.61599999999999</v>
      </c>
      <c r="O693" s="21">
        <f t="shared" si="629"/>
        <v>715.61599999999999</v>
      </c>
      <c r="P693" s="21">
        <f t="shared" si="629"/>
        <v>715.61599999999999</v>
      </c>
      <c r="Q693" s="21">
        <f t="shared" si="629"/>
        <v>715.61599999999999</v>
      </c>
      <c r="R693" s="21">
        <f t="shared" si="629"/>
        <v>715.61599999999999</v>
      </c>
      <c r="S693" s="21">
        <f t="shared" si="629"/>
        <v>715.61599999999999</v>
      </c>
      <c r="T693" s="21">
        <f t="shared" si="629"/>
        <v>767.39330000000007</v>
      </c>
      <c r="U693" s="21">
        <f t="shared" si="629"/>
        <v>767.39330000000007</v>
      </c>
      <c r="V693" s="21">
        <f t="shared" si="629"/>
        <v>767.39330000000007</v>
      </c>
      <c r="W693" s="21">
        <f>W691+W692</f>
        <v>715.61599999999999</v>
      </c>
      <c r="Y693" s="390"/>
      <c r="Z693" s="390"/>
      <c r="AA693" s="390"/>
      <c r="AB693" s="390"/>
      <c r="AC693" s="390"/>
      <c r="AD693" s="390"/>
      <c r="AE693" s="390"/>
      <c r="AF693" s="390"/>
      <c r="AG693" s="390"/>
      <c r="AH693" s="390"/>
      <c r="AI693" s="390"/>
      <c r="AJ693" s="390"/>
      <c r="AK693" s="390"/>
      <c r="AL693" s="390"/>
      <c r="AM693" s="390"/>
      <c r="AN693" s="390"/>
      <c r="AO693" s="390"/>
      <c r="AP693" s="390"/>
      <c r="AQ693" s="390"/>
      <c r="AR693" s="390"/>
      <c r="AS693" s="390"/>
    </row>
    <row r="694" spans="2:45" x14ac:dyDescent="0.3">
      <c r="B694" s="54" t="s">
        <v>52</v>
      </c>
      <c r="C694" s="55"/>
      <c r="D694" s="398">
        <f>Y696</f>
        <v>31.324999999999999</v>
      </c>
      <c r="E694" s="398">
        <f t="shared" ref="E694:W694" si="630">Z696</f>
        <v>71.155000000000001</v>
      </c>
      <c r="F694" s="398">
        <f t="shared" si="630"/>
        <v>85.387500000000003</v>
      </c>
      <c r="G694" s="398">
        <f t="shared" si="630"/>
        <v>56.924999999999997</v>
      </c>
      <c r="H694" s="398">
        <f t="shared" si="630"/>
        <v>30.495000000000001</v>
      </c>
      <c r="I694" s="398">
        <f t="shared" si="630"/>
        <v>40.659999999999997</v>
      </c>
      <c r="J694" s="398">
        <f t="shared" si="630"/>
        <v>63.024999999999999</v>
      </c>
      <c r="K694" s="398">
        <f t="shared" si="630"/>
        <v>51.64</v>
      </c>
      <c r="L694" s="398">
        <f t="shared" si="630"/>
        <v>60.99</v>
      </c>
      <c r="M694" s="398">
        <f t="shared" si="630"/>
        <v>29.274999999999999</v>
      </c>
      <c r="N694" s="398">
        <f t="shared" si="630"/>
        <v>32.53</v>
      </c>
      <c r="O694" s="398">
        <f t="shared" si="630"/>
        <v>76.452500000000001</v>
      </c>
      <c r="P694" s="398">
        <f t="shared" si="630"/>
        <v>29.274999999999999</v>
      </c>
      <c r="Q694" s="398">
        <f t="shared" si="630"/>
        <v>29.274999999999999</v>
      </c>
      <c r="R694" s="398">
        <f t="shared" si="630"/>
        <v>38.627499999999998</v>
      </c>
      <c r="S694" s="398">
        <f t="shared" si="630"/>
        <v>36.594999999999999</v>
      </c>
      <c r="T694" s="398">
        <f t="shared" si="630"/>
        <v>0</v>
      </c>
      <c r="U694" s="398">
        <f t="shared" si="630"/>
        <v>76.452500000000001</v>
      </c>
      <c r="V694" s="398">
        <f t="shared" si="630"/>
        <v>0</v>
      </c>
      <c r="W694" s="398">
        <f t="shared" si="630"/>
        <v>29.274999999999999</v>
      </c>
      <c r="Y694" s="390">
        <v>12530</v>
      </c>
      <c r="Z694" s="390">
        <v>28462</v>
      </c>
      <c r="AA694" s="390">
        <v>34155</v>
      </c>
      <c r="AB694" s="390">
        <v>22770</v>
      </c>
      <c r="AC694" s="390">
        <v>12198</v>
      </c>
      <c r="AD694" s="390">
        <v>16264</v>
      </c>
      <c r="AE694" s="390">
        <v>25210</v>
      </c>
      <c r="AF694" s="390">
        <v>20656</v>
      </c>
      <c r="AG694" s="390">
        <v>24396</v>
      </c>
      <c r="AH694" s="390">
        <v>11710</v>
      </c>
      <c r="AI694" s="390">
        <v>13012</v>
      </c>
      <c r="AJ694" s="390">
        <v>30581</v>
      </c>
      <c r="AK694" s="396">
        <v>11710</v>
      </c>
      <c r="AL694" s="396">
        <v>11710</v>
      </c>
      <c r="AM694" s="390">
        <v>15451</v>
      </c>
      <c r="AN694" s="390">
        <v>14638</v>
      </c>
      <c r="AO694" s="390"/>
      <c r="AP694" s="396">
        <v>30581</v>
      </c>
      <c r="AQ694" s="390"/>
      <c r="AR694" s="396">
        <v>11710</v>
      </c>
      <c r="AS694" s="390"/>
    </row>
    <row r="695" spans="2:45" x14ac:dyDescent="0.3">
      <c r="B695" s="57" t="s">
        <v>53</v>
      </c>
      <c r="C695" s="58"/>
      <c r="D695" s="25">
        <f>SUM(D693:D694)</f>
        <v>746.94100000000003</v>
      </c>
      <c r="E695" s="26">
        <f t="shared" ref="E695:V695" si="631">SUM(E693:E694)</f>
        <v>786.77099999999996</v>
      </c>
      <c r="F695" s="26">
        <f t="shared" si="631"/>
        <v>801.00350000000003</v>
      </c>
      <c r="G695" s="26">
        <f t="shared" si="631"/>
        <v>772.54099999999994</v>
      </c>
      <c r="H695" s="26">
        <f t="shared" si="631"/>
        <v>746.11099999999999</v>
      </c>
      <c r="I695" s="26">
        <f t="shared" si="631"/>
        <v>756.27599999999995</v>
      </c>
      <c r="J695" s="26">
        <f t="shared" si="631"/>
        <v>778.64099999999996</v>
      </c>
      <c r="K695" s="26">
        <f t="shared" si="631"/>
        <v>767.25599999999997</v>
      </c>
      <c r="L695" s="26">
        <f t="shared" si="631"/>
        <v>776.60599999999999</v>
      </c>
      <c r="M695" s="26">
        <f t="shared" si="631"/>
        <v>744.89099999999996</v>
      </c>
      <c r="N695" s="26">
        <f t="shared" si="631"/>
        <v>748.14599999999996</v>
      </c>
      <c r="O695" s="26">
        <f t="shared" si="631"/>
        <v>792.06849999999997</v>
      </c>
      <c r="P695" s="26">
        <f t="shared" si="631"/>
        <v>744.89099999999996</v>
      </c>
      <c r="Q695" s="26">
        <f t="shared" si="631"/>
        <v>744.89099999999996</v>
      </c>
      <c r="R695" s="26">
        <f t="shared" si="631"/>
        <v>754.24350000000004</v>
      </c>
      <c r="S695" s="26">
        <f t="shared" si="631"/>
        <v>752.21100000000001</v>
      </c>
      <c r="T695" s="26">
        <f t="shared" si="631"/>
        <v>767.39330000000007</v>
      </c>
      <c r="U695" s="26">
        <f t="shared" si="631"/>
        <v>843.84580000000005</v>
      </c>
      <c r="V695" s="26">
        <f t="shared" si="631"/>
        <v>767.39330000000007</v>
      </c>
      <c r="W695" s="26">
        <f>SUM(W693:W694)</f>
        <v>744.89099999999996</v>
      </c>
      <c r="Y695" s="390">
        <v>400</v>
      </c>
      <c r="Z695" s="390">
        <v>400</v>
      </c>
      <c r="AA695" s="390">
        <v>400</v>
      </c>
      <c r="AB695" s="390">
        <v>400</v>
      </c>
      <c r="AC695" s="390">
        <v>400</v>
      </c>
      <c r="AD695" s="390">
        <v>400</v>
      </c>
      <c r="AE695" s="390">
        <v>400</v>
      </c>
      <c r="AF695" s="390">
        <v>400</v>
      </c>
      <c r="AG695" s="390">
        <v>400</v>
      </c>
      <c r="AH695" s="390">
        <v>400</v>
      </c>
      <c r="AI695" s="390">
        <v>400</v>
      </c>
      <c r="AJ695" s="390">
        <v>400</v>
      </c>
      <c r="AK695" s="390">
        <v>400</v>
      </c>
      <c r="AL695" s="390">
        <v>400</v>
      </c>
      <c r="AM695" s="390">
        <v>400</v>
      </c>
      <c r="AN695" s="390">
        <v>400</v>
      </c>
      <c r="AO695" s="390"/>
      <c r="AP695" s="390">
        <v>400</v>
      </c>
      <c r="AQ695" s="390"/>
      <c r="AR695" s="390">
        <v>400</v>
      </c>
      <c r="AS695" s="390"/>
    </row>
    <row r="696" spans="2:45" x14ac:dyDescent="0.3">
      <c r="B696" s="54" t="s">
        <v>54</v>
      </c>
      <c r="C696" s="55"/>
      <c r="D696" s="20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Y696" s="389">
        <f>Y694/Y695</f>
        <v>31.324999999999999</v>
      </c>
      <c r="Z696" s="389">
        <f t="shared" ref="Z696:AN696" si="632">Z694/Z695</f>
        <v>71.155000000000001</v>
      </c>
      <c r="AA696" s="389">
        <f t="shared" si="632"/>
        <v>85.387500000000003</v>
      </c>
      <c r="AB696" s="389">
        <f t="shared" si="632"/>
        <v>56.924999999999997</v>
      </c>
      <c r="AC696" s="389">
        <f t="shared" si="632"/>
        <v>30.495000000000001</v>
      </c>
      <c r="AD696" s="389">
        <f t="shared" si="632"/>
        <v>40.659999999999997</v>
      </c>
      <c r="AE696" s="389">
        <f t="shared" si="632"/>
        <v>63.024999999999999</v>
      </c>
      <c r="AF696" s="389">
        <f t="shared" si="632"/>
        <v>51.64</v>
      </c>
      <c r="AG696" s="389">
        <f t="shared" si="632"/>
        <v>60.99</v>
      </c>
      <c r="AH696" s="389">
        <f t="shared" si="632"/>
        <v>29.274999999999999</v>
      </c>
      <c r="AI696" s="389">
        <f t="shared" si="632"/>
        <v>32.53</v>
      </c>
      <c r="AJ696" s="389">
        <f t="shared" si="632"/>
        <v>76.452500000000001</v>
      </c>
      <c r="AK696" s="389">
        <f t="shared" si="632"/>
        <v>29.274999999999999</v>
      </c>
      <c r="AL696" s="389">
        <f t="shared" si="632"/>
        <v>29.274999999999999</v>
      </c>
      <c r="AM696" s="389">
        <f t="shared" si="632"/>
        <v>38.627499999999998</v>
      </c>
      <c r="AN696" s="389">
        <f t="shared" si="632"/>
        <v>36.594999999999999</v>
      </c>
      <c r="AO696" s="390"/>
      <c r="AP696" s="389">
        <f t="shared" ref="AP696" si="633">AP694/AP695</f>
        <v>76.452500000000001</v>
      </c>
      <c r="AQ696" s="390"/>
      <c r="AR696" s="389">
        <f t="shared" ref="AR696" si="634">AR694/AR695</f>
        <v>29.274999999999999</v>
      </c>
      <c r="AS696" s="390"/>
    </row>
    <row r="697" spans="2:45" x14ac:dyDescent="0.3">
      <c r="B697" s="59" t="s">
        <v>55</v>
      </c>
      <c r="C697" s="60"/>
      <c r="D697" s="27">
        <f>SUM(D695:D696)</f>
        <v>746.94100000000003</v>
      </c>
      <c r="E697" s="41">
        <f t="shared" ref="E697:V697" si="635">SUM(E695:E696)</f>
        <v>786.77099999999996</v>
      </c>
      <c r="F697" s="41">
        <f t="shared" si="635"/>
        <v>801.00350000000003</v>
      </c>
      <c r="G697" s="41">
        <f t="shared" si="635"/>
        <v>772.54099999999994</v>
      </c>
      <c r="H697" s="41">
        <f t="shared" si="635"/>
        <v>746.11099999999999</v>
      </c>
      <c r="I697" s="41">
        <f t="shared" si="635"/>
        <v>756.27599999999995</v>
      </c>
      <c r="J697" s="41">
        <f t="shared" si="635"/>
        <v>778.64099999999996</v>
      </c>
      <c r="K697" s="41">
        <f t="shared" si="635"/>
        <v>767.25599999999997</v>
      </c>
      <c r="L697" s="41">
        <f t="shared" si="635"/>
        <v>776.60599999999999</v>
      </c>
      <c r="M697" s="41">
        <f t="shared" si="635"/>
        <v>744.89099999999996</v>
      </c>
      <c r="N697" s="41">
        <f t="shared" si="635"/>
        <v>748.14599999999996</v>
      </c>
      <c r="O697" s="41">
        <f t="shared" si="635"/>
        <v>792.06849999999997</v>
      </c>
      <c r="P697" s="41">
        <f t="shared" si="635"/>
        <v>744.89099999999996</v>
      </c>
      <c r="Q697" s="41">
        <f t="shared" si="635"/>
        <v>744.89099999999996</v>
      </c>
      <c r="R697" s="41">
        <f t="shared" si="635"/>
        <v>754.24350000000004</v>
      </c>
      <c r="S697" s="41">
        <f t="shared" si="635"/>
        <v>752.21100000000001</v>
      </c>
      <c r="T697" s="41">
        <f t="shared" si="635"/>
        <v>767.39330000000007</v>
      </c>
      <c r="U697" s="41">
        <f t="shared" si="635"/>
        <v>843.84580000000005</v>
      </c>
      <c r="V697" s="41">
        <f t="shared" si="635"/>
        <v>767.39330000000007</v>
      </c>
      <c r="W697" s="41">
        <f>SUM(W695:W696)</f>
        <v>744.89099999999996</v>
      </c>
      <c r="Y697" s="390"/>
      <c r="Z697" s="390"/>
      <c r="AA697" s="390"/>
      <c r="AB697" s="390"/>
      <c r="AC697" s="390"/>
      <c r="AD697" s="390"/>
      <c r="AE697" s="390"/>
      <c r="AF697" s="390"/>
      <c r="AG697" s="390"/>
      <c r="AH697" s="390"/>
      <c r="AI697" s="390"/>
      <c r="AJ697" s="390"/>
      <c r="AK697" s="390"/>
      <c r="AL697" s="390"/>
      <c r="AM697" s="390"/>
      <c r="AN697" s="390"/>
      <c r="AO697" s="390"/>
      <c r="AP697" s="390"/>
      <c r="AQ697" s="390"/>
      <c r="AR697" s="390"/>
      <c r="AS697" s="390"/>
    </row>
    <row r="698" spans="2:45" x14ac:dyDescent="0.3">
      <c r="B698" s="61" t="s">
        <v>101</v>
      </c>
      <c r="C698" s="55"/>
      <c r="D698" s="43">
        <v>0</v>
      </c>
      <c r="E698" s="408">
        <v>0</v>
      </c>
      <c r="F698" s="408">
        <v>0</v>
      </c>
      <c r="G698" s="408">
        <v>0</v>
      </c>
      <c r="H698" s="408">
        <v>0</v>
      </c>
      <c r="I698" s="408">
        <v>0</v>
      </c>
      <c r="J698" s="408">
        <v>0</v>
      </c>
      <c r="K698" s="408">
        <v>0</v>
      </c>
      <c r="L698" s="408">
        <v>0</v>
      </c>
      <c r="M698" s="408">
        <v>0</v>
      </c>
      <c r="N698" s="408">
        <v>0</v>
      </c>
      <c r="O698" s="408">
        <v>0</v>
      </c>
      <c r="P698" s="408">
        <v>0</v>
      </c>
      <c r="Q698" s="408">
        <v>0</v>
      </c>
      <c r="R698" s="408">
        <v>0</v>
      </c>
      <c r="S698" s="408">
        <v>0</v>
      </c>
      <c r="T698" s="408">
        <v>0</v>
      </c>
      <c r="U698" s="408">
        <v>0</v>
      </c>
      <c r="V698" s="408">
        <v>0</v>
      </c>
      <c r="W698" s="408">
        <v>0</v>
      </c>
      <c r="Y698" s="409"/>
      <c r="Z698" s="409"/>
      <c r="AA698" s="409"/>
      <c r="AB698" s="409"/>
      <c r="AC698" s="409"/>
      <c r="AD698" s="409"/>
      <c r="AE698" s="409"/>
      <c r="AF698" s="409"/>
      <c r="AG698" s="409"/>
      <c r="AH698" s="409"/>
      <c r="AI698" s="409"/>
      <c r="AJ698" s="409"/>
      <c r="AK698" s="409"/>
      <c r="AL698" s="409"/>
      <c r="AM698" s="409"/>
      <c r="AN698" s="409"/>
      <c r="AO698" s="409"/>
      <c r="AP698" s="409"/>
      <c r="AQ698" s="409"/>
      <c r="AR698" s="409"/>
      <c r="AS698" s="409"/>
    </row>
    <row r="699" spans="2:45" x14ac:dyDescent="0.3">
      <c r="B699" s="171" t="s">
        <v>194</v>
      </c>
      <c r="C699" s="55"/>
      <c r="D699" s="20">
        <v>787</v>
      </c>
      <c r="E699" s="21">
        <v>827</v>
      </c>
      <c r="F699" s="21">
        <v>842</v>
      </c>
      <c r="G699" s="21">
        <v>813</v>
      </c>
      <c r="H699" s="21">
        <v>787</v>
      </c>
      <c r="I699" s="21">
        <v>797</v>
      </c>
      <c r="J699" s="21">
        <v>819</v>
      </c>
      <c r="K699" s="21">
        <v>808</v>
      </c>
      <c r="L699" s="21">
        <v>817</v>
      </c>
      <c r="M699" s="21">
        <v>785</v>
      </c>
      <c r="N699" s="21">
        <v>789</v>
      </c>
      <c r="O699" s="21">
        <v>833</v>
      </c>
      <c r="P699" s="21">
        <v>785</v>
      </c>
      <c r="Q699" s="21">
        <v>785</v>
      </c>
      <c r="R699" s="21">
        <v>795</v>
      </c>
      <c r="S699" s="21">
        <v>793</v>
      </c>
      <c r="T699" s="21">
        <v>808</v>
      </c>
      <c r="U699" s="21">
        <v>884</v>
      </c>
      <c r="V699" s="21">
        <v>808</v>
      </c>
      <c r="W699" s="21">
        <v>785</v>
      </c>
      <c r="Y699" s="390"/>
      <c r="Z699" s="390"/>
      <c r="AA699" s="390"/>
      <c r="AB699" s="390"/>
      <c r="AC699" s="390"/>
      <c r="AD699" s="390"/>
      <c r="AE699" s="390"/>
      <c r="AF699" s="390"/>
      <c r="AG699" s="390"/>
      <c r="AH699" s="390"/>
      <c r="AI699" s="390"/>
      <c r="AJ699" s="390"/>
      <c r="AK699" s="390"/>
      <c r="AL699" s="390"/>
      <c r="AM699" s="390"/>
      <c r="AN699" s="390"/>
      <c r="AO699" s="390"/>
      <c r="AP699" s="390"/>
      <c r="AQ699" s="390"/>
      <c r="AR699" s="390"/>
      <c r="AS699" s="390"/>
    </row>
    <row r="700" spans="2:45" x14ac:dyDescent="0.3">
      <c r="B700" s="61" t="s">
        <v>195</v>
      </c>
      <c r="C700" s="55"/>
      <c r="D700" s="106">
        <v>797</v>
      </c>
      <c r="E700" s="21">
        <v>837</v>
      </c>
      <c r="F700" s="21">
        <v>852</v>
      </c>
      <c r="G700" s="21">
        <v>823</v>
      </c>
      <c r="H700" s="21">
        <v>797</v>
      </c>
      <c r="I700" s="21">
        <v>807</v>
      </c>
      <c r="J700" s="21">
        <v>829</v>
      </c>
      <c r="K700" s="21">
        <v>818</v>
      </c>
      <c r="L700" s="21">
        <v>827</v>
      </c>
      <c r="M700" s="21">
        <v>795</v>
      </c>
      <c r="N700" s="21">
        <v>799</v>
      </c>
      <c r="O700" s="21">
        <v>843</v>
      </c>
      <c r="P700" s="21">
        <v>795</v>
      </c>
      <c r="Q700" s="21">
        <v>795</v>
      </c>
      <c r="R700" s="21">
        <v>805</v>
      </c>
      <c r="S700" s="21">
        <v>803</v>
      </c>
      <c r="T700" s="21">
        <v>818</v>
      </c>
      <c r="U700" s="21">
        <v>894</v>
      </c>
      <c r="V700" s="21">
        <v>818</v>
      </c>
      <c r="W700" s="21">
        <v>795</v>
      </c>
      <c r="Y700" s="390"/>
      <c r="Z700" s="390"/>
      <c r="AA700" s="390"/>
      <c r="AB700" s="390"/>
      <c r="AC700" s="390"/>
      <c r="AD700" s="390"/>
      <c r="AE700" s="390"/>
      <c r="AF700" s="390"/>
      <c r="AG700" s="390"/>
      <c r="AH700" s="390"/>
      <c r="AI700" s="390"/>
      <c r="AJ700" s="390"/>
      <c r="AK700" s="390"/>
      <c r="AL700" s="390"/>
      <c r="AM700" s="390"/>
      <c r="AN700" s="390"/>
      <c r="AO700" s="390"/>
      <c r="AP700" s="390"/>
      <c r="AQ700" s="390"/>
      <c r="AR700" s="390"/>
      <c r="AS700" s="390"/>
    </row>
    <row r="701" spans="2:45" x14ac:dyDescent="0.3">
      <c r="B701" s="61" t="s">
        <v>196</v>
      </c>
      <c r="C701" s="62"/>
      <c r="D701" s="28">
        <v>817</v>
      </c>
      <c r="E701" s="28">
        <v>857</v>
      </c>
      <c r="F701" s="28">
        <v>872</v>
      </c>
      <c r="G701" s="28">
        <v>843</v>
      </c>
      <c r="H701" s="28">
        <v>817</v>
      </c>
      <c r="I701" s="28">
        <v>827</v>
      </c>
      <c r="J701" s="28">
        <v>849</v>
      </c>
      <c r="K701" s="28">
        <v>838</v>
      </c>
      <c r="L701" s="28">
        <v>847</v>
      </c>
      <c r="M701" s="28">
        <v>815</v>
      </c>
      <c r="N701" s="28">
        <v>819</v>
      </c>
      <c r="O701" s="28">
        <v>863</v>
      </c>
      <c r="P701" s="28">
        <v>815</v>
      </c>
      <c r="Q701" s="28">
        <v>815</v>
      </c>
      <c r="R701" s="28">
        <v>825</v>
      </c>
      <c r="S701" s="28">
        <v>823</v>
      </c>
      <c r="T701" s="29">
        <v>838</v>
      </c>
      <c r="U701" s="29">
        <v>914</v>
      </c>
      <c r="V701" s="29">
        <v>838</v>
      </c>
      <c r="W701" s="28">
        <v>815</v>
      </c>
      <c r="Y701" s="390"/>
      <c r="Z701" s="390"/>
      <c r="AA701" s="390"/>
      <c r="AB701" s="390"/>
      <c r="AC701" s="390"/>
      <c r="AD701" s="390"/>
      <c r="AE701" s="390"/>
      <c r="AF701" s="390"/>
      <c r="AG701" s="390"/>
      <c r="AH701" s="390"/>
      <c r="AI701" s="390"/>
      <c r="AJ701" s="390"/>
      <c r="AK701" s="390"/>
      <c r="AL701" s="390"/>
      <c r="AM701" s="390"/>
      <c r="AN701" s="390"/>
      <c r="AO701" s="390"/>
      <c r="AP701" s="390"/>
      <c r="AQ701" s="390"/>
      <c r="AR701" s="390"/>
      <c r="AS701" s="390"/>
    </row>
    <row r="702" spans="2:45" x14ac:dyDescent="0.3">
      <c r="B702" s="61" t="s">
        <v>197</v>
      </c>
      <c r="C702" s="62"/>
      <c r="D702" s="28">
        <v>827</v>
      </c>
      <c r="E702" s="28">
        <v>867</v>
      </c>
      <c r="F702" s="28">
        <v>882</v>
      </c>
      <c r="G702" s="28">
        <v>853</v>
      </c>
      <c r="H702" s="28">
        <v>827</v>
      </c>
      <c r="I702" s="28">
        <v>837</v>
      </c>
      <c r="J702" s="28">
        <v>859</v>
      </c>
      <c r="K702" s="28">
        <v>848</v>
      </c>
      <c r="L702" s="28">
        <v>857</v>
      </c>
      <c r="M702" s="28">
        <v>825</v>
      </c>
      <c r="N702" s="28">
        <v>829</v>
      </c>
      <c r="O702" s="28">
        <v>873</v>
      </c>
      <c r="P702" s="28">
        <v>825</v>
      </c>
      <c r="Q702" s="28">
        <v>825</v>
      </c>
      <c r="R702" s="28">
        <v>835</v>
      </c>
      <c r="S702" s="28">
        <v>833</v>
      </c>
      <c r="T702" s="29">
        <v>848</v>
      </c>
      <c r="U702" s="29">
        <v>924</v>
      </c>
      <c r="V702" s="29">
        <v>848</v>
      </c>
      <c r="W702" s="28">
        <v>825</v>
      </c>
      <c r="Y702" s="390"/>
      <c r="Z702" s="390"/>
      <c r="AA702" s="390"/>
      <c r="AB702" s="390"/>
      <c r="AC702" s="390"/>
      <c r="AD702" s="390"/>
      <c r="AE702" s="390"/>
      <c r="AF702" s="390"/>
      <c r="AG702" s="390"/>
      <c r="AH702" s="390"/>
      <c r="AI702" s="390"/>
      <c r="AJ702" s="390"/>
      <c r="AK702" s="390"/>
      <c r="AL702" s="390"/>
      <c r="AM702" s="390"/>
      <c r="AN702" s="390"/>
      <c r="AO702" s="390"/>
      <c r="AP702" s="390"/>
      <c r="AQ702" s="390"/>
      <c r="AR702" s="390"/>
      <c r="AS702" s="390"/>
    </row>
    <row r="703" spans="2:45" x14ac:dyDescent="0.3">
      <c r="B703" s="63" t="s">
        <v>103</v>
      </c>
      <c r="C703" s="55"/>
      <c r="D703" s="43">
        <v>0</v>
      </c>
      <c r="E703" s="408">
        <v>0</v>
      </c>
      <c r="F703" s="408">
        <v>0</v>
      </c>
      <c r="G703" s="408">
        <v>0</v>
      </c>
      <c r="H703" s="408">
        <v>0</v>
      </c>
      <c r="I703" s="408">
        <v>0</v>
      </c>
      <c r="J703" s="408">
        <v>0</v>
      </c>
      <c r="K703" s="408">
        <v>0</v>
      </c>
      <c r="L703" s="408">
        <v>0</v>
      </c>
      <c r="M703" s="408">
        <v>0</v>
      </c>
      <c r="N703" s="408">
        <v>0</v>
      </c>
      <c r="O703" s="408">
        <v>0</v>
      </c>
      <c r="P703" s="408">
        <v>0</v>
      </c>
      <c r="Q703" s="408">
        <v>0</v>
      </c>
      <c r="R703" s="408">
        <v>0</v>
      </c>
      <c r="S703" s="408">
        <v>0</v>
      </c>
      <c r="T703" s="408">
        <v>0</v>
      </c>
      <c r="U703" s="408">
        <v>0</v>
      </c>
      <c r="V703" s="408">
        <v>0</v>
      </c>
      <c r="W703" s="408">
        <v>0</v>
      </c>
      <c r="Y703" s="409"/>
      <c r="Z703" s="409"/>
      <c r="AA703" s="409"/>
      <c r="AB703" s="409"/>
      <c r="AC703" s="409"/>
      <c r="AD703" s="409"/>
      <c r="AE703" s="409"/>
      <c r="AF703" s="409"/>
      <c r="AG703" s="409"/>
      <c r="AH703" s="409"/>
      <c r="AI703" s="409"/>
      <c r="AJ703" s="409"/>
      <c r="AK703" s="409"/>
      <c r="AL703" s="409"/>
      <c r="AM703" s="409"/>
      <c r="AN703" s="409"/>
      <c r="AO703" s="409"/>
      <c r="AP703" s="409"/>
      <c r="AQ703" s="409"/>
      <c r="AR703" s="409"/>
      <c r="AS703" s="409"/>
    </row>
    <row r="704" spans="2:45" x14ac:dyDescent="0.3">
      <c r="B704" s="63" t="s">
        <v>198</v>
      </c>
      <c r="C704" s="64"/>
      <c r="D704" s="31">
        <f t="shared" ref="D704:W704" si="636">+D699-D$697</f>
        <v>40.058999999999969</v>
      </c>
      <c r="E704" s="32">
        <f t="shared" si="636"/>
        <v>40.229000000000042</v>
      </c>
      <c r="F704" s="32">
        <f t="shared" si="636"/>
        <v>40.996499999999969</v>
      </c>
      <c r="G704" s="32">
        <f t="shared" si="636"/>
        <v>40.45900000000006</v>
      </c>
      <c r="H704" s="32">
        <f t="shared" si="636"/>
        <v>40.88900000000001</v>
      </c>
      <c r="I704" s="32">
        <f t="shared" si="636"/>
        <v>40.724000000000046</v>
      </c>
      <c r="J704" s="32">
        <f t="shared" si="636"/>
        <v>40.359000000000037</v>
      </c>
      <c r="K704" s="32">
        <f t="shared" si="636"/>
        <v>40.744000000000028</v>
      </c>
      <c r="L704" s="32">
        <f t="shared" si="636"/>
        <v>40.394000000000005</v>
      </c>
      <c r="M704" s="32">
        <f t="shared" si="636"/>
        <v>40.109000000000037</v>
      </c>
      <c r="N704" s="32">
        <f t="shared" si="636"/>
        <v>40.854000000000042</v>
      </c>
      <c r="O704" s="32">
        <f t="shared" si="636"/>
        <v>40.931500000000028</v>
      </c>
      <c r="P704" s="32">
        <f t="shared" si="636"/>
        <v>40.109000000000037</v>
      </c>
      <c r="Q704" s="32">
        <f t="shared" si="636"/>
        <v>40.109000000000037</v>
      </c>
      <c r="R704" s="32">
        <f t="shared" si="636"/>
        <v>40.75649999999996</v>
      </c>
      <c r="S704" s="32">
        <f t="shared" si="636"/>
        <v>40.788999999999987</v>
      </c>
      <c r="T704" s="32">
        <f t="shared" si="636"/>
        <v>40.606699999999933</v>
      </c>
      <c r="U704" s="32">
        <f t="shared" si="636"/>
        <v>40.154199999999946</v>
      </c>
      <c r="V704" s="32">
        <f t="shared" si="636"/>
        <v>40.606699999999933</v>
      </c>
      <c r="W704" s="32">
        <f t="shared" si="636"/>
        <v>40.109000000000037</v>
      </c>
      <c r="Y704" s="390"/>
      <c r="Z704" s="390"/>
      <c r="AA704" s="390"/>
      <c r="AB704" s="390"/>
      <c r="AC704" s="390"/>
      <c r="AD704" s="390"/>
      <c r="AE704" s="390"/>
      <c r="AF704" s="390"/>
      <c r="AG704" s="390"/>
      <c r="AH704" s="390"/>
      <c r="AI704" s="390"/>
      <c r="AJ704" s="390"/>
      <c r="AK704" s="390"/>
      <c r="AL704" s="390"/>
      <c r="AM704" s="390"/>
      <c r="AN704" s="390"/>
      <c r="AO704" s="390"/>
      <c r="AP704" s="390"/>
      <c r="AQ704" s="390"/>
      <c r="AR704" s="390"/>
      <c r="AS704" s="390"/>
    </row>
    <row r="705" spans="1:45" x14ac:dyDescent="0.3">
      <c r="B705" s="63" t="s">
        <v>199</v>
      </c>
      <c r="C705" s="64"/>
      <c r="D705" s="31">
        <f t="shared" ref="D705:W705" si="637">+D700-D$697</f>
        <v>50.058999999999969</v>
      </c>
      <c r="E705" s="32">
        <f t="shared" si="637"/>
        <v>50.229000000000042</v>
      </c>
      <c r="F705" s="32">
        <f t="shared" si="637"/>
        <v>50.996499999999969</v>
      </c>
      <c r="G705" s="32">
        <f t="shared" si="637"/>
        <v>50.45900000000006</v>
      </c>
      <c r="H705" s="32">
        <f t="shared" si="637"/>
        <v>50.88900000000001</v>
      </c>
      <c r="I705" s="32">
        <f t="shared" si="637"/>
        <v>50.724000000000046</v>
      </c>
      <c r="J705" s="32">
        <f t="shared" si="637"/>
        <v>50.359000000000037</v>
      </c>
      <c r="K705" s="32">
        <f t="shared" si="637"/>
        <v>50.744000000000028</v>
      </c>
      <c r="L705" s="32">
        <f t="shared" si="637"/>
        <v>50.394000000000005</v>
      </c>
      <c r="M705" s="32">
        <f t="shared" si="637"/>
        <v>50.109000000000037</v>
      </c>
      <c r="N705" s="32">
        <f t="shared" si="637"/>
        <v>50.854000000000042</v>
      </c>
      <c r="O705" s="32">
        <f t="shared" si="637"/>
        <v>50.931500000000028</v>
      </c>
      <c r="P705" s="32">
        <f t="shared" si="637"/>
        <v>50.109000000000037</v>
      </c>
      <c r="Q705" s="32">
        <f t="shared" si="637"/>
        <v>50.109000000000037</v>
      </c>
      <c r="R705" s="32">
        <f t="shared" si="637"/>
        <v>50.75649999999996</v>
      </c>
      <c r="S705" s="32">
        <f t="shared" si="637"/>
        <v>50.788999999999987</v>
      </c>
      <c r="T705" s="32">
        <f t="shared" si="637"/>
        <v>50.606699999999933</v>
      </c>
      <c r="U705" s="32">
        <f t="shared" si="637"/>
        <v>50.154199999999946</v>
      </c>
      <c r="V705" s="32">
        <f t="shared" si="637"/>
        <v>50.606699999999933</v>
      </c>
      <c r="W705" s="32">
        <f t="shared" si="637"/>
        <v>50.109000000000037</v>
      </c>
      <c r="Y705" s="390"/>
      <c r="Z705" s="390"/>
      <c r="AA705" s="390"/>
      <c r="AB705" s="390"/>
      <c r="AC705" s="390"/>
      <c r="AD705" s="390"/>
      <c r="AE705" s="390"/>
      <c r="AF705" s="390"/>
      <c r="AG705" s="390"/>
      <c r="AH705" s="390"/>
      <c r="AI705" s="390"/>
      <c r="AJ705" s="390"/>
      <c r="AK705" s="390"/>
      <c r="AL705" s="390"/>
      <c r="AM705" s="390"/>
      <c r="AN705" s="390"/>
      <c r="AO705" s="390"/>
      <c r="AP705" s="390"/>
      <c r="AQ705" s="390"/>
      <c r="AR705" s="390"/>
      <c r="AS705" s="390"/>
    </row>
    <row r="706" spans="1:45" x14ac:dyDescent="0.3">
      <c r="B706" s="63" t="s">
        <v>200</v>
      </c>
      <c r="C706" s="64"/>
      <c r="D706" s="31">
        <f t="shared" ref="D706:W706" si="638">+D701-D$697</f>
        <v>70.058999999999969</v>
      </c>
      <c r="E706" s="32">
        <f t="shared" si="638"/>
        <v>70.229000000000042</v>
      </c>
      <c r="F706" s="32">
        <f t="shared" si="638"/>
        <v>70.996499999999969</v>
      </c>
      <c r="G706" s="32">
        <f t="shared" si="638"/>
        <v>70.45900000000006</v>
      </c>
      <c r="H706" s="32">
        <f t="shared" si="638"/>
        <v>70.88900000000001</v>
      </c>
      <c r="I706" s="32">
        <f t="shared" si="638"/>
        <v>70.724000000000046</v>
      </c>
      <c r="J706" s="32">
        <f t="shared" si="638"/>
        <v>70.359000000000037</v>
      </c>
      <c r="K706" s="32">
        <f t="shared" si="638"/>
        <v>70.744000000000028</v>
      </c>
      <c r="L706" s="32">
        <f t="shared" si="638"/>
        <v>70.394000000000005</v>
      </c>
      <c r="M706" s="32">
        <f t="shared" si="638"/>
        <v>70.109000000000037</v>
      </c>
      <c r="N706" s="32">
        <f t="shared" si="638"/>
        <v>70.854000000000042</v>
      </c>
      <c r="O706" s="32">
        <f t="shared" si="638"/>
        <v>70.931500000000028</v>
      </c>
      <c r="P706" s="32">
        <f t="shared" si="638"/>
        <v>70.109000000000037</v>
      </c>
      <c r="Q706" s="32">
        <f t="shared" si="638"/>
        <v>70.109000000000037</v>
      </c>
      <c r="R706" s="32">
        <f t="shared" si="638"/>
        <v>70.75649999999996</v>
      </c>
      <c r="S706" s="32">
        <f t="shared" si="638"/>
        <v>70.788999999999987</v>
      </c>
      <c r="T706" s="32">
        <f t="shared" si="638"/>
        <v>70.606699999999933</v>
      </c>
      <c r="U706" s="32">
        <f t="shared" si="638"/>
        <v>70.154199999999946</v>
      </c>
      <c r="V706" s="32">
        <f t="shared" si="638"/>
        <v>70.606699999999933</v>
      </c>
      <c r="W706" s="32">
        <f t="shared" si="638"/>
        <v>70.109000000000037</v>
      </c>
      <c r="Y706" s="390"/>
      <c r="Z706" s="390"/>
      <c r="AA706" s="390"/>
      <c r="AB706" s="390"/>
      <c r="AC706" s="390"/>
      <c r="AD706" s="390"/>
      <c r="AE706" s="390"/>
      <c r="AF706" s="390"/>
      <c r="AG706" s="390"/>
      <c r="AH706" s="390"/>
      <c r="AI706" s="390"/>
      <c r="AJ706" s="390"/>
      <c r="AK706" s="390"/>
      <c r="AL706" s="390"/>
      <c r="AM706" s="390"/>
      <c r="AN706" s="390"/>
      <c r="AO706" s="390"/>
      <c r="AP706" s="390"/>
      <c r="AQ706" s="390"/>
      <c r="AR706" s="390"/>
      <c r="AS706" s="390"/>
    </row>
    <row r="707" spans="1:45" x14ac:dyDescent="0.3">
      <c r="B707" s="63" t="s">
        <v>201</v>
      </c>
      <c r="C707" s="64"/>
      <c r="D707" s="31">
        <f t="shared" ref="D707:W707" si="639">+D702-D$697</f>
        <v>80.058999999999969</v>
      </c>
      <c r="E707" s="34">
        <f t="shared" si="639"/>
        <v>80.229000000000042</v>
      </c>
      <c r="F707" s="34">
        <f t="shared" si="639"/>
        <v>80.996499999999969</v>
      </c>
      <c r="G707" s="34">
        <f t="shared" si="639"/>
        <v>80.45900000000006</v>
      </c>
      <c r="H707" s="34">
        <f t="shared" si="639"/>
        <v>80.88900000000001</v>
      </c>
      <c r="I707" s="34">
        <f t="shared" si="639"/>
        <v>80.724000000000046</v>
      </c>
      <c r="J707" s="34">
        <f t="shared" si="639"/>
        <v>80.359000000000037</v>
      </c>
      <c r="K707" s="34">
        <f t="shared" si="639"/>
        <v>80.744000000000028</v>
      </c>
      <c r="L707" s="34">
        <f t="shared" si="639"/>
        <v>80.394000000000005</v>
      </c>
      <c r="M707" s="34">
        <f t="shared" si="639"/>
        <v>80.109000000000037</v>
      </c>
      <c r="N707" s="34">
        <f t="shared" si="639"/>
        <v>80.854000000000042</v>
      </c>
      <c r="O707" s="34">
        <f t="shared" si="639"/>
        <v>80.931500000000028</v>
      </c>
      <c r="P707" s="34">
        <f t="shared" si="639"/>
        <v>80.109000000000037</v>
      </c>
      <c r="Q707" s="34">
        <f t="shared" si="639"/>
        <v>80.109000000000037</v>
      </c>
      <c r="R707" s="34">
        <f t="shared" si="639"/>
        <v>80.75649999999996</v>
      </c>
      <c r="S707" s="34">
        <f t="shared" si="639"/>
        <v>80.788999999999987</v>
      </c>
      <c r="T707" s="34">
        <f t="shared" si="639"/>
        <v>80.606699999999933</v>
      </c>
      <c r="U707" s="34">
        <f t="shared" si="639"/>
        <v>80.154199999999946</v>
      </c>
      <c r="V707" s="34">
        <f t="shared" si="639"/>
        <v>80.606699999999933</v>
      </c>
      <c r="W707" s="34">
        <f t="shared" si="639"/>
        <v>80.109000000000037</v>
      </c>
      <c r="Y707" s="390"/>
      <c r="Z707" s="390"/>
      <c r="AA707" s="390"/>
      <c r="AB707" s="390"/>
      <c r="AC707" s="390"/>
      <c r="AD707" s="390"/>
      <c r="AE707" s="390"/>
      <c r="AF707" s="390"/>
      <c r="AG707" s="390"/>
      <c r="AH707" s="390"/>
      <c r="AI707" s="390"/>
      <c r="AJ707" s="390"/>
      <c r="AK707" s="390"/>
      <c r="AL707" s="390"/>
      <c r="AM707" s="390"/>
      <c r="AN707" s="390"/>
      <c r="AO707" s="390"/>
      <c r="AP707" s="390"/>
      <c r="AQ707" s="390"/>
      <c r="AR707" s="390"/>
      <c r="AS707" s="390"/>
    </row>
    <row r="708" spans="1:45" x14ac:dyDescent="0.3">
      <c r="B708" s="65" t="s">
        <v>108</v>
      </c>
      <c r="C708" s="55"/>
      <c r="D708" s="43">
        <v>0</v>
      </c>
      <c r="E708" s="408">
        <v>0</v>
      </c>
      <c r="F708" s="408">
        <v>0</v>
      </c>
      <c r="G708" s="408">
        <v>0</v>
      </c>
      <c r="H708" s="408">
        <v>0</v>
      </c>
      <c r="I708" s="408">
        <v>0</v>
      </c>
      <c r="J708" s="408">
        <v>0</v>
      </c>
      <c r="K708" s="408">
        <v>0</v>
      </c>
      <c r="L708" s="408">
        <v>0</v>
      </c>
      <c r="M708" s="408">
        <v>0</v>
      </c>
      <c r="N708" s="408">
        <v>0</v>
      </c>
      <c r="O708" s="408">
        <v>0</v>
      </c>
      <c r="P708" s="408">
        <v>0</v>
      </c>
      <c r="Q708" s="408">
        <v>0</v>
      </c>
      <c r="R708" s="408">
        <v>0</v>
      </c>
      <c r="S708" s="408">
        <v>0</v>
      </c>
      <c r="T708" s="408">
        <v>0</v>
      </c>
      <c r="U708" s="408">
        <v>0</v>
      </c>
      <c r="V708" s="408">
        <v>0</v>
      </c>
      <c r="W708" s="408">
        <v>0</v>
      </c>
      <c r="Y708" s="409"/>
      <c r="Z708" s="409"/>
      <c r="AA708" s="409"/>
      <c r="AB708" s="409"/>
      <c r="AC708" s="409"/>
      <c r="AD708" s="409"/>
      <c r="AE708" s="409"/>
      <c r="AF708" s="409"/>
      <c r="AG708" s="409"/>
      <c r="AH708" s="409"/>
      <c r="AI708" s="409"/>
      <c r="AJ708" s="409"/>
      <c r="AK708" s="409"/>
      <c r="AL708" s="409"/>
      <c r="AM708" s="409"/>
      <c r="AN708" s="409"/>
      <c r="AO708" s="409"/>
      <c r="AP708" s="409"/>
      <c r="AQ708" s="409"/>
      <c r="AR708" s="409"/>
      <c r="AS708" s="409"/>
    </row>
    <row r="709" spans="1:45" x14ac:dyDescent="0.3">
      <c r="B709" s="65" t="s">
        <v>202</v>
      </c>
      <c r="C709" s="66"/>
      <c r="D709" s="35">
        <f>+D704/D$699</f>
        <v>5.0900889453621305E-2</v>
      </c>
      <c r="E709" s="35">
        <f t="shared" ref="E709:W709" si="640">+E704/E$697</f>
        <v>5.1131777861665013E-2</v>
      </c>
      <c r="F709" s="35">
        <f t="shared" si="640"/>
        <v>5.1181424300892529E-2</v>
      </c>
      <c r="G709" s="35">
        <f t="shared" si="640"/>
        <v>5.2371330453658854E-2</v>
      </c>
      <c r="H709" s="35">
        <f t="shared" si="640"/>
        <v>5.4802837647481423E-2</v>
      </c>
      <c r="I709" s="35">
        <f t="shared" si="640"/>
        <v>5.3848066049960661E-2</v>
      </c>
      <c r="J709" s="35">
        <f t="shared" si="640"/>
        <v>5.1832616057977988E-2</v>
      </c>
      <c r="K709" s="35">
        <f t="shared" si="640"/>
        <v>5.3103527375478368E-2</v>
      </c>
      <c r="L709" s="35">
        <f t="shared" si="640"/>
        <v>5.2013504917551509E-2</v>
      </c>
      <c r="M709" s="35">
        <f t="shared" si="640"/>
        <v>5.384546195349392E-2</v>
      </c>
      <c r="N709" s="35">
        <f t="shared" si="640"/>
        <v>5.4606988475511521E-2</v>
      </c>
      <c r="O709" s="35">
        <f t="shared" si="640"/>
        <v>5.1676717354622773E-2</v>
      </c>
      <c r="P709" s="35">
        <f t="shared" si="640"/>
        <v>5.384546195349392E-2</v>
      </c>
      <c r="Q709" s="35">
        <f t="shared" si="640"/>
        <v>5.384546195349392E-2</v>
      </c>
      <c r="R709" s="35">
        <f t="shared" si="640"/>
        <v>5.4036262824936454E-2</v>
      </c>
      <c r="S709" s="35">
        <f t="shared" si="640"/>
        <v>5.4225476628233286E-2</v>
      </c>
      <c r="T709" s="35">
        <f t="shared" si="640"/>
        <v>5.2915108849660178E-2</v>
      </c>
      <c r="U709" s="35">
        <f t="shared" si="640"/>
        <v>4.7584760154047036E-2</v>
      </c>
      <c r="V709" s="35">
        <f t="shared" si="640"/>
        <v>5.2915108849660178E-2</v>
      </c>
      <c r="W709" s="35">
        <f t="shared" si="640"/>
        <v>5.384546195349392E-2</v>
      </c>
      <c r="Y709" s="390"/>
      <c r="Z709" s="390"/>
      <c r="AA709" s="390"/>
      <c r="AB709" s="390"/>
      <c r="AC709" s="390"/>
      <c r="AD709" s="390"/>
      <c r="AE709" s="390"/>
      <c r="AF709" s="390"/>
      <c r="AG709" s="390"/>
      <c r="AH709" s="390"/>
      <c r="AI709" s="390"/>
      <c r="AJ709" s="390"/>
      <c r="AK709" s="390"/>
      <c r="AL709" s="390"/>
      <c r="AM709" s="390"/>
      <c r="AN709" s="390"/>
      <c r="AO709" s="390"/>
      <c r="AP709" s="390"/>
      <c r="AQ709" s="390"/>
      <c r="AR709" s="390"/>
      <c r="AS709" s="390"/>
    </row>
    <row r="710" spans="1:45" x14ac:dyDescent="0.3">
      <c r="B710" s="65" t="s">
        <v>203</v>
      </c>
      <c r="C710" s="66"/>
      <c r="D710" s="35">
        <f>+D705/D$700</f>
        <v>6.2809284818067718E-2</v>
      </c>
      <c r="E710" s="35">
        <f t="shared" ref="E710:W710" si="641">+E705/E$697</f>
        <v>6.3841956554067256E-2</v>
      </c>
      <c r="F710" s="35">
        <f t="shared" si="641"/>
        <v>6.3665764256960133E-2</v>
      </c>
      <c r="G710" s="35">
        <f t="shared" si="641"/>
        <v>6.5315627261206932E-2</v>
      </c>
      <c r="H710" s="35">
        <f t="shared" si="641"/>
        <v>6.8205669129660348E-2</v>
      </c>
      <c r="I710" s="35">
        <f t="shared" si="641"/>
        <v>6.7070751947701693E-2</v>
      </c>
      <c r="J710" s="35">
        <f t="shared" si="641"/>
        <v>6.4675505142934991E-2</v>
      </c>
      <c r="K710" s="35">
        <f t="shared" si="641"/>
        <v>6.613698687269963E-2</v>
      </c>
      <c r="L710" s="35">
        <f t="shared" si="641"/>
        <v>6.4890047205404033E-2</v>
      </c>
      <c r="M710" s="35">
        <f t="shared" si="641"/>
        <v>6.7270244908315499E-2</v>
      </c>
      <c r="N710" s="35">
        <f t="shared" si="641"/>
        <v>6.7973363487875416E-2</v>
      </c>
      <c r="O710" s="35">
        <f t="shared" si="641"/>
        <v>6.4301888031148863E-2</v>
      </c>
      <c r="P710" s="35">
        <f t="shared" si="641"/>
        <v>6.7270244908315499E-2</v>
      </c>
      <c r="Q710" s="35">
        <f t="shared" si="641"/>
        <v>6.7270244908315499E-2</v>
      </c>
      <c r="R710" s="35">
        <f t="shared" si="641"/>
        <v>6.7294580596319306E-2</v>
      </c>
      <c r="S710" s="35">
        <f t="shared" si="641"/>
        <v>6.7519618830354761E-2</v>
      </c>
      <c r="T710" s="35">
        <f t="shared" si="641"/>
        <v>6.5946236434433203E-2</v>
      </c>
      <c r="U710" s="35">
        <f t="shared" si="641"/>
        <v>5.9435266490631279E-2</v>
      </c>
      <c r="V710" s="35">
        <f t="shared" si="641"/>
        <v>6.5946236434433203E-2</v>
      </c>
      <c r="W710" s="35">
        <f t="shared" si="641"/>
        <v>6.7270244908315499E-2</v>
      </c>
      <c r="Y710" s="390"/>
      <c r="Z710" s="390"/>
      <c r="AA710" s="390"/>
      <c r="AB710" s="390"/>
      <c r="AC710" s="390"/>
      <c r="AD710" s="390"/>
      <c r="AE710" s="390"/>
      <c r="AF710" s="390"/>
      <c r="AG710" s="390"/>
      <c r="AH710" s="390"/>
      <c r="AI710" s="390"/>
      <c r="AJ710" s="390"/>
      <c r="AK710" s="390"/>
      <c r="AL710" s="390"/>
      <c r="AM710" s="390"/>
      <c r="AN710" s="390"/>
      <c r="AO710" s="390"/>
      <c r="AP710" s="390"/>
      <c r="AQ710" s="390"/>
      <c r="AR710" s="390"/>
      <c r="AS710" s="390"/>
    </row>
    <row r="711" spans="1:45" x14ac:dyDescent="0.3">
      <c r="B711" s="65" t="s">
        <v>204</v>
      </c>
      <c r="C711" s="66"/>
      <c r="D711" s="35">
        <f>+D706/D$701</f>
        <v>8.5751529987760061E-2</v>
      </c>
      <c r="E711" s="35">
        <f t="shared" ref="E711:W711" si="642">+E706/E$697</f>
        <v>8.9262313938871726E-2</v>
      </c>
      <c r="F711" s="35">
        <f t="shared" si="642"/>
        <v>8.8634444169095356E-2</v>
      </c>
      <c r="G711" s="35">
        <f t="shared" si="642"/>
        <v>9.1204220876303088E-2</v>
      </c>
      <c r="H711" s="35">
        <f t="shared" si="642"/>
        <v>9.50113320940182E-2</v>
      </c>
      <c r="I711" s="35">
        <f t="shared" si="642"/>
        <v>9.3516123743183771E-2</v>
      </c>
      <c r="J711" s="35">
        <f t="shared" si="642"/>
        <v>9.0361283312848983E-2</v>
      </c>
      <c r="K711" s="35">
        <f t="shared" si="642"/>
        <v>9.2203905867142166E-2</v>
      </c>
      <c r="L711" s="35">
        <f t="shared" si="642"/>
        <v>9.0643131781109096E-2</v>
      </c>
      <c r="M711" s="35">
        <f t="shared" si="642"/>
        <v>9.4119810817958657E-2</v>
      </c>
      <c r="N711" s="35">
        <f t="shared" si="642"/>
        <v>9.4706113512603218E-2</v>
      </c>
      <c r="O711" s="35">
        <f t="shared" si="642"/>
        <v>8.9552229384201029E-2</v>
      </c>
      <c r="P711" s="35">
        <f t="shared" si="642"/>
        <v>9.4119810817958657E-2</v>
      </c>
      <c r="Q711" s="35">
        <f t="shared" si="642"/>
        <v>9.4119810817958657E-2</v>
      </c>
      <c r="R711" s="35">
        <f t="shared" si="642"/>
        <v>9.3811216139084996E-2</v>
      </c>
      <c r="S711" s="35">
        <f t="shared" si="642"/>
        <v>9.4107903234597723E-2</v>
      </c>
      <c r="T711" s="35">
        <f t="shared" si="642"/>
        <v>9.2008491603979239E-2</v>
      </c>
      <c r="U711" s="35">
        <f t="shared" si="642"/>
        <v>8.3136279163799759E-2</v>
      </c>
      <c r="V711" s="35">
        <f t="shared" si="642"/>
        <v>9.2008491603979239E-2</v>
      </c>
      <c r="W711" s="35">
        <f t="shared" si="642"/>
        <v>9.4119810817958657E-2</v>
      </c>
      <c r="Y711" s="390"/>
      <c r="Z711" s="390"/>
      <c r="AA711" s="390"/>
      <c r="AB711" s="390"/>
      <c r="AC711" s="390"/>
      <c r="AD711" s="390"/>
      <c r="AE711" s="390"/>
      <c r="AF711" s="390"/>
      <c r="AG711" s="390"/>
      <c r="AH711" s="390"/>
      <c r="AI711" s="390"/>
      <c r="AJ711" s="390"/>
      <c r="AK711" s="390"/>
      <c r="AL711" s="390"/>
      <c r="AM711" s="390"/>
      <c r="AN711" s="390"/>
      <c r="AO711" s="390"/>
      <c r="AP711" s="390"/>
      <c r="AQ711" s="390"/>
      <c r="AR711" s="390"/>
      <c r="AS711" s="390"/>
    </row>
    <row r="712" spans="1:45" x14ac:dyDescent="0.3">
      <c r="B712" s="65" t="s">
        <v>205</v>
      </c>
      <c r="C712" s="66"/>
      <c r="D712" s="35">
        <f>+D707/D$702</f>
        <v>9.6806529625151114E-2</v>
      </c>
      <c r="E712" s="35">
        <f t="shared" ref="E712:W712" si="643">+E707/E$697</f>
        <v>0.10197249263127396</v>
      </c>
      <c r="F712" s="35">
        <f t="shared" si="643"/>
        <v>0.10111878412516295</v>
      </c>
      <c r="G712" s="35">
        <f t="shared" si="643"/>
        <v>0.10414851768385117</v>
      </c>
      <c r="H712" s="35">
        <f t="shared" si="643"/>
        <v>0.10841416357619713</v>
      </c>
      <c r="I712" s="35">
        <f t="shared" si="643"/>
        <v>0.1067388096409248</v>
      </c>
      <c r="J712" s="35">
        <f t="shared" si="643"/>
        <v>0.10320417239780598</v>
      </c>
      <c r="K712" s="35">
        <f t="shared" si="643"/>
        <v>0.10523736536436343</v>
      </c>
      <c r="L712" s="35">
        <f t="shared" si="643"/>
        <v>0.10351967406896162</v>
      </c>
      <c r="M712" s="35">
        <f t="shared" si="643"/>
        <v>0.10754459377278024</v>
      </c>
      <c r="N712" s="35">
        <f t="shared" si="643"/>
        <v>0.10807248852496712</v>
      </c>
      <c r="O712" s="35">
        <f t="shared" si="643"/>
        <v>0.10217740006072711</v>
      </c>
      <c r="P712" s="35">
        <f t="shared" si="643"/>
        <v>0.10754459377278024</v>
      </c>
      <c r="Q712" s="35">
        <f t="shared" si="643"/>
        <v>0.10754459377278024</v>
      </c>
      <c r="R712" s="35">
        <f t="shared" si="643"/>
        <v>0.10706953391046785</v>
      </c>
      <c r="S712" s="35">
        <f t="shared" si="643"/>
        <v>0.1074020454367192</v>
      </c>
      <c r="T712" s="35">
        <f t="shared" si="643"/>
        <v>0.10503961918875226</v>
      </c>
      <c r="U712" s="35">
        <f t="shared" si="643"/>
        <v>9.4986785500384002E-2</v>
      </c>
      <c r="V712" s="35">
        <f t="shared" si="643"/>
        <v>0.10503961918875226</v>
      </c>
      <c r="W712" s="35">
        <f t="shared" si="643"/>
        <v>0.10754459377278024</v>
      </c>
      <c r="Y712" s="390"/>
      <c r="Z712" s="390"/>
      <c r="AA712" s="390"/>
      <c r="AB712" s="390"/>
      <c r="AC712" s="390"/>
      <c r="AD712" s="390"/>
      <c r="AE712" s="390"/>
      <c r="AF712" s="390"/>
      <c r="AG712" s="390"/>
      <c r="AH712" s="390"/>
      <c r="AI712" s="390"/>
      <c r="AJ712" s="390"/>
      <c r="AK712" s="390"/>
      <c r="AL712" s="390"/>
      <c r="AM712" s="390"/>
      <c r="AN712" s="390"/>
      <c r="AO712" s="390"/>
      <c r="AP712" s="390"/>
      <c r="AQ712" s="390"/>
      <c r="AR712" s="390"/>
      <c r="AS712" s="390"/>
    </row>
    <row r="713" spans="1:45" ht="21" thickBot="1" x14ac:dyDescent="0.35">
      <c r="Y713" s="390"/>
      <c r="Z713" s="390"/>
      <c r="AA713" s="390"/>
      <c r="AB713" s="390"/>
      <c r="AC713" s="390"/>
      <c r="AD713" s="390"/>
      <c r="AE713" s="390"/>
      <c r="AF713" s="390"/>
      <c r="AG713" s="390"/>
      <c r="AH713" s="390"/>
      <c r="AI713" s="390"/>
      <c r="AJ713" s="390"/>
      <c r="AK713" s="390"/>
      <c r="AL713" s="390"/>
      <c r="AM713" s="390"/>
      <c r="AN713" s="390"/>
      <c r="AO713" s="390"/>
      <c r="AP713" s="390"/>
      <c r="AQ713" s="390"/>
      <c r="AR713" s="390"/>
      <c r="AS713" s="390"/>
    </row>
    <row r="714" spans="1:45" ht="21" thickBot="1" x14ac:dyDescent="0.35">
      <c r="A714" s="15" t="s">
        <v>335</v>
      </c>
      <c r="B714" s="74" t="s">
        <v>229</v>
      </c>
      <c r="C714" s="68"/>
      <c r="D714" s="17" t="s">
        <v>5</v>
      </c>
      <c r="E714" s="18" t="s">
        <v>6</v>
      </c>
      <c r="F714" s="18" t="s">
        <v>7</v>
      </c>
      <c r="G714" s="18" t="s">
        <v>8</v>
      </c>
      <c r="H714" s="18" t="s">
        <v>9</v>
      </c>
      <c r="I714" s="18" t="s">
        <v>10</v>
      </c>
      <c r="J714" s="18" t="s">
        <v>11</v>
      </c>
      <c r="K714" s="18" t="s">
        <v>12</v>
      </c>
      <c r="L714" s="18" t="s">
        <v>13</v>
      </c>
      <c r="M714" s="18" t="s">
        <v>14</v>
      </c>
      <c r="N714" s="18" t="s">
        <v>15</v>
      </c>
      <c r="O714" s="18" t="s">
        <v>16</v>
      </c>
      <c r="P714" s="18" t="s">
        <v>17</v>
      </c>
      <c r="Q714" s="18" t="s">
        <v>18</v>
      </c>
      <c r="R714" s="18" t="s">
        <v>19</v>
      </c>
      <c r="S714" s="18" t="s">
        <v>20</v>
      </c>
      <c r="T714" s="18" t="s">
        <v>21</v>
      </c>
      <c r="U714" s="18" t="s">
        <v>22</v>
      </c>
      <c r="V714" s="18" t="s">
        <v>23</v>
      </c>
      <c r="W714" s="18" t="s">
        <v>166</v>
      </c>
      <c r="Y714" s="390"/>
      <c r="Z714" s="390"/>
      <c r="AA714" s="390"/>
      <c r="AB714" s="390"/>
      <c r="AC714" s="390"/>
      <c r="AD714" s="390"/>
      <c r="AE714" s="390"/>
      <c r="AF714" s="390"/>
      <c r="AG714" s="390"/>
      <c r="AH714" s="390"/>
      <c r="AI714" s="390"/>
      <c r="AJ714" s="390"/>
      <c r="AK714" s="390"/>
      <c r="AL714" s="390"/>
      <c r="AM714" s="390"/>
      <c r="AN714" s="390"/>
      <c r="AO714" s="390"/>
      <c r="AP714" s="390"/>
      <c r="AQ714" s="390"/>
      <c r="AR714" s="390"/>
      <c r="AS714" s="390"/>
    </row>
    <row r="715" spans="1:45" x14ac:dyDescent="0.3">
      <c r="B715" s="69" t="s">
        <v>50</v>
      </c>
      <c r="C715" s="70"/>
      <c r="D715" s="20">
        <v>980</v>
      </c>
      <c r="E715" s="20">
        <v>980</v>
      </c>
      <c r="F715" s="20">
        <v>980</v>
      </c>
      <c r="G715" s="20">
        <v>980</v>
      </c>
      <c r="H715" s="20">
        <v>980</v>
      </c>
      <c r="I715" s="20">
        <v>980</v>
      </c>
      <c r="J715" s="20">
        <v>980</v>
      </c>
      <c r="K715" s="20">
        <v>980</v>
      </c>
      <c r="L715" s="20">
        <v>980</v>
      </c>
      <c r="M715" s="20">
        <v>980</v>
      </c>
      <c r="N715" s="20">
        <v>980</v>
      </c>
      <c r="O715" s="20">
        <v>980</v>
      </c>
      <c r="P715" s="20">
        <v>980</v>
      </c>
      <c r="Q715" s="20">
        <v>980</v>
      </c>
      <c r="R715" s="20">
        <v>980</v>
      </c>
      <c r="S715" s="20">
        <v>980</v>
      </c>
      <c r="T715" s="20"/>
      <c r="U715" s="20"/>
      <c r="V715" s="20"/>
      <c r="W715" s="20">
        <v>980</v>
      </c>
      <c r="Y715" s="390"/>
      <c r="Z715" s="390"/>
      <c r="AA715" s="390"/>
      <c r="AB715" s="390"/>
      <c r="AC715" s="390"/>
      <c r="AD715" s="390"/>
      <c r="AE715" s="390"/>
      <c r="AF715" s="390"/>
      <c r="AG715" s="390"/>
      <c r="AH715" s="390"/>
      <c r="AI715" s="390"/>
      <c r="AJ715" s="390"/>
      <c r="AK715" s="390"/>
      <c r="AL715" s="390"/>
      <c r="AM715" s="390"/>
      <c r="AN715" s="390"/>
      <c r="AO715" s="390"/>
      <c r="AP715" s="390"/>
      <c r="AQ715" s="390"/>
      <c r="AR715" s="390"/>
      <c r="AS715" s="390"/>
    </row>
    <row r="716" spans="1:45" x14ac:dyDescent="0.3">
      <c r="B716" s="54" t="s">
        <v>51</v>
      </c>
      <c r="C716" s="55"/>
      <c r="D716" s="322">
        <v>0.24</v>
      </c>
      <c r="E716" s="322">
        <f>D716</f>
        <v>0.24</v>
      </c>
      <c r="F716" s="322">
        <f>D716</f>
        <v>0.24</v>
      </c>
      <c r="G716" s="322">
        <f>D716</f>
        <v>0.24</v>
      </c>
      <c r="H716" s="322">
        <f>D716</f>
        <v>0.24</v>
      </c>
      <c r="I716" s="322">
        <f>D716</f>
        <v>0.24</v>
      </c>
      <c r="J716" s="322">
        <f>D716</f>
        <v>0.24</v>
      </c>
      <c r="K716" s="322">
        <f>D716</f>
        <v>0.24</v>
      </c>
      <c r="L716" s="322">
        <f>D716</f>
        <v>0.24</v>
      </c>
      <c r="M716" s="322">
        <f>D716</f>
        <v>0.24</v>
      </c>
      <c r="N716" s="322">
        <f>D716</f>
        <v>0.24</v>
      </c>
      <c r="O716" s="322">
        <f>D716</f>
        <v>0.24</v>
      </c>
      <c r="P716" s="322">
        <f>D716</f>
        <v>0.24</v>
      </c>
      <c r="Q716" s="322">
        <f>D716</f>
        <v>0.24</v>
      </c>
      <c r="R716" s="322">
        <f>D716</f>
        <v>0.24</v>
      </c>
      <c r="S716" s="322">
        <f>D716</f>
        <v>0.24</v>
      </c>
      <c r="T716" s="218"/>
      <c r="U716" s="218"/>
      <c r="V716" s="218"/>
      <c r="W716" s="322">
        <f>J716</f>
        <v>0.24</v>
      </c>
      <c r="Y716" s="390"/>
      <c r="Z716" s="390"/>
      <c r="AA716" s="390"/>
      <c r="AB716" s="390"/>
      <c r="AC716" s="390"/>
      <c r="AD716" s="390"/>
      <c r="AE716" s="390"/>
      <c r="AF716" s="390"/>
      <c r="AG716" s="390"/>
      <c r="AH716" s="390"/>
      <c r="AI716" s="390"/>
      <c r="AJ716" s="390"/>
      <c r="AK716" s="390"/>
      <c r="AL716" s="390"/>
      <c r="AM716" s="390"/>
      <c r="AN716" s="390"/>
      <c r="AO716" s="390"/>
      <c r="AP716" s="390"/>
      <c r="AQ716" s="390"/>
      <c r="AR716" s="390"/>
      <c r="AS716" s="390"/>
    </row>
    <row r="717" spans="1:45" x14ac:dyDescent="0.3">
      <c r="B717" s="54" t="s">
        <v>56</v>
      </c>
      <c r="C717" s="55"/>
      <c r="D717" s="21">
        <v>0</v>
      </c>
      <c r="E717" s="21">
        <v>0</v>
      </c>
      <c r="F717" s="21">
        <v>0</v>
      </c>
      <c r="G717" s="21">
        <v>0</v>
      </c>
      <c r="H717" s="21">
        <v>0</v>
      </c>
      <c r="I717" s="21">
        <v>0</v>
      </c>
      <c r="J717" s="21">
        <v>0</v>
      </c>
      <c r="K717" s="21">
        <v>0</v>
      </c>
      <c r="L717" s="21">
        <v>0</v>
      </c>
      <c r="M717" s="21">
        <v>0</v>
      </c>
      <c r="N717" s="21">
        <v>0</v>
      </c>
      <c r="O717" s="21">
        <v>0</v>
      </c>
      <c r="P717" s="21">
        <v>0</v>
      </c>
      <c r="Q717" s="21">
        <v>0</v>
      </c>
      <c r="R717" s="21">
        <v>0</v>
      </c>
      <c r="S717" s="21">
        <v>0</v>
      </c>
      <c r="T717" s="21"/>
      <c r="U717" s="21"/>
      <c r="V717" s="21"/>
      <c r="W717" s="21">
        <v>0</v>
      </c>
      <c r="Y717" s="390"/>
      <c r="Z717" s="390"/>
      <c r="AA717" s="390"/>
      <c r="AB717" s="390"/>
      <c r="AC717" s="390"/>
      <c r="AD717" s="390"/>
      <c r="AE717" s="390"/>
      <c r="AF717" s="390"/>
      <c r="AG717" s="390"/>
      <c r="AH717" s="390"/>
      <c r="AI717" s="390"/>
      <c r="AJ717" s="390"/>
      <c r="AK717" s="390"/>
      <c r="AL717" s="390"/>
      <c r="AM717" s="390"/>
      <c r="AN717" s="390"/>
      <c r="AO717" s="390"/>
      <c r="AP717" s="390"/>
      <c r="AQ717" s="390"/>
      <c r="AR717" s="390"/>
      <c r="AS717" s="390"/>
    </row>
    <row r="718" spans="1:45" x14ac:dyDescent="0.3">
      <c r="B718" s="177" t="s">
        <v>67</v>
      </c>
      <c r="C718" s="178"/>
      <c r="D718" s="323">
        <f>D715-(D715*D716)</f>
        <v>744.8</v>
      </c>
      <c r="E718" s="323">
        <f t="shared" ref="E718:W718" si="644">E715-(E715*E716)</f>
        <v>744.8</v>
      </c>
      <c r="F718" s="323">
        <f t="shared" si="644"/>
        <v>744.8</v>
      </c>
      <c r="G718" s="323">
        <f t="shared" si="644"/>
        <v>744.8</v>
      </c>
      <c r="H718" s="323">
        <f t="shared" si="644"/>
        <v>744.8</v>
      </c>
      <c r="I718" s="323">
        <f t="shared" si="644"/>
        <v>744.8</v>
      </c>
      <c r="J718" s="323">
        <f t="shared" si="644"/>
        <v>744.8</v>
      </c>
      <c r="K718" s="323">
        <f t="shared" si="644"/>
        <v>744.8</v>
      </c>
      <c r="L718" s="323">
        <f t="shared" si="644"/>
        <v>744.8</v>
      </c>
      <c r="M718" s="323">
        <f t="shared" si="644"/>
        <v>744.8</v>
      </c>
      <c r="N718" s="323">
        <f t="shared" si="644"/>
        <v>744.8</v>
      </c>
      <c r="O718" s="323">
        <f t="shared" si="644"/>
        <v>744.8</v>
      </c>
      <c r="P718" s="323">
        <f t="shared" si="644"/>
        <v>744.8</v>
      </c>
      <c r="Q718" s="323">
        <f t="shared" si="644"/>
        <v>744.8</v>
      </c>
      <c r="R718" s="323">
        <f t="shared" si="644"/>
        <v>744.8</v>
      </c>
      <c r="S718" s="323">
        <f t="shared" si="644"/>
        <v>744.8</v>
      </c>
      <c r="T718" s="323">
        <v>798.62</v>
      </c>
      <c r="U718" s="323">
        <v>798.62</v>
      </c>
      <c r="V718" s="323">
        <v>798.62</v>
      </c>
      <c r="W718" s="323">
        <f t="shared" si="644"/>
        <v>744.8</v>
      </c>
      <c r="Y718" s="390"/>
      <c r="Z718" s="390"/>
      <c r="AA718" s="390"/>
      <c r="AB718" s="390"/>
      <c r="AC718" s="390"/>
      <c r="AD718" s="390"/>
      <c r="AE718" s="390"/>
      <c r="AF718" s="390"/>
      <c r="AG718" s="390"/>
      <c r="AH718" s="390"/>
      <c r="AI718" s="390"/>
      <c r="AJ718" s="390"/>
      <c r="AK718" s="390"/>
      <c r="AL718" s="390"/>
      <c r="AM718" s="390"/>
      <c r="AN718" s="390"/>
      <c r="AO718" s="390"/>
      <c r="AP718" s="390"/>
      <c r="AQ718" s="390"/>
      <c r="AR718" s="390"/>
      <c r="AS718" s="390"/>
    </row>
    <row r="719" spans="1:45" x14ac:dyDescent="0.3">
      <c r="B719" s="54" t="s">
        <v>66</v>
      </c>
      <c r="C719" s="56">
        <v>7.0000000000000007E-2</v>
      </c>
      <c r="D719" s="24">
        <f>D718*$C719</f>
        <v>52.136000000000003</v>
      </c>
      <c r="E719" s="24">
        <f t="shared" ref="E719:V719" si="645">E718*$C719</f>
        <v>52.136000000000003</v>
      </c>
      <c r="F719" s="24">
        <f t="shared" si="645"/>
        <v>52.136000000000003</v>
      </c>
      <c r="G719" s="24">
        <f t="shared" si="645"/>
        <v>52.136000000000003</v>
      </c>
      <c r="H719" s="24">
        <f t="shared" si="645"/>
        <v>52.136000000000003</v>
      </c>
      <c r="I719" s="24">
        <f t="shared" si="645"/>
        <v>52.136000000000003</v>
      </c>
      <c r="J719" s="24">
        <f t="shared" si="645"/>
        <v>52.136000000000003</v>
      </c>
      <c r="K719" s="24">
        <f t="shared" si="645"/>
        <v>52.136000000000003</v>
      </c>
      <c r="L719" s="24">
        <f t="shared" si="645"/>
        <v>52.136000000000003</v>
      </c>
      <c r="M719" s="24">
        <f t="shared" si="645"/>
        <v>52.136000000000003</v>
      </c>
      <c r="N719" s="24">
        <f t="shared" si="645"/>
        <v>52.136000000000003</v>
      </c>
      <c r="O719" s="24">
        <f t="shared" si="645"/>
        <v>52.136000000000003</v>
      </c>
      <c r="P719" s="24">
        <f t="shared" si="645"/>
        <v>52.136000000000003</v>
      </c>
      <c r="Q719" s="24">
        <f t="shared" si="645"/>
        <v>52.136000000000003</v>
      </c>
      <c r="R719" s="24">
        <f t="shared" si="645"/>
        <v>52.136000000000003</v>
      </c>
      <c r="S719" s="24">
        <f t="shared" si="645"/>
        <v>52.136000000000003</v>
      </c>
      <c r="T719" s="24">
        <f t="shared" si="645"/>
        <v>55.903400000000005</v>
      </c>
      <c r="U719" s="24">
        <f t="shared" si="645"/>
        <v>55.903400000000005</v>
      </c>
      <c r="V719" s="24">
        <f t="shared" si="645"/>
        <v>55.903400000000005</v>
      </c>
      <c r="W719" s="24">
        <f>W718*$C719</f>
        <v>52.136000000000003</v>
      </c>
      <c r="Y719" s="390"/>
      <c r="Z719" s="390"/>
      <c r="AA719" s="390"/>
      <c r="AB719" s="390"/>
      <c r="AC719" s="390"/>
      <c r="AD719" s="390"/>
      <c r="AE719" s="390"/>
      <c r="AF719" s="390"/>
      <c r="AG719" s="390"/>
      <c r="AH719" s="390"/>
      <c r="AI719" s="390"/>
      <c r="AJ719" s="390"/>
      <c r="AK719" s="390"/>
      <c r="AL719" s="390"/>
      <c r="AM719" s="390"/>
      <c r="AN719" s="390"/>
      <c r="AO719" s="390"/>
      <c r="AP719" s="390"/>
      <c r="AQ719" s="390"/>
      <c r="AR719" s="390"/>
      <c r="AS719" s="390"/>
    </row>
    <row r="720" spans="1:45" x14ac:dyDescent="0.3">
      <c r="B720" s="54" t="s">
        <v>68</v>
      </c>
      <c r="C720" s="55"/>
      <c r="D720" s="21">
        <f>D718+D719</f>
        <v>796.93599999999992</v>
      </c>
      <c r="E720" s="21">
        <f t="shared" ref="E720:V720" si="646">E718+E719</f>
        <v>796.93599999999992</v>
      </c>
      <c r="F720" s="21">
        <f t="shared" si="646"/>
        <v>796.93599999999992</v>
      </c>
      <c r="G720" s="21">
        <f t="shared" si="646"/>
        <v>796.93599999999992</v>
      </c>
      <c r="H720" s="21">
        <f t="shared" si="646"/>
        <v>796.93599999999992</v>
      </c>
      <c r="I720" s="21">
        <f t="shared" si="646"/>
        <v>796.93599999999992</v>
      </c>
      <c r="J720" s="21">
        <f t="shared" si="646"/>
        <v>796.93599999999992</v>
      </c>
      <c r="K720" s="21">
        <f t="shared" si="646"/>
        <v>796.93599999999992</v>
      </c>
      <c r="L720" s="21">
        <f t="shared" si="646"/>
        <v>796.93599999999992</v>
      </c>
      <c r="M720" s="21">
        <f t="shared" si="646"/>
        <v>796.93599999999992</v>
      </c>
      <c r="N720" s="21">
        <f t="shared" si="646"/>
        <v>796.93599999999992</v>
      </c>
      <c r="O720" s="21">
        <f t="shared" si="646"/>
        <v>796.93599999999992</v>
      </c>
      <c r="P720" s="21">
        <f t="shared" si="646"/>
        <v>796.93599999999992</v>
      </c>
      <c r="Q720" s="21">
        <f t="shared" si="646"/>
        <v>796.93599999999992</v>
      </c>
      <c r="R720" s="21">
        <f t="shared" si="646"/>
        <v>796.93599999999992</v>
      </c>
      <c r="S720" s="21">
        <f t="shared" si="646"/>
        <v>796.93599999999992</v>
      </c>
      <c r="T720" s="21">
        <f t="shared" si="646"/>
        <v>854.52340000000004</v>
      </c>
      <c r="U720" s="21">
        <f t="shared" si="646"/>
        <v>854.52340000000004</v>
      </c>
      <c r="V720" s="21">
        <f t="shared" si="646"/>
        <v>854.52340000000004</v>
      </c>
      <c r="W720" s="21">
        <f>W718+W719</f>
        <v>796.93599999999992</v>
      </c>
      <c r="Y720" s="390"/>
      <c r="Z720" s="390"/>
      <c r="AA720" s="390"/>
      <c r="AB720" s="390"/>
      <c r="AC720" s="390"/>
      <c r="AD720" s="390"/>
      <c r="AE720" s="390"/>
      <c r="AF720" s="390"/>
      <c r="AG720" s="390"/>
      <c r="AH720" s="390"/>
      <c r="AI720" s="390"/>
      <c r="AJ720" s="390"/>
      <c r="AK720" s="390"/>
      <c r="AL720" s="390"/>
      <c r="AM720" s="390"/>
      <c r="AN720" s="390"/>
      <c r="AO720" s="390"/>
      <c r="AP720" s="390"/>
      <c r="AQ720" s="390"/>
      <c r="AR720" s="390"/>
      <c r="AS720" s="390"/>
    </row>
    <row r="721" spans="2:45" x14ac:dyDescent="0.3">
      <c r="B721" s="54" t="s">
        <v>52</v>
      </c>
      <c r="C721" s="55"/>
      <c r="D721" s="398">
        <f>Y723</f>
        <v>34.805555555555557</v>
      </c>
      <c r="E721" s="398">
        <f t="shared" ref="E721:W721" si="647">Z723</f>
        <v>79.061111111111117</v>
      </c>
      <c r="F721" s="398">
        <f t="shared" si="647"/>
        <v>94.875</v>
      </c>
      <c r="G721" s="398">
        <f t="shared" si="647"/>
        <v>63.25</v>
      </c>
      <c r="H721" s="398">
        <f t="shared" si="647"/>
        <v>33.883333333333333</v>
      </c>
      <c r="I721" s="398">
        <f t="shared" si="647"/>
        <v>45.177777777777777</v>
      </c>
      <c r="J721" s="398">
        <f t="shared" si="647"/>
        <v>70.027777777777771</v>
      </c>
      <c r="K721" s="398">
        <f t="shared" si="647"/>
        <v>57.37777777777778</v>
      </c>
      <c r="L721" s="398">
        <f t="shared" si="647"/>
        <v>67.766666666666666</v>
      </c>
      <c r="M721" s="398">
        <f t="shared" si="647"/>
        <v>32.527777777777779</v>
      </c>
      <c r="N721" s="398">
        <f t="shared" si="647"/>
        <v>36.144444444444446</v>
      </c>
      <c r="O721" s="398">
        <f t="shared" si="647"/>
        <v>84.947222222222223</v>
      </c>
      <c r="P721" s="398">
        <f t="shared" si="647"/>
        <v>32.527777777777779</v>
      </c>
      <c r="Q721" s="398">
        <f t="shared" si="647"/>
        <v>32.527777777777779</v>
      </c>
      <c r="R721" s="398">
        <f t="shared" si="647"/>
        <v>42.919444444444444</v>
      </c>
      <c r="S721" s="398">
        <f t="shared" si="647"/>
        <v>40.661111111111111</v>
      </c>
      <c r="T721" s="398">
        <f t="shared" si="647"/>
        <v>0</v>
      </c>
      <c r="U721" s="398">
        <f t="shared" si="647"/>
        <v>84.947222222222223</v>
      </c>
      <c r="V721" s="398">
        <f t="shared" si="647"/>
        <v>0</v>
      </c>
      <c r="W721" s="398">
        <f t="shared" si="647"/>
        <v>32.527777777777779</v>
      </c>
      <c r="Y721" s="390">
        <v>12530</v>
      </c>
      <c r="Z721" s="390">
        <v>28462</v>
      </c>
      <c r="AA721" s="390">
        <v>34155</v>
      </c>
      <c r="AB721" s="390">
        <v>22770</v>
      </c>
      <c r="AC721" s="390">
        <v>12198</v>
      </c>
      <c r="AD721" s="390">
        <v>16264</v>
      </c>
      <c r="AE721" s="390">
        <v>25210</v>
      </c>
      <c r="AF721" s="390">
        <v>20656</v>
      </c>
      <c r="AG721" s="390">
        <v>24396</v>
      </c>
      <c r="AH721" s="390">
        <v>11710</v>
      </c>
      <c r="AI721" s="390">
        <v>13012</v>
      </c>
      <c r="AJ721" s="390">
        <v>30581</v>
      </c>
      <c r="AK721" s="396">
        <v>11710</v>
      </c>
      <c r="AL721" s="396">
        <v>11710</v>
      </c>
      <c r="AM721" s="390">
        <v>15451</v>
      </c>
      <c r="AN721" s="390">
        <v>14638</v>
      </c>
      <c r="AO721" s="390"/>
      <c r="AP721" s="396">
        <v>30581</v>
      </c>
      <c r="AQ721" s="390"/>
      <c r="AR721" s="396">
        <v>11710</v>
      </c>
      <c r="AS721" s="390"/>
    </row>
    <row r="722" spans="2:45" x14ac:dyDescent="0.3">
      <c r="B722" s="57" t="s">
        <v>53</v>
      </c>
      <c r="C722" s="58"/>
      <c r="D722" s="25">
        <f>SUM(D720:D721)</f>
        <v>831.74155555555546</v>
      </c>
      <c r="E722" s="26">
        <f t="shared" ref="E722:V722" si="648">SUM(E720:E721)</f>
        <v>875.99711111111105</v>
      </c>
      <c r="F722" s="26">
        <f t="shared" si="648"/>
        <v>891.81099999999992</v>
      </c>
      <c r="G722" s="26">
        <f t="shared" si="648"/>
        <v>860.18599999999992</v>
      </c>
      <c r="H722" s="26">
        <f t="shared" si="648"/>
        <v>830.81933333333325</v>
      </c>
      <c r="I722" s="26">
        <f t="shared" si="648"/>
        <v>842.11377777777773</v>
      </c>
      <c r="J722" s="26">
        <f t="shared" si="648"/>
        <v>866.96377777777775</v>
      </c>
      <c r="K722" s="26">
        <f t="shared" si="648"/>
        <v>854.31377777777766</v>
      </c>
      <c r="L722" s="26">
        <f t="shared" si="648"/>
        <v>864.70266666666657</v>
      </c>
      <c r="M722" s="26">
        <f t="shared" si="648"/>
        <v>829.46377777777775</v>
      </c>
      <c r="N722" s="26">
        <f t="shared" si="648"/>
        <v>833.08044444444431</v>
      </c>
      <c r="O722" s="26">
        <f t="shared" si="648"/>
        <v>881.88322222222212</v>
      </c>
      <c r="P722" s="26">
        <f t="shared" si="648"/>
        <v>829.46377777777775</v>
      </c>
      <c r="Q722" s="26">
        <f t="shared" si="648"/>
        <v>829.46377777777775</v>
      </c>
      <c r="R722" s="26">
        <f t="shared" si="648"/>
        <v>839.8554444444444</v>
      </c>
      <c r="S722" s="26">
        <f t="shared" si="648"/>
        <v>837.59711111111108</v>
      </c>
      <c r="T722" s="26">
        <f t="shared" si="648"/>
        <v>854.52340000000004</v>
      </c>
      <c r="U722" s="26">
        <f t="shared" si="648"/>
        <v>939.47062222222223</v>
      </c>
      <c r="V722" s="26">
        <f t="shared" si="648"/>
        <v>854.52340000000004</v>
      </c>
      <c r="W722" s="26">
        <f>SUM(W720:W721)</f>
        <v>829.46377777777775</v>
      </c>
      <c r="Y722" s="390">
        <v>360</v>
      </c>
      <c r="Z722" s="390">
        <v>360</v>
      </c>
      <c r="AA722" s="390">
        <v>360</v>
      </c>
      <c r="AB722" s="390">
        <v>360</v>
      </c>
      <c r="AC722" s="390">
        <v>360</v>
      </c>
      <c r="AD722" s="390">
        <v>360</v>
      </c>
      <c r="AE722" s="390">
        <v>360</v>
      </c>
      <c r="AF722" s="390">
        <v>360</v>
      </c>
      <c r="AG722" s="390">
        <v>360</v>
      </c>
      <c r="AH722" s="390">
        <v>360</v>
      </c>
      <c r="AI722" s="390">
        <v>360</v>
      </c>
      <c r="AJ722" s="390">
        <v>360</v>
      </c>
      <c r="AK722" s="390">
        <v>360</v>
      </c>
      <c r="AL722" s="390">
        <v>360</v>
      </c>
      <c r="AM722" s="390">
        <v>360</v>
      </c>
      <c r="AN722" s="390">
        <v>360</v>
      </c>
      <c r="AO722" s="390"/>
      <c r="AP722" s="390">
        <v>360</v>
      </c>
      <c r="AQ722" s="390"/>
      <c r="AR722" s="390">
        <v>360</v>
      </c>
      <c r="AS722" s="390"/>
    </row>
    <row r="723" spans="2:45" x14ac:dyDescent="0.3">
      <c r="B723" s="54" t="s">
        <v>54</v>
      </c>
      <c r="C723" s="55"/>
      <c r="D723" s="20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Y723" s="389">
        <f>Y721/Y722</f>
        <v>34.805555555555557</v>
      </c>
      <c r="Z723" s="389">
        <f t="shared" ref="Z723:AN723" si="649">Z721/Z722</f>
        <v>79.061111111111117</v>
      </c>
      <c r="AA723" s="389">
        <f t="shared" si="649"/>
        <v>94.875</v>
      </c>
      <c r="AB723" s="389">
        <f t="shared" si="649"/>
        <v>63.25</v>
      </c>
      <c r="AC723" s="389">
        <f t="shared" si="649"/>
        <v>33.883333333333333</v>
      </c>
      <c r="AD723" s="389">
        <f t="shared" si="649"/>
        <v>45.177777777777777</v>
      </c>
      <c r="AE723" s="389">
        <f t="shared" si="649"/>
        <v>70.027777777777771</v>
      </c>
      <c r="AF723" s="389">
        <f t="shared" si="649"/>
        <v>57.37777777777778</v>
      </c>
      <c r="AG723" s="389">
        <f t="shared" si="649"/>
        <v>67.766666666666666</v>
      </c>
      <c r="AH723" s="389">
        <f t="shared" si="649"/>
        <v>32.527777777777779</v>
      </c>
      <c r="AI723" s="389">
        <f t="shared" si="649"/>
        <v>36.144444444444446</v>
      </c>
      <c r="AJ723" s="389">
        <f t="shared" si="649"/>
        <v>84.947222222222223</v>
      </c>
      <c r="AK723" s="389">
        <f t="shared" si="649"/>
        <v>32.527777777777779</v>
      </c>
      <c r="AL723" s="389">
        <f t="shared" si="649"/>
        <v>32.527777777777779</v>
      </c>
      <c r="AM723" s="389">
        <f t="shared" si="649"/>
        <v>42.919444444444444</v>
      </c>
      <c r="AN723" s="389">
        <f t="shared" si="649"/>
        <v>40.661111111111111</v>
      </c>
      <c r="AO723" s="390"/>
      <c r="AP723" s="389">
        <f t="shared" ref="AP723" si="650">AP721/AP722</f>
        <v>84.947222222222223</v>
      </c>
      <c r="AQ723" s="390"/>
      <c r="AR723" s="389">
        <f t="shared" ref="AR723" si="651">AR721/AR722</f>
        <v>32.527777777777779</v>
      </c>
      <c r="AS723" s="390"/>
    </row>
    <row r="724" spans="2:45" x14ac:dyDescent="0.3">
      <c r="B724" s="59" t="s">
        <v>55</v>
      </c>
      <c r="C724" s="60"/>
      <c r="D724" s="27">
        <f>SUM(D722:D723)</f>
        <v>831.74155555555546</v>
      </c>
      <c r="E724" s="41">
        <f t="shared" ref="E724:V724" si="652">SUM(E722:E723)</f>
        <v>875.99711111111105</v>
      </c>
      <c r="F724" s="41">
        <f t="shared" si="652"/>
        <v>891.81099999999992</v>
      </c>
      <c r="G724" s="41">
        <f t="shared" si="652"/>
        <v>860.18599999999992</v>
      </c>
      <c r="H724" s="41">
        <f t="shared" si="652"/>
        <v>830.81933333333325</v>
      </c>
      <c r="I724" s="41">
        <f t="shared" si="652"/>
        <v>842.11377777777773</v>
      </c>
      <c r="J724" s="41">
        <f t="shared" si="652"/>
        <v>866.96377777777775</v>
      </c>
      <c r="K724" s="41">
        <f t="shared" si="652"/>
        <v>854.31377777777766</v>
      </c>
      <c r="L724" s="41">
        <f t="shared" si="652"/>
        <v>864.70266666666657</v>
      </c>
      <c r="M724" s="41">
        <f t="shared" si="652"/>
        <v>829.46377777777775</v>
      </c>
      <c r="N724" s="41">
        <f t="shared" si="652"/>
        <v>833.08044444444431</v>
      </c>
      <c r="O724" s="41">
        <f t="shared" si="652"/>
        <v>881.88322222222212</v>
      </c>
      <c r="P724" s="41">
        <f t="shared" si="652"/>
        <v>829.46377777777775</v>
      </c>
      <c r="Q724" s="41">
        <f t="shared" si="652"/>
        <v>829.46377777777775</v>
      </c>
      <c r="R724" s="41">
        <f t="shared" si="652"/>
        <v>839.8554444444444</v>
      </c>
      <c r="S724" s="41">
        <f t="shared" si="652"/>
        <v>837.59711111111108</v>
      </c>
      <c r="T724" s="41">
        <f t="shared" si="652"/>
        <v>854.52340000000004</v>
      </c>
      <c r="U724" s="41">
        <f t="shared" si="652"/>
        <v>939.47062222222223</v>
      </c>
      <c r="V724" s="41">
        <f t="shared" si="652"/>
        <v>854.52340000000004</v>
      </c>
      <c r="W724" s="41">
        <f>SUM(W722:W723)</f>
        <v>829.46377777777775</v>
      </c>
      <c r="Y724" s="390"/>
      <c r="Z724" s="390"/>
      <c r="AA724" s="390"/>
      <c r="AB724" s="390"/>
      <c r="AC724" s="390"/>
      <c r="AD724" s="390"/>
      <c r="AE724" s="390"/>
      <c r="AF724" s="390"/>
      <c r="AG724" s="390"/>
      <c r="AH724" s="390"/>
      <c r="AI724" s="390"/>
      <c r="AJ724" s="390"/>
      <c r="AK724" s="390"/>
      <c r="AL724" s="390"/>
      <c r="AM724" s="390"/>
      <c r="AN724" s="390"/>
      <c r="AO724" s="390"/>
      <c r="AP724" s="390"/>
      <c r="AQ724" s="390"/>
      <c r="AR724" s="390"/>
      <c r="AS724" s="390"/>
    </row>
    <row r="725" spans="2:45" x14ac:dyDescent="0.3">
      <c r="B725" s="61" t="s">
        <v>101</v>
      </c>
      <c r="C725" s="55"/>
      <c r="D725" s="43">
        <v>0</v>
      </c>
      <c r="E725" s="408">
        <v>0</v>
      </c>
      <c r="F725" s="408">
        <v>0</v>
      </c>
      <c r="G725" s="408">
        <v>0</v>
      </c>
      <c r="H725" s="408">
        <v>0</v>
      </c>
      <c r="I725" s="408">
        <v>0</v>
      </c>
      <c r="J725" s="408">
        <v>0</v>
      </c>
      <c r="K725" s="408">
        <v>0</v>
      </c>
      <c r="L725" s="408">
        <v>0</v>
      </c>
      <c r="M725" s="408">
        <v>0</v>
      </c>
      <c r="N725" s="408">
        <v>0</v>
      </c>
      <c r="O725" s="408">
        <v>0</v>
      </c>
      <c r="P725" s="408">
        <v>0</v>
      </c>
      <c r="Q725" s="408">
        <v>0</v>
      </c>
      <c r="R725" s="408">
        <v>0</v>
      </c>
      <c r="S725" s="408">
        <v>0</v>
      </c>
      <c r="T725" s="408">
        <v>0</v>
      </c>
      <c r="U725" s="408">
        <v>0</v>
      </c>
      <c r="V725" s="408">
        <v>0</v>
      </c>
      <c r="W725" s="408">
        <v>0</v>
      </c>
      <c r="Y725" s="409"/>
      <c r="Z725" s="409"/>
      <c r="AA725" s="409"/>
      <c r="AB725" s="409"/>
      <c r="AC725" s="409"/>
      <c r="AD725" s="409"/>
      <c r="AE725" s="409"/>
      <c r="AF725" s="409"/>
      <c r="AG725" s="409"/>
      <c r="AH725" s="409"/>
      <c r="AI725" s="409"/>
      <c r="AJ725" s="409"/>
      <c r="AK725" s="409"/>
      <c r="AL725" s="409"/>
      <c r="AM725" s="409"/>
      <c r="AN725" s="409"/>
      <c r="AO725" s="409"/>
      <c r="AP725" s="409"/>
      <c r="AQ725" s="409"/>
      <c r="AR725" s="409"/>
      <c r="AS725" s="409"/>
    </row>
    <row r="726" spans="2:45" x14ac:dyDescent="0.3">
      <c r="B726" s="171" t="s">
        <v>194</v>
      </c>
      <c r="C726" s="55"/>
      <c r="D726" s="20">
        <v>882</v>
      </c>
      <c r="E726" s="21">
        <v>926</v>
      </c>
      <c r="F726" s="21">
        <v>942</v>
      </c>
      <c r="G726" s="21">
        <v>911</v>
      </c>
      <c r="H726" s="21">
        <v>881</v>
      </c>
      <c r="I726" s="21">
        <v>893</v>
      </c>
      <c r="J726" s="21">
        <v>917</v>
      </c>
      <c r="K726" s="21">
        <v>905</v>
      </c>
      <c r="L726" s="21">
        <v>915</v>
      </c>
      <c r="M726" s="21">
        <v>880</v>
      </c>
      <c r="N726" s="21">
        <v>884</v>
      </c>
      <c r="O726" s="21">
        <v>932</v>
      </c>
      <c r="P726" s="21">
        <v>880</v>
      </c>
      <c r="Q726" s="21">
        <v>880</v>
      </c>
      <c r="R726" s="21">
        <v>890</v>
      </c>
      <c r="S726" s="21">
        <v>888</v>
      </c>
      <c r="T726" s="21">
        <v>905</v>
      </c>
      <c r="U726" s="21">
        <v>990</v>
      </c>
      <c r="V726" s="21">
        <v>905</v>
      </c>
      <c r="W726" s="21">
        <v>880</v>
      </c>
      <c r="Y726" s="390"/>
      <c r="Z726" s="390"/>
      <c r="AA726" s="390"/>
      <c r="AB726" s="390"/>
      <c r="AC726" s="390"/>
      <c r="AD726" s="390"/>
      <c r="AE726" s="390"/>
      <c r="AF726" s="390"/>
      <c r="AG726" s="390"/>
      <c r="AH726" s="390"/>
      <c r="AI726" s="390"/>
      <c r="AJ726" s="390"/>
      <c r="AK726" s="390"/>
      <c r="AL726" s="390"/>
      <c r="AM726" s="390"/>
      <c r="AN726" s="390"/>
      <c r="AO726" s="390"/>
      <c r="AP726" s="390"/>
      <c r="AQ726" s="390"/>
      <c r="AR726" s="390"/>
      <c r="AS726" s="390"/>
    </row>
    <row r="727" spans="2:45" x14ac:dyDescent="0.3">
      <c r="B727" s="61" t="s">
        <v>195</v>
      </c>
      <c r="C727" s="55"/>
      <c r="D727" s="106">
        <v>892</v>
      </c>
      <c r="E727" s="21">
        <v>936</v>
      </c>
      <c r="F727" s="21">
        <v>952</v>
      </c>
      <c r="G727" s="21">
        <v>921</v>
      </c>
      <c r="H727" s="21">
        <v>891</v>
      </c>
      <c r="I727" s="21">
        <v>903</v>
      </c>
      <c r="J727" s="21">
        <v>927</v>
      </c>
      <c r="K727" s="21">
        <v>915</v>
      </c>
      <c r="L727" s="21">
        <v>925</v>
      </c>
      <c r="M727" s="21">
        <v>890</v>
      </c>
      <c r="N727" s="21">
        <v>894</v>
      </c>
      <c r="O727" s="21">
        <v>942</v>
      </c>
      <c r="P727" s="21">
        <v>890</v>
      </c>
      <c r="Q727" s="21">
        <v>890</v>
      </c>
      <c r="R727" s="21">
        <v>900</v>
      </c>
      <c r="S727" s="21">
        <v>898</v>
      </c>
      <c r="T727" s="21">
        <v>915</v>
      </c>
      <c r="U727" s="21">
        <v>1000</v>
      </c>
      <c r="V727" s="21">
        <v>915</v>
      </c>
      <c r="W727" s="21">
        <v>890</v>
      </c>
      <c r="Y727" s="390"/>
      <c r="Z727" s="390"/>
      <c r="AA727" s="390"/>
      <c r="AB727" s="390"/>
      <c r="AC727" s="390"/>
      <c r="AD727" s="390"/>
      <c r="AE727" s="390"/>
      <c r="AF727" s="390"/>
      <c r="AG727" s="390"/>
      <c r="AH727" s="390"/>
      <c r="AI727" s="390"/>
      <c r="AJ727" s="390"/>
      <c r="AK727" s="390"/>
      <c r="AL727" s="390"/>
      <c r="AM727" s="390"/>
      <c r="AN727" s="390"/>
      <c r="AO727" s="390"/>
      <c r="AP727" s="390"/>
      <c r="AQ727" s="390"/>
      <c r="AR727" s="390"/>
      <c r="AS727" s="390"/>
    </row>
    <row r="728" spans="2:45" x14ac:dyDescent="0.3">
      <c r="B728" s="61" t="s">
        <v>196</v>
      </c>
      <c r="C728" s="62"/>
      <c r="D728" s="28">
        <v>907</v>
      </c>
      <c r="E728" s="28">
        <v>951</v>
      </c>
      <c r="F728" s="28">
        <v>967</v>
      </c>
      <c r="G728" s="28">
        <v>936</v>
      </c>
      <c r="H728" s="28">
        <v>906</v>
      </c>
      <c r="I728" s="28">
        <v>918</v>
      </c>
      <c r="J728" s="28">
        <v>942</v>
      </c>
      <c r="K728" s="28">
        <v>930</v>
      </c>
      <c r="L728" s="28">
        <v>940</v>
      </c>
      <c r="M728" s="28">
        <v>905</v>
      </c>
      <c r="N728" s="28">
        <v>909</v>
      </c>
      <c r="O728" s="28">
        <v>957</v>
      </c>
      <c r="P728" s="28">
        <v>905</v>
      </c>
      <c r="Q728" s="28">
        <v>905</v>
      </c>
      <c r="R728" s="28">
        <v>915</v>
      </c>
      <c r="S728" s="28">
        <v>913</v>
      </c>
      <c r="T728" s="29">
        <v>930</v>
      </c>
      <c r="U728" s="29">
        <v>1015</v>
      </c>
      <c r="V728" s="29">
        <v>930</v>
      </c>
      <c r="W728" s="28">
        <v>905</v>
      </c>
      <c r="Y728" s="390"/>
      <c r="Z728" s="390"/>
      <c r="AA728" s="390"/>
      <c r="AB728" s="390"/>
      <c r="AC728" s="390"/>
      <c r="AD728" s="390"/>
      <c r="AE728" s="390"/>
      <c r="AF728" s="390"/>
      <c r="AG728" s="390"/>
      <c r="AH728" s="390"/>
      <c r="AI728" s="390"/>
      <c r="AJ728" s="390"/>
      <c r="AK728" s="390"/>
      <c r="AL728" s="390"/>
      <c r="AM728" s="390"/>
      <c r="AN728" s="390"/>
      <c r="AO728" s="390"/>
      <c r="AP728" s="390"/>
      <c r="AQ728" s="390"/>
      <c r="AR728" s="390"/>
      <c r="AS728" s="390"/>
    </row>
    <row r="729" spans="2:45" x14ac:dyDescent="0.3">
      <c r="B729" s="61" t="s">
        <v>197</v>
      </c>
      <c r="C729" s="62"/>
      <c r="D729" s="28">
        <v>922</v>
      </c>
      <c r="E729" s="28">
        <v>966</v>
      </c>
      <c r="F729" s="28">
        <v>982</v>
      </c>
      <c r="G729" s="28">
        <v>951</v>
      </c>
      <c r="H729" s="28">
        <v>921</v>
      </c>
      <c r="I729" s="28">
        <v>933</v>
      </c>
      <c r="J729" s="28">
        <v>957</v>
      </c>
      <c r="K729" s="28">
        <v>945</v>
      </c>
      <c r="L729" s="28">
        <v>955</v>
      </c>
      <c r="M729" s="28">
        <v>920</v>
      </c>
      <c r="N729" s="28">
        <v>924</v>
      </c>
      <c r="O729" s="28">
        <v>972</v>
      </c>
      <c r="P729" s="28">
        <v>920</v>
      </c>
      <c r="Q729" s="28">
        <v>920</v>
      </c>
      <c r="R729" s="28">
        <v>930</v>
      </c>
      <c r="S729" s="28">
        <v>928</v>
      </c>
      <c r="T729" s="29">
        <v>945</v>
      </c>
      <c r="U729" s="29">
        <v>1030</v>
      </c>
      <c r="V729" s="29">
        <v>945</v>
      </c>
      <c r="W729" s="28">
        <v>920</v>
      </c>
      <c r="Y729" s="390"/>
      <c r="Z729" s="390"/>
      <c r="AA729" s="390"/>
      <c r="AB729" s="390"/>
      <c r="AC729" s="390"/>
      <c r="AD729" s="390"/>
      <c r="AE729" s="390"/>
      <c r="AF729" s="390"/>
      <c r="AG729" s="390"/>
      <c r="AH729" s="390"/>
      <c r="AI729" s="390"/>
      <c r="AJ729" s="390"/>
      <c r="AK729" s="390"/>
      <c r="AL729" s="390"/>
      <c r="AM729" s="390"/>
      <c r="AN729" s="390"/>
      <c r="AO729" s="390"/>
      <c r="AP729" s="390"/>
      <c r="AQ729" s="390"/>
      <c r="AR729" s="390"/>
      <c r="AS729" s="390"/>
    </row>
    <row r="730" spans="2:45" x14ac:dyDescent="0.3">
      <c r="B730" s="63" t="s">
        <v>103</v>
      </c>
      <c r="C730" s="55"/>
      <c r="D730" s="43">
        <v>0</v>
      </c>
      <c r="E730" s="408">
        <v>0</v>
      </c>
      <c r="F730" s="408">
        <v>0</v>
      </c>
      <c r="G730" s="408">
        <v>0</v>
      </c>
      <c r="H730" s="408">
        <v>0</v>
      </c>
      <c r="I730" s="408">
        <v>0</v>
      </c>
      <c r="J730" s="408">
        <v>0</v>
      </c>
      <c r="K730" s="408">
        <v>0</v>
      </c>
      <c r="L730" s="408">
        <v>0</v>
      </c>
      <c r="M730" s="408">
        <v>0</v>
      </c>
      <c r="N730" s="408">
        <v>0</v>
      </c>
      <c r="O730" s="408">
        <v>0</v>
      </c>
      <c r="P730" s="408">
        <v>0</v>
      </c>
      <c r="Q730" s="408">
        <v>0</v>
      </c>
      <c r="R730" s="408">
        <v>0</v>
      </c>
      <c r="S730" s="408">
        <v>0</v>
      </c>
      <c r="T730" s="408">
        <v>0</v>
      </c>
      <c r="U730" s="408">
        <v>0</v>
      </c>
      <c r="V730" s="408">
        <v>0</v>
      </c>
      <c r="W730" s="408">
        <v>0</v>
      </c>
      <c r="Y730" s="409"/>
      <c r="Z730" s="409"/>
      <c r="AA730" s="409"/>
      <c r="AB730" s="409"/>
      <c r="AC730" s="409"/>
      <c r="AD730" s="409"/>
      <c r="AE730" s="409"/>
      <c r="AF730" s="409"/>
      <c r="AG730" s="409"/>
      <c r="AH730" s="409"/>
      <c r="AI730" s="409"/>
      <c r="AJ730" s="409"/>
      <c r="AK730" s="409"/>
      <c r="AL730" s="409"/>
      <c r="AM730" s="409"/>
      <c r="AN730" s="409"/>
      <c r="AO730" s="409"/>
      <c r="AP730" s="409"/>
      <c r="AQ730" s="409"/>
      <c r="AR730" s="409"/>
      <c r="AS730" s="409"/>
    </row>
    <row r="731" spans="2:45" x14ac:dyDescent="0.3">
      <c r="B731" s="63" t="s">
        <v>198</v>
      </c>
      <c r="C731" s="64"/>
      <c r="D731" s="31">
        <f t="shared" ref="D731:W731" si="653">+D726-D$724</f>
        <v>50.258444444444535</v>
      </c>
      <c r="E731" s="32">
        <f t="shared" si="653"/>
        <v>50.002888888888947</v>
      </c>
      <c r="F731" s="32">
        <f t="shared" si="653"/>
        <v>50.189000000000078</v>
      </c>
      <c r="G731" s="32">
        <f t="shared" si="653"/>
        <v>50.814000000000078</v>
      </c>
      <c r="H731" s="32">
        <f t="shared" si="653"/>
        <v>50.180666666666752</v>
      </c>
      <c r="I731" s="32">
        <f t="shared" si="653"/>
        <v>50.886222222222273</v>
      </c>
      <c r="J731" s="32">
        <f t="shared" si="653"/>
        <v>50.03622222222225</v>
      </c>
      <c r="K731" s="32">
        <f t="shared" si="653"/>
        <v>50.686222222222341</v>
      </c>
      <c r="L731" s="32">
        <f t="shared" si="653"/>
        <v>50.297333333333427</v>
      </c>
      <c r="M731" s="32">
        <f t="shared" si="653"/>
        <v>50.53622222222225</v>
      </c>
      <c r="N731" s="32">
        <f t="shared" si="653"/>
        <v>50.919555555555689</v>
      </c>
      <c r="O731" s="32">
        <f t="shared" si="653"/>
        <v>50.116777777777884</v>
      </c>
      <c r="P731" s="32">
        <f t="shared" si="653"/>
        <v>50.53622222222225</v>
      </c>
      <c r="Q731" s="32">
        <f t="shared" si="653"/>
        <v>50.53622222222225</v>
      </c>
      <c r="R731" s="32">
        <f t="shared" si="653"/>
        <v>50.144555555555598</v>
      </c>
      <c r="S731" s="32">
        <f t="shared" si="653"/>
        <v>50.402888888888924</v>
      </c>
      <c r="T731" s="32">
        <f t="shared" si="653"/>
        <v>50.476599999999962</v>
      </c>
      <c r="U731" s="32">
        <f t="shared" si="653"/>
        <v>50.529377777777768</v>
      </c>
      <c r="V731" s="32">
        <f t="shared" si="653"/>
        <v>50.476599999999962</v>
      </c>
      <c r="W731" s="32">
        <f t="shared" si="653"/>
        <v>50.53622222222225</v>
      </c>
      <c r="Y731" s="390"/>
      <c r="Z731" s="390"/>
      <c r="AA731" s="390"/>
      <c r="AB731" s="390"/>
      <c r="AC731" s="390"/>
      <c r="AD731" s="390"/>
      <c r="AE731" s="390"/>
      <c r="AF731" s="390"/>
      <c r="AG731" s="390"/>
      <c r="AH731" s="390"/>
      <c r="AI731" s="390"/>
      <c r="AJ731" s="390"/>
      <c r="AK731" s="390"/>
      <c r="AL731" s="390"/>
      <c r="AM731" s="390"/>
      <c r="AN731" s="390"/>
      <c r="AO731" s="390"/>
      <c r="AP731" s="390"/>
      <c r="AQ731" s="390"/>
      <c r="AR731" s="390"/>
      <c r="AS731" s="390"/>
    </row>
    <row r="732" spans="2:45" x14ac:dyDescent="0.3">
      <c r="B732" s="63" t="s">
        <v>199</v>
      </c>
      <c r="C732" s="64"/>
      <c r="D732" s="31">
        <f t="shared" ref="D732:W732" si="654">+D727-D$724</f>
        <v>60.258444444444535</v>
      </c>
      <c r="E732" s="32">
        <f t="shared" si="654"/>
        <v>60.002888888888947</v>
      </c>
      <c r="F732" s="32">
        <f t="shared" si="654"/>
        <v>60.189000000000078</v>
      </c>
      <c r="G732" s="32">
        <f t="shared" si="654"/>
        <v>60.814000000000078</v>
      </c>
      <c r="H732" s="32">
        <f t="shared" si="654"/>
        <v>60.180666666666752</v>
      </c>
      <c r="I732" s="32">
        <f t="shared" si="654"/>
        <v>60.886222222222273</v>
      </c>
      <c r="J732" s="32">
        <f t="shared" si="654"/>
        <v>60.03622222222225</v>
      </c>
      <c r="K732" s="32">
        <f t="shared" si="654"/>
        <v>60.686222222222341</v>
      </c>
      <c r="L732" s="32">
        <f t="shared" si="654"/>
        <v>60.297333333333427</v>
      </c>
      <c r="M732" s="32">
        <f t="shared" si="654"/>
        <v>60.53622222222225</v>
      </c>
      <c r="N732" s="32">
        <f t="shared" si="654"/>
        <v>60.919555555555689</v>
      </c>
      <c r="O732" s="32">
        <f t="shared" si="654"/>
        <v>60.116777777777884</v>
      </c>
      <c r="P732" s="32">
        <f t="shared" si="654"/>
        <v>60.53622222222225</v>
      </c>
      <c r="Q732" s="32">
        <f t="shared" si="654"/>
        <v>60.53622222222225</v>
      </c>
      <c r="R732" s="32">
        <f t="shared" si="654"/>
        <v>60.144555555555598</v>
      </c>
      <c r="S732" s="32">
        <f t="shared" si="654"/>
        <v>60.402888888888924</v>
      </c>
      <c r="T732" s="32">
        <f t="shared" si="654"/>
        <v>60.476599999999962</v>
      </c>
      <c r="U732" s="32">
        <f t="shared" si="654"/>
        <v>60.529377777777768</v>
      </c>
      <c r="V732" s="32">
        <f t="shared" si="654"/>
        <v>60.476599999999962</v>
      </c>
      <c r="W732" s="32">
        <f t="shared" si="654"/>
        <v>60.53622222222225</v>
      </c>
      <c r="Y732" s="390"/>
      <c r="Z732" s="390"/>
      <c r="AA732" s="390"/>
      <c r="AB732" s="390"/>
      <c r="AC732" s="390"/>
      <c r="AD732" s="390"/>
      <c r="AE732" s="390"/>
      <c r="AF732" s="390"/>
      <c r="AG732" s="390"/>
      <c r="AH732" s="390"/>
      <c r="AI732" s="390"/>
      <c r="AJ732" s="390"/>
      <c r="AK732" s="390"/>
      <c r="AL732" s="390"/>
      <c r="AM732" s="390"/>
      <c r="AN732" s="390"/>
      <c r="AO732" s="390"/>
      <c r="AP732" s="390"/>
      <c r="AQ732" s="390"/>
      <c r="AR732" s="390"/>
      <c r="AS732" s="390"/>
    </row>
    <row r="733" spans="2:45" x14ac:dyDescent="0.3">
      <c r="B733" s="63" t="s">
        <v>200</v>
      </c>
      <c r="C733" s="64"/>
      <c r="D733" s="31">
        <f t="shared" ref="D733:W733" si="655">+D728-D$724</f>
        <v>75.258444444444535</v>
      </c>
      <c r="E733" s="32">
        <f t="shared" si="655"/>
        <v>75.002888888888947</v>
      </c>
      <c r="F733" s="32">
        <f t="shared" si="655"/>
        <v>75.189000000000078</v>
      </c>
      <c r="G733" s="32">
        <f t="shared" si="655"/>
        <v>75.814000000000078</v>
      </c>
      <c r="H733" s="32">
        <f t="shared" si="655"/>
        <v>75.180666666666752</v>
      </c>
      <c r="I733" s="32">
        <f t="shared" si="655"/>
        <v>75.886222222222273</v>
      </c>
      <c r="J733" s="32">
        <f t="shared" si="655"/>
        <v>75.03622222222225</v>
      </c>
      <c r="K733" s="32">
        <f t="shared" si="655"/>
        <v>75.686222222222341</v>
      </c>
      <c r="L733" s="32">
        <f t="shared" si="655"/>
        <v>75.297333333333427</v>
      </c>
      <c r="M733" s="32">
        <f t="shared" si="655"/>
        <v>75.53622222222225</v>
      </c>
      <c r="N733" s="32">
        <f t="shared" si="655"/>
        <v>75.919555555555689</v>
      </c>
      <c r="O733" s="32">
        <f t="shared" si="655"/>
        <v>75.116777777777884</v>
      </c>
      <c r="P733" s="32">
        <f t="shared" si="655"/>
        <v>75.53622222222225</v>
      </c>
      <c r="Q733" s="32">
        <f t="shared" si="655"/>
        <v>75.53622222222225</v>
      </c>
      <c r="R733" s="32">
        <f t="shared" si="655"/>
        <v>75.144555555555598</v>
      </c>
      <c r="S733" s="32">
        <f t="shared" si="655"/>
        <v>75.402888888888924</v>
      </c>
      <c r="T733" s="32">
        <f t="shared" si="655"/>
        <v>75.476599999999962</v>
      </c>
      <c r="U733" s="32">
        <f t="shared" si="655"/>
        <v>75.529377777777768</v>
      </c>
      <c r="V733" s="32">
        <f t="shared" si="655"/>
        <v>75.476599999999962</v>
      </c>
      <c r="W733" s="32">
        <f t="shared" si="655"/>
        <v>75.53622222222225</v>
      </c>
      <c r="Y733" s="390"/>
      <c r="Z733" s="390"/>
      <c r="AA733" s="390"/>
      <c r="AB733" s="390"/>
      <c r="AC733" s="390"/>
      <c r="AD733" s="390"/>
      <c r="AE733" s="390"/>
      <c r="AF733" s="390"/>
      <c r="AG733" s="390"/>
      <c r="AH733" s="390"/>
      <c r="AI733" s="390"/>
      <c r="AJ733" s="390"/>
      <c r="AK733" s="390"/>
      <c r="AL733" s="390"/>
      <c r="AM733" s="390"/>
      <c r="AN733" s="390"/>
      <c r="AO733" s="390"/>
      <c r="AP733" s="390"/>
      <c r="AQ733" s="390"/>
      <c r="AR733" s="390"/>
      <c r="AS733" s="390"/>
    </row>
    <row r="734" spans="2:45" x14ac:dyDescent="0.3">
      <c r="B734" s="63" t="s">
        <v>201</v>
      </c>
      <c r="C734" s="64"/>
      <c r="D734" s="31">
        <f t="shared" ref="D734:W734" si="656">+D729-D$724</f>
        <v>90.258444444444535</v>
      </c>
      <c r="E734" s="34">
        <f t="shared" si="656"/>
        <v>90.002888888888947</v>
      </c>
      <c r="F734" s="34">
        <f t="shared" si="656"/>
        <v>90.189000000000078</v>
      </c>
      <c r="G734" s="34">
        <f t="shared" si="656"/>
        <v>90.814000000000078</v>
      </c>
      <c r="H734" s="34">
        <f t="shared" si="656"/>
        <v>90.180666666666752</v>
      </c>
      <c r="I734" s="34">
        <f t="shared" si="656"/>
        <v>90.886222222222273</v>
      </c>
      <c r="J734" s="34">
        <f t="shared" si="656"/>
        <v>90.03622222222225</v>
      </c>
      <c r="K734" s="34">
        <f t="shared" si="656"/>
        <v>90.686222222222341</v>
      </c>
      <c r="L734" s="34">
        <f t="shared" si="656"/>
        <v>90.297333333333427</v>
      </c>
      <c r="M734" s="34">
        <f t="shared" si="656"/>
        <v>90.53622222222225</v>
      </c>
      <c r="N734" s="34">
        <f t="shared" si="656"/>
        <v>90.919555555555689</v>
      </c>
      <c r="O734" s="34">
        <f t="shared" si="656"/>
        <v>90.116777777777884</v>
      </c>
      <c r="P734" s="34">
        <f t="shared" si="656"/>
        <v>90.53622222222225</v>
      </c>
      <c r="Q734" s="34">
        <f t="shared" si="656"/>
        <v>90.53622222222225</v>
      </c>
      <c r="R734" s="34">
        <f t="shared" si="656"/>
        <v>90.144555555555598</v>
      </c>
      <c r="S734" s="34">
        <f t="shared" si="656"/>
        <v>90.402888888888924</v>
      </c>
      <c r="T734" s="34">
        <f t="shared" si="656"/>
        <v>90.476599999999962</v>
      </c>
      <c r="U734" s="34">
        <f t="shared" si="656"/>
        <v>90.529377777777768</v>
      </c>
      <c r="V734" s="34">
        <f t="shared" si="656"/>
        <v>90.476599999999962</v>
      </c>
      <c r="W734" s="34">
        <f t="shared" si="656"/>
        <v>90.53622222222225</v>
      </c>
      <c r="Y734" s="390"/>
      <c r="Z734" s="390"/>
      <c r="AA734" s="390"/>
      <c r="AB734" s="390"/>
      <c r="AC734" s="390"/>
      <c r="AD734" s="390"/>
      <c r="AE734" s="390"/>
      <c r="AF734" s="390"/>
      <c r="AG734" s="390"/>
      <c r="AH734" s="390"/>
      <c r="AI734" s="390"/>
      <c r="AJ734" s="390"/>
      <c r="AK734" s="390"/>
      <c r="AL734" s="390"/>
      <c r="AM734" s="390"/>
      <c r="AN734" s="390"/>
      <c r="AO734" s="390"/>
      <c r="AP734" s="390"/>
      <c r="AQ734" s="390"/>
      <c r="AR734" s="390"/>
      <c r="AS734" s="390"/>
    </row>
    <row r="735" spans="2:45" x14ac:dyDescent="0.3">
      <c r="B735" s="65" t="s">
        <v>108</v>
      </c>
      <c r="C735" s="55"/>
      <c r="D735" s="43">
        <v>0</v>
      </c>
      <c r="E735" s="408">
        <v>0</v>
      </c>
      <c r="F735" s="408">
        <v>0</v>
      </c>
      <c r="G735" s="408">
        <v>0</v>
      </c>
      <c r="H735" s="408">
        <v>0</v>
      </c>
      <c r="I735" s="408">
        <v>0</v>
      </c>
      <c r="J735" s="408">
        <v>0</v>
      </c>
      <c r="K735" s="408">
        <v>0</v>
      </c>
      <c r="L735" s="408">
        <v>0</v>
      </c>
      <c r="M735" s="408">
        <v>0</v>
      </c>
      <c r="N735" s="408">
        <v>0</v>
      </c>
      <c r="O735" s="408">
        <v>0</v>
      </c>
      <c r="P735" s="408">
        <v>0</v>
      </c>
      <c r="Q735" s="408">
        <v>0</v>
      </c>
      <c r="R735" s="408">
        <v>0</v>
      </c>
      <c r="S735" s="408">
        <v>0</v>
      </c>
      <c r="T735" s="408">
        <v>0</v>
      </c>
      <c r="U735" s="408">
        <v>0</v>
      </c>
      <c r="V735" s="408">
        <v>0</v>
      </c>
      <c r="W735" s="408">
        <v>0</v>
      </c>
      <c r="Y735" s="409"/>
      <c r="Z735" s="409"/>
      <c r="AA735" s="409"/>
      <c r="AB735" s="409"/>
      <c r="AC735" s="409"/>
      <c r="AD735" s="409"/>
      <c r="AE735" s="409"/>
      <c r="AF735" s="409"/>
      <c r="AG735" s="409"/>
      <c r="AH735" s="409"/>
      <c r="AI735" s="409"/>
      <c r="AJ735" s="409"/>
      <c r="AK735" s="409"/>
      <c r="AL735" s="409"/>
      <c r="AM735" s="409"/>
      <c r="AN735" s="409"/>
      <c r="AO735" s="409"/>
      <c r="AP735" s="409"/>
      <c r="AQ735" s="409"/>
      <c r="AR735" s="409"/>
      <c r="AS735" s="409"/>
    </row>
    <row r="736" spans="2:45" x14ac:dyDescent="0.3">
      <c r="B736" s="65" t="s">
        <v>202</v>
      </c>
      <c r="C736" s="66"/>
      <c r="D736" s="35">
        <f>+D731/D$726</f>
        <v>5.6982363315696755E-2</v>
      </c>
      <c r="E736" s="35">
        <f t="shared" ref="E736:W736" si="657">+E731/E$726</f>
        <v>5.399880009599238E-2</v>
      </c>
      <c r="F736" s="35">
        <f t="shared" si="657"/>
        <v>5.3279193205944882E-2</v>
      </c>
      <c r="G736" s="35">
        <f t="shared" si="657"/>
        <v>5.5778265642151569E-2</v>
      </c>
      <c r="H736" s="35">
        <f t="shared" si="657"/>
        <v>5.6958758986000856E-2</v>
      </c>
      <c r="I736" s="35">
        <f t="shared" si="657"/>
        <v>5.6983451536643082E-2</v>
      </c>
      <c r="J736" s="35">
        <f t="shared" si="657"/>
        <v>5.4565127832303432E-2</v>
      </c>
      <c r="K736" s="35">
        <f t="shared" si="657"/>
        <v>5.6006875383671093E-2</v>
      </c>
      <c r="L736" s="35">
        <f t="shared" si="657"/>
        <v>5.496976320582888E-2</v>
      </c>
      <c r="M736" s="35">
        <f t="shared" si="657"/>
        <v>5.7427525252525286E-2</v>
      </c>
      <c r="N736" s="35">
        <f t="shared" si="657"/>
        <v>5.7601307189542636E-2</v>
      </c>
      <c r="O736" s="35">
        <f t="shared" si="657"/>
        <v>5.3773366714353954E-2</v>
      </c>
      <c r="P736" s="35">
        <f t="shared" si="657"/>
        <v>5.7427525252525286E-2</v>
      </c>
      <c r="Q736" s="35">
        <f t="shared" si="657"/>
        <v>5.7427525252525286E-2</v>
      </c>
      <c r="R736" s="35">
        <f t="shared" si="657"/>
        <v>5.6342197253433257E-2</v>
      </c>
      <c r="S736" s="35">
        <f t="shared" si="657"/>
        <v>5.6760010010010048E-2</v>
      </c>
      <c r="T736" s="35">
        <f t="shared" si="657"/>
        <v>5.5775248618784488E-2</v>
      </c>
      <c r="U736" s="35">
        <f t="shared" si="657"/>
        <v>5.1039775533108858E-2</v>
      </c>
      <c r="V736" s="35">
        <f t="shared" si="657"/>
        <v>5.5775248618784488E-2</v>
      </c>
      <c r="W736" s="35">
        <f t="shared" si="657"/>
        <v>5.7427525252525286E-2</v>
      </c>
      <c r="Y736" s="390"/>
      <c r="Z736" s="390"/>
      <c r="AA736" s="390"/>
      <c r="AB736" s="390"/>
      <c r="AC736" s="390"/>
      <c r="AD736" s="390"/>
      <c r="AE736" s="390"/>
      <c r="AF736" s="390"/>
      <c r="AG736" s="390"/>
      <c r="AH736" s="390"/>
      <c r="AI736" s="390"/>
      <c r="AJ736" s="390"/>
      <c r="AK736" s="390"/>
      <c r="AL736" s="390"/>
      <c r="AM736" s="390"/>
      <c r="AN736" s="390"/>
      <c r="AO736" s="390"/>
      <c r="AP736" s="390"/>
      <c r="AQ736" s="390"/>
      <c r="AR736" s="390"/>
      <c r="AS736" s="390"/>
    </row>
    <row r="737" spans="1:45" x14ac:dyDescent="0.3">
      <c r="B737" s="65" t="s">
        <v>203</v>
      </c>
      <c r="C737" s="66"/>
      <c r="D737" s="35">
        <f>+D732/D$727</f>
        <v>6.7554309915296568E-2</v>
      </c>
      <c r="E737" s="35">
        <f t="shared" ref="E737:W737" si="658">+E732/E$727</f>
        <v>6.4105650522317245E-2</v>
      </c>
      <c r="F737" s="35">
        <f t="shared" si="658"/>
        <v>6.3223739495798403E-2</v>
      </c>
      <c r="G737" s="35">
        <f t="shared" si="658"/>
        <v>6.6030401737242214E-2</v>
      </c>
      <c r="H737" s="35">
        <f t="shared" si="658"/>
        <v>6.7542835765058082E-2</v>
      </c>
      <c r="I737" s="35">
        <f t="shared" si="658"/>
        <v>6.7426602682416695E-2</v>
      </c>
      <c r="J737" s="35">
        <f t="shared" si="658"/>
        <v>6.4763993767230049E-2</v>
      </c>
      <c r="K737" s="35">
        <f t="shared" si="658"/>
        <v>6.6323740133576323E-2</v>
      </c>
      <c r="L737" s="35">
        <f t="shared" si="658"/>
        <v>6.518630630630641E-2</v>
      </c>
      <c r="M737" s="35">
        <f t="shared" si="658"/>
        <v>6.8018227215980054E-2</v>
      </c>
      <c r="N737" s="35">
        <f t="shared" si="658"/>
        <v>6.8142679592344171E-2</v>
      </c>
      <c r="O737" s="35">
        <f t="shared" si="658"/>
        <v>6.3818235432885229E-2</v>
      </c>
      <c r="P737" s="35">
        <f t="shared" si="658"/>
        <v>6.8018227215980054E-2</v>
      </c>
      <c r="Q737" s="35">
        <f t="shared" si="658"/>
        <v>6.8018227215980054E-2</v>
      </c>
      <c r="R737" s="35">
        <f t="shared" si="658"/>
        <v>6.6827283950617336E-2</v>
      </c>
      <c r="S737" s="35">
        <f t="shared" si="658"/>
        <v>6.7263796090076752E-2</v>
      </c>
      <c r="T737" s="35">
        <f t="shared" si="658"/>
        <v>6.6094644808743122E-2</v>
      </c>
      <c r="U737" s="35">
        <f t="shared" si="658"/>
        <v>6.0529377777777768E-2</v>
      </c>
      <c r="V737" s="35">
        <f t="shared" si="658"/>
        <v>6.6094644808743122E-2</v>
      </c>
      <c r="W737" s="35">
        <f t="shared" si="658"/>
        <v>6.8018227215980054E-2</v>
      </c>
      <c r="Y737" s="390"/>
      <c r="Z737" s="390"/>
      <c r="AA737" s="390"/>
      <c r="AB737" s="390"/>
      <c r="AC737" s="390"/>
      <c r="AD737" s="390"/>
      <c r="AE737" s="390"/>
      <c r="AF737" s="390"/>
      <c r="AG737" s="390"/>
      <c r="AH737" s="390"/>
      <c r="AI737" s="390"/>
      <c r="AJ737" s="390"/>
      <c r="AK737" s="390"/>
      <c r="AL737" s="390"/>
      <c r="AM737" s="390"/>
      <c r="AN737" s="390"/>
      <c r="AO737" s="390"/>
      <c r="AP737" s="390"/>
      <c r="AQ737" s="390"/>
      <c r="AR737" s="390"/>
      <c r="AS737" s="390"/>
    </row>
    <row r="738" spans="1:45" x14ac:dyDescent="0.3">
      <c r="B738" s="65" t="s">
        <v>204</v>
      </c>
      <c r="C738" s="66"/>
      <c r="D738" s="35">
        <f>+D733/D$728</f>
        <v>8.2975131691780085E-2</v>
      </c>
      <c r="E738" s="35">
        <f t="shared" ref="E738:W738" si="659">+E733/E$728</f>
        <v>7.8867391050356409E-2</v>
      </c>
      <c r="F738" s="35">
        <f t="shared" si="659"/>
        <v>7.7754912099276194E-2</v>
      </c>
      <c r="G738" s="35">
        <f t="shared" si="659"/>
        <v>8.099786324786333E-2</v>
      </c>
      <c r="H738" s="35">
        <f t="shared" si="659"/>
        <v>8.2980868285504147E-2</v>
      </c>
      <c r="I738" s="35">
        <f t="shared" si="659"/>
        <v>8.2664730089566749E-2</v>
      </c>
      <c r="J738" s="35">
        <f t="shared" si="659"/>
        <v>7.9656286860108547E-2</v>
      </c>
      <c r="K738" s="35">
        <f t="shared" si="659"/>
        <v>8.1383034647550909E-2</v>
      </c>
      <c r="L738" s="35">
        <f t="shared" si="659"/>
        <v>8.0103546099290879E-2</v>
      </c>
      <c r="M738" s="35">
        <f t="shared" si="659"/>
        <v>8.3465438919582594E-2</v>
      </c>
      <c r="N738" s="35">
        <f t="shared" si="659"/>
        <v>8.3519863097421002E-2</v>
      </c>
      <c r="O738" s="35">
        <f t="shared" si="659"/>
        <v>7.8491930802275747E-2</v>
      </c>
      <c r="P738" s="35">
        <f t="shared" si="659"/>
        <v>8.3465438919582594E-2</v>
      </c>
      <c r="Q738" s="35">
        <f t="shared" si="659"/>
        <v>8.3465438919582594E-2</v>
      </c>
      <c r="R738" s="35">
        <f t="shared" si="659"/>
        <v>8.2125197328476063E-2</v>
      </c>
      <c r="S738" s="35">
        <f t="shared" si="659"/>
        <v>8.2588049166362462E-2</v>
      </c>
      <c r="T738" s="35">
        <f t="shared" si="659"/>
        <v>8.1157634408602117E-2</v>
      </c>
      <c r="U738" s="35">
        <f t="shared" si="659"/>
        <v>7.4413180076628338E-2</v>
      </c>
      <c r="V738" s="35">
        <f t="shared" si="659"/>
        <v>8.1157634408602117E-2</v>
      </c>
      <c r="W738" s="35">
        <f t="shared" si="659"/>
        <v>8.3465438919582594E-2</v>
      </c>
      <c r="Y738" s="390"/>
      <c r="Z738" s="390"/>
      <c r="AA738" s="390"/>
      <c r="AB738" s="390"/>
      <c r="AC738" s="390"/>
      <c r="AD738" s="390"/>
      <c r="AE738" s="390"/>
      <c r="AF738" s="390"/>
      <c r="AG738" s="390"/>
      <c r="AH738" s="390"/>
      <c r="AI738" s="390"/>
      <c r="AJ738" s="390"/>
      <c r="AK738" s="390"/>
      <c r="AL738" s="390"/>
      <c r="AM738" s="390"/>
      <c r="AN738" s="390"/>
      <c r="AO738" s="390"/>
      <c r="AP738" s="390"/>
      <c r="AQ738" s="390"/>
      <c r="AR738" s="390"/>
      <c r="AS738" s="390"/>
    </row>
    <row r="739" spans="1:45" x14ac:dyDescent="0.3">
      <c r="B739" s="65" t="s">
        <v>205</v>
      </c>
      <c r="C739" s="66"/>
      <c r="D739" s="35">
        <f>+D734/D$729</f>
        <v>9.789419137141489E-2</v>
      </c>
      <c r="E739" s="35">
        <f t="shared" ref="E739:W739" si="660">+E734/E$729</f>
        <v>9.3170692431562063E-2</v>
      </c>
      <c r="F739" s="35">
        <f t="shared" si="660"/>
        <v>9.1842158859470543E-2</v>
      </c>
      <c r="G739" s="35">
        <f t="shared" si="660"/>
        <v>9.5493165089379689E-2</v>
      </c>
      <c r="H739" s="35">
        <f t="shared" si="660"/>
        <v>9.7916033297140881E-2</v>
      </c>
      <c r="I739" s="35">
        <f t="shared" si="660"/>
        <v>9.7412885554364712E-2</v>
      </c>
      <c r="J739" s="35">
        <f t="shared" si="660"/>
        <v>9.4081736909323144E-2</v>
      </c>
      <c r="K739" s="35">
        <f t="shared" si="660"/>
        <v>9.5964256319811994E-2</v>
      </c>
      <c r="L739" s="35">
        <f t="shared" si="660"/>
        <v>9.4552181500872703E-2</v>
      </c>
      <c r="M739" s="35">
        <f t="shared" si="660"/>
        <v>9.8408937198067661E-2</v>
      </c>
      <c r="N739" s="35">
        <f t="shared" si="660"/>
        <v>9.8397787397787539E-2</v>
      </c>
      <c r="O739" s="35">
        <f t="shared" si="660"/>
        <v>9.2712734339277653E-2</v>
      </c>
      <c r="P739" s="35">
        <f t="shared" si="660"/>
        <v>9.8408937198067661E-2</v>
      </c>
      <c r="Q739" s="35">
        <f t="shared" si="660"/>
        <v>9.8408937198067661E-2</v>
      </c>
      <c r="R739" s="35">
        <f t="shared" si="660"/>
        <v>9.6929629629629671E-2</v>
      </c>
      <c r="S739" s="35">
        <f t="shared" si="660"/>
        <v>9.7416906130268238E-2</v>
      </c>
      <c r="T739" s="35">
        <f t="shared" si="660"/>
        <v>9.5742433862433821E-2</v>
      </c>
      <c r="U739" s="35">
        <f t="shared" si="660"/>
        <v>8.7892599784250264E-2</v>
      </c>
      <c r="V739" s="35">
        <f t="shared" si="660"/>
        <v>9.5742433862433821E-2</v>
      </c>
      <c r="W739" s="35">
        <f t="shared" si="660"/>
        <v>9.8408937198067661E-2</v>
      </c>
      <c r="Y739" s="390"/>
      <c r="Z739" s="390"/>
      <c r="AA739" s="390"/>
      <c r="AB739" s="390"/>
      <c r="AC739" s="390"/>
      <c r="AD739" s="390"/>
      <c r="AE739" s="390"/>
      <c r="AF739" s="390"/>
      <c r="AG739" s="390"/>
      <c r="AH739" s="390"/>
      <c r="AI739" s="390"/>
      <c r="AJ739" s="390"/>
      <c r="AK739" s="390"/>
      <c r="AL739" s="390"/>
      <c r="AM739" s="390"/>
      <c r="AN739" s="390"/>
      <c r="AO739" s="390"/>
      <c r="AP739" s="390"/>
      <c r="AQ739" s="390"/>
      <c r="AR739" s="390"/>
      <c r="AS739" s="390"/>
    </row>
    <row r="740" spans="1:45" ht="21" thickBot="1" x14ac:dyDescent="0.35">
      <c r="Y740" s="390"/>
      <c r="Z740" s="390"/>
      <c r="AA740" s="390"/>
      <c r="AB740" s="390"/>
      <c r="AC740" s="390"/>
      <c r="AD740" s="390"/>
      <c r="AE740" s="390"/>
      <c r="AF740" s="390"/>
      <c r="AG740" s="390"/>
      <c r="AH740" s="390"/>
      <c r="AI740" s="390"/>
      <c r="AJ740" s="390"/>
      <c r="AK740" s="390"/>
      <c r="AL740" s="390"/>
      <c r="AM740" s="390"/>
      <c r="AN740" s="390"/>
      <c r="AO740" s="390"/>
      <c r="AP740" s="390"/>
      <c r="AQ740" s="390"/>
      <c r="AR740" s="390"/>
      <c r="AS740" s="390"/>
    </row>
    <row r="741" spans="1:45" ht="21" thickBot="1" x14ac:dyDescent="0.35">
      <c r="A741" s="15" t="s">
        <v>336</v>
      </c>
      <c r="B741" s="74" t="s">
        <v>141</v>
      </c>
      <c r="C741" s="68"/>
      <c r="D741" s="17" t="s">
        <v>5</v>
      </c>
      <c r="E741" s="18" t="s">
        <v>6</v>
      </c>
      <c r="F741" s="18" t="s">
        <v>7</v>
      </c>
      <c r="G741" s="18" t="s">
        <v>8</v>
      </c>
      <c r="H741" s="18" t="s">
        <v>9</v>
      </c>
      <c r="I741" s="18" t="s">
        <v>10</v>
      </c>
      <c r="J741" s="18" t="s">
        <v>11</v>
      </c>
      <c r="K741" s="18" t="s">
        <v>12</v>
      </c>
      <c r="L741" s="18" t="s">
        <v>13</v>
      </c>
      <c r="M741" s="18" t="s">
        <v>14</v>
      </c>
      <c r="N741" s="18" t="s">
        <v>15</v>
      </c>
      <c r="O741" s="18" t="s">
        <v>16</v>
      </c>
      <c r="P741" s="18" t="s">
        <v>17</v>
      </c>
      <c r="Q741" s="18" t="s">
        <v>18</v>
      </c>
      <c r="R741" s="18" t="s">
        <v>19</v>
      </c>
      <c r="S741" s="18" t="s">
        <v>20</v>
      </c>
      <c r="T741" s="18" t="s">
        <v>21</v>
      </c>
      <c r="U741" s="18" t="s">
        <v>22</v>
      </c>
      <c r="V741" s="18" t="s">
        <v>23</v>
      </c>
      <c r="W741" s="18" t="s">
        <v>166</v>
      </c>
      <c r="Y741" s="390"/>
      <c r="Z741" s="390"/>
      <c r="AA741" s="390"/>
      <c r="AB741" s="390"/>
      <c r="AC741" s="390"/>
      <c r="AD741" s="390"/>
      <c r="AE741" s="390"/>
      <c r="AF741" s="390"/>
      <c r="AG741" s="390"/>
      <c r="AH741" s="390"/>
      <c r="AI741" s="390"/>
      <c r="AJ741" s="390"/>
      <c r="AK741" s="390"/>
      <c r="AL741" s="390"/>
      <c r="AM741" s="390"/>
      <c r="AN741" s="390"/>
      <c r="AO741" s="390"/>
      <c r="AP741" s="390"/>
      <c r="AQ741" s="390"/>
      <c r="AR741" s="390"/>
      <c r="AS741" s="390"/>
    </row>
    <row r="742" spans="1:45" x14ac:dyDescent="0.3">
      <c r="B742" s="69" t="s">
        <v>50</v>
      </c>
      <c r="C742" s="70"/>
      <c r="D742" s="20">
        <v>60</v>
      </c>
      <c r="E742" s="20">
        <v>60</v>
      </c>
      <c r="F742" s="20">
        <v>60</v>
      </c>
      <c r="G742" s="20">
        <v>60</v>
      </c>
      <c r="H742" s="20">
        <v>60</v>
      </c>
      <c r="I742" s="20">
        <v>60</v>
      </c>
      <c r="J742" s="20">
        <v>60</v>
      </c>
      <c r="K742" s="20">
        <v>60</v>
      </c>
      <c r="L742" s="20">
        <v>60</v>
      </c>
      <c r="M742" s="20">
        <v>60</v>
      </c>
      <c r="N742" s="20">
        <v>60</v>
      </c>
      <c r="O742" s="20">
        <v>60</v>
      </c>
      <c r="P742" s="20">
        <v>60</v>
      </c>
      <c r="Q742" s="20">
        <v>60</v>
      </c>
      <c r="R742" s="20">
        <v>60</v>
      </c>
      <c r="S742" s="20">
        <v>60</v>
      </c>
      <c r="T742" s="20"/>
      <c r="U742" s="20"/>
      <c r="V742" s="20"/>
      <c r="W742" s="20">
        <v>60</v>
      </c>
      <c r="Y742" s="390"/>
      <c r="Z742" s="390"/>
      <c r="AA742" s="390"/>
      <c r="AB742" s="390"/>
      <c r="AC742" s="390"/>
      <c r="AD742" s="390"/>
      <c r="AE742" s="390"/>
      <c r="AF742" s="390"/>
      <c r="AG742" s="390"/>
      <c r="AH742" s="390"/>
      <c r="AI742" s="390"/>
      <c r="AJ742" s="390"/>
      <c r="AK742" s="390"/>
      <c r="AL742" s="390"/>
      <c r="AM742" s="390"/>
      <c r="AN742" s="390"/>
      <c r="AO742" s="390"/>
      <c r="AP742" s="390"/>
      <c r="AQ742" s="390"/>
      <c r="AR742" s="390"/>
      <c r="AS742" s="390"/>
    </row>
    <row r="743" spans="1:45" x14ac:dyDescent="0.3">
      <c r="B743" s="54" t="s">
        <v>51</v>
      </c>
      <c r="C743" s="55"/>
      <c r="D743" s="322">
        <v>0.4</v>
      </c>
      <c r="E743" s="322">
        <f>D743</f>
        <v>0.4</v>
      </c>
      <c r="F743" s="322">
        <f>D743</f>
        <v>0.4</v>
      </c>
      <c r="G743" s="322">
        <f>D743</f>
        <v>0.4</v>
      </c>
      <c r="H743" s="322">
        <f>D743</f>
        <v>0.4</v>
      </c>
      <c r="I743" s="322">
        <f>D743</f>
        <v>0.4</v>
      </c>
      <c r="J743" s="322">
        <f>D743</f>
        <v>0.4</v>
      </c>
      <c r="K743" s="322">
        <f>D743</f>
        <v>0.4</v>
      </c>
      <c r="L743" s="322">
        <f>D743</f>
        <v>0.4</v>
      </c>
      <c r="M743" s="322">
        <f>D743</f>
        <v>0.4</v>
      </c>
      <c r="N743" s="322">
        <f>D743</f>
        <v>0.4</v>
      </c>
      <c r="O743" s="322">
        <f>D743</f>
        <v>0.4</v>
      </c>
      <c r="P743" s="322">
        <f>D743</f>
        <v>0.4</v>
      </c>
      <c r="Q743" s="322">
        <f>D743</f>
        <v>0.4</v>
      </c>
      <c r="R743" s="322">
        <f>D743</f>
        <v>0.4</v>
      </c>
      <c r="S743" s="322">
        <f>D743</f>
        <v>0.4</v>
      </c>
      <c r="T743" s="218"/>
      <c r="U743" s="218"/>
      <c r="V743" s="218"/>
      <c r="W743" s="322">
        <f>J743</f>
        <v>0.4</v>
      </c>
      <c r="Y743" s="390"/>
      <c r="Z743" s="390"/>
      <c r="AA743" s="390"/>
      <c r="AB743" s="390"/>
      <c r="AC743" s="390"/>
      <c r="AD743" s="390"/>
      <c r="AE743" s="390"/>
      <c r="AF743" s="390"/>
      <c r="AG743" s="390"/>
      <c r="AH743" s="390"/>
      <c r="AI743" s="390"/>
      <c r="AJ743" s="390"/>
      <c r="AK743" s="390"/>
      <c r="AL743" s="390"/>
      <c r="AM743" s="390"/>
      <c r="AN743" s="390"/>
      <c r="AO743" s="390"/>
      <c r="AP743" s="390"/>
      <c r="AQ743" s="390"/>
      <c r="AR743" s="390"/>
      <c r="AS743" s="390"/>
    </row>
    <row r="744" spans="1:45" x14ac:dyDescent="0.3">
      <c r="B744" s="54" t="s">
        <v>56</v>
      </c>
      <c r="C744" s="55"/>
      <c r="D744" s="21">
        <v>0</v>
      </c>
      <c r="E744" s="21">
        <v>0</v>
      </c>
      <c r="F744" s="21">
        <v>0</v>
      </c>
      <c r="G744" s="21">
        <v>0</v>
      </c>
      <c r="H744" s="21">
        <v>0</v>
      </c>
      <c r="I744" s="21">
        <v>0</v>
      </c>
      <c r="J744" s="21">
        <v>0</v>
      </c>
      <c r="K744" s="21">
        <v>0</v>
      </c>
      <c r="L744" s="21">
        <v>0</v>
      </c>
      <c r="M744" s="21">
        <v>0</v>
      </c>
      <c r="N744" s="21">
        <v>0</v>
      </c>
      <c r="O744" s="21">
        <v>0</v>
      </c>
      <c r="P744" s="21">
        <v>0</v>
      </c>
      <c r="Q744" s="21">
        <v>0</v>
      </c>
      <c r="R744" s="21">
        <v>0</v>
      </c>
      <c r="S744" s="21">
        <v>0</v>
      </c>
      <c r="T744" s="21"/>
      <c r="U744" s="21"/>
      <c r="V744" s="21"/>
      <c r="W744" s="21">
        <v>0</v>
      </c>
      <c r="Y744" s="390"/>
      <c r="Z744" s="390"/>
      <c r="AA744" s="390"/>
      <c r="AB744" s="390"/>
      <c r="AC744" s="390"/>
      <c r="AD744" s="390"/>
      <c r="AE744" s="390"/>
      <c r="AF744" s="390"/>
      <c r="AG744" s="390"/>
      <c r="AH744" s="390"/>
      <c r="AI744" s="390"/>
      <c r="AJ744" s="390"/>
      <c r="AK744" s="390"/>
      <c r="AL744" s="390"/>
      <c r="AM744" s="390"/>
      <c r="AN744" s="390"/>
      <c r="AO744" s="390"/>
      <c r="AP744" s="390"/>
      <c r="AQ744" s="390"/>
      <c r="AR744" s="390"/>
      <c r="AS744" s="390"/>
    </row>
    <row r="745" spans="1:45" x14ac:dyDescent="0.3">
      <c r="B745" s="177" t="s">
        <v>67</v>
      </c>
      <c r="C745" s="178"/>
      <c r="D745" s="323">
        <f>D742-(D742*D743)</f>
        <v>36</v>
      </c>
      <c r="E745" s="323">
        <f t="shared" ref="E745:W745" si="661">E742-(E742*E743)</f>
        <v>36</v>
      </c>
      <c r="F745" s="323">
        <f t="shared" si="661"/>
        <v>36</v>
      </c>
      <c r="G745" s="323">
        <f t="shared" si="661"/>
        <v>36</v>
      </c>
      <c r="H745" s="323">
        <f t="shared" si="661"/>
        <v>36</v>
      </c>
      <c r="I745" s="323">
        <f t="shared" si="661"/>
        <v>36</v>
      </c>
      <c r="J745" s="323">
        <f t="shared" si="661"/>
        <v>36</v>
      </c>
      <c r="K745" s="323">
        <f t="shared" si="661"/>
        <v>36</v>
      </c>
      <c r="L745" s="323">
        <f t="shared" si="661"/>
        <v>36</v>
      </c>
      <c r="M745" s="323">
        <f t="shared" si="661"/>
        <v>36</v>
      </c>
      <c r="N745" s="323">
        <f t="shared" si="661"/>
        <v>36</v>
      </c>
      <c r="O745" s="323">
        <f t="shared" si="661"/>
        <v>36</v>
      </c>
      <c r="P745" s="323">
        <f t="shared" si="661"/>
        <v>36</v>
      </c>
      <c r="Q745" s="323">
        <f t="shared" si="661"/>
        <v>36</v>
      </c>
      <c r="R745" s="323">
        <f t="shared" si="661"/>
        <v>36</v>
      </c>
      <c r="S745" s="323">
        <f t="shared" si="661"/>
        <v>36</v>
      </c>
      <c r="T745" s="323">
        <f t="shared" si="661"/>
        <v>0</v>
      </c>
      <c r="U745" s="323">
        <f t="shared" si="661"/>
        <v>0</v>
      </c>
      <c r="V745" s="323">
        <f t="shared" si="661"/>
        <v>0</v>
      </c>
      <c r="W745" s="323">
        <f t="shared" si="661"/>
        <v>36</v>
      </c>
      <c r="Y745" s="390"/>
      <c r="Z745" s="390"/>
      <c r="AA745" s="390"/>
      <c r="AB745" s="390"/>
      <c r="AC745" s="390"/>
      <c r="AD745" s="390"/>
      <c r="AE745" s="390"/>
      <c r="AF745" s="390"/>
      <c r="AG745" s="390"/>
      <c r="AH745" s="390"/>
      <c r="AI745" s="390"/>
      <c r="AJ745" s="390"/>
      <c r="AK745" s="390"/>
      <c r="AL745" s="390"/>
      <c r="AM745" s="390"/>
      <c r="AN745" s="390"/>
      <c r="AO745" s="390"/>
      <c r="AP745" s="390"/>
      <c r="AQ745" s="390"/>
      <c r="AR745" s="390"/>
      <c r="AS745" s="390"/>
    </row>
    <row r="746" spans="1:45" x14ac:dyDescent="0.3">
      <c r="B746" s="54" t="s">
        <v>66</v>
      </c>
      <c r="C746" s="56">
        <v>7.0000000000000007E-2</v>
      </c>
      <c r="D746" s="24">
        <f>D745*$C746</f>
        <v>2.5200000000000005</v>
      </c>
      <c r="E746" s="24">
        <f t="shared" ref="E746:V746" si="662">E745*$C746</f>
        <v>2.5200000000000005</v>
      </c>
      <c r="F746" s="24">
        <f t="shared" si="662"/>
        <v>2.5200000000000005</v>
      </c>
      <c r="G746" s="24">
        <f t="shared" si="662"/>
        <v>2.5200000000000005</v>
      </c>
      <c r="H746" s="24">
        <f t="shared" si="662"/>
        <v>2.5200000000000005</v>
      </c>
      <c r="I746" s="24">
        <f t="shared" si="662"/>
        <v>2.5200000000000005</v>
      </c>
      <c r="J746" s="24">
        <f t="shared" si="662"/>
        <v>2.5200000000000005</v>
      </c>
      <c r="K746" s="24">
        <f t="shared" si="662"/>
        <v>2.5200000000000005</v>
      </c>
      <c r="L746" s="24">
        <f t="shared" si="662"/>
        <v>2.5200000000000005</v>
      </c>
      <c r="M746" s="24">
        <f t="shared" si="662"/>
        <v>2.5200000000000005</v>
      </c>
      <c r="N746" s="24">
        <f t="shared" si="662"/>
        <v>2.5200000000000005</v>
      </c>
      <c r="O746" s="24">
        <f t="shared" si="662"/>
        <v>2.5200000000000005</v>
      </c>
      <c r="P746" s="24">
        <f t="shared" si="662"/>
        <v>2.5200000000000005</v>
      </c>
      <c r="Q746" s="24">
        <f t="shared" si="662"/>
        <v>2.5200000000000005</v>
      </c>
      <c r="R746" s="24">
        <f t="shared" si="662"/>
        <v>2.5200000000000005</v>
      </c>
      <c r="S746" s="24">
        <f t="shared" si="662"/>
        <v>2.5200000000000005</v>
      </c>
      <c r="T746" s="24">
        <f t="shared" si="662"/>
        <v>0</v>
      </c>
      <c r="U746" s="24">
        <f t="shared" si="662"/>
        <v>0</v>
      </c>
      <c r="V746" s="24">
        <f t="shared" si="662"/>
        <v>0</v>
      </c>
      <c r="W746" s="24">
        <f>W745*$C746</f>
        <v>2.5200000000000005</v>
      </c>
      <c r="Y746" s="390"/>
      <c r="Z746" s="390"/>
      <c r="AA746" s="390"/>
      <c r="AB746" s="390"/>
      <c r="AC746" s="390"/>
      <c r="AD746" s="390"/>
      <c r="AE746" s="390"/>
      <c r="AF746" s="390"/>
      <c r="AG746" s="390"/>
      <c r="AH746" s="390"/>
      <c r="AI746" s="390"/>
      <c r="AJ746" s="390"/>
      <c r="AK746" s="390"/>
      <c r="AL746" s="390"/>
      <c r="AM746" s="390"/>
      <c r="AN746" s="390"/>
      <c r="AO746" s="390"/>
      <c r="AP746" s="390"/>
      <c r="AQ746" s="390"/>
      <c r="AR746" s="390"/>
      <c r="AS746" s="390"/>
    </row>
    <row r="747" spans="1:45" x14ac:dyDescent="0.3">
      <c r="B747" s="54" t="s">
        <v>68</v>
      </c>
      <c r="C747" s="55"/>
      <c r="D747" s="21">
        <f>D745+D746</f>
        <v>38.520000000000003</v>
      </c>
      <c r="E747" s="21">
        <f t="shared" ref="E747:V747" si="663">E745+E746</f>
        <v>38.520000000000003</v>
      </c>
      <c r="F747" s="21">
        <f t="shared" si="663"/>
        <v>38.520000000000003</v>
      </c>
      <c r="G747" s="21">
        <f t="shared" si="663"/>
        <v>38.520000000000003</v>
      </c>
      <c r="H747" s="21">
        <f t="shared" si="663"/>
        <v>38.520000000000003</v>
      </c>
      <c r="I747" s="21">
        <f t="shared" si="663"/>
        <v>38.520000000000003</v>
      </c>
      <c r="J747" s="21">
        <f t="shared" si="663"/>
        <v>38.520000000000003</v>
      </c>
      <c r="K747" s="21">
        <f t="shared" si="663"/>
        <v>38.520000000000003</v>
      </c>
      <c r="L747" s="21">
        <f t="shared" si="663"/>
        <v>38.520000000000003</v>
      </c>
      <c r="M747" s="21">
        <f t="shared" si="663"/>
        <v>38.520000000000003</v>
      </c>
      <c r="N747" s="21">
        <f t="shared" si="663"/>
        <v>38.520000000000003</v>
      </c>
      <c r="O747" s="21">
        <f t="shared" si="663"/>
        <v>38.520000000000003</v>
      </c>
      <c r="P747" s="21">
        <f t="shared" si="663"/>
        <v>38.520000000000003</v>
      </c>
      <c r="Q747" s="21">
        <f t="shared" si="663"/>
        <v>38.520000000000003</v>
      </c>
      <c r="R747" s="21">
        <f t="shared" si="663"/>
        <v>38.520000000000003</v>
      </c>
      <c r="S747" s="21">
        <f t="shared" si="663"/>
        <v>38.520000000000003</v>
      </c>
      <c r="T747" s="21">
        <f t="shared" si="663"/>
        <v>0</v>
      </c>
      <c r="U747" s="21">
        <f t="shared" si="663"/>
        <v>0</v>
      </c>
      <c r="V747" s="21">
        <f t="shared" si="663"/>
        <v>0</v>
      </c>
      <c r="W747" s="21">
        <f>W745+W746</f>
        <v>38.520000000000003</v>
      </c>
      <c r="Y747" s="390"/>
      <c r="Z747" s="390"/>
      <c r="AA747" s="390"/>
      <c r="AB747" s="390"/>
      <c r="AC747" s="390"/>
      <c r="AD747" s="390"/>
      <c r="AE747" s="390"/>
      <c r="AF747" s="390"/>
      <c r="AG747" s="390"/>
      <c r="AH747" s="390"/>
      <c r="AI747" s="390"/>
      <c r="AJ747" s="390"/>
      <c r="AK747" s="390"/>
      <c r="AL747" s="390"/>
      <c r="AM747" s="390"/>
      <c r="AN747" s="390"/>
      <c r="AO747" s="390"/>
      <c r="AP747" s="390"/>
      <c r="AQ747" s="390"/>
      <c r="AR747" s="390"/>
      <c r="AS747" s="390"/>
    </row>
    <row r="748" spans="1:45" x14ac:dyDescent="0.3">
      <c r="B748" s="54" t="s">
        <v>52</v>
      </c>
      <c r="C748" s="55"/>
      <c r="D748" s="398">
        <f>Y750</f>
        <v>2.123728813559322</v>
      </c>
      <c r="E748" s="398">
        <f t="shared" ref="E748:W748" si="664">Z750</f>
        <v>4.8240677966101693</v>
      </c>
      <c r="F748" s="398">
        <f t="shared" si="664"/>
        <v>5.7889830508474578</v>
      </c>
      <c r="G748" s="398">
        <f t="shared" si="664"/>
        <v>3.8593220338983052</v>
      </c>
      <c r="H748" s="398">
        <f t="shared" si="664"/>
        <v>2.0674576271186442</v>
      </c>
      <c r="I748" s="398">
        <f t="shared" si="664"/>
        <v>2.7566101694915255</v>
      </c>
      <c r="J748" s="398">
        <f t="shared" si="664"/>
        <v>4.2728813559322036</v>
      </c>
      <c r="K748" s="398">
        <f t="shared" si="664"/>
        <v>3.5010169491525422</v>
      </c>
      <c r="L748" s="398">
        <f t="shared" si="664"/>
        <v>4.1349152542372885</v>
      </c>
      <c r="M748" s="398">
        <f t="shared" si="664"/>
        <v>1.9847457627118643</v>
      </c>
      <c r="N748" s="398">
        <f t="shared" si="664"/>
        <v>2.2054237288135594</v>
      </c>
      <c r="O748" s="398">
        <f t="shared" si="664"/>
        <v>5.1832203389830509</v>
      </c>
      <c r="P748" s="398">
        <f t="shared" si="664"/>
        <v>1.9847457627118643</v>
      </c>
      <c r="Q748" s="398">
        <f t="shared" si="664"/>
        <v>1.9847457627118643</v>
      </c>
      <c r="R748" s="398">
        <f t="shared" si="664"/>
        <v>2.6188135593220339</v>
      </c>
      <c r="S748" s="398">
        <f t="shared" si="664"/>
        <v>2.4810169491525422</v>
      </c>
      <c r="T748" s="398">
        <f t="shared" si="664"/>
        <v>0</v>
      </c>
      <c r="U748" s="398">
        <v>0</v>
      </c>
      <c r="V748" s="398">
        <f t="shared" si="664"/>
        <v>0</v>
      </c>
      <c r="W748" s="398">
        <f t="shared" si="664"/>
        <v>1.9847457627118643</v>
      </c>
      <c r="Y748" s="390">
        <v>12530</v>
      </c>
      <c r="Z748" s="390">
        <v>28462</v>
      </c>
      <c r="AA748" s="390">
        <v>34155</v>
      </c>
      <c r="AB748" s="390">
        <v>22770</v>
      </c>
      <c r="AC748" s="390">
        <v>12198</v>
      </c>
      <c r="AD748" s="390">
        <v>16264</v>
      </c>
      <c r="AE748" s="390">
        <v>25210</v>
      </c>
      <c r="AF748" s="390">
        <v>20656</v>
      </c>
      <c r="AG748" s="390">
        <v>24396</v>
      </c>
      <c r="AH748" s="390">
        <v>11710</v>
      </c>
      <c r="AI748" s="390">
        <v>13012</v>
      </c>
      <c r="AJ748" s="390">
        <v>30581</v>
      </c>
      <c r="AK748" s="396">
        <v>11710</v>
      </c>
      <c r="AL748" s="396">
        <v>11710</v>
      </c>
      <c r="AM748" s="390">
        <v>15451</v>
      </c>
      <c r="AN748" s="390">
        <v>14638</v>
      </c>
      <c r="AO748" s="390"/>
      <c r="AP748" s="396">
        <v>30581</v>
      </c>
      <c r="AQ748" s="390"/>
      <c r="AR748" s="396">
        <v>11710</v>
      </c>
      <c r="AS748" s="390"/>
    </row>
    <row r="749" spans="1:45" x14ac:dyDescent="0.3">
      <c r="B749" s="57" t="s">
        <v>53</v>
      </c>
      <c r="C749" s="58"/>
      <c r="D749" s="25">
        <f>SUM(D747:D748)</f>
        <v>40.643728813559328</v>
      </c>
      <c r="E749" s="26">
        <f t="shared" ref="E749:V749" si="665">SUM(E747:E748)</f>
        <v>43.344067796610176</v>
      </c>
      <c r="F749" s="26">
        <f t="shared" si="665"/>
        <v>44.308983050847459</v>
      </c>
      <c r="G749" s="26">
        <f t="shared" si="665"/>
        <v>42.379322033898305</v>
      </c>
      <c r="H749" s="26">
        <f t="shared" si="665"/>
        <v>40.587457627118646</v>
      </c>
      <c r="I749" s="26">
        <f t="shared" si="665"/>
        <v>41.276610169491526</v>
      </c>
      <c r="J749" s="26">
        <f t="shared" si="665"/>
        <v>42.792881355932209</v>
      </c>
      <c r="K749" s="26">
        <f t="shared" si="665"/>
        <v>42.021016949152546</v>
      </c>
      <c r="L749" s="26">
        <f t="shared" si="665"/>
        <v>42.654915254237295</v>
      </c>
      <c r="M749" s="26">
        <f t="shared" si="665"/>
        <v>40.50474576271187</v>
      </c>
      <c r="N749" s="26">
        <f t="shared" si="665"/>
        <v>40.72542372881356</v>
      </c>
      <c r="O749" s="26">
        <f t="shared" si="665"/>
        <v>43.703220338983051</v>
      </c>
      <c r="P749" s="26">
        <f t="shared" si="665"/>
        <v>40.50474576271187</v>
      </c>
      <c r="Q749" s="26">
        <f t="shared" si="665"/>
        <v>40.50474576271187</v>
      </c>
      <c r="R749" s="26">
        <f t="shared" si="665"/>
        <v>41.138813559322038</v>
      </c>
      <c r="S749" s="26">
        <f t="shared" si="665"/>
        <v>41.001016949152543</v>
      </c>
      <c r="T749" s="26">
        <f t="shared" si="665"/>
        <v>0</v>
      </c>
      <c r="U749" s="26">
        <f t="shared" si="665"/>
        <v>0</v>
      </c>
      <c r="V749" s="26">
        <f t="shared" si="665"/>
        <v>0</v>
      </c>
      <c r="W749" s="26">
        <f>SUM(W747:W748)</f>
        <v>40.50474576271187</v>
      </c>
      <c r="Y749" s="390">
        <v>5900</v>
      </c>
      <c r="Z749" s="390">
        <v>5900</v>
      </c>
      <c r="AA749" s="390">
        <v>5900</v>
      </c>
      <c r="AB749" s="390">
        <v>5900</v>
      </c>
      <c r="AC749" s="390">
        <v>5900</v>
      </c>
      <c r="AD749" s="390">
        <v>5900</v>
      </c>
      <c r="AE749" s="390">
        <v>5900</v>
      </c>
      <c r="AF749" s="390">
        <v>5900</v>
      </c>
      <c r="AG749" s="390">
        <v>5900</v>
      </c>
      <c r="AH749" s="390">
        <v>5900</v>
      </c>
      <c r="AI749" s="390">
        <v>5900</v>
      </c>
      <c r="AJ749" s="390">
        <v>5900</v>
      </c>
      <c r="AK749" s="390">
        <v>5900</v>
      </c>
      <c r="AL749" s="390">
        <v>5900</v>
      </c>
      <c r="AM749" s="390">
        <v>5900</v>
      </c>
      <c r="AN749" s="390">
        <v>5900</v>
      </c>
      <c r="AO749" s="390"/>
      <c r="AP749" s="390">
        <v>5900</v>
      </c>
      <c r="AQ749" s="390"/>
      <c r="AR749" s="390">
        <v>5900</v>
      </c>
      <c r="AS749" s="390"/>
    </row>
    <row r="750" spans="1:45" x14ac:dyDescent="0.3">
      <c r="B750" s="54" t="s">
        <v>54</v>
      </c>
      <c r="C750" s="55"/>
      <c r="D750" s="20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Y750" s="389">
        <f>Y748/Y749</f>
        <v>2.123728813559322</v>
      </c>
      <c r="Z750" s="389">
        <f t="shared" ref="Z750:AN750" si="666">Z748/Z749</f>
        <v>4.8240677966101693</v>
      </c>
      <c r="AA750" s="389">
        <f t="shared" si="666"/>
        <v>5.7889830508474578</v>
      </c>
      <c r="AB750" s="389">
        <f t="shared" si="666"/>
        <v>3.8593220338983052</v>
      </c>
      <c r="AC750" s="389">
        <f t="shared" si="666"/>
        <v>2.0674576271186442</v>
      </c>
      <c r="AD750" s="389">
        <f t="shared" si="666"/>
        <v>2.7566101694915255</v>
      </c>
      <c r="AE750" s="389">
        <f t="shared" si="666"/>
        <v>4.2728813559322036</v>
      </c>
      <c r="AF750" s="389">
        <f t="shared" si="666"/>
        <v>3.5010169491525422</v>
      </c>
      <c r="AG750" s="389">
        <f t="shared" si="666"/>
        <v>4.1349152542372885</v>
      </c>
      <c r="AH750" s="389">
        <f t="shared" si="666"/>
        <v>1.9847457627118643</v>
      </c>
      <c r="AI750" s="389">
        <f t="shared" si="666"/>
        <v>2.2054237288135594</v>
      </c>
      <c r="AJ750" s="389">
        <f t="shared" si="666"/>
        <v>5.1832203389830509</v>
      </c>
      <c r="AK750" s="389">
        <f t="shared" si="666"/>
        <v>1.9847457627118643</v>
      </c>
      <c r="AL750" s="389">
        <f t="shared" si="666"/>
        <v>1.9847457627118643</v>
      </c>
      <c r="AM750" s="389">
        <f t="shared" si="666"/>
        <v>2.6188135593220339</v>
      </c>
      <c r="AN750" s="389">
        <f t="shared" si="666"/>
        <v>2.4810169491525422</v>
      </c>
      <c r="AO750" s="390"/>
      <c r="AP750" s="389">
        <f t="shared" ref="AP750" si="667">AP748/AP749</f>
        <v>5.1832203389830509</v>
      </c>
      <c r="AQ750" s="390"/>
      <c r="AR750" s="389">
        <f t="shared" ref="AR750" si="668">AR748/AR749</f>
        <v>1.9847457627118643</v>
      </c>
      <c r="AS750" s="390"/>
    </row>
    <row r="751" spans="1:45" x14ac:dyDescent="0.3">
      <c r="B751" s="59" t="s">
        <v>55</v>
      </c>
      <c r="C751" s="60"/>
      <c r="D751" s="27">
        <f>SUM(D749:D750)</f>
        <v>40.643728813559328</v>
      </c>
      <c r="E751" s="41">
        <f t="shared" ref="E751:V751" si="669">SUM(E749:E750)</f>
        <v>43.344067796610176</v>
      </c>
      <c r="F751" s="41">
        <f t="shared" si="669"/>
        <v>44.308983050847459</v>
      </c>
      <c r="G751" s="41">
        <f t="shared" si="669"/>
        <v>42.379322033898305</v>
      </c>
      <c r="H751" s="41">
        <f t="shared" si="669"/>
        <v>40.587457627118646</v>
      </c>
      <c r="I751" s="41">
        <f t="shared" si="669"/>
        <v>41.276610169491526</v>
      </c>
      <c r="J751" s="41">
        <f t="shared" si="669"/>
        <v>42.792881355932209</v>
      </c>
      <c r="K751" s="41">
        <f t="shared" si="669"/>
        <v>42.021016949152546</v>
      </c>
      <c r="L751" s="41">
        <f t="shared" si="669"/>
        <v>42.654915254237295</v>
      </c>
      <c r="M751" s="41">
        <f t="shared" si="669"/>
        <v>40.50474576271187</v>
      </c>
      <c r="N751" s="41">
        <f t="shared" si="669"/>
        <v>40.72542372881356</v>
      </c>
      <c r="O751" s="41">
        <f t="shared" si="669"/>
        <v>43.703220338983051</v>
      </c>
      <c r="P751" s="41">
        <f t="shared" si="669"/>
        <v>40.50474576271187</v>
      </c>
      <c r="Q751" s="41">
        <f t="shared" si="669"/>
        <v>40.50474576271187</v>
      </c>
      <c r="R751" s="41">
        <f t="shared" si="669"/>
        <v>41.138813559322038</v>
      </c>
      <c r="S751" s="41">
        <f t="shared" si="669"/>
        <v>41.001016949152543</v>
      </c>
      <c r="T751" s="41">
        <f t="shared" si="669"/>
        <v>0</v>
      </c>
      <c r="U751" s="41">
        <f t="shared" si="669"/>
        <v>0</v>
      </c>
      <c r="V751" s="41">
        <f t="shared" si="669"/>
        <v>0</v>
      </c>
      <c r="W751" s="41">
        <f>SUM(W749:W750)</f>
        <v>40.50474576271187</v>
      </c>
      <c r="Y751" s="390"/>
      <c r="Z751" s="390"/>
      <c r="AA751" s="390"/>
      <c r="AB751" s="390"/>
      <c r="AC751" s="390"/>
      <c r="AD751" s="390"/>
      <c r="AE751" s="390"/>
      <c r="AF751" s="390"/>
      <c r="AG751" s="390"/>
      <c r="AH751" s="390"/>
      <c r="AI751" s="390"/>
      <c r="AJ751" s="390"/>
      <c r="AK751" s="390"/>
      <c r="AL751" s="390"/>
      <c r="AM751" s="390"/>
      <c r="AN751" s="390"/>
      <c r="AO751" s="390"/>
      <c r="AP751" s="390"/>
      <c r="AQ751" s="390"/>
      <c r="AR751" s="390"/>
      <c r="AS751" s="390"/>
    </row>
    <row r="752" spans="1:45" x14ac:dyDescent="0.3">
      <c r="B752" s="61" t="s">
        <v>101</v>
      </c>
      <c r="C752" s="55"/>
      <c r="D752" s="43">
        <v>0</v>
      </c>
      <c r="E752" s="408">
        <v>0</v>
      </c>
      <c r="F752" s="408">
        <v>0</v>
      </c>
      <c r="G752" s="408">
        <v>0</v>
      </c>
      <c r="H752" s="408">
        <v>0</v>
      </c>
      <c r="I752" s="408">
        <v>0</v>
      </c>
      <c r="J752" s="408">
        <v>0</v>
      </c>
      <c r="K752" s="408">
        <v>0</v>
      </c>
      <c r="L752" s="408">
        <v>0</v>
      </c>
      <c r="M752" s="408">
        <v>0</v>
      </c>
      <c r="N752" s="408">
        <v>0</v>
      </c>
      <c r="O752" s="408">
        <v>0</v>
      </c>
      <c r="P752" s="408">
        <v>0</v>
      </c>
      <c r="Q752" s="408">
        <v>0</v>
      </c>
      <c r="R752" s="408">
        <v>0</v>
      </c>
      <c r="S752" s="408">
        <v>0</v>
      </c>
      <c r="T752" s="408">
        <v>0</v>
      </c>
      <c r="U752" s="408">
        <v>0</v>
      </c>
      <c r="V752" s="408">
        <v>0</v>
      </c>
      <c r="W752" s="408">
        <v>0</v>
      </c>
      <c r="Y752" s="409"/>
      <c r="Z752" s="409"/>
      <c r="AA752" s="409"/>
      <c r="AB752" s="409"/>
      <c r="AC752" s="409"/>
      <c r="AD752" s="409"/>
      <c r="AE752" s="409"/>
      <c r="AF752" s="409"/>
      <c r="AG752" s="409"/>
      <c r="AH752" s="409"/>
      <c r="AI752" s="409"/>
      <c r="AJ752" s="409"/>
      <c r="AK752" s="409"/>
      <c r="AL752" s="409"/>
      <c r="AM752" s="409"/>
      <c r="AN752" s="409"/>
      <c r="AO752" s="409"/>
      <c r="AP752" s="409"/>
      <c r="AQ752" s="409"/>
      <c r="AR752" s="409"/>
      <c r="AS752" s="409"/>
    </row>
    <row r="753" spans="2:45" x14ac:dyDescent="0.3">
      <c r="B753" s="61" t="s">
        <v>194</v>
      </c>
      <c r="C753" s="62"/>
      <c r="D753" s="28">
        <v>43</v>
      </c>
      <c r="E753" s="28">
        <v>46</v>
      </c>
      <c r="F753" s="28">
        <v>47</v>
      </c>
      <c r="G753" s="28">
        <v>45</v>
      </c>
      <c r="H753" s="28">
        <v>43</v>
      </c>
      <c r="I753" s="28">
        <v>44</v>
      </c>
      <c r="J753" s="28">
        <v>45</v>
      </c>
      <c r="K753" s="28">
        <v>45</v>
      </c>
      <c r="L753" s="28">
        <v>45</v>
      </c>
      <c r="M753" s="28">
        <v>43</v>
      </c>
      <c r="N753" s="28">
        <v>43</v>
      </c>
      <c r="O753" s="28">
        <v>46</v>
      </c>
      <c r="P753" s="28">
        <v>43</v>
      </c>
      <c r="Q753" s="28">
        <v>43</v>
      </c>
      <c r="R753" s="28">
        <v>44</v>
      </c>
      <c r="S753" s="28">
        <v>44</v>
      </c>
      <c r="T753" s="410">
        <v>0</v>
      </c>
      <c r="U753" s="410">
        <v>0</v>
      </c>
      <c r="V753" s="410">
        <v>0</v>
      </c>
      <c r="W753" s="28">
        <v>43</v>
      </c>
      <c r="Y753" s="390"/>
      <c r="Z753" s="390"/>
      <c r="AA753" s="390"/>
      <c r="AB753" s="390"/>
      <c r="AC753" s="390"/>
      <c r="AD753" s="390"/>
      <c r="AE753" s="390"/>
      <c r="AF753" s="390"/>
      <c r="AG753" s="390"/>
      <c r="AH753" s="390"/>
      <c r="AI753" s="390"/>
      <c r="AJ753" s="390"/>
      <c r="AK753" s="390"/>
      <c r="AL753" s="390"/>
      <c r="AM753" s="390"/>
      <c r="AN753" s="390"/>
      <c r="AO753" s="390"/>
      <c r="AP753" s="390"/>
      <c r="AQ753" s="390"/>
      <c r="AR753" s="390"/>
      <c r="AS753" s="390"/>
    </row>
    <row r="754" spans="2:45" x14ac:dyDescent="0.3">
      <c r="B754" s="61" t="s">
        <v>195</v>
      </c>
      <c r="C754" s="62"/>
      <c r="D754" s="28">
        <v>44</v>
      </c>
      <c r="E754" s="28">
        <v>47</v>
      </c>
      <c r="F754" s="28">
        <v>48</v>
      </c>
      <c r="G754" s="28">
        <v>46</v>
      </c>
      <c r="H754" s="28">
        <v>44</v>
      </c>
      <c r="I754" s="28">
        <v>45</v>
      </c>
      <c r="J754" s="28">
        <v>46</v>
      </c>
      <c r="K754" s="28">
        <v>46</v>
      </c>
      <c r="L754" s="28">
        <v>46</v>
      </c>
      <c r="M754" s="28">
        <v>44</v>
      </c>
      <c r="N754" s="28">
        <v>44</v>
      </c>
      <c r="O754" s="28">
        <v>47</v>
      </c>
      <c r="P754" s="28">
        <v>44</v>
      </c>
      <c r="Q754" s="28">
        <v>44</v>
      </c>
      <c r="R754" s="28">
        <v>45</v>
      </c>
      <c r="S754" s="28">
        <v>45</v>
      </c>
      <c r="T754" s="410">
        <v>0</v>
      </c>
      <c r="U754" s="410">
        <v>0</v>
      </c>
      <c r="V754" s="410">
        <v>0</v>
      </c>
      <c r="W754" s="28">
        <v>44</v>
      </c>
      <c r="Y754" s="390"/>
      <c r="Z754" s="390"/>
      <c r="AA754" s="390"/>
      <c r="AB754" s="390"/>
      <c r="AC754" s="390"/>
      <c r="AD754" s="390"/>
      <c r="AE754" s="390"/>
      <c r="AF754" s="390"/>
      <c r="AG754" s="390"/>
      <c r="AH754" s="390"/>
      <c r="AI754" s="390"/>
      <c r="AJ754" s="390"/>
      <c r="AK754" s="390"/>
      <c r="AL754" s="390"/>
      <c r="AM754" s="390"/>
      <c r="AN754" s="390"/>
      <c r="AO754" s="390"/>
      <c r="AP754" s="390"/>
      <c r="AQ754" s="390"/>
      <c r="AR754" s="390"/>
      <c r="AS754" s="390"/>
    </row>
    <row r="755" spans="2:45" x14ac:dyDescent="0.3">
      <c r="B755" s="61" t="s">
        <v>196</v>
      </c>
      <c r="C755" s="62"/>
      <c r="D755" s="28">
        <v>45</v>
      </c>
      <c r="E755" s="28">
        <v>48</v>
      </c>
      <c r="F755" s="28">
        <v>49</v>
      </c>
      <c r="G755" s="28">
        <v>47</v>
      </c>
      <c r="H755" s="28">
        <v>45</v>
      </c>
      <c r="I755" s="28">
        <v>46</v>
      </c>
      <c r="J755" s="28">
        <v>47</v>
      </c>
      <c r="K755" s="28">
        <v>47</v>
      </c>
      <c r="L755" s="28">
        <v>47</v>
      </c>
      <c r="M755" s="28">
        <v>45</v>
      </c>
      <c r="N755" s="28">
        <v>45</v>
      </c>
      <c r="O755" s="28">
        <v>48</v>
      </c>
      <c r="P755" s="28">
        <v>45</v>
      </c>
      <c r="Q755" s="28">
        <v>45</v>
      </c>
      <c r="R755" s="28">
        <v>46</v>
      </c>
      <c r="S755" s="28">
        <v>46</v>
      </c>
      <c r="T755" s="410">
        <v>0</v>
      </c>
      <c r="U755" s="410">
        <v>0</v>
      </c>
      <c r="V755" s="410">
        <v>0</v>
      </c>
      <c r="W755" s="28">
        <v>45</v>
      </c>
      <c r="Y755" s="390"/>
      <c r="Z755" s="390"/>
      <c r="AA755" s="390"/>
      <c r="AB755" s="390"/>
      <c r="AC755" s="390"/>
      <c r="AD755" s="390"/>
      <c r="AE755" s="390"/>
      <c r="AF755" s="390"/>
      <c r="AG755" s="390"/>
      <c r="AH755" s="390"/>
      <c r="AI755" s="390"/>
      <c r="AJ755" s="390"/>
      <c r="AK755" s="390"/>
      <c r="AL755" s="390"/>
      <c r="AM755" s="390"/>
      <c r="AN755" s="390"/>
      <c r="AO755" s="390"/>
      <c r="AP755" s="390"/>
      <c r="AQ755" s="390"/>
      <c r="AR755" s="390"/>
      <c r="AS755" s="390"/>
    </row>
    <row r="756" spans="2:45" x14ac:dyDescent="0.3">
      <c r="B756" s="61" t="s">
        <v>197</v>
      </c>
      <c r="C756" s="62"/>
      <c r="D756" s="28">
        <v>46</v>
      </c>
      <c r="E756" s="28">
        <v>49</v>
      </c>
      <c r="F756" s="28">
        <v>50</v>
      </c>
      <c r="G756" s="28">
        <v>48</v>
      </c>
      <c r="H756" s="28">
        <v>46</v>
      </c>
      <c r="I756" s="28">
        <v>47</v>
      </c>
      <c r="J756" s="28">
        <v>48</v>
      </c>
      <c r="K756" s="28">
        <v>48</v>
      </c>
      <c r="L756" s="28">
        <v>48</v>
      </c>
      <c r="M756" s="28">
        <v>46</v>
      </c>
      <c r="N756" s="28">
        <v>46</v>
      </c>
      <c r="O756" s="28">
        <v>49</v>
      </c>
      <c r="P756" s="28">
        <v>46</v>
      </c>
      <c r="Q756" s="28">
        <v>46</v>
      </c>
      <c r="R756" s="28">
        <v>47</v>
      </c>
      <c r="S756" s="28">
        <v>47</v>
      </c>
      <c r="T756" s="411">
        <v>0</v>
      </c>
      <c r="U756" s="411">
        <v>0</v>
      </c>
      <c r="V756" s="411">
        <v>0</v>
      </c>
      <c r="W756" s="28">
        <v>46</v>
      </c>
      <c r="Y756" s="390"/>
      <c r="Z756" s="390"/>
      <c r="AA756" s="390"/>
      <c r="AB756" s="390"/>
      <c r="AC756" s="390"/>
      <c r="AD756" s="390"/>
      <c r="AE756" s="390"/>
      <c r="AF756" s="390"/>
      <c r="AG756" s="390"/>
      <c r="AH756" s="390"/>
      <c r="AI756" s="390"/>
      <c r="AJ756" s="390"/>
      <c r="AK756" s="390"/>
      <c r="AL756" s="390"/>
      <c r="AM756" s="390"/>
      <c r="AN756" s="390"/>
      <c r="AO756" s="390"/>
      <c r="AP756" s="390"/>
      <c r="AQ756" s="390"/>
      <c r="AR756" s="390"/>
      <c r="AS756" s="390"/>
    </row>
    <row r="757" spans="2:45" x14ac:dyDescent="0.3">
      <c r="B757" s="63" t="s">
        <v>103</v>
      </c>
      <c r="C757" s="55"/>
      <c r="D757" s="43">
        <v>0</v>
      </c>
      <c r="E757" s="408">
        <v>0</v>
      </c>
      <c r="F757" s="408">
        <v>0</v>
      </c>
      <c r="G757" s="408">
        <v>0</v>
      </c>
      <c r="H757" s="408">
        <v>0</v>
      </c>
      <c r="I757" s="408">
        <v>0</v>
      </c>
      <c r="J757" s="408">
        <v>0</v>
      </c>
      <c r="K757" s="408">
        <v>0</v>
      </c>
      <c r="L757" s="408">
        <v>0</v>
      </c>
      <c r="M757" s="408">
        <v>0</v>
      </c>
      <c r="N757" s="408">
        <v>0</v>
      </c>
      <c r="O757" s="408">
        <v>0</v>
      </c>
      <c r="P757" s="408">
        <v>0</v>
      </c>
      <c r="Q757" s="408">
        <v>0</v>
      </c>
      <c r="R757" s="408">
        <v>0</v>
      </c>
      <c r="S757" s="408">
        <v>0</v>
      </c>
      <c r="T757" s="408">
        <v>0</v>
      </c>
      <c r="U757" s="408">
        <v>0</v>
      </c>
      <c r="V757" s="408">
        <v>0</v>
      </c>
      <c r="W757" s="408">
        <v>0</v>
      </c>
      <c r="Y757" s="409"/>
      <c r="Z757" s="409"/>
      <c r="AA757" s="409"/>
      <c r="AB757" s="409"/>
      <c r="AC757" s="409"/>
      <c r="AD757" s="409"/>
      <c r="AE757" s="409"/>
      <c r="AF757" s="409"/>
      <c r="AG757" s="409"/>
      <c r="AH757" s="409"/>
      <c r="AI757" s="409"/>
      <c r="AJ757" s="409"/>
      <c r="AK757" s="409"/>
      <c r="AL757" s="409"/>
      <c r="AM757" s="409"/>
      <c r="AN757" s="409"/>
      <c r="AO757" s="409"/>
      <c r="AP757" s="409"/>
      <c r="AQ757" s="409"/>
      <c r="AR757" s="409"/>
      <c r="AS757" s="409"/>
    </row>
    <row r="758" spans="2:45" x14ac:dyDescent="0.3">
      <c r="B758" s="63" t="s">
        <v>198</v>
      </c>
      <c r="C758" s="64"/>
      <c r="D758" s="31">
        <f>+D753-D$751</f>
        <v>2.3562711864406722</v>
      </c>
      <c r="E758" s="32">
        <f t="shared" ref="E758:W758" si="670">+E753-E$751</f>
        <v>2.6559322033898241</v>
      </c>
      <c r="F758" s="32">
        <f t="shared" si="670"/>
        <v>2.6910169491525409</v>
      </c>
      <c r="G758" s="32">
        <f t="shared" si="670"/>
        <v>2.6206779661016952</v>
      </c>
      <c r="H758" s="32">
        <f t="shared" si="670"/>
        <v>2.4125423728813544</v>
      </c>
      <c r="I758" s="32">
        <f t="shared" si="670"/>
        <v>2.7233898305084736</v>
      </c>
      <c r="J758" s="32">
        <f t="shared" si="670"/>
        <v>2.2071186440677906</v>
      </c>
      <c r="K758" s="32">
        <f t="shared" si="670"/>
        <v>2.9789830508474537</v>
      </c>
      <c r="L758" s="32">
        <f t="shared" si="670"/>
        <v>2.3450847457627049</v>
      </c>
      <c r="M758" s="32">
        <f t="shared" si="670"/>
        <v>2.4952542372881297</v>
      </c>
      <c r="N758" s="32">
        <f t="shared" si="670"/>
        <v>2.2745762711864401</v>
      </c>
      <c r="O758" s="32">
        <f t="shared" si="670"/>
        <v>2.2967796610169486</v>
      </c>
      <c r="P758" s="32">
        <f t="shared" si="670"/>
        <v>2.4952542372881297</v>
      </c>
      <c r="Q758" s="32">
        <f t="shared" si="670"/>
        <v>2.4952542372881297</v>
      </c>
      <c r="R758" s="32">
        <f t="shared" si="670"/>
        <v>2.8611864406779617</v>
      </c>
      <c r="S758" s="32">
        <f t="shared" si="670"/>
        <v>2.9989830508474569</v>
      </c>
      <c r="T758" s="32">
        <f t="shared" si="670"/>
        <v>0</v>
      </c>
      <c r="U758" s="32">
        <f t="shared" si="670"/>
        <v>0</v>
      </c>
      <c r="V758" s="32">
        <f t="shared" si="670"/>
        <v>0</v>
      </c>
      <c r="W758" s="32">
        <f t="shared" si="670"/>
        <v>2.4952542372881297</v>
      </c>
      <c r="Y758" s="390"/>
      <c r="Z758" s="390"/>
      <c r="AA758" s="390"/>
      <c r="AB758" s="390"/>
      <c r="AC758" s="390"/>
      <c r="AD758" s="390"/>
      <c r="AE758" s="390"/>
      <c r="AF758" s="390"/>
      <c r="AG758" s="390"/>
      <c r="AH758" s="390"/>
      <c r="AI758" s="390"/>
      <c r="AJ758" s="390"/>
      <c r="AK758" s="390"/>
      <c r="AL758" s="390"/>
      <c r="AM758" s="390"/>
      <c r="AN758" s="390"/>
      <c r="AO758" s="390"/>
      <c r="AP758" s="390"/>
      <c r="AQ758" s="390"/>
      <c r="AR758" s="390"/>
      <c r="AS758" s="390"/>
    </row>
    <row r="759" spans="2:45" x14ac:dyDescent="0.3">
      <c r="B759" s="63" t="s">
        <v>199</v>
      </c>
      <c r="C759" s="64"/>
      <c r="D759" s="31">
        <f>+D754-D$751</f>
        <v>3.3562711864406722</v>
      </c>
      <c r="E759" s="32">
        <f t="shared" ref="E759:W759" si="671">+E754-E$751</f>
        <v>3.6559322033898241</v>
      </c>
      <c r="F759" s="32">
        <f t="shared" si="671"/>
        <v>3.6910169491525409</v>
      </c>
      <c r="G759" s="32">
        <f t="shared" si="671"/>
        <v>3.6206779661016952</v>
      </c>
      <c r="H759" s="32">
        <f t="shared" si="671"/>
        <v>3.4125423728813544</v>
      </c>
      <c r="I759" s="32">
        <f t="shared" si="671"/>
        <v>3.7233898305084736</v>
      </c>
      <c r="J759" s="32">
        <f t="shared" si="671"/>
        <v>3.2071186440677906</v>
      </c>
      <c r="K759" s="32">
        <f t="shared" si="671"/>
        <v>3.9789830508474537</v>
      </c>
      <c r="L759" s="32">
        <f t="shared" si="671"/>
        <v>3.3450847457627049</v>
      </c>
      <c r="M759" s="32">
        <f t="shared" si="671"/>
        <v>3.4952542372881297</v>
      </c>
      <c r="N759" s="32">
        <f t="shared" si="671"/>
        <v>3.2745762711864401</v>
      </c>
      <c r="O759" s="32">
        <f t="shared" si="671"/>
        <v>3.2967796610169486</v>
      </c>
      <c r="P759" s="32">
        <f t="shared" si="671"/>
        <v>3.4952542372881297</v>
      </c>
      <c r="Q759" s="32">
        <f t="shared" si="671"/>
        <v>3.4952542372881297</v>
      </c>
      <c r="R759" s="32">
        <f t="shared" si="671"/>
        <v>3.8611864406779617</v>
      </c>
      <c r="S759" s="32">
        <f t="shared" si="671"/>
        <v>3.9989830508474569</v>
      </c>
      <c r="T759" s="32">
        <f t="shared" si="671"/>
        <v>0</v>
      </c>
      <c r="U759" s="32">
        <f t="shared" si="671"/>
        <v>0</v>
      </c>
      <c r="V759" s="32">
        <f t="shared" si="671"/>
        <v>0</v>
      </c>
      <c r="W759" s="32">
        <f t="shared" si="671"/>
        <v>3.4952542372881297</v>
      </c>
      <c r="Y759" s="390"/>
      <c r="Z759" s="390"/>
      <c r="AA759" s="390"/>
      <c r="AB759" s="390"/>
      <c r="AC759" s="390"/>
      <c r="AD759" s="390"/>
      <c r="AE759" s="390"/>
      <c r="AF759" s="390"/>
      <c r="AG759" s="390"/>
      <c r="AH759" s="390"/>
      <c r="AI759" s="390"/>
      <c r="AJ759" s="390"/>
      <c r="AK759" s="390"/>
      <c r="AL759" s="390"/>
      <c r="AM759" s="390"/>
      <c r="AN759" s="390"/>
      <c r="AO759" s="390"/>
      <c r="AP759" s="390"/>
      <c r="AQ759" s="390"/>
      <c r="AR759" s="390"/>
      <c r="AS759" s="390"/>
    </row>
    <row r="760" spans="2:45" x14ac:dyDescent="0.3">
      <c r="B760" s="63" t="s">
        <v>200</v>
      </c>
      <c r="C760" s="64"/>
      <c r="D760" s="31">
        <f>+D755-D$751</f>
        <v>4.3562711864406722</v>
      </c>
      <c r="E760" s="32">
        <f t="shared" ref="E760:W760" si="672">+E755-E$751</f>
        <v>4.6559322033898241</v>
      </c>
      <c r="F760" s="32">
        <f t="shared" si="672"/>
        <v>4.6910169491525409</v>
      </c>
      <c r="G760" s="32">
        <f t="shared" si="672"/>
        <v>4.6206779661016952</v>
      </c>
      <c r="H760" s="32">
        <f t="shared" si="672"/>
        <v>4.4125423728813544</v>
      </c>
      <c r="I760" s="32">
        <f t="shared" si="672"/>
        <v>4.7233898305084736</v>
      </c>
      <c r="J760" s="32">
        <f t="shared" si="672"/>
        <v>4.2071186440677906</v>
      </c>
      <c r="K760" s="32">
        <f t="shared" si="672"/>
        <v>4.9789830508474537</v>
      </c>
      <c r="L760" s="32">
        <f t="shared" si="672"/>
        <v>4.3450847457627049</v>
      </c>
      <c r="M760" s="32">
        <f t="shared" si="672"/>
        <v>4.4952542372881297</v>
      </c>
      <c r="N760" s="32">
        <f t="shared" si="672"/>
        <v>4.2745762711864401</v>
      </c>
      <c r="O760" s="32">
        <f t="shared" si="672"/>
        <v>4.2967796610169486</v>
      </c>
      <c r="P760" s="32">
        <f t="shared" si="672"/>
        <v>4.4952542372881297</v>
      </c>
      <c r="Q760" s="32">
        <f t="shared" si="672"/>
        <v>4.4952542372881297</v>
      </c>
      <c r="R760" s="32">
        <f t="shared" si="672"/>
        <v>4.8611864406779617</v>
      </c>
      <c r="S760" s="32">
        <f t="shared" si="672"/>
        <v>4.9989830508474569</v>
      </c>
      <c r="T760" s="32">
        <f t="shared" si="672"/>
        <v>0</v>
      </c>
      <c r="U760" s="32">
        <f t="shared" si="672"/>
        <v>0</v>
      </c>
      <c r="V760" s="32">
        <f t="shared" si="672"/>
        <v>0</v>
      </c>
      <c r="W760" s="32">
        <f t="shared" si="672"/>
        <v>4.4952542372881297</v>
      </c>
      <c r="Y760" s="390"/>
      <c r="Z760" s="390"/>
      <c r="AA760" s="390"/>
      <c r="AB760" s="390"/>
      <c r="AC760" s="390"/>
      <c r="AD760" s="390"/>
      <c r="AE760" s="390"/>
      <c r="AF760" s="390"/>
      <c r="AG760" s="390"/>
      <c r="AH760" s="390"/>
      <c r="AI760" s="390"/>
      <c r="AJ760" s="390"/>
      <c r="AK760" s="390"/>
      <c r="AL760" s="390"/>
      <c r="AM760" s="390"/>
      <c r="AN760" s="390"/>
      <c r="AO760" s="390"/>
      <c r="AP760" s="390"/>
      <c r="AQ760" s="390"/>
      <c r="AR760" s="390"/>
      <c r="AS760" s="390"/>
    </row>
    <row r="761" spans="2:45" x14ac:dyDescent="0.3">
      <c r="B761" s="63" t="s">
        <v>201</v>
      </c>
      <c r="C761" s="64"/>
      <c r="D761" s="370">
        <f>+D756-D$751</f>
        <v>5.3562711864406722</v>
      </c>
      <c r="E761" s="370">
        <f t="shared" ref="E761:W761" si="673">+E756-E$751</f>
        <v>5.6559322033898241</v>
      </c>
      <c r="F761" s="370">
        <f t="shared" si="673"/>
        <v>5.6910169491525409</v>
      </c>
      <c r="G761" s="370">
        <f t="shared" si="673"/>
        <v>5.6206779661016952</v>
      </c>
      <c r="H761" s="370">
        <f t="shared" si="673"/>
        <v>5.4125423728813544</v>
      </c>
      <c r="I761" s="370">
        <f t="shared" si="673"/>
        <v>5.7233898305084736</v>
      </c>
      <c r="J761" s="370">
        <f t="shared" si="673"/>
        <v>5.2071186440677906</v>
      </c>
      <c r="K761" s="370">
        <f t="shared" si="673"/>
        <v>5.9789830508474537</v>
      </c>
      <c r="L761" s="370">
        <f t="shared" si="673"/>
        <v>5.3450847457627049</v>
      </c>
      <c r="M761" s="370">
        <f t="shared" si="673"/>
        <v>5.4952542372881297</v>
      </c>
      <c r="N761" s="370">
        <f t="shared" si="673"/>
        <v>5.2745762711864401</v>
      </c>
      <c r="O761" s="370">
        <f t="shared" si="673"/>
        <v>5.2967796610169486</v>
      </c>
      <c r="P761" s="370">
        <f t="shared" si="673"/>
        <v>5.4952542372881297</v>
      </c>
      <c r="Q761" s="370">
        <f t="shared" si="673"/>
        <v>5.4952542372881297</v>
      </c>
      <c r="R761" s="370">
        <f t="shared" si="673"/>
        <v>5.8611864406779617</v>
      </c>
      <c r="S761" s="370">
        <f t="shared" si="673"/>
        <v>5.9989830508474569</v>
      </c>
      <c r="T761" s="370">
        <f t="shared" si="673"/>
        <v>0</v>
      </c>
      <c r="U761" s="370">
        <f t="shared" si="673"/>
        <v>0</v>
      </c>
      <c r="V761" s="370">
        <f t="shared" si="673"/>
        <v>0</v>
      </c>
      <c r="W761" s="370">
        <f t="shared" si="673"/>
        <v>5.4952542372881297</v>
      </c>
      <c r="Y761" s="390"/>
      <c r="Z761" s="390"/>
      <c r="AA761" s="390"/>
      <c r="AB761" s="390"/>
      <c r="AC761" s="390"/>
      <c r="AD761" s="390"/>
      <c r="AE761" s="390"/>
      <c r="AF761" s="390"/>
      <c r="AG761" s="390"/>
      <c r="AH761" s="390"/>
      <c r="AI761" s="390"/>
      <c r="AJ761" s="390"/>
      <c r="AK761" s="390"/>
      <c r="AL761" s="390"/>
      <c r="AM761" s="390"/>
      <c r="AN761" s="390"/>
      <c r="AO761" s="390"/>
      <c r="AP761" s="390"/>
      <c r="AQ761" s="390"/>
      <c r="AR761" s="390"/>
      <c r="AS761" s="390"/>
    </row>
    <row r="762" spans="2:45" x14ac:dyDescent="0.3">
      <c r="B762" s="65" t="s">
        <v>108</v>
      </c>
      <c r="C762" s="55"/>
      <c r="D762" s="43">
        <v>0</v>
      </c>
      <c r="E762" s="408">
        <v>0</v>
      </c>
      <c r="F762" s="408">
        <v>0</v>
      </c>
      <c r="G762" s="408">
        <v>0</v>
      </c>
      <c r="H762" s="408">
        <v>0</v>
      </c>
      <c r="I762" s="408">
        <v>0</v>
      </c>
      <c r="J762" s="408">
        <v>0</v>
      </c>
      <c r="K762" s="408">
        <v>0</v>
      </c>
      <c r="L762" s="408">
        <v>0</v>
      </c>
      <c r="M762" s="408">
        <v>0</v>
      </c>
      <c r="N762" s="408">
        <v>0</v>
      </c>
      <c r="O762" s="408">
        <v>0</v>
      </c>
      <c r="P762" s="408">
        <v>0</v>
      </c>
      <c r="Q762" s="408">
        <v>0</v>
      </c>
      <c r="R762" s="408">
        <v>0</v>
      </c>
      <c r="S762" s="408">
        <v>0</v>
      </c>
      <c r="T762" s="408">
        <v>0</v>
      </c>
      <c r="U762" s="408">
        <v>0</v>
      </c>
      <c r="V762" s="408">
        <v>0</v>
      </c>
      <c r="W762" s="408">
        <v>0</v>
      </c>
      <c r="Y762" s="409"/>
      <c r="Z762" s="409"/>
      <c r="AA762" s="409"/>
      <c r="AB762" s="409"/>
      <c r="AC762" s="409"/>
      <c r="AD762" s="409"/>
      <c r="AE762" s="409"/>
      <c r="AF762" s="409"/>
      <c r="AG762" s="409"/>
      <c r="AH762" s="409"/>
      <c r="AI762" s="409"/>
      <c r="AJ762" s="409"/>
      <c r="AK762" s="409"/>
      <c r="AL762" s="409"/>
      <c r="AM762" s="409"/>
      <c r="AN762" s="409"/>
      <c r="AO762" s="409"/>
      <c r="AP762" s="409"/>
      <c r="AQ762" s="409"/>
      <c r="AR762" s="409"/>
      <c r="AS762" s="409"/>
    </row>
    <row r="763" spans="2:45" x14ac:dyDescent="0.3">
      <c r="B763" s="65" t="s">
        <v>202</v>
      </c>
      <c r="C763" s="66"/>
      <c r="D763" s="35">
        <f>+D758/D$753</f>
        <v>5.479700433582959E-2</v>
      </c>
      <c r="E763" s="35">
        <f t="shared" ref="E763:W763" si="674">+E758/E$753</f>
        <v>5.773765659543096E-2</v>
      </c>
      <c r="F763" s="35">
        <f t="shared" si="674"/>
        <v>5.7255679769202997E-2</v>
      </c>
      <c r="G763" s="35">
        <f t="shared" si="674"/>
        <v>5.8237288135593229E-2</v>
      </c>
      <c r="H763" s="35">
        <f t="shared" si="674"/>
        <v>5.6105636578636146E-2</v>
      </c>
      <c r="I763" s="35">
        <f t="shared" si="674"/>
        <v>6.1895223420647127E-2</v>
      </c>
      <c r="J763" s="35">
        <f t="shared" si="674"/>
        <v>4.9047080979284237E-2</v>
      </c>
      <c r="K763" s="35">
        <f t="shared" si="674"/>
        <v>6.6199623352165643E-2</v>
      </c>
      <c r="L763" s="35">
        <f t="shared" si="674"/>
        <v>5.2112994350282334E-2</v>
      </c>
      <c r="M763" s="35">
        <f t="shared" si="674"/>
        <v>5.8029168309026269E-2</v>
      </c>
      <c r="N763" s="35">
        <f t="shared" si="674"/>
        <v>5.2897122585731163E-2</v>
      </c>
      <c r="O763" s="35">
        <f t="shared" si="674"/>
        <v>4.9929992630803229E-2</v>
      </c>
      <c r="P763" s="35">
        <f t="shared" si="674"/>
        <v>5.8029168309026269E-2</v>
      </c>
      <c r="Q763" s="35">
        <f t="shared" si="674"/>
        <v>5.8029168309026269E-2</v>
      </c>
      <c r="R763" s="35">
        <f t="shared" si="674"/>
        <v>6.5026964560862766E-2</v>
      </c>
      <c r="S763" s="35">
        <f t="shared" si="674"/>
        <v>6.815870570107857E-2</v>
      </c>
      <c r="T763" s="35" t="e">
        <f t="shared" si="674"/>
        <v>#DIV/0!</v>
      </c>
      <c r="U763" s="35" t="e">
        <f t="shared" si="674"/>
        <v>#DIV/0!</v>
      </c>
      <c r="V763" s="35" t="e">
        <f t="shared" si="674"/>
        <v>#DIV/0!</v>
      </c>
      <c r="W763" s="35">
        <f t="shared" si="674"/>
        <v>5.8029168309026269E-2</v>
      </c>
      <c r="Y763" s="390"/>
      <c r="Z763" s="390"/>
      <c r="AA763" s="390"/>
      <c r="AB763" s="390"/>
      <c r="AC763" s="390"/>
      <c r="AD763" s="390"/>
      <c r="AE763" s="390"/>
      <c r="AF763" s="390"/>
      <c r="AG763" s="390"/>
      <c r="AH763" s="390"/>
      <c r="AI763" s="390"/>
      <c r="AJ763" s="390"/>
      <c r="AK763" s="390"/>
      <c r="AL763" s="390"/>
      <c r="AM763" s="390"/>
      <c r="AN763" s="390"/>
      <c r="AO763" s="390"/>
      <c r="AP763" s="390"/>
      <c r="AQ763" s="390"/>
      <c r="AR763" s="390"/>
      <c r="AS763" s="390"/>
    </row>
    <row r="764" spans="2:45" x14ac:dyDescent="0.3">
      <c r="B764" s="65" t="s">
        <v>203</v>
      </c>
      <c r="C764" s="66"/>
      <c r="D764" s="35">
        <f>+D759/D$754</f>
        <v>7.6278890600924368E-2</v>
      </c>
      <c r="E764" s="35">
        <f t="shared" ref="E764:W764" si="675">+E759/E$754</f>
        <v>7.7785791561485615E-2</v>
      </c>
      <c r="F764" s="35">
        <f t="shared" si="675"/>
        <v>7.689618644067793E-2</v>
      </c>
      <c r="G764" s="35">
        <f t="shared" si="675"/>
        <v>7.8710390567428151E-2</v>
      </c>
      <c r="H764" s="35">
        <f t="shared" si="675"/>
        <v>7.755778120184896E-2</v>
      </c>
      <c r="I764" s="35">
        <f t="shared" si="675"/>
        <v>8.2741996233521631E-2</v>
      </c>
      <c r="J764" s="35">
        <f t="shared" si="675"/>
        <v>6.971997052321284E-2</v>
      </c>
      <c r="K764" s="35">
        <f t="shared" si="675"/>
        <v>8.6499631540162034E-2</v>
      </c>
      <c r="L764" s="35">
        <f t="shared" si="675"/>
        <v>7.2719233603537062E-2</v>
      </c>
      <c r="M764" s="35">
        <f t="shared" si="675"/>
        <v>7.943759630200295E-2</v>
      </c>
      <c r="N764" s="35">
        <f t="shared" si="675"/>
        <v>7.4422187981509999E-2</v>
      </c>
      <c r="O764" s="35">
        <f t="shared" si="675"/>
        <v>7.0144248106743592E-2</v>
      </c>
      <c r="P764" s="35">
        <f t="shared" si="675"/>
        <v>7.943759630200295E-2</v>
      </c>
      <c r="Q764" s="35">
        <f t="shared" si="675"/>
        <v>7.943759630200295E-2</v>
      </c>
      <c r="R764" s="35">
        <f t="shared" si="675"/>
        <v>8.5804143126176929E-2</v>
      </c>
      <c r="S764" s="35">
        <f t="shared" si="675"/>
        <v>8.8866290018832381E-2</v>
      </c>
      <c r="T764" s="35" t="e">
        <f t="shared" si="675"/>
        <v>#DIV/0!</v>
      </c>
      <c r="U764" s="35" t="e">
        <f t="shared" si="675"/>
        <v>#DIV/0!</v>
      </c>
      <c r="V764" s="35" t="e">
        <f t="shared" si="675"/>
        <v>#DIV/0!</v>
      </c>
      <c r="W764" s="35">
        <f t="shared" si="675"/>
        <v>7.943759630200295E-2</v>
      </c>
      <c r="Y764" s="390"/>
      <c r="Z764" s="390"/>
      <c r="AA764" s="390"/>
      <c r="AB764" s="390"/>
      <c r="AC764" s="390"/>
      <c r="AD764" s="390"/>
      <c r="AE764" s="390"/>
      <c r="AF764" s="390"/>
      <c r="AG764" s="390"/>
      <c r="AH764" s="390"/>
      <c r="AI764" s="390"/>
      <c r="AJ764" s="390"/>
      <c r="AK764" s="390"/>
      <c r="AL764" s="390"/>
      <c r="AM764" s="390"/>
      <c r="AN764" s="390"/>
      <c r="AO764" s="390"/>
      <c r="AP764" s="390"/>
      <c r="AQ764" s="390"/>
      <c r="AR764" s="390"/>
      <c r="AS764" s="390"/>
    </row>
    <row r="765" spans="2:45" x14ac:dyDescent="0.3">
      <c r="B765" s="65" t="s">
        <v>204</v>
      </c>
      <c r="C765" s="66"/>
      <c r="D765" s="35">
        <f>+D760/D$755</f>
        <v>9.6806026365348269E-2</v>
      </c>
      <c r="E765" s="35">
        <f t="shared" ref="E765:W765" si="676">+E760/E$755</f>
        <v>9.6998587570621339E-2</v>
      </c>
      <c r="F765" s="35">
        <f t="shared" si="676"/>
        <v>9.5735039778623285E-2</v>
      </c>
      <c r="G765" s="35">
        <f t="shared" si="676"/>
        <v>9.8312297151099903E-2</v>
      </c>
      <c r="H765" s="35">
        <f t="shared" si="676"/>
        <v>9.8056497175141213E-2</v>
      </c>
      <c r="I765" s="35">
        <f t="shared" si="676"/>
        <v>0.10268238761974943</v>
      </c>
      <c r="J765" s="35">
        <f t="shared" si="676"/>
        <v>8.9513162639740226E-2</v>
      </c>
      <c r="K765" s="35">
        <f t="shared" si="676"/>
        <v>0.10593580959249901</v>
      </c>
      <c r="L765" s="35">
        <f t="shared" si="676"/>
        <v>9.2448611611972445E-2</v>
      </c>
      <c r="M765" s="35">
        <f t="shared" si="676"/>
        <v>9.9894538606402877E-2</v>
      </c>
      <c r="N765" s="35">
        <f t="shared" si="676"/>
        <v>9.4990583804143117E-2</v>
      </c>
      <c r="O765" s="35">
        <f t="shared" si="676"/>
        <v>8.9516242937853097E-2</v>
      </c>
      <c r="P765" s="35">
        <f t="shared" si="676"/>
        <v>9.9894538606402877E-2</v>
      </c>
      <c r="Q765" s="35">
        <f t="shared" si="676"/>
        <v>9.9894538606402877E-2</v>
      </c>
      <c r="R765" s="35">
        <f t="shared" si="676"/>
        <v>0.10567796610169482</v>
      </c>
      <c r="S765" s="35">
        <f t="shared" si="676"/>
        <v>0.10867354458364037</v>
      </c>
      <c r="T765" s="35" t="e">
        <f t="shared" si="676"/>
        <v>#DIV/0!</v>
      </c>
      <c r="U765" s="35" t="e">
        <f t="shared" si="676"/>
        <v>#DIV/0!</v>
      </c>
      <c r="V765" s="35" t="e">
        <f t="shared" si="676"/>
        <v>#DIV/0!</v>
      </c>
      <c r="W765" s="35">
        <f t="shared" si="676"/>
        <v>9.9894538606402877E-2</v>
      </c>
      <c r="Y765" s="390"/>
      <c r="Z765" s="390"/>
      <c r="AA765" s="390"/>
      <c r="AB765" s="390"/>
      <c r="AC765" s="390"/>
      <c r="AD765" s="390"/>
      <c r="AE765" s="390"/>
      <c r="AF765" s="390"/>
      <c r="AG765" s="390"/>
      <c r="AH765" s="390"/>
      <c r="AI765" s="390"/>
      <c r="AJ765" s="390"/>
      <c r="AK765" s="390"/>
      <c r="AL765" s="390"/>
      <c r="AM765" s="390"/>
      <c r="AN765" s="390"/>
      <c r="AO765" s="390"/>
      <c r="AP765" s="390"/>
      <c r="AQ765" s="390"/>
      <c r="AR765" s="390"/>
      <c r="AS765" s="390"/>
    </row>
    <row r="766" spans="2:45" ht="21" thickBot="1" x14ac:dyDescent="0.35">
      <c r="B766" s="230" t="s">
        <v>205</v>
      </c>
      <c r="C766" s="230"/>
      <c r="D766" s="369">
        <f>+D761/D$756</f>
        <v>0.11644067796610157</v>
      </c>
      <c r="E766" s="369">
        <f t="shared" ref="E766:W766" si="677">+E761/E$756</f>
        <v>0.11542718782428213</v>
      </c>
      <c r="F766" s="369">
        <f t="shared" si="677"/>
        <v>0.11382033898305081</v>
      </c>
      <c r="G766" s="369">
        <f t="shared" si="677"/>
        <v>0.11709745762711865</v>
      </c>
      <c r="H766" s="369">
        <f t="shared" si="677"/>
        <v>0.11766396462785553</v>
      </c>
      <c r="I766" s="369">
        <f t="shared" si="677"/>
        <v>0.12177425171294624</v>
      </c>
      <c r="J766" s="369">
        <f t="shared" si="677"/>
        <v>0.10848163841807897</v>
      </c>
      <c r="K766" s="369">
        <f t="shared" si="677"/>
        <v>0.12456214689265528</v>
      </c>
      <c r="L766" s="369">
        <f t="shared" si="677"/>
        <v>0.11135593220338968</v>
      </c>
      <c r="M766" s="369">
        <f t="shared" si="677"/>
        <v>0.11946204863669847</v>
      </c>
      <c r="N766" s="369">
        <f t="shared" si="677"/>
        <v>0.11466470154753131</v>
      </c>
      <c r="O766" s="369">
        <f t="shared" si="677"/>
        <v>0.1080975441023867</v>
      </c>
      <c r="P766" s="369">
        <f t="shared" si="677"/>
        <v>0.11946204863669847</v>
      </c>
      <c r="Q766" s="369">
        <f t="shared" si="677"/>
        <v>0.11946204863669847</v>
      </c>
      <c r="R766" s="369">
        <f t="shared" si="677"/>
        <v>0.12470609448250983</v>
      </c>
      <c r="S766" s="369">
        <f t="shared" si="677"/>
        <v>0.12763793725207356</v>
      </c>
      <c r="T766" s="369" t="e">
        <f t="shared" si="677"/>
        <v>#DIV/0!</v>
      </c>
      <c r="U766" s="369" t="e">
        <f t="shared" si="677"/>
        <v>#DIV/0!</v>
      </c>
      <c r="V766" s="369" t="e">
        <f t="shared" si="677"/>
        <v>#DIV/0!</v>
      </c>
      <c r="W766" s="369">
        <f t="shared" si="677"/>
        <v>0.11946204863669847</v>
      </c>
      <c r="Y766" s="390"/>
      <c r="Z766" s="390"/>
      <c r="AA766" s="390"/>
      <c r="AB766" s="390"/>
      <c r="AC766" s="390"/>
      <c r="AD766" s="390"/>
      <c r="AE766" s="390"/>
      <c r="AF766" s="390"/>
      <c r="AG766" s="390"/>
      <c r="AH766" s="390"/>
      <c r="AI766" s="390"/>
      <c r="AJ766" s="390"/>
      <c r="AK766" s="390"/>
      <c r="AL766" s="390"/>
      <c r="AM766" s="390"/>
      <c r="AN766" s="390"/>
      <c r="AO766" s="390"/>
      <c r="AP766" s="390"/>
      <c r="AQ766" s="390"/>
      <c r="AR766" s="390"/>
      <c r="AS766" s="390"/>
    </row>
    <row r="767" spans="2:45" ht="21" thickBot="1" x14ac:dyDescent="0.35">
      <c r="B767" s="74" t="s">
        <v>160</v>
      </c>
      <c r="C767" s="68"/>
      <c r="D767" s="17" t="s">
        <v>5</v>
      </c>
      <c r="E767" s="18" t="s">
        <v>6</v>
      </c>
      <c r="F767" s="18" t="s">
        <v>7</v>
      </c>
      <c r="G767" s="18" t="s">
        <v>8</v>
      </c>
      <c r="H767" s="18" t="s">
        <v>9</v>
      </c>
      <c r="I767" s="18" t="s">
        <v>10</v>
      </c>
      <c r="J767" s="18" t="s">
        <v>11</v>
      </c>
      <c r="K767" s="18" t="s">
        <v>12</v>
      </c>
      <c r="L767" s="18" t="s">
        <v>13</v>
      </c>
      <c r="M767" s="18" t="s">
        <v>14</v>
      </c>
      <c r="N767" s="18" t="s">
        <v>15</v>
      </c>
      <c r="O767" s="18" t="s">
        <v>16</v>
      </c>
      <c r="P767" s="18" t="s">
        <v>17</v>
      </c>
      <c r="Q767" s="18" t="s">
        <v>18</v>
      </c>
      <c r="R767" s="18" t="s">
        <v>19</v>
      </c>
      <c r="S767" s="18" t="s">
        <v>20</v>
      </c>
      <c r="T767" s="18" t="s">
        <v>21</v>
      </c>
      <c r="U767" s="18" t="s">
        <v>22</v>
      </c>
      <c r="V767" s="18" t="s">
        <v>23</v>
      </c>
      <c r="W767" s="18" t="s">
        <v>166</v>
      </c>
      <c r="Y767" s="390"/>
      <c r="Z767" s="390"/>
      <c r="AA767" s="390"/>
      <c r="AB767" s="390"/>
      <c r="AC767" s="390"/>
      <c r="AD767" s="390"/>
      <c r="AE767" s="390"/>
      <c r="AF767" s="390"/>
      <c r="AG767" s="390"/>
      <c r="AH767" s="390"/>
      <c r="AI767" s="390"/>
      <c r="AJ767" s="390"/>
      <c r="AK767" s="390"/>
      <c r="AL767" s="390"/>
      <c r="AM767" s="390"/>
      <c r="AN767" s="390"/>
      <c r="AO767" s="390"/>
      <c r="AP767" s="390"/>
      <c r="AQ767" s="390"/>
      <c r="AR767" s="390"/>
      <c r="AS767" s="390"/>
    </row>
    <row r="768" spans="2:45" x14ac:dyDescent="0.3">
      <c r="B768" s="69" t="s">
        <v>50</v>
      </c>
      <c r="C768" s="70"/>
      <c r="D768" s="20">
        <v>625</v>
      </c>
      <c r="E768" s="20">
        <v>625</v>
      </c>
      <c r="F768" s="20">
        <v>625</v>
      </c>
      <c r="G768" s="20">
        <v>625</v>
      </c>
      <c r="H768" s="20">
        <v>625</v>
      </c>
      <c r="I768" s="20">
        <v>625</v>
      </c>
      <c r="J768" s="20">
        <v>625</v>
      </c>
      <c r="K768" s="20">
        <v>625</v>
      </c>
      <c r="L768" s="20">
        <v>625</v>
      </c>
      <c r="M768" s="20">
        <v>625</v>
      </c>
      <c r="N768" s="20">
        <v>625</v>
      </c>
      <c r="O768" s="20">
        <v>625</v>
      </c>
      <c r="P768" s="20">
        <v>625</v>
      </c>
      <c r="Q768" s="20">
        <v>625</v>
      </c>
      <c r="R768" s="20">
        <v>625</v>
      </c>
      <c r="S768" s="20">
        <v>625</v>
      </c>
      <c r="T768" s="20"/>
      <c r="U768" s="20"/>
      <c r="V768" s="20"/>
      <c r="W768" s="20">
        <v>625</v>
      </c>
      <c r="Y768" s="390"/>
      <c r="Z768" s="390"/>
      <c r="AA768" s="390"/>
      <c r="AB768" s="390"/>
      <c r="AC768" s="390"/>
      <c r="AD768" s="390"/>
      <c r="AE768" s="390"/>
      <c r="AF768" s="390"/>
      <c r="AG768" s="390"/>
      <c r="AH768" s="390"/>
      <c r="AI768" s="390"/>
      <c r="AJ768" s="390"/>
      <c r="AK768" s="390"/>
      <c r="AL768" s="390"/>
      <c r="AM768" s="390"/>
      <c r="AN768" s="390"/>
      <c r="AO768" s="390"/>
      <c r="AP768" s="390"/>
      <c r="AQ768" s="390"/>
      <c r="AR768" s="390"/>
      <c r="AS768" s="390"/>
    </row>
    <row r="769" spans="2:45" x14ac:dyDescent="0.3">
      <c r="B769" s="54" t="s">
        <v>51</v>
      </c>
      <c r="C769" s="55"/>
      <c r="D769" s="322">
        <v>0.18</v>
      </c>
      <c r="E769" s="322">
        <f>D769</f>
        <v>0.18</v>
      </c>
      <c r="F769" s="322">
        <f t="shared" ref="F769:S769" si="678">E769</f>
        <v>0.18</v>
      </c>
      <c r="G769" s="322">
        <f t="shared" si="678"/>
        <v>0.18</v>
      </c>
      <c r="H769" s="322">
        <f t="shared" si="678"/>
        <v>0.18</v>
      </c>
      <c r="I769" s="322">
        <f t="shared" si="678"/>
        <v>0.18</v>
      </c>
      <c r="J769" s="322">
        <f t="shared" si="678"/>
        <v>0.18</v>
      </c>
      <c r="K769" s="322">
        <f t="shared" si="678"/>
        <v>0.18</v>
      </c>
      <c r="L769" s="322">
        <f t="shared" si="678"/>
        <v>0.18</v>
      </c>
      <c r="M769" s="322">
        <f t="shared" si="678"/>
        <v>0.18</v>
      </c>
      <c r="N769" s="322">
        <f t="shared" si="678"/>
        <v>0.18</v>
      </c>
      <c r="O769" s="322">
        <f t="shared" si="678"/>
        <v>0.18</v>
      </c>
      <c r="P769" s="322">
        <f t="shared" si="678"/>
        <v>0.18</v>
      </c>
      <c r="Q769" s="322">
        <f t="shared" si="678"/>
        <v>0.18</v>
      </c>
      <c r="R769" s="322">
        <f t="shared" si="678"/>
        <v>0.18</v>
      </c>
      <c r="S769" s="322">
        <f t="shared" si="678"/>
        <v>0.18</v>
      </c>
      <c r="T769" s="218"/>
      <c r="U769" s="218"/>
      <c r="V769" s="218"/>
      <c r="W769" s="322">
        <f>D769</f>
        <v>0.18</v>
      </c>
      <c r="Y769" s="390"/>
      <c r="Z769" s="390"/>
      <c r="AA769" s="390"/>
      <c r="AB769" s="390"/>
      <c r="AC769" s="390"/>
      <c r="AD769" s="390"/>
      <c r="AE769" s="390"/>
      <c r="AF769" s="390"/>
      <c r="AG769" s="390"/>
      <c r="AH769" s="390"/>
      <c r="AI769" s="390"/>
      <c r="AJ769" s="390"/>
      <c r="AK769" s="390"/>
      <c r="AL769" s="390"/>
      <c r="AM769" s="390"/>
      <c r="AN769" s="390"/>
      <c r="AO769" s="390"/>
      <c r="AP769" s="390"/>
      <c r="AQ769" s="390"/>
      <c r="AR769" s="390"/>
      <c r="AS769" s="390"/>
    </row>
    <row r="770" spans="2:45" x14ac:dyDescent="0.3">
      <c r="B770" s="54" t="s">
        <v>56</v>
      </c>
      <c r="C770" s="55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Y770" s="390"/>
      <c r="Z770" s="390"/>
      <c r="AA770" s="390"/>
      <c r="AB770" s="390"/>
      <c r="AC770" s="390"/>
      <c r="AD770" s="390"/>
      <c r="AE770" s="390"/>
      <c r="AF770" s="390"/>
      <c r="AG770" s="390"/>
      <c r="AH770" s="390"/>
      <c r="AI770" s="390"/>
      <c r="AJ770" s="390"/>
      <c r="AK770" s="390"/>
      <c r="AL770" s="390"/>
      <c r="AM770" s="390"/>
      <c r="AN770" s="390"/>
      <c r="AO770" s="390"/>
      <c r="AP770" s="390"/>
      <c r="AQ770" s="390"/>
      <c r="AR770" s="390"/>
      <c r="AS770" s="390"/>
    </row>
    <row r="771" spans="2:45" x14ac:dyDescent="0.3">
      <c r="B771" s="177" t="s">
        <v>67</v>
      </c>
      <c r="C771" s="178"/>
      <c r="D771" s="323">
        <f>D768-(D768*D769)</f>
        <v>512.5</v>
      </c>
      <c r="E771" s="323">
        <f t="shared" ref="E771:W771" si="679">E768-(E768*E769)</f>
        <v>512.5</v>
      </c>
      <c r="F771" s="323">
        <f t="shared" si="679"/>
        <v>512.5</v>
      </c>
      <c r="G771" s="323">
        <f t="shared" si="679"/>
        <v>512.5</v>
      </c>
      <c r="H771" s="323">
        <f t="shared" si="679"/>
        <v>512.5</v>
      </c>
      <c r="I771" s="323">
        <f t="shared" si="679"/>
        <v>512.5</v>
      </c>
      <c r="J771" s="323">
        <f t="shared" si="679"/>
        <v>512.5</v>
      </c>
      <c r="K771" s="323">
        <f t="shared" si="679"/>
        <v>512.5</v>
      </c>
      <c r="L771" s="323">
        <f t="shared" si="679"/>
        <v>512.5</v>
      </c>
      <c r="M771" s="323">
        <f t="shared" si="679"/>
        <v>512.5</v>
      </c>
      <c r="N771" s="323">
        <f t="shared" si="679"/>
        <v>512.5</v>
      </c>
      <c r="O771" s="323">
        <f t="shared" si="679"/>
        <v>512.5</v>
      </c>
      <c r="P771" s="323">
        <f t="shared" si="679"/>
        <v>512.5</v>
      </c>
      <c r="Q771" s="323">
        <f t="shared" si="679"/>
        <v>512.5</v>
      </c>
      <c r="R771" s="323">
        <f t="shared" si="679"/>
        <v>512.5</v>
      </c>
      <c r="S771" s="323">
        <f t="shared" si="679"/>
        <v>512.5</v>
      </c>
      <c r="T771" s="323">
        <f t="shared" si="679"/>
        <v>0</v>
      </c>
      <c r="U771" s="323">
        <f t="shared" si="679"/>
        <v>0</v>
      </c>
      <c r="V771" s="323">
        <f t="shared" si="679"/>
        <v>0</v>
      </c>
      <c r="W771" s="323">
        <f t="shared" si="679"/>
        <v>512.5</v>
      </c>
      <c r="Y771" s="390"/>
      <c r="Z771" s="390"/>
      <c r="AA771" s="390"/>
      <c r="AB771" s="390"/>
      <c r="AC771" s="390"/>
      <c r="AD771" s="390"/>
      <c r="AE771" s="390"/>
      <c r="AF771" s="390"/>
      <c r="AG771" s="390"/>
      <c r="AH771" s="390"/>
      <c r="AI771" s="390"/>
      <c r="AJ771" s="390"/>
      <c r="AK771" s="390"/>
      <c r="AL771" s="390"/>
      <c r="AM771" s="390"/>
      <c r="AN771" s="390"/>
      <c r="AO771" s="390"/>
      <c r="AP771" s="390"/>
      <c r="AQ771" s="390"/>
      <c r="AR771" s="390"/>
      <c r="AS771" s="390"/>
    </row>
    <row r="772" spans="2:45" x14ac:dyDescent="0.3">
      <c r="B772" s="54" t="s">
        <v>66</v>
      </c>
      <c r="C772" s="56">
        <v>7.0000000000000007E-2</v>
      </c>
      <c r="D772" s="24">
        <f>D771*$C772</f>
        <v>35.875</v>
      </c>
      <c r="E772" s="24">
        <f t="shared" ref="E772:V772" si="680">E771*$C772</f>
        <v>35.875</v>
      </c>
      <c r="F772" s="24">
        <f t="shared" si="680"/>
        <v>35.875</v>
      </c>
      <c r="G772" s="24">
        <f t="shared" si="680"/>
        <v>35.875</v>
      </c>
      <c r="H772" s="24">
        <f t="shared" si="680"/>
        <v>35.875</v>
      </c>
      <c r="I772" s="24">
        <f t="shared" si="680"/>
        <v>35.875</v>
      </c>
      <c r="J772" s="24">
        <f t="shared" si="680"/>
        <v>35.875</v>
      </c>
      <c r="K772" s="24">
        <f t="shared" si="680"/>
        <v>35.875</v>
      </c>
      <c r="L772" s="24">
        <f t="shared" si="680"/>
        <v>35.875</v>
      </c>
      <c r="M772" s="24">
        <f t="shared" si="680"/>
        <v>35.875</v>
      </c>
      <c r="N772" s="24">
        <f t="shared" si="680"/>
        <v>35.875</v>
      </c>
      <c r="O772" s="24">
        <f t="shared" si="680"/>
        <v>35.875</v>
      </c>
      <c r="P772" s="24">
        <f t="shared" si="680"/>
        <v>35.875</v>
      </c>
      <c r="Q772" s="24">
        <f t="shared" si="680"/>
        <v>35.875</v>
      </c>
      <c r="R772" s="24">
        <f t="shared" si="680"/>
        <v>35.875</v>
      </c>
      <c r="S772" s="24">
        <f t="shared" si="680"/>
        <v>35.875</v>
      </c>
      <c r="T772" s="24">
        <f t="shared" si="680"/>
        <v>0</v>
      </c>
      <c r="U772" s="24">
        <f t="shared" si="680"/>
        <v>0</v>
      </c>
      <c r="V772" s="24">
        <f t="shared" si="680"/>
        <v>0</v>
      </c>
      <c r="W772" s="24">
        <f>W771*$C772</f>
        <v>35.875</v>
      </c>
      <c r="Y772" s="390"/>
      <c r="Z772" s="390"/>
      <c r="AA772" s="390"/>
      <c r="AB772" s="390"/>
      <c r="AC772" s="390"/>
      <c r="AD772" s="390"/>
      <c r="AE772" s="390"/>
      <c r="AF772" s="390"/>
      <c r="AG772" s="390"/>
      <c r="AH772" s="390"/>
      <c r="AI772" s="390"/>
      <c r="AJ772" s="390"/>
      <c r="AK772" s="390"/>
      <c r="AL772" s="390"/>
      <c r="AM772" s="390"/>
      <c r="AN772" s="390"/>
      <c r="AO772" s="390"/>
      <c r="AP772" s="390"/>
      <c r="AQ772" s="390"/>
      <c r="AR772" s="390"/>
      <c r="AS772" s="390"/>
    </row>
    <row r="773" spans="2:45" x14ac:dyDescent="0.3">
      <c r="B773" s="54" t="s">
        <v>68</v>
      </c>
      <c r="C773" s="55"/>
      <c r="D773" s="21">
        <f>D771+D772</f>
        <v>548.375</v>
      </c>
      <c r="E773" s="21">
        <f t="shared" ref="E773:V773" si="681">E771+E772</f>
        <v>548.375</v>
      </c>
      <c r="F773" s="21">
        <f t="shared" si="681"/>
        <v>548.375</v>
      </c>
      <c r="G773" s="21">
        <f t="shared" si="681"/>
        <v>548.375</v>
      </c>
      <c r="H773" s="21">
        <f t="shared" si="681"/>
        <v>548.375</v>
      </c>
      <c r="I773" s="21">
        <f t="shared" si="681"/>
        <v>548.375</v>
      </c>
      <c r="J773" s="21">
        <f t="shared" si="681"/>
        <v>548.375</v>
      </c>
      <c r="K773" s="21">
        <f t="shared" si="681"/>
        <v>548.375</v>
      </c>
      <c r="L773" s="21">
        <f t="shared" si="681"/>
        <v>548.375</v>
      </c>
      <c r="M773" s="21">
        <f t="shared" si="681"/>
        <v>548.375</v>
      </c>
      <c r="N773" s="21">
        <f t="shared" si="681"/>
        <v>548.375</v>
      </c>
      <c r="O773" s="21">
        <f t="shared" si="681"/>
        <v>548.375</v>
      </c>
      <c r="P773" s="21">
        <f t="shared" si="681"/>
        <v>548.375</v>
      </c>
      <c r="Q773" s="21">
        <f t="shared" si="681"/>
        <v>548.375</v>
      </c>
      <c r="R773" s="21">
        <f t="shared" si="681"/>
        <v>548.375</v>
      </c>
      <c r="S773" s="21">
        <f t="shared" si="681"/>
        <v>548.375</v>
      </c>
      <c r="T773" s="21">
        <f t="shared" si="681"/>
        <v>0</v>
      </c>
      <c r="U773" s="21">
        <f t="shared" si="681"/>
        <v>0</v>
      </c>
      <c r="V773" s="21">
        <f t="shared" si="681"/>
        <v>0</v>
      </c>
      <c r="W773" s="21">
        <f>W771+W772</f>
        <v>548.375</v>
      </c>
      <c r="Y773" s="390"/>
      <c r="Z773" s="390"/>
      <c r="AA773" s="390"/>
      <c r="AB773" s="390"/>
      <c r="AC773" s="390"/>
      <c r="AD773" s="390"/>
      <c r="AE773" s="390"/>
      <c r="AF773" s="390"/>
      <c r="AG773" s="390"/>
      <c r="AH773" s="390"/>
      <c r="AI773" s="390"/>
      <c r="AJ773" s="390"/>
      <c r="AK773" s="390"/>
      <c r="AL773" s="390"/>
      <c r="AM773" s="390"/>
      <c r="AN773" s="390"/>
      <c r="AO773" s="390"/>
      <c r="AP773" s="390"/>
      <c r="AQ773" s="390"/>
      <c r="AR773" s="390"/>
      <c r="AS773" s="390"/>
    </row>
    <row r="774" spans="2:45" x14ac:dyDescent="0.3">
      <c r="B774" s="54" t="s">
        <v>52</v>
      </c>
      <c r="C774" s="55"/>
      <c r="D774" s="398">
        <f>Y776</f>
        <v>15.6625</v>
      </c>
      <c r="E774" s="398">
        <f t="shared" ref="E774:W774" si="682">Z776</f>
        <v>35.577500000000001</v>
      </c>
      <c r="F774" s="398">
        <f t="shared" si="682"/>
        <v>42.693750000000001</v>
      </c>
      <c r="G774" s="398">
        <f t="shared" si="682"/>
        <v>28.462499999999999</v>
      </c>
      <c r="H774" s="398">
        <f t="shared" si="682"/>
        <v>15.2475</v>
      </c>
      <c r="I774" s="398">
        <f t="shared" si="682"/>
        <v>20.329999999999998</v>
      </c>
      <c r="J774" s="398">
        <f t="shared" si="682"/>
        <v>31.512499999999999</v>
      </c>
      <c r="K774" s="398">
        <f t="shared" si="682"/>
        <v>25.82</v>
      </c>
      <c r="L774" s="398">
        <f t="shared" si="682"/>
        <v>30.495000000000001</v>
      </c>
      <c r="M774" s="398">
        <f t="shared" si="682"/>
        <v>14.637499999999999</v>
      </c>
      <c r="N774" s="398">
        <f t="shared" si="682"/>
        <v>16.265000000000001</v>
      </c>
      <c r="O774" s="398">
        <f t="shared" si="682"/>
        <v>38.22625</v>
      </c>
      <c r="P774" s="398">
        <f t="shared" si="682"/>
        <v>14.637499999999999</v>
      </c>
      <c r="Q774" s="398">
        <f t="shared" si="682"/>
        <v>14.637499999999999</v>
      </c>
      <c r="R774" s="398">
        <f t="shared" si="682"/>
        <v>19.313749999999999</v>
      </c>
      <c r="S774" s="398">
        <f t="shared" si="682"/>
        <v>18.297499999999999</v>
      </c>
      <c r="T774" s="398">
        <f t="shared" si="682"/>
        <v>0</v>
      </c>
      <c r="U774" s="398">
        <v>0</v>
      </c>
      <c r="V774" s="398">
        <f t="shared" si="682"/>
        <v>0</v>
      </c>
      <c r="W774" s="398">
        <f t="shared" si="682"/>
        <v>14.637499999999999</v>
      </c>
      <c r="Y774" s="390">
        <v>12530</v>
      </c>
      <c r="Z774" s="390">
        <v>28462</v>
      </c>
      <c r="AA774" s="390">
        <v>34155</v>
      </c>
      <c r="AB774" s="390">
        <v>22770</v>
      </c>
      <c r="AC774" s="390">
        <v>12198</v>
      </c>
      <c r="AD774" s="390">
        <v>16264</v>
      </c>
      <c r="AE774" s="390">
        <v>25210</v>
      </c>
      <c r="AF774" s="390">
        <v>20656</v>
      </c>
      <c r="AG774" s="390">
        <v>24396</v>
      </c>
      <c r="AH774" s="390">
        <v>11710</v>
      </c>
      <c r="AI774" s="390">
        <v>13012</v>
      </c>
      <c r="AJ774" s="390">
        <v>30581</v>
      </c>
      <c r="AK774" s="396">
        <v>11710</v>
      </c>
      <c r="AL774" s="396">
        <v>11710</v>
      </c>
      <c r="AM774" s="390">
        <v>15451</v>
      </c>
      <c r="AN774" s="390">
        <v>14638</v>
      </c>
      <c r="AO774" s="390"/>
      <c r="AP774" s="396">
        <v>30581</v>
      </c>
      <c r="AQ774" s="390"/>
      <c r="AR774" s="396">
        <v>11710</v>
      </c>
      <c r="AS774" s="390"/>
    </row>
    <row r="775" spans="2:45" x14ac:dyDescent="0.3">
      <c r="B775" s="57" t="s">
        <v>53</v>
      </c>
      <c r="C775" s="58"/>
      <c r="D775" s="25">
        <f>SUM(D773:D774)</f>
        <v>564.03750000000002</v>
      </c>
      <c r="E775" s="26">
        <f t="shared" ref="E775:V775" si="683">SUM(E773:E774)</f>
        <v>583.95249999999999</v>
      </c>
      <c r="F775" s="26">
        <f t="shared" si="683"/>
        <v>591.06875000000002</v>
      </c>
      <c r="G775" s="26">
        <f t="shared" si="683"/>
        <v>576.83749999999998</v>
      </c>
      <c r="H775" s="26">
        <f t="shared" si="683"/>
        <v>563.62249999999995</v>
      </c>
      <c r="I775" s="26">
        <f t="shared" si="683"/>
        <v>568.70500000000004</v>
      </c>
      <c r="J775" s="26">
        <f t="shared" si="683"/>
        <v>579.88750000000005</v>
      </c>
      <c r="K775" s="26">
        <f t="shared" si="683"/>
        <v>574.19500000000005</v>
      </c>
      <c r="L775" s="26">
        <f t="shared" si="683"/>
        <v>578.87</v>
      </c>
      <c r="M775" s="26">
        <f t="shared" si="683"/>
        <v>563.01250000000005</v>
      </c>
      <c r="N775" s="26">
        <f t="shared" si="683"/>
        <v>564.64</v>
      </c>
      <c r="O775" s="26">
        <f t="shared" si="683"/>
        <v>586.60125000000005</v>
      </c>
      <c r="P775" s="26">
        <f t="shared" si="683"/>
        <v>563.01250000000005</v>
      </c>
      <c r="Q775" s="26">
        <f t="shared" si="683"/>
        <v>563.01250000000005</v>
      </c>
      <c r="R775" s="26">
        <f t="shared" si="683"/>
        <v>567.68875000000003</v>
      </c>
      <c r="S775" s="26">
        <f t="shared" si="683"/>
        <v>566.67250000000001</v>
      </c>
      <c r="T775" s="26">
        <f t="shared" si="683"/>
        <v>0</v>
      </c>
      <c r="U775" s="26">
        <f t="shared" si="683"/>
        <v>0</v>
      </c>
      <c r="V775" s="26">
        <f t="shared" si="683"/>
        <v>0</v>
      </c>
      <c r="W775" s="26">
        <f>SUM(W773:W774)</f>
        <v>563.01250000000005</v>
      </c>
      <c r="Y775" s="390">
        <v>800</v>
      </c>
      <c r="Z775" s="390">
        <v>800</v>
      </c>
      <c r="AA775" s="390">
        <v>800</v>
      </c>
      <c r="AB775" s="390">
        <v>800</v>
      </c>
      <c r="AC775" s="390">
        <v>800</v>
      </c>
      <c r="AD775" s="390">
        <v>800</v>
      </c>
      <c r="AE775" s="390">
        <v>800</v>
      </c>
      <c r="AF775" s="390">
        <v>800</v>
      </c>
      <c r="AG775" s="390">
        <v>800</v>
      </c>
      <c r="AH775" s="390">
        <v>800</v>
      </c>
      <c r="AI775" s="390">
        <v>800</v>
      </c>
      <c r="AJ775" s="390">
        <v>800</v>
      </c>
      <c r="AK775" s="390">
        <v>800</v>
      </c>
      <c r="AL775" s="390">
        <v>800</v>
      </c>
      <c r="AM775" s="390">
        <v>800</v>
      </c>
      <c r="AN775" s="390">
        <v>800</v>
      </c>
      <c r="AO775" s="390"/>
      <c r="AP775" s="390">
        <v>800</v>
      </c>
      <c r="AQ775" s="390"/>
      <c r="AR775" s="390">
        <v>800</v>
      </c>
      <c r="AS775" s="390"/>
    </row>
    <row r="776" spans="2:45" x14ac:dyDescent="0.3">
      <c r="B776" s="54" t="s">
        <v>54</v>
      </c>
      <c r="C776" s="55"/>
      <c r="D776" s="20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Y776" s="389">
        <f>Y774/Y775</f>
        <v>15.6625</v>
      </c>
      <c r="Z776" s="389">
        <f t="shared" ref="Z776:AN776" si="684">Z774/Z775</f>
        <v>35.577500000000001</v>
      </c>
      <c r="AA776" s="389">
        <f t="shared" si="684"/>
        <v>42.693750000000001</v>
      </c>
      <c r="AB776" s="389">
        <f t="shared" si="684"/>
        <v>28.462499999999999</v>
      </c>
      <c r="AC776" s="389">
        <f t="shared" si="684"/>
        <v>15.2475</v>
      </c>
      <c r="AD776" s="389">
        <f t="shared" si="684"/>
        <v>20.329999999999998</v>
      </c>
      <c r="AE776" s="389">
        <f t="shared" si="684"/>
        <v>31.512499999999999</v>
      </c>
      <c r="AF776" s="389">
        <f t="shared" si="684"/>
        <v>25.82</v>
      </c>
      <c r="AG776" s="389">
        <f t="shared" si="684"/>
        <v>30.495000000000001</v>
      </c>
      <c r="AH776" s="389">
        <f t="shared" si="684"/>
        <v>14.637499999999999</v>
      </c>
      <c r="AI776" s="389">
        <f t="shared" si="684"/>
        <v>16.265000000000001</v>
      </c>
      <c r="AJ776" s="389">
        <f t="shared" si="684"/>
        <v>38.22625</v>
      </c>
      <c r="AK776" s="389">
        <f t="shared" si="684"/>
        <v>14.637499999999999</v>
      </c>
      <c r="AL776" s="389">
        <f t="shared" si="684"/>
        <v>14.637499999999999</v>
      </c>
      <c r="AM776" s="389">
        <f t="shared" si="684"/>
        <v>19.313749999999999</v>
      </c>
      <c r="AN776" s="389">
        <f t="shared" si="684"/>
        <v>18.297499999999999</v>
      </c>
      <c r="AO776" s="390"/>
      <c r="AP776" s="389">
        <f t="shared" ref="AP776" si="685">AP774/AP775</f>
        <v>38.22625</v>
      </c>
      <c r="AQ776" s="390"/>
      <c r="AR776" s="389">
        <f t="shared" ref="AR776" si="686">AR774/AR775</f>
        <v>14.637499999999999</v>
      </c>
      <c r="AS776" s="390"/>
    </row>
    <row r="777" spans="2:45" x14ac:dyDescent="0.3">
      <c r="B777" s="59" t="s">
        <v>55</v>
      </c>
      <c r="C777" s="60"/>
      <c r="D777" s="27">
        <f>SUM(D775:D776)</f>
        <v>564.03750000000002</v>
      </c>
      <c r="E777" s="41">
        <f t="shared" ref="E777:V777" si="687">SUM(E775:E776)</f>
        <v>583.95249999999999</v>
      </c>
      <c r="F777" s="41">
        <f t="shared" si="687"/>
        <v>591.06875000000002</v>
      </c>
      <c r="G777" s="41">
        <f t="shared" si="687"/>
        <v>576.83749999999998</v>
      </c>
      <c r="H777" s="41">
        <f t="shared" si="687"/>
        <v>563.62249999999995</v>
      </c>
      <c r="I777" s="41">
        <f t="shared" si="687"/>
        <v>568.70500000000004</v>
      </c>
      <c r="J777" s="41">
        <f t="shared" si="687"/>
        <v>579.88750000000005</v>
      </c>
      <c r="K777" s="41">
        <f t="shared" si="687"/>
        <v>574.19500000000005</v>
      </c>
      <c r="L777" s="41">
        <f t="shared" si="687"/>
        <v>578.87</v>
      </c>
      <c r="M777" s="41">
        <f t="shared" si="687"/>
        <v>563.01250000000005</v>
      </c>
      <c r="N777" s="41">
        <f t="shared" si="687"/>
        <v>564.64</v>
      </c>
      <c r="O777" s="41">
        <f t="shared" si="687"/>
        <v>586.60125000000005</v>
      </c>
      <c r="P777" s="41">
        <f t="shared" si="687"/>
        <v>563.01250000000005</v>
      </c>
      <c r="Q777" s="41">
        <f t="shared" si="687"/>
        <v>563.01250000000005</v>
      </c>
      <c r="R777" s="41">
        <f t="shared" si="687"/>
        <v>567.68875000000003</v>
      </c>
      <c r="S777" s="41">
        <f t="shared" si="687"/>
        <v>566.67250000000001</v>
      </c>
      <c r="T777" s="41">
        <f t="shared" si="687"/>
        <v>0</v>
      </c>
      <c r="U777" s="41">
        <f t="shared" si="687"/>
        <v>0</v>
      </c>
      <c r="V777" s="41">
        <f t="shared" si="687"/>
        <v>0</v>
      </c>
      <c r="W777" s="41">
        <f>SUM(W775:W776)</f>
        <v>563.01250000000005</v>
      </c>
      <c r="Y777" s="390"/>
      <c r="Z777" s="390"/>
      <c r="AA777" s="390"/>
      <c r="AB777" s="390"/>
      <c r="AC777" s="390"/>
      <c r="AD777" s="390"/>
      <c r="AE777" s="390"/>
      <c r="AF777" s="390"/>
      <c r="AG777" s="390"/>
      <c r="AH777" s="390"/>
      <c r="AI777" s="390"/>
      <c r="AJ777" s="390"/>
      <c r="AK777" s="390"/>
      <c r="AL777" s="390"/>
      <c r="AM777" s="390"/>
      <c r="AN777" s="390"/>
      <c r="AO777" s="390"/>
      <c r="AP777" s="390"/>
      <c r="AQ777" s="390"/>
      <c r="AR777" s="390"/>
      <c r="AS777" s="390"/>
    </row>
    <row r="778" spans="2:45" x14ac:dyDescent="0.3">
      <c r="B778" s="61" t="s">
        <v>101</v>
      </c>
      <c r="C778" s="55"/>
      <c r="D778" s="43">
        <v>0</v>
      </c>
      <c r="E778" s="408">
        <v>0</v>
      </c>
      <c r="F778" s="408">
        <v>0</v>
      </c>
      <c r="G778" s="408">
        <v>0</v>
      </c>
      <c r="H778" s="408">
        <v>0</v>
      </c>
      <c r="I778" s="408">
        <v>0</v>
      </c>
      <c r="J778" s="408">
        <v>0</v>
      </c>
      <c r="K778" s="408">
        <v>0</v>
      </c>
      <c r="L778" s="408">
        <v>0</v>
      </c>
      <c r="M778" s="408">
        <v>0</v>
      </c>
      <c r="N778" s="408">
        <v>0</v>
      </c>
      <c r="O778" s="408">
        <v>0</v>
      </c>
      <c r="P778" s="408">
        <v>0</v>
      </c>
      <c r="Q778" s="408">
        <v>0</v>
      </c>
      <c r="R778" s="408">
        <v>0</v>
      </c>
      <c r="S778" s="408">
        <v>0</v>
      </c>
      <c r="T778" s="408">
        <v>0</v>
      </c>
      <c r="U778" s="408">
        <v>0</v>
      </c>
      <c r="V778" s="408">
        <v>0</v>
      </c>
      <c r="W778" s="408">
        <v>0</v>
      </c>
      <c r="Y778" s="409"/>
      <c r="Z778" s="409"/>
      <c r="AA778" s="409"/>
      <c r="AB778" s="409"/>
      <c r="AC778" s="409"/>
      <c r="AD778" s="409"/>
      <c r="AE778" s="409"/>
      <c r="AF778" s="409"/>
      <c r="AG778" s="409"/>
      <c r="AH778" s="409"/>
      <c r="AI778" s="409"/>
      <c r="AJ778" s="409"/>
      <c r="AK778" s="409"/>
      <c r="AL778" s="409"/>
      <c r="AM778" s="409"/>
      <c r="AN778" s="409"/>
      <c r="AO778" s="409"/>
      <c r="AP778" s="409"/>
      <c r="AQ778" s="409"/>
      <c r="AR778" s="409"/>
      <c r="AS778" s="409"/>
    </row>
    <row r="779" spans="2:45" x14ac:dyDescent="0.3">
      <c r="B779" s="61" t="s">
        <v>194</v>
      </c>
      <c r="C779" s="55"/>
      <c r="D779" s="227">
        <v>595</v>
      </c>
      <c r="E779" s="226">
        <v>614</v>
      </c>
      <c r="F779" s="226">
        <v>622</v>
      </c>
      <c r="G779" s="226">
        <v>607</v>
      </c>
      <c r="H779" s="226">
        <v>594</v>
      </c>
      <c r="I779" s="226">
        <v>599</v>
      </c>
      <c r="J779" s="226">
        <v>610</v>
      </c>
      <c r="K779" s="226">
        <v>605</v>
      </c>
      <c r="L779" s="226">
        <v>609</v>
      </c>
      <c r="M779" s="226">
        <v>594</v>
      </c>
      <c r="N779" s="226">
        <v>595</v>
      </c>
      <c r="O779" s="226">
        <v>617</v>
      </c>
      <c r="P779" s="226">
        <v>594</v>
      </c>
      <c r="Q779" s="226">
        <v>594</v>
      </c>
      <c r="R779" s="226">
        <v>598</v>
      </c>
      <c r="S779" s="226">
        <v>597</v>
      </c>
      <c r="T779" s="226">
        <v>0</v>
      </c>
      <c r="U779" s="21">
        <v>0</v>
      </c>
      <c r="V779" s="21">
        <v>0</v>
      </c>
      <c r="W779" s="226">
        <v>594</v>
      </c>
      <c r="Y779" s="390"/>
      <c r="Z779" s="390"/>
      <c r="AA779" s="390"/>
      <c r="AB779" s="390"/>
      <c r="AC779" s="390"/>
      <c r="AD779" s="390"/>
      <c r="AE779" s="390"/>
      <c r="AF779" s="390"/>
      <c r="AG779" s="390"/>
      <c r="AH779" s="390"/>
      <c r="AI779" s="390"/>
      <c r="AJ779" s="390"/>
      <c r="AK779" s="390"/>
      <c r="AL779" s="390"/>
      <c r="AM779" s="390"/>
      <c r="AN779" s="390"/>
      <c r="AO779" s="390"/>
      <c r="AP779" s="390"/>
      <c r="AQ779" s="390"/>
      <c r="AR779" s="390"/>
      <c r="AS779" s="390"/>
    </row>
    <row r="780" spans="2:45" x14ac:dyDescent="0.3">
      <c r="B780" s="61" t="s">
        <v>195</v>
      </c>
      <c r="C780" s="62"/>
      <c r="D780" s="28">
        <v>605</v>
      </c>
      <c r="E780" s="28">
        <v>624</v>
      </c>
      <c r="F780" s="28">
        <v>632</v>
      </c>
      <c r="G780" s="28">
        <v>617</v>
      </c>
      <c r="H780" s="28">
        <v>604</v>
      </c>
      <c r="I780" s="28">
        <v>609</v>
      </c>
      <c r="J780" s="28">
        <v>620</v>
      </c>
      <c r="K780" s="28">
        <v>615</v>
      </c>
      <c r="L780" s="28">
        <v>619</v>
      </c>
      <c r="M780" s="28">
        <v>604</v>
      </c>
      <c r="N780" s="28">
        <v>605</v>
      </c>
      <c r="O780" s="28">
        <v>627</v>
      </c>
      <c r="P780" s="28">
        <v>604</v>
      </c>
      <c r="Q780" s="28">
        <v>604</v>
      </c>
      <c r="R780" s="28">
        <v>608</v>
      </c>
      <c r="S780" s="28">
        <v>607</v>
      </c>
      <c r="T780" s="410">
        <v>0</v>
      </c>
      <c r="U780" s="410">
        <v>0</v>
      </c>
      <c r="V780" s="410">
        <v>0</v>
      </c>
      <c r="W780" s="28">
        <v>604</v>
      </c>
      <c r="Y780" s="390"/>
      <c r="Z780" s="390"/>
      <c r="AA780" s="390"/>
      <c r="AB780" s="390"/>
      <c r="AC780" s="390"/>
      <c r="AD780" s="390"/>
      <c r="AE780" s="390"/>
      <c r="AF780" s="390"/>
      <c r="AG780" s="390"/>
      <c r="AH780" s="390"/>
      <c r="AI780" s="390"/>
      <c r="AJ780" s="390"/>
      <c r="AK780" s="390"/>
      <c r="AL780" s="390"/>
      <c r="AM780" s="390"/>
      <c r="AN780" s="390"/>
      <c r="AO780" s="390"/>
      <c r="AP780" s="390"/>
      <c r="AQ780" s="390"/>
      <c r="AR780" s="390"/>
      <c r="AS780" s="390"/>
    </row>
    <row r="781" spans="2:45" x14ac:dyDescent="0.3">
      <c r="B781" s="61" t="s">
        <v>196</v>
      </c>
      <c r="C781" s="62"/>
      <c r="D781" s="28">
        <v>615</v>
      </c>
      <c r="E781" s="28">
        <v>634</v>
      </c>
      <c r="F781" s="28">
        <v>642</v>
      </c>
      <c r="G781" s="28">
        <v>627</v>
      </c>
      <c r="H781" s="28">
        <v>614</v>
      </c>
      <c r="I781" s="28">
        <v>619</v>
      </c>
      <c r="J781" s="28">
        <v>630</v>
      </c>
      <c r="K781" s="28">
        <v>625</v>
      </c>
      <c r="L781" s="28">
        <v>629</v>
      </c>
      <c r="M781" s="28">
        <v>614</v>
      </c>
      <c r="N781" s="28">
        <v>615</v>
      </c>
      <c r="O781" s="28">
        <v>637</v>
      </c>
      <c r="P781" s="28">
        <v>614</v>
      </c>
      <c r="Q781" s="28">
        <v>614</v>
      </c>
      <c r="R781" s="28">
        <v>618</v>
      </c>
      <c r="S781" s="28">
        <v>617</v>
      </c>
      <c r="T781" s="410">
        <v>0</v>
      </c>
      <c r="U781" s="410">
        <v>0</v>
      </c>
      <c r="V781" s="410">
        <v>0</v>
      </c>
      <c r="W781" s="28">
        <v>614</v>
      </c>
      <c r="Y781" s="390"/>
      <c r="Z781" s="390"/>
      <c r="AA781" s="390"/>
      <c r="AB781" s="390"/>
      <c r="AC781" s="390"/>
      <c r="AD781" s="390"/>
      <c r="AE781" s="390"/>
      <c r="AF781" s="390"/>
      <c r="AG781" s="390"/>
      <c r="AH781" s="390"/>
      <c r="AI781" s="390"/>
      <c r="AJ781" s="390"/>
      <c r="AK781" s="390"/>
      <c r="AL781" s="390"/>
      <c r="AM781" s="390"/>
      <c r="AN781" s="390"/>
      <c r="AO781" s="390"/>
      <c r="AP781" s="390"/>
      <c r="AQ781" s="390"/>
      <c r="AR781" s="390"/>
      <c r="AS781" s="390"/>
    </row>
    <row r="782" spans="2:45" x14ac:dyDescent="0.3">
      <c r="B782" s="61" t="s">
        <v>197</v>
      </c>
      <c r="C782" s="62"/>
      <c r="D782" s="28">
        <v>625</v>
      </c>
      <c r="E782" s="28">
        <v>644</v>
      </c>
      <c r="F782" s="28">
        <v>652</v>
      </c>
      <c r="G782" s="28">
        <v>637</v>
      </c>
      <c r="H782" s="28">
        <v>624</v>
      </c>
      <c r="I782" s="28">
        <v>629</v>
      </c>
      <c r="J782" s="28">
        <v>640</v>
      </c>
      <c r="K782" s="28">
        <v>635</v>
      </c>
      <c r="L782" s="28">
        <v>639</v>
      </c>
      <c r="M782" s="28">
        <v>624</v>
      </c>
      <c r="N782" s="28">
        <v>625</v>
      </c>
      <c r="O782" s="28">
        <v>647</v>
      </c>
      <c r="P782" s="28">
        <v>624</v>
      </c>
      <c r="Q782" s="28">
        <v>624</v>
      </c>
      <c r="R782" s="28">
        <v>628</v>
      </c>
      <c r="S782" s="28">
        <v>627</v>
      </c>
      <c r="T782" s="410">
        <v>0</v>
      </c>
      <c r="U782" s="410">
        <v>0</v>
      </c>
      <c r="V782" s="410">
        <v>0</v>
      </c>
      <c r="W782" s="28">
        <v>624</v>
      </c>
      <c r="Y782" s="390"/>
      <c r="Z782" s="390"/>
      <c r="AA782" s="390"/>
      <c r="AB782" s="390"/>
      <c r="AC782" s="390"/>
      <c r="AD782" s="390"/>
      <c r="AE782" s="390"/>
      <c r="AF782" s="390"/>
      <c r="AG782" s="390"/>
      <c r="AH782" s="390"/>
      <c r="AI782" s="390"/>
      <c r="AJ782" s="390"/>
      <c r="AK782" s="390"/>
      <c r="AL782" s="390"/>
      <c r="AM782" s="390"/>
      <c r="AN782" s="390"/>
      <c r="AO782" s="390"/>
      <c r="AP782" s="390"/>
      <c r="AQ782" s="390"/>
      <c r="AR782" s="390"/>
      <c r="AS782" s="390"/>
    </row>
    <row r="783" spans="2:45" x14ac:dyDescent="0.3">
      <c r="B783" s="63" t="s">
        <v>103</v>
      </c>
      <c r="C783" s="55"/>
      <c r="D783" s="43">
        <v>0</v>
      </c>
      <c r="E783" s="408">
        <v>0</v>
      </c>
      <c r="F783" s="408">
        <v>0</v>
      </c>
      <c r="G783" s="408">
        <v>0</v>
      </c>
      <c r="H783" s="408">
        <v>0</v>
      </c>
      <c r="I783" s="408">
        <v>0</v>
      </c>
      <c r="J783" s="408">
        <v>0</v>
      </c>
      <c r="K783" s="408">
        <v>0</v>
      </c>
      <c r="L783" s="408">
        <v>0</v>
      </c>
      <c r="M783" s="408">
        <v>0</v>
      </c>
      <c r="N783" s="408">
        <v>0</v>
      </c>
      <c r="O783" s="408">
        <v>0</v>
      </c>
      <c r="P783" s="408">
        <v>0</v>
      </c>
      <c r="Q783" s="408">
        <v>0</v>
      </c>
      <c r="R783" s="408">
        <v>0</v>
      </c>
      <c r="S783" s="408">
        <v>0</v>
      </c>
      <c r="T783" s="408">
        <v>0</v>
      </c>
      <c r="U783" s="408">
        <v>0</v>
      </c>
      <c r="V783" s="408">
        <v>0</v>
      </c>
      <c r="W783" s="408">
        <v>0</v>
      </c>
      <c r="Y783" s="409"/>
      <c r="Z783" s="409"/>
      <c r="AA783" s="409"/>
      <c r="AB783" s="409"/>
      <c r="AC783" s="409"/>
      <c r="AD783" s="409"/>
      <c r="AE783" s="409"/>
      <c r="AF783" s="409"/>
      <c r="AG783" s="409"/>
      <c r="AH783" s="409"/>
      <c r="AI783" s="409"/>
      <c r="AJ783" s="409"/>
      <c r="AK783" s="409"/>
      <c r="AL783" s="409"/>
      <c r="AM783" s="409"/>
      <c r="AN783" s="409"/>
      <c r="AO783" s="409"/>
      <c r="AP783" s="409"/>
      <c r="AQ783" s="409"/>
      <c r="AR783" s="409"/>
      <c r="AS783" s="409"/>
    </row>
    <row r="784" spans="2:45" x14ac:dyDescent="0.3">
      <c r="B784" s="63" t="s">
        <v>198</v>
      </c>
      <c r="C784" s="64"/>
      <c r="D784" s="31">
        <f>+D779-D$777</f>
        <v>30.962499999999977</v>
      </c>
      <c r="E784" s="31">
        <f t="shared" ref="E784:W784" si="688">+E779-E$777</f>
        <v>30.047500000000014</v>
      </c>
      <c r="F784" s="31">
        <f t="shared" si="688"/>
        <v>30.931249999999977</v>
      </c>
      <c r="G784" s="31">
        <f t="shared" si="688"/>
        <v>30.162500000000023</v>
      </c>
      <c r="H784" s="31">
        <f t="shared" si="688"/>
        <v>30.377500000000055</v>
      </c>
      <c r="I784" s="31">
        <f t="shared" si="688"/>
        <v>30.294999999999959</v>
      </c>
      <c r="J784" s="31">
        <f t="shared" si="688"/>
        <v>30.112499999999955</v>
      </c>
      <c r="K784" s="31">
        <f t="shared" si="688"/>
        <v>30.80499999999995</v>
      </c>
      <c r="L784" s="31">
        <f t="shared" si="688"/>
        <v>30.129999999999995</v>
      </c>
      <c r="M784" s="31">
        <f t="shared" si="688"/>
        <v>30.987499999999955</v>
      </c>
      <c r="N784" s="31">
        <f t="shared" si="688"/>
        <v>30.360000000000014</v>
      </c>
      <c r="O784" s="31">
        <f t="shared" si="688"/>
        <v>30.39874999999995</v>
      </c>
      <c r="P784" s="31">
        <f t="shared" si="688"/>
        <v>30.987499999999955</v>
      </c>
      <c r="Q784" s="31">
        <f t="shared" si="688"/>
        <v>30.987499999999955</v>
      </c>
      <c r="R784" s="31">
        <f t="shared" si="688"/>
        <v>30.311249999999973</v>
      </c>
      <c r="S784" s="31">
        <f t="shared" si="688"/>
        <v>30.327499999999986</v>
      </c>
      <c r="T784" s="32">
        <f t="shared" si="688"/>
        <v>0</v>
      </c>
      <c r="U784" s="32">
        <f t="shared" si="688"/>
        <v>0</v>
      </c>
      <c r="V784" s="32">
        <f t="shared" si="688"/>
        <v>0</v>
      </c>
      <c r="W784" s="31">
        <f t="shared" si="688"/>
        <v>30.987499999999955</v>
      </c>
      <c r="Y784" s="390"/>
      <c r="Z784" s="390"/>
      <c r="AA784" s="390"/>
      <c r="AB784" s="390"/>
      <c r="AC784" s="390"/>
      <c r="AD784" s="390"/>
      <c r="AE784" s="390"/>
      <c r="AF784" s="390"/>
      <c r="AG784" s="390"/>
      <c r="AH784" s="390"/>
      <c r="AI784" s="390"/>
      <c r="AJ784" s="390"/>
      <c r="AK784" s="390"/>
      <c r="AL784" s="390"/>
      <c r="AM784" s="390"/>
      <c r="AN784" s="390"/>
      <c r="AO784" s="390"/>
      <c r="AP784" s="390"/>
      <c r="AQ784" s="390"/>
      <c r="AR784" s="390"/>
      <c r="AS784" s="390"/>
    </row>
    <row r="785" spans="1:45" s="33" customFormat="1" x14ac:dyDescent="0.3">
      <c r="B785" s="63" t="s">
        <v>199</v>
      </c>
      <c r="C785" s="64"/>
      <c r="D785" s="31">
        <f>+D780-D$777</f>
        <v>40.962499999999977</v>
      </c>
      <c r="E785" s="32">
        <f t="shared" ref="E785:W785" si="689">+E780-E$777</f>
        <v>40.047500000000014</v>
      </c>
      <c r="F785" s="32">
        <f t="shared" si="689"/>
        <v>40.931249999999977</v>
      </c>
      <c r="G785" s="32">
        <f t="shared" si="689"/>
        <v>40.162500000000023</v>
      </c>
      <c r="H785" s="32">
        <f t="shared" si="689"/>
        <v>40.377500000000055</v>
      </c>
      <c r="I785" s="32">
        <f t="shared" si="689"/>
        <v>40.294999999999959</v>
      </c>
      <c r="J785" s="32">
        <f t="shared" si="689"/>
        <v>40.112499999999955</v>
      </c>
      <c r="K785" s="32">
        <f t="shared" si="689"/>
        <v>40.80499999999995</v>
      </c>
      <c r="L785" s="32">
        <f t="shared" si="689"/>
        <v>40.129999999999995</v>
      </c>
      <c r="M785" s="32">
        <f t="shared" si="689"/>
        <v>40.987499999999955</v>
      </c>
      <c r="N785" s="32">
        <f t="shared" si="689"/>
        <v>40.360000000000014</v>
      </c>
      <c r="O785" s="32">
        <f t="shared" si="689"/>
        <v>40.39874999999995</v>
      </c>
      <c r="P785" s="32">
        <f t="shared" si="689"/>
        <v>40.987499999999955</v>
      </c>
      <c r="Q785" s="32">
        <f t="shared" si="689"/>
        <v>40.987499999999955</v>
      </c>
      <c r="R785" s="32">
        <f t="shared" si="689"/>
        <v>40.311249999999973</v>
      </c>
      <c r="S785" s="32">
        <f t="shared" si="689"/>
        <v>40.327499999999986</v>
      </c>
      <c r="T785" s="32">
        <f t="shared" si="689"/>
        <v>0</v>
      </c>
      <c r="U785" s="32">
        <f t="shared" si="689"/>
        <v>0</v>
      </c>
      <c r="V785" s="32">
        <f t="shared" si="689"/>
        <v>0</v>
      </c>
      <c r="W785" s="32">
        <f t="shared" si="689"/>
        <v>40.987499999999955</v>
      </c>
      <c r="Y785" s="392"/>
      <c r="Z785" s="392"/>
      <c r="AA785" s="392"/>
      <c r="AB785" s="392"/>
      <c r="AC785" s="392"/>
      <c r="AD785" s="392"/>
      <c r="AE785" s="392"/>
      <c r="AF785" s="392"/>
      <c r="AG785" s="392"/>
      <c r="AH785" s="392"/>
      <c r="AI785" s="392"/>
      <c r="AJ785" s="392"/>
      <c r="AK785" s="392"/>
      <c r="AL785" s="392"/>
      <c r="AM785" s="392"/>
      <c r="AN785" s="392"/>
      <c r="AO785" s="392"/>
      <c r="AP785" s="392"/>
      <c r="AQ785" s="392"/>
      <c r="AR785" s="392"/>
      <c r="AS785" s="392"/>
    </row>
    <row r="786" spans="1:45" x14ac:dyDescent="0.3">
      <c r="B786" s="63" t="s">
        <v>200</v>
      </c>
      <c r="C786" s="64"/>
      <c r="D786" s="31">
        <f>+D781-D$777</f>
        <v>50.962499999999977</v>
      </c>
      <c r="E786" s="32">
        <f t="shared" ref="E786:W786" si="690">+E781-E$777</f>
        <v>50.047500000000014</v>
      </c>
      <c r="F786" s="32">
        <f t="shared" si="690"/>
        <v>50.931249999999977</v>
      </c>
      <c r="G786" s="32">
        <f t="shared" si="690"/>
        <v>50.162500000000023</v>
      </c>
      <c r="H786" s="32">
        <f t="shared" si="690"/>
        <v>50.377500000000055</v>
      </c>
      <c r="I786" s="32">
        <f t="shared" si="690"/>
        <v>50.294999999999959</v>
      </c>
      <c r="J786" s="32">
        <f t="shared" si="690"/>
        <v>50.112499999999955</v>
      </c>
      <c r="K786" s="32">
        <f t="shared" si="690"/>
        <v>50.80499999999995</v>
      </c>
      <c r="L786" s="32">
        <f t="shared" si="690"/>
        <v>50.129999999999995</v>
      </c>
      <c r="M786" s="32">
        <f t="shared" si="690"/>
        <v>50.987499999999955</v>
      </c>
      <c r="N786" s="32">
        <f t="shared" si="690"/>
        <v>50.360000000000014</v>
      </c>
      <c r="O786" s="32">
        <f t="shared" si="690"/>
        <v>50.39874999999995</v>
      </c>
      <c r="P786" s="32">
        <f t="shared" si="690"/>
        <v>50.987499999999955</v>
      </c>
      <c r="Q786" s="32">
        <f t="shared" si="690"/>
        <v>50.987499999999955</v>
      </c>
      <c r="R786" s="32">
        <f t="shared" si="690"/>
        <v>50.311249999999973</v>
      </c>
      <c r="S786" s="32">
        <f t="shared" si="690"/>
        <v>50.327499999999986</v>
      </c>
      <c r="T786" s="32">
        <f t="shared" si="690"/>
        <v>0</v>
      </c>
      <c r="U786" s="32">
        <f t="shared" si="690"/>
        <v>0</v>
      </c>
      <c r="V786" s="32">
        <f t="shared" si="690"/>
        <v>0</v>
      </c>
      <c r="W786" s="32">
        <f t="shared" si="690"/>
        <v>50.987499999999955</v>
      </c>
      <c r="Y786" s="390"/>
      <c r="Z786" s="390"/>
      <c r="AA786" s="390"/>
      <c r="AB786" s="390"/>
      <c r="AC786" s="390"/>
      <c r="AD786" s="390"/>
      <c r="AE786" s="390"/>
      <c r="AF786" s="390"/>
      <c r="AG786" s="390"/>
      <c r="AH786" s="390"/>
      <c r="AI786" s="390"/>
      <c r="AJ786" s="390"/>
      <c r="AK786" s="390"/>
      <c r="AL786" s="390"/>
      <c r="AM786" s="390"/>
      <c r="AN786" s="390"/>
      <c r="AO786" s="390"/>
      <c r="AP786" s="390"/>
      <c r="AQ786" s="390"/>
      <c r="AR786" s="390"/>
      <c r="AS786" s="390"/>
    </row>
    <row r="787" spans="1:45" x14ac:dyDescent="0.3">
      <c r="B787" s="63" t="s">
        <v>201</v>
      </c>
      <c r="C787" s="64"/>
      <c r="D787" s="31">
        <f>+D782-D$777</f>
        <v>60.962499999999977</v>
      </c>
      <c r="E787" s="32">
        <f t="shared" ref="E787:W787" si="691">+E782-E$777</f>
        <v>60.047500000000014</v>
      </c>
      <c r="F787" s="32">
        <f t="shared" si="691"/>
        <v>60.931249999999977</v>
      </c>
      <c r="G787" s="32">
        <f t="shared" si="691"/>
        <v>60.162500000000023</v>
      </c>
      <c r="H787" s="32">
        <f t="shared" si="691"/>
        <v>60.377500000000055</v>
      </c>
      <c r="I787" s="32">
        <f t="shared" si="691"/>
        <v>60.294999999999959</v>
      </c>
      <c r="J787" s="32">
        <f t="shared" si="691"/>
        <v>60.112499999999955</v>
      </c>
      <c r="K787" s="32">
        <f t="shared" si="691"/>
        <v>60.80499999999995</v>
      </c>
      <c r="L787" s="32">
        <f t="shared" si="691"/>
        <v>60.129999999999995</v>
      </c>
      <c r="M787" s="32">
        <f t="shared" si="691"/>
        <v>60.987499999999955</v>
      </c>
      <c r="N787" s="32">
        <f t="shared" si="691"/>
        <v>60.360000000000014</v>
      </c>
      <c r="O787" s="32">
        <f t="shared" si="691"/>
        <v>60.39874999999995</v>
      </c>
      <c r="P787" s="32">
        <f t="shared" si="691"/>
        <v>60.987499999999955</v>
      </c>
      <c r="Q787" s="32">
        <f t="shared" si="691"/>
        <v>60.987499999999955</v>
      </c>
      <c r="R787" s="32">
        <f t="shared" si="691"/>
        <v>60.311249999999973</v>
      </c>
      <c r="S787" s="32">
        <f t="shared" si="691"/>
        <v>60.327499999999986</v>
      </c>
      <c r="T787" s="32">
        <f t="shared" si="691"/>
        <v>0</v>
      </c>
      <c r="U787" s="32">
        <f t="shared" si="691"/>
        <v>0</v>
      </c>
      <c r="V787" s="32">
        <f t="shared" si="691"/>
        <v>0</v>
      </c>
      <c r="W787" s="32">
        <f t="shared" si="691"/>
        <v>60.987499999999955</v>
      </c>
      <c r="Y787" s="390"/>
      <c r="Z787" s="390"/>
      <c r="AA787" s="390"/>
      <c r="AB787" s="390"/>
      <c r="AC787" s="390"/>
      <c r="AD787" s="390"/>
      <c r="AE787" s="390"/>
      <c r="AF787" s="390"/>
      <c r="AG787" s="390"/>
      <c r="AH787" s="390"/>
      <c r="AI787" s="390"/>
      <c r="AJ787" s="390"/>
      <c r="AK787" s="390"/>
      <c r="AL787" s="390"/>
      <c r="AM787" s="390"/>
      <c r="AN787" s="390"/>
      <c r="AO787" s="390"/>
      <c r="AP787" s="390"/>
      <c r="AQ787" s="390"/>
      <c r="AR787" s="390"/>
      <c r="AS787" s="390"/>
    </row>
    <row r="788" spans="1:45" x14ac:dyDescent="0.3">
      <c r="B788" s="65" t="s">
        <v>108</v>
      </c>
      <c r="C788" s="55"/>
      <c r="D788" s="43">
        <v>0</v>
      </c>
      <c r="E788" s="408">
        <v>0</v>
      </c>
      <c r="F788" s="408">
        <v>0</v>
      </c>
      <c r="G788" s="408">
        <v>0</v>
      </c>
      <c r="H788" s="408">
        <v>0</v>
      </c>
      <c r="I788" s="408">
        <v>0</v>
      </c>
      <c r="J788" s="408">
        <v>0</v>
      </c>
      <c r="K788" s="408">
        <v>0</v>
      </c>
      <c r="L788" s="408">
        <v>0</v>
      </c>
      <c r="M788" s="408">
        <v>0</v>
      </c>
      <c r="N788" s="408">
        <v>0</v>
      </c>
      <c r="O788" s="408">
        <v>0</v>
      </c>
      <c r="P788" s="408">
        <v>0</v>
      </c>
      <c r="Q788" s="408">
        <v>0</v>
      </c>
      <c r="R788" s="408">
        <v>0</v>
      </c>
      <c r="S788" s="408">
        <v>0</v>
      </c>
      <c r="T788" s="408">
        <v>0</v>
      </c>
      <c r="U788" s="408">
        <v>0</v>
      </c>
      <c r="V788" s="408">
        <v>0</v>
      </c>
      <c r="W788" s="408">
        <v>0</v>
      </c>
      <c r="Y788" s="409"/>
      <c r="Z788" s="409"/>
      <c r="AA788" s="409"/>
      <c r="AB788" s="409"/>
      <c r="AC788" s="409"/>
      <c r="AD788" s="409"/>
      <c r="AE788" s="409"/>
      <c r="AF788" s="409"/>
      <c r="AG788" s="409"/>
      <c r="AH788" s="409"/>
      <c r="AI788" s="409"/>
      <c r="AJ788" s="409"/>
      <c r="AK788" s="409"/>
      <c r="AL788" s="409"/>
      <c r="AM788" s="409"/>
      <c r="AN788" s="409"/>
      <c r="AO788" s="409"/>
      <c r="AP788" s="409"/>
      <c r="AQ788" s="409"/>
      <c r="AR788" s="409"/>
      <c r="AS788" s="409"/>
    </row>
    <row r="789" spans="1:45" x14ac:dyDescent="0.3">
      <c r="B789" s="65" t="s">
        <v>202</v>
      </c>
      <c r="C789" s="64"/>
      <c r="D789" s="371">
        <f>+D784/D$779</f>
        <v>5.203781512605038E-2</v>
      </c>
      <c r="E789" s="371">
        <f t="shared" ref="E789:W789" si="692">+E784/E$779</f>
        <v>4.8937296416938135E-2</v>
      </c>
      <c r="F789" s="371">
        <f t="shared" si="692"/>
        <v>4.9728697749196103E-2</v>
      </c>
      <c r="G789" s="371">
        <f t="shared" si="692"/>
        <v>4.9691103789126889E-2</v>
      </c>
      <c r="H789" s="371">
        <f t="shared" si="692"/>
        <v>5.1140572390572479E-2</v>
      </c>
      <c r="I789" s="371">
        <f t="shared" si="692"/>
        <v>5.0575959933221969E-2</v>
      </c>
      <c r="J789" s="371">
        <f t="shared" si="692"/>
        <v>4.936475409836058E-2</v>
      </c>
      <c r="K789" s="371">
        <f t="shared" si="692"/>
        <v>5.0917355371900744E-2</v>
      </c>
      <c r="L789" s="371">
        <f t="shared" si="692"/>
        <v>4.9474548440065672E-2</v>
      </c>
      <c r="M789" s="371">
        <f t="shared" si="692"/>
        <v>5.2167508417508342E-2</v>
      </c>
      <c r="N789" s="371">
        <f t="shared" si="692"/>
        <v>5.1025210084033636E-2</v>
      </c>
      <c r="O789" s="371">
        <f t="shared" si="692"/>
        <v>4.9268638573743841E-2</v>
      </c>
      <c r="P789" s="371">
        <f t="shared" si="692"/>
        <v>5.2167508417508342E-2</v>
      </c>
      <c r="Q789" s="371">
        <f t="shared" si="692"/>
        <v>5.2167508417508342E-2</v>
      </c>
      <c r="R789" s="371">
        <f t="shared" si="692"/>
        <v>5.0687709030100288E-2</v>
      </c>
      <c r="S789" s="371">
        <f t="shared" si="692"/>
        <v>5.0799832495812373E-2</v>
      </c>
      <c r="T789" s="372" t="e">
        <f t="shared" si="692"/>
        <v>#DIV/0!</v>
      </c>
      <c r="U789" s="372" t="e">
        <f t="shared" si="692"/>
        <v>#DIV/0!</v>
      </c>
      <c r="V789" s="372" t="e">
        <f t="shared" si="692"/>
        <v>#DIV/0!</v>
      </c>
      <c r="W789" s="371">
        <f t="shared" si="692"/>
        <v>5.2167508417508342E-2</v>
      </c>
      <c r="Y789" s="390"/>
      <c r="Z789" s="390"/>
      <c r="AA789" s="390"/>
      <c r="AB789" s="390"/>
      <c r="AC789" s="390"/>
      <c r="AD789" s="390"/>
      <c r="AE789" s="390"/>
      <c r="AF789" s="390"/>
      <c r="AG789" s="390"/>
      <c r="AH789" s="390"/>
      <c r="AI789" s="390"/>
      <c r="AJ789" s="390"/>
      <c r="AK789" s="390"/>
      <c r="AL789" s="390"/>
      <c r="AM789" s="390"/>
      <c r="AN789" s="390"/>
      <c r="AO789" s="390"/>
      <c r="AP789" s="390"/>
      <c r="AQ789" s="390"/>
      <c r="AR789" s="390"/>
      <c r="AS789" s="390"/>
    </row>
    <row r="790" spans="1:45" x14ac:dyDescent="0.3">
      <c r="B790" s="65" t="s">
        <v>203</v>
      </c>
      <c r="C790" s="66"/>
      <c r="D790" s="371">
        <f>+D785/D$780</f>
        <v>6.770661157024789E-2</v>
      </c>
      <c r="E790" s="368">
        <f t="shared" ref="E790:W790" si="693">+E785/E$780</f>
        <v>6.4178685897435916E-2</v>
      </c>
      <c r="F790" s="368">
        <f t="shared" si="693"/>
        <v>6.4764636075949331E-2</v>
      </c>
      <c r="G790" s="368">
        <f t="shared" si="693"/>
        <v>6.5093192868719646E-2</v>
      </c>
      <c r="H790" s="368">
        <f t="shared" si="693"/>
        <v>6.6850165562913996E-2</v>
      </c>
      <c r="I790" s="368">
        <f t="shared" si="693"/>
        <v>6.6165845648604199E-2</v>
      </c>
      <c r="J790" s="368">
        <f t="shared" si="693"/>
        <v>6.4697580645161221E-2</v>
      </c>
      <c r="K790" s="368">
        <f t="shared" si="693"/>
        <v>6.6349593495934875E-2</v>
      </c>
      <c r="L790" s="368">
        <f t="shared" si="693"/>
        <v>6.4830371567043618E-2</v>
      </c>
      <c r="M790" s="368">
        <f t="shared" si="693"/>
        <v>6.7860099337748267E-2</v>
      </c>
      <c r="N790" s="368">
        <f t="shared" si="693"/>
        <v>6.6710743801652914E-2</v>
      </c>
      <c r="O790" s="368">
        <f t="shared" si="693"/>
        <v>6.4431818181818104E-2</v>
      </c>
      <c r="P790" s="368">
        <f t="shared" si="693"/>
        <v>6.7860099337748267E-2</v>
      </c>
      <c r="Q790" s="368">
        <f t="shared" si="693"/>
        <v>6.7860099337748267E-2</v>
      </c>
      <c r="R790" s="368">
        <f t="shared" si="693"/>
        <v>6.6301398026315739E-2</v>
      </c>
      <c r="S790" s="368">
        <f t="shared" si="693"/>
        <v>6.6437397034596349E-2</v>
      </c>
      <c r="T790" s="368" t="e">
        <f t="shared" si="693"/>
        <v>#DIV/0!</v>
      </c>
      <c r="U790" s="368" t="e">
        <f t="shared" si="693"/>
        <v>#DIV/0!</v>
      </c>
      <c r="V790" s="368" t="e">
        <f t="shared" si="693"/>
        <v>#DIV/0!</v>
      </c>
      <c r="W790" s="368">
        <f t="shared" si="693"/>
        <v>6.7860099337748267E-2</v>
      </c>
      <c r="Y790" s="390"/>
      <c r="Z790" s="390"/>
      <c r="AA790" s="390"/>
      <c r="AB790" s="390"/>
      <c r="AC790" s="390"/>
      <c r="AD790" s="390"/>
      <c r="AE790" s="390"/>
      <c r="AF790" s="390"/>
      <c r="AG790" s="390"/>
      <c r="AH790" s="390"/>
      <c r="AI790" s="390"/>
      <c r="AJ790" s="390"/>
      <c r="AK790" s="390"/>
      <c r="AL790" s="390"/>
      <c r="AM790" s="390"/>
      <c r="AN790" s="390"/>
      <c r="AO790" s="390"/>
      <c r="AP790" s="390"/>
      <c r="AQ790" s="390"/>
      <c r="AR790" s="390"/>
      <c r="AS790" s="390"/>
    </row>
    <row r="791" spans="1:45" x14ac:dyDescent="0.3">
      <c r="B791" s="65" t="s">
        <v>204</v>
      </c>
      <c r="C791" s="66"/>
      <c r="D791" s="371">
        <f>+D786/D$781</f>
        <v>8.2865853658536548E-2</v>
      </c>
      <c r="E791" s="368">
        <f t="shared" ref="E791:W791" si="694">+E786/E$781</f>
        <v>7.8939274447949542E-2</v>
      </c>
      <c r="F791" s="368">
        <f t="shared" si="694"/>
        <v>7.9332165109034236E-2</v>
      </c>
      <c r="G791" s="368">
        <f t="shared" si="694"/>
        <v>8.0003987240829383E-2</v>
      </c>
      <c r="H791" s="368">
        <f t="shared" si="694"/>
        <v>8.2048045602605951E-2</v>
      </c>
      <c r="I791" s="368">
        <f t="shared" si="694"/>
        <v>8.1252019386106558E-2</v>
      </c>
      <c r="J791" s="368">
        <f t="shared" si="694"/>
        <v>7.9543650793650722E-2</v>
      </c>
      <c r="K791" s="368">
        <f t="shared" si="694"/>
        <v>8.1287999999999916E-2</v>
      </c>
      <c r="L791" s="368">
        <f t="shared" si="694"/>
        <v>7.9697933227344989E-2</v>
      </c>
      <c r="M791" s="368">
        <f t="shared" si="694"/>
        <v>8.3041530944625339E-2</v>
      </c>
      <c r="N791" s="368">
        <f t="shared" si="694"/>
        <v>8.1886178861788644E-2</v>
      </c>
      <c r="O791" s="368">
        <f t="shared" si="694"/>
        <v>7.9118916797488142E-2</v>
      </c>
      <c r="P791" s="368">
        <f t="shared" si="694"/>
        <v>8.3041530944625339E-2</v>
      </c>
      <c r="Q791" s="368">
        <f t="shared" si="694"/>
        <v>8.3041530944625339E-2</v>
      </c>
      <c r="R791" s="368">
        <f t="shared" si="694"/>
        <v>8.1409789644012895E-2</v>
      </c>
      <c r="S791" s="368">
        <f t="shared" si="694"/>
        <v>8.1568071312803872E-2</v>
      </c>
      <c r="T791" s="368" t="e">
        <f t="shared" si="694"/>
        <v>#DIV/0!</v>
      </c>
      <c r="U791" s="368" t="e">
        <f t="shared" si="694"/>
        <v>#DIV/0!</v>
      </c>
      <c r="V791" s="368" t="e">
        <f t="shared" si="694"/>
        <v>#DIV/0!</v>
      </c>
      <c r="W791" s="368">
        <f t="shared" si="694"/>
        <v>8.3041530944625339E-2</v>
      </c>
      <c r="Y791" s="390"/>
      <c r="Z791" s="390"/>
      <c r="AA791" s="390"/>
      <c r="AB791" s="390"/>
      <c r="AC791" s="390"/>
      <c r="AD791" s="390"/>
      <c r="AE791" s="390"/>
      <c r="AF791" s="390"/>
      <c r="AG791" s="390"/>
      <c r="AH791" s="390"/>
      <c r="AI791" s="390"/>
      <c r="AJ791" s="390"/>
      <c r="AK791" s="390"/>
      <c r="AL791" s="390"/>
      <c r="AM791" s="390"/>
      <c r="AN791" s="390"/>
      <c r="AO791" s="390"/>
      <c r="AP791" s="390"/>
      <c r="AQ791" s="390"/>
      <c r="AR791" s="390"/>
      <c r="AS791" s="390"/>
    </row>
    <row r="792" spans="1:45" x14ac:dyDescent="0.3">
      <c r="B792" s="65" t="s">
        <v>205</v>
      </c>
      <c r="C792" s="66"/>
      <c r="D792" s="371">
        <f>+D787/D$782</f>
        <v>9.753999999999996E-2</v>
      </c>
      <c r="E792" s="368">
        <f t="shared" ref="E792:W792" si="695">+E787/E$782</f>
        <v>9.3241459627329215E-2</v>
      </c>
      <c r="F792" s="368">
        <f t="shared" si="695"/>
        <v>9.3452837423312854E-2</v>
      </c>
      <c r="G792" s="368">
        <f t="shared" si="695"/>
        <v>9.4446624803767698E-2</v>
      </c>
      <c r="H792" s="368">
        <f t="shared" si="695"/>
        <v>9.6758814102564192E-2</v>
      </c>
      <c r="I792" s="368">
        <f t="shared" si="695"/>
        <v>9.5858505564387853E-2</v>
      </c>
      <c r="J792" s="368">
        <f t="shared" si="695"/>
        <v>9.3925781249999923E-2</v>
      </c>
      <c r="K792" s="368">
        <f t="shared" si="695"/>
        <v>9.5755905511810943E-2</v>
      </c>
      <c r="L792" s="368">
        <f t="shared" si="695"/>
        <v>9.4100156494522691E-2</v>
      </c>
      <c r="M792" s="368">
        <f t="shared" si="695"/>
        <v>9.7736378205128135E-2</v>
      </c>
      <c r="N792" s="368">
        <f t="shared" si="695"/>
        <v>9.6576000000000023E-2</v>
      </c>
      <c r="O792" s="368">
        <f t="shared" si="695"/>
        <v>9.3352009273570249E-2</v>
      </c>
      <c r="P792" s="368">
        <f t="shared" si="695"/>
        <v>9.7736378205128135E-2</v>
      </c>
      <c r="Q792" s="368">
        <f t="shared" si="695"/>
        <v>9.7736378205128135E-2</v>
      </c>
      <c r="R792" s="368">
        <f t="shared" si="695"/>
        <v>9.6037022292993587E-2</v>
      </c>
      <c r="S792" s="368">
        <f t="shared" si="695"/>
        <v>9.6216108452950533E-2</v>
      </c>
      <c r="T792" s="368" t="e">
        <f t="shared" si="695"/>
        <v>#DIV/0!</v>
      </c>
      <c r="U792" s="368" t="e">
        <f t="shared" si="695"/>
        <v>#DIV/0!</v>
      </c>
      <c r="V792" s="368" t="e">
        <f t="shared" si="695"/>
        <v>#DIV/0!</v>
      </c>
      <c r="W792" s="368">
        <f t="shared" si="695"/>
        <v>9.7736378205128135E-2</v>
      </c>
      <c r="Y792" s="390"/>
      <c r="Z792" s="390"/>
      <c r="AA792" s="390"/>
      <c r="AB792" s="390"/>
      <c r="AC792" s="390"/>
      <c r="AD792" s="390"/>
      <c r="AE792" s="390"/>
      <c r="AF792" s="390"/>
      <c r="AG792" s="390"/>
      <c r="AH792" s="390"/>
      <c r="AI792" s="390"/>
      <c r="AJ792" s="390"/>
      <c r="AK792" s="390"/>
      <c r="AL792" s="390"/>
      <c r="AM792" s="390"/>
      <c r="AN792" s="390"/>
      <c r="AO792" s="390"/>
      <c r="AP792" s="390"/>
      <c r="AQ792" s="390"/>
      <c r="AR792" s="390"/>
      <c r="AS792" s="390"/>
    </row>
    <row r="793" spans="1:45" hidden="1" x14ac:dyDescent="0.3">
      <c r="B793" s="65" t="s">
        <v>78</v>
      </c>
      <c r="C793" s="66"/>
      <c r="D793" s="224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Y793" s="390"/>
      <c r="Z793" s="390"/>
      <c r="AA793" s="390"/>
      <c r="AB793" s="390"/>
      <c r="AC793" s="390"/>
      <c r="AD793" s="390"/>
      <c r="AE793" s="390"/>
      <c r="AF793" s="390"/>
      <c r="AG793" s="390"/>
      <c r="AH793" s="390"/>
      <c r="AI793" s="390"/>
      <c r="AJ793" s="390"/>
      <c r="AK793" s="390"/>
      <c r="AL793" s="390"/>
      <c r="AM793" s="390"/>
      <c r="AN793" s="390"/>
      <c r="AO793" s="390"/>
      <c r="AP793" s="390"/>
      <c r="AQ793" s="390"/>
      <c r="AR793" s="390"/>
      <c r="AS793" s="390"/>
    </row>
    <row r="794" spans="1:45" ht="21" thickBot="1" x14ac:dyDescent="0.35">
      <c r="Y794" s="390"/>
      <c r="Z794" s="390"/>
      <c r="AA794" s="390"/>
      <c r="AB794" s="390"/>
      <c r="AC794" s="390"/>
      <c r="AD794" s="390"/>
      <c r="AE794" s="390"/>
      <c r="AF794" s="390"/>
      <c r="AG794" s="390"/>
      <c r="AH794" s="390"/>
      <c r="AI794" s="390"/>
      <c r="AJ794" s="390"/>
      <c r="AK794" s="390"/>
      <c r="AL794" s="390"/>
      <c r="AM794" s="390"/>
      <c r="AN794" s="390"/>
      <c r="AO794" s="390"/>
      <c r="AP794" s="390"/>
      <c r="AQ794" s="390"/>
      <c r="AR794" s="390"/>
      <c r="AS794" s="390"/>
    </row>
    <row r="795" spans="1:45" ht="21" thickBot="1" x14ac:dyDescent="0.35">
      <c r="A795" s="15" t="s">
        <v>337</v>
      </c>
      <c r="B795" s="74" t="s">
        <v>154</v>
      </c>
      <c r="C795" s="68"/>
      <c r="D795" s="17" t="s">
        <v>5</v>
      </c>
      <c r="E795" s="18" t="s">
        <v>6</v>
      </c>
      <c r="F795" s="18" t="s">
        <v>7</v>
      </c>
      <c r="G795" s="18" t="s">
        <v>8</v>
      </c>
      <c r="H795" s="18" t="s">
        <v>9</v>
      </c>
      <c r="I795" s="18" t="s">
        <v>10</v>
      </c>
      <c r="J795" s="18" t="s">
        <v>11</v>
      </c>
      <c r="K795" s="18" t="s">
        <v>12</v>
      </c>
      <c r="L795" s="18" t="s">
        <v>13</v>
      </c>
      <c r="M795" s="18" t="s">
        <v>14</v>
      </c>
      <c r="N795" s="18" t="s">
        <v>15</v>
      </c>
      <c r="O795" s="18" t="s">
        <v>16</v>
      </c>
      <c r="P795" s="18" t="s">
        <v>17</v>
      </c>
      <c r="Q795" s="18" t="s">
        <v>18</v>
      </c>
      <c r="R795" s="18" t="s">
        <v>19</v>
      </c>
      <c r="S795" s="18" t="s">
        <v>20</v>
      </c>
      <c r="T795" s="18" t="s">
        <v>21</v>
      </c>
      <c r="U795" s="18" t="s">
        <v>22</v>
      </c>
      <c r="V795" s="18" t="s">
        <v>23</v>
      </c>
      <c r="W795" s="18" t="s">
        <v>166</v>
      </c>
      <c r="Y795" s="390"/>
      <c r="Z795" s="390"/>
      <c r="AA795" s="390"/>
      <c r="AB795" s="390"/>
      <c r="AC795" s="390"/>
      <c r="AD795" s="390"/>
      <c r="AE795" s="390"/>
      <c r="AF795" s="390"/>
      <c r="AG795" s="390"/>
      <c r="AH795" s="390"/>
      <c r="AI795" s="390"/>
      <c r="AJ795" s="390"/>
      <c r="AK795" s="390"/>
      <c r="AL795" s="390"/>
      <c r="AM795" s="390"/>
      <c r="AN795" s="390"/>
      <c r="AO795" s="390"/>
      <c r="AP795" s="390"/>
      <c r="AQ795" s="390"/>
      <c r="AR795" s="390"/>
      <c r="AS795" s="390"/>
    </row>
    <row r="796" spans="1:45" x14ac:dyDescent="0.3">
      <c r="B796" s="69" t="s">
        <v>50</v>
      </c>
      <c r="C796" s="7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Y796" s="390"/>
      <c r="Z796" s="390"/>
      <c r="AA796" s="390"/>
      <c r="AB796" s="390"/>
      <c r="AC796" s="390"/>
      <c r="AD796" s="390"/>
      <c r="AE796" s="390"/>
      <c r="AF796" s="390"/>
      <c r="AG796" s="390"/>
      <c r="AH796" s="390"/>
      <c r="AI796" s="390"/>
      <c r="AJ796" s="390"/>
      <c r="AK796" s="390"/>
      <c r="AL796" s="390"/>
      <c r="AM796" s="390"/>
      <c r="AN796" s="390"/>
      <c r="AO796" s="390"/>
      <c r="AP796" s="390"/>
      <c r="AQ796" s="390"/>
      <c r="AR796" s="390"/>
      <c r="AS796" s="390"/>
    </row>
    <row r="797" spans="1:45" x14ac:dyDescent="0.3">
      <c r="B797" s="54" t="s">
        <v>51</v>
      </c>
      <c r="C797" s="55"/>
      <c r="D797" s="322"/>
      <c r="E797" s="322"/>
      <c r="F797" s="322"/>
      <c r="G797" s="322"/>
      <c r="H797" s="322"/>
      <c r="I797" s="322"/>
      <c r="J797" s="322"/>
      <c r="K797" s="322"/>
      <c r="L797" s="322"/>
      <c r="M797" s="322"/>
      <c r="N797" s="322"/>
      <c r="O797" s="322"/>
      <c r="P797" s="322"/>
      <c r="Q797" s="322"/>
      <c r="R797" s="322"/>
      <c r="S797" s="322"/>
      <c r="T797" s="218"/>
      <c r="U797" s="218"/>
      <c r="V797" s="218"/>
      <c r="W797" s="322"/>
      <c r="Y797" s="390"/>
      <c r="Z797" s="390"/>
      <c r="AA797" s="390"/>
      <c r="AB797" s="390"/>
      <c r="AC797" s="390"/>
      <c r="AD797" s="390"/>
      <c r="AE797" s="390"/>
      <c r="AF797" s="390"/>
      <c r="AG797" s="390"/>
      <c r="AH797" s="390"/>
      <c r="AI797" s="390"/>
      <c r="AJ797" s="390"/>
      <c r="AK797" s="390"/>
      <c r="AL797" s="390"/>
      <c r="AM797" s="390"/>
      <c r="AN797" s="390"/>
      <c r="AO797" s="390"/>
      <c r="AP797" s="390"/>
      <c r="AQ797" s="390"/>
      <c r="AR797" s="390"/>
      <c r="AS797" s="390"/>
    </row>
    <row r="798" spans="1:45" x14ac:dyDescent="0.3">
      <c r="B798" s="54" t="s">
        <v>56</v>
      </c>
      <c r="C798" s="55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Y798" s="390"/>
      <c r="Z798" s="390"/>
      <c r="AA798" s="390"/>
      <c r="AB798" s="390"/>
      <c r="AC798" s="390"/>
      <c r="AD798" s="390"/>
      <c r="AE798" s="390"/>
      <c r="AF798" s="390"/>
      <c r="AG798" s="390"/>
      <c r="AH798" s="390"/>
      <c r="AI798" s="390"/>
      <c r="AJ798" s="390"/>
      <c r="AK798" s="390"/>
      <c r="AL798" s="390"/>
      <c r="AM798" s="390"/>
      <c r="AN798" s="390"/>
      <c r="AO798" s="390"/>
      <c r="AP798" s="390"/>
      <c r="AQ798" s="390"/>
      <c r="AR798" s="390"/>
      <c r="AS798" s="390"/>
    </row>
    <row r="799" spans="1:45" x14ac:dyDescent="0.3">
      <c r="B799" s="177" t="s">
        <v>67</v>
      </c>
      <c r="C799" s="178"/>
      <c r="D799" s="323">
        <v>295.75</v>
      </c>
      <c r="E799" s="323">
        <v>295.75</v>
      </c>
      <c r="F799" s="323">
        <v>295.75</v>
      </c>
      <c r="G799" s="323">
        <v>295.75</v>
      </c>
      <c r="H799" s="323">
        <v>295.75</v>
      </c>
      <c r="I799" s="323">
        <v>295.75</v>
      </c>
      <c r="J799" s="323">
        <v>295.75</v>
      </c>
      <c r="K799" s="323">
        <v>295.75</v>
      </c>
      <c r="L799" s="323">
        <v>295.75</v>
      </c>
      <c r="M799" s="323">
        <v>295.75</v>
      </c>
      <c r="N799" s="323">
        <v>295.75</v>
      </c>
      <c r="O799" s="323">
        <v>295.75</v>
      </c>
      <c r="P799" s="323">
        <v>295.75</v>
      </c>
      <c r="Q799" s="323">
        <v>295.75</v>
      </c>
      <c r="R799" s="323">
        <v>295.75</v>
      </c>
      <c r="S799" s="323">
        <v>295.75</v>
      </c>
      <c r="T799" s="323">
        <v>0</v>
      </c>
      <c r="U799" s="323">
        <v>0</v>
      </c>
      <c r="V799" s="323">
        <v>0</v>
      </c>
      <c r="W799" s="323">
        <v>295.75</v>
      </c>
      <c r="Y799" s="390"/>
      <c r="Z799" s="390"/>
      <c r="AA799" s="390"/>
      <c r="AB799" s="390"/>
      <c r="AC799" s="390"/>
      <c r="AD799" s="390"/>
      <c r="AE799" s="390"/>
      <c r="AF799" s="390"/>
      <c r="AG799" s="390"/>
      <c r="AH799" s="390"/>
      <c r="AI799" s="390"/>
      <c r="AJ799" s="390"/>
      <c r="AK799" s="390"/>
      <c r="AL799" s="390"/>
      <c r="AM799" s="390"/>
      <c r="AN799" s="390"/>
      <c r="AO799" s="390"/>
      <c r="AP799" s="390"/>
      <c r="AQ799" s="390"/>
      <c r="AR799" s="390"/>
      <c r="AS799" s="390"/>
    </row>
    <row r="800" spans="1:45" x14ac:dyDescent="0.3">
      <c r="B800" s="54" t="s">
        <v>66</v>
      </c>
      <c r="C800" s="56">
        <v>7.0000000000000007E-2</v>
      </c>
      <c r="D800" s="24">
        <f>D799*$C800</f>
        <v>20.702500000000001</v>
      </c>
      <c r="E800" s="24">
        <f t="shared" ref="E800:V800" si="696">E799*$C800</f>
        <v>20.702500000000001</v>
      </c>
      <c r="F800" s="24">
        <f t="shared" si="696"/>
        <v>20.702500000000001</v>
      </c>
      <c r="G800" s="24">
        <f t="shared" si="696"/>
        <v>20.702500000000001</v>
      </c>
      <c r="H800" s="24">
        <f t="shared" si="696"/>
        <v>20.702500000000001</v>
      </c>
      <c r="I800" s="24">
        <f t="shared" si="696"/>
        <v>20.702500000000001</v>
      </c>
      <c r="J800" s="24">
        <f t="shared" si="696"/>
        <v>20.702500000000001</v>
      </c>
      <c r="K800" s="24">
        <f t="shared" si="696"/>
        <v>20.702500000000001</v>
      </c>
      <c r="L800" s="24">
        <f t="shared" si="696"/>
        <v>20.702500000000001</v>
      </c>
      <c r="M800" s="24">
        <f t="shared" si="696"/>
        <v>20.702500000000001</v>
      </c>
      <c r="N800" s="24">
        <f t="shared" si="696"/>
        <v>20.702500000000001</v>
      </c>
      <c r="O800" s="24">
        <f t="shared" si="696"/>
        <v>20.702500000000001</v>
      </c>
      <c r="P800" s="24">
        <f t="shared" si="696"/>
        <v>20.702500000000001</v>
      </c>
      <c r="Q800" s="24">
        <f t="shared" si="696"/>
        <v>20.702500000000001</v>
      </c>
      <c r="R800" s="24">
        <f t="shared" si="696"/>
        <v>20.702500000000001</v>
      </c>
      <c r="S800" s="24">
        <f t="shared" si="696"/>
        <v>20.702500000000001</v>
      </c>
      <c r="T800" s="24">
        <f t="shared" si="696"/>
        <v>0</v>
      </c>
      <c r="U800" s="24">
        <f t="shared" si="696"/>
        <v>0</v>
      </c>
      <c r="V800" s="24">
        <f t="shared" si="696"/>
        <v>0</v>
      </c>
      <c r="W800" s="24">
        <f>W799*$C800</f>
        <v>20.702500000000001</v>
      </c>
      <c r="Y800" s="390"/>
      <c r="Z800" s="390"/>
      <c r="AA800" s="390"/>
      <c r="AB800" s="390"/>
      <c r="AC800" s="390"/>
      <c r="AD800" s="390"/>
      <c r="AE800" s="390"/>
      <c r="AF800" s="390"/>
      <c r="AG800" s="390"/>
      <c r="AH800" s="390"/>
      <c r="AI800" s="390"/>
      <c r="AJ800" s="390"/>
      <c r="AK800" s="390"/>
      <c r="AL800" s="390"/>
      <c r="AM800" s="390"/>
      <c r="AN800" s="390"/>
      <c r="AO800" s="390"/>
      <c r="AP800" s="390"/>
      <c r="AQ800" s="390"/>
      <c r="AR800" s="390"/>
      <c r="AS800" s="390"/>
    </row>
    <row r="801" spans="2:45" x14ac:dyDescent="0.3">
      <c r="B801" s="54" t="s">
        <v>68</v>
      </c>
      <c r="C801" s="55"/>
      <c r="D801" s="21">
        <f>D799+D800</f>
        <v>316.45249999999999</v>
      </c>
      <c r="E801" s="21">
        <f t="shared" ref="E801:R801" si="697">E799+E800</f>
        <v>316.45249999999999</v>
      </c>
      <c r="F801" s="21">
        <f t="shared" si="697"/>
        <v>316.45249999999999</v>
      </c>
      <c r="G801" s="21">
        <f t="shared" si="697"/>
        <v>316.45249999999999</v>
      </c>
      <c r="H801" s="21">
        <f t="shared" si="697"/>
        <v>316.45249999999999</v>
      </c>
      <c r="I801" s="21">
        <f t="shared" si="697"/>
        <v>316.45249999999999</v>
      </c>
      <c r="J801" s="21">
        <f t="shared" si="697"/>
        <v>316.45249999999999</v>
      </c>
      <c r="K801" s="21">
        <f t="shared" si="697"/>
        <v>316.45249999999999</v>
      </c>
      <c r="L801" s="21">
        <f t="shared" si="697"/>
        <v>316.45249999999999</v>
      </c>
      <c r="M801" s="21">
        <f t="shared" si="697"/>
        <v>316.45249999999999</v>
      </c>
      <c r="N801" s="21">
        <f t="shared" si="697"/>
        <v>316.45249999999999</v>
      </c>
      <c r="O801" s="21">
        <f t="shared" si="697"/>
        <v>316.45249999999999</v>
      </c>
      <c r="P801" s="21">
        <f t="shared" si="697"/>
        <v>316.45249999999999</v>
      </c>
      <c r="Q801" s="21">
        <f t="shared" si="697"/>
        <v>316.45249999999999</v>
      </c>
      <c r="R801" s="21">
        <f t="shared" si="697"/>
        <v>316.45249999999999</v>
      </c>
      <c r="S801" s="21">
        <f>S799+S800</f>
        <v>316.45249999999999</v>
      </c>
      <c r="T801" s="21">
        <f>T799+T800</f>
        <v>0</v>
      </c>
      <c r="U801" s="21">
        <f>U799+U800</f>
        <v>0</v>
      </c>
      <c r="V801" s="21">
        <f>V799+V800</f>
        <v>0</v>
      </c>
      <c r="W801" s="21">
        <f>W799+W800</f>
        <v>316.45249999999999</v>
      </c>
      <c r="Y801" s="390"/>
      <c r="Z801" s="390"/>
      <c r="AA801" s="390"/>
      <c r="AB801" s="390"/>
      <c r="AC801" s="390"/>
      <c r="AD801" s="390"/>
      <c r="AE801" s="390"/>
      <c r="AF801" s="390"/>
      <c r="AG801" s="390"/>
      <c r="AH801" s="390"/>
      <c r="AI801" s="390"/>
      <c r="AJ801" s="390"/>
      <c r="AK801" s="390"/>
      <c r="AL801" s="390"/>
      <c r="AM801" s="390"/>
      <c r="AN801" s="390"/>
      <c r="AO801" s="390"/>
      <c r="AP801" s="390"/>
      <c r="AQ801" s="390"/>
      <c r="AR801" s="390"/>
      <c r="AS801" s="390"/>
    </row>
    <row r="802" spans="2:45" x14ac:dyDescent="0.3">
      <c r="B802" s="54" t="s">
        <v>52</v>
      </c>
      <c r="C802" s="55"/>
      <c r="D802" s="20">
        <v>7.1225806451612907</v>
      </c>
      <c r="E802" s="21">
        <v>17.032258064516128</v>
      </c>
      <c r="F802" s="21">
        <v>22.451612903225808</v>
      </c>
      <c r="G802" s="21">
        <v>12.387096774193548</v>
      </c>
      <c r="H802" s="21">
        <v>8.7741935483870961</v>
      </c>
      <c r="I802" s="21">
        <v>12.129032258064516</v>
      </c>
      <c r="J802" s="21">
        <v>17.806451612903224</v>
      </c>
      <c r="K802" s="21">
        <v>14.96774193548387</v>
      </c>
      <c r="L802" s="21">
        <v>16</v>
      </c>
      <c r="M802" s="21">
        <v>7.3290322580645162</v>
      </c>
      <c r="N802" s="21">
        <v>8.9806451612903224</v>
      </c>
      <c r="O802" s="21">
        <v>12.387096774193548</v>
      </c>
      <c r="P802" s="21">
        <v>5.161290322580645</v>
      </c>
      <c r="Q802" s="21">
        <v>5.161290322580645</v>
      </c>
      <c r="R802" s="21">
        <v>10.32258064516129</v>
      </c>
      <c r="S802" s="21">
        <v>8.8774193548387093</v>
      </c>
      <c r="T802" s="21"/>
      <c r="U802" s="21"/>
      <c r="V802" s="21"/>
      <c r="W802" s="21">
        <v>5.161290322580645</v>
      </c>
      <c r="Y802" s="390">
        <v>12530</v>
      </c>
      <c r="Z802" s="390">
        <v>28462</v>
      </c>
      <c r="AA802" s="390">
        <v>34155</v>
      </c>
      <c r="AB802" s="390">
        <v>22770</v>
      </c>
      <c r="AC802" s="390">
        <v>12198</v>
      </c>
      <c r="AD802" s="390">
        <v>16264</v>
      </c>
      <c r="AE802" s="390">
        <v>25210</v>
      </c>
      <c r="AF802" s="390">
        <v>20656</v>
      </c>
      <c r="AG802" s="390">
        <v>24396</v>
      </c>
      <c r="AH802" s="390">
        <v>11710</v>
      </c>
      <c r="AI802" s="390">
        <v>13012</v>
      </c>
      <c r="AJ802" s="390">
        <v>30581</v>
      </c>
      <c r="AK802" s="396">
        <v>11710</v>
      </c>
      <c r="AL802" s="396">
        <v>11710</v>
      </c>
      <c r="AM802" s="390">
        <v>15451</v>
      </c>
      <c r="AN802" s="390">
        <v>14638</v>
      </c>
      <c r="AO802" s="390"/>
      <c r="AP802" s="396">
        <v>30581</v>
      </c>
      <c r="AQ802" s="390"/>
      <c r="AR802" s="396">
        <v>11710</v>
      </c>
      <c r="AS802" s="390"/>
    </row>
    <row r="803" spans="2:45" x14ac:dyDescent="0.3">
      <c r="B803" s="57" t="s">
        <v>53</v>
      </c>
      <c r="C803" s="58"/>
      <c r="D803" s="25">
        <f>SUM(D801:D802)</f>
        <v>323.57508064516128</v>
      </c>
      <c r="E803" s="26">
        <f t="shared" ref="E803:V803" si="698">SUM(E801:E802)</f>
        <v>333.48475806451609</v>
      </c>
      <c r="F803" s="26">
        <f t="shared" si="698"/>
        <v>338.90411290322578</v>
      </c>
      <c r="G803" s="26">
        <f t="shared" si="698"/>
        <v>328.83959677419352</v>
      </c>
      <c r="H803" s="26">
        <f t="shared" si="698"/>
        <v>325.22669354838706</v>
      </c>
      <c r="I803" s="26">
        <f t="shared" si="698"/>
        <v>328.5815322580645</v>
      </c>
      <c r="J803" s="26">
        <f t="shared" si="698"/>
        <v>334.25895161290322</v>
      </c>
      <c r="K803" s="26">
        <f t="shared" si="698"/>
        <v>331.42024193548383</v>
      </c>
      <c r="L803" s="26">
        <f t="shared" si="698"/>
        <v>332.45249999999999</v>
      </c>
      <c r="M803" s="26">
        <f t="shared" si="698"/>
        <v>323.78153225806449</v>
      </c>
      <c r="N803" s="26">
        <f t="shared" si="698"/>
        <v>325.43314516129033</v>
      </c>
      <c r="O803" s="26">
        <f t="shared" si="698"/>
        <v>328.83959677419352</v>
      </c>
      <c r="P803" s="26">
        <f t="shared" si="698"/>
        <v>321.61379032258066</v>
      </c>
      <c r="Q803" s="26">
        <f t="shared" si="698"/>
        <v>321.61379032258066</v>
      </c>
      <c r="R803" s="26">
        <f t="shared" si="698"/>
        <v>326.77508064516127</v>
      </c>
      <c r="S803" s="26">
        <f t="shared" si="698"/>
        <v>325.32991935483869</v>
      </c>
      <c r="T803" s="26">
        <f t="shared" si="698"/>
        <v>0</v>
      </c>
      <c r="U803" s="26">
        <f t="shared" si="698"/>
        <v>0</v>
      </c>
      <c r="V803" s="26">
        <f t="shared" si="698"/>
        <v>0</v>
      </c>
      <c r="W803" s="26">
        <f>SUM(W801:W802)</f>
        <v>321.61379032258066</v>
      </c>
      <c r="Y803" s="390">
        <v>5900</v>
      </c>
      <c r="Z803" s="390">
        <v>5900</v>
      </c>
      <c r="AA803" s="390">
        <v>5900</v>
      </c>
      <c r="AB803" s="390">
        <v>5900</v>
      </c>
      <c r="AC803" s="390">
        <v>5900</v>
      </c>
      <c r="AD803" s="390">
        <v>5900</v>
      </c>
      <c r="AE803" s="390">
        <v>5900</v>
      </c>
      <c r="AF803" s="390">
        <v>5900</v>
      </c>
      <c r="AG803" s="390">
        <v>5900</v>
      </c>
      <c r="AH803" s="390">
        <v>5900</v>
      </c>
      <c r="AI803" s="390">
        <v>5900</v>
      </c>
      <c r="AJ803" s="390">
        <v>5900</v>
      </c>
      <c r="AK803" s="390">
        <v>5900</v>
      </c>
      <c r="AL803" s="390">
        <v>5900</v>
      </c>
      <c r="AM803" s="390">
        <v>5900</v>
      </c>
      <c r="AN803" s="390">
        <v>5900</v>
      </c>
      <c r="AO803" s="390"/>
      <c r="AP803" s="390">
        <v>5900</v>
      </c>
      <c r="AQ803" s="390"/>
      <c r="AR803" s="390">
        <v>5900</v>
      </c>
      <c r="AS803" s="390"/>
    </row>
    <row r="804" spans="2:45" x14ac:dyDescent="0.3">
      <c r="B804" s="54" t="s">
        <v>54</v>
      </c>
      <c r="C804" s="55"/>
      <c r="D804" s="20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Y804" s="389">
        <f>Y802/Y803</f>
        <v>2.123728813559322</v>
      </c>
      <c r="Z804" s="389">
        <f t="shared" ref="Z804:AN804" si="699">Z802/Z803</f>
        <v>4.8240677966101693</v>
      </c>
      <c r="AA804" s="389">
        <f t="shared" si="699"/>
        <v>5.7889830508474578</v>
      </c>
      <c r="AB804" s="389">
        <f t="shared" si="699"/>
        <v>3.8593220338983052</v>
      </c>
      <c r="AC804" s="389">
        <f t="shared" si="699"/>
        <v>2.0674576271186442</v>
      </c>
      <c r="AD804" s="389">
        <f t="shared" si="699"/>
        <v>2.7566101694915255</v>
      </c>
      <c r="AE804" s="389">
        <f t="shared" si="699"/>
        <v>4.2728813559322036</v>
      </c>
      <c r="AF804" s="389">
        <f t="shared" si="699"/>
        <v>3.5010169491525422</v>
      </c>
      <c r="AG804" s="389">
        <f t="shared" si="699"/>
        <v>4.1349152542372885</v>
      </c>
      <c r="AH804" s="389">
        <f t="shared" si="699"/>
        <v>1.9847457627118643</v>
      </c>
      <c r="AI804" s="389">
        <f t="shared" si="699"/>
        <v>2.2054237288135594</v>
      </c>
      <c r="AJ804" s="389">
        <f t="shared" si="699"/>
        <v>5.1832203389830509</v>
      </c>
      <c r="AK804" s="389">
        <f t="shared" si="699"/>
        <v>1.9847457627118643</v>
      </c>
      <c r="AL804" s="389">
        <f t="shared" si="699"/>
        <v>1.9847457627118643</v>
      </c>
      <c r="AM804" s="389">
        <f t="shared" si="699"/>
        <v>2.6188135593220339</v>
      </c>
      <c r="AN804" s="389">
        <f t="shared" si="699"/>
        <v>2.4810169491525422</v>
      </c>
      <c r="AO804" s="390"/>
      <c r="AP804" s="389">
        <f t="shared" ref="AP804" si="700">AP802/AP803</f>
        <v>5.1832203389830509</v>
      </c>
      <c r="AQ804" s="390"/>
      <c r="AR804" s="389">
        <f t="shared" ref="AR804" si="701">AR802/AR803</f>
        <v>1.9847457627118643</v>
      </c>
      <c r="AS804" s="390"/>
    </row>
    <row r="805" spans="2:45" x14ac:dyDescent="0.3">
      <c r="B805" s="59" t="s">
        <v>55</v>
      </c>
      <c r="C805" s="60"/>
      <c r="D805" s="27">
        <f>SUM(D803:D804)</f>
        <v>323.57508064516128</v>
      </c>
      <c r="E805" s="41">
        <f t="shared" ref="E805:V805" si="702">SUM(E803:E804)</f>
        <v>333.48475806451609</v>
      </c>
      <c r="F805" s="41">
        <f t="shared" si="702"/>
        <v>338.90411290322578</v>
      </c>
      <c r="G805" s="41">
        <f t="shared" si="702"/>
        <v>328.83959677419352</v>
      </c>
      <c r="H805" s="41">
        <f t="shared" si="702"/>
        <v>325.22669354838706</v>
      </c>
      <c r="I805" s="41">
        <f t="shared" si="702"/>
        <v>328.5815322580645</v>
      </c>
      <c r="J805" s="41">
        <f t="shared" si="702"/>
        <v>334.25895161290322</v>
      </c>
      <c r="K805" s="41">
        <f t="shared" si="702"/>
        <v>331.42024193548383</v>
      </c>
      <c r="L805" s="41">
        <f t="shared" si="702"/>
        <v>332.45249999999999</v>
      </c>
      <c r="M805" s="41">
        <f t="shared" si="702"/>
        <v>323.78153225806449</v>
      </c>
      <c r="N805" s="41">
        <f t="shared" si="702"/>
        <v>325.43314516129033</v>
      </c>
      <c r="O805" s="41">
        <f t="shared" si="702"/>
        <v>328.83959677419352</v>
      </c>
      <c r="P805" s="41">
        <f t="shared" si="702"/>
        <v>321.61379032258066</v>
      </c>
      <c r="Q805" s="41">
        <f t="shared" si="702"/>
        <v>321.61379032258066</v>
      </c>
      <c r="R805" s="41">
        <f t="shared" si="702"/>
        <v>326.77508064516127</v>
      </c>
      <c r="S805" s="41">
        <f t="shared" si="702"/>
        <v>325.32991935483869</v>
      </c>
      <c r="T805" s="41">
        <f t="shared" si="702"/>
        <v>0</v>
      </c>
      <c r="U805" s="41">
        <f t="shared" si="702"/>
        <v>0</v>
      </c>
      <c r="V805" s="41">
        <f t="shared" si="702"/>
        <v>0</v>
      </c>
      <c r="W805" s="41">
        <f>SUM(W803:W804)</f>
        <v>321.61379032258066</v>
      </c>
      <c r="Y805" s="390"/>
      <c r="Z805" s="390"/>
      <c r="AA805" s="390"/>
      <c r="AB805" s="390"/>
      <c r="AC805" s="390"/>
      <c r="AD805" s="390"/>
      <c r="AE805" s="390"/>
      <c r="AF805" s="390"/>
      <c r="AG805" s="390"/>
      <c r="AH805" s="390"/>
      <c r="AI805" s="390"/>
      <c r="AJ805" s="390"/>
      <c r="AK805" s="390"/>
      <c r="AL805" s="390"/>
      <c r="AM805" s="390"/>
      <c r="AN805" s="390"/>
      <c r="AO805" s="390"/>
      <c r="AP805" s="390"/>
      <c r="AQ805" s="390"/>
      <c r="AR805" s="390"/>
      <c r="AS805" s="390"/>
    </row>
    <row r="806" spans="2:45" x14ac:dyDescent="0.3">
      <c r="B806" s="61" t="s">
        <v>101</v>
      </c>
      <c r="C806" s="55"/>
      <c r="D806" s="43">
        <v>0</v>
      </c>
      <c r="E806" s="408">
        <v>0</v>
      </c>
      <c r="F806" s="408">
        <v>0</v>
      </c>
      <c r="G806" s="408">
        <v>0</v>
      </c>
      <c r="H806" s="408">
        <v>0</v>
      </c>
      <c r="I806" s="408">
        <v>0</v>
      </c>
      <c r="J806" s="408">
        <v>0</v>
      </c>
      <c r="K806" s="408">
        <v>0</v>
      </c>
      <c r="L806" s="408">
        <v>0</v>
      </c>
      <c r="M806" s="408">
        <v>0</v>
      </c>
      <c r="N806" s="408">
        <v>0</v>
      </c>
      <c r="O806" s="408">
        <v>0</v>
      </c>
      <c r="P806" s="408">
        <v>0</v>
      </c>
      <c r="Q806" s="408">
        <v>0</v>
      </c>
      <c r="R806" s="408">
        <v>0</v>
      </c>
      <c r="S806" s="408">
        <v>0</v>
      </c>
      <c r="T806" s="408">
        <v>0</v>
      </c>
      <c r="U806" s="408">
        <v>0</v>
      </c>
      <c r="V806" s="408">
        <v>0</v>
      </c>
      <c r="W806" s="408">
        <v>0</v>
      </c>
      <c r="Y806" s="409"/>
      <c r="Z806" s="409"/>
      <c r="AA806" s="409"/>
      <c r="AB806" s="409"/>
      <c r="AC806" s="409"/>
      <c r="AD806" s="409"/>
      <c r="AE806" s="409"/>
      <c r="AF806" s="409"/>
      <c r="AG806" s="409"/>
      <c r="AH806" s="409"/>
      <c r="AI806" s="409"/>
      <c r="AJ806" s="409"/>
      <c r="AK806" s="409"/>
      <c r="AL806" s="409"/>
      <c r="AM806" s="409"/>
      <c r="AN806" s="409"/>
      <c r="AO806" s="409"/>
      <c r="AP806" s="409"/>
      <c r="AQ806" s="409"/>
      <c r="AR806" s="409"/>
      <c r="AS806" s="409"/>
    </row>
    <row r="807" spans="2:45" x14ac:dyDescent="0.3">
      <c r="B807" s="61" t="s">
        <v>194</v>
      </c>
      <c r="C807" s="55"/>
      <c r="D807" s="227">
        <v>339</v>
      </c>
      <c r="E807" s="226">
        <v>349</v>
      </c>
      <c r="F807" s="226">
        <v>354</v>
      </c>
      <c r="G807" s="226">
        <v>344</v>
      </c>
      <c r="H807" s="226">
        <v>341</v>
      </c>
      <c r="I807" s="226">
        <v>344</v>
      </c>
      <c r="J807" s="226">
        <v>350</v>
      </c>
      <c r="K807" s="226">
        <v>347</v>
      </c>
      <c r="L807" s="226">
        <v>348</v>
      </c>
      <c r="M807" s="226">
        <v>339</v>
      </c>
      <c r="N807" s="226">
        <v>341</v>
      </c>
      <c r="O807" s="226">
        <v>344</v>
      </c>
      <c r="P807" s="226">
        <v>337</v>
      </c>
      <c r="Q807" s="226">
        <v>337</v>
      </c>
      <c r="R807" s="226">
        <v>342</v>
      </c>
      <c r="S807" s="226">
        <v>341</v>
      </c>
      <c r="T807" s="226">
        <v>0</v>
      </c>
      <c r="U807" s="21">
        <v>0</v>
      </c>
      <c r="V807" s="21">
        <v>0</v>
      </c>
      <c r="W807" s="226">
        <v>337</v>
      </c>
      <c r="Y807" s="390"/>
      <c r="Z807" s="390"/>
      <c r="AA807" s="390"/>
      <c r="AB807" s="390"/>
      <c r="AC807" s="390"/>
      <c r="AD807" s="390"/>
      <c r="AE807" s="390"/>
      <c r="AF807" s="390"/>
      <c r="AG807" s="390"/>
      <c r="AH807" s="390"/>
      <c r="AI807" s="390"/>
      <c r="AJ807" s="390"/>
      <c r="AK807" s="390"/>
      <c r="AL807" s="390"/>
      <c r="AM807" s="390"/>
      <c r="AN807" s="390"/>
      <c r="AO807" s="390"/>
      <c r="AP807" s="390"/>
      <c r="AQ807" s="390"/>
      <c r="AR807" s="390"/>
      <c r="AS807" s="390"/>
    </row>
    <row r="808" spans="2:45" x14ac:dyDescent="0.3">
      <c r="B808" s="61" t="s">
        <v>195</v>
      </c>
      <c r="C808" s="62"/>
      <c r="D808" s="28">
        <v>344</v>
      </c>
      <c r="E808" s="28">
        <v>354</v>
      </c>
      <c r="F808" s="28">
        <v>359</v>
      </c>
      <c r="G808" s="28">
        <v>349</v>
      </c>
      <c r="H808" s="28">
        <v>346</v>
      </c>
      <c r="I808" s="28">
        <v>349</v>
      </c>
      <c r="J808" s="28">
        <v>355</v>
      </c>
      <c r="K808" s="28">
        <v>352</v>
      </c>
      <c r="L808" s="28">
        <v>353</v>
      </c>
      <c r="M808" s="28">
        <v>344</v>
      </c>
      <c r="N808" s="28">
        <v>346</v>
      </c>
      <c r="O808" s="28">
        <v>349</v>
      </c>
      <c r="P808" s="28">
        <v>342</v>
      </c>
      <c r="Q808" s="28">
        <v>342</v>
      </c>
      <c r="R808" s="28">
        <v>347</v>
      </c>
      <c r="S808" s="28">
        <v>346</v>
      </c>
      <c r="T808" s="410">
        <v>0</v>
      </c>
      <c r="U808" s="410">
        <v>0</v>
      </c>
      <c r="V808" s="410">
        <v>0</v>
      </c>
      <c r="W808" s="28">
        <v>342</v>
      </c>
      <c r="Y808" s="390"/>
      <c r="Z808" s="390"/>
      <c r="AA808" s="390"/>
      <c r="AB808" s="390"/>
      <c r="AC808" s="390"/>
      <c r="AD808" s="390"/>
      <c r="AE808" s="390"/>
      <c r="AF808" s="390"/>
      <c r="AG808" s="390"/>
      <c r="AH808" s="390"/>
      <c r="AI808" s="390"/>
      <c r="AJ808" s="390"/>
      <c r="AK808" s="390"/>
      <c r="AL808" s="390"/>
      <c r="AM808" s="390"/>
      <c r="AN808" s="390"/>
      <c r="AO808" s="390"/>
      <c r="AP808" s="390"/>
      <c r="AQ808" s="390"/>
      <c r="AR808" s="390"/>
      <c r="AS808" s="390"/>
    </row>
    <row r="809" spans="2:45" x14ac:dyDescent="0.3">
      <c r="B809" s="61" t="s">
        <v>196</v>
      </c>
      <c r="C809" s="62"/>
      <c r="D809" s="28">
        <v>349</v>
      </c>
      <c r="E809" s="28">
        <v>359</v>
      </c>
      <c r="F809" s="28">
        <v>364</v>
      </c>
      <c r="G809" s="28">
        <v>354</v>
      </c>
      <c r="H809" s="28">
        <v>351</v>
      </c>
      <c r="I809" s="28">
        <v>354</v>
      </c>
      <c r="J809" s="28">
        <v>360</v>
      </c>
      <c r="K809" s="28">
        <v>357</v>
      </c>
      <c r="L809" s="28">
        <v>358</v>
      </c>
      <c r="M809" s="28">
        <v>349</v>
      </c>
      <c r="N809" s="28">
        <v>351</v>
      </c>
      <c r="O809" s="28">
        <v>354</v>
      </c>
      <c r="P809" s="28">
        <v>347</v>
      </c>
      <c r="Q809" s="28">
        <v>347</v>
      </c>
      <c r="R809" s="28">
        <v>352</v>
      </c>
      <c r="S809" s="28">
        <v>351</v>
      </c>
      <c r="T809" s="410">
        <v>0</v>
      </c>
      <c r="U809" s="410">
        <v>0</v>
      </c>
      <c r="V809" s="410">
        <v>0</v>
      </c>
      <c r="W809" s="28">
        <v>347</v>
      </c>
      <c r="Y809" s="390"/>
      <c r="Z809" s="390"/>
      <c r="AA809" s="390"/>
      <c r="AB809" s="390"/>
      <c r="AC809" s="390"/>
      <c r="AD809" s="390"/>
      <c r="AE809" s="390"/>
      <c r="AF809" s="390"/>
      <c r="AG809" s="390"/>
      <c r="AH809" s="390"/>
      <c r="AI809" s="390"/>
      <c r="AJ809" s="390"/>
      <c r="AK809" s="390"/>
      <c r="AL809" s="390"/>
      <c r="AM809" s="390"/>
      <c r="AN809" s="390"/>
      <c r="AO809" s="390"/>
      <c r="AP809" s="390"/>
      <c r="AQ809" s="390"/>
      <c r="AR809" s="390"/>
      <c r="AS809" s="390"/>
    </row>
    <row r="810" spans="2:45" x14ac:dyDescent="0.3">
      <c r="B810" s="61" t="s">
        <v>197</v>
      </c>
      <c r="C810" s="62"/>
      <c r="D810" s="28">
        <v>354</v>
      </c>
      <c r="E810" s="28">
        <v>364</v>
      </c>
      <c r="F810" s="28">
        <v>369</v>
      </c>
      <c r="G810" s="28">
        <v>359</v>
      </c>
      <c r="H810" s="28">
        <v>356</v>
      </c>
      <c r="I810" s="28">
        <v>359</v>
      </c>
      <c r="J810" s="28">
        <v>365</v>
      </c>
      <c r="K810" s="28">
        <v>362</v>
      </c>
      <c r="L810" s="28">
        <v>363</v>
      </c>
      <c r="M810" s="28">
        <v>354</v>
      </c>
      <c r="N810" s="28">
        <v>356</v>
      </c>
      <c r="O810" s="28">
        <v>359</v>
      </c>
      <c r="P810" s="28">
        <v>352</v>
      </c>
      <c r="Q810" s="28">
        <v>352</v>
      </c>
      <c r="R810" s="28">
        <v>357</v>
      </c>
      <c r="S810" s="28">
        <v>356</v>
      </c>
      <c r="T810" s="410">
        <v>0</v>
      </c>
      <c r="U810" s="410">
        <v>0</v>
      </c>
      <c r="V810" s="410">
        <v>0</v>
      </c>
      <c r="W810" s="28">
        <v>352</v>
      </c>
      <c r="Y810" s="390"/>
      <c r="Z810" s="390"/>
      <c r="AA810" s="390"/>
      <c r="AB810" s="390"/>
      <c r="AC810" s="390"/>
      <c r="AD810" s="390"/>
      <c r="AE810" s="390"/>
      <c r="AF810" s="390"/>
      <c r="AG810" s="390"/>
      <c r="AH810" s="390"/>
      <c r="AI810" s="390"/>
      <c r="AJ810" s="390"/>
      <c r="AK810" s="390"/>
      <c r="AL810" s="390"/>
      <c r="AM810" s="390"/>
      <c r="AN810" s="390"/>
      <c r="AO810" s="390"/>
      <c r="AP810" s="390"/>
      <c r="AQ810" s="390"/>
      <c r="AR810" s="390"/>
      <c r="AS810" s="390"/>
    </row>
    <row r="811" spans="2:45" x14ac:dyDescent="0.3">
      <c r="B811" s="63" t="s">
        <v>103</v>
      </c>
      <c r="C811" s="55"/>
      <c r="D811" s="43">
        <v>0</v>
      </c>
      <c r="E811" s="408">
        <v>0</v>
      </c>
      <c r="F811" s="408">
        <v>0</v>
      </c>
      <c r="G811" s="408">
        <v>0</v>
      </c>
      <c r="H811" s="408">
        <v>0</v>
      </c>
      <c r="I811" s="408">
        <v>0</v>
      </c>
      <c r="J811" s="408">
        <v>0</v>
      </c>
      <c r="K811" s="408">
        <v>0</v>
      </c>
      <c r="L811" s="408">
        <v>0</v>
      </c>
      <c r="M811" s="408">
        <v>0</v>
      </c>
      <c r="N811" s="408">
        <v>0</v>
      </c>
      <c r="O811" s="408">
        <v>0</v>
      </c>
      <c r="P811" s="408">
        <v>0</v>
      </c>
      <c r="Q811" s="408">
        <v>0</v>
      </c>
      <c r="R811" s="408">
        <v>0</v>
      </c>
      <c r="S811" s="408">
        <v>0</v>
      </c>
      <c r="T811" s="408">
        <v>0</v>
      </c>
      <c r="U811" s="408">
        <v>0</v>
      </c>
      <c r="V811" s="408">
        <v>0</v>
      </c>
      <c r="W811" s="408">
        <v>0</v>
      </c>
      <c r="Y811" s="409"/>
      <c r="Z811" s="409"/>
      <c r="AA811" s="409"/>
      <c r="AB811" s="409"/>
      <c r="AC811" s="409"/>
      <c r="AD811" s="409"/>
      <c r="AE811" s="409"/>
      <c r="AF811" s="409"/>
      <c r="AG811" s="409"/>
      <c r="AH811" s="409"/>
      <c r="AI811" s="409"/>
      <c r="AJ811" s="409"/>
      <c r="AK811" s="409"/>
      <c r="AL811" s="409"/>
      <c r="AM811" s="409"/>
      <c r="AN811" s="409"/>
      <c r="AO811" s="409"/>
      <c r="AP811" s="409"/>
      <c r="AQ811" s="409"/>
      <c r="AR811" s="409"/>
      <c r="AS811" s="409"/>
    </row>
    <row r="812" spans="2:45" x14ac:dyDescent="0.3">
      <c r="B812" s="63" t="s">
        <v>198</v>
      </c>
      <c r="C812" s="64"/>
      <c r="D812" s="31">
        <f t="shared" ref="D812:S812" si="703">+D807-D$805</f>
        <v>15.424919354838721</v>
      </c>
      <c r="E812" s="31">
        <f t="shared" si="703"/>
        <v>15.515241935483914</v>
      </c>
      <c r="F812" s="31">
        <f t="shared" si="703"/>
        <v>15.09588709677422</v>
      </c>
      <c r="G812" s="31">
        <f t="shared" si="703"/>
        <v>15.160403225806476</v>
      </c>
      <c r="H812" s="31">
        <f t="shared" si="703"/>
        <v>15.773306451612939</v>
      </c>
      <c r="I812" s="31">
        <f t="shared" si="703"/>
        <v>15.418467741935501</v>
      </c>
      <c r="J812" s="31">
        <f t="shared" si="703"/>
        <v>15.741048387096782</v>
      </c>
      <c r="K812" s="31">
        <f t="shared" si="703"/>
        <v>15.57975806451617</v>
      </c>
      <c r="L812" s="31">
        <f t="shared" si="703"/>
        <v>15.547500000000014</v>
      </c>
      <c r="M812" s="31">
        <f t="shared" si="703"/>
        <v>15.218467741935513</v>
      </c>
      <c r="N812" s="31">
        <f t="shared" si="703"/>
        <v>15.566854838709673</v>
      </c>
      <c r="O812" s="31">
        <f t="shared" si="703"/>
        <v>15.160403225806476</v>
      </c>
      <c r="P812" s="31">
        <f t="shared" si="703"/>
        <v>15.386209677419345</v>
      </c>
      <c r="Q812" s="31">
        <f t="shared" si="703"/>
        <v>15.386209677419345</v>
      </c>
      <c r="R812" s="31">
        <f t="shared" si="703"/>
        <v>15.224919354838732</v>
      </c>
      <c r="S812" s="31">
        <f t="shared" si="703"/>
        <v>15.670080645161306</v>
      </c>
      <c r="T812" s="32"/>
      <c r="U812" s="32"/>
      <c r="V812" s="32"/>
      <c r="W812" s="31">
        <f>+W807-W$805</f>
        <v>15.386209677419345</v>
      </c>
      <c r="Y812" s="390"/>
      <c r="Z812" s="390"/>
      <c r="AA812" s="390"/>
      <c r="AB812" s="390"/>
      <c r="AC812" s="390"/>
      <c r="AD812" s="390"/>
      <c r="AE812" s="390"/>
      <c r="AF812" s="390"/>
      <c r="AG812" s="390"/>
      <c r="AH812" s="390"/>
      <c r="AI812" s="390"/>
      <c r="AJ812" s="390"/>
      <c r="AK812" s="390"/>
      <c r="AL812" s="390"/>
      <c r="AM812" s="390"/>
      <c r="AN812" s="390"/>
      <c r="AO812" s="390"/>
      <c r="AP812" s="390"/>
      <c r="AQ812" s="390"/>
      <c r="AR812" s="390"/>
      <c r="AS812" s="390"/>
    </row>
    <row r="813" spans="2:45" x14ac:dyDescent="0.3">
      <c r="B813" s="63" t="s">
        <v>199</v>
      </c>
      <c r="C813" s="64"/>
      <c r="D813" s="31">
        <f t="shared" ref="D813:S813" si="704">+D808-D$805</f>
        <v>20.424919354838721</v>
      </c>
      <c r="E813" s="32">
        <f t="shared" si="704"/>
        <v>20.515241935483914</v>
      </c>
      <c r="F813" s="32">
        <f t="shared" si="704"/>
        <v>20.09588709677422</v>
      </c>
      <c r="G813" s="32">
        <f t="shared" si="704"/>
        <v>20.160403225806476</v>
      </c>
      <c r="H813" s="32">
        <f t="shared" si="704"/>
        <v>20.773306451612939</v>
      </c>
      <c r="I813" s="32">
        <f t="shared" si="704"/>
        <v>20.418467741935501</v>
      </c>
      <c r="J813" s="32">
        <f t="shared" si="704"/>
        <v>20.741048387096782</v>
      </c>
      <c r="K813" s="32">
        <f t="shared" si="704"/>
        <v>20.57975806451617</v>
      </c>
      <c r="L813" s="32">
        <f t="shared" si="704"/>
        <v>20.547500000000014</v>
      </c>
      <c r="M813" s="32">
        <f t="shared" si="704"/>
        <v>20.218467741935513</v>
      </c>
      <c r="N813" s="32">
        <f t="shared" si="704"/>
        <v>20.566854838709673</v>
      </c>
      <c r="O813" s="32">
        <f t="shared" si="704"/>
        <v>20.160403225806476</v>
      </c>
      <c r="P813" s="32">
        <f t="shared" si="704"/>
        <v>20.386209677419345</v>
      </c>
      <c r="Q813" s="32">
        <f t="shared" si="704"/>
        <v>20.386209677419345</v>
      </c>
      <c r="R813" s="32">
        <f t="shared" si="704"/>
        <v>20.224919354838732</v>
      </c>
      <c r="S813" s="32">
        <f t="shared" si="704"/>
        <v>20.670080645161306</v>
      </c>
      <c r="T813" s="32"/>
      <c r="U813" s="32"/>
      <c r="V813" s="32"/>
      <c r="W813" s="32">
        <f>+W808-W$805</f>
        <v>20.386209677419345</v>
      </c>
      <c r="Y813" s="390"/>
      <c r="Z813" s="390"/>
      <c r="AA813" s="390"/>
      <c r="AB813" s="390"/>
      <c r="AC813" s="390"/>
      <c r="AD813" s="390"/>
      <c r="AE813" s="390"/>
      <c r="AF813" s="390"/>
      <c r="AG813" s="390"/>
      <c r="AH813" s="390"/>
      <c r="AI813" s="390"/>
      <c r="AJ813" s="390"/>
      <c r="AK813" s="390"/>
      <c r="AL813" s="390"/>
      <c r="AM813" s="390"/>
      <c r="AN813" s="390"/>
      <c r="AO813" s="390"/>
      <c r="AP813" s="390"/>
      <c r="AQ813" s="390"/>
      <c r="AR813" s="390"/>
      <c r="AS813" s="390"/>
    </row>
    <row r="814" spans="2:45" x14ac:dyDescent="0.3">
      <c r="B814" s="63" t="s">
        <v>200</v>
      </c>
      <c r="C814" s="64"/>
      <c r="D814" s="31">
        <f t="shared" ref="D814:S814" si="705">+D809-D$805</f>
        <v>25.424919354838721</v>
      </c>
      <c r="E814" s="32">
        <f t="shared" si="705"/>
        <v>25.515241935483914</v>
      </c>
      <c r="F814" s="32">
        <f t="shared" si="705"/>
        <v>25.09588709677422</v>
      </c>
      <c r="G814" s="32">
        <f t="shared" si="705"/>
        <v>25.160403225806476</v>
      </c>
      <c r="H814" s="32">
        <f t="shared" si="705"/>
        <v>25.773306451612939</v>
      </c>
      <c r="I814" s="32">
        <f t="shared" si="705"/>
        <v>25.418467741935501</v>
      </c>
      <c r="J814" s="32">
        <f t="shared" si="705"/>
        <v>25.741048387096782</v>
      </c>
      <c r="K814" s="32">
        <f t="shared" si="705"/>
        <v>25.57975806451617</v>
      </c>
      <c r="L814" s="32">
        <f t="shared" si="705"/>
        <v>25.547500000000014</v>
      </c>
      <c r="M814" s="32">
        <f t="shared" si="705"/>
        <v>25.218467741935513</v>
      </c>
      <c r="N814" s="32">
        <f t="shared" si="705"/>
        <v>25.566854838709673</v>
      </c>
      <c r="O814" s="32">
        <f t="shared" si="705"/>
        <v>25.160403225806476</v>
      </c>
      <c r="P814" s="32">
        <f t="shared" si="705"/>
        <v>25.386209677419345</v>
      </c>
      <c r="Q814" s="32">
        <f t="shared" si="705"/>
        <v>25.386209677419345</v>
      </c>
      <c r="R814" s="32">
        <f t="shared" si="705"/>
        <v>25.224919354838732</v>
      </c>
      <c r="S814" s="32">
        <f t="shared" si="705"/>
        <v>25.670080645161306</v>
      </c>
      <c r="T814" s="32"/>
      <c r="U814" s="32"/>
      <c r="V814" s="32"/>
      <c r="W814" s="32">
        <f>+W809-W$805</f>
        <v>25.386209677419345</v>
      </c>
      <c r="Y814" s="390"/>
      <c r="Z814" s="390"/>
      <c r="AA814" s="390"/>
      <c r="AB814" s="390"/>
      <c r="AC814" s="390"/>
      <c r="AD814" s="390"/>
      <c r="AE814" s="390"/>
      <c r="AF814" s="390"/>
      <c r="AG814" s="390"/>
      <c r="AH814" s="390"/>
      <c r="AI814" s="390"/>
      <c r="AJ814" s="390"/>
      <c r="AK814" s="390"/>
      <c r="AL814" s="390"/>
      <c r="AM814" s="390"/>
      <c r="AN814" s="390"/>
      <c r="AO814" s="390"/>
      <c r="AP814" s="390"/>
      <c r="AQ814" s="390"/>
      <c r="AR814" s="390"/>
      <c r="AS814" s="390"/>
    </row>
    <row r="815" spans="2:45" x14ac:dyDescent="0.3">
      <c r="B815" s="63" t="s">
        <v>201</v>
      </c>
      <c r="C815" s="64"/>
      <c r="D815" s="31">
        <f t="shared" ref="D815:S815" si="706">+D810-D$805</f>
        <v>30.424919354838721</v>
      </c>
      <c r="E815" s="32">
        <f t="shared" si="706"/>
        <v>30.515241935483914</v>
      </c>
      <c r="F815" s="32">
        <f t="shared" si="706"/>
        <v>30.09588709677422</v>
      </c>
      <c r="G815" s="32">
        <f t="shared" si="706"/>
        <v>30.160403225806476</v>
      </c>
      <c r="H815" s="32">
        <f t="shared" si="706"/>
        <v>30.773306451612939</v>
      </c>
      <c r="I815" s="32">
        <f t="shared" si="706"/>
        <v>30.418467741935501</v>
      </c>
      <c r="J815" s="32">
        <f t="shared" si="706"/>
        <v>30.741048387096782</v>
      </c>
      <c r="K815" s="32">
        <f t="shared" si="706"/>
        <v>30.57975806451617</v>
      </c>
      <c r="L815" s="32">
        <f t="shared" si="706"/>
        <v>30.547500000000014</v>
      </c>
      <c r="M815" s="32">
        <f t="shared" si="706"/>
        <v>30.218467741935513</v>
      </c>
      <c r="N815" s="32">
        <f t="shared" si="706"/>
        <v>30.566854838709673</v>
      </c>
      <c r="O815" s="32">
        <f t="shared" si="706"/>
        <v>30.160403225806476</v>
      </c>
      <c r="P815" s="32">
        <f t="shared" si="706"/>
        <v>30.386209677419345</v>
      </c>
      <c r="Q815" s="32">
        <f t="shared" si="706"/>
        <v>30.386209677419345</v>
      </c>
      <c r="R815" s="32">
        <f t="shared" si="706"/>
        <v>30.224919354838732</v>
      </c>
      <c r="S815" s="32">
        <f t="shared" si="706"/>
        <v>30.670080645161306</v>
      </c>
      <c r="T815" s="32"/>
      <c r="U815" s="32"/>
      <c r="V815" s="32"/>
      <c r="W815" s="32">
        <f>+W810-W$805</f>
        <v>30.386209677419345</v>
      </c>
      <c r="Y815" s="390"/>
      <c r="Z815" s="390"/>
      <c r="AA815" s="390"/>
      <c r="AB815" s="390"/>
      <c r="AC815" s="390"/>
      <c r="AD815" s="390"/>
      <c r="AE815" s="390"/>
      <c r="AF815" s="390"/>
      <c r="AG815" s="390"/>
      <c r="AH815" s="390"/>
      <c r="AI815" s="390"/>
      <c r="AJ815" s="390"/>
      <c r="AK815" s="390"/>
      <c r="AL815" s="390"/>
      <c r="AM815" s="390"/>
      <c r="AN815" s="390"/>
      <c r="AO815" s="390"/>
      <c r="AP815" s="390"/>
      <c r="AQ815" s="390"/>
      <c r="AR815" s="390"/>
      <c r="AS815" s="390"/>
    </row>
    <row r="816" spans="2:45" x14ac:dyDescent="0.3">
      <c r="B816" s="65" t="s">
        <v>108</v>
      </c>
      <c r="C816" s="55"/>
      <c r="D816" s="43">
        <v>0</v>
      </c>
      <c r="E816" s="408">
        <v>0</v>
      </c>
      <c r="F816" s="408">
        <v>0</v>
      </c>
      <c r="G816" s="408">
        <v>0</v>
      </c>
      <c r="H816" s="408">
        <v>0</v>
      </c>
      <c r="I816" s="408">
        <v>0</v>
      </c>
      <c r="J816" s="408">
        <v>0</v>
      </c>
      <c r="K816" s="408">
        <v>0</v>
      </c>
      <c r="L816" s="408">
        <v>0</v>
      </c>
      <c r="M816" s="408">
        <v>0</v>
      </c>
      <c r="N816" s="408">
        <v>0</v>
      </c>
      <c r="O816" s="408">
        <v>0</v>
      </c>
      <c r="P816" s="408">
        <v>0</v>
      </c>
      <c r="Q816" s="408">
        <v>0</v>
      </c>
      <c r="R816" s="408">
        <v>0</v>
      </c>
      <c r="S816" s="408">
        <v>0</v>
      </c>
      <c r="T816" s="408">
        <v>0</v>
      </c>
      <c r="U816" s="408">
        <v>0</v>
      </c>
      <c r="V816" s="408">
        <v>0</v>
      </c>
      <c r="W816" s="408">
        <v>0</v>
      </c>
      <c r="Y816" s="409"/>
      <c r="Z816" s="409"/>
      <c r="AA816" s="409"/>
      <c r="AB816" s="409"/>
      <c r="AC816" s="409"/>
      <c r="AD816" s="409"/>
      <c r="AE816" s="409"/>
      <c r="AF816" s="409"/>
      <c r="AG816" s="409"/>
      <c r="AH816" s="409"/>
      <c r="AI816" s="409"/>
      <c r="AJ816" s="409"/>
      <c r="AK816" s="409"/>
      <c r="AL816" s="409"/>
      <c r="AM816" s="409"/>
      <c r="AN816" s="409"/>
      <c r="AO816" s="409"/>
      <c r="AP816" s="409"/>
      <c r="AQ816" s="409"/>
      <c r="AR816" s="409"/>
      <c r="AS816" s="409"/>
    </row>
    <row r="817" spans="1:45" x14ac:dyDescent="0.3">
      <c r="B817" s="65" t="s">
        <v>202</v>
      </c>
      <c r="C817" s="64"/>
      <c r="D817" s="371">
        <f t="shared" ref="D817:S817" si="707">+D812/D$805</f>
        <v>4.7670294399938626E-2</v>
      </c>
      <c r="E817" s="371">
        <f t="shared" si="707"/>
        <v>4.6524590885447095E-2</v>
      </c>
      <c r="F817" s="371">
        <f t="shared" si="707"/>
        <v>4.4543239583182209E-2</v>
      </c>
      <c r="G817" s="371">
        <f t="shared" si="707"/>
        <v>4.6102730250629678E-2</v>
      </c>
      <c r="H817" s="371">
        <f t="shared" si="707"/>
        <v>4.8499421371346302E-2</v>
      </c>
      <c r="I817" s="371">
        <f t="shared" si="707"/>
        <v>4.6924328448946416E-2</v>
      </c>
      <c r="J817" s="371">
        <f t="shared" si="707"/>
        <v>4.7092376467829315E-2</v>
      </c>
      <c r="K817" s="371">
        <f t="shared" si="707"/>
        <v>4.7009072148191285E-2</v>
      </c>
      <c r="L817" s="371">
        <f t="shared" si="707"/>
        <v>4.6766079364721318E-2</v>
      </c>
      <c r="M817" s="371">
        <f t="shared" si="707"/>
        <v>4.7002272290829407E-2</v>
      </c>
      <c r="N817" s="371">
        <f t="shared" si="707"/>
        <v>4.783426356585304E-2</v>
      </c>
      <c r="O817" s="371">
        <f t="shared" si="707"/>
        <v>4.6102730250629678E-2</v>
      </c>
      <c r="P817" s="371">
        <f t="shared" si="707"/>
        <v>4.7840640359316927E-2</v>
      </c>
      <c r="Q817" s="371">
        <f t="shared" si="707"/>
        <v>4.7840640359316927E-2</v>
      </c>
      <c r="R817" s="371">
        <f t="shared" si="707"/>
        <v>4.6591433241420198E-2</v>
      </c>
      <c r="S817" s="371">
        <f t="shared" si="707"/>
        <v>4.8166736942721472E-2</v>
      </c>
      <c r="T817" s="372"/>
      <c r="U817" s="372"/>
      <c r="V817" s="372"/>
      <c r="W817" s="371">
        <f>+W812/W$805</f>
        <v>4.7840640359316927E-2</v>
      </c>
      <c r="Y817" s="390"/>
      <c r="Z817" s="390"/>
      <c r="AA817" s="390"/>
      <c r="AB817" s="390"/>
      <c r="AC817" s="390"/>
      <c r="AD817" s="390"/>
      <c r="AE817" s="390"/>
      <c r="AF817" s="390"/>
      <c r="AG817" s="390"/>
      <c r="AH817" s="390"/>
      <c r="AI817" s="390"/>
      <c r="AJ817" s="390"/>
      <c r="AK817" s="390"/>
      <c r="AL817" s="390"/>
      <c r="AM817" s="390"/>
      <c r="AN817" s="390"/>
      <c r="AO817" s="390"/>
      <c r="AP817" s="390"/>
      <c r="AQ817" s="390"/>
      <c r="AR817" s="390"/>
      <c r="AS817" s="390"/>
    </row>
    <row r="818" spans="1:45" x14ac:dyDescent="0.3">
      <c r="B818" s="65" t="s">
        <v>203</v>
      </c>
      <c r="C818" s="66"/>
      <c r="D818" s="371">
        <f t="shared" ref="D818:S818" si="708">+D813/D$805</f>
        <v>6.3122658624126513E-2</v>
      </c>
      <c r="E818" s="368">
        <f t="shared" si="708"/>
        <v>6.1517779866613956E-2</v>
      </c>
      <c r="F818" s="368">
        <f t="shared" si="708"/>
        <v>5.9296675170515296E-2</v>
      </c>
      <c r="G818" s="368">
        <f t="shared" si="708"/>
        <v>6.1307711794970222E-2</v>
      </c>
      <c r="H818" s="368">
        <f t="shared" si="708"/>
        <v>6.3873313180310323E-2</v>
      </c>
      <c r="I818" s="368">
        <f t="shared" si="708"/>
        <v>6.2141251827564824E-2</v>
      </c>
      <c r="J818" s="368">
        <f t="shared" si="708"/>
        <v>6.2050838988798311E-2</v>
      </c>
      <c r="K818" s="368">
        <f t="shared" si="708"/>
        <v>6.2095658202199804E-2</v>
      </c>
      <c r="L818" s="368">
        <f t="shared" si="708"/>
        <v>6.1805821884329384E-2</v>
      </c>
      <c r="M818" s="368">
        <f t="shared" si="708"/>
        <v>6.2444783681549605E-2</v>
      </c>
      <c r="N818" s="368">
        <f t="shared" si="708"/>
        <v>6.3198402327815692E-2</v>
      </c>
      <c r="O818" s="368">
        <f t="shared" si="708"/>
        <v>6.1307711794970222E-2</v>
      </c>
      <c r="P818" s="368">
        <f t="shared" si="708"/>
        <v>6.3387237397288992E-2</v>
      </c>
      <c r="Q818" s="368">
        <f t="shared" si="708"/>
        <v>6.3387237397288992E-2</v>
      </c>
      <c r="R818" s="368">
        <f t="shared" si="708"/>
        <v>6.1892477587054996E-2</v>
      </c>
      <c r="S818" s="368">
        <f t="shared" si="708"/>
        <v>6.3535750680884545E-2</v>
      </c>
      <c r="T818" s="368"/>
      <c r="U818" s="368"/>
      <c r="V818" s="368"/>
      <c r="W818" s="368">
        <f>+W813/W$805</f>
        <v>6.3387237397288992E-2</v>
      </c>
      <c r="Y818" s="390"/>
      <c r="Z818" s="390"/>
      <c r="AA818" s="390"/>
      <c r="AB818" s="390"/>
      <c r="AC818" s="390"/>
      <c r="AD818" s="390"/>
      <c r="AE818" s="390"/>
      <c r="AF818" s="390"/>
      <c r="AG818" s="390"/>
      <c r="AH818" s="390"/>
      <c r="AI818" s="390"/>
      <c r="AJ818" s="390"/>
      <c r="AK818" s="390"/>
      <c r="AL818" s="390"/>
      <c r="AM818" s="390"/>
      <c r="AN818" s="390"/>
      <c r="AO818" s="390"/>
      <c r="AP818" s="390"/>
      <c r="AQ818" s="390"/>
      <c r="AR818" s="390"/>
      <c r="AS818" s="390"/>
    </row>
    <row r="819" spans="1:45" x14ac:dyDescent="0.3">
      <c r="B819" s="65" t="s">
        <v>204</v>
      </c>
      <c r="C819" s="66"/>
      <c r="D819" s="371">
        <f t="shared" ref="D819:S819" si="709">+D814/D$805</f>
        <v>7.8575022848314399E-2</v>
      </c>
      <c r="E819" s="368">
        <f t="shared" si="709"/>
        <v>7.6510968847780816E-2</v>
      </c>
      <c r="F819" s="368">
        <f t="shared" si="709"/>
        <v>7.405011075784837E-2</v>
      </c>
      <c r="G819" s="368">
        <f t="shared" si="709"/>
        <v>7.6512693339310767E-2</v>
      </c>
      <c r="H819" s="368">
        <f t="shared" si="709"/>
        <v>7.9247204989274345E-2</v>
      </c>
      <c r="I819" s="368">
        <f t="shared" si="709"/>
        <v>7.7358175206183238E-2</v>
      </c>
      <c r="J819" s="368">
        <f t="shared" si="709"/>
        <v>7.70093015097673E-2</v>
      </c>
      <c r="K819" s="368">
        <f t="shared" si="709"/>
        <v>7.7182244256208329E-2</v>
      </c>
      <c r="L819" s="368">
        <f t="shared" si="709"/>
        <v>7.6845564403937444E-2</v>
      </c>
      <c r="M819" s="368">
        <f t="shared" si="709"/>
        <v>7.7887295072269797E-2</v>
      </c>
      <c r="N819" s="368">
        <f t="shared" si="709"/>
        <v>7.8562541089778351E-2</v>
      </c>
      <c r="O819" s="368">
        <f t="shared" si="709"/>
        <v>7.6512693339310767E-2</v>
      </c>
      <c r="P819" s="368">
        <f t="shared" si="709"/>
        <v>7.8933834435261058E-2</v>
      </c>
      <c r="Q819" s="368">
        <f t="shared" si="709"/>
        <v>7.8933834435261058E-2</v>
      </c>
      <c r="R819" s="368">
        <f t="shared" si="709"/>
        <v>7.7193521932689788E-2</v>
      </c>
      <c r="S819" s="368">
        <f t="shared" si="709"/>
        <v>7.8904764419047618E-2</v>
      </c>
      <c r="T819" s="368"/>
      <c r="U819" s="368"/>
      <c r="V819" s="368"/>
      <c r="W819" s="368">
        <f>+W814/W$805</f>
        <v>7.8933834435261058E-2</v>
      </c>
      <c r="Y819" s="390"/>
      <c r="Z819" s="390"/>
      <c r="AA819" s="390"/>
      <c r="AB819" s="390"/>
      <c r="AC819" s="390"/>
      <c r="AD819" s="390"/>
      <c r="AE819" s="390"/>
      <c r="AF819" s="390"/>
      <c r="AG819" s="390"/>
      <c r="AH819" s="390"/>
      <c r="AI819" s="390"/>
      <c r="AJ819" s="390"/>
      <c r="AK819" s="390"/>
      <c r="AL819" s="390"/>
      <c r="AM819" s="390"/>
      <c r="AN819" s="390"/>
      <c r="AO819" s="390"/>
      <c r="AP819" s="390"/>
      <c r="AQ819" s="390"/>
      <c r="AR819" s="390"/>
      <c r="AS819" s="390"/>
    </row>
    <row r="820" spans="1:45" x14ac:dyDescent="0.3">
      <c r="B820" s="65" t="s">
        <v>205</v>
      </c>
      <c r="C820" s="66"/>
      <c r="D820" s="371">
        <f t="shared" ref="D820:S820" si="710">+D815/D$805</f>
        <v>9.4027387072502286E-2</v>
      </c>
      <c r="E820" s="368">
        <f t="shared" si="710"/>
        <v>9.1504157828947691E-2</v>
      </c>
      <c r="F820" s="368">
        <f t="shared" si="710"/>
        <v>8.8803546345181464E-2</v>
      </c>
      <c r="G820" s="368">
        <f t="shared" si="710"/>
        <v>9.1717674883651318E-2</v>
      </c>
      <c r="H820" s="368">
        <f t="shared" si="710"/>
        <v>9.4621096798238366E-2</v>
      </c>
      <c r="I820" s="368">
        <f t="shared" si="710"/>
        <v>9.2575098584801646E-2</v>
      </c>
      <c r="J820" s="368">
        <f t="shared" si="710"/>
        <v>9.1967764030736296E-2</v>
      </c>
      <c r="K820" s="368">
        <f t="shared" si="710"/>
        <v>9.2268830310216848E-2</v>
      </c>
      <c r="L820" s="368">
        <f t="shared" si="710"/>
        <v>9.1885306923545518E-2</v>
      </c>
      <c r="M820" s="368">
        <f t="shared" si="710"/>
        <v>9.3329806462989995E-2</v>
      </c>
      <c r="N820" s="368">
        <f t="shared" si="710"/>
        <v>9.392667985174101E-2</v>
      </c>
      <c r="O820" s="368">
        <f t="shared" si="710"/>
        <v>9.1717674883651318E-2</v>
      </c>
      <c r="P820" s="368">
        <f t="shared" si="710"/>
        <v>9.4480431473233109E-2</v>
      </c>
      <c r="Q820" s="368">
        <f t="shared" si="710"/>
        <v>9.4480431473233109E-2</v>
      </c>
      <c r="R820" s="368">
        <f t="shared" si="710"/>
        <v>9.2494566278324586E-2</v>
      </c>
      <c r="S820" s="368">
        <f t="shared" si="710"/>
        <v>9.4273778157210691E-2</v>
      </c>
      <c r="T820" s="368"/>
      <c r="U820" s="368"/>
      <c r="V820" s="368"/>
      <c r="W820" s="368">
        <f>+W815/W$805</f>
        <v>9.4480431473233109E-2</v>
      </c>
      <c r="Y820" s="390"/>
      <c r="Z820" s="390"/>
      <c r="AA820" s="390"/>
      <c r="AB820" s="390"/>
      <c r="AC820" s="390"/>
      <c r="AD820" s="390"/>
      <c r="AE820" s="390"/>
      <c r="AF820" s="390"/>
      <c r="AG820" s="390"/>
      <c r="AH820" s="390"/>
      <c r="AI820" s="390"/>
      <c r="AJ820" s="390"/>
      <c r="AK820" s="390"/>
      <c r="AL820" s="390"/>
      <c r="AM820" s="390"/>
      <c r="AN820" s="390"/>
      <c r="AO820" s="390"/>
      <c r="AP820" s="390"/>
      <c r="AQ820" s="390"/>
      <c r="AR820" s="390"/>
      <c r="AS820" s="390"/>
    </row>
    <row r="821" spans="1:45" hidden="1" x14ac:dyDescent="0.3">
      <c r="B821" s="65" t="s">
        <v>78</v>
      </c>
      <c r="C821" s="66"/>
      <c r="D821" s="224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Y821" s="390"/>
      <c r="Z821" s="390"/>
      <c r="AA821" s="390"/>
      <c r="AB821" s="390"/>
      <c r="AC821" s="390"/>
      <c r="AD821" s="390"/>
      <c r="AE821" s="390"/>
      <c r="AF821" s="390"/>
      <c r="AG821" s="390"/>
      <c r="AH821" s="390"/>
      <c r="AI821" s="390"/>
      <c r="AJ821" s="390"/>
      <c r="AK821" s="390"/>
      <c r="AL821" s="390"/>
      <c r="AM821" s="390"/>
      <c r="AN821" s="390"/>
      <c r="AO821" s="390"/>
      <c r="AP821" s="390"/>
      <c r="AQ821" s="390"/>
      <c r="AR821" s="390"/>
      <c r="AS821" s="390"/>
    </row>
    <row r="822" spans="1:45" ht="21" thickBot="1" x14ac:dyDescent="0.35">
      <c r="Y822" s="390"/>
      <c r="Z822" s="390"/>
      <c r="AA822" s="390"/>
      <c r="AB822" s="390"/>
      <c r="AC822" s="390"/>
      <c r="AD822" s="390"/>
      <c r="AE822" s="390"/>
      <c r="AF822" s="390"/>
      <c r="AG822" s="390"/>
      <c r="AH822" s="390"/>
      <c r="AI822" s="390"/>
      <c r="AJ822" s="390"/>
      <c r="AK822" s="390"/>
      <c r="AL822" s="390"/>
      <c r="AM822" s="390"/>
      <c r="AN822" s="390"/>
      <c r="AO822" s="390"/>
      <c r="AP822" s="390"/>
      <c r="AQ822" s="390"/>
      <c r="AR822" s="390"/>
      <c r="AS822" s="390"/>
    </row>
    <row r="823" spans="1:45" ht="21" thickBot="1" x14ac:dyDescent="0.35">
      <c r="A823" s="15" t="s">
        <v>338</v>
      </c>
      <c r="B823" s="223" t="s">
        <v>155</v>
      </c>
      <c r="C823" s="68"/>
      <c r="D823" s="17" t="s">
        <v>5</v>
      </c>
      <c r="E823" s="18" t="s">
        <v>6</v>
      </c>
      <c r="F823" s="18" t="s">
        <v>7</v>
      </c>
      <c r="G823" s="18" t="s">
        <v>8</v>
      </c>
      <c r="H823" s="18" t="s">
        <v>9</v>
      </c>
      <c r="I823" s="18" t="s">
        <v>10</v>
      </c>
      <c r="J823" s="18" t="s">
        <v>11</v>
      </c>
      <c r="K823" s="18" t="s">
        <v>12</v>
      </c>
      <c r="L823" s="18" t="s">
        <v>13</v>
      </c>
      <c r="M823" s="18" t="s">
        <v>14</v>
      </c>
      <c r="N823" s="18" t="s">
        <v>15</v>
      </c>
      <c r="O823" s="18" t="s">
        <v>16</v>
      </c>
      <c r="P823" s="18" t="s">
        <v>17</v>
      </c>
      <c r="Q823" s="18" t="s">
        <v>18</v>
      </c>
      <c r="R823" s="18" t="s">
        <v>19</v>
      </c>
      <c r="S823" s="18" t="s">
        <v>20</v>
      </c>
      <c r="T823" s="18" t="s">
        <v>21</v>
      </c>
      <c r="U823" s="18" t="s">
        <v>22</v>
      </c>
      <c r="V823" s="18" t="s">
        <v>23</v>
      </c>
      <c r="W823" s="18" t="s">
        <v>166</v>
      </c>
      <c r="Y823" s="390"/>
      <c r="Z823" s="390"/>
      <c r="AA823" s="390"/>
      <c r="AB823" s="390"/>
      <c r="AC823" s="390"/>
      <c r="AD823" s="390"/>
      <c r="AE823" s="390"/>
      <c r="AF823" s="390"/>
      <c r="AG823" s="390"/>
      <c r="AH823" s="390"/>
      <c r="AI823" s="390"/>
      <c r="AJ823" s="390"/>
      <c r="AK823" s="390"/>
      <c r="AL823" s="390"/>
      <c r="AM823" s="390"/>
      <c r="AN823" s="390"/>
      <c r="AO823" s="390"/>
      <c r="AP823" s="390"/>
      <c r="AQ823" s="390"/>
      <c r="AR823" s="390"/>
      <c r="AS823" s="390"/>
    </row>
    <row r="824" spans="1:45" x14ac:dyDescent="0.3">
      <c r="B824" s="222" t="s">
        <v>50</v>
      </c>
      <c r="C824" s="7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Y824" s="390"/>
      <c r="Z824" s="390"/>
      <c r="AA824" s="390"/>
      <c r="AB824" s="390"/>
      <c r="AC824" s="390"/>
      <c r="AD824" s="390"/>
      <c r="AE824" s="390"/>
      <c r="AF824" s="390"/>
      <c r="AG824" s="390"/>
      <c r="AH824" s="390"/>
      <c r="AI824" s="390"/>
      <c r="AJ824" s="390"/>
      <c r="AK824" s="390"/>
      <c r="AL824" s="390"/>
      <c r="AM824" s="390"/>
      <c r="AN824" s="390"/>
      <c r="AO824" s="390"/>
      <c r="AP824" s="390"/>
      <c r="AQ824" s="390"/>
      <c r="AR824" s="390"/>
      <c r="AS824" s="390"/>
    </row>
    <row r="825" spans="1:45" x14ac:dyDescent="0.3">
      <c r="B825" s="54" t="s">
        <v>51</v>
      </c>
      <c r="C825" s="55"/>
      <c r="D825" s="322"/>
      <c r="E825" s="322"/>
      <c r="F825" s="322"/>
      <c r="G825" s="322"/>
      <c r="H825" s="322"/>
      <c r="I825" s="322"/>
      <c r="J825" s="322"/>
      <c r="K825" s="322"/>
      <c r="L825" s="322"/>
      <c r="M825" s="322"/>
      <c r="N825" s="322"/>
      <c r="O825" s="322"/>
      <c r="P825" s="322"/>
      <c r="Q825" s="322"/>
      <c r="R825" s="322"/>
      <c r="S825" s="322"/>
      <c r="T825" s="218"/>
      <c r="U825" s="218"/>
      <c r="V825" s="218"/>
      <c r="W825" s="322"/>
      <c r="Y825" s="390"/>
      <c r="Z825" s="390"/>
      <c r="AA825" s="390"/>
      <c r="AB825" s="390"/>
      <c r="AC825" s="390"/>
      <c r="AD825" s="390"/>
      <c r="AE825" s="390"/>
      <c r="AF825" s="390"/>
      <c r="AG825" s="390"/>
      <c r="AH825" s="390"/>
      <c r="AI825" s="390"/>
      <c r="AJ825" s="390"/>
      <c r="AK825" s="390"/>
      <c r="AL825" s="390"/>
      <c r="AM825" s="390"/>
      <c r="AN825" s="390"/>
      <c r="AO825" s="390"/>
      <c r="AP825" s="390"/>
      <c r="AQ825" s="390"/>
      <c r="AR825" s="390"/>
      <c r="AS825" s="390"/>
    </row>
    <row r="826" spans="1:45" x14ac:dyDescent="0.3">
      <c r="B826" s="54" t="s">
        <v>56</v>
      </c>
      <c r="C826" s="55"/>
      <c r="D826" s="21">
        <v>0</v>
      </c>
      <c r="E826" s="21">
        <v>0</v>
      </c>
      <c r="F826" s="21">
        <v>0</v>
      </c>
      <c r="G826" s="21">
        <v>0</v>
      </c>
      <c r="H826" s="21">
        <v>0</v>
      </c>
      <c r="I826" s="21">
        <v>0</v>
      </c>
      <c r="J826" s="21">
        <v>0</v>
      </c>
      <c r="K826" s="21">
        <v>0</v>
      </c>
      <c r="L826" s="21">
        <v>0</v>
      </c>
      <c r="M826" s="21">
        <v>0</v>
      </c>
      <c r="N826" s="21">
        <v>0</v>
      </c>
      <c r="O826" s="21">
        <v>0</v>
      </c>
      <c r="P826" s="21">
        <v>0</v>
      </c>
      <c r="Q826" s="21">
        <v>0</v>
      </c>
      <c r="R826" s="21">
        <v>0</v>
      </c>
      <c r="S826" s="21">
        <v>0</v>
      </c>
      <c r="T826" s="21"/>
      <c r="U826" s="21"/>
      <c r="V826" s="21"/>
      <c r="W826" s="21">
        <v>0</v>
      </c>
      <c r="Y826" s="390"/>
      <c r="Z826" s="390"/>
      <c r="AA826" s="390"/>
      <c r="AB826" s="390"/>
      <c r="AC826" s="390"/>
      <c r="AD826" s="390"/>
      <c r="AE826" s="390"/>
      <c r="AF826" s="390"/>
      <c r="AG826" s="390"/>
      <c r="AH826" s="390"/>
      <c r="AI826" s="390"/>
      <c r="AJ826" s="390"/>
      <c r="AK826" s="390"/>
      <c r="AL826" s="390"/>
      <c r="AM826" s="390"/>
      <c r="AN826" s="390"/>
      <c r="AO826" s="390"/>
      <c r="AP826" s="390"/>
      <c r="AQ826" s="390"/>
      <c r="AR826" s="390"/>
      <c r="AS826" s="390"/>
    </row>
    <row r="827" spans="1:45" x14ac:dyDescent="0.3">
      <c r="B827" s="177" t="s">
        <v>67</v>
      </c>
      <c r="C827" s="178"/>
      <c r="D827" s="323">
        <v>352.08</v>
      </c>
      <c r="E827" s="323">
        <v>352.08</v>
      </c>
      <c r="F827" s="323">
        <v>352.08</v>
      </c>
      <c r="G827" s="323">
        <v>352.08</v>
      </c>
      <c r="H827" s="323">
        <v>352.08</v>
      </c>
      <c r="I827" s="323">
        <v>352.08</v>
      </c>
      <c r="J827" s="323">
        <v>352.08</v>
      </c>
      <c r="K827" s="323">
        <v>352.08</v>
      </c>
      <c r="L827" s="323">
        <v>352.08</v>
      </c>
      <c r="M827" s="323">
        <v>352.08</v>
      </c>
      <c r="N827" s="323">
        <v>352.08</v>
      </c>
      <c r="O827" s="323">
        <v>352.08</v>
      </c>
      <c r="P827" s="323">
        <v>352.08</v>
      </c>
      <c r="Q827" s="323">
        <v>352.08</v>
      </c>
      <c r="R827" s="323">
        <v>352.08</v>
      </c>
      <c r="S827" s="323">
        <v>352.08</v>
      </c>
      <c r="T827" s="323"/>
      <c r="U827" s="323"/>
      <c r="V827" s="323"/>
      <c r="W827" s="323">
        <f>S827</f>
        <v>352.08</v>
      </c>
      <c r="Y827" s="390"/>
      <c r="Z827" s="390"/>
      <c r="AA827" s="390"/>
      <c r="AB827" s="390"/>
      <c r="AC827" s="390"/>
      <c r="AD827" s="390"/>
      <c r="AE827" s="390"/>
      <c r="AF827" s="390"/>
      <c r="AG827" s="390"/>
      <c r="AH827" s="390"/>
      <c r="AI827" s="390"/>
      <c r="AJ827" s="390"/>
      <c r="AK827" s="390"/>
      <c r="AL827" s="390"/>
      <c r="AM827" s="390"/>
      <c r="AN827" s="390"/>
      <c r="AO827" s="390"/>
      <c r="AP827" s="390"/>
      <c r="AQ827" s="390"/>
      <c r="AR827" s="390"/>
      <c r="AS827" s="390"/>
    </row>
    <row r="828" spans="1:45" x14ac:dyDescent="0.3">
      <c r="B828" s="54" t="s">
        <v>66</v>
      </c>
      <c r="C828" s="56">
        <v>7.0000000000000007E-2</v>
      </c>
      <c r="D828" s="24">
        <f>D827*$C828</f>
        <v>24.645600000000002</v>
      </c>
      <c r="E828" s="24">
        <f t="shared" ref="E828:V828" si="711">E827*$C828</f>
        <v>24.645600000000002</v>
      </c>
      <c r="F828" s="24">
        <f t="shared" si="711"/>
        <v>24.645600000000002</v>
      </c>
      <c r="G828" s="24">
        <f t="shared" si="711"/>
        <v>24.645600000000002</v>
      </c>
      <c r="H828" s="24">
        <f t="shared" si="711"/>
        <v>24.645600000000002</v>
      </c>
      <c r="I828" s="24">
        <f t="shared" si="711"/>
        <v>24.645600000000002</v>
      </c>
      <c r="J828" s="24">
        <f t="shared" si="711"/>
        <v>24.645600000000002</v>
      </c>
      <c r="K828" s="24">
        <f t="shared" si="711"/>
        <v>24.645600000000002</v>
      </c>
      <c r="L828" s="24">
        <f t="shared" si="711"/>
        <v>24.645600000000002</v>
      </c>
      <c r="M828" s="24">
        <f t="shared" si="711"/>
        <v>24.645600000000002</v>
      </c>
      <c r="N828" s="24">
        <f t="shared" si="711"/>
        <v>24.645600000000002</v>
      </c>
      <c r="O828" s="24">
        <f t="shared" si="711"/>
        <v>24.645600000000002</v>
      </c>
      <c r="P828" s="24">
        <f t="shared" si="711"/>
        <v>24.645600000000002</v>
      </c>
      <c r="Q828" s="24">
        <f t="shared" si="711"/>
        <v>24.645600000000002</v>
      </c>
      <c r="R828" s="24">
        <f t="shared" si="711"/>
        <v>24.645600000000002</v>
      </c>
      <c r="S828" s="24">
        <f t="shared" si="711"/>
        <v>24.645600000000002</v>
      </c>
      <c r="T828" s="24">
        <f t="shared" si="711"/>
        <v>0</v>
      </c>
      <c r="U828" s="24">
        <f t="shared" si="711"/>
        <v>0</v>
      </c>
      <c r="V828" s="24">
        <f t="shared" si="711"/>
        <v>0</v>
      </c>
      <c r="W828" s="24">
        <f>W827*$C828</f>
        <v>24.645600000000002</v>
      </c>
      <c r="Y828" s="390"/>
      <c r="Z828" s="390"/>
      <c r="AA828" s="390"/>
      <c r="AB828" s="390"/>
      <c r="AC828" s="390"/>
      <c r="AD828" s="390"/>
      <c r="AE828" s="390"/>
      <c r="AF828" s="390"/>
      <c r="AG828" s="390"/>
      <c r="AH828" s="390"/>
      <c r="AI828" s="390"/>
      <c r="AJ828" s="390"/>
      <c r="AK828" s="390"/>
      <c r="AL828" s="390"/>
      <c r="AM828" s="390"/>
      <c r="AN828" s="390"/>
      <c r="AO828" s="390"/>
      <c r="AP828" s="390"/>
      <c r="AQ828" s="390"/>
      <c r="AR828" s="390"/>
      <c r="AS828" s="390"/>
    </row>
    <row r="829" spans="1:45" x14ac:dyDescent="0.3">
      <c r="B829" s="54" t="s">
        <v>68</v>
      </c>
      <c r="C829" s="55"/>
      <c r="D829" s="21">
        <f>D827+D828</f>
        <v>376.72559999999999</v>
      </c>
      <c r="E829" s="21">
        <f t="shared" ref="E829:V829" si="712">E827+E828</f>
        <v>376.72559999999999</v>
      </c>
      <c r="F829" s="21">
        <f t="shared" si="712"/>
        <v>376.72559999999999</v>
      </c>
      <c r="G829" s="21">
        <f t="shared" si="712"/>
        <v>376.72559999999999</v>
      </c>
      <c r="H829" s="21">
        <f t="shared" si="712"/>
        <v>376.72559999999999</v>
      </c>
      <c r="I829" s="21">
        <f t="shared" si="712"/>
        <v>376.72559999999999</v>
      </c>
      <c r="J829" s="21">
        <f t="shared" si="712"/>
        <v>376.72559999999999</v>
      </c>
      <c r="K829" s="21">
        <f t="shared" si="712"/>
        <v>376.72559999999999</v>
      </c>
      <c r="L829" s="21">
        <f t="shared" si="712"/>
        <v>376.72559999999999</v>
      </c>
      <c r="M829" s="21">
        <f t="shared" si="712"/>
        <v>376.72559999999999</v>
      </c>
      <c r="N829" s="21">
        <f t="shared" si="712"/>
        <v>376.72559999999999</v>
      </c>
      <c r="O829" s="21">
        <f t="shared" si="712"/>
        <v>376.72559999999999</v>
      </c>
      <c r="P829" s="21">
        <f t="shared" si="712"/>
        <v>376.72559999999999</v>
      </c>
      <c r="Q829" s="21">
        <f t="shared" si="712"/>
        <v>376.72559999999999</v>
      </c>
      <c r="R829" s="21">
        <f t="shared" si="712"/>
        <v>376.72559999999999</v>
      </c>
      <c r="S829" s="21">
        <f t="shared" si="712"/>
        <v>376.72559999999999</v>
      </c>
      <c r="T829" s="21">
        <f t="shared" si="712"/>
        <v>0</v>
      </c>
      <c r="U829" s="21">
        <f t="shared" si="712"/>
        <v>0</v>
      </c>
      <c r="V829" s="21">
        <f t="shared" si="712"/>
        <v>0</v>
      </c>
      <c r="W829" s="21">
        <f>W827+W828</f>
        <v>376.72559999999999</v>
      </c>
      <c r="Y829" s="390"/>
      <c r="Z829" s="390"/>
      <c r="AA829" s="390"/>
      <c r="AB829" s="390"/>
      <c r="AC829" s="390"/>
      <c r="AD829" s="390"/>
      <c r="AE829" s="390"/>
      <c r="AF829" s="390"/>
      <c r="AG829" s="390"/>
      <c r="AH829" s="390"/>
      <c r="AI829" s="390"/>
      <c r="AJ829" s="390"/>
      <c r="AK829" s="390"/>
      <c r="AL829" s="390"/>
      <c r="AM829" s="390"/>
      <c r="AN829" s="390"/>
      <c r="AO829" s="390"/>
      <c r="AP829" s="390"/>
      <c r="AQ829" s="390"/>
      <c r="AR829" s="390"/>
      <c r="AS829" s="390"/>
    </row>
    <row r="830" spans="1:45" x14ac:dyDescent="0.3">
      <c r="B830" s="54" t="s">
        <v>52</v>
      </c>
      <c r="C830" s="55"/>
      <c r="D830" s="20">
        <v>8.9032258064516139</v>
      </c>
      <c r="E830" s="21">
        <v>21.29032258064516</v>
      </c>
      <c r="F830" s="21">
        <v>28.06451612903226</v>
      </c>
      <c r="G830" s="21">
        <v>15.483870967741936</v>
      </c>
      <c r="H830" s="21">
        <v>10.96774193548387</v>
      </c>
      <c r="I830" s="21">
        <v>15.161290322580644</v>
      </c>
      <c r="J830" s="21">
        <v>22.258064516129032</v>
      </c>
      <c r="K830" s="21">
        <v>18.709677419354836</v>
      </c>
      <c r="L830" s="21">
        <v>20</v>
      </c>
      <c r="M830" s="21">
        <v>9.1612903225806459</v>
      </c>
      <c r="N830" s="21">
        <v>11.225806451612904</v>
      </c>
      <c r="O830" s="21">
        <v>15.483870967741936</v>
      </c>
      <c r="P830" s="21">
        <v>6.4516129032258061</v>
      </c>
      <c r="Q830" s="21">
        <v>6.4516129032258061</v>
      </c>
      <c r="R830" s="21">
        <v>12.903225806451612</v>
      </c>
      <c r="S830" s="21">
        <v>11.096774193548386</v>
      </c>
      <c r="T830" s="21"/>
      <c r="U830" s="21"/>
      <c r="V830" s="21"/>
      <c r="W830" s="21">
        <v>6.4516129032258061</v>
      </c>
      <c r="Y830" s="390"/>
      <c r="Z830" s="390"/>
      <c r="AA830" s="390"/>
      <c r="AB830" s="390"/>
      <c r="AC830" s="390"/>
      <c r="AD830" s="390"/>
      <c r="AE830" s="390"/>
      <c r="AF830" s="390"/>
      <c r="AG830" s="390"/>
      <c r="AH830" s="390"/>
      <c r="AI830" s="390"/>
      <c r="AJ830" s="390"/>
      <c r="AK830" s="390"/>
      <c r="AL830" s="390"/>
      <c r="AM830" s="390"/>
      <c r="AN830" s="390"/>
      <c r="AO830" s="390"/>
      <c r="AP830" s="390"/>
      <c r="AQ830" s="390"/>
      <c r="AR830" s="390"/>
      <c r="AS830" s="390"/>
    </row>
    <row r="831" spans="1:45" x14ac:dyDescent="0.3">
      <c r="B831" s="57" t="s">
        <v>53</v>
      </c>
      <c r="C831" s="58"/>
      <c r="D831" s="25">
        <f>SUM(D829:D830)</f>
        <v>385.62882580645157</v>
      </c>
      <c r="E831" s="26">
        <f t="shared" ref="E831:V831" si="713">SUM(E829:E830)</f>
        <v>398.01592258064517</v>
      </c>
      <c r="F831" s="26">
        <f t="shared" si="713"/>
        <v>404.79011612903224</v>
      </c>
      <c r="G831" s="26">
        <f t="shared" si="713"/>
        <v>392.20947096774194</v>
      </c>
      <c r="H831" s="26">
        <f t="shared" si="713"/>
        <v>387.69334193548383</v>
      </c>
      <c r="I831" s="26">
        <f t="shared" si="713"/>
        <v>391.88689032258065</v>
      </c>
      <c r="J831" s="26">
        <f t="shared" si="713"/>
        <v>398.98366451612901</v>
      </c>
      <c r="K831" s="26">
        <f t="shared" si="713"/>
        <v>395.4352774193548</v>
      </c>
      <c r="L831" s="26">
        <f t="shared" si="713"/>
        <v>396.72559999999999</v>
      </c>
      <c r="M831" s="26">
        <f t="shared" si="713"/>
        <v>385.88689032258065</v>
      </c>
      <c r="N831" s="26">
        <f t="shared" si="713"/>
        <v>387.95140645161291</v>
      </c>
      <c r="O831" s="26">
        <f t="shared" si="713"/>
        <v>392.20947096774194</v>
      </c>
      <c r="P831" s="26">
        <f t="shared" si="713"/>
        <v>383.17721290322578</v>
      </c>
      <c r="Q831" s="26">
        <f t="shared" si="713"/>
        <v>383.17721290322578</v>
      </c>
      <c r="R831" s="26">
        <f t="shared" si="713"/>
        <v>389.62882580645157</v>
      </c>
      <c r="S831" s="26">
        <f t="shared" si="713"/>
        <v>387.8223741935484</v>
      </c>
      <c r="T831" s="26">
        <f t="shared" si="713"/>
        <v>0</v>
      </c>
      <c r="U831" s="26">
        <f t="shared" si="713"/>
        <v>0</v>
      </c>
      <c r="V831" s="26">
        <f t="shared" si="713"/>
        <v>0</v>
      </c>
      <c r="W831" s="26">
        <f>SUM(W829:W830)</f>
        <v>383.17721290322578</v>
      </c>
      <c r="Y831" s="390"/>
      <c r="Z831" s="390"/>
      <c r="AA831" s="390"/>
      <c r="AB831" s="390"/>
      <c r="AC831" s="390"/>
      <c r="AD831" s="390"/>
      <c r="AE831" s="390"/>
      <c r="AF831" s="390"/>
      <c r="AG831" s="390"/>
      <c r="AH831" s="390"/>
      <c r="AI831" s="390"/>
      <c r="AJ831" s="390"/>
      <c r="AK831" s="390"/>
      <c r="AL831" s="390"/>
      <c r="AM831" s="390"/>
      <c r="AN831" s="390"/>
      <c r="AO831" s="390"/>
      <c r="AP831" s="390"/>
      <c r="AQ831" s="390"/>
      <c r="AR831" s="390"/>
      <c r="AS831" s="390"/>
    </row>
    <row r="832" spans="1:45" x14ac:dyDescent="0.3">
      <c r="B832" s="54" t="s">
        <v>54</v>
      </c>
      <c r="C832" s="55"/>
      <c r="D832" s="20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Y832" s="390"/>
      <c r="Z832" s="390"/>
      <c r="AA832" s="390"/>
      <c r="AB832" s="390"/>
      <c r="AC832" s="390"/>
      <c r="AD832" s="390"/>
      <c r="AE832" s="390"/>
      <c r="AF832" s="390"/>
      <c r="AG832" s="390"/>
      <c r="AH832" s="390"/>
      <c r="AI832" s="390"/>
      <c r="AJ832" s="390"/>
      <c r="AK832" s="390"/>
      <c r="AL832" s="390"/>
      <c r="AM832" s="390"/>
      <c r="AN832" s="390"/>
      <c r="AO832" s="390"/>
      <c r="AP832" s="390"/>
      <c r="AQ832" s="390"/>
      <c r="AR832" s="390"/>
      <c r="AS832" s="390"/>
    </row>
    <row r="833" spans="2:45" x14ac:dyDescent="0.3">
      <c r="B833" s="59" t="s">
        <v>55</v>
      </c>
      <c r="C833" s="60"/>
      <c r="D833" s="27">
        <f>SUM(D831:D832)</f>
        <v>385.62882580645157</v>
      </c>
      <c r="E833" s="41">
        <f t="shared" ref="E833:V833" si="714">SUM(E831:E832)</f>
        <v>398.01592258064517</v>
      </c>
      <c r="F833" s="41">
        <f t="shared" si="714"/>
        <v>404.79011612903224</v>
      </c>
      <c r="G833" s="41">
        <f t="shared" si="714"/>
        <v>392.20947096774194</v>
      </c>
      <c r="H833" s="41">
        <f t="shared" si="714"/>
        <v>387.69334193548383</v>
      </c>
      <c r="I833" s="41">
        <f t="shared" si="714"/>
        <v>391.88689032258065</v>
      </c>
      <c r="J833" s="41">
        <f t="shared" si="714"/>
        <v>398.98366451612901</v>
      </c>
      <c r="K833" s="41">
        <f t="shared" si="714"/>
        <v>395.4352774193548</v>
      </c>
      <c r="L833" s="41">
        <f t="shared" si="714"/>
        <v>396.72559999999999</v>
      </c>
      <c r="M833" s="41">
        <f t="shared" si="714"/>
        <v>385.88689032258065</v>
      </c>
      <c r="N833" s="41">
        <f t="shared" si="714"/>
        <v>387.95140645161291</v>
      </c>
      <c r="O833" s="41">
        <f t="shared" si="714"/>
        <v>392.20947096774194</v>
      </c>
      <c r="P833" s="41">
        <f t="shared" si="714"/>
        <v>383.17721290322578</v>
      </c>
      <c r="Q833" s="41">
        <f t="shared" si="714"/>
        <v>383.17721290322578</v>
      </c>
      <c r="R833" s="41">
        <f t="shared" si="714"/>
        <v>389.62882580645157</v>
      </c>
      <c r="S833" s="41">
        <f t="shared" si="714"/>
        <v>387.8223741935484</v>
      </c>
      <c r="T833" s="41">
        <f t="shared" si="714"/>
        <v>0</v>
      </c>
      <c r="U833" s="41">
        <f t="shared" si="714"/>
        <v>0</v>
      </c>
      <c r="V833" s="41">
        <f t="shared" si="714"/>
        <v>0</v>
      </c>
      <c r="W833" s="41">
        <f>SUM(W831:W832)</f>
        <v>383.17721290322578</v>
      </c>
      <c r="Y833" s="390"/>
      <c r="Z833" s="390"/>
      <c r="AA833" s="390"/>
      <c r="AB833" s="390"/>
      <c r="AC833" s="390"/>
      <c r="AD833" s="390"/>
      <c r="AE833" s="390"/>
      <c r="AF833" s="390"/>
      <c r="AG833" s="390"/>
      <c r="AH833" s="390"/>
      <c r="AI833" s="390"/>
      <c r="AJ833" s="390"/>
      <c r="AK833" s="390"/>
      <c r="AL833" s="390"/>
      <c r="AM833" s="390"/>
      <c r="AN833" s="390"/>
      <c r="AO833" s="390"/>
      <c r="AP833" s="390"/>
      <c r="AQ833" s="390"/>
      <c r="AR833" s="390"/>
      <c r="AS833" s="390"/>
    </row>
    <row r="834" spans="2:45" x14ac:dyDescent="0.3">
      <c r="B834" s="61" t="s">
        <v>101</v>
      </c>
      <c r="C834" s="55"/>
      <c r="D834" s="43">
        <v>0</v>
      </c>
      <c r="E834" s="408">
        <v>0</v>
      </c>
      <c r="F834" s="408">
        <v>0</v>
      </c>
      <c r="G834" s="408">
        <v>0</v>
      </c>
      <c r="H834" s="408">
        <v>0</v>
      </c>
      <c r="I834" s="408">
        <v>0</v>
      </c>
      <c r="J834" s="408">
        <v>0</v>
      </c>
      <c r="K834" s="408">
        <v>0</v>
      </c>
      <c r="L834" s="408">
        <v>0</v>
      </c>
      <c r="M834" s="408">
        <v>0</v>
      </c>
      <c r="N834" s="408">
        <v>0</v>
      </c>
      <c r="O834" s="408">
        <v>0</v>
      </c>
      <c r="P834" s="408">
        <v>0</v>
      </c>
      <c r="Q834" s="408">
        <v>0</v>
      </c>
      <c r="R834" s="408">
        <v>0</v>
      </c>
      <c r="S834" s="408">
        <v>0</v>
      </c>
      <c r="T834" s="408">
        <v>0</v>
      </c>
      <c r="U834" s="408">
        <v>0</v>
      </c>
      <c r="V834" s="408">
        <v>0</v>
      </c>
      <c r="W834" s="408">
        <v>0</v>
      </c>
      <c r="Y834" s="409"/>
      <c r="Z834" s="409"/>
      <c r="AA834" s="409"/>
      <c r="AB834" s="409"/>
      <c r="AC834" s="409"/>
      <c r="AD834" s="409"/>
      <c r="AE834" s="409"/>
      <c r="AF834" s="409"/>
      <c r="AG834" s="409"/>
      <c r="AH834" s="409"/>
      <c r="AI834" s="409"/>
      <c r="AJ834" s="409"/>
      <c r="AK834" s="409"/>
      <c r="AL834" s="409"/>
      <c r="AM834" s="409"/>
      <c r="AN834" s="409"/>
      <c r="AO834" s="409"/>
      <c r="AP834" s="409"/>
      <c r="AQ834" s="409"/>
      <c r="AR834" s="409"/>
      <c r="AS834" s="409"/>
    </row>
    <row r="835" spans="2:45" x14ac:dyDescent="0.3">
      <c r="B835" s="61" t="s">
        <v>194</v>
      </c>
      <c r="C835" s="55"/>
      <c r="D835" s="228">
        <v>411</v>
      </c>
      <c r="E835" s="229">
        <v>424</v>
      </c>
      <c r="F835" s="229">
        <v>430</v>
      </c>
      <c r="G835" s="229">
        <v>418</v>
      </c>
      <c r="H835" s="229">
        <v>413</v>
      </c>
      <c r="I835" s="229">
        <v>417</v>
      </c>
      <c r="J835" s="229">
        <v>424</v>
      </c>
      <c r="K835" s="229">
        <v>421</v>
      </c>
      <c r="L835" s="229">
        <v>422</v>
      </c>
      <c r="M835" s="229">
        <v>411</v>
      </c>
      <c r="N835" s="229">
        <v>413</v>
      </c>
      <c r="O835" s="229">
        <v>418</v>
      </c>
      <c r="P835" s="229">
        <v>409</v>
      </c>
      <c r="Q835" s="229">
        <v>409</v>
      </c>
      <c r="R835" s="229">
        <v>415</v>
      </c>
      <c r="S835" s="229">
        <v>413</v>
      </c>
      <c r="T835" s="21">
        <v>0</v>
      </c>
      <c r="U835" s="21">
        <v>0</v>
      </c>
      <c r="V835" s="21">
        <v>0</v>
      </c>
      <c r="W835" s="229">
        <v>409</v>
      </c>
      <c r="Y835" s="390"/>
      <c r="Z835" s="390"/>
      <c r="AA835" s="390"/>
      <c r="AB835" s="390"/>
      <c r="AC835" s="390"/>
      <c r="AD835" s="390"/>
      <c r="AE835" s="390"/>
      <c r="AF835" s="390"/>
      <c r="AG835" s="390"/>
      <c r="AH835" s="390"/>
      <c r="AI835" s="390"/>
      <c r="AJ835" s="390"/>
      <c r="AK835" s="390"/>
      <c r="AL835" s="390"/>
      <c r="AM835" s="390"/>
      <c r="AN835" s="390"/>
      <c r="AO835" s="390"/>
      <c r="AP835" s="390"/>
      <c r="AQ835" s="390"/>
      <c r="AR835" s="390"/>
      <c r="AS835" s="390"/>
    </row>
    <row r="836" spans="2:45" x14ac:dyDescent="0.3">
      <c r="B836" s="61" t="s">
        <v>195</v>
      </c>
      <c r="C836" s="62"/>
      <c r="D836" s="28">
        <v>416</v>
      </c>
      <c r="E836" s="28">
        <v>429</v>
      </c>
      <c r="F836" s="28">
        <v>435</v>
      </c>
      <c r="G836" s="28">
        <v>423</v>
      </c>
      <c r="H836" s="28">
        <v>418</v>
      </c>
      <c r="I836" s="28">
        <v>422</v>
      </c>
      <c r="J836" s="28">
        <v>429</v>
      </c>
      <c r="K836" s="28">
        <v>426</v>
      </c>
      <c r="L836" s="28">
        <v>427</v>
      </c>
      <c r="M836" s="28">
        <v>416</v>
      </c>
      <c r="N836" s="28">
        <v>418</v>
      </c>
      <c r="O836" s="28">
        <v>423</v>
      </c>
      <c r="P836" s="28">
        <v>414</v>
      </c>
      <c r="Q836" s="28">
        <v>414</v>
      </c>
      <c r="R836" s="28">
        <v>420</v>
      </c>
      <c r="S836" s="28">
        <v>418</v>
      </c>
      <c r="T836" s="410">
        <v>0</v>
      </c>
      <c r="U836" s="410">
        <v>0</v>
      </c>
      <c r="V836" s="410">
        <v>0</v>
      </c>
      <c r="W836" s="28">
        <v>414</v>
      </c>
      <c r="Y836" s="390"/>
      <c r="Z836" s="390"/>
      <c r="AA836" s="390"/>
      <c r="AB836" s="390"/>
      <c r="AC836" s="390"/>
      <c r="AD836" s="390"/>
      <c r="AE836" s="390"/>
      <c r="AF836" s="390"/>
      <c r="AG836" s="390"/>
      <c r="AH836" s="390"/>
      <c r="AI836" s="390"/>
      <c r="AJ836" s="390"/>
      <c r="AK836" s="390"/>
      <c r="AL836" s="390"/>
      <c r="AM836" s="390"/>
      <c r="AN836" s="390"/>
      <c r="AO836" s="390"/>
      <c r="AP836" s="390"/>
      <c r="AQ836" s="390"/>
      <c r="AR836" s="390"/>
      <c r="AS836" s="390"/>
    </row>
    <row r="837" spans="2:45" x14ac:dyDescent="0.3">
      <c r="B837" s="61" t="s">
        <v>196</v>
      </c>
      <c r="C837" s="62"/>
      <c r="D837" s="28">
        <v>421</v>
      </c>
      <c r="E837" s="28">
        <v>434</v>
      </c>
      <c r="F837" s="28">
        <v>440</v>
      </c>
      <c r="G837" s="28">
        <v>428</v>
      </c>
      <c r="H837" s="28">
        <v>423</v>
      </c>
      <c r="I837" s="28">
        <v>427</v>
      </c>
      <c r="J837" s="28">
        <v>434</v>
      </c>
      <c r="K837" s="28">
        <v>431</v>
      </c>
      <c r="L837" s="28">
        <v>432</v>
      </c>
      <c r="M837" s="28">
        <v>421</v>
      </c>
      <c r="N837" s="28">
        <v>423</v>
      </c>
      <c r="O837" s="28">
        <v>428</v>
      </c>
      <c r="P837" s="28">
        <v>419</v>
      </c>
      <c r="Q837" s="28">
        <v>419</v>
      </c>
      <c r="R837" s="28">
        <v>425</v>
      </c>
      <c r="S837" s="28">
        <v>423</v>
      </c>
      <c r="T837" s="410">
        <v>0</v>
      </c>
      <c r="U837" s="410">
        <v>0</v>
      </c>
      <c r="V837" s="410">
        <v>0</v>
      </c>
      <c r="W837" s="28">
        <v>419</v>
      </c>
      <c r="Y837" s="390"/>
      <c r="Z837" s="390"/>
      <c r="AA837" s="390"/>
      <c r="AB837" s="390"/>
      <c r="AC837" s="390"/>
      <c r="AD837" s="390"/>
      <c r="AE837" s="390"/>
      <c r="AF837" s="390"/>
      <c r="AG837" s="390"/>
      <c r="AH837" s="390"/>
      <c r="AI837" s="390"/>
      <c r="AJ837" s="390"/>
      <c r="AK837" s="390"/>
      <c r="AL837" s="390"/>
      <c r="AM837" s="390"/>
      <c r="AN837" s="390"/>
      <c r="AO837" s="390"/>
      <c r="AP837" s="390"/>
      <c r="AQ837" s="390"/>
      <c r="AR837" s="390"/>
      <c r="AS837" s="390"/>
    </row>
    <row r="838" spans="2:45" x14ac:dyDescent="0.3">
      <c r="B838" s="61" t="s">
        <v>197</v>
      </c>
      <c r="C838" s="62"/>
      <c r="D838" s="28">
        <v>426</v>
      </c>
      <c r="E838" s="28">
        <v>439</v>
      </c>
      <c r="F838" s="28">
        <v>445</v>
      </c>
      <c r="G838" s="28">
        <v>433</v>
      </c>
      <c r="H838" s="28">
        <v>428</v>
      </c>
      <c r="I838" s="28">
        <v>432</v>
      </c>
      <c r="J838" s="28">
        <v>439</v>
      </c>
      <c r="K838" s="28">
        <v>436</v>
      </c>
      <c r="L838" s="28">
        <v>437</v>
      </c>
      <c r="M838" s="28">
        <v>426</v>
      </c>
      <c r="N838" s="28">
        <v>428</v>
      </c>
      <c r="O838" s="28">
        <v>433</v>
      </c>
      <c r="P838" s="28">
        <v>424</v>
      </c>
      <c r="Q838" s="28">
        <v>424</v>
      </c>
      <c r="R838" s="28">
        <v>430</v>
      </c>
      <c r="S838" s="28">
        <v>428</v>
      </c>
      <c r="T838" s="410">
        <v>0</v>
      </c>
      <c r="U838" s="410">
        <v>0</v>
      </c>
      <c r="V838" s="410">
        <v>0</v>
      </c>
      <c r="W838" s="28">
        <v>424</v>
      </c>
      <c r="Y838" s="390"/>
      <c r="Z838" s="390"/>
      <c r="AA838" s="390"/>
      <c r="AB838" s="390"/>
      <c r="AC838" s="390"/>
      <c r="AD838" s="390"/>
      <c r="AE838" s="390"/>
      <c r="AF838" s="390"/>
      <c r="AG838" s="390"/>
      <c r="AH838" s="390"/>
      <c r="AI838" s="390"/>
      <c r="AJ838" s="390"/>
      <c r="AK838" s="390"/>
      <c r="AL838" s="390"/>
      <c r="AM838" s="390"/>
      <c r="AN838" s="390"/>
      <c r="AO838" s="390"/>
      <c r="AP838" s="390"/>
      <c r="AQ838" s="390"/>
      <c r="AR838" s="390"/>
      <c r="AS838" s="390"/>
    </row>
    <row r="839" spans="2:45" x14ac:dyDescent="0.3">
      <c r="B839" s="63" t="s">
        <v>103</v>
      </c>
      <c r="C839" s="55"/>
      <c r="D839" s="43">
        <v>0</v>
      </c>
      <c r="E839" s="408">
        <v>0</v>
      </c>
      <c r="F839" s="408">
        <v>0</v>
      </c>
      <c r="G839" s="408">
        <v>0</v>
      </c>
      <c r="H839" s="408">
        <v>0</v>
      </c>
      <c r="I839" s="408">
        <v>0</v>
      </c>
      <c r="J839" s="408">
        <v>0</v>
      </c>
      <c r="K839" s="408">
        <v>0</v>
      </c>
      <c r="L839" s="408">
        <v>0</v>
      </c>
      <c r="M839" s="408">
        <v>0</v>
      </c>
      <c r="N839" s="408">
        <v>0</v>
      </c>
      <c r="O839" s="408">
        <v>0</v>
      </c>
      <c r="P839" s="408">
        <v>0</v>
      </c>
      <c r="Q839" s="408">
        <v>0</v>
      </c>
      <c r="R839" s="408">
        <v>0</v>
      </c>
      <c r="S839" s="408">
        <v>0</v>
      </c>
      <c r="T839" s="408">
        <v>0</v>
      </c>
      <c r="U839" s="408">
        <v>0</v>
      </c>
      <c r="V839" s="408">
        <v>0</v>
      </c>
      <c r="W839" s="408">
        <v>0</v>
      </c>
      <c r="Y839" s="409"/>
      <c r="Z839" s="409"/>
      <c r="AA839" s="409"/>
      <c r="AB839" s="409"/>
      <c r="AC839" s="409"/>
      <c r="AD839" s="409"/>
      <c r="AE839" s="409"/>
      <c r="AF839" s="409"/>
      <c r="AG839" s="409"/>
      <c r="AH839" s="409"/>
      <c r="AI839" s="409"/>
      <c r="AJ839" s="409"/>
      <c r="AK839" s="409"/>
      <c r="AL839" s="409"/>
      <c r="AM839" s="409"/>
      <c r="AN839" s="409"/>
      <c r="AO839" s="409"/>
      <c r="AP839" s="409"/>
      <c r="AQ839" s="409"/>
      <c r="AR839" s="409"/>
      <c r="AS839" s="409"/>
    </row>
    <row r="840" spans="2:45" x14ac:dyDescent="0.3">
      <c r="B840" s="63" t="s">
        <v>198</v>
      </c>
      <c r="C840" s="62"/>
      <c r="D840" s="31">
        <f t="shared" ref="D840:S840" si="715">+D835-D$833</f>
        <v>25.371174193548427</v>
      </c>
      <c r="E840" s="31">
        <f t="shared" si="715"/>
        <v>25.984077419354833</v>
      </c>
      <c r="F840" s="31">
        <f t="shared" si="715"/>
        <v>25.209883870967758</v>
      </c>
      <c r="G840" s="31">
        <f t="shared" si="715"/>
        <v>25.790529032258064</v>
      </c>
      <c r="H840" s="31">
        <f t="shared" si="715"/>
        <v>25.306658064516171</v>
      </c>
      <c r="I840" s="31">
        <f t="shared" si="715"/>
        <v>25.113109677419345</v>
      </c>
      <c r="J840" s="31">
        <f t="shared" si="715"/>
        <v>25.016335483870989</v>
      </c>
      <c r="K840" s="31">
        <f t="shared" si="715"/>
        <v>25.564722580645196</v>
      </c>
      <c r="L840" s="31">
        <f t="shared" si="715"/>
        <v>25.274400000000014</v>
      </c>
      <c r="M840" s="31">
        <f t="shared" si="715"/>
        <v>25.113109677419345</v>
      </c>
      <c r="N840" s="31">
        <f t="shared" si="715"/>
        <v>25.048593548387089</v>
      </c>
      <c r="O840" s="31">
        <f t="shared" si="715"/>
        <v>25.790529032258064</v>
      </c>
      <c r="P840" s="31">
        <f t="shared" si="715"/>
        <v>25.822787096774221</v>
      </c>
      <c r="Q840" s="31">
        <f t="shared" si="715"/>
        <v>25.822787096774221</v>
      </c>
      <c r="R840" s="31">
        <f t="shared" si="715"/>
        <v>25.371174193548427</v>
      </c>
      <c r="S840" s="31">
        <f t="shared" si="715"/>
        <v>25.177625806451601</v>
      </c>
      <c r="T840" s="29"/>
      <c r="U840" s="29"/>
      <c r="V840" s="29"/>
      <c r="W840" s="31">
        <f>+W835-W$833</f>
        <v>25.822787096774221</v>
      </c>
      <c r="Y840" s="390"/>
      <c r="Z840" s="390"/>
      <c r="AA840" s="390"/>
      <c r="AB840" s="390"/>
      <c r="AC840" s="390"/>
      <c r="AD840" s="390"/>
      <c r="AE840" s="390"/>
      <c r="AF840" s="390"/>
      <c r="AG840" s="390"/>
      <c r="AH840" s="390"/>
      <c r="AI840" s="390"/>
      <c r="AJ840" s="390"/>
      <c r="AK840" s="390"/>
      <c r="AL840" s="390"/>
      <c r="AM840" s="390"/>
      <c r="AN840" s="390"/>
      <c r="AO840" s="390"/>
      <c r="AP840" s="390"/>
      <c r="AQ840" s="390"/>
      <c r="AR840" s="390"/>
      <c r="AS840" s="390"/>
    </row>
    <row r="841" spans="2:45" x14ac:dyDescent="0.3">
      <c r="B841" s="63" t="s">
        <v>199</v>
      </c>
      <c r="C841" s="64"/>
      <c r="D841" s="31">
        <f t="shared" ref="D841:S841" si="716">+D836-D$833</f>
        <v>30.371174193548427</v>
      </c>
      <c r="E841" s="32">
        <f t="shared" si="716"/>
        <v>30.984077419354833</v>
      </c>
      <c r="F841" s="32">
        <f t="shared" si="716"/>
        <v>30.209883870967758</v>
      </c>
      <c r="G841" s="32">
        <f t="shared" si="716"/>
        <v>30.790529032258064</v>
      </c>
      <c r="H841" s="32">
        <f t="shared" si="716"/>
        <v>30.306658064516171</v>
      </c>
      <c r="I841" s="32">
        <f t="shared" si="716"/>
        <v>30.113109677419345</v>
      </c>
      <c r="J841" s="32">
        <f t="shared" si="716"/>
        <v>30.016335483870989</v>
      </c>
      <c r="K841" s="32">
        <f t="shared" si="716"/>
        <v>30.564722580645196</v>
      </c>
      <c r="L841" s="32">
        <f t="shared" si="716"/>
        <v>30.274400000000014</v>
      </c>
      <c r="M841" s="32">
        <f t="shared" si="716"/>
        <v>30.113109677419345</v>
      </c>
      <c r="N841" s="32">
        <f t="shared" si="716"/>
        <v>30.048593548387089</v>
      </c>
      <c r="O841" s="32">
        <f t="shared" si="716"/>
        <v>30.790529032258064</v>
      </c>
      <c r="P841" s="32">
        <f t="shared" si="716"/>
        <v>30.822787096774221</v>
      </c>
      <c r="Q841" s="32">
        <f t="shared" si="716"/>
        <v>30.822787096774221</v>
      </c>
      <c r="R841" s="32">
        <f t="shared" si="716"/>
        <v>30.371174193548427</v>
      </c>
      <c r="S841" s="32">
        <f t="shared" si="716"/>
        <v>30.177625806451601</v>
      </c>
      <c r="T841" s="32"/>
      <c r="U841" s="32"/>
      <c r="V841" s="32"/>
      <c r="W841" s="32">
        <f>+W836-W$833</f>
        <v>30.822787096774221</v>
      </c>
      <c r="Y841" s="390"/>
      <c r="Z841" s="390"/>
      <c r="AA841" s="390"/>
      <c r="AB841" s="390"/>
      <c r="AC841" s="390"/>
      <c r="AD841" s="390"/>
      <c r="AE841" s="390"/>
      <c r="AF841" s="390"/>
      <c r="AG841" s="390"/>
      <c r="AH841" s="390"/>
      <c r="AI841" s="390"/>
      <c r="AJ841" s="390"/>
      <c r="AK841" s="390"/>
      <c r="AL841" s="390"/>
      <c r="AM841" s="390"/>
      <c r="AN841" s="390"/>
      <c r="AO841" s="390"/>
      <c r="AP841" s="390"/>
      <c r="AQ841" s="390"/>
      <c r="AR841" s="390"/>
      <c r="AS841" s="390"/>
    </row>
    <row r="842" spans="2:45" x14ac:dyDescent="0.3">
      <c r="B842" s="63" t="s">
        <v>200</v>
      </c>
      <c r="C842" s="64"/>
      <c r="D842" s="31">
        <f t="shared" ref="D842:S842" si="717">+D837-D$833</f>
        <v>35.371174193548427</v>
      </c>
      <c r="E842" s="32">
        <f t="shared" si="717"/>
        <v>35.984077419354833</v>
      </c>
      <c r="F842" s="32">
        <f t="shared" si="717"/>
        <v>35.209883870967758</v>
      </c>
      <c r="G842" s="32">
        <f t="shared" si="717"/>
        <v>35.790529032258064</v>
      </c>
      <c r="H842" s="32">
        <f t="shared" si="717"/>
        <v>35.306658064516171</v>
      </c>
      <c r="I842" s="32">
        <f t="shared" si="717"/>
        <v>35.113109677419345</v>
      </c>
      <c r="J842" s="32">
        <f t="shared" si="717"/>
        <v>35.016335483870989</v>
      </c>
      <c r="K842" s="32">
        <f t="shared" si="717"/>
        <v>35.564722580645196</v>
      </c>
      <c r="L842" s="32">
        <f t="shared" si="717"/>
        <v>35.274400000000014</v>
      </c>
      <c r="M842" s="32">
        <f t="shared" si="717"/>
        <v>35.113109677419345</v>
      </c>
      <c r="N842" s="32">
        <f t="shared" si="717"/>
        <v>35.048593548387089</v>
      </c>
      <c r="O842" s="32">
        <f t="shared" si="717"/>
        <v>35.790529032258064</v>
      </c>
      <c r="P842" s="32">
        <f t="shared" si="717"/>
        <v>35.822787096774221</v>
      </c>
      <c r="Q842" s="32">
        <f t="shared" si="717"/>
        <v>35.822787096774221</v>
      </c>
      <c r="R842" s="32">
        <f t="shared" si="717"/>
        <v>35.371174193548427</v>
      </c>
      <c r="S842" s="32">
        <f t="shared" si="717"/>
        <v>35.177625806451601</v>
      </c>
      <c r="T842" s="32"/>
      <c r="U842" s="32"/>
      <c r="V842" s="32"/>
      <c r="W842" s="32">
        <f>+W837-W$833</f>
        <v>35.822787096774221</v>
      </c>
      <c r="Y842" s="390"/>
      <c r="Z842" s="390"/>
      <c r="AA842" s="390"/>
      <c r="AB842" s="390"/>
      <c r="AC842" s="390"/>
      <c r="AD842" s="390"/>
      <c r="AE842" s="390"/>
      <c r="AF842" s="390"/>
      <c r="AG842" s="390"/>
      <c r="AH842" s="390"/>
      <c r="AI842" s="390"/>
      <c r="AJ842" s="390"/>
      <c r="AK842" s="390"/>
      <c r="AL842" s="390"/>
      <c r="AM842" s="390"/>
      <c r="AN842" s="390"/>
      <c r="AO842" s="390"/>
      <c r="AP842" s="390"/>
      <c r="AQ842" s="390"/>
      <c r="AR842" s="390"/>
      <c r="AS842" s="390"/>
    </row>
    <row r="843" spans="2:45" x14ac:dyDescent="0.3">
      <c r="B843" s="63" t="s">
        <v>201</v>
      </c>
      <c r="C843" s="64"/>
      <c r="D843" s="31">
        <f t="shared" ref="D843:S843" si="718">+D838-D$833</f>
        <v>40.371174193548427</v>
      </c>
      <c r="E843" s="32">
        <f t="shared" si="718"/>
        <v>40.984077419354833</v>
      </c>
      <c r="F843" s="32">
        <f t="shared" si="718"/>
        <v>40.209883870967758</v>
      </c>
      <c r="G843" s="32">
        <f t="shared" si="718"/>
        <v>40.790529032258064</v>
      </c>
      <c r="H843" s="32">
        <f t="shared" si="718"/>
        <v>40.306658064516171</v>
      </c>
      <c r="I843" s="32">
        <f t="shared" si="718"/>
        <v>40.113109677419345</v>
      </c>
      <c r="J843" s="32">
        <f t="shared" si="718"/>
        <v>40.016335483870989</v>
      </c>
      <c r="K843" s="32">
        <f t="shared" si="718"/>
        <v>40.564722580645196</v>
      </c>
      <c r="L843" s="32">
        <f t="shared" si="718"/>
        <v>40.274400000000014</v>
      </c>
      <c r="M843" s="32">
        <f t="shared" si="718"/>
        <v>40.113109677419345</v>
      </c>
      <c r="N843" s="32">
        <f t="shared" si="718"/>
        <v>40.048593548387089</v>
      </c>
      <c r="O843" s="32">
        <f t="shared" si="718"/>
        <v>40.790529032258064</v>
      </c>
      <c r="P843" s="32">
        <f t="shared" si="718"/>
        <v>40.822787096774221</v>
      </c>
      <c r="Q843" s="32">
        <f t="shared" si="718"/>
        <v>40.822787096774221</v>
      </c>
      <c r="R843" s="32">
        <f t="shared" si="718"/>
        <v>40.371174193548427</v>
      </c>
      <c r="S843" s="32">
        <f t="shared" si="718"/>
        <v>40.177625806451601</v>
      </c>
      <c r="T843" s="32"/>
      <c r="U843" s="32"/>
      <c r="V843" s="32"/>
      <c r="W843" s="32">
        <f>+W838-W$833</f>
        <v>40.822787096774221</v>
      </c>
      <c r="Y843" s="390"/>
      <c r="Z843" s="390"/>
      <c r="AA843" s="390"/>
      <c r="AB843" s="390"/>
      <c r="AC843" s="390"/>
      <c r="AD843" s="390"/>
      <c r="AE843" s="390"/>
      <c r="AF843" s="390"/>
      <c r="AG843" s="390"/>
      <c r="AH843" s="390"/>
      <c r="AI843" s="390"/>
      <c r="AJ843" s="390"/>
      <c r="AK843" s="390"/>
      <c r="AL843" s="390"/>
      <c r="AM843" s="390"/>
      <c r="AN843" s="390"/>
      <c r="AO843" s="390"/>
      <c r="AP843" s="390"/>
      <c r="AQ843" s="390"/>
      <c r="AR843" s="390"/>
      <c r="AS843" s="390"/>
    </row>
    <row r="844" spans="2:45" x14ac:dyDescent="0.3">
      <c r="B844" s="65" t="s">
        <v>108</v>
      </c>
      <c r="C844" s="55"/>
      <c r="D844" s="43">
        <v>0</v>
      </c>
      <c r="E844" s="408">
        <v>0</v>
      </c>
      <c r="F844" s="408">
        <v>0</v>
      </c>
      <c r="G844" s="408">
        <v>0</v>
      </c>
      <c r="H844" s="408">
        <v>0</v>
      </c>
      <c r="I844" s="408">
        <v>0</v>
      </c>
      <c r="J844" s="408">
        <v>0</v>
      </c>
      <c r="K844" s="408">
        <v>0</v>
      </c>
      <c r="L844" s="408">
        <v>0</v>
      </c>
      <c r="M844" s="408">
        <v>0</v>
      </c>
      <c r="N844" s="408">
        <v>0</v>
      </c>
      <c r="O844" s="408">
        <v>0</v>
      </c>
      <c r="P844" s="408">
        <v>0</v>
      </c>
      <c r="Q844" s="408">
        <v>0</v>
      </c>
      <c r="R844" s="408">
        <v>0</v>
      </c>
      <c r="S844" s="408">
        <v>0</v>
      </c>
      <c r="T844" s="408">
        <v>0</v>
      </c>
      <c r="U844" s="408">
        <v>0</v>
      </c>
      <c r="V844" s="408">
        <v>0</v>
      </c>
      <c r="W844" s="408">
        <v>0</v>
      </c>
      <c r="Y844" s="409"/>
      <c r="Z844" s="409"/>
      <c r="AA844" s="409"/>
      <c r="AB844" s="409"/>
      <c r="AC844" s="409"/>
      <c r="AD844" s="409"/>
      <c r="AE844" s="409"/>
      <c r="AF844" s="409"/>
      <c r="AG844" s="409"/>
      <c r="AH844" s="409"/>
      <c r="AI844" s="409"/>
      <c r="AJ844" s="409"/>
      <c r="AK844" s="409"/>
      <c r="AL844" s="409"/>
      <c r="AM844" s="409"/>
      <c r="AN844" s="409"/>
      <c r="AO844" s="409"/>
      <c r="AP844" s="409"/>
      <c r="AQ844" s="409"/>
      <c r="AR844" s="409"/>
      <c r="AS844" s="409"/>
    </row>
    <row r="845" spans="2:45" x14ac:dyDescent="0.3">
      <c r="B845" s="65" t="s">
        <v>202</v>
      </c>
      <c r="C845" s="64"/>
      <c r="D845" s="99">
        <f t="shared" ref="D845:S845" si="719">+D840/D$833</f>
        <v>6.5791695266790837E-2</v>
      </c>
      <c r="E845" s="99">
        <f t="shared" si="719"/>
        <v>6.5284014897896439E-2</v>
      </c>
      <c r="F845" s="99">
        <f t="shared" si="719"/>
        <v>6.2278901748015439E-2</v>
      </c>
      <c r="G845" s="99">
        <f t="shared" si="719"/>
        <v>6.5757027663361195E-2</v>
      </c>
      <c r="H845" s="99">
        <f t="shared" si="719"/>
        <v>6.5274935953703997E-2</v>
      </c>
      <c r="I845" s="99">
        <f t="shared" si="719"/>
        <v>6.4082546003893001E-2</v>
      </c>
      <c r="J845" s="99">
        <f t="shared" si="719"/>
        <v>6.270014967707957E-2</v>
      </c>
      <c r="K845" s="99">
        <f t="shared" si="719"/>
        <v>6.4649574887407135E-2</v>
      </c>
      <c r="L845" s="99">
        <f t="shared" si="719"/>
        <v>6.3707509674192975E-2</v>
      </c>
      <c r="M845" s="99">
        <f t="shared" si="719"/>
        <v>6.5078939728753518E-2</v>
      </c>
      <c r="N845" s="99">
        <f t="shared" si="719"/>
        <v>6.4566317151659211E-2</v>
      </c>
      <c r="O845" s="99">
        <f t="shared" si="719"/>
        <v>6.5757027663361195E-2</v>
      </c>
      <c r="P845" s="99">
        <f t="shared" si="719"/>
        <v>6.7391238902549139E-2</v>
      </c>
      <c r="Q845" s="99">
        <f t="shared" si="719"/>
        <v>6.7391238902549139E-2</v>
      </c>
      <c r="R845" s="99">
        <f t="shared" si="719"/>
        <v>6.5116265823082553E-2</v>
      </c>
      <c r="S845" s="99">
        <f t="shared" si="719"/>
        <v>6.4920508670514049E-2</v>
      </c>
      <c r="T845" s="117"/>
      <c r="U845" s="117"/>
      <c r="V845" s="117"/>
      <c r="W845" s="99">
        <f>+W840/W$833</f>
        <v>6.7391238902549139E-2</v>
      </c>
      <c r="Y845" s="390"/>
      <c r="Z845" s="390"/>
      <c r="AA845" s="390"/>
      <c r="AB845" s="390"/>
      <c r="AC845" s="390"/>
      <c r="AD845" s="390"/>
      <c r="AE845" s="390"/>
      <c r="AF845" s="390"/>
      <c r="AG845" s="390"/>
      <c r="AH845" s="390"/>
      <c r="AI845" s="390"/>
      <c r="AJ845" s="390"/>
      <c r="AK845" s="390"/>
      <c r="AL845" s="390"/>
      <c r="AM845" s="390"/>
      <c r="AN845" s="390"/>
      <c r="AO845" s="390"/>
      <c r="AP845" s="390"/>
      <c r="AQ845" s="390"/>
      <c r="AR845" s="390"/>
      <c r="AS845" s="390"/>
    </row>
    <row r="846" spans="2:45" x14ac:dyDescent="0.3">
      <c r="B846" s="65" t="s">
        <v>203</v>
      </c>
      <c r="C846" s="66"/>
      <c r="D846" s="368">
        <f t="shared" ref="D846:S846" si="720">+D841/D$833</f>
        <v>7.8757530975632567E-2</v>
      </c>
      <c r="E846" s="368">
        <f t="shared" si="720"/>
        <v>7.7846326394333892E-2</v>
      </c>
      <c r="F846" s="368">
        <f t="shared" si="720"/>
        <v>7.4630982000899335E-2</v>
      </c>
      <c r="G846" s="368">
        <f t="shared" si="720"/>
        <v>7.8505317467946853E-2</v>
      </c>
      <c r="H846" s="368">
        <f t="shared" si="720"/>
        <v>7.8171726945879594E-2</v>
      </c>
      <c r="I846" s="368">
        <f t="shared" si="720"/>
        <v>7.684132952911954E-2</v>
      </c>
      <c r="J846" s="368">
        <f t="shared" si="720"/>
        <v>7.5231991064780984E-2</v>
      </c>
      <c r="K846" s="368">
        <f t="shared" si="720"/>
        <v>7.7293869125974926E-2</v>
      </c>
      <c r="L846" s="368">
        <f t="shared" si="720"/>
        <v>7.631067922009574E-2</v>
      </c>
      <c r="M846" s="368">
        <f t="shared" si="720"/>
        <v>7.8036104445648333E-2</v>
      </c>
      <c r="N846" s="368">
        <f t="shared" si="720"/>
        <v>7.7454529223713195E-2</v>
      </c>
      <c r="O846" s="368">
        <f t="shared" si="720"/>
        <v>7.8505317467946853E-2</v>
      </c>
      <c r="P846" s="368">
        <f t="shared" si="720"/>
        <v>8.0440031554169539E-2</v>
      </c>
      <c r="Q846" s="368">
        <f t="shared" si="720"/>
        <v>8.0440031554169539E-2</v>
      </c>
      <c r="R846" s="368">
        <f t="shared" si="720"/>
        <v>7.7948991917336563E-2</v>
      </c>
      <c r="S846" s="368">
        <f t="shared" si="720"/>
        <v>7.7813008775483944E-2</v>
      </c>
      <c r="T846" s="368"/>
      <c r="U846" s="368"/>
      <c r="V846" s="368"/>
      <c r="W846" s="368">
        <f>+W841/W$833</f>
        <v>8.0440031554169539E-2</v>
      </c>
      <c r="Y846" s="390"/>
      <c r="Z846" s="390"/>
      <c r="AA846" s="390"/>
      <c r="AB846" s="390"/>
      <c r="AC846" s="390"/>
      <c r="AD846" s="390"/>
      <c r="AE846" s="390"/>
      <c r="AF846" s="390"/>
      <c r="AG846" s="390"/>
      <c r="AH846" s="390"/>
      <c r="AI846" s="390"/>
      <c r="AJ846" s="390"/>
      <c r="AK846" s="390"/>
      <c r="AL846" s="390"/>
      <c r="AM846" s="390"/>
      <c r="AN846" s="390"/>
      <c r="AO846" s="390"/>
      <c r="AP846" s="390"/>
      <c r="AQ846" s="390"/>
      <c r="AR846" s="390"/>
      <c r="AS846" s="390"/>
    </row>
    <row r="847" spans="2:45" x14ac:dyDescent="0.3">
      <c r="B847" s="65" t="s">
        <v>204</v>
      </c>
      <c r="C847" s="66"/>
      <c r="D847" s="368">
        <f t="shared" ref="D847:S847" si="721">+D842/D$833</f>
        <v>9.1723366684474311E-2</v>
      </c>
      <c r="E847" s="368">
        <f t="shared" si="721"/>
        <v>9.0408637890771346E-2</v>
      </c>
      <c r="F847" s="368">
        <f t="shared" si="721"/>
        <v>8.6983062253783244E-2</v>
      </c>
      <c r="G847" s="368">
        <f t="shared" si="721"/>
        <v>9.1253607272532511E-2</v>
      </c>
      <c r="H847" s="368">
        <f t="shared" si="721"/>
        <v>9.1068517938055177E-2</v>
      </c>
      <c r="I847" s="368">
        <f t="shared" si="721"/>
        <v>8.9600113054346064E-2</v>
      </c>
      <c r="J847" s="368">
        <f t="shared" si="721"/>
        <v>8.7763832452482385E-2</v>
      </c>
      <c r="K847" s="368">
        <f t="shared" si="721"/>
        <v>8.9938163364542703E-2</v>
      </c>
      <c r="L847" s="368">
        <f t="shared" si="721"/>
        <v>8.8913848765998504E-2</v>
      </c>
      <c r="M847" s="368">
        <f t="shared" si="721"/>
        <v>9.0993269162543133E-2</v>
      </c>
      <c r="N847" s="368">
        <f t="shared" si="721"/>
        <v>9.0342741295767179E-2</v>
      </c>
      <c r="O847" s="368">
        <f t="shared" si="721"/>
        <v>9.1253607272532511E-2</v>
      </c>
      <c r="P847" s="368">
        <f t="shared" si="721"/>
        <v>9.3488824205789939E-2</v>
      </c>
      <c r="Q847" s="368">
        <f t="shared" si="721"/>
        <v>9.3488824205789939E-2</v>
      </c>
      <c r="R847" s="368">
        <f t="shared" si="721"/>
        <v>9.0781718011590559E-2</v>
      </c>
      <c r="S847" s="368">
        <f t="shared" si="721"/>
        <v>9.0705508880453853E-2</v>
      </c>
      <c r="T847" s="368"/>
      <c r="U847" s="368"/>
      <c r="V847" s="368"/>
      <c r="W847" s="368">
        <f>+W842/W$833</f>
        <v>9.3488824205789939E-2</v>
      </c>
      <c r="Y847" s="390"/>
      <c r="Z847" s="390"/>
      <c r="AA847" s="390"/>
      <c r="AB847" s="390"/>
      <c r="AC847" s="390"/>
      <c r="AD847" s="390"/>
      <c r="AE847" s="390"/>
      <c r="AF847" s="390"/>
      <c r="AG847" s="390"/>
      <c r="AH847" s="390"/>
      <c r="AI847" s="390"/>
      <c r="AJ847" s="390"/>
      <c r="AK847" s="390"/>
      <c r="AL847" s="390"/>
      <c r="AM847" s="390"/>
      <c r="AN847" s="390"/>
      <c r="AO847" s="390"/>
      <c r="AP847" s="390"/>
      <c r="AQ847" s="390"/>
      <c r="AR847" s="390"/>
      <c r="AS847" s="390"/>
    </row>
    <row r="848" spans="2:45" x14ac:dyDescent="0.3">
      <c r="B848" s="65" t="s">
        <v>205</v>
      </c>
      <c r="C848" s="66"/>
      <c r="D848" s="368">
        <f t="shared" ref="D848:S848" si="722">+D843/D$833</f>
        <v>0.10468920239331604</v>
      </c>
      <c r="E848" s="368">
        <f t="shared" si="722"/>
        <v>0.10297094938720881</v>
      </c>
      <c r="F848" s="368">
        <f t="shared" si="722"/>
        <v>9.933514250666714E-2</v>
      </c>
      <c r="G848" s="368">
        <f t="shared" si="722"/>
        <v>0.10400189707711817</v>
      </c>
      <c r="H848" s="368">
        <f t="shared" si="722"/>
        <v>0.10396530893023077</v>
      </c>
      <c r="I848" s="368">
        <f t="shared" si="722"/>
        <v>0.1023588965795726</v>
      </c>
      <c r="J848" s="368">
        <f t="shared" si="722"/>
        <v>0.1002956738401838</v>
      </c>
      <c r="K848" s="368">
        <f t="shared" si="722"/>
        <v>0.10258245760311048</v>
      </c>
      <c r="L848" s="368">
        <f t="shared" si="722"/>
        <v>0.10151701831190127</v>
      </c>
      <c r="M848" s="368">
        <f t="shared" si="722"/>
        <v>0.10395043387943795</v>
      </c>
      <c r="N848" s="368">
        <f t="shared" si="722"/>
        <v>0.10323095336782116</v>
      </c>
      <c r="O848" s="368">
        <f t="shared" si="722"/>
        <v>0.10400189707711817</v>
      </c>
      <c r="P848" s="368">
        <f t="shared" si="722"/>
        <v>0.10653761685741035</v>
      </c>
      <c r="Q848" s="368">
        <f t="shared" si="722"/>
        <v>0.10653761685741035</v>
      </c>
      <c r="R848" s="368">
        <f t="shared" si="722"/>
        <v>0.10361444410584457</v>
      </c>
      <c r="S848" s="368">
        <f t="shared" si="722"/>
        <v>0.10359800898542376</v>
      </c>
      <c r="T848" s="368"/>
      <c r="U848" s="368"/>
      <c r="V848" s="368"/>
      <c r="W848" s="368">
        <f>+W843/W$833</f>
        <v>0.10653761685741035</v>
      </c>
      <c r="Y848" s="390"/>
      <c r="Z848" s="390"/>
      <c r="AA848" s="390"/>
      <c r="AB848" s="390"/>
      <c r="AC848" s="390"/>
      <c r="AD848" s="390"/>
      <c r="AE848" s="390"/>
      <c r="AF848" s="390"/>
      <c r="AG848" s="390"/>
      <c r="AH848" s="390"/>
      <c r="AI848" s="390"/>
      <c r="AJ848" s="390"/>
      <c r="AK848" s="390"/>
      <c r="AL848" s="390"/>
      <c r="AM848" s="390"/>
      <c r="AN848" s="390"/>
      <c r="AO848" s="390"/>
      <c r="AP848" s="390"/>
      <c r="AQ848" s="390"/>
      <c r="AR848" s="390"/>
      <c r="AS848" s="390"/>
    </row>
    <row r="849" spans="1:45" hidden="1" x14ac:dyDescent="0.3">
      <c r="B849" s="65" t="s">
        <v>78</v>
      </c>
      <c r="C849" s="66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Y849" s="390"/>
      <c r="Z849" s="390"/>
      <c r="AA849" s="390"/>
      <c r="AB849" s="390"/>
      <c r="AC849" s="390"/>
      <c r="AD849" s="390"/>
      <c r="AE849" s="390"/>
      <c r="AF849" s="390"/>
      <c r="AG849" s="390"/>
      <c r="AH849" s="390"/>
      <c r="AI849" s="390"/>
      <c r="AJ849" s="390"/>
      <c r="AK849" s="390"/>
      <c r="AL849" s="390"/>
      <c r="AM849" s="390"/>
      <c r="AN849" s="390"/>
      <c r="AO849" s="390"/>
      <c r="AP849" s="390"/>
      <c r="AQ849" s="390"/>
      <c r="AR849" s="390"/>
      <c r="AS849" s="390"/>
    </row>
    <row r="850" spans="1:45" ht="21" thickBot="1" x14ac:dyDescent="0.35">
      <c r="Y850" s="390"/>
      <c r="Z850" s="390"/>
      <c r="AA850" s="390"/>
      <c r="AB850" s="390"/>
      <c r="AC850" s="390"/>
      <c r="AD850" s="390"/>
      <c r="AE850" s="390"/>
      <c r="AF850" s="390"/>
      <c r="AG850" s="390"/>
      <c r="AH850" s="390"/>
      <c r="AI850" s="390"/>
      <c r="AJ850" s="390"/>
      <c r="AK850" s="390"/>
      <c r="AL850" s="390"/>
      <c r="AM850" s="390"/>
      <c r="AN850" s="390"/>
      <c r="AO850" s="390"/>
      <c r="AP850" s="390"/>
      <c r="AQ850" s="390"/>
      <c r="AR850" s="390"/>
      <c r="AS850" s="390"/>
    </row>
    <row r="851" spans="1:45" ht="21" thickBot="1" x14ac:dyDescent="0.35">
      <c r="A851" s="15" t="s">
        <v>339</v>
      </c>
      <c r="B851" s="223" t="s">
        <v>156</v>
      </c>
      <c r="C851" s="68"/>
      <c r="D851" s="17" t="s">
        <v>5</v>
      </c>
      <c r="E851" s="18" t="s">
        <v>6</v>
      </c>
      <c r="F851" s="18" t="s">
        <v>7</v>
      </c>
      <c r="G851" s="18" t="s">
        <v>8</v>
      </c>
      <c r="H851" s="18" t="s">
        <v>9</v>
      </c>
      <c r="I851" s="18" t="s">
        <v>10</v>
      </c>
      <c r="J851" s="18" t="s">
        <v>11</v>
      </c>
      <c r="K851" s="18" t="s">
        <v>12</v>
      </c>
      <c r="L851" s="18" t="s">
        <v>13</v>
      </c>
      <c r="M851" s="18" t="s">
        <v>14</v>
      </c>
      <c r="N851" s="18" t="s">
        <v>15</v>
      </c>
      <c r="O851" s="18" t="s">
        <v>16</v>
      </c>
      <c r="P851" s="18" t="s">
        <v>17</v>
      </c>
      <c r="Q851" s="18" t="s">
        <v>18</v>
      </c>
      <c r="R851" s="18" t="s">
        <v>19</v>
      </c>
      <c r="S851" s="18" t="s">
        <v>20</v>
      </c>
      <c r="T851" s="18" t="s">
        <v>21</v>
      </c>
      <c r="U851" s="18" t="s">
        <v>22</v>
      </c>
      <c r="V851" s="18" t="s">
        <v>23</v>
      </c>
      <c r="W851" s="18" t="s">
        <v>166</v>
      </c>
      <c r="Y851" s="390"/>
      <c r="Z851" s="390"/>
      <c r="AA851" s="390"/>
      <c r="AB851" s="390"/>
      <c r="AC851" s="390"/>
      <c r="AD851" s="390"/>
      <c r="AE851" s="390"/>
      <c r="AF851" s="390"/>
      <c r="AG851" s="390"/>
      <c r="AH851" s="390"/>
      <c r="AI851" s="390"/>
      <c r="AJ851" s="390"/>
      <c r="AK851" s="390"/>
      <c r="AL851" s="390"/>
      <c r="AM851" s="390"/>
      <c r="AN851" s="390"/>
      <c r="AO851" s="390"/>
      <c r="AP851" s="390"/>
      <c r="AQ851" s="390"/>
      <c r="AR851" s="390"/>
      <c r="AS851" s="390"/>
    </row>
    <row r="852" spans="1:45" x14ac:dyDescent="0.3">
      <c r="B852" s="222" t="s">
        <v>50</v>
      </c>
      <c r="C852" s="7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Y852" s="390"/>
      <c r="Z852" s="390"/>
      <c r="AA852" s="390"/>
      <c r="AB852" s="390"/>
      <c r="AC852" s="390"/>
      <c r="AD852" s="390"/>
      <c r="AE852" s="390"/>
      <c r="AF852" s="390"/>
      <c r="AG852" s="390"/>
      <c r="AH852" s="390"/>
      <c r="AI852" s="390"/>
      <c r="AJ852" s="390"/>
      <c r="AK852" s="390"/>
      <c r="AL852" s="390"/>
      <c r="AM852" s="390"/>
      <c r="AN852" s="390"/>
      <c r="AO852" s="390"/>
      <c r="AP852" s="390"/>
      <c r="AQ852" s="390"/>
      <c r="AR852" s="390"/>
      <c r="AS852" s="390"/>
    </row>
    <row r="853" spans="1:45" x14ac:dyDescent="0.3">
      <c r="B853" s="54" t="s">
        <v>51</v>
      </c>
      <c r="C853" s="55"/>
      <c r="D853" s="322"/>
      <c r="E853" s="322"/>
      <c r="F853" s="322"/>
      <c r="G853" s="322"/>
      <c r="H853" s="322"/>
      <c r="I853" s="322"/>
      <c r="J853" s="322"/>
      <c r="K853" s="322"/>
      <c r="L853" s="322"/>
      <c r="M853" s="322"/>
      <c r="N853" s="322"/>
      <c r="O853" s="322"/>
      <c r="P853" s="322"/>
      <c r="Q853" s="322"/>
      <c r="R853" s="322"/>
      <c r="S853" s="322"/>
      <c r="T853" s="218"/>
      <c r="U853" s="218"/>
      <c r="V853" s="218"/>
      <c r="W853" s="322"/>
      <c r="Y853" s="390"/>
      <c r="Z853" s="390"/>
      <c r="AA853" s="390"/>
      <c r="AB853" s="390"/>
      <c r="AC853" s="390"/>
      <c r="AD853" s="390"/>
      <c r="AE853" s="390"/>
      <c r="AF853" s="390"/>
      <c r="AG853" s="390"/>
      <c r="AH853" s="390"/>
      <c r="AI853" s="390"/>
      <c r="AJ853" s="390"/>
      <c r="AK853" s="390"/>
      <c r="AL853" s="390"/>
      <c r="AM853" s="390"/>
      <c r="AN853" s="390"/>
      <c r="AO853" s="390"/>
      <c r="AP853" s="390"/>
      <c r="AQ853" s="390"/>
      <c r="AR853" s="390"/>
      <c r="AS853" s="390"/>
    </row>
    <row r="854" spans="1:45" x14ac:dyDescent="0.3">
      <c r="B854" s="54" t="s">
        <v>56</v>
      </c>
      <c r="C854" s="55"/>
      <c r="D854" s="21">
        <v>0</v>
      </c>
      <c r="E854" s="21">
        <v>0</v>
      </c>
      <c r="F854" s="21">
        <v>0</v>
      </c>
      <c r="G854" s="21">
        <v>0</v>
      </c>
      <c r="H854" s="21">
        <v>0</v>
      </c>
      <c r="I854" s="21">
        <v>0</v>
      </c>
      <c r="J854" s="21">
        <v>0</v>
      </c>
      <c r="K854" s="21">
        <v>0</v>
      </c>
      <c r="L854" s="21">
        <v>0</v>
      </c>
      <c r="M854" s="21">
        <v>0</v>
      </c>
      <c r="N854" s="21">
        <v>0</v>
      </c>
      <c r="O854" s="21">
        <v>0</v>
      </c>
      <c r="P854" s="21">
        <v>0</v>
      </c>
      <c r="Q854" s="21">
        <v>0</v>
      </c>
      <c r="R854" s="21">
        <v>0</v>
      </c>
      <c r="S854" s="21">
        <v>0</v>
      </c>
      <c r="T854" s="21"/>
      <c r="U854" s="21"/>
      <c r="V854" s="21"/>
      <c r="W854" s="21">
        <v>0</v>
      </c>
      <c r="Y854" s="390"/>
      <c r="Z854" s="390"/>
      <c r="AA854" s="390"/>
      <c r="AB854" s="390"/>
      <c r="AC854" s="390"/>
      <c r="AD854" s="390"/>
      <c r="AE854" s="390"/>
      <c r="AF854" s="390"/>
      <c r="AG854" s="390"/>
      <c r="AH854" s="390"/>
      <c r="AI854" s="390"/>
      <c r="AJ854" s="390"/>
      <c r="AK854" s="390"/>
      <c r="AL854" s="390"/>
      <c r="AM854" s="390"/>
      <c r="AN854" s="390"/>
      <c r="AO854" s="390"/>
      <c r="AP854" s="390"/>
      <c r="AQ854" s="390"/>
      <c r="AR854" s="390"/>
      <c r="AS854" s="390"/>
    </row>
    <row r="855" spans="1:45" x14ac:dyDescent="0.3">
      <c r="B855" s="177" t="s">
        <v>67</v>
      </c>
      <c r="C855" s="178"/>
      <c r="D855" s="323">
        <v>408.42</v>
      </c>
      <c r="E855" s="323">
        <v>408.42</v>
      </c>
      <c r="F855" s="323">
        <v>408.42</v>
      </c>
      <c r="G855" s="323">
        <v>408.42</v>
      </c>
      <c r="H855" s="323">
        <v>408.42</v>
      </c>
      <c r="I855" s="323">
        <v>408.42</v>
      </c>
      <c r="J855" s="323">
        <v>408.42</v>
      </c>
      <c r="K855" s="323">
        <v>408.42</v>
      </c>
      <c r="L855" s="323">
        <v>408.42</v>
      </c>
      <c r="M855" s="323">
        <v>408.42</v>
      </c>
      <c r="N855" s="323">
        <v>408.42</v>
      </c>
      <c r="O855" s="323">
        <v>408.42</v>
      </c>
      <c r="P855" s="323">
        <v>408.42</v>
      </c>
      <c r="Q855" s="323">
        <v>408.42</v>
      </c>
      <c r="R855" s="323">
        <v>408.42</v>
      </c>
      <c r="S855" s="323">
        <v>408.42</v>
      </c>
      <c r="T855" s="323"/>
      <c r="U855" s="323"/>
      <c r="V855" s="323"/>
      <c r="W855" s="323">
        <v>408.42</v>
      </c>
      <c r="Y855" s="390"/>
      <c r="Z855" s="390"/>
      <c r="AA855" s="390"/>
      <c r="AB855" s="390"/>
      <c r="AC855" s="390"/>
      <c r="AD855" s="390"/>
      <c r="AE855" s="390"/>
      <c r="AF855" s="390"/>
      <c r="AG855" s="390"/>
      <c r="AH855" s="390"/>
      <c r="AI855" s="390"/>
      <c r="AJ855" s="390"/>
      <c r="AK855" s="390"/>
      <c r="AL855" s="390"/>
      <c r="AM855" s="390"/>
      <c r="AN855" s="390"/>
      <c r="AO855" s="390"/>
      <c r="AP855" s="390"/>
      <c r="AQ855" s="390"/>
      <c r="AR855" s="390"/>
      <c r="AS855" s="390"/>
    </row>
    <row r="856" spans="1:45" x14ac:dyDescent="0.3">
      <c r="B856" s="54" t="s">
        <v>66</v>
      </c>
      <c r="C856" s="56">
        <v>7.0000000000000007E-2</v>
      </c>
      <c r="D856" s="24">
        <f>D855*$C856</f>
        <v>28.589400000000005</v>
      </c>
      <c r="E856" s="24">
        <f t="shared" ref="E856:V856" si="723">E855*$C856</f>
        <v>28.589400000000005</v>
      </c>
      <c r="F856" s="24">
        <f t="shared" si="723"/>
        <v>28.589400000000005</v>
      </c>
      <c r="G856" s="24">
        <f t="shared" si="723"/>
        <v>28.589400000000005</v>
      </c>
      <c r="H856" s="24">
        <f t="shared" si="723"/>
        <v>28.589400000000005</v>
      </c>
      <c r="I856" s="24">
        <f t="shared" si="723"/>
        <v>28.589400000000005</v>
      </c>
      <c r="J856" s="24">
        <f t="shared" si="723"/>
        <v>28.589400000000005</v>
      </c>
      <c r="K856" s="24">
        <f t="shared" si="723"/>
        <v>28.589400000000005</v>
      </c>
      <c r="L856" s="24">
        <f t="shared" si="723"/>
        <v>28.589400000000005</v>
      </c>
      <c r="M856" s="24">
        <f t="shared" si="723"/>
        <v>28.589400000000005</v>
      </c>
      <c r="N856" s="24">
        <f t="shared" si="723"/>
        <v>28.589400000000005</v>
      </c>
      <c r="O856" s="24">
        <f t="shared" si="723"/>
        <v>28.589400000000005</v>
      </c>
      <c r="P856" s="24">
        <f t="shared" si="723"/>
        <v>28.589400000000005</v>
      </c>
      <c r="Q856" s="24">
        <f t="shared" si="723"/>
        <v>28.589400000000005</v>
      </c>
      <c r="R856" s="24">
        <f t="shared" si="723"/>
        <v>28.589400000000005</v>
      </c>
      <c r="S856" s="24">
        <f t="shared" si="723"/>
        <v>28.589400000000005</v>
      </c>
      <c r="T856" s="24">
        <f t="shared" si="723"/>
        <v>0</v>
      </c>
      <c r="U856" s="24">
        <f t="shared" si="723"/>
        <v>0</v>
      </c>
      <c r="V856" s="24">
        <f t="shared" si="723"/>
        <v>0</v>
      </c>
      <c r="W856" s="24">
        <f>W855*$C856</f>
        <v>28.589400000000005</v>
      </c>
      <c r="Y856" s="390"/>
      <c r="Z856" s="390"/>
      <c r="AA856" s="390"/>
      <c r="AB856" s="390"/>
      <c r="AC856" s="390"/>
      <c r="AD856" s="390"/>
      <c r="AE856" s="390"/>
      <c r="AF856" s="390"/>
      <c r="AG856" s="390"/>
      <c r="AH856" s="390"/>
      <c r="AI856" s="390"/>
      <c r="AJ856" s="390"/>
      <c r="AK856" s="390"/>
      <c r="AL856" s="390"/>
      <c r="AM856" s="390"/>
      <c r="AN856" s="390"/>
      <c r="AO856" s="390"/>
      <c r="AP856" s="390"/>
      <c r="AQ856" s="390"/>
      <c r="AR856" s="390"/>
      <c r="AS856" s="390"/>
    </row>
    <row r="857" spans="1:45" x14ac:dyDescent="0.3">
      <c r="B857" s="54" t="s">
        <v>68</v>
      </c>
      <c r="C857" s="55"/>
      <c r="D857" s="21">
        <f>D855+D856</f>
        <v>437.00940000000003</v>
      </c>
      <c r="E857" s="21">
        <f t="shared" ref="E857:V857" si="724">E855+E856</f>
        <v>437.00940000000003</v>
      </c>
      <c r="F857" s="21">
        <f t="shared" si="724"/>
        <v>437.00940000000003</v>
      </c>
      <c r="G857" s="21">
        <f t="shared" si="724"/>
        <v>437.00940000000003</v>
      </c>
      <c r="H857" s="21">
        <f t="shared" si="724"/>
        <v>437.00940000000003</v>
      </c>
      <c r="I857" s="21">
        <f t="shared" si="724"/>
        <v>437.00940000000003</v>
      </c>
      <c r="J857" s="21">
        <f t="shared" si="724"/>
        <v>437.00940000000003</v>
      </c>
      <c r="K857" s="21">
        <f t="shared" si="724"/>
        <v>437.00940000000003</v>
      </c>
      <c r="L857" s="21">
        <f t="shared" si="724"/>
        <v>437.00940000000003</v>
      </c>
      <c r="M857" s="21">
        <f t="shared" si="724"/>
        <v>437.00940000000003</v>
      </c>
      <c r="N857" s="21">
        <f t="shared" si="724"/>
        <v>437.00940000000003</v>
      </c>
      <c r="O857" s="21">
        <f t="shared" si="724"/>
        <v>437.00940000000003</v>
      </c>
      <c r="P857" s="21">
        <f t="shared" si="724"/>
        <v>437.00940000000003</v>
      </c>
      <c r="Q857" s="21">
        <f t="shared" si="724"/>
        <v>437.00940000000003</v>
      </c>
      <c r="R857" s="21">
        <f t="shared" si="724"/>
        <v>437.00940000000003</v>
      </c>
      <c r="S857" s="21">
        <f t="shared" si="724"/>
        <v>437.00940000000003</v>
      </c>
      <c r="T857" s="21">
        <f t="shared" si="724"/>
        <v>0</v>
      </c>
      <c r="U857" s="21">
        <f t="shared" si="724"/>
        <v>0</v>
      </c>
      <c r="V857" s="21">
        <f t="shared" si="724"/>
        <v>0</v>
      </c>
      <c r="W857" s="21">
        <f>W855+W856</f>
        <v>437.00940000000003</v>
      </c>
      <c r="Y857" s="390"/>
      <c r="Z857" s="390"/>
      <c r="AA857" s="390"/>
      <c r="AB857" s="390"/>
      <c r="AC857" s="390"/>
      <c r="AD857" s="390"/>
      <c r="AE857" s="390"/>
      <c r="AF857" s="390"/>
      <c r="AG857" s="390"/>
      <c r="AH857" s="390"/>
      <c r="AI857" s="390"/>
      <c r="AJ857" s="390"/>
      <c r="AK857" s="390"/>
      <c r="AL857" s="390"/>
      <c r="AM857" s="390"/>
      <c r="AN857" s="390"/>
      <c r="AO857" s="390"/>
      <c r="AP857" s="390"/>
      <c r="AQ857" s="390"/>
      <c r="AR857" s="390"/>
      <c r="AS857" s="390"/>
    </row>
    <row r="858" spans="1:45" x14ac:dyDescent="0.3">
      <c r="B858" s="54" t="s">
        <v>52</v>
      </c>
      <c r="C858" s="55"/>
      <c r="D858" s="20">
        <v>10.683870967741935</v>
      </c>
      <c r="E858" s="21">
        <v>25.548387096774192</v>
      </c>
      <c r="F858" s="21">
        <v>33.677419354838712</v>
      </c>
      <c r="G858" s="21">
        <v>18.58064516129032</v>
      </c>
      <c r="H858" s="21">
        <v>13.161290322580644</v>
      </c>
      <c r="I858" s="21">
        <v>18.193548387096776</v>
      </c>
      <c r="J858" s="21">
        <v>26.709677419354836</v>
      </c>
      <c r="K858" s="21">
        <v>22.451612903225804</v>
      </c>
      <c r="L858" s="21">
        <v>24</v>
      </c>
      <c r="M858" s="21">
        <v>10.993548387096775</v>
      </c>
      <c r="N858" s="21">
        <v>13.470967741935484</v>
      </c>
      <c r="O858" s="21">
        <v>18.58064516129032</v>
      </c>
      <c r="P858" s="21">
        <v>7.741935483870968</v>
      </c>
      <c r="Q858" s="21">
        <v>7.741935483870968</v>
      </c>
      <c r="R858" s="21">
        <v>15.483870967741936</v>
      </c>
      <c r="S858" s="21">
        <v>13.316129032258065</v>
      </c>
      <c r="T858" s="21"/>
      <c r="U858" s="21"/>
      <c r="V858" s="21"/>
      <c r="W858" s="21">
        <v>7.741935483870968</v>
      </c>
      <c r="Y858" s="390"/>
      <c r="Z858" s="390"/>
      <c r="AA858" s="390"/>
      <c r="AB858" s="390"/>
      <c r="AC858" s="390"/>
      <c r="AD858" s="390"/>
      <c r="AE858" s="390"/>
      <c r="AF858" s="390"/>
      <c r="AG858" s="390"/>
      <c r="AH858" s="390"/>
      <c r="AI858" s="390"/>
      <c r="AJ858" s="390"/>
      <c r="AK858" s="390"/>
      <c r="AL858" s="390"/>
      <c r="AM858" s="390"/>
      <c r="AN858" s="390"/>
      <c r="AO858" s="390"/>
      <c r="AP858" s="390"/>
      <c r="AQ858" s="390"/>
      <c r="AR858" s="390"/>
      <c r="AS858" s="390"/>
    </row>
    <row r="859" spans="1:45" x14ac:dyDescent="0.3">
      <c r="B859" s="57" t="s">
        <v>53</v>
      </c>
      <c r="C859" s="58"/>
      <c r="D859" s="25">
        <f>SUM(D857:D858)</f>
        <v>447.69327096774197</v>
      </c>
      <c r="E859" s="26">
        <f t="shared" ref="E859:V859" si="725">SUM(E857:E858)</f>
        <v>462.55778709677423</v>
      </c>
      <c r="F859" s="26">
        <f t="shared" si="725"/>
        <v>470.68681935483875</v>
      </c>
      <c r="G859" s="26">
        <f t="shared" si="725"/>
        <v>455.59004516129033</v>
      </c>
      <c r="H859" s="26">
        <f t="shared" si="725"/>
        <v>450.1706903225807</v>
      </c>
      <c r="I859" s="26">
        <f t="shared" si="725"/>
        <v>455.2029483870968</v>
      </c>
      <c r="J859" s="26">
        <f t="shared" si="725"/>
        <v>463.71907741935485</v>
      </c>
      <c r="K859" s="26">
        <f t="shared" si="725"/>
        <v>459.46101290322582</v>
      </c>
      <c r="L859" s="26">
        <f t="shared" si="725"/>
        <v>461.00940000000003</v>
      </c>
      <c r="M859" s="26">
        <f t="shared" si="725"/>
        <v>448.00294838709681</v>
      </c>
      <c r="N859" s="26">
        <f t="shared" si="725"/>
        <v>450.48036774193554</v>
      </c>
      <c r="O859" s="26">
        <f t="shared" si="725"/>
        <v>455.59004516129033</v>
      </c>
      <c r="P859" s="26">
        <f t="shared" si="725"/>
        <v>444.751335483871</v>
      </c>
      <c r="Q859" s="26">
        <f t="shared" si="725"/>
        <v>444.751335483871</v>
      </c>
      <c r="R859" s="26">
        <f t="shared" si="725"/>
        <v>452.49327096774198</v>
      </c>
      <c r="S859" s="26">
        <f t="shared" si="725"/>
        <v>450.32552903225809</v>
      </c>
      <c r="T859" s="26">
        <f t="shared" si="725"/>
        <v>0</v>
      </c>
      <c r="U859" s="26">
        <f t="shared" si="725"/>
        <v>0</v>
      </c>
      <c r="V859" s="26">
        <f t="shared" si="725"/>
        <v>0</v>
      </c>
      <c r="W859" s="26">
        <f>SUM(W857:W858)</f>
        <v>444.751335483871</v>
      </c>
      <c r="Y859" s="390"/>
      <c r="Z859" s="390"/>
      <c r="AA859" s="390"/>
      <c r="AB859" s="390"/>
      <c r="AC859" s="390"/>
      <c r="AD859" s="390"/>
      <c r="AE859" s="390"/>
      <c r="AF859" s="390"/>
      <c r="AG859" s="390"/>
      <c r="AH859" s="390"/>
      <c r="AI859" s="390"/>
      <c r="AJ859" s="390"/>
      <c r="AK859" s="390"/>
      <c r="AL859" s="390"/>
      <c r="AM859" s="390"/>
      <c r="AN859" s="390"/>
      <c r="AO859" s="390"/>
      <c r="AP859" s="390"/>
      <c r="AQ859" s="390"/>
      <c r="AR859" s="390"/>
      <c r="AS859" s="390"/>
    </row>
    <row r="860" spans="1:45" x14ac:dyDescent="0.3">
      <c r="B860" s="54" t="s">
        <v>54</v>
      </c>
      <c r="C860" s="55"/>
      <c r="D860" s="20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Y860" s="390"/>
      <c r="Z860" s="390"/>
      <c r="AA860" s="390"/>
      <c r="AB860" s="390"/>
      <c r="AC860" s="390"/>
      <c r="AD860" s="390"/>
      <c r="AE860" s="390"/>
      <c r="AF860" s="390"/>
      <c r="AG860" s="390"/>
      <c r="AH860" s="390"/>
      <c r="AI860" s="390"/>
      <c r="AJ860" s="390"/>
      <c r="AK860" s="390"/>
      <c r="AL860" s="390"/>
      <c r="AM860" s="390"/>
      <c r="AN860" s="390"/>
      <c r="AO860" s="390"/>
      <c r="AP860" s="390"/>
      <c r="AQ860" s="390"/>
      <c r="AR860" s="390"/>
      <c r="AS860" s="390"/>
    </row>
    <row r="861" spans="1:45" x14ac:dyDescent="0.3">
      <c r="B861" s="59" t="s">
        <v>55</v>
      </c>
      <c r="C861" s="60"/>
      <c r="D861" s="27">
        <f>SUM(D859:D860)</f>
        <v>447.69327096774197</v>
      </c>
      <c r="E861" s="41">
        <f t="shared" ref="E861:V861" si="726">SUM(E859:E860)</f>
        <v>462.55778709677423</v>
      </c>
      <c r="F861" s="41">
        <f t="shared" si="726"/>
        <v>470.68681935483875</v>
      </c>
      <c r="G861" s="41">
        <f t="shared" si="726"/>
        <v>455.59004516129033</v>
      </c>
      <c r="H861" s="41">
        <f t="shared" si="726"/>
        <v>450.1706903225807</v>
      </c>
      <c r="I861" s="41">
        <f t="shared" si="726"/>
        <v>455.2029483870968</v>
      </c>
      <c r="J861" s="41">
        <f t="shared" si="726"/>
        <v>463.71907741935485</v>
      </c>
      <c r="K861" s="41">
        <f t="shared" si="726"/>
        <v>459.46101290322582</v>
      </c>
      <c r="L861" s="41">
        <f t="shared" si="726"/>
        <v>461.00940000000003</v>
      </c>
      <c r="M861" s="41">
        <f t="shared" si="726"/>
        <v>448.00294838709681</v>
      </c>
      <c r="N861" s="41">
        <f t="shared" si="726"/>
        <v>450.48036774193554</v>
      </c>
      <c r="O861" s="41">
        <f t="shared" si="726"/>
        <v>455.59004516129033</v>
      </c>
      <c r="P861" s="41">
        <f t="shared" si="726"/>
        <v>444.751335483871</v>
      </c>
      <c r="Q861" s="41">
        <f t="shared" si="726"/>
        <v>444.751335483871</v>
      </c>
      <c r="R861" s="41">
        <f t="shared" si="726"/>
        <v>452.49327096774198</v>
      </c>
      <c r="S861" s="41">
        <f t="shared" si="726"/>
        <v>450.32552903225809</v>
      </c>
      <c r="T861" s="41">
        <f t="shared" si="726"/>
        <v>0</v>
      </c>
      <c r="U861" s="41">
        <f t="shared" si="726"/>
        <v>0</v>
      </c>
      <c r="V861" s="41">
        <f t="shared" si="726"/>
        <v>0</v>
      </c>
      <c r="W861" s="41">
        <f>SUM(W859:W860)</f>
        <v>444.751335483871</v>
      </c>
      <c r="Y861" s="390"/>
      <c r="Z861" s="390"/>
      <c r="AA861" s="390"/>
      <c r="AB861" s="390"/>
      <c r="AC861" s="390"/>
      <c r="AD861" s="390"/>
      <c r="AE861" s="390"/>
      <c r="AF861" s="390"/>
      <c r="AG861" s="390"/>
      <c r="AH861" s="390"/>
      <c r="AI861" s="390"/>
      <c r="AJ861" s="390"/>
      <c r="AK861" s="390"/>
      <c r="AL861" s="390"/>
      <c r="AM861" s="390"/>
      <c r="AN861" s="390"/>
      <c r="AO861" s="390"/>
      <c r="AP861" s="390"/>
      <c r="AQ861" s="390"/>
      <c r="AR861" s="390"/>
      <c r="AS861" s="390"/>
    </row>
    <row r="862" spans="1:45" x14ac:dyDescent="0.3">
      <c r="B862" s="61" t="s">
        <v>101</v>
      </c>
      <c r="C862" s="55"/>
      <c r="D862" s="43">
        <v>0</v>
      </c>
      <c r="E862" s="408">
        <v>0</v>
      </c>
      <c r="F862" s="408">
        <v>0</v>
      </c>
      <c r="G862" s="408">
        <v>0</v>
      </c>
      <c r="H862" s="408">
        <v>0</v>
      </c>
      <c r="I862" s="408">
        <v>0</v>
      </c>
      <c r="J862" s="408">
        <v>0</v>
      </c>
      <c r="K862" s="408">
        <v>0</v>
      </c>
      <c r="L862" s="408">
        <v>0</v>
      </c>
      <c r="M862" s="408">
        <v>0</v>
      </c>
      <c r="N862" s="408">
        <v>0</v>
      </c>
      <c r="O862" s="408">
        <v>0</v>
      </c>
      <c r="P862" s="408">
        <v>0</v>
      </c>
      <c r="Q862" s="408">
        <v>0</v>
      </c>
      <c r="R862" s="408">
        <v>0</v>
      </c>
      <c r="S862" s="408">
        <v>0</v>
      </c>
      <c r="T862" s="408">
        <v>0</v>
      </c>
      <c r="U862" s="408">
        <v>0</v>
      </c>
      <c r="V862" s="408">
        <v>0</v>
      </c>
      <c r="W862" s="408">
        <v>0</v>
      </c>
      <c r="Y862" s="409"/>
      <c r="Z862" s="409"/>
      <c r="AA862" s="409"/>
      <c r="AB862" s="409"/>
      <c r="AC862" s="409"/>
      <c r="AD862" s="409"/>
      <c r="AE862" s="409"/>
      <c r="AF862" s="409"/>
      <c r="AG862" s="409"/>
      <c r="AH862" s="409"/>
      <c r="AI862" s="409"/>
      <c r="AJ862" s="409"/>
      <c r="AK862" s="409"/>
      <c r="AL862" s="409"/>
      <c r="AM862" s="409"/>
      <c r="AN862" s="409"/>
      <c r="AO862" s="409"/>
      <c r="AP862" s="409"/>
      <c r="AQ862" s="409"/>
      <c r="AR862" s="409"/>
      <c r="AS862" s="409"/>
    </row>
    <row r="863" spans="1:45" x14ac:dyDescent="0.3">
      <c r="B863" s="61" t="s">
        <v>194</v>
      </c>
      <c r="C863" s="55"/>
      <c r="D863" s="228">
        <v>473</v>
      </c>
      <c r="E863" s="229">
        <v>488</v>
      </c>
      <c r="F863" s="229">
        <v>496</v>
      </c>
      <c r="G863" s="229">
        <v>481</v>
      </c>
      <c r="H863" s="229">
        <v>476</v>
      </c>
      <c r="I863" s="229">
        <v>481</v>
      </c>
      <c r="J863" s="229">
        <v>489</v>
      </c>
      <c r="K863" s="229">
        <v>485</v>
      </c>
      <c r="L863" s="229">
        <v>487</v>
      </c>
      <c r="M863" s="229">
        <v>474</v>
      </c>
      <c r="N863" s="229">
        <v>476</v>
      </c>
      <c r="O863" s="229">
        <v>481</v>
      </c>
      <c r="P863" s="229">
        <v>470</v>
      </c>
      <c r="Q863" s="229">
        <v>470</v>
      </c>
      <c r="R863" s="229">
        <v>478</v>
      </c>
      <c r="S863" s="229">
        <v>476</v>
      </c>
      <c r="T863" s="21">
        <v>0</v>
      </c>
      <c r="U863" s="21">
        <v>0</v>
      </c>
      <c r="V863" s="21">
        <v>0</v>
      </c>
      <c r="W863" s="229">
        <v>470</v>
      </c>
      <c r="Y863" s="390"/>
      <c r="Z863" s="390"/>
      <c r="AA863" s="390"/>
      <c r="AB863" s="390"/>
      <c r="AC863" s="390"/>
      <c r="AD863" s="390"/>
      <c r="AE863" s="390"/>
      <c r="AF863" s="390"/>
      <c r="AG863" s="390"/>
      <c r="AH863" s="390"/>
      <c r="AI863" s="390"/>
      <c r="AJ863" s="390"/>
      <c r="AK863" s="390"/>
      <c r="AL863" s="390"/>
      <c r="AM863" s="390"/>
      <c r="AN863" s="390"/>
      <c r="AO863" s="390"/>
      <c r="AP863" s="390"/>
      <c r="AQ863" s="390"/>
      <c r="AR863" s="390"/>
      <c r="AS863" s="390"/>
    </row>
    <row r="864" spans="1:45" x14ac:dyDescent="0.3">
      <c r="B864" s="61" t="s">
        <v>195</v>
      </c>
      <c r="C864" s="62"/>
      <c r="D864" s="28">
        <v>478</v>
      </c>
      <c r="E864" s="28">
        <v>493</v>
      </c>
      <c r="F864" s="28">
        <v>501</v>
      </c>
      <c r="G864" s="28">
        <v>486</v>
      </c>
      <c r="H864" s="28">
        <v>481</v>
      </c>
      <c r="I864" s="28">
        <v>486</v>
      </c>
      <c r="J864" s="28">
        <v>494</v>
      </c>
      <c r="K864" s="28">
        <v>490</v>
      </c>
      <c r="L864" s="28">
        <v>492</v>
      </c>
      <c r="M864" s="28">
        <v>479</v>
      </c>
      <c r="N864" s="28">
        <v>481</v>
      </c>
      <c r="O864" s="28">
        <v>486</v>
      </c>
      <c r="P864" s="28">
        <v>475</v>
      </c>
      <c r="Q864" s="28">
        <v>475</v>
      </c>
      <c r="R864" s="28">
        <v>483</v>
      </c>
      <c r="S864" s="28">
        <v>481</v>
      </c>
      <c r="T864" s="410">
        <v>0</v>
      </c>
      <c r="U864" s="410">
        <v>0</v>
      </c>
      <c r="V864" s="410">
        <v>0</v>
      </c>
      <c r="W864" s="28">
        <v>475</v>
      </c>
      <c r="Y864" s="390"/>
      <c r="Z864" s="390"/>
      <c r="AA864" s="390"/>
      <c r="AB864" s="390"/>
      <c r="AC864" s="390"/>
      <c r="AD864" s="390"/>
      <c r="AE864" s="390"/>
      <c r="AF864" s="390"/>
      <c r="AG864" s="390"/>
      <c r="AH864" s="390"/>
      <c r="AI864" s="390"/>
      <c r="AJ864" s="390"/>
      <c r="AK864" s="390"/>
      <c r="AL864" s="390"/>
      <c r="AM864" s="390"/>
      <c r="AN864" s="390"/>
      <c r="AO864" s="390"/>
      <c r="AP864" s="390"/>
      <c r="AQ864" s="390"/>
      <c r="AR864" s="390"/>
      <c r="AS864" s="390"/>
    </row>
    <row r="865" spans="1:45" x14ac:dyDescent="0.3">
      <c r="B865" s="61" t="s">
        <v>196</v>
      </c>
      <c r="C865" s="62"/>
      <c r="D865" s="28">
        <v>483</v>
      </c>
      <c r="E865" s="28">
        <v>498</v>
      </c>
      <c r="F865" s="28">
        <v>506</v>
      </c>
      <c r="G865" s="28">
        <v>491</v>
      </c>
      <c r="H865" s="28">
        <v>486</v>
      </c>
      <c r="I865" s="28">
        <v>491</v>
      </c>
      <c r="J865" s="28">
        <v>499</v>
      </c>
      <c r="K865" s="28">
        <v>495</v>
      </c>
      <c r="L865" s="28">
        <v>497</v>
      </c>
      <c r="M865" s="28">
        <v>484</v>
      </c>
      <c r="N865" s="28">
        <v>486</v>
      </c>
      <c r="O865" s="28">
        <v>491</v>
      </c>
      <c r="P865" s="28">
        <v>480</v>
      </c>
      <c r="Q865" s="28">
        <v>480</v>
      </c>
      <c r="R865" s="28">
        <v>488</v>
      </c>
      <c r="S865" s="28">
        <v>486</v>
      </c>
      <c r="T865" s="410">
        <v>0</v>
      </c>
      <c r="U865" s="410">
        <v>0</v>
      </c>
      <c r="V865" s="410">
        <v>0</v>
      </c>
      <c r="W865" s="28">
        <v>480</v>
      </c>
      <c r="Y865" s="390"/>
      <c r="Z865" s="390"/>
      <c r="AA865" s="390"/>
      <c r="AB865" s="390"/>
      <c r="AC865" s="390"/>
      <c r="AD865" s="390"/>
      <c r="AE865" s="390"/>
      <c r="AF865" s="390"/>
      <c r="AG865" s="390"/>
      <c r="AH865" s="390"/>
      <c r="AI865" s="390"/>
      <c r="AJ865" s="390"/>
      <c r="AK865" s="390"/>
      <c r="AL865" s="390"/>
      <c r="AM865" s="390"/>
      <c r="AN865" s="390"/>
      <c r="AO865" s="390"/>
      <c r="AP865" s="390"/>
      <c r="AQ865" s="390"/>
      <c r="AR865" s="390"/>
      <c r="AS865" s="390"/>
    </row>
    <row r="866" spans="1:45" x14ac:dyDescent="0.3">
      <c r="B866" s="61" t="s">
        <v>197</v>
      </c>
      <c r="C866" s="62"/>
      <c r="D866" s="28">
        <v>488</v>
      </c>
      <c r="E866" s="28">
        <v>503</v>
      </c>
      <c r="F866" s="28">
        <v>511</v>
      </c>
      <c r="G866" s="28">
        <v>496</v>
      </c>
      <c r="H866" s="28">
        <v>491</v>
      </c>
      <c r="I866" s="28">
        <v>496</v>
      </c>
      <c r="J866" s="28">
        <v>504</v>
      </c>
      <c r="K866" s="28">
        <v>500</v>
      </c>
      <c r="L866" s="28">
        <v>502</v>
      </c>
      <c r="M866" s="28">
        <v>489</v>
      </c>
      <c r="N866" s="28">
        <v>491</v>
      </c>
      <c r="O866" s="28">
        <v>496</v>
      </c>
      <c r="P866" s="28">
        <v>485</v>
      </c>
      <c r="Q866" s="28">
        <v>485</v>
      </c>
      <c r="R866" s="28">
        <v>493</v>
      </c>
      <c r="S866" s="28">
        <v>491</v>
      </c>
      <c r="T866" s="410">
        <v>0</v>
      </c>
      <c r="U866" s="410">
        <v>0</v>
      </c>
      <c r="V866" s="410">
        <v>0</v>
      </c>
      <c r="W866" s="28">
        <v>485</v>
      </c>
      <c r="Y866" s="390"/>
      <c r="Z866" s="390"/>
      <c r="AA866" s="390"/>
      <c r="AB866" s="390"/>
      <c r="AC866" s="390"/>
      <c r="AD866" s="390"/>
      <c r="AE866" s="390"/>
      <c r="AF866" s="390"/>
      <c r="AG866" s="390"/>
      <c r="AH866" s="390"/>
      <c r="AI866" s="390"/>
      <c r="AJ866" s="390"/>
      <c r="AK866" s="390"/>
      <c r="AL866" s="390"/>
      <c r="AM866" s="390"/>
      <c r="AN866" s="390"/>
      <c r="AO866" s="390"/>
      <c r="AP866" s="390"/>
      <c r="AQ866" s="390"/>
      <c r="AR866" s="390"/>
      <c r="AS866" s="390"/>
    </row>
    <row r="867" spans="1:45" x14ac:dyDescent="0.3">
      <c r="B867" s="63" t="s">
        <v>103</v>
      </c>
      <c r="C867" s="55"/>
      <c r="D867" s="43">
        <v>0</v>
      </c>
      <c r="E867" s="408">
        <v>0</v>
      </c>
      <c r="F867" s="408">
        <v>0</v>
      </c>
      <c r="G867" s="408">
        <v>0</v>
      </c>
      <c r="H867" s="408">
        <v>0</v>
      </c>
      <c r="I867" s="408">
        <v>0</v>
      </c>
      <c r="J867" s="408">
        <v>0</v>
      </c>
      <c r="K867" s="408">
        <v>0</v>
      </c>
      <c r="L867" s="408">
        <v>0</v>
      </c>
      <c r="M867" s="408">
        <v>0</v>
      </c>
      <c r="N867" s="408">
        <v>0</v>
      </c>
      <c r="O867" s="408">
        <v>0</v>
      </c>
      <c r="P867" s="408">
        <v>0</v>
      </c>
      <c r="Q867" s="408">
        <v>0</v>
      </c>
      <c r="R867" s="408">
        <v>0</v>
      </c>
      <c r="S867" s="408">
        <v>0</v>
      </c>
      <c r="T867" s="408">
        <v>0</v>
      </c>
      <c r="U867" s="408">
        <v>0</v>
      </c>
      <c r="V867" s="408">
        <v>0</v>
      </c>
      <c r="W867" s="408">
        <v>0</v>
      </c>
      <c r="Y867" s="409"/>
      <c r="Z867" s="409"/>
      <c r="AA867" s="409"/>
      <c r="AB867" s="409"/>
      <c r="AC867" s="409"/>
      <c r="AD867" s="409"/>
      <c r="AE867" s="409"/>
      <c r="AF867" s="409"/>
      <c r="AG867" s="409"/>
      <c r="AH867" s="409"/>
      <c r="AI867" s="409"/>
      <c r="AJ867" s="409"/>
      <c r="AK867" s="409"/>
      <c r="AL867" s="409"/>
      <c r="AM867" s="409"/>
      <c r="AN867" s="409"/>
      <c r="AO867" s="409"/>
      <c r="AP867" s="409"/>
      <c r="AQ867" s="409"/>
      <c r="AR867" s="409"/>
      <c r="AS867" s="409"/>
    </row>
    <row r="868" spans="1:45" x14ac:dyDescent="0.3">
      <c r="B868" s="63" t="s">
        <v>198</v>
      </c>
      <c r="C868" s="62"/>
      <c r="D868" s="31">
        <f t="shared" ref="D868:S868" si="727">+D863-D$861</f>
        <v>25.306729032258033</v>
      </c>
      <c r="E868" s="31">
        <f t="shared" si="727"/>
        <v>25.442212903225766</v>
      </c>
      <c r="F868" s="31">
        <f t="shared" si="727"/>
        <v>25.313180645161253</v>
      </c>
      <c r="G868" s="31">
        <f t="shared" si="727"/>
        <v>25.409954838709666</v>
      </c>
      <c r="H868" s="31">
        <f t="shared" si="727"/>
        <v>25.829309677419303</v>
      </c>
      <c r="I868" s="31">
        <f t="shared" si="727"/>
        <v>25.797051612903203</v>
      </c>
      <c r="J868" s="31">
        <f t="shared" si="727"/>
        <v>25.280922580645154</v>
      </c>
      <c r="K868" s="31">
        <f t="shared" si="727"/>
        <v>25.538987096774179</v>
      </c>
      <c r="L868" s="31">
        <f t="shared" si="727"/>
        <v>25.990599999999972</v>
      </c>
      <c r="M868" s="31">
        <f t="shared" si="727"/>
        <v>25.997051612903192</v>
      </c>
      <c r="N868" s="31">
        <f t="shared" si="727"/>
        <v>25.519632258064462</v>
      </c>
      <c r="O868" s="31">
        <f t="shared" si="727"/>
        <v>25.409954838709666</v>
      </c>
      <c r="P868" s="31">
        <f t="shared" si="727"/>
        <v>25.248664516128997</v>
      </c>
      <c r="Q868" s="31">
        <f t="shared" si="727"/>
        <v>25.248664516128997</v>
      </c>
      <c r="R868" s="31">
        <f t="shared" si="727"/>
        <v>25.506729032258022</v>
      </c>
      <c r="S868" s="31">
        <f t="shared" si="727"/>
        <v>25.674470967741911</v>
      </c>
      <c r="T868" s="29"/>
      <c r="U868" s="29"/>
      <c r="V868" s="29"/>
      <c r="W868" s="31">
        <f>+W863-W$861</f>
        <v>25.248664516128997</v>
      </c>
      <c r="Y868" s="390"/>
      <c r="Z868" s="390"/>
      <c r="AA868" s="390"/>
      <c r="AB868" s="390"/>
      <c r="AC868" s="390"/>
      <c r="AD868" s="390"/>
      <c r="AE868" s="390"/>
      <c r="AF868" s="390"/>
      <c r="AG868" s="390"/>
      <c r="AH868" s="390"/>
      <c r="AI868" s="390"/>
      <c r="AJ868" s="390"/>
      <c r="AK868" s="390"/>
      <c r="AL868" s="390"/>
      <c r="AM868" s="390"/>
      <c r="AN868" s="390"/>
      <c r="AO868" s="390"/>
      <c r="AP868" s="390"/>
      <c r="AQ868" s="390"/>
      <c r="AR868" s="390"/>
      <c r="AS868" s="390"/>
    </row>
    <row r="869" spans="1:45" x14ac:dyDescent="0.3">
      <c r="B869" s="63" t="s">
        <v>199</v>
      </c>
      <c r="C869" s="64"/>
      <c r="D869" s="31">
        <f t="shared" ref="D869:S869" si="728">+D864-D$861</f>
        <v>30.306729032258033</v>
      </c>
      <c r="E869" s="32">
        <f t="shared" si="728"/>
        <v>30.442212903225766</v>
      </c>
      <c r="F869" s="32">
        <f t="shared" si="728"/>
        <v>30.313180645161253</v>
      </c>
      <c r="G869" s="32">
        <f t="shared" si="728"/>
        <v>30.409954838709666</v>
      </c>
      <c r="H869" s="32">
        <f t="shared" si="728"/>
        <v>30.829309677419303</v>
      </c>
      <c r="I869" s="32">
        <f t="shared" si="728"/>
        <v>30.797051612903203</v>
      </c>
      <c r="J869" s="32">
        <f t="shared" si="728"/>
        <v>30.280922580645154</v>
      </c>
      <c r="K869" s="32">
        <f t="shared" si="728"/>
        <v>30.538987096774179</v>
      </c>
      <c r="L869" s="32">
        <f t="shared" si="728"/>
        <v>30.990599999999972</v>
      </c>
      <c r="M869" s="32">
        <f t="shared" si="728"/>
        <v>30.997051612903192</v>
      </c>
      <c r="N869" s="32">
        <f t="shared" si="728"/>
        <v>30.519632258064462</v>
      </c>
      <c r="O869" s="32">
        <f t="shared" si="728"/>
        <v>30.409954838709666</v>
      </c>
      <c r="P869" s="32">
        <f t="shared" si="728"/>
        <v>30.248664516128997</v>
      </c>
      <c r="Q869" s="32">
        <f t="shared" si="728"/>
        <v>30.248664516128997</v>
      </c>
      <c r="R869" s="32">
        <f t="shared" si="728"/>
        <v>30.506729032258022</v>
      </c>
      <c r="S869" s="32">
        <f t="shared" si="728"/>
        <v>30.674470967741911</v>
      </c>
      <c r="T869" s="32"/>
      <c r="U869" s="32"/>
      <c r="V869" s="32"/>
      <c r="W869" s="32">
        <f>+W864-W$861</f>
        <v>30.248664516128997</v>
      </c>
      <c r="Y869" s="390"/>
      <c r="Z869" s="390"/>
      <c r="AA869" s="390"/>
      <c r="AB869" s="390"/>
      <c r="AC869" s="390"/>
      <c r="AD869" s="390"/>
      <c r="AE869" s="390"/>
      <c r="AF869" s="390"/>
      <c r="AG869" s="390"/>
      <c r="AH869" s="390"/>
      <c r="AI869" s="390"/>
      <c r="AJ869" s="390"/>
      <c r="AK869" s="390"/>
      <c r="AL869" s="390"/>
      <c r="AM869" s="390"/>
      <c r="AN869" s="390"/>
      <c r="AO869" s="390"/>
      <c r="AP869" s="390"/>
      <c r="AQ869" s="390"/>
      <c r="AR869" s="390"/>
      <c r="AS869" s="390"/>
    </row>
    <row r="870" spans="1:45" x14ac:dyDescent="0.3">
      <c r="B870" s="63" t="s">
        <v>200</v>
      </c>
      <c r="C870" s="64"/>
      <c r="D870" s="31">
        <f t="shared" ref="D870:S870" si="729">+D865-D$861</f>
        <v>35.306729032258033</v>
      </c>
      <c r="E870" s="32">
        <f t="shared" si="729"/>
        <v>35.442212903225766</v>
      </c>
      <c r="F870" s="32">
        <f t="shared" si="729"/>
        <v>35.313180645161253</v>
      </c>
      <c r="G870" s="32">
        <f t="shared" si="729"/>
        <v>35.409954838709666</v>
      </c>
      <c r="H870" s="32">
        <f t="shared" si="729"/>
        <v>35.829309677419303</v>
      </c>
      <c r="I870" s="32">
        <f t="shared" si="729"/>
        <v>35.797051612903203</v>
      </c>
      <c r="J870" s="32">
        <f t="shared" si="729"/>
        <v>35.280922580645154</v>
      </c>
      <c r="K870" s="32">
        <f t="shared" si="729"/>
        <v>35.538987096774179</v>
      </c>
      <c r="L870" s="32">
        <f t="shared" si="729"/>
        <v>35.990599999999972</v>
      </c>
      <c r="M870" s="32">
        <f t="shared" si="729"/>
        <v>35.997051612903192</v>
      </c>
      <c r="N870" s="32">
        <f t="shared" si="729"/>
        <v>35.519632258064462</v>
      </c>
      <c r="O870" s="32">
        <f t="shared" si="729"/>
        <v>35.409954838709666</v>
      </c>
      <c r="P870" s="32">
        <f t="shared" si="729"/>
        <v>35.248664516128997</v>
      </c>
      <c r="Q870" s="32">
        <f t="shared" si="729"/>
        <v>35.248664516128997</v>
      </c>
      <c r="R870" s="32">
        <f t="shared" si="729"/>
        <v>35.506729032258022</v>
      </c>
      <c r="S870" s="32">
        <f t="shared" si="729"/>
        <v>35.674470967741911</v>
      </c>
      <c r="T870" s="32"/>
      <c r="U870" s="32"/>
      <c r="V870" s="32"/>
      <c r="W870" s="32">
        <f>+W865-W$861</f>
        <v>35.248664516128997</v>
      </c>
      <c r="Y870" s="390"/>
      <c r="Z870" s="390"/>
      <c r="AA870" s="390"/>
      <c r="AB870" s="390"/>
      <c r="AC870" s="390"/>
      <c r="AD870" s="390"/>
      <c r="AE870" s="390"/>
      <c r="AF870" s="390"/>
      <c r="AG870" s="390"/>
      <c r="AH870" s="390"/>
      <c r="AI870" s="390"/>
      <c r="AJ870" s="390"/>
      <c r="AK870" s="390"/>
      <c r="AL870" s="390"/>
      <c r="AM870" s="390"/>
      <c r="AN870" s="390"/>
      <c r="AO870" s="390"/>
      <c r="AP870" s="390"/>
      <c r="AQ870" s="390"/>
      <c r="AR870" s="390"/>
      <c r="AS870" s="390"/>
    </row>
    <row r="871" spans="1:45" x14ac:dyDescent="0.3">
      <c r="B871" s="63" t="s">
        <v>201</v>
      </c>
      <c r="C871" s="64"/>
      <c r="D871" s="31">
        <f t="shared" ref="D871:S871" si="730">+D866-D$861</f>
        <v>40.306729032258033</v>
      </c>
      <c r="E871" s="32">
        <f t="shared" si="730"/>
        <v>40.442212903225766</v>
      </c>
      <c r="F871" s="32">
        <f t="shared" si="730"/>
        <v>40.313180645161253</v>
      </c>
      <c r="G871" s="32">
        <f t="shared" si="730"/>
        <v>40.409954838709666</v>
      </c>
      <c r="H871" s="32">
        <f t="shared" si="730"/>
        <v>40.829309677419303</v>
      </c>
      <c r="I871" s="32">
        <f t="shared" si="730"/>
        <v>40.797051612903203</v>
      </c>
      <c r="J871" s="32">
        <f t="shared" si="730"/>
        <v>40.280922580645154</v>
      </c>
      <c r="K871" s="32">
        <f t="shared" si="730"/>
        <v>40.538987096774179</v>
      </c>
      <c r="L871" s="32">
        <f t="shared" si="730"/>
        <v>40.990599999999972</v>
      </c>
      <c r="M871" s="32">
        <f t="shared" si="730"/>
        <v>40.997051612903192</v>
      </c>
      <c r="N871" s="32">
        <f t="shared" si="730"/>
        <v>40.519632258064462</v>
      </c>
      <c r="O871" s="32">
        <f t="shared" si="730"/>
        <v>40.409954838709666</v>
      </c>
      <c r="P871" s="32">
        <f t="shared" si="730"/>
        <v>40.248664516128997</v>
      </c>
      <c r="Q871" s="32">
        <f t="shared" si="730"/>
        <v>40.248664516128997</v>
      </c>
      <c r="R871" s="32">
        <f t="shared" si="730"/>
        <v>40.506729032258022</v>
      </c>
      <c r="S871" s="32">
        <f t="shared" si="730"/>
        <v>40.674470967741911</v>
      </c>
      <c r="T871" s="32"/>
      <c r="U871" s="32"/>
      <c r="V871" s="32"/>
      <c r="W871" s="32">
        <f>+W866-W$861</f>
        <v>40.248664516128997</v>
      </c>
      <c r="Y871" s="390"/>
      <c r="Z871" s="390"/>
      <c r="AA871" s="390"/>
      <c r="AB871" s="390"/>
      <c r="AC871" s="390"/>
      <c r="AD871" s="390"/>
      <c r="AE871" s="390"/>
      <c r="AF871" s="390"/>
      <c r="AG871" s="390"/>
      <c r="AH871" s="390"/>
      <c r="AI871" s="390"/>
      <c r="AJ871" s="390"/>
      <c r="AK871" s="390"/>
      <c r="AL871" s="390"/>
      <c r="AM871" s="390"/>
      <c r="AN871" s="390"/>
      <c r="AO871" s="390"/>
      <c r="AP871" s="390"/>
      <c r="AQ871" s="390"/>
      <c r="AR871" s="390"/>
      <c r="AS871" s="390"/>
    </row>
    <row r="872" spans="1:45" x14ac:dyDescent="0.3">
      <c r="B872" s="65" t="s">
        <v>108</v>
      </c>
      <c r="C872" s="55"/>
      <c r="D872" s="43">
        <v>0</v>
      </c>
      <c r="E872" s="408">
        <v>0</v>
      </c>
      <c r="F872" s="408">
        <v>0</v>
      </c>
      <c r="G872" s="408">
        <v>0</v>
      </c>
      <c r="H872" s="408">
        <v>0</v>
      </c>
      <c r="I872" s="408">
        <v>0</v>
      </c>
      <c r="J872" s="408">
        <v>0</v>
      </c>
      <c r="K872" s="408">
        <v>0</v>
      </c>
      <c r="L872" s="408">
        <v>0</v>
      </c>
      <c r="M872" s="408">
        <v>0</v>
      </c>
      <c r="N872" s="408">
        <v>0</v>
      </c>
      <c r="O872" s="408">
        <v>0</v>
      </c>
      <c r="P872" s="408">
        <v>0</v>
      </c>
      <c r="Q872" s="408">
        <v>0</v>
      </c>
      <c r="R872" s="408">
        <v>0</v>
      </c>
      <c r="S872" s="408">
        <v>0</v>
      </c>
      <c r="T872" s="408">
        <v>0</v>
      </c>
      <c r="U872" s="408">
        <v>0</v>
      </c>
      <c r="V872" s="408">
        <v>0</v>
      </c>
      <c r="W872" s="408">
        <v>0</v>
      </c>
      <c r="Y872" s="409"/>
      <c r="Z872" s="409"/>
      <c r="AA872" s="409"/>
      <c r="AB872" s="409"/>
      <c r="AC872" s="409"/>
      <c r="AD872" s="409"/>
      <c r="AE872" s="409"/>
      <c r="AF872" s="409"/>
      <c r="AG872" s="409"/>
      <c r="AH872" s="409"/>
      <c r="AI872" s="409"/>
      <c r="AJ872" s="409"/>
      <c r="AK872" s="409"/>
      <c r="AL872" s="409"/>
      <c r="AM872" s="409"/>
      <c r="AN872" s="409"/>
      <c r="AO872" s="409"/>
      <c r="AP872" s="409"/>
      <c r="AQ872" s="409"/>
      <c r="AR872" s="409"/>
      <c r="AS872" s="409"/>
    </row>
    <row r="873" spans="1:45" x14ac:dyDescent="0.3">
      <c r="B873" s="65" t="s">
        <v>202</v>
      </c>
      <c r="C873" s="64"/>
      <c r="D873" s="99">
        <f t="shared" ref="D873:S873" si="731">+D868/D$861</f>
        <v>5.6526936349868613E-2</v>
      </c>
      <c r="E873" s="99">
        <f t="shared" si="731"/>
        <v>5.5003317667426624E-2</v>
      </c>
      <c r="F873" s="99">
        <f t="shared" si="731"/>
        <v>5.3779242596717576E-2</v>
      </c>
      <c r="G873" s="99">
        <f t="shared" si="731"/>
        <v>5.5773727078944194E-2</v>
      </c>
      <c r="H873" s="99">
        <f t="shared" si="731"/>
        <v>5.7376702287993665E-2</v>
      </c>
      <c r="I873" s="99">
        <f t="shared" si="731"/>
        <v>5.6671538935125332E-2</v>
      </c>
      <c r="J873" s="99">
        <f t="shared" si="731"/>
        <v>5.4517753984451384E-2</v>
      </c>
      <c r="K873" s="99">
        <f t="shared" si="731"/>
        <v>5.5584666336321642E-2</v>
      </c>
      <c r="L873" s="99">
        <f t="shared" si="731"/>
        <v>5.6377592300720918E-2</v>
      </c>
      <c r="M873" s="99">
        <f t="shared" si="731"/>
        <v>5.8028751164468782E-2</v>
      </c>
      <c r="N873" s="99">
        <f t="shared" si="731"/>
        <v>5.6649821136453539E-2</v>
      </c>
      <c r="O873" s="99">
        <f t="shared" si="731"/>
        <v>5.5773727078944194E-2</v>
      </c>
      <c r="P873" s="99">
        <f t="shared" si="731"/>
        <v>5.6770294997899214E-2</v>
      </c>
      <c r="Q873" s="99">
        <f t="shared" si="731"/>
        <v>5.6770294997899214E-2</v>
      </c>
      <c r="R873" s="99">
        <f t="shared" si="731"/>
        <v>5.6369300205740262E-2</v>
      </c>
      <c r="S873" s="99">
        <f t="shared" si="731"/>
        <v>5.701313674780089E-2</v>
      </c>
      <c r="T873" s="117"/>
      <c r="U873" s="117"/>
      <c r="V873" s="117"/>
      <c r="W873" s="99">
        <f>+W868/W$861</f>
        <v>5.6770294997899214E-2</v>
      </c>
      <c r="Y873" s="390"/>
      <c r="Z873" s="390"/>
      <c r="AA873" s="390"/>
      <c r="AB873" s="390"/>
      <c r="AC873" s="390"/>
      <c r="AD873" s="390"/>
      <c r="AE873" s="390"/>
      <c r="AF873" s="390"/>
      <c r="AG873" s="390"/>
      <c r="AH873" s="390"/>
      <c r="AI873" s="390"/>
      <c r="AJ873" s="390"/>
      <c r="AK873" s="390"/>
      <c r="AL873" s="390"/>
      <c r="AM873" s="390"/>
      <c r="AN873" s="390"/>
      <c r="AO873" s="390"/>
      <c r="AP873" s="390"/>
      <c r="AQ873" s="390"/>
      <c r="AR873" s="390"/>
      <c r="AS873" s="390"/>
    </row>
    <row r="874" spans="1:45" x14ac:dyDescent="0.3">
      <c r="B874" s="65" t="s">
        <v>203</v>
      </c>
      <c r="C874" s="66"/>
      <c r="D874" s="368">
        <f t="shared" ref="D874:S874" si="732">+D869/D$861</f>
        <v>6.7695297199232979E-2</v>
      </c>
      <c r="E874" s="368">
        <f t="shared" si="732"/>
        <v>6.581277788942895E-2</v>
      </c>
      <c r="F874" s="368">
        <f t="shared" si="732"/>
        <v>6.4402017219668359E-2</v>
      </c>
      <c r="G874" s="368">
        <f t="shared" si="732"/>
        <v>6.6748505946708683E-2</v>
      </c>
      <c r="H874" s="368">
        <f t="shared" si="732"/>
        <v>6.8483600421270913E-2</v>
      </c>
      <c r="I874" s="368">
        <f t="shared" si="732"/>
        <v>6.7655650566467593E-2</v>
      </c>
      <c r="J874" s="368">
        <f t="shared" si="732"/>
        <v>6.5300144106991795E-2</v>
      </c>
      <c r="K874" s="368">
        <f t="shared" si="732"/>
        <v>6.6466982484118767E-2</v>
      </c>
      <c r="L874" s="368">
        <f t="shared" si="732"/>
        <v>6.722335813543058E-2</v>
      </c>
      <c r="M874" s="368">
        <f t="shared" si="732"/>
        <v>6.9189391999537025E-2</v>
      </c>
      <c r="N874" s="368">
        <f t="shared" si="732"/>
        <v>6.7749083963517129E-2</v>
      </c>
      <c r="O874" s="368">
        <f t="shared" si="732"/>
        <v>6.6748505946708683E-2</v>
      </c>
      <c r="P874" s="368">
        <f t="shared" si="732"/>
        <v>6.8012532178727922E-2</v>
      </c>
      <c r="Q874" s="368">
        <f t="shared" si="732"/>
        <v>6.8012532178727922E-2</v>
      </c>
      <c r="R874" s="368">
        <f t="shared" si="732"/>
        <v>6.7419188283206158E-2</v>
      </c>
      <c r="S874" s="368">
        <f t="shared" si="732"/>
        <v>6.8116215915319814E-2</v>
      </c>
      <c r="T874" s="368"/>
      <c r="U874" s="368"/>
      <c r="V874" s="368"/>
      <c r="W874" s="368">
        <f>+W869/W$861</f>
        <v>6.8012532178727922E-2</v>
      </c>
      <c r="Y874" s="390"/>
      <c r="Z874" s="390"/>
      <c r="AA874" s="390"/>
      <c r="AB874" s="390"/>
      <c r="AC874" s="390"/>
      <c r="AD874" s="390"/>
      <c r="AE874" s="390"/>
      <c r="AF874" s="390"/>
      <c r="AG874" s="390"/>
      <c r="AH874" s="390"/>
      <c r="AI874" s="390"/>
      <c r="AJ874" s="390"/>
      <c r="AK874" s="390"/>
      <c r="AL874" s="390"/>
      <c r="AM874" s="390"/>
      <c r="AN874" s="390"/>
      <c r="AO874" s="390"/>
      <c r="AP874" s="390"/>
      <c r="AQ874" s="390"/>
      <c r="AR874" s="390"/>
      <c r="AS874" s="390"/>
    </row>
    <row r="875" spans="1:45" x14ac:dyDescent="0.3">
      <c r="B875" s="65" t="s">
        <v>204</v>
      </c>
      <c r="C875" s="66"/>
      <c r="D875" s="368">
        <f t="shared" ref="D875:S875" si="733">+D870/D$861</f>
        <v>7.8863658048597338E-2</v>
      </c>
      <c r="E875" s="368">
        <f t="shared" si="733"/>
        <v>7.6622238111431276E-2</v>
      </c>
      <c r="F875" s="368">
        <f t="shared" si="733"/>
        <v>7.5024791842619135E-2</v>
      </c>
      <c r="G875" s="368">
        <f t="shared" si="733"/>
        <v>7.7723284814473173E-2</v>
      </c>
      <c r="H875" s="368">
        <f t="shared" si="733"/>
        <v>7.9590498554548153E-2</v>
      </c>
      <c r="I875" s="368">
        <f t="shared" si="733"/>
        <v>7.8639762197809854E-2</v>
      </c>
      <c r="J875" s="368">
        <f t="shared" si="733"/>
        <v>7.6082534229532192E-2</v>
      </c>
      <c r="K875" s="368">
        <f t="shared" si="733"/>
        <v>7.7349298631915905E-2</v>
      </c>
      <c r="L875" s="368">
        <f t="shared" si="733"/>
        <v>7.8069123970140236E-2</v>
      </c>
      <c r="M875" s="368">
        <f t="shared" si="733"/>
        <v>8.0350032834605262E-2</v>
      </c>
      <c r="N875" s="368">
        <f t="shared" si="733"/>
        <v>7.8848346790580712E-2</v>
      </c>
      <c r="O875" s="368">
        <f t="shared" si="733"/>
        <v>7.7723284814473173E-2</v>
      </c>
      <c r="P875" s="368">
        <f t="shared" si="733"/>
        <v>7.9254769359556637E-2</v>
      </c>
      <c r="Q875" s="368">
        <f t="shared" si="733"/>
        <v>7.9254769359556637E-2</v>
      </c>
      <c r="R875" s="368">
        <f t="shared" si="733"/>
        <v>7.846907636067206E-2</v>
      </c>
      <c r="S875" s="368">
        <f t="shared" si="733"/>
        <v>7.9219295082838731E-2</v>
      </c>
      <c r="T875" s="368"/>
      <c r="U875" s="368"/>
      <c r="V875" s="368"/>
      <c r="W875" s="368">
        <f>+W870/W$861</f>
        <v>7.9254769359556637E-2</v>
      </c>
      <c r="Y875" s="390"/>
      <c r="Z875" s="390"/>
      <c r="AA875" s="390"/>
      <c r="AB875" s="390"/>
      <c r="AC875" s="390"/>
      <c r="AD875" s="390"/>
      <c r="AE875" s="390"/>
      <c r="AF875" s="390"/>
      <c r="AG875" s="390"/>
      <c r="AH875" s="390"/>
      <c r="AI875" s="390"/>
      <c r="AJ875" s="390"/>
      <c r="AK875" s="390"/>
      <c r="AL875" s="390"/>
      <c r="AM875" s="390"/>
      <c r="AN875" s="390"/>
      <c r="AO875" s="390"/>
      <c r="AP875" s="390"/>
      <c r="AQ875" s="390"/>
      <c r="AR875" s="390"/>
      <c r="AS875" s="390"/>
    </row>
    <row r="876" spans="1:45" x14ac:dyDescent="0.3">
      <c r="B876" s="65" t="s">
        <v>205</v>
      </c>
      <c r="C876" s="66"/>
      <c r="D876" s="368">
        <f t="shared" ref="D876:S876" si="734">+D871/D$861</f>
        <v>9.0032018897961696E-2</v>
      </c>
      <c r="E876" s="368">
        <f t="shared" si="734"/>
        <v>8.7431698333433588E-2</v>
      </c>
      <c r="F876" s="368">
        <f t="shared" si="734"/>
        <v>8.5647566465569924E-2</v>
      </c>
      <c r="G876" s="368">
        <f t="shared" si="734"/>
        <v>8.8698063682237677E-2</v>
      </c>
      <c r="H876" s="368">
        <f t="shared" si="734"/>
        <v>9.0697396687825393E-2</v>
      </c>
      <c r="I876" s="368">
        <f t="shared" si="734"/>
        <v>8.9623873829152115E-2</v>
      </c>
      <c r="J876" s="368">
        <f t="shared" si="734"/>
        <v>8.6864924352072589E-2</v>
      </c>
      <c r="K876" s="368">
        <f t="shared" si="734"/>
        <v>8.823161477971303E-2</v>
      </c>
      <c r="L876" s="368">
        <f t="shared" si="734"/>
        <v>8.8914889804849906E-2</v>
      </c>
      <c r="M876" s="368">
        <f t="shared" si="734"/>
        <v>9.1510673669673498E-2</v>
      </c>
      <c r="N876" s="368">
        <f t="shared" si="734"/>
        <v>8.9947609617644295E-2</v>
      </c>
      <c r="O876" s="368">
        <f t="shared" si="734"/>
        <v>8.8698063682237677E-2</v>
      </c>
      <c r="P876" s="368">
        <f t="shared" si="734"/>
        <v>9.0497006540385352E-2</v>
      </c>
      <c r="Q876" s="368">
        <f t="shared" si="734"/>
        <v>9.0497006540385352E-2</v>
      </c>
      <c r="R876" s="368">
        <f t="shared" si="734"/>
        <v>8.9518964438137963E-2</v>
      </c>
      <c r="S876" s="368">
        <f t="shared" si="734"/>
        <v>9.0322374250357648E-2</v>
      </c>
      <c r="T876" s="368"/>
      <c r="U876" s="368"/>
      <c r="V876" s="368"/>
      <c r="W876" s="368">
        <f>+W871/W$861</f>
        <v>9.0497006540385352E-2</v>
      </c>
      <c r="Y876" s="390"/>
      <c r="Z876" s="390"/>
      <c r="AA876" s="390"/>
      <c r="AB876" s="390"/>
      <c r="AC876" s="390"/>
      <c r="AD876" s="390"/>
      <c r="AE876" s="390"/>
      <c r="AF876" s="390"/>
      <c r="AG876" s="390"/>
      <c r="AH876" s="390"/>
      <c r="AI876" s="390"/>
      <c r="AJ876" s="390"/>
      <c r="AK876" s="390"/>
      <c r="AL876" s="390"/>
      <c r="AM876" s="390"/>
      <c r="AN876" s="390"/>
      <c r="AO876" s="390"/>
      <c r="AP876" s="390"/>
      <c r="AQ876" s="390"/>
      <c r="AR876" s="390"/>
      <c r="AS876" s="390"/>
    </row>
    <row r="877" spans="1:45" hidden="1" x14ac:dyDescent="0.3">
      <c r="B877" s="65" t="s">
        <v>78</v>
      </c>
      <c r="C877" s="66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Y877" s="390"/>
      <c r="Z877" s="390"/>
      <c r="AA877" s="390"/>
      <c r="AB877" s="390"/>
      <c r="AC877" s="390"/>
      <c r="AD877" s="390"/>
      <c r="AE877" s="390"/>
      <c r="AF877" s="390"/>
      <c r="AG877" s="390"/>
      <c r="AH877" s="390"/>
      <c r="AI877" s="390"/>
      <c r="AJ877" s="390"/>
      <c r="AK877" s="390"/>
      <c r="AL877" s="390"/>
      <c r="AM877" s="390"/>
      <c r="AN877" s="390"/>
      <c r="AO877" s="390"/>
      <c r="AP877" s="390"/>
      <c r="AQ877" s="390"/>
      <c r="AR877" s="390"/>
      <c r="AS877" s="390"/>
    </row>
    <row r="878" spans="1:45" ht="21" thickBot="1" x14ac:dyDescent="0.35">
      <c r="Y878" s="390"/>
      <c r="Z878" s="390"/>
      <c r="AA878" s="390"/>
      <c r="AB878" s="390"/>
      <c r="AC878" s="390"/>
      <c r="AD878" s="390"/>
      <c r="AE878" s="390"/>
      <c r="AF878" s="390"/>
      <c r="AG878" s="390"/>
      <c r="AH878" s="390"/>
      <c r="AI878" s="390"/>
      <c r="AJ878" s="390"/>
      <c r="AK878" s="390"/>
      <c r="AL878" s="390"/>
      <c r="AM878" s="390"/>
      <c r="AN878" s="390"/>
      <c r="AO878" s="390"/>
      <c r="AP878" s="390"/>
      <c r="AQ878" s="390"/>
      <c r="AR878" s="390"/>
      <c r="AS878" s="390"/>
    </row>
    <row r="879" spans="1:45" ht="21" thickBot="1" x14ac:dyDescent="0.35">
      <c r="A879" s="15" t="s">
        <v>340</v>
      </c>
      <c r="B879" s="223" t="s">
        <v>157</v>
      </c>
      <c r="C879" s="68"/>
      <c r="D879" s="17" t="s">
        <v>5</v>
      </c>
      <c r="E879" s="18" t="s">
        <v>6</v>
      </c>
      <c r="F879" s="18" t="s">
        <v>7</v>
      </c>
      <c r="G879" s="18" t="s">
        <v>8</v>
      </c>
      <c r="H879" s="18" t="s">
        <v>9</v>
      </c>
      <c r="I879" s="18" t="s">
        <v>10</v>
      </c>
      <c r="J879" s="18" t="s">
        <v>11</v>
      </c>
      <c r="K879" s="18" t="s">
        <v>12</v>
      </c>
      <c r="L879" s="18" t="s">
        <v>13</v>
      </c>
      <c r="M879" s="18" t="s">
        <v>14</v>
      </c>
      <c r="N879" s="18" t="s">
        <v>15</v>
      </c>
      <c r="O879" s="18" t="s">
        <v>16</v>
      </c>
      <c r="P879" s="18" t="s">
        <v>17</v>
      </c>
      <c r="Q879" s="18" t="s">
        <v>18</v>
      </c>
      <c r="R879" s="18" t="s">
        <v>19</v>
      </c>
      <c r="S879" s="18" t="s">
        <v>20</v>
      </c>
      <c r="T879" s="18" t="s">
        <v>21</v>
      </c>
      <c r="U879" s="18" t="s">
        <v>22</v>
      </c>
      <c r="V879" s="18" t="s">
        <v>23</v>
      </c>
      <c r="W879" s="18" t="s">
        <v>166</v>
      </c>
      <c r="Y879" s="390"/>
      <c r="Z879" s="390"/>
      <c r="AA879" s="390"/>
      <c r="AB879" s="390"/>
      <c r="AC879" s="390"/>
      <c r="AD879" s="390"/>
      <c r="AE879" s="390"/>
      <c r="AF879" s="390"/>
      <c r="AG879" s="390"/>
      <c r="AH879" s="390"/>
      <c r="AI879" s="390"/>
      <c r="AJ879" s="390"/>
      <c r="AK879" s="390"/>
      <c r="AL879" s="390"/>
      <c r="AM879" s="390"/>
      <c r="AN879" s="390"/>
      <c r="AO879" s="390"/>
      <c r="AP879" s="390"/>
      <c r="AQ879" s="390"/>
      <c r="AR879" s="390"/>
      <c r="AS879" s="390"/>
    </row>
    <row r="880" spans="1:45" x14ac:dyDescent="0.3">
      <c r="B880" s="222" t="s">
        <v>50</v>
      </c>
      <c r="C880" s="7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Y880" s="390"/>
      <c r="Z880" s="390"/>
      <c r="AA880" s="390"/>
      <c r="AB880" s="390"/>
      <c r="AC880" s="390"/>
      <c r="AD880" s="390"/>
      <c r="AE880" s="390"/>
      <c r="AF880" s="390"/>
      <c r="AG880" s="390"/>
      <c r="AH880" s="390"/>
      <c r="AI880" s="390"/>
      <c r="AJ880" s="390"/>
      <c r="AK880" s="390"/>
      <c r="AL880" s="390"/>
      <c r="AM880" s="390"/>
      <c r="AN880" s="390"/>
      <c r="AO880" s="390"/>
      <c r="AP880" s="390"/>
      <c r="AQ880" s="390"/>
      <c r="AR880" s="390"/>
      <c r="AS880" s="390"/>
    </row>
    <row r="881" spans="2:45" x14ac:dyDescent="0.3">
      <c r="B881" s="54" t="s">
        <v>51</v>
      </c>
      <c r="C881" s="55"/>
      <c r="D881" s="322"/>
      <c r="E881" s="322"/>
      <c r="F881" s="322"/>
      <c r="G881" s="322"/>
      <c r="H881" s="322"/>
      <c r="I881" s="322"/>
      <c r="J881" s="322"/>
      <c r="K881" s="322"/>
      <c r="L881" s="322"/>
      <c r="M881" s="322"/>
      <c r="N881" s="322"/>
      <c r="O881" s="322"/>
      <c r="P881" s="322"/>
      <c r="Q881" s="322"/>
      <c r="R881" s="322"/>
      <c r="S881" s="322"/>
      <c r="T881" s="218"/>
      <c r="U881" s="218"/>
      <c r="V881" s="218"/>
      <c r="W881" s="322"/>
      <c r="Y881" s="390"/>
      <c r="Z881" s="390"/>
      <c r="AA881" s="390"/>
      <c r="AB881" s="390"/>
      <c r="AC881" s="390"/>
      <c r="AD881" s="390"/>
      <c r="AE881" s="390"/>
      <c r="AF881" s="390"/>
      <c r="AG881" s="390"/>
      <c r="AH881" s="390"/>
      <c r="AI881" s="390"/>
      <c r="AJ881" s="390"/>
      <c r="AK881" s="390"/>
      <c r="AL881" s="390"/>
      <c r="AM881" s="390"/>
      <c r="AN881" s="390"/>
      <c r="AO881" s="390"/>
      <c r="AP881" s="390"/>
      <c r="AQ881" s="390"/>
      <c r="AR881" s="390"/>
      <c r="AS881" s="390"/>
    </row>
    <row r="882" spans="2:45" x14ac:dyDescent="0.3">
      <c r="B882" s="54" t="s">
        <v>56</v>
      </c>
      <c r="C882" s="55"/>
      <c r="D882" s="21">
        <v>0</v>
      </c>
      <c r="E882" s="21">
        <v>0</v>
      </c>
      <c r="F882" s="21">
        <v>0</v>
      </c>
      <c r="G882" s="21">
        <v>0</v>
      </c>
      <c r="H882" s="21">
        <v>0</v>
      </c>
      <c r="I882" s="21">
        <v>0</v>
      </c>
      <c r="J882" s="21">
        <v>0</v>
      </c>
      <c r="K882" s="21">
        <v>0</v>
      </c>
      <c r="L882" s="21">
        <v>0</v>
      </c>
      <c r="M882" s="21">
        <v>0</v>
      </c>
      <c r="N882" s="21">
        <v>0</v>
      </c>
      <c r="O882" s="21">
        <v>0</v>
      </c>
      <c r="P882" s="21">
        <v>0</v>
      </c>
      <c r="Q882" s="21">
        <v>0</v>
      </c>
      <c r="R882" s="21">
        <v>0</v>
      </c>
      <c r="S882" s="21">
        <v>0</v>
      </c>
      <c r="T882" s="21"/>
      <c r="U882" s="21"/>
      <c r="V882" s="21"/>
      <c r="W882" s="21">
        <v>0</v>
      </c>
      <c r="Y882" s="390"/>
      <c r="Z882" s="390"/>
      <c r="AA882" s="390"/>
      <c r="AB882" s="390"/>
      <c r="AC882" s="390"/>
      <c r="AD882" s="390"/>
      <c r="AE882" s="390"/>
      <c r="AF882" s="390"/>
      <c r="AG882" s="390"/>
      <c r="AH882" s="390"/>
      <c r="AI882" s="390"/>
      <c r="AJ882" s="390"/>
      <c r="AK882" s="390"/>
      <c r="AL882" s="390"/>
      <c r="AM882" s="390"/>
      <c r="AN882" s="390"/>
      <c r="AO882" s="390"/>
      <c r="AP882" s="390"/>
      <c r="AQ882" s="390"/>
      <c r="AR882" s="390"/>
      <c r="AS882" s="390"/>
    </row>
    <row r="883" spans="2:45" x14ac:dyDescent="0.3">
      <c r="B883" s="177" t="s">
        <v>67</v>
      </c>
      <c r="C883" s="178"/>
      <c r="D883" s="323">
        <v>492.1</v>
      </c>
      <c r="E883" s="323">
        <v>492.1</v>
      </c>
      <c r="F883" s="323">
        <v>492.1</v>
      </c>
      <c r="G883" s="323">
        <v>492.1</v>
      </c>
      <c r="H883" s="323">
        <v>492.1</v>
      </c>
      <c r="I883" s="323">
        <v>492.1</v>
      </c>
      <c r="J883" s="323">
        <v>492.1</v>
      </c>
      <c r="K883" s="323">
        <v>492.1</v>
      </c>
      <c r="L883" s="323">
        <v>492.1</v>
      </c>
      <c r="M883" s="323">
        <v>492.1</v>
      </c>
      <c r="N883" s="323">
        <v>492.1</v>
      </c>
      <c r="O883" s="323">
        <v>492.1</v>
      </c>
      <c r="P883" s="323">
        <v>492.1</v>
      </c>
      <c r="Q883" s="323">
        <v>492.1</v>
      </c>
      <c r="R883" s="323">
        <v>492.1</v>
      </c>
      <c r="S883" s="323">
        <v>492.1</v>
      </c>
      <c r="T883" s="323"/>
      <c r="U883" s="323"/>
      <c r="V883" s="323"/>
      <c r="W883" s="323">
        <v>492.1</v>
      </c>
      <c r="Y883" s="390"/>
      <c r="Z883" s="390"/>
      <c r="AA883" s="390"/>
      <c r="AB883" s="390"/>
      <c r="AC883" s="390"/>
      <c r="AD883" s="390"/>
      <c r="AE883" s="390"/>
      <c r="AF883" s="390"/>
      <c r="AG883" s="390"/>
      <c r="AH883" s="390"/>
      <c r="AI883" s="390"/>
      <c r="AJ883" s="390"/>
      <c r="AK883" s="390"/>
      <c r="AL883" s="390"/>
      <c r="AM883" s="390"/>
      <c r="AN883" s="390"/>
      <c r="AO883" s="390"/>
      <c r="AP883" s="390"/>
      <c r="AQ883" s="390"/>
      <c r="AR883" s="390"/>
      <c r="AS883" s="390"/>
    </row>
    <row r="884" spans="2:45" x14ac:dyDescent="0.3">
      <c r="B884" s="54" t="s">
        <v>66</v>
      </c>
      <c r="C884" s="56">
        <v>7.0000000000000007E-2</v>
      </c>
      <c r="D884" s="24">
        <f>D883*$C884</f>
        <v>34.447000000000003</v>
      </c>
      <c r="E884" s="24">
        <f t="shared" ref="E884:V884" si="735">E883*$C884</f>
        <v>34.447000000000003</v>
      </c>
      <c r="F884" s="24">
        <f t="shared" si="735"/>
        <v>34.447000000000003</v>
      </c>
      <c r="G884" s="24">
        <f t="shared" si="735"/>
        <v>34.447000000000003</v>
      </c>
      <c r="H884" s="24">
        <f t="shared" si="735"/>
        <v>34.447000000000003</v>
      </c>
      <c r="I884" s="24">
        <f t="shared" si="735"/>
        <v>34.447000000000003</v>
      </c>
      <c r="J884" s="24">
        <f t="shared" si="735"/>
        <v>34.447000000000003</v>
      </c>
      <c r="K884" s="24">
        <f t="shared" si="735"/>
        <v>34.447000000000003</v>
      </c>
      <c r="L884" s="24">
        <f t="shared" si="735"/>
        <v>34.447000000000003</v>
      </c>
      <c r="M884" s="24">
        <f t="shared" si="735"/>
        <v>34.447000000000003</v>
      </c>
      <c r="N884" s="24">
        <f t="shared" si="735"/>
        <v>34.447000000000003</v>
      </c>
      <c r="O884" s="24">
        <f t="shared" si="735"/>
        <v>34.447000000000003</v>
      </c>
      <c r="P884" s="24">
        <f t="shared" si="735"/>
        <v>34.447000000000003</v>
      </c>
      <c r="Q884" s="24">
        <f t="shared" si="735"/>
        <v>34.447000000000003</v>
      </c>
      <c r="R884" s="24">
        <f t="shared" si="735"/>
        <v>34.447000000000003</v>
      </c>
      <c r="S884" s="24">
        <f t="shared" si="735"/>
        <v>34.447000000000003</v>
      </c>
      <c r="T884" s="24">
        <f t="shared" si="735"/>
        <v>0</v>
      </c>
      <c r="U884" s="24">
        <f t="shared" si="735"/>
        <v>0</v>
      </c>
      <c r="V884" s="24">
        <f t="shared" si="735"/>
        <v>0</v>
      </c>
      <c r="W884" s="24">
        <f>W883*$C884</f>
        <v>34.447000000000003</v>
      </c>
      <c r="Y884" s="390"/>
      <c r="Z884" s="390"/>
      <c r="AA884" s="390"/>
      <c r="AB884" s="390"/>
      <c r="AC884" s="390"/>
      <c r="AD884" s="390"/>
      <c r="AE884" s="390"/>
      <c r="AF884" s="390"/>
      <c r="AG884" s="390"/>
      <c r="AH884" s="390"/>
      <c r="AI884" s="390"/>
      <c r="AJ884" s="390"/>
      <c r="AK884" s="390"/>
      <c r="AL884" s="390"/>
      <c r="AM884" s="390"/>
      <c r="AN884" s="390"/>
      <c r="AO884" s="390"/>
      <c r="AP884" s="390"/>
      <c r="AQ884" s="390"/>
      <c r="AR884" s="390"/>
      <c r="AS884" s="390"/>
    </row>
    <row r="885" spans="2:45" x14ac:dyDescent="0.3">
      <c r="B885" s="54" t="s">
        <v>68</v>
      </c>
      <c r="C885" s="55"/>
      <c r="D885" s="21">
        <f>D883+D884</f>
        <v>526.54700000000003</v>
      </c>
      <c r="E885" s="21">
        <f t="shared" ref="E885:V885" si="736">E883+E884</f>
        <v>526.54700000000003</v>
      </c>
      <c r="F885" s="21">
        <f t="shared" si="736"/>
        <v>526.54700000000003</v>
      </c>
      <c r="G885" s="21">
        <f t="shared" si="736"/>
        <v>526.54700000000003</v>
      </c>
      <c r="H885" s="21">
        <f t="shared" si="736"/>
        <v>526.54700000000003</v>
      </c>
      <c r="I885" s="21">
        <f t="shared" si="736"/>
        <v>526.54700000000003</v>
      </c>
      <c r="J885" s="21">
        <f t="shared" si="736"/>
        <v>526.54700000000003</v>
      </c>
      <c r="K885" s="21">
        <f t="shared" si="736"/>
        <v>526.54700000000003</v>
      </c>
      <c r="L885" s="21">
        <f t="shared" si="736"/>
        <v>526.54700000000003</v>
      </c>
      <c r="M885" s="21">
        <f t="shared" si="736"/>
        <v>526.54700000000003</v>
      </c>
      <c r="N885" s="21">
        <f t="shared" si="736"/>
        <v>526.54700000000003</v>
      </c>
      <c r="O885" s="21">
        <f t="shared" si="736"/>
        <v>526.54700000000003</v>
      </c>
      <c r="P885" s="21">
        <f t="shared" si="736"/>
        <v>526.54700000000003</v>
      </c>
      <c r="Q885" s="21">
        <f t="shared" si="736"/>
        <v>526.54700000000003</v>
      </c>
      <c r="R885" s="21">
        <f t="shared" si="736"/>
        <v>526.54700000000003</v>
      </c>
      <c r="S885" s="21">
        <f t="shared" si="736"/>
        <v>526.54700000000003</v>
      </c>
      <c r="T885" s="21">
        <f t="shared" si="736"/>
        <v>0</v>
      </c>
      <c r="U885" s="21">
        <f t="shared" si="736"/>
        <v>0</v>
      </c>
      <c r="V885" s="21">
        <f t="shared" si="736"/>
        <v>0</v>
      </c>
      <c r="W885" s="21">
        <f>W883+W884</f>
        <v>526.54700000000003</v>
      </c>
      <c r="Y885" s="390"/>
      <c r="Z885" s="390"/>
      <c r="AA885" s="390"/>
      <c r="AB885" s="390"/>
      <c r="AC885" s="390"/>
      <c r="AD885" s="390"/>
      <c r="AE885" s="390"/>
      <c r="AF885" s="390"/>
      <c r="AG885" s="390"/>
      <c r="AH885" s="390"/>
      <c r="AI885" s="390"/>
      <c r="AJ885" s="390"/>
      <c r="AK885" s="390"/>
      <c r="AL885" s="390"/>
      <c r="AM885" s="390"/>
      <c r="AN885" s="390"/>
      <c r="AO885" s="390"/>
      <c r="AP885" s="390"/>
      <c r="AQ885" s="390"/>
      <c r="AR885" s="390"/>
      <c r="AS885" s="390"/>
    </row>
    <row r="886" spans="2:45" x14ac:dyDescent="0.3">
      <c r="B886" s="54" t="s">
        <v>52</v>
      </c>
      <c r="C886" s="55"/>
      <c r="D886" s="20">
        <v>14.467741935483872</v>
      </c>
      <c r="E886" s="21">
        <v>34.596774193548384</v>
      </c>
      <c r="F886" s="21">
        <v>45.604838709677423</v>
      </c>
      <c r="G886" s="21">
        <v>25.161290322580644</v>
      </c>
      <c r="H886" s="21">
        <v>17.822580645161288</v>
      </c>
      <c r="I886" s="21">
        <v>24.637096774193548</v>
      </c>
      <c r="J886" s="21">
        <v>36.169354838709673</v>
      </c>
      <c r="K886" s="21">
        <v>30.403225806451612</v>
      </c>
      <c r="L886" s="21">
        <v>32.5</v>
      </c>
      <c r="M886" s="21">
        <v>14.887096774193548</v>
      </c>
      <c r="N886" s="21">
        <v>18.241935483870968</v>
      </c>
      <c r="O886" s="21">
        <v>25.161290322580644</v>
      </c>
      <c r="P886" s="21">
        <v>10.483870967741936</v>
      </c>
      <c r="Q886" s="21">
        <v>10.483870967741936</v>
      </c>
      <c r="R886" s="21">
        <v>20.967741935483872</v>
      </c>
      <c r="S886" s="21">
        <v>18.032258064516128</v>
      </c>
      <c r="T886" s="21"/>
      <c r="U886" s="21"/>
      <c r="V886" s="21"/>
      <c r="W886" s="21">
        <v>10.483870967741936</v>
      </c>
      <c r="Y886" s="390"/>
      <c r="Z886" s="390"/>
      <c r="AA886" s="390"/>
      <c r="AB886" s="390"/>
      <c r="AC886" s="390"/>
      <c r="AD886" s="390"/>
      <c r="AE886" s="390"/>
      <c r="AF886" s="390"/>
      <c r="AG886" s="390"/>
      <c r="AH886" s="390"/>
      <c r="AI886" s="390"/>
      <c r="AJ886" s="390"/>
      <c r="AK886" s="390"/>
      <c r="AL886" s="390"/>
      <c r="AM886" s="390"/>
      <c r="AN886" s="390"/>
      <c r="AO886" s="390"/>
      <c r="AP886" s="390"/>
      <c r="AQ886" s="390"/>
      <c r="AR886" s="390"/>
      <c r="AS886" s="390"/>
    </row>
    <row r="887" spans="2:45" x14ac:dyDescent="0.3">
      <c r="B887" s="57" t="s">
        <v>53</v>
      </c>
      <c r="C887" s="58"/>
      <c r="D887" s="25">
        <f>SUM(D885:D886)</f>
        <v>541.01474193548393</v>
      </c>
      <c r="E887" s="26">
        <f t="shared" ref="E887:V887" si="737">SUM(E885:E886)</f>
        <v>561.14377419354844</v>
      </c>
      <c r="F887" s="26">
        <f t="shared" si="737"/>
        <v>572.15183870967746</v>
      </c>
      <c r="G887" s="26">
        <f t="shared" si="737"/>
        <v>551.70829032258064</v>
      </c>
      <c r="H887" s="26">
        <f t="shared" si="737"/>
        <v>544.36958064516136</v>
      </c>
      <c r="I887" s="26">
        <f t="shared" si="737"/>
        <v>551.18409677419356</v>
      </c>
      <c r="J887" s="26">
        <f t="shared" si="737"/>
        <v>562.71635483870966</v>
      </c>
      <c r="K887" s="26">
        <f t="shared" si="737"/>
        <v>556.95022580645161</v>
      </c>
      <c r="L887" s="26">
        <f t="shared" si="737"/>
        <v>559.04700000000003</v>
      </c>
      <c r="M887" s="26">
        <f t="shared" si="737"/>
        <v>541.43409677419356</v>
      </c>
      <c r="N887" s="26">
        <f t="shared" si="737"/>
        <v>544.788935483871</v>
      </c>
      <c r="O887" s="26">
        <f t="shared" si="737"/>
        <v>551.70829032258064</v>
      </c>
      <c r="P887" s="26">
        <f t="shared" si="737"/>
        <v>537.03087096774198</v>
      </c>
      <c r="Q887" s="26">
        <f t="shared" si="737"/>
        <v>537.03087096774198</v>
      </c>
      <c r="R887" s="26">
        <f t="shared" si="737"/>
        <v>547.51474193548393</v>
      </c>
      <c r="S887" s="26">
        <f t="shared" si="737"/>
        <v>544.57925806451613</v>
      </c>
      <c r="T887" s="26">
        <f t="shared" si="737"/>
        <v>0</v>
      </c>
      <c r="U887" s="26">
        <f t="shared" si="737"/>
        <v>0</v>
      </c>
      <c r="V887" s="26">
        <f t="shared" si="737"/>
        <v>0</v>
      </c>
      <c r="W887" s="26">
        <f>SUM(W885:W886)</f>
        <v>537.03087096774198</v>
      </c>
      <c r="Y887" s="390"/>
      <c r="Z887" s="390"/>
      <c r="AA887" s="390"/>
      <c r="AB887" s="390"/>
      <c r="AC887" s="390"/>
      <c r="AD887" s="390"/>
      <c r="AE887" s="390"/>
      <c r="AF887" s="390"/>
      <c r="AG887" s="390"/>
      <c r="AH887" s="390"/>
      <c r="AI887" s="390"/>
      <c r="AJ887" s="390"/>
      <c r="AK887" s="390"/>
      <c r="AL887" s="390"/>
      <c r="AM887" s="390"/>
      <c r="AN887" s="390"/>
      <c r="AO887" s="390"/>
      <c r="AP887" s="390"/>
      <c r="AQ887" s="390"/>
      <c r="AR887" s="390"/>
      <c r="AS887" s="390"/>
    </row>
    <row r="888" spans="2:45" x14ac:dyDescent="0.3">
      <c r="B888" s="54" t="s">
        <v>54</v>
      </c>
      <c r="C888" s="55"/>
      <c r="D888" s="20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Y888" s="390"/>
      <c r="Z888" s="390"/>
      <c r="AA888" s="390"/>
      <c r="AB888" s="390"/>
      <c r="AC888" s="390"/>
      <c r="AD888" s="390"/>
      <c r="AE888" s="390"/>
      <c r="AF888" s="390"/>
      <c r="AG888" s="390"/>
      <c r="AH888" s="390"/>
      <c r="AI888" s="390"/>
      <c r="AJ888" s="390"/>
      <c r="AK888" s="390"/>
      <c r="AL888" s="390"/>
      <c r="AM888" s="390"/>
      <c r="AN888" s="390"/>
      <c r="AO888" s="390"/>
      <c r="AP888" s="390"/>
      <c r="AQ888" s="390"/>
      <c r="AR888" s="390"/>
      <c r="AS888" s="390"/>
    </row>
    <row r="889" spans="2:45" x14ac:dyDescent="0.3">
      <c r="B889" s="59" t="s">
        <v>55</v>
      </c>
      <c r="C889" s="60"/>
      <c r="D889" s="27">
        <f>SUM(D887:D888)</f>
        <v>541.01474193548393</v>
      </c>
      <c r="E889" s="41">
        <f t="shared" ref="E889:V889" si="738">SUM(E887:E888)</f>
        <v>561.14377419354844</v>
      </c>
      <c r="F889" s="41">
        <f t="shared" si="738"/>
        <v>572.15183870967746</v>
      </c>
      <c r="G889" s="41">
        <f t="shared" si="738"/>
        <v>551.70829032258064</v>
      </c>
      <c r="H889" s="41">
        <f t="shared" si="738"/>
        <v>544.36958064516136</v>
      </c>
      <c r="I889" s="41">
        <f t="shared" si="738"/>
        <v>551.18409677419356</v>
      </c>
      <c r="J889" s="41">
        <f t="shared" si="738"/>
        <v>562.71635483870966</v>
      </c>
      <c r="K889" s="41">
        <f t="shared" si="738"/>
        <v>556.95022580645161</v>
      </c>
      <c r="L889" s="41">
        <f t="shared" si="738"/>
        <v>559.04700000000003</v>
      </c>
      <c r="M889" s="41">
        <f t="shared" si="738"/>
        <v>541.43409677419356</v>
      </c>
      <c r="N889" s="41">
        <f t="shared" si="738"/>
        <v>544.788935483871</v>
      </c>
      <c r="O889" s="41">
        <f t="shared" si="738"/>
        <v>551.70829032258064</v>
      </c>
      <c r="P889" s="41">
        <f t="shared" si="738"/>
        <v>537.03087096774198</v>
      </c>
      <c r="Q889" s="41">
        <f t="shared" si="738"/>
        <v>537.03087096774198</v>
      </c>
      <c r="R889" s="41">
        <f t="shared" si="738"/>
        <v>547.51474193548393</v>
      </c>
      <c r="S889" s="41">
        <f t="shared" si="738"/>
        <v>544.57925806451613</v>
      </c>
      <c r="T889" s="41">
        <f t="shared" si="738"/>
        <v>0</v>
      </c>
      <c r="U889" s="41">
        <f t="shared" si="738"/>
        <v>0</v>
      </c>
      <c r="V889" s="41">
        <f t="shared" si="738"/>
        <v>0</v>
      </c>
      <c r="W889" s="41">
        <f>SUM(W887:W888)</f>
        <v>537.03087096774198</v>
      </c>
      <c r="Y889" s="390"/>
      <c r="Z889" s="390"/>
      <c r="AA889" s="390"/>
      <c r="AB889" s="390"/>
      <c r="AC889" s="390"/>
      <c r="AD889" s="390"/>
      <c r="AE889" s="390"/>
      <c r="AF889" s="390"/>
      <c r="AG889" s="390"/>
      <c r="AH889" s="390"/>
      <c r="AI889" s="390"/>
      <c r="AJ889" s="390"/>
      <c r="AK889" s="390"/>
      <c r="AL889" s="390"/>
      <c r="AM889" s="390"/>
      <c r="AN889" s="390"/>
      <c r="AO889" s="390"/>
      <c r="AP889" s="390"/>
      <c r="AQ889" s="390"/>
      <c r="AR889" s="390"/>
      <c r="AS889" s="390"/>
    </row>
    <row r="890" spans="2:45" x14ac:dyDescent="0.3">
      <c r="B890" s="61" t="s">
        <v>101</v>
      </c>
      <c r="C890" s="55"/>
      <c r="D890" s="43">
        <v>0</v>
      </c>
      <c r="E890" s="408">
        <v>0</v>
      </c>
      <c r="F890" s="408">
        <v>0</v>
      </c>
      <c r="G890" s="408">
        <v>0</v>
      </c>
      <c r="H890" s="408">
        <v>0</v>
      </c>
      <c r="I890" s="408">
        <v>0</v>
      </c>
      <c r="J890" s="408">
        <v>0</v>
      </c>
      <c r="K890" s="408">
        <v>0</v>
      </c>
      <c r="L890" s="408">
        <v>0</v>
      </c>
      <c r="M890" s="408">
        <v>0</v>
      </c>
      <c r="N890" s="408">
        <v>0</v>
      </c>
      <c r="O890" s="408">
        <v>0</v>
      </c>
      <c r="P890" s="408">
        <v>0</v>
      </c>
      <c r="Q890" s="408">
        <v>0</v>
      </c>
      <c r="R890" s="408">
        <v>0</v>
      </c>
      <c r="S890" s="408">
        <v>0</v>
      </c>
      <c r="T890" s="408">
        <v>0</v>
      </c>
      <c r="U890" s="408">
        <v>0</v>
      </c>
      <c r="V890" s="408">
        <v>0</v>
      </c>
      <c r="W890" s="408">
        <v>0</v>
      </c>
      <c r="Y890" s="409"/>
      <c r="Z890" s="409"/>
      <c r="AA890" s="409"/>
      <c r="AB890" s="409"/>
      <c r="AC890" s="409"/>
      <c r="AD890" s="409"/>
      <c r="AE890" s="409"/>
      <c r="AF890" s="409"/>
      <c r="AG890" s="409"/>
      <c r="AH890" s="409"/>
      <c r="AI890" s="409"/>
      <c r="AJ890" s="409"/>
      <c r="AK890" s="409"/>
      <c r="AL890" s="409"/>
      <c r="AM890" s="409"/>
      <c r="AN890" s="409"/>
      <c r="AO890" s="409"/>
      <c r="AP890" s="409"/>
      <c r="AQ890" s="409"/>
      <c r="AR890" s="409"/>
      <c r="AS890" s="409"/>
    </row>
    <row r="891" spans="2:45" x14ac:dyDescent="0.3">
      <c r="B891" s="61" t="s">
        <v>194</v>
      </c>
      <c r="C891" s="55"/>
      <c r="D891" s="228">
        <v>567</v>
      </c>
      <c r="E891" s="229">
        <v>587</v>
      </c>
      <c r="F891" s="229">
        <v>598</v>
      </c>
      <c r="G891" s="229">
        <v>577</v>
      </c>
      <c r="H891" s="229">
        <v>570</v>
      </c>
      <c r="I891" s="229">
        <v>577</v>
      </c>
      <c r="J891" s="229">
        <v>588</v>
      </c>
      <c r="K891" s="229">
        <v>582</v>
      </c>
      <c r="L891" s="229">
        <v>585</v>
      </c>
      <c r="M891" s="229">
        <v>567</v>
      </c>
      <c r="N891" s="229">
        <v>570</v>
      </c>
      <c r="O891" s="229">
        <v>577</v>
      </c>
      <c r="P891" s="229">
        <v>563</v>
      </c>
      <c r="Q891" s="229">
        <v>563</v>
      </c>
      <c r="R891" s="229">
        <v>573</v>
      </c>
      <c r="S891" s="229">
        <v>570</v>
      </c>
      <c r="T891" s="21">
        <v>0</v>
      </c>
      <c r="U891" s="21">
        <v>0</v>
      </c>
      <c r="V891" s="21">
        <v>0</v>
      </c>
      <c r="W891" s="229">
        <v>563</v>
      </c>
      <c r="Y891" s="390"/>
      <c r="Z891" s="390"/>
      <c r="AA891" s="390"/>
      <c r="AB891" s="390"/>
      <c r="AC891" s="390"/>
      <c r="AD891" s="390"/>
      <c r="AE891" s="390"/>
      <c r="AF891" s="390"/>
      <c r="AG891" s="390"/>
      <c r="AH891" s="390"/>
      <c r="AI891" s="390"/>
      <c r="AJ891" s="390"/>
      <c r="AK891" s="390"/>
      <c r="AL891" s="390"/>
      <c r="AM891" s="390"/>
      <c r="AN891" s="390"/>
      <c r="AO891" s="390"/>
      <c r="AP891" s="390"/>
      <c r="AQ891" s="390"/>
      <c r="AR891" s="390"/>
      <c r="AS891" s="390"/>
    </row>
    <row r="892" spans="2:45" x14ac:dyDescent="0.3">
      <c r="B892" s="61" t="s">
        <v>195</v>
      </c>
      <c r="C892" s="62"/>
      <c r="D892" s="28">
        <v>572</v>
      </c>
      <c r="E892" s="28">
        <v>592</v>
      </c>
      <c r="F892" s="28">
        <v>603</v>
      </c>
      <c r="G892" s="28">
        <v>582</v>
      </c>
      <c r="H892" s="28">
        <v>575</v>
      </c>
      <c r="I892" s="28">
        <v>582</v>
      </c>
      <c r="J892" s="28">
        <v>593</v>
      </c>
      <c r="K892" s="28">
        <v>587</v>
      </c>
      <c r="L892" s="28">
        <v>590</v>
      </c>
      <c r="M892" s="28">
        <v>572</v>
      </c>
      <c r="N892" s="28">
        <v>575</v>
      </c>
      <c r="O892" s="28">
        <v>582</v>
      </c>
      <c r="P892" s="28">
        <v>568</v>
      </c>
      <c r="Q892" s="28">
        <v>568</v>
      </c>
      <c r="R892" s="28">
        <v>578</v>
      </c>
      <c r="S892" s="28">
        <v>575</v>
      </c>
      <c r="T892" s="410">
        <v>0</v>
      </c>
      <c r="U892" s="410">
        <v>0</v>
      </c>
      <c r="V892" s="410">
        <v>0</v>
      </c>
      <c r="W892" s="28">
        <v>568</v>
      </c>
      <c r="Y892" s="390"/>
      <c r="Z892" s="390"/>
      <c r="AA892" s="390"/>
      <c r="AB892" s="390"/>
      <c r="AC892" s="390"/>
      <c r="AD892" s="390"/>
      <c r="AE892" s="390"/>
      <c r="AF892" s="390"/>
      <c r="AG892" s="390"/>
      <c r="AH892" s="390"/>
      <c r="AI892" s="390"/>
      <c r="AJ892" s="390"/>
      <c r="AK892" s="390"/>
      <c r="AL892" s="390"/>
      <c r="AM892" s="390"/>
      <c r="AN892" s="390"/>
      <c r="AO892" s="390"/>
      <c r="AP892" s="390"/>
      <c r="AQ892" s="390"/>
      <c r="AR892" s="390"/>
      <c r="AS892" s="390"/>
    </row>
    <row r="893" spans="2:45" x14ac:dyDescent="0.3">
      <c r="B893" s="61" t="s">
        <v>196</v>
      </c>
      <c r="C893" s="62"/>
      <c r="D893" s="28">
        <v>577</v>
      </c>
      <c r="E893" s="28">
        <v>597</v>
      </c>
      <c r="F893" s="28">
        <v>608</v>
      </c>
      <c r="G893" s="28">
        <v>587</v>
      </c>
      <c r="H893" s="28">
        <v>580</v>
      </c>
      <c r="I893" s="28">
        <v>587</v>
      </c>
      <c r="J893" s="28">
        <v>598</v>
      </c>
      <c r="K893" s="28">
        <v>592</v>
      </c>
      <c r="L893" s="28">
        <v>595</v>
      </c>
      <c r="M893" s="28">
        <v>577</v>
      </c>
      <c r="N893" s="28">
        <v>580</v>
      </c>
      <c r="O893" s="28">
        <v>587</v>
      </c>
      <c r="P893" s="28">
        <v>573</v>
      </c>
      <c r="Q893" s="28">
        <v>573</v>
      </c>
      <c r="R893" s="28">
        <v>583</v>
      </c>
      <c r="S893" s="28">
        <v>580</v>
      </c>
      <c r="T893" s="410">
        <v>0</v>
      </c>
      <c r="U893" s="410">
        <v>0</v>
      </c>
      <c r="V893" s="410">
        <v>0</v>
      </c>
      <c r="W893" s="28">
        <v>573</v>
      </c>
      <c r="Y893" s="390"/>
      <c r="Z893" s="390"/>
      <c r="AA893" s="390"/>
      <c r="AB893" s="390"/>
      <c r="AC893" s="390"/>
      <c r="AD893" s="390"/>
      <c r="AE893" s="390"/>
      <c r="AF893" s="390"/>
      <c r="AG893" s="390"/>
      <c r="AH893" s="390"/>
      <c r="AI893" s="390"/>
      <c r="AJ893" s="390"/>
      <c r="AK893" s="390"/>
      <c r="AL893" s="390"/>
      <c r="AM893" s="390"/>
      <c r="AN893" s="390"/>
      <c r="AO893" s="390"/>
      <c r="AP893" s="390"/>
      <c r="AQ893" s="390"/>
      <c r="AR893" s="390"/>
      <c r="AS893" s="390"/>
    </row>
    <row r="894" spans="2:45" x14ac:dyDescent="0.3">
      <c r="B894" s="61" t="s">
        <v>197</v>
      </c>
      <c r="C894" s="62"/>
      <c r="D894" s="28">
        <v>582</v>
      </c>
      <c r="E894" s="28">
        <v>602</v>
      </c>
      <c r="F894" s="28">
        <v>613</v>
      </c>
      <c r="G894" s="28">
        <v>592</v>
      </c>
      <c r="H894" s="28">
        <v>585</v>
      </c>
      <c r="I894" s="28">
        <v>592</v>
      </c>
      <c r="J894" s="28">
        <v>603</v>
      </c>
      <c r="K894" s="28">
        <v>597</v>
      </c>
      <c r="L894" s="28">
        <v>600</v>
      </c>
      <c r="M894" s="28">
        <v>582</v>
      </c>
      <c r="N894" s="28">
        <v>585</v>
      </c>
      <c r="O894" s="28">
        <v>592</v>
      </c>
      <c r="P894" s="28">
        <v>578</v>
      </c>
      <c r="Q894" s="28">
        <v>578</v>
      </c>
      <c r="R894" s="28">
        <v>588</v>
      </c>
      <c r="S894" s="28">
        <v>585</v>
      </c>
      <c r="T894" s="410">
        <v>0</v>
      </c>
      <c r="U894" s="410">
        <v>0</v>
      </c>
      <c r="V894" s="410">
        <v>0</v>
      </c>
      <c r="W894" s="28">
        <v>578</v>
      </c>
      <c r="Y894" s="390"/>
      <c r="Z894" s="390"/>
      <c r="AA894" s="390"/>
      <c r="AB894" s="390"/>
      <c r="AC894" s="390"/>
      <c r="AD894" s="390"/>
      <c r="AE894" s="390"/>
      <c r="AF894" s="390"/>
      <c r="AG894" s="390"/>
      <c r="AH894" s="390"/>
      <c r="AI894" s="390"/>
      <c r="AJ894" s="390"/>
      <c r="AK894" s="390"/>
      <c r="AL894" s="390"/>
      <c r="AM894" s="390"/>
      <c r="AN894" s="390"/>
      <c r="AO894" s="390"/>
      <c r="AP894" s="390"/>
      <c r="AQ894" s="390"/>
      <c r="AR894" s="390"/>
      <c r="AS894" s="390"/>
    </row>
    <row r="895" spans="2:45" x14ac:dyDescent="0.3">
      <c r="B895" s="63" t="s">
        <v>103</v>
      </c>
      <c r="C895" s="55"/>
      <c r="D895" s="43">
        <v>0</v>
      </c>
      <c r="E895" s="408">
        <v>0</v>
      </c>
      <c r="F895" s="408">
        <v>0</v>
      </c>
      <c r="G895" s="408">
        <v>0</v>
      </c>
      <c r="H895" s="408">
        <v>0</v>
      </c>
      <c r="I895" s="408">
        <v>0</v>
      </c>
      <c r="J895" s="408">
        <v>0</v>
      </c>
      <c r="K895" s="408">
        <v>0</v>
      </c>
      <c r="L895" s="408">
        <v>0</v>
      </c>
      <c r="M895" s="408">
        <v>0</v>
      </c>
      <c r="N895" s="408">
        <v>0</v>
      </c>
      <c r="O895" s="408">
        <v>0</v>
      </c>
      <c r="P895" s="408">
        <v>0</v>
      </c>
      <c r="Q895" s="408">
        <v>0</v>
      </c>
      <c r="R895" s="408">
        <v>0</v>
      </c>
      <c r="S895" s="408">
        <v>0</v>
      </c>
      <c r="T895" s="408">
        <v>0</v>
      </c>
      <c r="U895" s="408">
        <v>0</v>
      </c>
      <c r="V895" s="408">
        <v>0</v>
      </c>
      <c r="W895" s="408">
        <v>0</v>
      </c>
      <c r="Y895" s="409"/>
      <c r="Z895" s="409"/>
      <c r="AA895" s="409"/>
      <c r="AB895" s="409"/>
      <c r="AC895" s="409"/>
      <c r="AD895" s="409"/>
      <c r="AE895" s="409"/>
      <c r="AF895" s="409"/>
      <c r="AG895" s="409"/>
      <c r="AH895" s="409"/>
      <c r="AI895" s="409"/>
      <c r="AJ895" s="409"/>
      <c r="AK895" s="409"/>
      <c r="AL895" s="409"/>
      <c r="AM895" s="409"/>
      <c r="AN895" s="409"/>
      <c r="AO895" s="409"/>
      <c r="AP895" s="409"/>
      <c r="AQ895" s="409"/>
      <c r="AR895" s="409"/>
      <c r="AS895" s="409"/>
    </row>
    <row r="896" spans="2:45" x14ac:dyDescent="0.3">
      <c r="B896" s="63" t="s">
        <v>198</v>
      </c>
      <c r="C896" s="62"/>
      <c r="D896" s="31">
        <f t="shared" ref="D896:S896" si="739">+D891-D$889</f>
        <v>25.985258064516074</v>
      </c>
      <c r="E896" s="31">
        <f t="shared" si="739"/>
        <v>25.856225806451562</v>
      </c>
      <c r="F896" s="31">
        <f t="shared" si="739"/>
        <v>25.848161290322537</v>
      </c>
      <c r="G896" s="31">
        <f t="shared" si="739"/>
        <v>25.291709677419362</v>
      </c>
      <c r="H896" s="31">
        <f t="shared" si="739"/>
        <v>25.630419354838637</v>
      </c>
      <c r="I896" s="31">
        <f t="shared" si="739"/>
        <v>25.815903225806437</v>
      </c>
      <c r="J896" s="31">
        <f t="shared" si="739"/>
        <v>25.283645161290337</v>
      </c>
      <c r="K896" s="31">
        <f t="shared" si="739"/>
        <v>25.049774193548387</v>
      </c>
      <c r="L896" s="31">
        <f t="shared" si="739"/>
        <v>25.952999999999975</v>
      </c>
      <c r="M896" s="31">
        <f t="shared" si="739"/>
        <v>25.565903225806437</v>
      </c>
      <c r="N896" s="31">
        <f t="shared" si="739"/>
        <v>25.211064516128999</v>
      </c>
      <c r="O896" s="31">
        <f t="shared" si="739"/>
        <v>25.291709677419362</v>
      </c>
      <c r="P896" s="31">
        <f t="shared" si="739"/>
        <v>25.969129032258024</v>
      </c>
      <c r="Q896" s="31">
        <f t="shared" si="739"/>
        <v>25.969129032258024</v>
      </c>
      <c r="R896" s="31">
        <f t="shared" si="739"/>
        <v>25.485258064516074</v>
      </c>
      <c r="S896" s="31">
        <f t="shared" si="739"/>
        <v>25.420741935483875</v>
      </c>
      <c r="T896" s="29"/>
      <c r="U896" s="29"/>
      <c r="V896" s="29"/>
      <c r="W896" s="31">
        <f>+W891-W$889</f>
        <v>25.969129032258024</v>
      </c>
      <c r="Y896" s="390"/>
      <c r="Z896" s="390"/>
      <c r="AA896" s="390"/>
      <c r="AB896" s="390"/>
      <c r="AC896" s="390"/>
      <c r="AD896" s="390"/>
      <c r="AE896" s="390"/>
      <c r="AF896" s="390"/>
      <c r="AG896" s="390"/>
      <c r="AH896" s="390"/>
      <c r="AI896" s="390"/>
      <c r="AJ896" s="390"/>
      <c r="AK896" s="390"/>
      <c r="AL896" s="390"/>
      <c r="AM896" s="390"/>
      <c r="AN896" s="390"/>
      <c r="AO896" s="390"/>
      <c r="AP896" s="390"/>
      <c r="AQ896" s="390"/>
      <c r="AR896" s="390"/>
      <c r="AS896" s="390"/>
    </row>
    <row r="897" spans="1:45" x14ac:dyDescent="0.3">
      <c r="B897" s="63" t="s">
        <v>199</v>
      </c>
      <c r="C897" s="64"/>
      <c r="D897" s="31">
        <f t="shared" ref="D897:S897" si="740">+D892-D$889</f>
        <v>30.985258064516074</v>
      </c>
      <c r="E897" s="32">
        <f t="shared" si="740"/>
        <v>30.856225806451562</v>
      </c>
      <c r="F897" s="32">
        <f t="shared" si="740"/>
        <v>30.848161290322537</v>
      </c>
      <c r="G897" s="32">
        <f t="shared" si="740"/>
        <v>30.291709677419362</v>
      </c>
      <c r="H897" s="32">
        <f t="shared" si="740"/>
        <v>30.630419354838637</v>
      </c>
      <c r="I897" s="32">
        <f t="shared" si="740"/>
        <v>30.815903225806437</v>
      </c>
      <c r="J897" s="32">
        <f t="shared" si="740"/>
        <v>30.283645161290337</v>
      </c>
      <c r="K897" s="32">
        <f t="shared" si="740"/>
        <v>30.049774193548387</v>
      </c>
      <c r="L897" s="32">
        <f t="shared" si="740"/>
        <v>30.952999999999975</v>
      </c>
      <c r="M897" s="32">
        <f t="shared" si="740"/>
        <v>30.565903225806437</v>
      </c>
      <c r="N897" s="32">
        <f t="shared" si="740"/>
        <v>30.211064516128999</v>
      </c>
      <c r="O897" s="32">
        <f t="shared" si="740"/>
        <v>30.291709677419362</v>
      </c>
      <c r="P897" s="32">
        <f t="shared" si="740"/>
        <v>30.969129032258024</v>
      </c>
      <c r="Q897" s="32">
        <f t="shared" si="740"/>
        <v>30.969129032258024</v>
      </c>
      <c r="R897" s="32">
        <f t="shared" si="740"/>
        <v>30.485258064516074</v>
      </c>
      <c r="S897" s="32">
        <f t="shared" si="740"/>
        <v>30.420741935483875</v>
      </c>
      <c r="T897" s="32"/>
      <c r="U897" s="32"/>
      <c r="V897" s="32"/>
      <c r="W897" s="32">
        <f>+W892-W$889</f>
        <v>30.969129032258024</v>
      </c>
      <c r="Y897" s="390"/>
      <c r="Z897" s="390"/>
      <c r="AA897" s="390"/>
      <c r="AB897" s="390"/>
      <c r="AC897" s="390"/>
      <c r="AD897" s="390"/>
      <c r="AE897" s="390"/>
      <c r="AF897" s="390"/>
      <c r="AG897" s="390"/>
      <c r="AH897" s="390"/>
      <c r="AI897" s="390"/>
      <c r="AJ897" s="390"/>
      <c r="AK897" s="390"/>
      <c r="AL897" s="390"/>
      <c r="AM897" s="390"/>
      <c r="AN897" s="390"/>
      <c r="AO897" s="390"/>
      <c r="AP897" s="390"/>
      <c r="AQ897" s="390"/>
      <c r="AR897" s="390"/>
      <c r="AS897" s="390"/>
    </row>
    <row r="898" spans="1:45" x14ac:dyDescent="0.3">
      <c r="B898" s="63" t="s">
        <v>200</v>
      </c>
      <c r="C898" s="64"/>
      <c r="D898" s="31">
        <f t="shared" ref="D898:S898" si="741">+D893-D$889</f>
        <v>35.985258064516074</v>
      </c>
      <c r="E898" s="32">
        <f t="shared" si="741"/>
        <v>35.856225806451562</v>
      </c>
      <c r="F898" s="32">
        <f t="shared" si="741"/>
        <v>35.848161290322537</v>
      </c>
      <c r="G898" s="32">
        <f t="shared" si="741"/>
        <v>35.291709677419362</v>
      </c>
      <c r="H898" s="32">
        <f t="shared" si="741"/>
        <v>35.630419354838637</v>
      </c>
      <c r="I898" s="32">
        <f t="shared" si="741"/>
        <v>35.815903225806437</v>
      </c>
      <c r="J898" s="32">
        <f t="shared" si="741"/>
        <v>35.283645161290337</v>
      </c>
      <c r="K898" s="32">
        <f t="shared" si="741"/>
        <v>35.049774193548387</v>
      </c>
      <c r="L898" s="32">
        <f t="shared" si="741"/>
        <v>35.952999999999975</v>
      </c>
      <c r="M898" s="32">
        <f t="shared" si="741"/>
        <v>35.565903225806437</v>
      </c>
      <c r="N898" s="32">
        <f t="shared" si="741"/>
        <v>35.211064516128999</v>
      </c>
      <c r="O898" s="32">
        <f t="shared" si="741"/>
        <v>35.291709677419362</v>
      </c>
      <c r="P898" s="32">
        <f t="shared" si="741"/>
        <v>35.969129032258024</v>
      </c>
      <c r="Q898" s="32">
        <f t="shared" si="741"/>
        <v>35.969129032258024</v>
      </c>
      <c r="R898" s="32">
        <f t="shared" si="741"/>
        <v>35.485258064516074</v>
      </c>
      <c r="S898" s="32">
        <f t="shared" si="741"/>
        <v>35.420741935483875</v>
      </c>
      <c r="T898" s="32"/>
      <c r="U898" s="32"/>
      <c r="V898" s="32"/>
      <c r="W898" s="32">
        <f>+W893-W$889</f>
        <v>35.969129032258024</v>
      </c>
      <c r="Y898" s="390"/>
      <c r="Z898" s="390"/>
      <c r="AA898" s="390"/>
      <c r="AB898" s="390"/>
      <c r="AC898" s="390"/>
      <c r="AD898" s="390"/>
      <c r="AE898" s="390"/>
      <c r="AF898" s="390"/>
      <c r="AG898" s="390"/>
      <c r="AH898" s="390"/>
      <c r="AI898" s="390"/>
      <c r="AJ898" s="390"/>
      <c r="AK898" s="390"/>
      <c r="AL898" s="390"/>
      <c r="AM898" s="390"/>
      <c r="AN898" s="390"/>
      <c r="AO898" s="390"/>
      <c r="AP898" s="390"/>
      <c r="AQ898" s="390"/>
      <c r="AR898" s="390"/>
      <c r="AS898" s="390"/>
    </row>
    <row r="899" spans="1:45" x14ac:dyDescent="0.3">
      <c r="B899" s="63" t="s">
        <v>201</v>
      </c>
      <c r="C899" s="64"/>
      <c r="D899" s="31">
        <f t="shared" ref="D899:S899" si="742">+D894-D$889</f>
        <v>40.985258064516074</v>
      </c>
      <c r="E899" s="32">
        <f t="shared" si="742"/>
        <v>40.856225806451562</v>
      </c>
      <c r="F899" s="32">
        <f t="shared" si="742"/>
        <v>40.848161290322537</v>
      </c>
      <c r="G899" s="32">
        <f t="shared" si="742"/>
        <v>40.291709677419362</v>
      </c>
      <c r="H899" s="32">
        <f t="shared" si="742"/>
        <v>40.630419354838637</v>
      </c>
      <c r="I899" s="32">
        <f t="shared" si="742"/>
        <v>40.815903225806437</v>
      </c>
      <c r="J899" s="32">
        <f t="shared" si="742"/>
        <v>40.283645161290337</v>
      </c>
      <c r="K899" s="32">
        <f t="shared" si="742"/>
        <v>40.049774193548387</v>
      </c>
      <c r="L899" s="32">
        <f t="shared" si="742"/>
        <v>40.952999999999975</v>
      </c>
      <c r="M899" s="32">
        <f t="shared" si="742"/>
        <v>40.565903225806437</v>
      </c>
      <c r="N899" s="32">
        <f t="shared" si="742"/>
        <v>40.211064516128999</v>
      </c>
      <c r="O899" s="32">
        <f t="shared" si="742"/>
        <v>40.291709677419362</v>
      </c>
      <c r="P899" s="32">
        <f t="shared" si="742"/>
        <v>40.969129032258024</v>
      </c>
      <c r="Q899" s="32">
        <f t="shared" si="742"/>
        <v>40.969129032258024</v>
      </c>
      <c r="R899" s="32">
        <f t="shared" si="742"/>
        <v>40.485258064516074</v>
      </c>
      <c r="S899" s="32">
        <f t="shared" si="742"/>
        <v>40.420741935483875</v>
      </c>
      <c r="T899" s="32"/>
      <c r="U899" s="32"/>
      <c r="V899" s="32"/>
      <c r="W899" s="32">
        <f>+W894-W$889</f>
        <v>40.969129032258024</v>
      </c>
      <c r="Y899" s="390"/>
      <c r="Z899" s="390"/>
      <c r="AA899" s="390"/>
      <c r="AB899" s="390"/>
      <c r="AC899" s="390"/>
      <c r="AD899" s="390"/>
      <c r="AE899" s="390"/>
      <c r="AF899" s="390"/>
      <c r="AG899" s="390"/>
      <c r="AH899" s="390"/>
      <c r="AI899" s="390"/>
      <c r="AJ899" s="390"/>
      <c r="AK899" s="390"/>
      <c r="AL899" s="390"/>
      <c r="AM899" s="390"/>
      <c r="AN899" s="390"/>
      <c r="AO899" s="390"/>
      <c r="AP899" s="390"/>
      <c r="AQ899" s="390"/>
      <c r="AR899" s="390"/>
      <c r="AS899" s="390"/>
    </row>
    <row r="900" spans="1:45" x14ac:dyDescent="0.3">
      <c r="B900" s="65" t="s">
        <v>108</v>
      </c>
      <c r="C900" s="55"/>
      <c r="D900" s="43">
        <v>0</v>
      </c>
      <c r="E900" s="408">
        <v>0</v>
      </c>
      <c r="F900" s="408">
        <v>0</v>
      </c>
      <c r="G900" s="408">
        <v>0</v>
      </c>
      <c r="H900" s="408">
        <v>0</v>
      </c>
      <c r="I900" s="408">
        <v>0</v>
      </c>
      <c r="J900" s="408">
        <v>0</v>
      </c>
      <c r="K900" s="408">
        <v>0</v>
      </c>
      <c r="L900" s="408">
        <v>0</v>
      </c>
      <c r="M900" s="408">
        <v>0</v>
      </c>
      <c r="N900" s="408">
        <v>0</v>
      </c>
      <c r="O900" s="408">
        <v>0</v>
      </c>
      <c r="P900" s="408">
        <v>0</v>
      </c>
      <c r="Q900" s="408">
        <v>0</v>
      </c>
      <c r="R900" s="408">
        <v>0</v>
      </c>
      <c r="S900" s="408">
        <v>0</v>
      </c>
      <c r="T900" s="408">
        <v>0</v>
      </c>
      <c r="U900" s="408">
        <v>0</v>
      </c>
      <c r="V900" s="408">
        <v>0</v>
      </c>
      <c r="W900" s="408">
        <v>0</v>
      </c>
      <c r="Y900" s="409"/>
      <c r="Z900" s="409"/>
      <c r="AA900" s="409"/>
      <c r="AB900" s="409"/>
      <c r="AC900" s="409"/>
      <c r="AD900" s="409"/>
      <c r="AE900" s="409"/>
      <c r="AF900" s="409"/>
      <c r="AG900" s="409"/>
      <c r="AH900" s="409"/>
      <c r="AI900" s="409"/>
      <c r="AJ900" s="409"/>
      <c r="AK900" s="409"/>
      <c r="AL900" s="409"/>
      <c r="AM900" s="409"/>
      <c r="AN900" s="409"/>
      <c r="AO900" s="409"/>
      <c r="AP900" s="409"/>
      <c r="AQ900" s="409"/>
      <c r="AR900" s="409"/>
      <c r="AS900" s="409"/>
    </row>
    <row r="901" spans="1:45" x14ac:dyDescent="0.3">
      <c r="B901" s="65" t="s">
        <v>202</v>
      </c>
      <c r="C901" s="64"/>
      <c r="D901" s="99">
        <f t="shared" ref="D901:S901" si="743">+D896/D$889</f>
        <v>4.8030591498401019E-2</v>
      </c>
      <c r="E901" s="99">
        <f t="shared" si="743"/>
        <v>4.6077720177170302E-2</v>
      </c>
      <c r="F901" s="99">
        <f t="shared" si="743"/>
        <v>4.5177100800052598E-2</v>
      </c>
      <c r="G901" s="99">
        <f t="shared" si="743"/>
        <v>4.584254056184555E-2</v>
      </c>
      <c r="H901" s="99">
        <f t="shared" si="743"/>
        <v>4.7082754558883805E-2</v>
      </c>
      <c r="I901" s="99">
        <f t="shared" si="743"/>
        <v>4.6837169970784867E-2</v>
      </c>
      <c r="J901" s="99">
        <f t="shared" si="743"/>
        <v>4.4931420499653582E-2</v>
      </c>
      <c r="K901" s="99">
        <f t="shared" si="743"/>
        <v>4.497668379122545E-2</v>
      </c>
      <c r="L901" s="99">
        <f t="shared" si="743"/>
        <v>4.6423645954633462E-2</v>
      </c>
      <c r="M901" s="99">
        <f t="shared" si="743"/>
        <v>4.721886445298764E-2</v>
      </c>
      <c r="N901" s="99">
        <f t="shared" si="743"/>
        <v>4.6276755774668991E-2</v>
      </c>
      <c r="O901" s="99">
        <f t="shared" si="743"/>
        <v>4.584254056184555E-2</v>
      </c>
      <c r="P901" s="99">
        <f t="shared" si="743"/>
        <v>4.8356864448892957E-2</v>
      </c>
      <c r="Q901" s="99">
        <f t="shared" si="743"/>
        <v>4.8356864448892957E-2</v>
      </c>
      <c r="R901" s="99">
        <f t="shared" si="743"/>
        <v>4.6547163231486312E-2</v>
      </c>
      <c r="S901" s="99">
        <f t="shared" si="743"/>
        <v>4.667960000135056E-2</v>
      </c>
      <c r="T901" s="117"/>
      <c r="U901" s="117"/>
      <c r="V901" s="117"/>
      <c r="W901" s="99">
        <f>+W896/W$889</f>
        <v>4.8356864448892957E-2</v>
      </c>
      <c r="Y901" s="390"/>
      <c r="Z901" s="390"/>
      <c r="AA901" s="390"/>
      <c r="AB901" s="390"/>
      <c r="AC901" s="390"/>
      <c r="AD901" s="390"/>
      <c r="AE901" s="390"/>
      <c r="AF901" s="390"/>
      <c r="AG901" s="390"/>
      <c r="AH901" s="390"/>
      <c r="AI901" s="390"/>
      <c r="AJ901" s="390"/>
      <c r="AK901" s="390"/>
      <c r="AL901" s="390"/>
      <c r="AM901" s="390"/>
      <c r="AN901" s="390"/>
      <c r="AO901" s="390"/>
      <c r="AP901" s="390"/>
      <c r="AQ901" s="390"/>
      <c r="AR901" s="390"/>
      <c r="AS901" s="390"/>
    </row>
    <row r="902" spans="1:45" x14ac:dyDescent="0.3">
      <c r="B902" s="65" t="s">
        <v>203</v>
      </c>
      <c r="C902" s="66"/>
      <c r="D902" s="368">
        <f t="shared" ref="D902:S902" si="744">+D897/D$889</f>
        <v>5.727248383965676E-2</v>
      </c>
      <c r="E902" s="368">
        <f t="shared" si="744"/>
        <v>5.4988092580723708E-2</v>
      </c>
      <c r="F902" s="368">
        <f t="shared" si="744"/>
        <v>5.3916039769952705E-2</v>
      </c>
      <c r="G902" s="368">
        <f t="shared" si="744"/>
        <v>5.4905300878672632E-2</v>
      </c>
      <c r="H902" s="368">
        <f t="shared" si="744"/>
        <v>5.6267691002382783E-2</v>
      </c>
      <c r="I902" s="368">
        <f t="shared" si="744"/>
        <v>5.5908549259959778E-2</v>
      </c>
      <c r="J902" s="368">
        <f t="shared" si="744"/>
        <v>5.3816891762405734E-2</v>
      </c>
      <c r="K902" s="368">
        <f t="shared" si="744"/>
        <v>5.3954146710394058E-2</v>
      </c>
      <c r="L902" s="368">
        <f t="shared" si="744"/>
        <v>5.5367437800399558E-2</v>
      </c>
      <c r="M902" s="368">
        <f t="shared" si="744"/>
        <v>5.6453598707423155E-2</v>
      </c>
      <c r="N902" s="368">
        <f t="shared" si="744"/>
        <v>5.5454622053394159E-2</v>
      </c>
      <c r="O902" s="368">
        <f t="shared" si="744"/>
        <v>5.4905300878672632E-2</v>
      </c>
      <c r="P902" s="368">
        <f t="shared" si="744"/>
        <v>5.7667316175792543E-2</v>
      </c>
      <c r="Q902" s="368">
        <f t="shared" si="744"/>
        <v>5.7667316175792543E-2</v>
      </c>
      <c r="R902" s="368">
        <f t="shared" si="744"/>
        <v>5.5679337430713939E-2</v>
      </c>
      <c r="S902" s="368">
        <f t="shared" si="744"/>
        <v>5.5861000001362411E-2</v>
      </c>
      <c r="T902" s="368"/>
      <c r="U902" s="368"/>
      <c r="V902" s="368"/>
      <c r="W902" s="368">
        <f>+W897/W$889</f>
        <v>5.7667316175792543E-2</v>
      </c>
      <c r="Y902" s="390"/>
      <c r="Z902" s="390"/>
      <c r="AA902" s="390"/>
      <c r="AB902" s="390"/>
      <c r="AC902" s="390"/>
      <c r="AD902" s="390"/>
      <c r="AE902" s="390"/>
      <c r="AF902" s="390"/>
      <c r="AG902" s="390"/>
      <c r="AH902" s="390"/>
      <c r="AI902" s="390"/>
      <c r="AJ902" s="390"/>
      <c r="AK902" s="390"/>
      <c r="AL902" s="390"/>
      <c r="AM902" s="390"/>
      <c r="AN902" s="390"/>
      <c r="AO902" s="390"/>
      <c r="AP902" s="390"/>
      <c r="AQ902" s="390"/>
      <c r="AR902" s="390"/>
      <c r="AS902" s="390"/>
    </row>
    <row r="903" spans="1:45" x14ac:dyDescent="0.3">
      <c r="B903" s="65" t="s">
        <v>204</v>
      </c>
      <c r="C903" s="66"/>
      <c r="D903" s="368">
        <f t="shared" ref="D903:S903" si="745">+D898/D$889</f>
        <v>6.6514376180912493E-2</v>
      </c>
      <c r="E903" s="368">
        <f t="shared" si="745"/>
        <v>6.389846498427712E-2</v>
      </c>
      <c r="F903" s="368">
        <f t="shared" si="745"/>
        <v>6.2654978739852818E-2</v>
      </c>
      <c r="G903" s="368">
        <f t="shared" si="745"/>
        <v>6.396806119549972E-2</v>
      </c>
      <c r="H903" s="368">
        <f t="shared" si="745"/>
        <v>6.5452627445881761E-2</v>
      </c>
      <c r="I903" s="368">
        <f t="shared" si="745"/>
        <v>6.4979928549134688E-2</v>
      </c>
      <c r="J903" s="368">
        <f t="shared" si="745"/>
        <v>6.2702363025157887E-2</v>
      </c>
      <c r="K903" s="368">
        <f t="shared" si="745"/>
        <v>6.2931609629562651E-2</v>
      </c>
      <c r="L903" s="368">
        <f t="shared" si="745"/>
        <v>6.431122964616566E-2</v>
      </c>
      <c r="M903" s="368">
        <f t="shared" si="745"/>
        <v>6.5688332961858678E-2</v>
      </c>
      <c r="N903" s="368">
        <f t="shared" si="745"/>
        <v>6.463248833211932E-2</v>
      </c>
      <c r="O903" s="368">
        <f t="shared" si="745"/>
        <v>6.396806119549972E-2</v>
      </c>
      <c r="P903" s="368">
        <f t="shared" si="745"/>
        <v>6.6977767902692123E-2</v>
      </c>
      <c r="Q903" s="368">
        <f t="shared" si="745"/>
        <v>6.6977767902692123E-2</v>
      </c>
      <c r="R903" s="368">
        <f t="shared" si="745"/>
        <v>6.4811511629941573E-2</v>
      </c>
      <c r="S903" s="368">
        <f t="shared" si="745"/>
        <v>6.5042400001374262E-2</v>
      </c>
      <c r="T903" s="368"/>
      <c r="U903" s="368"/>
      <c r="V903" s="368"/>
      <c r="W903" s="368">
        <f>+W898/W$889</f>
        <v>6.6977767902692123E-2</v>
      </c>
      <c r="Y903" s="390"/>
      <c r="Z903" s="390"/>
      <c r="AA903" s="390"/>
      <c r="AB903" s="390"/>
      <c r="AC903" s="390"/>
      <c r="AD903" s="390"/>
      <c r="AE903" s="390"/>
      <c r="AF903" s="390"/>
      <c r="AG903" s="390"/>
      <c r="AH903" s="390"/>
      <c r="AI903" s="390"/>
      <c r="AJ903" s="390"/>
      <c r="AK903" s="390"/>
      <c r="AL903" s="390"/>
      <c r="AM903" s="390"/>
      <c r="AN903" s="390"/>
      <c r="AO903" s="390"/>
      <c r="AP903" s="390"/>
      <c r="AQ903" s="390"/>
      <c r="AR903" s="390"/>
      <c r="AS903" s="390"/>
    </row>
    <row r="904" spans="1:45" x14ac:dyDescent="0.3">
      <c r="B904" s="65" t="s">
        <v>205</v>
      </c>
      <c r="C904" s="66"/>
      <c r="D904" s="368">
        <f t="shared" ref="D904:S904" si="746">+D899/D$889</f>
        <v>7.5756268522168241E-2</v>
      </c>
      <c r="E904" s="368">
        <f t="shared" si="746"/>
        <v>7.2808837387830533E-2</v>
      </c>
      <c r="F904" s="368">
        <f t="shared" si="746"/>
        <v>7.1393917709752924E-2</v>
      </c>
      <c r="G904" s="368">
        <f t="shared" si="746"/>
        <v>7.3030821512326802E-2</v>
      </c>
      <c r="H904" s="368">
        <f t="shared" si="746"/>
        <v>7.4637563889380754E-2</v>
      </c>
      <c r="I904" s="368">
        <f t="shared" si="746"/>
        <v>7.4051307838309599E-2</v>
      </c>
      <c r="J904" s="368">
        <f t="shared" si="746"/>
        <v>7.1587834287910046E-2</v>
      </c>
      <c r="K904" s="368">
        <f t="shared" si="746"/>
        <v>7.1909072548731259E-2</v>
      </c>
      <c r="L904" s="368">
        <f t="shared" si="746"/>
        <v>7.3255021491931763E-2</v>
      </c>
      <c r="M904" s="368">
        <f t="shared" si="746"/>
        <v>7.4923067216294187E-2</v>
      </c>
      <c r="N904" s="368">
        <f t="shared" si="746"/>
        <v>7.3810354610844495E-2</v>
      </c>
      <c r="O904" s="368">
        <f t="shared" si="746"/>
        <v>7.3030821512326802E-2</v>
      </c>
      <c r="P904" s="368">
        <f t="shared" si="746"/>
        <v>7.6288219629591703E-2</v>
      </c>
      <c r="Q904" s="368">
        <f t="shared" si="746"/>
        <v>7.6288219629591703E-2</v>
      </c>
      <c r="R904" s="368">
        <f t="shared" si="746"/>
        <v>7.3943685829169201E-2</v>
      </c>
      <c r="S904" s="368">
        <f t="shared" si="746"/>
        <v>7.4223800001386106E-2</v>
      </c>
      <c r="T904" s="368"/>
      <c r="U904" s="368"/>
      <c r="V904" s="368"/>
      <c r="W904" s="368">
        <f>+W899/W$889</f>
        <v>7.6288219629591703E-2</v>
      </c>
      <c r="Y904" s="390"/>
      <c r="Z904" s="390"/>
      <c r="AA904" s="390"/>
      <c r="AB904" s="390"/>
      <c r="AC904" s="390"/>
      <c r="AD904" s="390"/>
      <c r="AE904" s="390"/>
      <c r="AF904" s="390"/>
      <c r="AG904" s="390"/>
      <c r="AH904" s="390"/>
      <c r="AI904" s="390"/>
      <c r="AJ904" s="390"/>
      <c r="AK904" s="390"/>
      <c r="AL904" s="390"/>
      <c r="AM904" s="390"/>
      <c r="AN904" s="390"/>
      <c r="AO904" s="390"/>
      <c r="AP904" s="390"/>
      <c r="AQ904" s="390"/>
      <c r="AR904" s="390"/>
      <c r="AS904" s="390"/>
    </row>
    <row r="905" spans="1:45" hidden="1" x14ac:dyDescent="0.3">
      <c r="B905" s="65" t="s">
        <v>78</v>
      </c>
      <c r="C905" s="66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Y905" s="390"/>
      <c r="Z905" s="390"/>
      <c r="AA905" s="390"/>
      <c r="AB905" s="390"/>
      <c r="AC905" s="390"/>
      <c r="AD905" s="390"/>
      <c r="AE905" s="390"/>
      <c r="AF905" s="390"/>
      <c r="AG905" s="390"/>
      <c r="AH905" s="390"/>
      <c r="AI905" s="390"/>
      <c r="AJ905" s="390"/>
      <c r="AK905" s="390"/>
      <c r="AL905" s="390"/>
      <c r="AM905" s="390"/>
      <c r="AN905" s="390"/>
      <c r="AO905" s="390"/>
      <c r="AP905" s="390"/>
      <c r="AQ905" s="390"/>
      <c r="AR905" s="390"/>
      <c r="AS905" s="390"/>
    </row>
    <row r="906" spans="1:45" ht="21" thickBot="1" x14ac:dyDescent="0.35">
      <c r="Y906" s="390"/>
      <c r="Z906" s="390"/>
      <c r="AA906" s="390"/>
      <c r="AB906" s="390"/>
      <c r="AC906" s="390"/>
      <c r="AD906" s="390"/>
      <c r="AE906" s="390"/>
      <c r="AF906" s="390"/>
      <c r="AG906" s="390"/>
      <c r="AH906" s="390"/>
      <c r="AI906" s="390"/>
      <c r="AJ906" s="390"/>
      <c r="AK906" s="390"/>
      <c r="AL906" s="390"/>
      <c r="AM906" s="390"/>
      <c r="AN906" s="390"/>
      <c r="AO906" s="390"/>
      <c r="AP906" s="390"/>
      <c r="AQ906" s="390"/>
      <c r="AR906" s="390"/>
      <c r="AS906" s="390"/>
    </row>
    <row r="907" spans="1:45" ht="21" thickBot="1" x14ac:dyDescent="0.35">
      <c r="A907" s="15" t="s">
        <v>341</v>
      </c>
      <c r="B907" s="223" t="s">
        <v>158</v>
      </c>
      <c r="C907" s="68"/>
      <c r="D907" s="17" t="s">
        <v>5</v>
      </c>
      <c r="E907" s="18" t="s">
        <v>6</v>
      </c>
      <c r="F907" s="18" t="s">
        <v>7</v>
      </c>
      <c r="G907" s="18" t="s">
        <v>8</v>
      </c>
      <c r="H907" s="18" t="s">
        <v>9</v>
      </c>
      <c r="I907" s="18" t="s">
        <v>10</v>
      </c>
      <c r="J907" s="18" t="s">
        <v>11</v>
      </c>
      <c r="K907" s="18" t="s">
        <v>12</v>
      </c>
      <c r="L907" s="18" t="s">
        <v>13</v>
      </c>
      <c r="M907" s="18" t="s">
        <v>14</v>
      </c>
      <c r="N907" s="18" t="s">
        <v>15</v>
      </c>
      <c r="O907" s="18" t="s">
        <v>16</v>
      </c>
      <c r="P907" s="18" t="s">
        <v>17</v>
      </c>
      <c r="Q907" s="18" t="s">
        <v>18</v>
      </c>
      <c r="R907" s="18" t="s">
        <v>19</v>
      </c>
      <c r="S907" s="18" t="s">
        <v>20</v>
      </c>
      <c r="T907" s="18" t="s">
        <v>21</v>
      </c>
      <c r="U907" s="18" t="s">
        <v>22</v>
      </c>
      <c r="V907" s="18" t="s">
        <v>23</v>
      </c>
      <c r="W907" s="18" t="s">
        <v>166</v>
      </c>
      <c r="Y907" s="390"/>
      <c r="Z907" s="390"/>
      <c r="AA907" s="390"/>
      <c r="AB907" s="390"/>
      <c r="AC907" s="390"/>
      <c r="AD907" s="390"/>
      <c r="AE907" s="390"/>
      <c r="AF907" s="390"/>
      <c r="AG907" s="390"/>
      <c r="AH907" s="390"/>
      <c r="AI907" s="390"/>
      <c r="AJ907" s="390"/>
      <c r="AK907" s="390"/>
      <c r="AL907" s="390"/>
      <c r="AM907" s="390"/>
      <c r="AN907" s="390"/>
      <c r="AO907" s="390"/>
      <c r="AP907" s="390"/>
      <c r="AQ907" s="390"/>
      <c r="AR907" s="390"/>
      <c r="AS907" s="390"/>
    </row>
    <row r="908" spans="1:45" x14ac:dyDescent="0.3">
      <c r="B908" s="222" t="s">
        <v>50</v>
      </c>
      <c r="C908" s="7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Y908" s="390"/>
      <c r="Z908" s="390"/>
      <c r="AA908" s="390"/>
      <c r="AB908" s="390"/>
      <c r="AC908" s="390"/>
      <c r="AD908" s="390"/>
      <c r="AE908" s="390"/>
      <c r="AF908" s="390"/>
      <c r="AG908" s="390"/>
      <c r="AH908" s="390"/>
      <c r="AI908" s="390"/>
      <c r="AJ908" s="390"/>
      <c r="AK908" s="390"/>
      <c r="AL908" s="390"/>
      <c r="AM908" s="390"/>
      <c r="AN908" s="390"/>
      <c r="AO908" s="390"/>
      <c r="AP908" s="390"/>
      <c r="AQ908" s="390"/>
      <c r="AR908" s="390"/>
      <c r="AS908" s="390"/>
    </row>
    <row r="909" spans="1:45" x14ac:dyDescent="0.3">
      <c r="B909" s="54" t="s">
        <v>51</v>
      </c>
      <c r="C909" s="55"/>
      <c r="D909" s="322"/>
      <c r="E909" s="322"/>
      <c r="F909" s="322"/>
      <c r="G909" s="322"/>
      <c r="H909" s="322"/>
      <c r="I909" s="322"/>
      <c r="J909" s="322"/>
      <c r="K909" s="322"/>
      <c r="L909" s="322"/>
      <c r="M909" s="322"/>
      <c r="N909" s="322"/>
      <c r="O909" s="322"/>
      <c r="P909" s="322"/>
      <c r="Q909" s="322"/>
      <c r="R909" s="322"/>
      <c r="S909" s="322"/>
      <c r="T909" s="218"/>
      <c r="U909" s="218"/>
      <c r="V909" s="218"/>
      <c r="W909" s="322"/>
      <c r="Y909" s="390"/>
      <c r="Z909" s="390"/>
      <c r="AA909" s="390"/>
      <c r="AB909" s="390"/>
      <c r="AC909" s="390"/>
      <c r="AD909" s="390"/>
      <c r="AE909" s="390"/>
      <c r="AF909" s="390"/>
      <c r="AG909" s="390"/>
      <c r="AH909" s="390"/>
      <c r="AI909" s="390"/>
      <c r="AJ909" s="390"/>
      <c r="AK909" s="390"/>
      <c r="AL909" s="390"/>
      <c r="AM909" s="390"/>
      <c r="AN909" s="390"/>
      <c r="AO909" s="390"/>
      <c r="AP909" s="390"/>
      <c r="AQ909" s="390"/>
      <c r="AR909" s="390"/>
      <c r="AS909" s="390"/>
    </row>
    <row r="910" spans="1:45" x14ac:dyDescent="0.3">
      <c r="B910" s="54" t="s">
        <v>56</v>
      </c>
      <c r="C910" s="55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Y910" s="390"/>
      <c r="Z910" s="390"/>
      <c r="AA910" s="390"/>
      <c r="AB910" s="390"/>
      <c r="AC910" s="390"/>
      <c r="AD910" s="390"/>
      <c r="AE910" s="390"/>
      <c r="AF910" s="390"/>
      <c r="AG910" s="390"/>
      <c r="AH910" s="390"/>
      <c r="AI910" s="390"/>
      <c r="AJ910" s="390"/>
      <c r="AK910" s="390"/>
      <c r="AL910" s="390"/>
      <c r="AM910" s="390"/>
      <c r="AN910" s="390"/>
      <c r="AO910" s="390"/>
      <c r="AP910" s="390"/>
      <c r="AQ910" s="390"/>
      <c r="AR910" s="390"/>
      <c r="AS910" s="390"/>
    </row>
    <row r="911" spans="1:45" x14ac:dyDescent="0.3">
      <c r="B911" s="177" t="s">
        <v>67</v>
      </c>
      <c r="C911" s="178"/>
      <c r="D911" s="323">
        <v>588.66</v>
      </c>
      <c r="E911" s="323">
        <v>588.66</v>
      </c>
      <c r="F911" s="323">
        <v>588.66</v>
      </c>
      <c r="G911" s="323">
        <v>588.66</v>
      </c>
      <c r="H911" s="323">
        <v>588.66</v>
      </c>
      <c r="I911" s="323">
        <v>588.66</v>
      </c>
      <c r="J911" s="323">
        <v>588.66</v>
      </c>
      <c r="K911" s="323">
        <v>588.66</v>
      </c>
      <c r="L911" s="323">
        <v>588.66</v>
      </c>
      <c r="M911" s="323">
        <v>588.66</v>
      </c>
      <c r="N911" s="323">
        <v>588.66</v>
      </c>
      <c r="O911" s="323">
        <v>588.66</v>
      </c>
      <c r="P911" s="323">
        <v>588.66</v>
      </c>
      <c r="Q911" s="323">
        <v>588.66</v>
      </c>
      <c r="R911" s="323">
        <v>588.66</v>
      </c>
      <c r="S911" s="323">
        <v>588.66</v>
      </c>
      <c r="T911" s="323"/>
      <c r="U911" s="323"/>
      <c r="V911" s="323"/>
      <c r="W911" s="323">
        <v>588.66</v>
      </c>
      <c r="Y911" s="390"/>
      <c r="Z911" s="390"/>
      <c r="AA911" s="390"/>
      <c r="AB911" s="390"/>
      <c r="AC911" s="390"/>
      <c r="AD911" s="390"/>
      <c r="AE911" s="390"/>
      <c r="AF911" s="390"/>
      <c r="AG911" s="390"/>
      <c r="AH911" s="390"/>
      <c r="AI911" s="390"/>
      <c r="AJ911" s="390"/>
      <c r="AK911" s="390"/>
      <c r="AL911" s="390"/>
      <c r="AM911" s="390"/>
      <c r="AN911" s="390"/>
      <c r="AO911" s="390"/>
      <c r="AP911" s="390"/>
      <c r="AQ911" s="390"/>
      <c r="AR911" s="390"/>
      <c r="AS911" s="390"/>
    </row>
    <row r="912" spans="1:45" x14ac:dyDescent="0.3">
      <c r="B912" s="54" t="s">
        <v>66</v>
      </c>
      <c r="C912" s="56">
        <v>7.0000000000000007E-2</v>
      </c>
      <c r="D912" s="24">
        <f>D911*$C912</f>
        <v>41.206200000000003</v>
      </c>
      <c r="E912" s="24">
        <f t="shared" ref="E912:V912" si="747">E911*$C912</f>
        <v>41.206200000000003</v>
      </c>
      <c r="F912" s="24">
        <f t="shared" si="747"/>
        <v>41.206200000000003</v>
      </c>
      <c r="G912" s="24">
        <f t="shared" si="747"/>
        <v>41.206200000000003</v>
      </c>
      <c r="H912" s="24">
        <f t="shared" si="747"/>
        <v>41.206200000000003</v>
      </c>
      <c r="I912" s="24">
        <f t="shared" si="747"/>
        <v>41.206200000000003</v>
      </c>
      <c r="J912" s="24">
        <f t="shared" si="747"/>
        <v>41.206200000000003</v>
      </c>
      <c r="K912" s="24">
        <f t="shared" si="747"/>
        <v>41.206200000000003</v>
      </c>
      <c r="L912" s="24">
        <f t="shared" si="747"/>
        <v>41.206200000000003</v>
      </c>
      <c r="M912" s="24">
        <f t="shared" si="747"/>
        <v>41.206200000000003</v>
      </c>
      <c r="N912" s="24">
        <f t="shared" si="747"/>
        <v>41.206200000000003</v>
      </c>
      <c r="O912" s="24">
        <f t="shared" si="747"/>
        <v>41.206200000000003</v>
      </c>
      <c r="P912" s="24">
        <f t="shared" si="747"/>
        <v>41.206200000000003</v>
      </c>
      <c r="Q912" s="24">
        <f t="shared" si="747"/>
        <v>41.206200000000003</v>
      </c>
      <c r="R912" s="24">
        <f t="shared" si="747"/>
        <v>41.206200000000003</v>
      </c>
      <c r="S912" s="24">
        <f t="shared" si="747"/>
        <v>41.206200000000003</v>
      </c>
      <c r="T912" s="24">
        <f t="shared" si="747"/>
        <v>0</v>
      </c>
      <c r="U912" s="24">
        <f t="shared" si="747"/>
        <v>0</v>
      </c>
      <c r="V912" s="24">
        <f t="shared" si="747"/>
        <v>0</v>
      </c>
      <c r="W912" s="24">
        <f>W911*$C912</f>
        <v>41.206200000000003</v>
      </c>
      <c r="Y912" s="390"/>
      <c r="Z912" s="390"/>
      <c r="AA912" s="390"/>
      <c r="AB912" s="390"/>
      <c r="AC912" s="390"/>
      <c r="AD912" s="390"/>
      <c r="AE912" s="390"/>
      <c r="AF912" s="390"/>
      <c r="AG912" s="390"/>
      <c r="AH912" s="390"/>
      <c r="AI912" s="390"/>
      <c r="AJ912" s="390"/>
      <c r="AK912" s="390"/>
      <c r="AL912" s="390"/>
      <c r="AM912" s="390"/>
      <c r="AN912" s="390"/>
      <c r="AO912" s="390"/>
      <c r="AP912" s="390"/>
      <c r="AQ912" s="390"/>
      <c r="AR912" s="390"/>
      <c r="AS912" s="390"/>
    </row>
    <row r="913" spans="2:45" x14ac:dyDescent="0.3">
      <c r="B913" s="54" t="s">
        <v>68</v>
      </c>
      <c r="C913" s="55"/>
      <c r="D913" s="21">
        <f>D911+D912</f>
        <v>629.86619999999994</v>
      </c>
      <c r="E913" s="21">
        <f t="shared" ref="E913:V913" si="748">E911+E912</f>
        <v>629.86619999999994</v>
      </c>
      <c r="F913" s="21">
        <f t="shared" si="748"/>
        <v>629.86619999999994</v>
      </c>
      <c r="G913" s="21">
        <f t="shared" si="748"/>
        <v>629.86619999999994</v>
      </c>
      <c r="H913" s="21">
        <f t="shared" si="748"/>
        <v>629.86619999999994</v>
      </c>
      <c r="I913" s="21">
        <f t="shared" si="748"/>
        <v>629.86619999999994</v>
      </c>
      <c r="J913" s="21">
        <f t="shared" si="748"/>
        <v>629.86619999999994</v>
      </c>
      <c r="K913" s="21">
        <f t="shared" si="748"/>
        <v>629.86619999999994</v>
      </c>
      <c r="L913" s="21">
        <f t="shared" si="748"/>
        <v>629.86619999999994</v>
      </c>
      <c r="M913" s="21">
        <f t="shared" si="748"/>
        <v>629.86619999999994</v>
      </c>
      <c r="N913" s="21">
        <f t="shared" si="748"/>
        <v>629.86619999999994</v>
      </c>
      <c r="O913" s="21">
        <f t="shared" si="748"/>
        <v>629.86619999999994</v>
      </c>
      <c r="P913" s="21">
        <f t="shared" si="748"/>
        <v>629.86619999999994</v>
      </c>
      <c r="Q913" s="21">
        <f t="shared" si="748"/>
        <v>629.86619999999994</v>
      </c>
      <c r="R913" s="21">
        <f t="shared" si="748"/>
        <v>629.86619999999994</v>
      </c>
      <c r="S913" s="21">
        <f t="shared" si="748"/>
        <v>629.86619999999994</v>
      </c>
      <c r="T913" s="21">
        <f t="shared" si="748"/>
        <v>0</v>
      </c>
      <c r="U913" s="21">
        <f t="shared" si="748"/>
        <v>0</v>
      </c>
      <c r="V913" s="21">
        <f t="shared" si="748"/>
        <v>0</v>
      </c>
      <c r="W913" s="21">
        <f>W911+W912</f>
        <v>629.86619999999994</v>
      </c>
      <c r="Y913" s="390"/>
      <c r="Z913" s="390"/>
      <c r="AA913" s="390"/>
      <c r="AB913" s="390"/>
      <c r="AC913" s="390"/>
      <c r="AD913" s="390"/>
      <c r="AE913" s="390"/>
      <c r="AF913" s="390"/>
      <c r="AG913" s="390"/>
      <c r="AH913" s="390"/>
      <c r="AI913" s="390"/>
      <c r="AJ913" s="390"/>
      <c r="AK913" s="390"/>
      <c r="AL913" s="390"/>
      <c r="AM913" s="390"/>
      <c r="AN913" s="390"/>
      <c r="AO913" s="390"/>
      <c r="AP913" s="390"/>
      <c r="AQ913" s="390"/>
      <c r="AR913" s="390"/>
      <c r="AS913" s="390"/>
    </row>
    <row r="914" spans="2:45" x14ac:dyDescent="0.3">
      <c r="B914" s="54" t="s">
        <v>52</v>
      </c>
      <c r="C914" s="55"/>
      <c r="D914" s="20">
        <v>18.029032258064518</v>
      </c>
      <c r="E914" s="21">
        <v>43.112903225806448</v>
      </c>
      <c r="F914" s="21">
        <v>56.830645161290327</v>
      </c>
      <c r="G914" s="21">
        <v>31.35483870967742</v>
      </c>
      <c r="H914" s="21">
        <v>22.209677419354836</v>
      </c>
      <c r="I914" s="21">
        <v>30.701612903225808</v>
      </c>
      <c r="J914" s="21">
        <v>45.072580645161288</v>
      </c>
      <c r="K914" s="21">
        <v>37.887096774193544</v>
      </c>
      <c r="L914" s="21">
        <v>40.5</v>
      </c>
      <c r="M914" s="21">
        <v>18.551612903225806</v>
      </c>
      <c r="N914" s="21">
        <v>22.732258064516127</v>
      </c>
      <c r="O914" s="21">
        <v>31.35483870967742</v>
      </c>
      <c r="P914" s="21">
        <v>13.064516129032258</v>
      </c>
      <c r="Q914" s="21">
        <v>13.064516129032258</v>
      </c>
      <c r="R914" s="21">
        <v>26.129032258064516</v>
      </c>
      <c r="S914" s="21">
        <v>22.470967741935482</v>
      </c>
      <c r="T914" s="21"/>
      <c r="U914" s="21"/>
      <c r="V914" s="21"/>
      <c r="W914" s="21">
        <v>13.064516129032258</v>
      </c>
      <c r="Y914" s="390"/>
      <c r="Z914" s="390"/>
      <c r="AA914" s="390"/>
      <c r="AB914" s="390"/>
      <c r="AC914" s="390"/>
      <c r="AD914" s="390"/>
      <c r="AE914" s="390"/>
      <c r="AF914" s="390"/>
      <c r="AG914" s="390"/>
      <c r="AH914" s="390"/>
      <c r="AI914" s="390"/>
      <c r="AJ914" s="390"/>
      <c r="AK914" s="390"/>
      <c r="AL914" s="390"/>
      <c r="AM914" s="390"/>
      <c r="AN914" s="390"/>
      <c r="AO914" s="390"/>
      <c r="AP914" s="390"/>
      <c r="AQ914" s="390"/>
      <c r="AR914" s="390"/>
      <c r="AS914" s="390"/>
    </row>
    <row r="915" spans="2:45" x14ac:dyDescent="0.3">
      <c r="B915" s="57" t="s">
        <v>53</v>
      </c>
      <c r="C915" s="58"/>
      <c r="D915" s="25">
        <f>SUM(D913:D914)</f>
        <v>647.89523225806442</v>
      </c>
      <c r="E915" s="26">
        <f t="shared" ref="E915:V915" si="749">SUM(E913:E914)</f>
        <v>672.9791032258064</v>
      </c>
      <c r="F915" s="26">
        <f t="shared" si="749"/>
        <v>686.6968451612903</v>
      </c>
      <c r="G915" s="26">
        <f t="shared" si="749"/>
        <v>661.22103870967737</v>
      </c>
      <c r="H915" s="26">
        <f t="shared" si="749"/>
        <v>652.07587741935481</v>
      </c>
      <c r="I915" s="26">
        <f t="shared" si="749"/>
        <v>660.56781290322579</v>
      </c>
      <c r="J915" s="26">
        <f t="shared" si="749"/>
        <v>674.93878064516127</v>
      </c>
      <c r="K915" s="26">
        <f t="shared" si="749"/>
        <v>667.75329677419347</v>
      </c>
      <c r="L915" s="26">
        <f t="shared" si="749"/>
        <v>670.36619999999994</v>
      </c>
      <c r="M915" s="26">
        <f t="shared" si="749"/>
        <v>648.41781290322569</v>
      </c>
      <c r="N915" s="26">
        <f t="shared" si="749"/>
        <v>652.59845806451608</v>
      </c>
      <c r="O915" s="26">
        <f t="shared" si="749"/>
        <v>661.22103870967737</v>
      </c>
      <c r="P915" s="26">
        <f t="shared" si="749"/>
        <v>642.93071612903225</v>
      </c>
      <c r="Q915" s="26">
        <f t="shared" si="749"/>
        <v>642.93071612903225</v>
      </c>
      <c r="R915" s="26">
        <f t="shared" si="749"/>
        <v>655.99523225806445</v>
      </c>
      <c r="S915" s="26">
        <f t="shared" si="749"/>
        <v>652.33716774193545</v>
      </c>
      <c r="T915" s="26">
        <f t="shared" si="749"/>
        <v>0</v>
      </c>
      <c r="U915" s="26">
        <f t="shared" si="749"/>
        <v>0</v>
      </c>
      <c r="V915" s="26">
        <f t="shared" si="749"/>
        <v>0</v>
      </c>
      <c r="W915" s="26">
        <f>SUM(W913:W914)</f>
        <v>642.93071612903225</v>
      </c>
      <c r="Y915" s="390"/>
      <c r="Z915" s="390"/>
      <c r="AA915" s="390"/>
      <c r="AB915" s="390"/>
      <c r="AC915" s="390"/>
      <c r="AD915" s="390"/>
      <c r="AE915" s="390"/>
      <c r="AF915" s="390"/>
      <c r="AG915" s="390"/>
      <c r="AH915" s="390"/>
      <c r="AI915" s="390"/>
      <c r="AJ915" s="390"/>
      <c r="AK915" s="390"/>
      <c r="AL915" s="390"/>
      <c r="AM915" s="390"/>
      <c r="AN915" s="390"/>
      <c r="AO915" s="390"/>
      <c r="AP915" s="390"/>
      <c r="AQ915" s="390"/>
      <c r="AR915" s="390"/>
      <c r="AS915" s="390"/>
    </row>
    <row r="916" spans="2:45" x14ac:dyDescent="0.3">
      <c r="B916" s="54" t="s">
        <v>54</v>
      </c>
      <c r="C916" s="55"/>
      <c r="D916" s="20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Y916" s="390"/>
      <c r="Z916" s="390"/>
      <c r="AA916" s="390"/>
      <c r="AB916" s="390"/>
      <c r="AC916" s="390"/>
      <c r="AD916" s="390"/>
      <c r="AE916" s="390"/>
      <c r="AF916" s="390"/>
      <c r="AG916" s="390"/>
      <c r="AH916" s="390"/>
      <c r="AI916" s="390"/>
      <c r="AJ916" s="390"/>
      <c r="AK916" s="390"/>
      <c r="AL916" s="390"/>
      <c r="AM916" s="390"/>
      <c r="AN916" s="390"/>
      <c r="AO916" s="390"/>
      <c r="AP916" s="390"/>
      <c r="AQ916" s="390"/>
      <c r="AR916" s="390"/>
      <c r="AS916" s="390"/>
    </row>
    <row r="917" spans="2:45" x14ac:dyDescent="0.3">
      <c r="B917" s="59" t="s">
        <v>55</v>
      </c>
      <c r="C917" s="60"/>
      <c r="D917" s="27">
        <f>SUM(D915:D916)</f>
        <v>647.89523225806442</v>
      </c>
      <c r="E917" s="41">
        <f t="shared" ref="E917:V917" si="750">SUM(E915:E916)</f>
        <v>672.9791032258064</v>
      </c>
      <c r="F917" s="41">
        <f t="shared" si="750"/>
        <v>686.6968451612903</v>
      </c>
      <c r="G917" s="41">
        <f t="shared" si="750"/>
        <v>661.22103870967737</v>
      </c>
      <c r="H917" s="41">
        <f t="shared" si="750"/>
        <v>652.07587741935481</v>
      </c>
      <c r="I917" s="41">
        <f t="shared" si="750"/>
        <v>660.56781290322579</v>
      </c>
      <c r="J917" s="41">
        <f t="shared" si="750"/>
        <v>674.93878064516127</v>
      </c>
      <c r="K917" s="41">
        <f t="shared" si="750"/>
        <v>667.75329677419347</v>
      </c>
      <c r="L917" s="41">
        <f t="shared" si="750"/>
        <v>670.36619999999994</v>
      </c>
      <c r="M917" s="41">
        <f t="shared" si="750"/>
        <v>648.41781290322569</v>
      </c>
      <c r="N917" s="41">
        <f t="shared" si="750"/>
        <v>652.59845806451608</v>
      </c>
      <c r="O917" s="41">
        <f t="shared" si="750"/>
        <v>661.22103870967737</v>
      </c>
      <c r="P917" s="41">
        <f t="shared" si="750"/>
        <v>642.93071612903225</v>
      </c>
      <c r="Q917" s="41">
        <f t="shared" si="750"/>
        <v>642.93071612903225</v>
      </c>
      <c r="R917" s="41">
        <f t="shared" si="750"/>
        <v>655.99523225806445</v>
      </c>
      <c r="S917" s="41">
        <f t="shared" si="750"/>
        <v>652.33716774193545</v>
      </c>
      <c r="T917" s="41">
        <f t="shared" si="750"/>
        <v>0</v>
      </c>
      <c r="U917" s="41">
        <f t="shared" si="750"/>
        <v>0</v>
      </c>
      <c r="V917" s="41">
        <f t="shared" si="750"/>
        <v>0</v>
      </c>
      <c r="W917" s="41">
        <f>SUM(W915:W916)</f>
        <v>642.93071612903225</v>
      </c>
      <c r="Y917" s="390"/>
      <c r="Z917" s="390"/>
      <c r="AA917" s="390"/>
      <c r="AB917" s="390"/>
      <c r="AC917" s="390"/>
      <c r="AD917" s="390"/>
      <c r="AE917" s="390"/>
      <c r="AF917" s="390"/>
      <c r="AG917" s="390"/>
      <c r="AH917" s="390"/>
      <c r="AI917" s="390"/>
      <c r="AJ917" s="390"/>
      <c r="AK917" s="390"/>
      <c r="AL917" s="390"/>
      <c r="AM917" s="390"/>
      <c r="AN917" s="390"/>
      <c r="AO917" s="390"/>
      <c r="AP917" s="390"/>
      <c r="AQ917" s="390"/>
      <c r="AR917" s="390"/>
      <c r="AS917" s="390"/>
    </row>
    <row r="918" spans="2:45" x14ac:dyDescent="0.3">
      <c r="B918" s="61" t="s">
        <v>101</v>
      </c>
      <c r="C918" s="55"/>
      <c r="D918" s="43">
        <v>0</v>
      </c>
      <c r="E918" s="408">
        <v>0</v>
      </c>
      <c r="F918" s="408">
        <v>0</v>
      </c>
      <c r="G918" s="408">
        <v>0</v>
      </c>
      <c r="H918" s="408">
        <v>0</v>
      </c>
      <c r="I918" s="408">
        <v>0</v>
      </c>
      <c r="J918" s="408">
        <v>0</v>
      </c>
      <c r="K918" s="408">
        <v>0</v>
      </c>
      <c r="L918" s="408">
        <v>0</v>
      </c>
      <c r="M918" s="408">
        <v>0</v>
      </c>
      <c r="N918" s="408">
        <v>0</v>
      </c>
      <c r="O918" s="408">
        <v>0</v>
      </c>
      <c r="P918" s="408">
        <v>0</v>
      </c>
      <c r="Q918" s="408">
        <v>0</v>
      </c>
      <c r="R918" s="408">
        <v>0</v>
      </c>
      <c r="S918" s="408">
        <v>0</v>
      </c>
      <c r="T918" s="408">
        <v>0</v>
      </c>
      <c r="U918" s="408">
        <v>0</v>
      </c>
      <c r="V918" s="408">
        <v>0</v>
      </c>
      <c r="W918" s="408">
        <v>0</v>
      </c>
      <c r="Y918" s="409"/>
      <c r="Z918" s="409"/>
      <c r="AA918" s="409"/>
      <c r="AB918" s="409"/>
      <c r="AC918" s="409"/>
      <c r="AD918" s="409"/>
      <c r="AE918" s="409"/>
      <c r="AF918" s="409"/>
      <c r="AG918" s="409"/>
      <c r="AH918" s="409"/>
      <c r="AI918" s="409"/>
      <c r="AJ918" s="409"/>
      <c r="AK918" s="409"/>
      <c r="AL918" s="409"/>
      <c r="AM918" s="409"/>
      <c r="AN918" s="409"/>
      <c r="AO918" s="409"/>
      <c r="AP918" s="409"/>
      <c r="AQ918" s="409"/>
      <c r="AR918" s="409"/>
      <c r="AS918" s="409"/>
    </row>
    <row r="919" spans="2:45" x14ac:dyDescent="0.3">
      <c r="B919" s="61" t="s">
        <v>194</v>
      </c>
      <c r="C919" s="55"/>
      <c r="D919" s="228">
        <v>683</v>
      </c>
      <c r="E919" s="229">
        <v>708</v>
      </c>
      <c r="F919" s="229">
        <v>722</v>
      </c>
      <c r="G919" s="229">
        <v>697</v>
      </c>
      <c r="H919" s="229">
        <v>688</v>
      </c>
      <c r="I919" s="229">
        <v>696</v>
      </c>
      <c r="J919" s="229">
        <v>710</v>
      </c>
      <c r="K919" s="229">
        <v>703</v>
      </c>
      <c r="L919" s="229">
        <v>706</v>
      </c>
      <c r="M919" s="229">
        <v>684</v>
      </c>
      <c r="N919" s="229">
        <v>688</v>
      </c>
      <c r="O919" s="229">
        <v>697</v>
      </c>
      <c r="P919" s="229">
        <v>678</v>
      </c>
      <c r="Q919" s="229">
        <v>678</v>
      </c>
      <c r="R919" s="229">
        <v>691</v>
      </c>
      <c r="S919" s="229">
        <v>688</v>
      </c>
      <c r="T919" s="21">
        <v>0</v>
      </c>
      <c r="U919" s="21">
        <v>0</v>
      </c>
      <c r="V919" s="21">
        <v>0</v>
      </c>
      <c r="W919" s="229">
        <v>678</v>
      </c>
      <c r="Y919" s="390"/>
      <c r="Z919" s="390"/>
      <c r="AA919" s="390"/>
      <c r="AB919" s="390"/>
      <c r="AC919" s="390"/>
      <c r="AD919" s="390"/>
      <c r="AE919" s="390"/>
      <c r="AF919" s="390"/>
      <c r="AG919" s="390"/>
      <c r="AH919" s="390"/>
      <c r="AI919" s="390"/>
      <c r="AJ919" s="390"/>
      <c r="AK919" s="390"/>
      <c r="AL919" s="390"/>
      <c r="AM919" s="390"/>
      <c r="AN919" s="390"/>
      <c r="AO919" s="390"/>
      <c r="AP919" s="390"/>
      <c r="AQ919" s="390"/>
      <c r="AR919" s="390"/>
      <c r="AS919" s="390"/>
    </row>
    <row r="920" spans="2:45" x14ac:dyDescent="0.3">
      <c r="B920" s="61" t="s">
        <v>195</v>
      </c>
      <c r="C920" s="62"/>
      <c r="D920" s="28">
        <v>688</v>
      </c>
      <c r="E920" s="28">
        <v>713</v>
      </c>
      <c r="F920" s="28">
        <v>727</v>
      </c>
      <c r="G920" s="28">
        <v>702</v>
      </c>
      <c r="H920" s="28">
        <v>693</v>
      </c>
      <c r="I920" s="28">
        <v>701</v>
      </c>
      <c r="J920" s="28">
        <v>715</v>
      </c>
      <c r="K920" s="28">
        <v>708</v>
      </c>
      <c r="L920" s="28">
        <v>711</v>
      </c>
      <c r="M920" s="28">
        <v>689</v>
      </c>
      <c r="N920" s="28">
        <v>693</v>
      </c>
      <c r="O920" s="28">
        <v>702</v>
      </c>
      <c r="P920" s="28">
        <v>683</v>
      </c>
      <c r="Q920" s="28">
        <v>683</v>
      </c>
      <c r="R920" s="28">
        <v>696</v>
      </c>
      <c r="S920" s="28">
        <v>693</v>
      </c>
      <c r="T920" s="410">
        <v>0</v>
      </c>
      <c r="U920" s="410">
        <v>0</v>
      </c>
      <c r="V920" s="410">
        <v>0</v>
      </c>
      <c r="W920" s="28">
        <v>683</v>
      </c>
      <c r="Y920" s="390"/>
      <c r="Z920" s="390"/>
      <c r="AA920" s="390"/>
      <c r="AB920" s="390"/>
      <c r="AC920" s="390"/>
      <c r="AD920" s="390"/>
      <c r="AE920" s="390"/>
      <c r="AF920" s="390"/>
      <c r="AG920" s="390"/>
      <c r="AH920" s="390"/>
      <c r="AI920" s="390"/>
      <c r="AJ920" s="390"/>
      <c r="AK920" s="390"/>
      <c r="AL920" s="390"/>
      <c r="AM920" s="390"/>
      <c r="AN920" s="390"/>
      <c r="AO920" s="390"/>
      <c r="AP920" s="390"/>
      <c r="AQ920" s="390"/>
      <c r="AR920" s="390"/>
      <c r="AS920" s="390"/>
    </row>
    <row r="921" spans="2:45" x14ac:dyDescent="0.3">
      <c r="B921" s="61" t="s">
        <v>196</v>
      </c>
      <c r="C921" s="62"/>
      <c r="D921" s="28">
        <v>693</v>
      </c>
      <c r="E921" s="28">
        <v>718</v>
      </c>
      <c r="F921" s="28">
        <v>732</v>
      </c>
      <c r="G921" s="28">
        <v>707</v>
      </c>
      <c r="H921" s="28">
        <v>698</v>
      </c>
      <c r="I921" s="28">
        <v>706</v>
      </c>
      <c r="J921" s="28">
        <v>720</v>
      </c>
      <c r="K921" s="28">
        <v>713</v>
      </c>
      <c r="L921" s="28">
        <v>716</v>
      </c>
      <c r="M921" s="28">
        <v>694</v>
      </c>
      <c r="N921" s="28">
        <v>698</v>
      </c>
      <c r="O921" s="28">
        <v>707</v>
      </c>
      <c r="P921" s="28">
        <v>688</v>
      </c>
      <c r="Q921" s="28">
        <v>688</v>
      </c>
      <c r="R921" s="28">
        <v>701</v>
      </c>
      <c r="S921" s="28">
        <v>698</v>
      </c>
      <c r="T921" s="410">
        <v>0</v>
      </c>
      <c r="U921" s="410">
        <v>0</v>
      </c>
      <c r="V921" s="410">
        <v>0</v>
      </c>
      <c r="W921" s="28">
        <v>688</v>
      </c>
      <c r="Y921" s="390"/>
      <c r="Z921" s="390"/>
      <c r="AA921" s="390"/>
      <c r="AB921" s="390"/>
      <c r="AC921" s="390"/>
      <c r="AD921" s="390"/>
      <c r="AE921" s="390"/>
      <c r="AF921" s="390"/>
      <c r="AG921" s="390"/>
      <c r="AH921" s="390"/>
      <c r="AI921" s="390"/>
      <c r="AJ921" s="390"/>
      <c r="AK921" s="390"/>
      <c r="AL921" s="390"/>
      <c r="AM921" s="390"/>
      <c r="AN921" s="390"/>
      <c r="AO921" s="390"/>
      <c r="AP921" s="390"/>
      <c r="AQ921" s="390"/>
      <c r="AR921" s="390"/>
      <c r="AS921" s="390"/>
    </row>
    <row r="922" spans="2:45" x14ac:dyDescent="0.3">
      <c r="B922" s="61" t="s">
        <v>197</v>
      </c>
      <c r="C922" s="62"/>
      <c r="D922" s="28">
        <v>698</v>
      </c>
      <c r="E922" s="28">
        <v>723</v>
      </c>
      <c r="F922" s="28">
        <v>737</v>
      </c>
      <c r="G922" s="28">
        <v>712</v>
      </c>
      <c r="H922" s="28">
        <v>703</v>
      </c>
      <c r="I922" s="28">
        <v>711</v>
      </c>
      <c r="J922" s="28">
        <v>725</v>
      </c>
      <c r="K922" s="28">
        <v>718</v>
      </c>
      <c r="L922" s="28">
        <v>721</v>
      </c>
      <c r="M922" s="28">
        <v>699</v>
      </c>
      <c r="N922" s="28">
        <v>703</v>
      </c>
      <c r="O922" s="28">
        <v>712</v>
      </c>
      <c r="P922" s="28">
        <v>693</v>
      </c>
      <c r="Q922" s="28">
        <v>693</v>
      </c>
      <c r="R922" s="28">
        <v>706</v>
      </c>
      <c r="S922" s="28">
        <v>703</v>
      </c>
      <c r="T922" s="410">
        <v>0</v>
      </c>
      <c r="U922" s="410">
        <v>0</v>
      </c>
      <c r="V922" s="410">
        <v>0</v>
      </c>
      <c r="W922" s="28">
        <v>693</v>
      </c>
      <c r="Y922" s="390"/>
      <c r="Z922" s="390"/>
      <c r="AA922" s="390"/>
      <c r="AB922" s="390"/>
      <c r="AC922" s="390"/>
      <c r="AD922" s="390"/>
      <c r="AE922" s="390"/>
      <c r="AF922" s="390"/>
      <c r="AG922" s="390"/>
      <c r="AH922" s="390"/>
      <c r="AI922" s="390"/>
      <c r="AJ922" s="390"/>
      <c r="AK922" s="390"/>
      <c r="AL922" s="390"/>
      <c r="AM922" s="390"/>
      <c r="AN922" s="390"/>
      <c r="AO922" s="390"/>
      <c r="AP922" s="390"/>
      <c r="AQ922" s="390"/>
      <c r="AR922" s="390"/>
      <c r="AS922" s="390"/>
    </row>
    <row r="923" spans="2:45" x14ac:dyDescent="0.3">
      <c r="B923" s="63" t="s">
        <v>103</v>
      </c>
      <c r="C923" s="55"/>
      <c r="D923" s="43">
        <v>0</v>
      </c>
      <c r="E923" s="408">
        <v>0</v>
      </c>
      <c r="F923" s="408">
        <v>0</v>
      </c>
      <c r="G923" s="408">
        <v>0</v>
      </c>
      <c r="H923" s="408">
        <v>0</v>
      </c>
      <c r="I923" s="408">
        <v>0</v>
      </c>
      <c r="J923" s="408">
        <v>0</v>
      </c>
      <c r="K923" s="408">
        <v>0</v>
      </c>
      <c r="L923" s="408">
        <v>0</v>
      </c>
      <c r="M923" s="408">
        <v>0</v>
      </c>
      <c r="N923" s="408">
        <v>0</v>
      </c>
      <c r="O923" s="408">
        <v>0</v>
      </c>
      <c r="P923" s="408">
        <v>0</v>
      </c>
      <c r="Q923" s="408">
        <v>0</v>
      </c>
      <c r="R923" s="408">
        <v>0</v>
      </c>
      <c r="S923" s="408">
        <v>0</v>
      </c>
      <c r="T923" s="408">
        <v>0</v>
      </c>
      <c r="U923" s="408">
        <v>0</v>
      </c>
      <c r="V923" s="408">
        <v>0</v>
      </c>
      <c r="W923" s="408">
        <v>0</v>
      </c>
      <c r="Y923" s="409"/>
      <c r="Z923" s="409"/>
      <c r="AA923" s="409"/>
      <c r="AB923" s="409"/>
      <c r="AC923" s="409"/>
      <c r="AD923" s="409"/>
      <c r="AE923" s="409"/>
      <c r="AF923" s="409"/>
      <c r="AG923" s="409"/>
      <c r="AH923" s="409"/>
      <c r="AI923" s="409"/>
      <c r="AJ923" s="409"/>
      <c r="AK923" s="409"/>
      <c r="AL923" s="409"/>
      <c r="AM923" s="409"/>
      <c r="AN923" s="409"/>
      <c r="AO923" s="409"/>
      <c r="AP923" s="409"/>
      <c r="AQ923" s="409"/>
      <c r="AR923" s="409"/>
      <c r="AS923" s="409"/>
    </row>
    <row r="924" spans="2:45" x14ac:dyDescent="0.3">
      <c r="B924" s="63" t="s">
        <v>198</v>
      </c>
      <c r="C924" s="62"/>
      <c r="D924" s="31">
        <f t="shared" ref="D924:S924" si="751">+D919-D$917</f>
        <v>35.104767741935575</v>
      </c>
      <c r="E924" s="31">
        <f t="shared" si="751"/>
        <v>35.020896774193602</v>
      </c>
      <c r="F924" s="31">
        <f t="shared" si="751"/>
        <v>35.303154838709702</v>
      </c>
      <c r="G924" s="31">
        <f t="shared" si="751"/>
        <v>35.778961290322627</v>
      </c>
      <c r="H924" s="31">
        <f t="shared" si="751"/>
        <v>35.924122580645189</v>
      </c>
      <c r="I924" s="31">
        <f t="shared" si="751"/>
        <v>35.432187096774214</v>
      </c>
      <c r="J924" s="31">
        <f t="shared" si="751"/>
        <v>35.061219354838727</v>
      </c>
      <c r="K924" s="31">
        <f t="shared" si="751"/>
        <v>35.246703225806527</v>
      </c>
      <c r="L924" s="31">
        <f t="shared" si="751"/>
        <v>35.633800000000065</v>
      </c>
      <c r="M924" s="31">
        <f t="shared" si="751"/>
        <v>35.582187096774305</v>
      </c>
      <c r="N924" s="31">
        <f t="shared" si="751"/>
        <v>35.40154193548392</v>
      </c>
      <c r="O924" s="31">
        <f t="shared" si="751"/>
        <v>35.778961290322627</v>
      </c>
      <c r="P924" s="31">
        <f t="shared" si="751"/>
        <v>35.069283870967752</v>
      </c>
      <c r="Q924" s="31">
        <f t="shared" si="751"/>
        <v>35.069283870967752</v>
      </c>
      <c r="R924" s="31">
        <f t="shared" si="751"/>
        <v>35.004767741935552</v>
      </c>
      <c r="S924" s="31">
        <f t="shared" si="751"/>
        <v>35.662832258064554</v>
      </c>
      <c r="T924" s="29"/>
      <c r="U924" s="29"/>
      <c r="V924" s="29"/>
      <c r="W924" s="31">
        <f>+W919-W$917</f>
        <v>35.069283870967752</v>
      </c>
      <c r="Y924" s="390"/>
      <c r="Z924" s="390"/>
      <c r="AA924" s="390"/>
      <c r="AB924" s="390"/>
      <c r="AC924" s="390"/>
      <c r="AD924" s="390"/>
      <c r="AE924" s="390"/>
      <c r="AF924" s="390"/>
      <c r="AG924" s="390"/>
      <c r="AH924" s="390"/>
      <c r="AI924" s="390"/>
      <c r="AJ924" s="390"/>
      <c r="AK924" s="390"/>
      <c r="AL924" s="390"/>
      <c r="AM924" s="390"/>
      <c r="AN924" s="390"/>
      <c r="AO924" s="390"/>
      <c r="AP924" s="390"/>
      <c r="AQ924" s="390"/>
      <c r="AR924" s="390"/>
      <c r="AS924" s="390"/>
    </row>
    <row r="925" spans="2:45" x14ac:dyDescent="0.3">
      <c r="B925" s="63" t="s">
        <v>199</v>
      </c>
      <c r="C925" s="64"/>
      <c r="D925" s="31">
        <f t="shared" ref="D925:S925" si="752">+D920-D$917</f>
        <v>40.104767741935575</v>
      </c>
      <c r="E925" s="32">
        <f t="shared" si="752"/>
        <v>40.020896774193602</v>
      </c>
      <c r="F925" s="32">
        <f t="shared" si="752"/>
        <v>40.303154838709702</v>
      </c>
      <c r="G925" s="32">
        <f t="shared" si="752"/>
        <v>40.778961290322627</v>
      </c>
      <c r="H925" s="32">
        <f t="shared" si="752"/>
        <v>40.924122580645189</v>
      </c>
      <c r="I925" s="32">
        <f t="shared" si="752"/>
        <v>40.432187096774214</v>
      </c>
      <c r="J925" s="32">
        <f t="shared" si="752"/>
        <v>40.061219354838727</v>
      </c>
      <c r="K925" s="32">
        <f t="shared" si="752"/>
        <v>40.246703225806527</v>
      </c>
      <c r="L925" s="32">
        <f t="shared" si="752"/>
        <v>40.633800000000065</v>
      </c>
      <c r="M925" s="32">
        <f t="shared" si="752"/>
        <v>40.582187096774305</v>
      </c>
      <c r="N925" s="32">
        <f t="shared" si="752"/>
        <v>40.40154193548392</v>
      </c>
      <c r="O925" s="32">
        <f t="shared" si="752"/>
        <v>40.778961290322627</v>
      </c>
      <c r="P925" s="32">
        <f t="shared" si="752"/>
        <v>40.069283870967752</v>
      </c>
      <c r="Q925" s="32">
        <f t="shared" si="752"/>
        <v>40.069283870967752</v>
      </c>
      <c r="R925" s="32">
        <f t="shared" si="752"/>
        <v>40.004767741935552</v>
      </c>
      <c r="S925" s="32">
        <f t="shared" si="752"/>
        <v>40.662832258064554</v>
      </c>
      <c r="T925" s="32"/>
      <c r="U925" s="32"/>
      <c r="V925" s="32"/>
      <c r="W925" s="32">
        <f>+W920-W$917</f>
        <v>40.069283870967752</v>
      </c>
      <c r="Y925" s="390"/>
      <c r="Z925" s="390"/>
      <c r="AA925" s="390"/>
      <c r="AB925" s="390"/>
      <c r="AC925" s="390"/>
      <c r="AD925" s="390"/>
      <c r="AE925" s="390"/>
      <c r="AF925" s="390"/>
      <c r="AG925" s="390"/>
      <c r="AH925" s="390"/>
      <c r="AI925" s="390"/>
      <c r="AJ925" s="390"/>
      <c r="AK925" s="390"/>
      <c r="AL925" s="390"/>
      <c r="AM925" s="390"/>
      <c r="AN925" s="390"/>
      <c r="AO925" s="390"/>
      <c r="AP925" s="390"/>
      <c r="AQ925" s="390"/>
      <c r="AR925" s="390"/>
      <c r="AS925" s="390"/>
    </row>
    <row r="926" spans="2:45" x14ac:dyDescent="0.3">
      <c r="B926" s="63" t="s">
        <v>200</v>
      </c>
      <c r="C926" s="64"/>
      <c r="D926" s="31">
        <f t="shared" ref="D926:S926" si="753">+D921-D$917</f>
        <v>45.104767741935575</v>
      </c>
      <c r="E926" s="32">
        <f t="shared" si="753"/>
        <v>45.020896774193602</v>
      </c>
      <c r="F926" s="32">
        <f t="shared" si="753"/>
        <v>45.303154838709702</v>
      </c>
      <c r="G926" s="32">
        <f t="shared" si="753"/>
        <v>45.778961290322627</v>
      </c>
      <c r="H926" s="32">
        <f t="shared" si="753"/>
        <v>45.924122580645189</v>
      </c>
      <c r="I926" s="32">
        <f t="shared" si="753"/>
        <v>45.432187096774214</v>
      </c>
      <c r="J926" s="32">
        <f t="shared" si="753"/>
        <v>45.061219354838727</v>
      </c>
      <c r="K926" s="32">
        <f t="shared" si="753"/>
        <v>45.246703225806527</v>
      </c>
      <c r="L926" s="32">
        <f t="shared" si="753"/>
        <v>45.633800000000065</v>
      </c>
      <c r="M926" s="32">
        <f t="shared" si="753"/>
        <v>45.582187096774305</v>
      </c>
      <c r="N926" s="32">
        <f t="shared" si="753"/>
        <v>45.40154193548392</v>
      </c>
      <c r="O926" s="32">
        <f t="shared" si="753"/>
        <v>45.778961290322627</v>
      </c>
      <c r="P926" s="32">
        <f t="shared" si="753"/>
        <v>45.069283870967752</v>
      </c>
      <c r="Q926" s="32">
        <f t="shared" si="753"/>
        <v>45.069283870967752</v>
      </c>
      <c r="R926" s="32">
        <f t="shared" si="753"/>
        <v>45.004767741935552</v>
      </c>
      <c r="S926" s="32">
        <f t="shared" si="753"/>
        <v>45.662832258064554</v>
      </c>
      <c r="T926" s="32"/>
      <c r="U926" s="32"/>
      <c r="V926" s="32"/>
      <c r="W926" s="32">
        <f>+W921-W$917</f>
        <v>45.069283870967752</v>
      </c>
      <c r="Y926" s="390"/>
      <c r="Z926" s="390"/>
      <c r="AA926" s="390"/>
      <c r="AB926" s="390"/>
      <c r="AC926" s="390"/>
      <c r="AD926" s="390"/>
      <c r="AE926" s="390"/>
      <c r="AF926" s="390"/>
      <c r="AG926" s="390"/>
      <c r="AH926" s="390"/>
      <c r="AI926" s="390"/>
      <c r="AJ926" s="390"/>
      <c r="AK926" s="390"/>
      <c r="AL926" s="390"/>
      <c r="AM926" s="390"/>
      <c r="AN926" s="390"/>
      <c r="AO926" s="390"/>
      <c r="AP926" s="390"/>
      <c r="AQ926" s="390"/>
      <c r="AR926" s="390"/>
      <c r="AS926" s="390"/>
    </row>
    <row r="927" spans="2:45" x14ac:dyDescent="0.3">
      <c r="B927" s="63" t="s">
        <v>201</v>
      </c>
      <c r="C927" s="64"/>
      <c r="D927" s="31">
        <f t="shared" ref="D927:S927" si="754">+D922-D$917</f>
        <v>50.104767741935575</v>
      </c>
      <c r="E927" s="32">
        <f t="shared" si="754"/>
        <v>50.020896774193602</v>
      </c>
      <c r="F927" s="32">
        <f t="shared" si="754"/>
        <v>50.303154838709702</v>
      </c>
      <c r="G927" s="32">
        <f t="shared" si="754"/>
        <v>50.778961290322627</v>
      </c>
      <c r="H927" s="32">
        <f t="shared" si="754"/>
        <v>50.924122580645189</v>
      </c>
      <c r="I927" s="32">
        <f t="shared" si="754"/>
        <v>50.432187096774214</v>
      </c>
      <c r="J927" s="32">
        <f t="shared" si="754"/>
        <v>50.061219354838727</v>
      </c>
      <c r="K927" s="32">
        <f t="shared" si="754"/>
        <v>50.246703225806527</v>
      </c>
      <c r="L927" s="32">
        <f t="shared" si="754"/>
        <v>50.633800000000065</v>
      </c>
      <c r="M927" s="32">
        <f t="shared" si="754"/>
        <v>50.582187096774305</v>
      </c>
      <c r="N927" s="32">
        <f t="shared" si="754"/>
        <v>50.40154193548392</v>
      </c>
      <c r="O927" s="32">
        <f t="shared" si="754"/>
        <v>50.778961290322627</v>
      </c>
      <c r="P927" s="32">
        <f t="shared" si="754"/>
        <v>50.069283870967752</v>
      </c>
      <c r="Q927" s="32">
        <f t="shared" si="754"/>
        <v>50.069283870967752</v>
      </c>
      <c r="R927" s="32">
        <f t="shared" si="754"/>
        <v>50.004767741935552</v>
      </c>
      <c r="S927" s="32">
        <f t="shared" si="754"/>
        <v>50.662832258064554</v>
      </c>
      <c r="T927" s="32"/>
      <c r="U927" s="32"/>
      <c r="V927" s="32"/>
      <c r="W927" s="32">
        <f>+W922-W$917</f>
        <v>50.069283870967752</v>
      </c>
      <c r="Y927" s="390"/>
      <c r="Z927" s="390"/>
      <c r="AA927" s="390"/>
      <c r="AB927" s="390"/>
      <c r="AC927" s="390"/>
      <c r="AD927" s="390"/>
      <c r="AE927" s="390"/>
      <c r="AF927" s="390"/>
      <c r="AG927" s="390"/>
      <c r="AH927" s="390"/>
      <c r="AI927" s="390"/>
      <c r="AJ927" s="390"/>
      <c r="AK927" s="390"/>
      <c r="AL927" s="390"/>
      <c r="AM927" s="390"/>
      <c r="AN927" s="390"/>
      <c r="AO927" s="390"/>
      <c r="AP927" s="390"/>
      <c r="AQ927" s="390"/>
      <c r="AR927" s="390"/>
      <c r="AS927" s="390"/>
    </row>
    <row r="928" spans="2:45" x14ac:dyDescent="0.3">
      <c r="B928" s="65" t="s">
        <v>108</v>
      </c>
      <c r="C928" s="55"/>
      <c r="D928" s="43">
        <v>0</v>
      </c>
      <c r="E928" s="408">
        <v>0</v>
      </c>
      <c r="F928" s="408">
        <v>0</v>
      </c>
      <c r="G928" s="408">
        <v>0</v>
      </c>
      <c r="H928" s="408">
        <v>0</v>
      </c>
      <c r="I928" s="408">
        <v>0</v>
      </c>
      <c r="J928" s="408">
        <v>0</v>
      </c>
      <c r="K928" s="408">
        <v>0</v>
      </c>
      <c r="L928" s="408">
        <v>0</v>
      </c>
      <c r="M928" s="408">
        <v>0</v>
      </c>
      <c r="N928" s="408">
        <v>0</v>
      </c>
      <c r="O928" s="408">
        <v>0</v>
      </c>
      <c r="P928" s="408">
        <v>0</v>
      </c>
      <c r="Q928" s="408">
        <v>0</v>
      </c>
      <c r="R928" s="408">
        <v>0</v>
      </c>
      <c r="S928" s="408">
        <v>0</v>
      </c>
      <c r="T928" s="408">
        <v>0</v>
      </c>
      <c r="U928" s="408">
        <v>0</v>
      </c>
      <c r="V928" s="408">
        <v>0</v>
      </c>
      <c r="W928" s="408">
        <v>0</v>
      </c>
      <c r="Y928" s="409"/>
      <c r="Z928" s="409"/>
      <c r="AA928" s="409"/>
      <c r="AB928" s="409"/>
      <c r="AC928" s="409"/>
      <c r="AD928" s="409"/>
      <c r="AE928" s="409"/>
      <c r="AF928" s="409"/>
      <c r="AG928" s="409"/>
      <c r="AH928" s="409"/>
      <c r="AI928" s="409"/>
      <c r="AJ928" s="409"/>
      <c r="AK928" s="409"/>
      <c r="AL928" s="409"/>
      <c r="AM928" s="409"/>
      <c r="AN928" s="409"/>
      <c r="AO928" s="409"/>
      <c r="AP928" s="409"/>
      <c r="AQ928" s="409"/>
      <c r="AR928" s="409"/>
      <c r="AS928" s="409"/>
    </row>
    <row r="929" spans="1:45" x14ac:dyDescent="0.3">
      <c r="B929" s="65" t="s">
        <v>202</v>
      </c>
      <c r="C929" s="64"/>
      <c r="D929" s="99">
        <f t="shared" ref="D929:S929" si="755">+D924/D$917</f>
        <v>5.4182784490614873E-2</v>
      </c>
      <c r="E929" s="99">
        <f t="shared" si="755"/>
        <v>5.2038609529370408E-2</v>
      </c>
      <c r="F929" s="99">
        <f t="shared" si="755"/>
        <v>5.1410101979451721E-2</v>
      </c>
      <c r="G929" s="99">
        <f t="shared" si="755"/>
        <v>5.4110439922091032E-2</v>
      </c>
      <c r="H929" s="99">
        <f t="shared" si="755"/>
        <v>5.509193611457907E-2</v>
      </c>
      <c r="I929" s="99">
        <f t="shared" si="755"/>
        <v>5.3638985134695151E-2</v>
      </c>
      <c r="J929" s="99">
        <f t="shared" si="755"/>
        <v>5.1947258566657509E-2</v>
      </c>
      <c r="K929" s="99">
        <f t="shared" si="755"/>
        <v>5.2784019781074186E-2</v>
      </c>
      <c r="L929" s="99">
        <f t="shared" si="755"/>
        <v>5.3155722946652245E-2</v>
      </c>
      <c r="M929" s="99">
        <f t="shared" si="755"/>
        <v>5.4875400380286647E-2</v>
      </c>
      <c r="N929" s="99">
        <f t="shared" si="755"/>
        <v>5.4247051150684934E-2</v>
      </c>
      <c r="O929" s="99">
        <f t="shared" si="755"/>
        <v>5.4110439922091032E-2</v>
      </c>
      <c r="P929" s="99">
        <f t="shared" si="755"/>
        <v>5.4545976714432731E-2</v>
      </c>
      <c r="Q929" s="99">
        <f t="shared" si="755"/>
        <v>5.4545976714432731E-2</v>
      </c>
      <c r="R929" s="99">
        <f t="shared" si="755"/>
        <v>5.3361314260535503E-2</v>
      </c>
      <c r="S929" s="99">
        <f t="shared" si="755"/>
        <v>5.4669324425452283E-2</v>
      </c>
      <c r="T929" s="117"/>
      <c r="U929" s="117"/>
      <c r="V929" s="117"/>
      <c r="W929" s="99">
        <f>+W924/W$917</f>
        <v>5.4545976714432731E-2</v>
      </c>
      <c r="Y929" s="390"/>
      <c r="Z929" s="390"/>
      <c r="AA929" s="390"/>
      <c r="AB929" s="390"/>
      <c r="AC929" s="390"/>
      <c r="AD929" s="390"/>
      <c r="AE929" s="390"/>
      <c r="AF929" s="390"/>
      <c r="AG929" s="390"/>
      <c r="AH929" s="390"/>
      <c r="AI929" s="390"/>
      <c r="AJ929" s="390"/>
      <c r="AK929" s="390"/>
      <c r="AL929" s="390"/>
      <c r="AM929" s="390"/>
      <c r="AN929" s="390"/>
      <c r="AO929" s="390"/>
      <c r="AP929" s="390"/>
      <c r="AQ929" s="390"/>
      <c r="AR929" s="390"/>
      <c r="AS929" s="390"/>
    </row>
    <row r="930" spans="1:45" x14ac:dyDescent="0.3">
      <c r="B930" s="65" t="s">
        <v>203</v>
      </c>
      <c r="C930" s="66"/>
      <c r="D930" s="368">
        <f t="shared" ref="D930:S930" si="756">+D925/D$917</f>
        <v>6.1900081595231381E-2</v>
      </c>
      <c r="E930" s="368">
        <f t="shared" si="756"/>
        <v>5.9468260726611724E-2</v>
      </c>
      <c r="F930" s="368">
        <f t="shared" si="756"/>
        <v>5.8691335372661219E-2</v>
      </c>
      <c r="G930" s="368">
        <f t="shared" si="756"/>
        <v>6.1672207783799005E-2</v>
      </c>
      <c r="H930" s="368">
        <f t="shared" si="756"/>
        <v>6.2759755417737345E-2</v>
      </c>
      <c r="I930" s="368">
        <f t="shared" si="756"/>
        <v>6.1208230717559341E-2</v>
      </c>
      <c r="J930" s="368">
        <f t="shared" si="756"/>
        <v>5.9355337852338194E-2</v>
      </c>
      <c r="K930" s="368">
        <f t="shared" si="756"/>
        <v>6.0271815085349248E-2</v>
      </c>
      <c r="L930" s="368">
        <f t="shared" si="756"/>
        <v>6.0614332882535052E-2</v>
      </c>
      <c r="M930" s="368">
        <f t="shared" si="756"/>
        <v>6.2586477868446636E-2</v>
      </c>
      <c r="N930" s="368">
        <f t="shared" si="756"/>
        <v>6.1908730301489329E-2</v>
      </c>
      <c r="O930" s="368">
        <f t="shared" si="756"/>
        <v>6.1672207783799005E-2</v>
      </c>
      <c r="P930" s="368">
        <f t="shared" si="756"/>
        <v>6.2322864448314974E-2</v>
      </c>
      <c r="Q930" s="368">
        <f t="shared" si="756"/>
        <v>6.2322864448314974E-2</v>
      </c>
      <c r="R930" s="368">
        <f t="shared" si="756"/>
        <v>6.0983320876024177E-2</v>
      </c>
      <c r="S930" s="368">
        <f t="shared" si="756"/>
        <v>6.2334072422730279E-2</v>
      </c>
      <c r="T930" s="368"/>
      <c r="U930" s="368"/>
      <c r="V930" s="368"/>
      <c r="W930" s="368">
        <f>+W925/W$917</f>
        <v>6.2322864448314974E-2</v>
      </c>
      <c r="Y930" s="390"/>
      <c r="Z930" s="390"/>
      <c r="AA930" s="390"/>
      <c r="AB930" s="390"/>
      <c r="AC930" s="390"/>
      <c r="AD930" s="390"/>
      <c r="AE930" s="390"/>
      <c r="AF930" s="390"/>
      <c r="AG930" s="390"/>
      <c r="AH930" s="390"/>
      <c r="AI930" s="390"/>
      <c r="AJ930" s="390"/>
      <c r="AK930" s="390"/>
      <c r="AL930" s="390"/>
      <c r="AM930" s="390"/>
      <c r="AN930" s="390"/>
      <c r="AO930" s="390"/>
      <c r="AP930" s="390"/>
      <c r="AQ930" s="390"/>
      <c r="AR930" s="390"/>
      <c r="AS930" s="390"/>
    </row>
    <row r="931" spans="1:45" x14ac:dyDescent="0.3">
      <c r="B931" s="65" t="s">
        <v>204</v>
      </c>
      <c r="C931" s="66"/>
      <c r="D931" s="368">
        <f t="shared" ref="D931:S931" si="757">+D926/D$917</f>
        <v>6.9617378699847896E-2</v>
      </c>
      <c r="E931" s="368">
        <f t="shared" si="757"/>
        <v>6.689791192385304E-2</v>
      </c>
      <c r="F931" s="368">
        <f t="shared" si="757"/>
        <v>6.5972568765870723E-2</v>
      </c>
      <c r="G931" s="368">
        <f t="shared" si="757"/>
        <v>6.923397564550697E-2</v>
      </c>
      <c r="H931" s="368">
        <f t="shared" si="757"/>
        <v>7.0427574720895628E-2</v>
      </c>
      <c r="I931" s="368">
        <f t="shared" si="757"/>
        <v>6.8777476300423523E-2</v>
      </c>
      <c r="J931" s="368">
        <f t="shared" si="757"/>
        <v>6.676341713801888E-2</v>
      </c>
      <c r="K931" s="368">
        <f t="shared" si="757"/>
        <v>6.7759610389624317E-2</v>
      </c>
      <c r="L931" s="368">
        <f t="shared" si="757"/>
        <v>6.8072942818417859E-2</v>
      </c>
      <c r="M931" s="368">
        <f t="shared" si="757"/>
        <v>7.0297555356606631E-2</v>
      </c>
      <c r="N931" s="368">
        <f t="shared" si="757"/>
        <v>6.957040945229373E-2</v>
      </c>
      <c r="O931" s="368">
        <f t="shared" si="757"/>
        <v>6.923397564550697E-2</v>
      </c>
      <c r="P931" s="368">
        <f t="shared" si="757"/>
        <v>7.0099752182197217E-2</v>
      </c>
      <c r="Q931" s="368">
        <f t="shared" si="757"/>
        <v>7.0099752182197217E-2</v>
      </c>
      <c r="R931" s="368">
        <f t="shared" si="757"/>
        <v>6.8605327491512866E-2</v>
      </c>
      <c r="S931" s="368">
        <f t="shared" si="757"/>
        <v>6.9998820420008281E-2</v>
      </c>
      <c r="T931" s="368"/>
      <c r="U931" s="368"/>
      <c r="V931" s="368"/>
      <c r="W931" s="368">
        <f>+W926/W$917</f>
        <v>7.0099752182197217E-2</v>
      </c>
      <c r="Y931" s="390"/>
      <c r="Z931" s="390"/>
      <c r="AA931" s="390"/>
      <c r="AB931" s="390"/>
      <c r="AC931" s="390"/>
      <c r="AD931" s="390"/>
      <c r="AE931" s="390"/>
      <c r="AF931" s="390"/>
      <c r="AG931" s="390"/>
      <c r="AH931" s="390"/>
      <c r="AI931" s="390"/>
      <c r="AJ931" s="390"/>
      <c r="AK931" s="390"/>
      <c r="AL931" s="390"/>
      <c r="AM931" s="390"/>
      <c r="AN931" s="390"/>
      <c r="AO931" s="390"/>
      <c r="AP931" s="390"/>
      <c r="AQ931" s="390"/>
      <c r="AR931" s="390"/>
      <c r="AS931" s="390"/>
    </row>
    <row r="932" spans="1:45" x14ac:dyDescent="0.3">
      <c r="B932" s="65" t="s">
        <v>205</v>
      </c>
      <c r="C932" s="66"/>
      <c r="D932" s="368">
        <f t="shared" ref="D932:S932" si="758">+D927/D$917</f>
        <v>7.7334675804464389E-2</v>
      </c>
      <c r="E932" s="368">
        <f t="shared" si="758"/>
        <v>7.4327563121094356E-2</v>
      </c>
      <c r="F932" s="368">
        <f t="shared" si="758"/>
        <v>7.3253802159080214E-2</v>
      </c>
      <c r="G932" s="368">
        <f t="shared" si="758"/>
        <v>7.679574350721495E-2</v>
      </c>
      <c r="H932" s="368">
        <f t="shared" si="758"/>
        <v>7.809539402405391E-2</v>
      </c>
      <c r="I932" s="368">
        <f t="shared" si="758"/>
        <v>7.6346721883287713E-2</v>
      </c>
      <c r="J932" s="368">
        <f t="shared" si="758"/>
        <v>7.4171496423699565E-2</v>
      </c>
      <c r="K932" s="368">
        <f t="shared" si="758"/>
        <v>7.5247405693899372E-2</v>
      </c>
      <c r="L932" s="368">
        <f t="shared" si="758"/>
        <v>7.5531552754300665E-2</v>
      </c>
      <c r="M932" s="368">
        <f t="shared" si="758"/>
        <v>7.8008632844766612E-2</v>
      </c>
      <c r="N932" s="368">
        <f t="shared" si="758"/>
        <v>7.7232088603098117E-2</v>
      </c>
      <c r="O932" s="368">
        <f t="shared" si="758"/>
        <v>7.679574350721495E-2</v>
      </c>
      <c r="P932" s="368">
        <f t="shared" si="758"/>
        <v>7.7876639916079474E-2</v>
      </c>
      <c r="Q932" s="368">
        <f t="shared" si="758"/>
        <v>7.7876639916079474E-2</v>
      </c>
      <c r="R932" s="368">
        <f t="shared" si="758"/>
        <v>7.622733410700154E-2</v>
      </c>
      <c r="S932" s="368">
        <f t="shared" si="758"/>
        <v>7.7663568417286277E-2</v>
      </c>
      <c r="T932" s="368"/>
      <c r="U932" s="368"/>
      <c r="V932" s="368"/>
      <c r="W932" s="368">
        <f>+W927/W$917</f>
        <v>7.7876639916079474E-2</v>
      </c>
      <c r="Y932" s="390"/>
      <c r="Z932" s="390"/>
      <c r="AA932" s="390"/>
      <c r="AB932" s="390"/>
      <c r="AC932" s="390"/>
      <c r="AD932" s="390"/>
      <c r="AE932" s="390"/>
      <c r="AF932" s="390"/>
      <c r="AG932" s="390"/>
      <c r="AH932" s="390"/>
      <c r="AI932" s="390"/>
      <c r="AJ932" s="390"/>
      <c r="AK932" s="390"/>
      <c r="AL932" s="390"/>
      <c r="AM932" s="390"/>
      <c r="AN932" s="390"/>
      <c r="AO932" s="390"/>
      <c r="AP932" s="390"/>
      <c r="AQ932" s="390"/>
      <c r="AR932" s="390"/>
      <c r="AS932" s="390"/>
    </row>
    <row r="933" spans="1:45" hidden="1" x14ac:dyDescent="0.3">
      <c r="B933" s="65" t="s">
        <v>78</v>
      </c>
      <c r="C933" s="66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Y933" s="390"/>
      <c r="Z933" s="390"/>
      <c r="AA933" s="390"/>
      <c r="AB933" s="390"/>
      <c r="AC933" s="390"/>
      <c r="AD933" s="390"/>
      <c r="AE933" s="390"/>
      <c r="AF933" s="390"/>
      <c r="AG933" s="390"/>
      <c r="AH933" s="390"/>
      <c r="AI933" s="390"/>
      <c r="AJ933" s="390"/>
      <c r="AK933" s="390"/>
      <c r="AL933" s="390"/>
      <c r="AM933" s="390"/>
      <c r="AN933" s="390"/>
      <c r="AO933" s="390"/>
      <c r="AP933" s="390"/>
      <c r="AQ933" s="390"/>
      <c r="AR933" s="390"/>
      <c r="AS933" s="390"/>
    </row>
    <row r="934" spans="1:45" ht="21" thickBot="1" x14ac:dyDescent="0.35">
      <c r="Y934" s="390"/>
      <c r="Z934" s="390"/>
      <c r="AA934" s="390"/>
      <c r="AB934" s="390"/>
      <c r="AC934" s="390"/>
      <c r="AD934" s="390"/>
      <c r="AE934" s="390"/>
      <c r="AF934" s="390"/>
      <c r="AG934" s="390"/>
      <c r="AH934" s="390"/>
      <c r="AI934" s="390"/>
      <c r="AJ934" s="390"/>
      <c r="AK934" s="390"/>
      <c r="AL934" s="390"/>
      <c r="AM934" s="390"/>
      <c r="AN934" s="390"/>
      <c r="AO934" s="390"/>
      <c r="AP934" s="390"/>
      <c r="AQ934" s="390"/>
      <c r="AR934" s="390"/>
      <c r="AS934" s="390"/>
    </row>
    <row r="935" spans="1:45" ht="21" thickBot="1" x14ac:dyDescent="0.35">
      <c r="A935" s="15" t="s">
        <v>342</v>
      </c>
      <c r="B935" s="223" t="s">
        <v>159</v>
      </c>
      <c r="C935" s="68"/>
      <c r="D935" s="17" t="s">
        <v>5</v>
      </c>
      <c r="E935" s="18" t="s">
        <v>6</v>
      </c>
      <c r="F935" s="18" t="s">
        <v>7</v>
      </c>
      <c r="G935" s="18" t="s">
        <v>8</v>
      </c>
      <c r="H935" s="18" t="s">
        <v>9</v>
      </c>
      <c r="I935" s="18" t="s">
        <v>10</v>
      </c>
      <c r="J935" s="18" t="s">
        <v>11</v>
      </c>
      <c r="K935" s="18" t="s">
        <v>12</v>
      </c>
      <c r="L935" s="18" t="s">
        <v>13</v>
      </c>
      <c r="M935" s="18" t="s">
        <v>14</v>
      </c>
      <c r="N935" s="18" t="s">
        <v>15</v>
      </c>
      <c r="O935" s="18" t="s">
        <v>16</v>
      </c>
      <c r="P935" s="18" t="s">
        <v>17</v>
      </c>
      <c r="Q935" s="18" t="s">
        <v>18</v>
      </c>
      <c r="R935" s="18" t="s">
        <v>19</v>
      </c>
      <c r="S935" s="18" t="s">
        <v>20</v>
      </c>
      <c r="T935" s="18" t="s">
        <v>21</v>
      </c>
      <c r="U935" s="18" t="s">
        <v>22</v>
      </c>
      <c r="V935" s="18" t="s">
        <v>23</v>
      </c>
      <c r="W935" s="18" t="s">
        <v>166</v>
      </c>
      <c r="Y935" s="390"/>
      <c r="Z935" s="390"/>
      <c r="AA935" s="390"/>
      <c r="AB935" s="390"/>
      <c r="AC935" s="390"/>
      <c r="AD935" s="390"/>
      <c r="AE935" s="390"/>
      <c r="AF935" s="390"/>
      <c r="AG935" s="390"/>
      <c r="AH935" s="390"/>
      <c r="AI935" s="390"/>
      <c r="AJ935" s="390"/>
      <c r="AK935" s="390"/>
      <c r="AL935" s="390"/>
      <c r="AM935" s="390"/>
      <c r="AN935" s="390"/>
      <c r="AO935" s="390"/>
      <c r="AP935" s="390"/>
      <c r="AQ935" s="390"/>
      <c r="AR935" s="390"/>
      <c r="AS935" s="390"/>
    </row>
    <row r="936" spans="1:45" x14ac:dyDescent="0.3">
      <c r="B936" s="222" t="s">
        <v>50</v>
      </c>
      <c r="C936" s="7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Y936" s="390"/>
      <c r="Z936" s="390"/>
      <c r="AA936" s="390"/>
      <c r="AB936" s="390"/>
      <c r="AC936" s="390"/>
      <c r="AD936" s="390"/>
      <c r="AE936" s="390"/>
      <c r="AF936" s="390"/>
      <c r="AG936" s="390"/>
      <c r="AH936" s="390"/>
      <c r="AI936" s="390"/>
      <c r="AJ936" s="390"/>
      <c r="AK936" s="390"/>
      <c r="AL936" s="390"/>
      <c r="AM936" s="390"/>
      <c r="AN936" s="390"/>
      <c r="AO936" s="390"/>
      <c r="AP936" s="390"/>
      <c r="AQ936" s="390"/>
      <c r="AR936" s="390"/>
      <c r="AS936" s="390"/>
    </row>
    <row r="937" spans="1:45" x14ac:dyDescent="0.3">
      <c r="B937" s="54" t="s">
        <v>51</v>
      </c>
      <c r="C937" s="55"/>
      <c r="D937" s="322"/>
      <c r="E937" s="322"/>
      <c r="F937" s="322"/>
      <c r="G937" s="322"/>
      <c r="H937" s="322"/>
      <c r="I937" s="322"/>
      <c r="J937" s="322"/>
      <c r="K937" s="322"/>
      <c r="L937" s="322"/>
      <c r="M937" s="322"/>
      <c r="N937" s="322"/>
      <c r="O937" s="322"/>
      <c r="P937" s="322"/>
      <c r="Q937" s="322"/>
      <c r="R937" s="322"/>
      <c r="S937" s="322"/>
      <c r="T937" s="218"/>
      <c r="U937" s="218"/>
      <c r="V937" s="218"/>
      <c r="W937" s="322"/>
      <c r="Y937" s="390"/>
      <c r="Z937" s="390"/>
      <c r="AA937" s="390"/>
      <c r="AB937" s="390"/>
      <c r="AC937" s="390"/>
      <c r="AD937" s="390"/>
      <c r="AE937" s="390"/>
      <c r="AF937" s="390"/>
      <c r="AG937" s="390"/>
      <c r="AH937" s="390"/>
      <c r="AI937" s="390"/>
      <c r="AJ937" s="390"/>
      <c r="AK937" s="390"/>
      <c r="AL937" s="390"/>
      <c r="AM937" s="390"/>
      <c r="AN937" s="390"/>
      <c r="AO937" s="390"/>
      <c r="AP937" s="390"/>
      <c r="AQ937" s="390"/>
      <c r="AR937" s="390"/>
      <c r="AS937" s="390"/>
    </row>
    <row r="938" spans="1:45" x14ac:dyDescent="0.3">
      <c r="B938" s="54" t="s">
        <v>56</v>
      </c>
      <c r="C938" s="55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Y938" s="390"/>
      <c r="Z938" s="390"/>
      <c r="AA938" s="390"/>
      <c r="AB938" s="390"/>
      <c r="AC938" s="390"/>
      <c r="AD938" s="390"/>
      <c r="AE938" s="390"/>
      <c r="AF938" s="390"/>
      <c r="AG938" s="390"/>
      <c r="AH938" s="390"/>
      <c r="AI938" s="390"/>
      <c r="AJ938" s="390"/>
      <c r="AK938" s="390"/>
      <c r="AL938" s="390"/>
      <c r="AM938" s="390"/>
      <c r="AN938" s="390"/>
      <c r="AO938" s="390"/>
      <c r="AP938" s="390"/>
      <c r="AQ938" s="390"/>
      <c r="AR938" s="390"/>
      <c r="AS938" s="390"/>
    </row>
    <row r="939" spans="1:45" x14ac:dyDescent="0.3">
      <c r="B939" s="177" t="s">
        <v>67</v>
      </c>
      <c r="C939" s="178"/>
      <c r="D939" s="323">
        <v>691.44</v>
      </c>
      <c r="E939" s="323">
        <v>691.44</v>
      </c>
      <c r="F939" s="323">
        <v>691.44</v>
      </c>
      <c r="G939" s="323">
        <v>691.44</v>
      </c>
      <c r="H939" s="323">
        <v>691.44</v>
      </c>
      <c r="I939" s="323">
        <v>691.44</v>
      </c>
      <c r="J939" s="323">
        <v>691.44</v>
      </c>
      <c r="K939" s="323">
        <v>691.44</v>
      </c>
      <c r="L939" s="323">
        <v>691.44</v>
      </c>
      <c r="M939" s="323">
        <v>691.44</v>
      </c>
      <c r="N939" s="323">
        <v>691.44</v>
      </c>
      <c r="O939" s="323">
        <v>691.44</v>
      </c>
      <c r="P939" s="323">
        <v>691.44</v>
      </c>
      <c r="Q939" s="323">
        <v>691.44</v>
      </c>
      <c r="R939" s="323">
        <v>691.44</v>
      </c>
      <c r="S939" s="323">
        <v>691.44</v>
      </c>
      <c r="T939" s="323"/>
      <c r="U939" s="323"/>
      <c r="V939" s="323"/>
      <c r="W939" s="323">
        <v>691.44</v>
      </c>
      <c r="Y939" s="390"/>
      <c r="Z939" s="390"/>
      <c r="AA939" s="390"/>
      <c r="AB939" s="390"/>
      <c r="AC939" s="390"/>
      <c r="AD939" s="390"/>
      <c r="AE939" s="390"/>
      <c r="AF939" s="390"/>
      <c r="AG939" s="390"/>
      <c r="AH939" s="390"/>
      <c r="AI939" s="390"/>
      <c r="AJ939" s="390"/>
      <c r="AK939" s="390"/>
      <c r="AL939" s="390"/>
      <c r="AM939" s="390"/>
      <c r="AN939" s="390"/>
      <c r="AO939" s="390"/>
      <c r="AP939" s="390"/>
      <c r="AQ939" s="390"/>
      <c r="AR939" s="390"/>
      <c r="AS939" s="390"/>
    </row>
    <row r="940" spans="1:45" x14ac:dyDescent="0.3">
      <c r="B940" s="54" t="s">
        <v>66</v>
      </c>
      <c r="C940" s="56">
        <v>7.0000000000000007E-2</v>
      </c>
      <c r="D940" s="24">
        <f>D939*$C940</f>
        <v>48.400800000000011</v>
      </c>
      <c r="E940" s="24">
        <f t="shared" ref="E940:V940" si="759">E939*$C940</f>
        <v>48.400800000000011</v>
      </c>
      <c r="F940" s="24">
        <f t="shared" si="759"/>
        <v>48.400800000000011</v>
      </c>
      <c r="G940" s="24">
        <f t="shared" si="759"/>
        <v>48.400800000000011</v>
      </c>
      <c r="H940" s="24">
        <f t="shared" si="759"/>
        <v>48.400800000000011</v>
      </c>
      <c r="I940" s="24">
        <f t="shared" si="759"/>
        <v>48.400800000000011</v>
      </c>
      <c r="J940" s="24">
        <f t="shared" si="759"/>
        <v>48.400800000000011</v>
      </c>
      <c r="K940" s="24">
        <f t="shared" si="759"/>
        <v>48.400800000000011</v>
      </c>
      <c r="L940" s="24">
        <f t="shared" si="759"/>
        <v>48.400800000000011</v>
      </c>
      <c r="M940" s="24">
        <f t="shared" si="759"/>
        <v>48.400800000000011</v>
      </c>
      <c r="N940" s="24">
        <f t="shared" si="759"/>
        <v>48.400800000000011</v>
      </c>
      <c r="O940" s="24">
        <f t="shared" si="759"/>
        <v>48.400800000000011</v>
      </c>
      <c r="P940" s="24">
        <f t="shared" si="759"/>
        <v>48.400800000000011</v>
      </c>
      <c r="Q940" s="24">
        <f t="shared" si="759"/>
        <v>48.400800000000011</v>
      </c>
      <c r="R940" s="24">
        <f t="shared" si="759"/>
        <v>48.400800000000011</v>
      </c>
      <c r="S940" s="24">
        <f t="shared" si="759"/>
        <v>48.400800000000011</v>
      </c>
      <c r="T940" s="24">
        <f t="shared" si="759"/>
        <v>0</v>
      </c>
      <c r="U940" s="24">
        <f t="shared" si="759"/>
        <v>0</v>
      </c>
      <c r="V940" s="24">
        <f t="shared" si="759"/>
        <v>0</v>
      </c>
      <c r="W940" s="24">
        <f>W939*$C940</f>
        <v>48.400800000000011</v>
      </c>
      <c r="Y940" s="390"/>
      <c r="Z940" s="390"/>
      <c r="AA940" s="390"/>
      <c r="AB940" s="390"/>
      <c r="AC940" s="390"/>
      <c r="AD940" s="390"/>
      <c r="AE940" s="390"/>
      <c r="AF940" s="390"/>
      <c r="AG940" s="390"/>
      <c r="AH940" s="390"/>
      <c r="AI940" s="390"/>
      <c r="AJ940" s="390"/>
      <c r="AK940" s="390"/>
      <c r="AL940" s="390"/>
      <c r="AM940" s="390"/>
      <c r="AN940" s="390"/>
      <c r="AO940" s="390"/>
      <c r="AP940" s="390"/>
      <c r="AQ940" s="390"/>
      <c r="AR940" s="390"/>
      <c r="AS940" s="390"/>
    </row>
    <row r="941" spans="1:45" x14ac:dyDescent="0.3">
      <c r="B941" s="54" t="s">
        <v>68</v>
      </c>
      <c r="C941" s="55"/>
      <c r="D941" s="21">
        <f>D939+D940</f>
        <v>739.84080000000006</v>
      </c>
      <c r="E941" s="21">
        <f t="shared" ref="E941:V941" si="760">E939+E940</f>
        <v>739.84080000000006</v>
      </c>
      <c r="F941" s="21">
        <f t="shared" si="760"/>
        <v>739.84080000000006</v>
      </c>
      <c r="G941" s="21">
        <f t="shared" si="760"/>
        <v>739.84080000000006</v>
      </c>
      <c r="H941" s="21">
        <f t="shared" si="760"/>
        <v>739.84080000000006</v>
      </c>
      <c r="I941" s="21">
        <f t="shared" si="760"/>
        <v>739.84080000000006</v>
      </c>
      <c r="J941" s="21">
        <f t="shared" si="760"/>
        <v>739.84080000000006</v>
      </c>
      <c r="K941" s="21">
        <f t="shared" si="760"/>
        <v>739.84080000000006</v>
      </c>
      <c r="L941" s="21">
        <f t="shared" si="760"/>
        <v>739.84080000000006</v>
      </c>
      <c r="M941" s="21">
        <f t="shared" si="760"/>
        <v>739.84080000000006</v>
      </c>
      <c r="N941" s="21">
        <f t="shared" si="760"/>
        <v>739.84080000000006</v>
      </c>
      <c r="O941" s="21">
        <f t="shared" si="760"/>
        <v>739.84080000000006</v>
      </c>
      <c r="P941" s="21">
        <f t="shared" si="760"/>
        <v>739.84080000000006</v>
      </c>
      <c r="Q941" s="21">
        <f t="shared" si="760"/>
        <v>739.84080000000006</v>
      </c>
      <c r="R941" s="21">
        <f t="shared" si="760"/>
        <v>739.84080000000006</v>
      </c>
      <c r="S941" s="21">
        <f t="shared" si="760"/>
        <v>739.84080000000006</v>
      </c>
      <c r="T941" s="21">
        <f t="shared" si="760"/>
        <v>0</v>
      </c>
      <c r="U941" s="21">
        <f t="shared" si="760"/>
        <v>0</v>
      </c>
      <c r="V941" s="21">
        <f t="shared" si="760"/>
        <v>0</v>
      </c>
      <c r="W941" s="21">
        <f>W939+W940</f>
        <v>739.84080000000006</v>
      </c>
      <c r="Y941" s="390"/>
      <c r="Z941" s="390"/>
      <c r="AA941" s="390"/>
      <c r="AB941" s="390"/>
      <c r="AC941" s="390"/>
      <c r="AD941" s="390"/>
      <c r="AE941" s="390"/>
      <c r="AF941" s="390"/>
      <c r="AG941" s="390"/>
      <c r="AH941" s="390"/>
      <c r="AI941" s="390"/>
      <c r="AJ941" s="390"/>
      <c r="AK941" s="390"/>
      <c r="AL941" s="390"/>
      <c r="AM941" s="390"/>
      <c r="AN941" s="390"/>
      <c r="AO941" s="390"/>
      <c r="AP941" s="390"/>
      <c r="AQ941" s="390"/>
      <c r="AR941" s="390"/>
      <c r="AS941" s="390"/>
    </row>
    <row r="942" spans="1:45" x14ac:dyDescent="0.3">
      <c r="B942" s="54" t="s">
        <v>52</v>
      </c>
      <c r="C942" s="55"/>
      <c r="D942" s="20">
        <v>21.590322580645161</v>
      </c>
      <c r="E942" s="21">
        <v>51.629032258064512</v>
      </c>
      <c r="F942" s="21">
        <v>68.056451612903231</v>
      </c>
      <c r="G942" s="21">
        <v>37.548387096774192</v>
      </c>
      <c r="H942" s="21">
        <v>26.596774193548384</v>
      </c>
      <c r="I942" s="21">
        <v>36.766129032258064</v>
      </c>
      <c r="J942" s="21">
        <v>53.975806451612897</v>
      </c>
      <c r="K942" s="21">
        <v>45.37096774193548</v>
      </c>
      <c r="L942" s="21">
        <v>48.5</v>
      </c>
      <c r="M942" s="21">
        <v>22.216129032258063</v>
      </c>
      <c r="N942" s="21">
        <v>27.22258064516129</v>
      </c>
      <c r="O942" s="21">
        <v>37.548387096774192</v>
      </c>
      <c r="P942" s="21">
        <v>15.64516129032258</v>
      </c>
      <c r="Q942" s="21">
        <v>15.64516129032258</v>
      </c>
      <c r="R942" s="21">
        <v>31.29032258064516</v>
      </c>
      <c r="S942" s="21">
        <v>26.909677419354839</v>
      </c>
      <c r="T942" s="21"/>
      <c r="U942" s="21"/>
      <c r="V942" s="21"/>
      <c r="W942" s="21">
        <v>15.64516129032258</v>
      </c>
      <c r="Y942" s="390"/>
      <c r="Z942" s="390"/>
      <c r="AA942" s="390"/>
      <c r="AB942" s="390"/>
      <c r="AC942" s="390"/>
      <c r="AD942" s="390"/>
      <c r="AE942" s="390"/>
      <c r="AF942" s="390"/>
      <c r="AG942" s="390"/>
      <c r="AH942" s="390"/>
      <c r="AI942" s="390"/>
      <c r="AJ942" s="390"/>
      <c r="AK942" s="390"/>
      <c r="AL942" s="390"/>
      <c r="AM942" s="390"/>
      <c r="AN942" s="390"/>
      <c r="AO942" s="390"/>
      <c r="AP942" s="390"/>
      <c r="AQ942" s="390"/>
      <c r="AR942" s="390"/>
      <c r="AS942" s="390"/>
    </row>
    <row r="943" spans="1:45" x14ac:dyDescent="0.3">
      <c r="B943" s="57" t="s">
        <v>53</v>
      </c>
      <c r="C943" s="58"/>
      <c r="D943" s="25">
        <f>SUM(D941:D942)</f>
        <v>761.43112258064525</v>
      </c>
      <c r="E943" s="26">
        <f t="shared" ref="E943:V943" si="761">SUM(E941:E942)</f>
        <v>791.46983225806457</v>
      </c>
      <c r="F943" s="26">
        <f t="shared" si="761"/>
        <v>807.89725161290335</v>
      </c>
      <c r="G943" s="26">
        <f t="shared" si="761"/>
        <v>777.38918709677421</v>
      </c>
      <c r="H943" s="26">
        <f t="shared" si="761"/>
        <v>766.43757419354847</v>
      </c>
      <c r="I943" s="26">
        <f t="shared" si="761"/>
        <v>776.60692903225811</v>
      </c>
      <c r="J943" s="26">
        <f t="shared" si="761"/>
        <v>793.81660645161298</v>
      </c>
      <c r="K943" s="26">
        <f t="shared" si="761"/>
        <v>785.21176774193555</v>
      </c>
      <c r="L943" s="26">
        <f t="shared" si="761"/>
        <v>788.34080000000006</v>
      </c>
      <c r="M943" s="26">
        <f t="shared" si="761"/>
        <v>762.05692903225815</v>
      </c>
      <c r="N943" s="26">
        <f t="shared" si="761"/>
        <v>767.06338064516137</v>
      </c>
      <c r="O943" s="26">
        <f t="shared" si="761"/>
        <v>777.38918709677421</v>
      </c>
      <c r="P943" s="26">
        <f t="shared" si="761"/>
        <v>755.48596129032262</v>
      </c>
      <c r="Q943" s="26">
        <f t="shared" si="761"/>
        <v>755.48596129032262</v>
      </c>
      <c r="R943" s="26">
        <f t="shared" si="761"/>
        <v>771.13112258064518</v>
      </c>
      <c r="S943" s="26">
        <f t="shared" si="761"/>
        <v>766.75047741935487</v>
      </c>
      <c r="T943" s="26">
        <f t="shared" si="761"/>
        <v>0</v>
      </c>
      <c r="U943" s="26">
        <f t="shared" si="761"/>
        <v>0</v>
      </c>
      <c r="V943" s="26">
        <f t="shared" si="761"/>
        <v>0</v>
      </c>
      <c r="W943" s="26">
        <f>SUM(W941:W942)</f>
        <v>755.48596129032262</v>
      </c>
      <c r="Y943" s="390"/>
      <c r="Z943" s="390"/>
      <c r="AA943" s="390"/>
      <c r="AB943" s="390"/>
      <c r="AC943" s="390"/>
      <c r="AD943" s="390"/>
      <c r="AE943" s="390"/>
      <c r="AF943" s="390"/>
      <c r="AG943" s="390"/>
      <c r="AH943" s="390"/>
      <c r="AI943" s="390"/>
      <c r="AJ943" s="390"/>
      <c r="AK943" s="390"/>
      <c r="AL943" s="390"/>
      <c r="AM943" s="390"/>
      <c r="AN943" s="390"/>
      <c r="AO943" s="390"/>
      <c r="AP943" s="390"/>
      <c r="AQ943" s="390"/>
      <c r="AR943" s="390"/>
      <c r="AS943" s="390"/>
    </row>
    <row r="944" spans="1:45" x14ac:dyDescent="0.3">
      <c r="B944" s="54" t="s">
        <v>54</v>
      </c>
      <c r="C944" s="55"/>
      <c r="D944" s="20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Y944" s="390"/>
      <c r="Z944" s="390"/>
      <c r="AA944" s="390"/>
      <c r="AB944" s="390"/>
      <c r="AC944" s="390"/>
      <c r="AD944" s="390"/>
      <c r="AE944" s="390"/>
      <c r="AF944" s="390"/>
      <c r="AG944" s="390"/>
      <c r="AH944" s="390"/>
      <c r="AI944" s="390"/>
      <c r="AJ944" s="390"/>
      <c r="AK944" s="390"/>
      <c r="AL944" s="390"/>
      <c r="AM944" s="390"/>
      <c r="AN944" s="390"/>
      <c r="AO944" s="390"/>
      <c r="AP944" s="390"/>
      <c r="AQ944" s="390"/>
      <c r="AR944" s="390"/>
      <c r="AS944" s="390"/>
    </row>
    <row r="945" spans="2:45" x14ac:dyDescent="0.3">
      <c r="B945" s="59" t="s">
        <v>55</v>
      </c>
      <c r="C945" s="60"/>
      <c r="D945" s="27">
        <f>SUM(D943:D944)</f>
        <v>761.43112258064525</v>
      </c>
      <c r="E945" s="41">
        <f t="shared" ref="E945:V945" si="762">SUM(E943:E944)</f>
        <v>791.46983225806457</v>
      </c>
      <c r="F945" s="41">
        <f t="shared" si="762"/>
        <v>807.89725161290335</v>
      </c>
      <c r="G945" s="41">
        <f t="shared" si="762"/>
        <v>777.38918709677421</v>
      </c>
      <c r="H945" s="41">
        <f t="shared" si="762"/>
        <v>766.43757419354847</v>
      </c>
      <c r="I945" s="41">
        <f t="shared" si="762"/>
        <v>776.60692903225811</v>
      </c>
      <c r="J945" s="41">
        <f t="shared" si="762"/>
        <v>793.81660645161298</v>
      </c>
      <c r="K945" s="41">
        <f t="shared" si="762"/>
        <v>785.21176774193555</v>
      </c>
      <c r="L945" s="41">
        <f t="shared" si="762"/>
        <v>788.34080000000006</v>
      </c>
      <c r="M945" s="41">
        <f t="shared" si="762"/>
        <v>762.05692903225815</v>
      </c>
      <c r="N945" s="41">
        <f t="shared" si="762"/>
        <v>767.06338064516137</v>
      </c>
      <c r="O945" s="41">
        <f t="shared" si="762"/>
        <v>777.38918709677421</v>
      </c>
      <c r="P945" s="41">
        <f t="shared" si="762"/>
        <v>755.48596129032262</v>
      </c>
      <c r="Q945" s="41">
        <f t="shared" si="762"/>
        <v>755.48596129032262</v>
      </c>
      <c r="R945" s="41">
        <f t="shared" si="762"/>
        <v>771.13112258064518</v>
      </c>
      <c r="S945" s="41">
        <f t="shared" si="762"/>
        <v>766.75047741935487</v>
      </c>
      <c r="T945" s="41">
        <f t="shared" si="762"/>
        <v>0</v>
      </c>
      <c r="U945" s="41">
        <f t="shared" si="762"/>
        <v>0</v>
      </c>
      <c r="V945" s="41">
        <f t="shared" si="762"/>
        <v>0</v>
      </c>
      <c r="W945" s="41">
        <f>SUM(W943:W944)</f>
        <v>755.48596129032262</v>
      </c>
      <c r="Y945" s="390"/>
      <c r="Z945" s="390"/>
      <c r="AA945" s="390"/>
      <c r="AB945" s="390"/>
      <c r="AC945" s="390"/>
      <c r="AD945" s="390"/>
      <c r="AE945" s="390"/>
      <c r="AF945" s="390"/>
      <c r="AG945" s="390"/>
      <c r="AH945" s="390"/>
      <c r="AI945" s="390"/>
      <c r="AJ945" s="390"/>
      <c r="AK945" s="390"/>
      <c r="AL945" s="390"/>
      <c r="AM945" s="390"/>
      <c r="AN945" s="390"/>
      <c r="AO945" s="390"/>
      <c r="AP945" s="390"/>
      <c r="AQ945" s="390"/>
      <c r="AR945" s="390"/>
      <c r="AS945" s="390"/>
    </row>
    <row r="946" spans="2:45" x14ac:dyDescent="0.3">
      <c r="B946" s="61" t="s">
        <v>101</v>
      </c>
      <c r="C946" s="55"/>
      <c r="D946" s="43">
        <v>0</v>
      </c>
      <c r="E946" s="408">
        <v>0</v>
      </c>
      <c r="F946" s="408">
        <v>0</v>
      </c>
      <c r="G946" s="408">
        <v>0</v>
      </c>
      <c r="H946" s="408">
        <v>0</v>
      </c>
      <c r="I946" s="408">
        <v>0</v>
      </c>
      <c r="J946" s="408">
        <v>0</v>
      </c>
      <c r="K946" s="408">
        <v>0</v>
      </c>
      <c r="L946" s="408">
        <v>0</v>
      </c>
      <c r="M946" s="408">
        <v>0</v>
      </c>
      <c r="N946" s="408">
        <v>0</v>
      </c>
      <c r="O946" s="408">
        <v>0</v>
      </c>
      <c r="P946" s="408">
        <v>0</v>
      </c>
      <c r="Q946" s="408">
        <v>0</v>
      </c>
      <c r="R946" s="408">
        <v>0</v>
      </c>
      <c r="S946" s="408">
        <v>0</v>
      </c>
      <c r="T946" s="408">
        <v>0</v>
      </c>
      <c r="U946" s="408">
        <v>0</v>
      </c>
      <c r="V946" s="408">
        <v>0</v>
      </c>
      <c r="W946" s="408">
        <v>0</v>
      </c>
      <c r="Y946" s="409"/>
      <c r="Z946" s="409"/>
      <c r="AA946" s="409"/>
      <c r="AB946" s="409"/>
      <c r="AC946" s="409"/>
      <c r="AD946" s="409"/>
      <c r="AE946" s="409"/>
      <c r="AF946" s="409"/>
      <c r="AG946" s="409"/>
      <c r="AH946" s="409"/>
      <c r="AI946" s="409"/>
      <c r="AJ946" s="409"/>
      <c r="AK946" s="409"/>
      <c r="AL946" s="409"/>
      <c r="AM946" s="409"/>
      <c r="AN946" s="409"/>
      <c r="AO946" s="409"/>
      <c r="AP946" s="409"/>
      <c r="AQ946" s="409"/>
      <c r="AR946" s="409"/>
      <c r="AS946" s="409"/>
    </row>
    <row r="947" spans="2:45" x14ac:dyDescent="0.3">
      <c r="B947" s="61" t="s">
        <v>194</v>
      </c>
      <c r="C947" s="55"/>
      <c r="D947" s="228">
        <v>802</v>
      </c>
      <c r="E947" s="229">
        <v>832</v>
      </c>
      <c r="F947" s="229">
        <v>848</v>
      </c>
      <c r="G947" s="229">
        <v>818</v>
      </c>
      <c r="H947" s="229">
        <v>807</v>
      </c>
      <c r="I947" s="229">
        <v>817</v>
      </c>
      <c r="J947" s="229">
        <v>834</v>
      </c>
      <c r="K947" s="229">
        <v>826</v>
      </c>
      <c r="L947" s="229">
        <v>829</v>
      </c>
      <c r="M947" s="229">
        <v>803</v>
      </c>
      <c r="N947" s="229">
        <v>808</v>
      </c>
      <c r="O947" s="229">
        <v>818</v>
      </c>
      <c r="P947" s="229">
        <v>796</v>
      </c>
      <c r="Q947" s="229">
        <v>796</v>
      </c>
      <c r="R947" s="229">
        <v>812</v>
      </c>
      <c r="S947" s="229">
        <v>807</v>
      </c>
      <c r="T947" s="21">
        <v>0</v>
      </c>
      <c r="U947" s="21">
        <v>0</v>
      </c>
      <c r="V947" s="21">
        <v>0</v>
      </c>
      <c r="W947" s="229">
        <v>796</v>
      </c>
      <c r="Y947" s="390"/>
      <c r="Z947" s="390"/>
      <c r="AA947" s="390"/>
      <c r="AB947" s="390"/>
      <c r="AC947" s="390"/>
      <c r="AD947" s="390"/>
      <c r="AE947" s="390"/>
      <c r="AF947" s="390"/>
      <c r="AG947" s="390"/>
      <c r="AH947" s="390"/>
      <c r="AI947" s="390"/>
      <c r="AJ947" s="390"/>
      <c r="AK947" s="390"/>
      <c r="AL947" s="390"/>
      <c r="AM947" s="390"/>
      <c r="AN947" s="390"/>
      <c r="AO947" s="390"/>
      <c r="AP947" s="390"/>
      <c r="AQ947" s="390"/>
      <c r="AR947" s="390"/>
      <c r="AS947" s="390"/>
    </row>
    <row r="948" spans="2:45" x14ac:dyDescent="0.3">
      <c r="B948" s="61" t="s">
        <v>195</v>
      </c>
      <c r="C948" s="62"/>
      <c r="D948" s="28">
        <v>807</v>
      </c>
      <c r="E948" s="28">
        <v>837</v>
      </c>
      <c r="F948" s="28">
        <v>853</v>
      </c>
      <c r="G948" s="28">
        <v>823</v>
      </c>
      <c r="H948" s="28">
        <v>812</v>
      </c>
      <c r="I948" s="28">
        <v>822</v>
      </c>
      <c r="J948" s="28">
        <v>839</v>
      </c>
      <c r="K948" s="28">
        <v>831</v>
      </c>
      <c r="L948" s="28">
        <v>834</v>
      </c>
      <c r="M948" s="28">
        <v>808</v>
      </c>
      <c r="N948" s="28">
        <v>813</v>
      </c>
      <c r="O948" s="28">
        <v>823</v>
      </c>
      <c r="P948" s="28">
        <v>801</v>
      </c>
      <c r="Q948" s="28">
        <v>801</v>
      </c>
      <c r="R948" s="28">
        <v>817</v>
      </c>
      <c r="S948" s="28">
        <v>812</v>
      </c>
      <c r="T948" s="410">
        <v>0</v>
      </c>
      <c r="U948" s="410">
        <v>0</v>
      </c>
      <c r="V948" s="410">
        <v>0</v>
      </c>
      <c r="W948" s="28">
        <v>801</v>
      </c>
      <c r="Y948" s="390"/>
      <c r="Z948" s="390"/>
      <c r="AA948" s="390"/>
      <c r="AB948" s="390"/>
      <c r="AC948" s="390"/>
      <c r="AD948" s="390"/>
      <c r="AE948" s="390"/>
      <c r="AF948" s="390"/>
      <c r="AG948" s="390"/>
      <c r="AH948" s="390"/>
      <c r="AI948" s="390"/>
      <c r="AJ948" s="390"/>
      <c r="AK948" s="390"/>
      <c r="AL948" s="390"/>
      <c r="AM948" s="390"/>
      <c r="AN948" s="390"/>
      <c r="AO948" s="390"/>
      <c r="AP948" s="390"/>
      <c r="AQ948" s="390"/>
      <c r="AR948" s="390"/>
      <c r="AS948" s="390"/>
    </row>
    <row r="949" spans="2:45" x14ac:dyDescent="0.3">
      <c r="B949" s="61" t="s">
        <v>196</v>
      </c>
      <c r="C949" s="62"/>
      <c r="D949" s="28">
        <v>812</v>
      </c>
      <c r="E949" s="28">
        <v>842</v>
      </c>
      <c r="F949" s="28">
        <v>858</v>
      </c>
      <c r="G949" s="28">
        <v>828</v>
      </c>
      <c r="H949" s="28">
        <v>817</v>
      </c>
      <c r="I949" s="28">
        <v>827</v>
      </c>
      <c r="J949" s="28">
        <v>844</v>
      </c>
      <c r="K949" s="28">
        <v>836</v>
      </c>
      <c r="L949" s="28">
        <v>839</v>
      </c>
      <c r="M949" s="28">
        <v>813</v>
      </c>
      <c r="N949" s="28">
        <v>818</v>
      </c>
      <c r="O949" s="28">
        <v>828</v>
      </c>
      <c r="P949" s="28">
        <v>806</v>
      </c>
      <c r="Q949" s="28">
        <v>806</v>
      </c>
      <c r="R949" s="28">
        <v>822</v>
      </c>
      <c r="S949" s="28">
        <v>817</v>
      </c>
      <c r="T949" s="410">
        <v>0</v>
      </c>
      <c r="U949" s="410">
        <v>0</v>
      </c>
      <c r="V949" s="410">
        <v>0</v>
      </c>
      <c r="W949" s="28">
        <v>806</v>
      </c>
      <c r="Y949" s="390"/>
      <c r="Z949" s="390"/>
      <c r="AA949" s="390"/>
      <c r="AB949" s="390"/>
      <c r="AC949" s="390"/>
      <c r="AD949" s="390"/>
      <c r="AE949" s="390"/>
      <c r="AF949" s="390"/>
      <c r="AG949" s="390"/>
      <c r="AH949" s="390"/>
      <c r="AI949" s="390"/>
      <c r="AJ949" s="390"/>
      <c r="AK949" s="390"/>
      <c r="AL949" s="390"/>
      <c r="AM949" s="390"/>
      <c r="AN949" s="390"/>
      <c r="AO949" s="390"/>
      <c r="AP949" s="390"/>
      <c r="AQ949" s="390"/>
      <c r="AR949" s="390"/>
      <c r="AS949" s="390"/>
    </row>
    <row r="950" spans="2:45" x14ac:dyDescent="0.3">
      <c r="B950" s="61" t="s">
        <v>197</v>
      </c>
      <c r="C950" s="62"/>
      <c r="D950" s="28">
        <v>817</v>
      </c>
      <c r="E950" s="28">
        <v>847</v>
      </c>
      <c r="F950" s="28">
        <v>863</v>
      </c>
      <c r="G950" s="28">
        <v>833</v>
      </c>
      <c r="H950" s="28">
        <v>822</v>
      </c>
      <c r="I950" s="28">
        <v>832</v>
      </c>
      <c r="J950" s="28">
        <v>849</v>
      </c>
      <c r="K950" s="28">
        <v>841</v>
      </c>
      <c r="L950" s="28">
        <v>844</v>
      </c>
      <c r="M950" s="28">
        <v>818</v>
      </c>
      <c r="N950" s="28">
        <v>823</v>
      </c>
      <c r="O950" s="28">
        <v>833</v>
      </c>
      <c r="P950" s="28">
        <v>811</v>
      </c>
      <c r="Q950" s="28">
        <v>811</v>
      </c>
      <c r="R950" s="28">
        <v>827</v>
      </c>
      <c r="S950" s="28">
        <v>822</v>
      </c>
      <c r="T950" s="410">
        <v>0</v>
      </c>
      <c r="U950" s="410">
        <v>0</v>
      </c>
      <c r="V950" s="410">
        <v>0</v>
      </c>
      <c r="W950" s="28">
        <v>811</v>
      </c>
      <c r="Y950" s="390"/>
      <c r="Z950" s="390"/>
      <c r="AA950" s="390"/>
      <c r="AB950" s="390"/>
      <c r="AC950" s="390"/>
      <c r="AD950" s="390"/>
      <c r="AE950" s="390"/>
      <c r="AF950" s="390"/>
      <c r="AG950" s="390"/>
      <c r="AH950" s="390"/>
      <c r="AI950" s="390"/>
      <c r="AJ950" s="390"/>
      <c r="AK950" s="390"/>
      <c r="AL950" s="390"/>
      <c r="AM950" s="390"/>
      <c r="AN950" s="390"/>
      <c r="AO950" s="390"/>
      <c r="AP950" s="390"/>
      <c r="AQ950" s="390"/>
      <c r="AR950" s="390"/>
      <c r="AS950" s="390"/>
    </row>
    <row r="951" spans="2:45" x14ac:dyDescent="0.3">
      <c r="B951" s="63" t="s">
        <v>103</v>
      </c>
      <c r="C951" s="55"/>
      <c r="D951" s="43">
        <v>0</v>
      </c>
      <c r="E951" s="408">
        <v>0</v>
      </c>
      <c r="F951" s="408">
        <v>0</v>
      </c>
      <c r="G951" s="408">
        <v>0</v>
      </c>
      <c r="H951" s="408">
        <v>0</v>
      </c>
      <c r="I951" s="408">
        <v>0</v>
      </c>
      <c r="J951" s="408">
        <v>0</v>
      </c>
      <c r="K951" s="408">
        <v>0</v>
      </c>
      <c r="L951" s="408">
        <v>0</v>
      </c>
      <c r="M951" s="408">
        <v>0</v>
      </c>
      <c r="N951" s="408">
        <v>0</v>
      </c>
      <c r="O951" s="408">
        <v>0</v>
      </c>
      <c r="P951" s="408">
        <v>0</v>
      </c>
      <c r="Q951" s="408">
        <v>0</v>
      </c>
      <c r="R951" s="408">
        <v>0</v>
      </c>
      <c r="S951" s="408">
        <v>0</v>
      </c>
      <c r="T951" s="408">
        <v>0</v>
      </c>
      <c r="U951" s="408">
        <v>0</v>
      </c>
      <c r="V951" s="408">
        <v>0</v>
      </c>
      <c r="W951" s="408">
        <v>0</v>
      </c>
      <c r="Y951" s="409"/>
      <c r="Z951" s="409"/>
      <c r="AA951" s="409"/>
      <c r="AB951" s="409"/>
      <c r="AC951" s="409"/>
      <c r="AD951" s="409"/>
      <c r="AE951" s="409"/>
      <c r="AF951" s="409"/>
      <c r="AG951" s="409"/>
      <c r="AH951" s="409"/>
      <c r="AI951" s="409"/>
      <c r="AJ951" s="409"/>
      <c r="AK951" s="409"/>
      <c r="AL951" s="409"/>
      <c r="AM951" s="409"/>
      <c r="AN951" s="409"/>
      <c r="AO951" s="409"/>
      <c r="AP951" s="409"/>
      <c r="AQ951" s="409"/>
      <c r="AR951" s="409"/>
      <c r="AS951" s="409"/>
    </row>
    <row r="952" spans="2:45" x14ac:dyDescent="0.3">
      <c r="B952" s="63" t="s">
        <v>198</v>
      </c>
      <c r="C952" s="62"/>
      <c r="D952" s="31">
        <f t="shared" ref="D952:S952" si="763">+D947-D$945</f>
        <v>40.568877419354749</v>
      </c>
      <c r="E952" s="31">
        <f t="shared" si="763"/>
        <v>40.530167741935429</v>
      </c>
      <c r="F952" s="31">
        <f t="shared" si="763"/>
        <v>40.102748387096653</v>
      </c>
      <c r="G952" s="31">
        <f t="shared" si="763"/>
        <v>40.610812903225792</v>
      </c>
      <c r="H952" s="31">
        <f t="shared" si="763"/>
        <v>40.562425806451529</v>
      </c>
      <c r="I952" s="31">
        <f t="shared" si="763"/>
        <v>40.393070967741892</v>
      </c>
      <c r="J952" s="31">
        <f t="shared" si="763"/>
        <v>40.183393548387016</v>
      </c>
      <c r="K952" s="31">
        <f t="shared" si="763"/>
        <v>40.788232258064454</v>
      </c>
      <c r="L952" s="31">
        <f t="shared" si="763"/>
        <v>40.659199999999942</v>
      </c>
      <c r="M952" s="31">
        <f t="shared" si="763"/>
        <v>40.943070967741846</v>
      </c>
      <c r="N952" s="31">
        <f t="shared" si="763"/>
        <v>40.936619354838626</v>
      </c>
      <c r="O952" s="31">
        <f t="shared" si="763"/>
        <v>40.610812903225792</v>
      </c>
      <c r="P952" s="31">
        <f t="shared" si="763"/>
        <v>40.514038709677379</v>
      </c>
      <c r="Q952" s="31">
        <f t="shared" si="763"/>
        <v>40.514038709677379</v>
      </c>
      <c r="R952" s="31">
        <f t="shared" si="763"/>
        <v>40.868877419354817</v>
      </c>
      <c r="S952" s="31">
        <f t="shared" si="763"/>
        <v>40.249522580645134</v>
      </c>
      <c r="T952" s="29"/>
      <c r="U952" s="29"/>
      <c r="V952" s="29"/>
      <c r="W952" s="31">
        <f>+W947-W$945</f>
        <v>40.514038709677379</v>
      </c>
      <c r="Y952" s="390"/>
      <c r="Z952" s="390"/>
      <c r="AA952" s="390"/>
      <c r="AB952" s="390"/>
      <c r="AC952" s="390"/>
      <c r="AD952" s="390"/>
      <c r="AE952" s="390"/>
      <c r="AF952" s="390"/>
      <c r="AG952" s="390"/>
      <c r="AH952" s="390"/>
      <c r="AI952" s="390"/>
      <c r="AJ952" s="390"/>
      <c r="AK952" s="390"/>
      <c r="AL952" s="390"/>
      <c r="AM952" s="390"/>
      <c r="AN952" s="390"/>
      <c r="AO952" s="390"/>
      <c r="AP952" s="390"/>
      <c r="AQ952" s="390"/>
      <c r="AR952" s="390"/>
      <c r="AS952" s="390"/>
    </row>
    <row r="953" spans="2:45" x14ac:dyDescent="0.3">
      <c r="B953" s="63" t="s">
        <v>199</v>
      </c>
      <c r="C953" s="64"/>
      <c r="D953" s="31">
        <f t="shared" ref="D953:S953" si="764">+D948-D$945</f>
        <v>45.568877419354749</v>
      </c>
      <c r="E953" s="32">
        <f t="shared" si="764"/>
        <v>45.530167741935429</v>
      </c>
      <c r="F953" s="32">
        <f t="shared" si="764"/>
        <v>45.102748387096653</v>
      </c>
      <c r="G953" s="32">
        <f t="shared" si="764"/>
        <v>45.610812903225792</v>
      </c>
      <c r="H953" s="32">
        <f t="shared" si="764"/>
        <v>45.562425806451529</v>
      </c>
      <c r="I953" s="32">
        <f t="shared" si="764"/>
        <v>45.393070967741892</v>
      </c>
      <c r="J953" s="32">
        <f t="shared" si="764"/>
        <v>45.183393548387016</v>
      </c>
      <c r="K953" s="32">
        <f t="shared" si="764"/>
        <v>45.788232258064454</v>
      </c>
      <c r="L953" s="32">
        <f t="shared" si="764"/>
        <v>45.659199999999942</v>
      </c>
      <c r="M953" s="32">
        <f t="shared" si="764"/>
        <v>45.943070967741846</v>
      </c>
      <c r="N953" s="32">
        <f t="shared" si="764"/>
        <v>45.936619354838626</v>
      </c>
      <c r="O953" s="32">
        <f t="shared" si="764"/>
        <v>45.610812903225792</v>
      </c>
      <c r="P953" s="32">
        <f t="shared" si="764"/>
        <v>45.514038709677379</v>
      </c>
      <c r="Q953" s="32">
        <f t="shared" si="764"/>
        <v>45.514038709677379</v>
      </c>
      <c r="R953" s="32">
        <f t="shared" si="764"/>
        <v>45.868877419354817</v>
      </c>
      <c r="S953" s="32">
        <f t="shared" si="764"/>
        <v>45.249522580645134</v>
      </c>
      <c r="T953" s="32"/>
      <c r="U953" s="32"/>
      <c r="V953" s="32"/>
      <c r="W953" s="32">
        <f>+W948-W$945</f>
        <v>45.514038709677379</v>
      </c>
      <c r="Y953" s="390"/>
      <c r="Z953" s="390"/>
      <c r="AA953" s="390"/>
      <c r="AB953" s="390"/>
      <c r="AC953" s="390"/>
      <c r="AD953" s="390"/>
      <c r="AE953" s="390"/>
      <c r="AF953" s="390"/>
      <c r="AG953" s="390"/>
      <c r="AH953" s="390"/>
      <c r="AI953" s="390"/>
      <c r="AJ953" s="390"/>
      <c r="AK953" s="390"/>
      <c r="AL953" s="390"/>
      <c r="AM953" s="390"/>
      <c r="AN953" s="390"/>
      <c r="AO953" s="390"/>
      <c r="AP953" s="390"/>
      <c r="AQ953" s="390"/>
      <c r="AR953" s="390"/>
      <c r="AS953" s="390"/>
    </row>
    <row r="954" spans="2:45" x14ac:dyDescent="0.3">
      <c r="B954" s="63" t="s">
        <v>200</v>
      </c>
      <c r="C954" s="64"/>
      <c r="D954" s="31">
        <f t="shared" ref="D954:S954" si="765">+D949-D$945</f>
        <v>50.568877419354749</v>
      </c>
      <c r="E954" s="32">
        <f t="shared" si="765"/>
        <v>50.530167741935429</v>
      </c>
      <c r="F954" s="32">
        <f t="shared" si="765"/>
        <v>50.102748387096653</v>
      </c>
      <c r="G954" s="32">
        <f t="shared" si="765"/>
        <v>50.610812903225792</v>
      </c>
      <c r="H954" s="32">
        <f t="shared" si="765"/>
        <v>50.562425806451529</v>
      </c>
      <c r="I954" s="32">
        <f t="shared" si="765"/>
        <v>50.393070967741892</v>
      </c>
      <c r="J954" s="32">
        <f t="shared" si="765"/>
        <v>50.183393548387016</v>
      </c>
      <c r="K954" s="32">
        <f t="shared" si="765"/>
        <v>50.788232258064454</v>
      </c>
      <c r="L954" s="32">
        <f t="shared" si="765"/>
        <v>50.659199999999942</v>
      </c>
      <c r="M954" s="32">
        <f t="shared" si="765"/>
        <v>50.943070967741846</v>
      </c>
      <c r="N954" s="32">
        <f t="shared" si="765"/>
        <v>50.936619354838626</v>
      </c>
      <c r="O954" s="32">
        <f t="shared" si="765"/>
        <v>50.610812903225792</v>
      </c>
      <c r="P954" s="32">
        <f t="shared" si="765"/>
        <v>50.514038709677379</v>
      </c>
      <c r="Q954" s="32">
        <f t="shared" si="765"/>
        <v>50.514038709677379</v>
      </c>
      <c r="R954" s="32">
        <f t="shared" si="765"/>
        <v>50.868877419354817</v>
      </c>
      <c r="S954" s="32">
        <f t="shared" si="765"/>
        <v>50.249522580645134</v>
      </c>
      <c r="T954" s="32"/>
      <c r="U954" s="32"/>
      <c r="V954" s="32"/>
      <c r="W954" s="32">
        <f>+W949-W$945</f>
        <v>50.514038709677379</v>
      </c>
      <c r="Y954" s="390"/>
      <c r="Z954" s="390"/>
      <c r="AA954" s="390"/>
      <c r="AB954" s="390"/>
      <c r="AC954" s="390"/>
      <c r="AD954" s="390"/>
      <c r="AE954" s="390"/>
      <c r="AF954" s="390"/>
      <c r="AG954" s="390"/>
      <c r="AH954" s="390"/>
      <c r="AI954" s="390"/>
      <c r="AJ954" s="390"/>
      <c r="AK954" s="390"/>
      <c r="AL954" s="390"/>
      <c r="AM954" s="390"/>
      <c r="AN954" s="390"/>
      <c r="AO954" s="390"/>
      <c r="AP954" s="390"/>
      <c r="AQ954" s="390"/>
      <c r="AR954" s="390"/>
      <c r="AS954" s="390"/>
    </row>
    <row r="955" spans="2:45" x14ac:dyDescent="0.3">
      <c r="B955" s="63" t="s">
        <v>201</v>
      </c>
      <c r="C955" s="64"/>
      <c r="D955" s="31">
        <f t="shared" ref="D955:S955" si="766">+D950-D$945</f>
        <v>55.568877419354749</v>
      </c>
      <c r="E955" s="32">
        <f t="shared" si="766"/>
        <v>55.530167741935429</v>
      </c>
      <c r="F955" s="32">
        <f t="shared" si="766"/>
        <v>55.102748387096653</v>
      </c>
      <c r="G955" s="32">
        <f t="shared" si="766"/>
        <v>55.610812903225792</v>
      </c>
      <c r="H955" s="32">
        <f t="shared" si="766"/>
        <v>55.562425806451529</v>
      </c>
      <c r="I955" s="32">
        <f t="shared" si="766"/>
        <v>55.393070967741892</v>
      </c>
      <c r="J955" s="32">
        <f t="shared" si="766"/>
        <v>55.183393548387016</v>
      </c>
      <c r="K955" s="32">
        <f t="shared" si="766"/>
        <v>55.788232258064454</v>
      </c>
      <c r="L955" s="32">
        <f t="shared" si="766"/>
        <v>55.659199999999942</v>
      </c>
      <c r="M955" s="32">
        <f t="shared" si="766"/>
        <v>55.943070967741846</v>
      </c>
      <c r="N955" s="32">
        <f t="shared" si="766"/>
        <v>55.936619354838626</v>
      </c>
      <c r="O955" s="32">
        <f t="shared" si="766"/>
        <v>55.610812903225792</v>
      </c>
      <c r="P955" s="32">
        <f t="shared" si="766"/>
        <v>55.514038709677379</v>
      </c>
      <c r="Q955" s="32">
        <f t="shared" si="766"/>
        <v>55.514038709677379</v>
      </c>
      <c r="R955" s="32">
        <f t="shared" si="766"/>
        <v>55.868877419354817</v>
      </c>
      <c r="S955" s="32">
        <f t="shared" si="766"/>
        <v>55.249522580645134</v>
      </c>
      <c r="T955" s="32"/>
      <c r="U955" s="32"/>
      <c r="V955" s="32"/>
      <c r="W955" s="32">
        <f>+W950-W$945</f>
        <v>55.514038709677379</v>
      </c>
      <c r="Y955" s="390"/>
      <c r="Z955" s="390"/>
      <c r="AA955" s="390"/>
      <c r="AB955" s="390"/>
      <c r="AC955" s="390"/>
      <c r="AD955" s="390"/>
      <c r="AE955" s="390"/>
      <c r="AF955" s="390"/>
      <c r="AG955" s="390"/>
      <c r="AH955" s="390"/>
      <c r="AI955" s="390"/>
      <c r="AJ955" s="390"/>
      <c r="AK955" s="390"/>
      <c r="AL955" s="390"/>
      <c r="AM955" s="390"/>
      <c r="AN955" s="390"/>
      <c r="AO955" s="390"/>
      <c r="AP955" s="390"/>
      <c r="AQ955" s="390"/>
      <c r="AR955" s="390"/>
      <c r="AS955" s="390"/>
    </row>
    <row r="956" spans="2:45" x14ac:dyDescent="0.3">
      <c r="B956" s="65" t="s">
        <v>108</v>
      </c>
      <c r="C956" s="55"/>
      <c r="D956" s="43">
        <v>0</v>
      </c>
      <c r="E956" s="408">
        <v>0</v>
      </c>
      <c r="F956" s="408">
        <v>0</v>
      </c>
      <c r="G956" s="408">
        <v>0</v>
      </c>
      <c r="H956" s="408">
        <v>0</v>
      </c>
      <c r="I956" s="408">
        <v>0</v>
      </c>
      <c r="J956" s="408">
        <v>0</v>
      </c>
      <c r="K956" s="408">
        <v>0</v>
      </c>
      <c r="L956" s="408">
        <v>0</v>
      </c>
      <c r="M956" s="408">
        <v>0</v>
      </c>
      <c r="N956" s="408">
        <v>0</v>
      </c>
      <c r="O956" s="408">
        <v>0</v>
      </c>
      <c r="P956" s="408">
        <v>0</v>
      </c>
      <c r="Q956" s="408">
        <v>0</v>
      </c>
      <c r="R956" s="408">
        <v>0</v>
      </c>
      <c r="S956" s="408">
        <v>0</v>
      </c>
      <c r="T956" s="408">
        <v>0</v>
      </c>
      <c r="U956" s="408">
        <v>0</v>
      </c>
      <c r="V956" s="408">
        <v>0</v>
      </c>
      <c r="W956" s="408">
        <v>0</v>
      </c>
      <c r="Y956" s="409"/>
      <c r="Z956" s="409"/>
      <c r="AA956" s="409"/>
      <c r="AB956" s="409"/>
      <c r="AC956" s="409"/>
      <c r="AD956" s="409"/>
      <c r="AE956" s="409"/>
      <c r="AF956" s="409"/>
      <c r="AG956" s="409"/>
      <c r="AH956" s="409"/>
      <c r="AI956" s="409"/>
      <c r="AJ956" s="409"/>
      <c r="AK956" s="409"/>
      <c r="AL956" s="409"/>
      <c r="AM956" s="409"/>
      <c r="AN956" s="409"/>
      <c r="AO956" s="409"/>
      <c r="AP956" s="409"/>
      <c r="AQ956" s="409"/>
      <c r="AR956" s="409"/>
      <c r="AS956" s="409"/>
    </row>
    <row r="957" spans="2:45" x14ac:dyDescent="0.3">
      <c r="B957" s="65" t="s">
        <v>202</v>
      </c>
      <c r="C957" s="64"/>
      <c r="D957" s="99">
        <f t="shared" ref="D957:S957" si="767">+D952/D$945</f>
        <v>5.3279773069767042E-2</v>
      </c>
      <c r="E957" s="99">
        <f t="shared" si="767"/>
        <v>5.1208733536062645E-2</v>
      </c>
      <c r="F957" s="99">
        <f t="shared" si="767"/>
        <v>4.9638426553667153E-2</v>
      </c>
      <c r="G957" s="99">
        <f t="shared" si="767"/>
        <v>5.2240002275938918E-2</v>
      </c>
      <c r="H957" s="99">
        <f t="shared" si="767"/>
        <v>5.292332627237336E-2</v>
      </c>
      <c r="I957" s="99">
        <f t="shared" si="767"/>
        <v>5.2012246424425188E-2</v>
      </c>
      <c r="J957" s="99">
        <f t="shared" si="767"/>
        <v>5.0620500027088296E-2</v>
      </c>
      <c r="K957" s="99">
        <f t="shared" si="767"/>
        <v>5.1945518309488382E-2</v>
      </c>
      <c r="L957" s="99">
        <f t="shared" si="767"/>
        <v>5.1575663723100386E-2</v>
      </c>
      <c r="M957" s="99">
        <f t="shared" si="767"/>
        <v>5.3727050313335203E-2</v>
      </c>
      <c r="N957" s="99">
        <f t="shared" si="767"/>
        <v>5.33679750432196E-2</v>
      </c>
      <c r="O957" s="99">
        <f t="shared" si="767"/>
        <v>5.2240002275938918E-2</v>
      </c>
      <c r="P957" s="99">
        <f t="shared" si="767"/>
        <v>5.362646135804025E-2</v>
      </c>
      <c r="Q957" s="99">
        <f t="shared" si="767"/>
        <v>5.362646135804025E-2</v>
      </c>
      <c r="R957" s="99">
        <f t="shared" si="767"/>
        <v>5.2998609733950576E-2</v>
      </c>
      <c r="S957" s="99">
        <f t="shared" si="767"/>
        <v>5.2493638759916507E-2</v>
      </c>
      <c r="T957" s="117"/>
      <c r="U957" s="117"/>
      <c r="V957" s="117"/>
      <c r="W957" s="99">
        <f>+W952/W$945</f>
        <v>5.362646135804025E-2</v>
      </c>
      <c r="Y957" s="390"/>
      <c r="Z957" s="390"/>
      <c r="AA957" s="390"/>
      <c r="AB957" s="390"/>
      <c r="AC957" s="390"/>
      <c r="AD957" s="390"/>
      <c r="AE957" s="390"/>
      <c r="AF957" s="390"/>
      <c r="AG957" s="390"/>
      <c r="AH957" s="390"/>
      <c r="AI957" s="390"/>
      <c r="AJ957" s="390"/>
      <c r="AK957" s="390"/>
      <c r="AL957" s="390"/>
      <c r="AM957" s="390"/>
      <c r="AN957" s="390"/>
      <c r="AO957" s="390"/>
      <c r="AP957" s="390"/>
      <c r="AQ957" s="390"/>
      <c r="AR957" s="390"/>
      <c r="AS957" s="390"/>
    </row>
    <row r="958" spans="2:45" x14ac:dyDescent="0.3">
      <c r="B958" s="65" t="s">
        <v>203</v>
      </c>
      <c r="C958" s="66"/>
      <c r="D958" s="368">
        <f t="shared" ref="D958:S958" si="768">+D953/D$945</f>
        <v>5.9846355196137159E-2</v>
      </c>
      <c r="E958" s="368">
        <f t="shared" si="768"/>
        <v>5.7526093713563022E-2</v>
      </c>
      <c r="F958" s="368">
        <f t="shared" si="768"/>
        <v>5.5827332370610945E-2</v>
      </c>
      <c r="G958" s="368">
        <f t="shared" si="768"/>
        <v>5.8671787130926321E-2</v>
      </c>
      <c r="H958" s="368">
        <f t="shared" si="768"/>
        <v>5.9447014787072081E-2</v>
      </c>
      <c r="I958" s="368">
        <f t="shared" si="768"/>
        <v>5.845050986643513E-2</v>
      </c>
      <c r="J958" s="368">
        <f t="shared" si="768"/>
        <v>5.6919184080008491E-2</v>
      </c>
      <c r="K958" s="368">
        <f t="shared" si="768"/>
        <v>5.8313227258093035E-2</v>
      </c>
      <c r="L958" s="368">
        <f t="shared" si="768"/>
        <v>5.7918098365579887E-2</v>
      </c>
      <c r="M958" s="368">
        <f t="shared" si="768"/>
        <v>6.0288239916780624E-2</v>
      </c>
      <c r="N958" s="368">
        <f t="shared" si="768"/>
        <v>5.9886341225417736E-2</v>
      </c>
      <c r="O958" s="368">
        <f t="shared" si="768"/>
        <v>5.8671787130926321E-2</v>
      </c>
      <c r="P958" s="368">
        <f t="shared" si="768"/>
        <v>6.0244718024862115E-2</v>
      </c>
      <c r="Q958" s="368">
        <f t="shared" si="768"/>
        <v>6.0244718024862115E-2</v>
      </c>
      <c r="R958" s="368">
        <f t="shared" si="768"/>
        <v>5.9482591320982291E-2</v>
      </c>
      <c r="S958" s="368">
        <f t="shared" si="768"/>
        <v>5.9014665022369524E-2</v>
      </c>
      <c r="T958" s="368"/>
      <c r="U958" s="368"/>
      <c r="V958" s="368"/>
      <c r="W958" s="368">
        <f>+W953/W$945</f>
        <v>6.0244718024862115E-2</v>
      </c>
      <c r="Y958" s="390"/>
      <c r="Z958" s="390"/>
      <c r="AA958" s="390"/>
      <c r="AB958" s="390"/>
      <c r="AC958" s="390"/>
      <c r="AD958" s="390"/>
      <c r="AE958" s="390"/>
      <c r="AF958" s="390"/>
      <c r="AG958" s="390"/>
      <c r="AH958" s="390"/>
      <c r="AI958" s="390"/>
      <c r="AJ958" s="390"/>
      <c r="AK958" s="390"/>
      <c r="AL958" s="390"/>
      <c r="AM958" s="390"/>
      <c r="AN958" s="390"/>
      <c r="AO958" s="390"/>
      <c r="AP958" s="390"/>
      <c r="AQ958" s="390"/>
      <c r="AR958" s="390"/>
      <c r="AS958" s="390"/>
    </row>
    <row r="959" spans="2:45" x14ac:dyDescent="0.3">
      <c r="B959" s="65" t="s">
        <v>204</v>
      </c>
      <c r="C959" s="66"/>
      <c r="D959" s="368">
        <f t="shared" ref="D959:S959" si="769">+D954/D$945</f>
        <v>6.6412937322507276E-2</v>
      </c>
      <c r="E959" s="368">
        <f t="shared" si="769"/>
        <v>6.3843453891063398E-2</v>
      </c>
      <c r="F959" s="368">
        <f t="shared" si="769"/>
        <v>6.2016238187554737E-2</v>
      </c>
      <c r="G959" s="368">
        <f t="shared" si="769"/>
        <v>6.5103571985913725E-2</v>
      </c>
      <c r="H959" s="368">
        <f t="shared" si="769"/>
        <v>6.5970703301770794E-2</v>
      </c>
      <c r="I959" s="368">
        <f t="shared" si="769"/>
        <v>6.4888773308445086E-2</v>
      </c>
      <c r="J959" s="368">
        <f t="shared" si="769"/>
        <v>6.3217868132928692E-2</v>
      </c>
      <c r="K959" s="368">
        <f t="shared" si="769"/>
        <v>6.4680936206697681E-2</v>
      </c>
      <c r="L959" s="368">
        <f t="shared" si="769"/>
        <v>6.4260533008059381E-2</v>
      </c>
      <c r="M959" s="368">
        <f t="shared" si="769"/>
        <v>6.6849429520226045E-2</v>
      </c>
      <c r="N959" s="368">
        <f t="shared" si="769"/>
        <v>6.6404707407615879E-2</v>
      </c>
      <c r="O959" s="368">
        <f t="shared" si="769"/>
        <v>6.5103571985913725E-2</v>
      </c>
      <c r="P959" s="368">
        <f t="shared" si="769"/>
        <v>6.686297469168398E-2</v>
      </c>
      <c r="Q959" s="368">
        <f t="shared" si="769"/>
        <v>6.686297469168398E-2</v>
      </c>
      <c r="R959" s="368">
        <f t="shared" si="769"/>
        <v>6.5966572908014012E-2</v>
      </c>
      <c r="S959" s="368">
        <f t="shared" si="769"/>
        <v>6.5535691284822534E-2</v>
      </c>
      <c r="T959" s="368"/>
      <c r="U959" s="368"/>
      <c r="V959" s="368"/>
      <c r="W959" s="368">
        <f>+W954/W$945</f>
        <v>6.686297469168398E-2</v>
      </c>
      <c r="Y959" s="390"/>
      <c r="Z959" s="390"/>
      <c r="AA959" s="390"/>
      <c r="AB959" s="390"/>
      <c r="AC959" s="390"/>
      <c r="AD959" s="390"/>
      <c r="AE959" s="390"/>
      <c r="AF959" s="390"/>
      <c r="AG959" s="390"/>
      <c r="AH959" s="390"/>
      <c r="AI959" s="390"/>
      <c r="AJ959" s="390"/>
      <c r="AK959" s="390"/>
      <c r="AL959" s="390"/>
      <c r="AM959" s="390"/>
      <c r="AN959" s="390"/>
      <c r="AO959" s="390"/>
      <c r="AP959" s="390"/>
      <c r="AQ959" s="390"/>
      <c r="AR959" s="390"/>
      <c r="AS959" s="390"/>
    </row>
    <row r="960" spans="2:45" x14ac:dyDescent="0.3">
      <c r="B960" s="65" t="s">
        <v>205</v>
      </c>
      <c r="C960" s="66"/>
      <c r="D960" s="368">
        <f t="shared" ref="D960:S960" si="770">+D955/D$945</f>
        <v>7.29795194488774E-2</v>
      </c>
      <c r="E960" s="368">
        <f t="shared" si="770"/>
        <v>7.0160814068563782E-2</v>
      </c>
      <c r="F960" s="368">
        <f t="shared" si="770"/>
        <v>6.8205144004498522E-2</v>
      </c>
      <c r="G960" s="368">
        <f t="shared" si="770"/>
        <v>7.1535356840901121E-2</v>
      </c>
      <c r="H960" s="368">
        <f t="shared" si="770"/>
        <v>7.2494391816469522E-2</v>
      </c>
      <c r="I960" s="368">
        <f t="shared" si="770"/>
        <v>7.1327036750455028E-2</v>
      </c>
      <c r="J960" s="368">
        <f t="shared" si="770"/>
        <v>6.9516552185848873E-2</v>
      </c>
      <c r="K960" s="368">
        <f t="shared" si="770"/>
        <v>7.1048645155302334E-2</v>
      </c>
      <c r="L960" s="368">
        <f t="shared" si="770"/>
        <v>7.0602967650538875E-2</v>
      </c>
      <c r="M960" s="368">
        <f t="shared" si="770"/>
        <v>7.3410619123671472E-2</v>
      </c>
      <c r="N960" s="368">
        <f t="shared" si="770"/>
        <v>7.2923073589814022E-2</v>
      </c>
      <c r="O960" s="368">
        <f t="shared" si="770"/>
        <v>7.1535356840901121E-2</v>
      </c>
      <c r="P960" s="368">
        <f t="shared" si="770"/>
        <v>7.348123135850583E-2</v>
      </c>
      <c r="Q960" s="368">
        <f t="shared" si="770"/>
        <v>7.348123135850583E-2</v>
      </c>
      <c r="R960" s="368">
        <f t="shared" si="770"/>
        <v>7.2450554495045727E-2</v>
      </c>
      <c r="S960" s="368">
        <f t="shared" si="770"/>
        <v>7.2056717547275551E-2</v>
      </c>
      <c r="T960" s="368"/>
      <c r="U960" s="368"/>
      <c r="V960" s="368"/>
      <c r="W960" s="368">
        <f>+W955/W$945</f>
        <v>7.348123135850583E-2</v>
      </c>
      <c r="Y960" s="390"/>
      <c r="Z960" s="390"/>
      <c r="AA960" s="390"/>
      <c r="AB960" s="390"/>
      <c r="AC960" s="390"/>
      <c r="AD960" s="390"/>
      <c r="AE960" s="390"/>
      <c r="AF960" s="390"/>
      <c r="AG960" s="390"/>
      <c r="AH960" s="390"/>
      <c r="AI960" s="390"/>
      <c r="AJ960" s="390"/>
      <c r="AK960" s="390"/>
      <c r="AL960" s="390"/>
      <c r="AM960" s="390"/>
      <c r="AN960" s="390"/>
      <c r="AO960" s="390"/>
      <c r="AP960" s="390"/>
      <c r="AQ960" s="390"/>
      <c r="AR960" s="390"/>
      <c r="AS960" s="390"/>
    </row>
    <row r="961" spans="1:45" hidden="1" x14ac:dyDescent="0.3">
      <c r="B961" s="65" t="s">
        <v>78</v>
      </c>
      <c r="C961" s="66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Y961" s="390"/>
      <c r="Z961" s="390"/>
      <c r="AA961" s="390"/>
      <c r="AB961" s="390"/>
      <c r="AC961" s="390"/>
      <c r="AD961" s="390"/>
      <c r="AE961" s="390"/>
      <c r="AF961" s="390"/>
      <c r="AG961" s="390"/>
      <c r="AH961" s="390"/>
      <c r="AI961" s="390"/>
      <c r="AJ961" s="390"/>
      <c r="AK961" s="390"/>
      <c r="AL961" s="390"/>
      <c r="AM961" s="390"/>
      <c r="AN961" s="390"/>
      <c r="AO961" s="390"/>
      <c r="AP961" s="390"/>
      <c r="AQ961" s="390"/>
      <c r="AR961" s="390"/>
      <c r="AS961" s="390"/>
    </row>
    <row r="962" spans="1:45" ht="21" thickBot="1" x14ac:dyDescent="0.35">
      <c r="Y962" s="390"/>
      <c r="Z962" s="390"/>
      <c r="AA962" s="390"/>
      <c r="AB962" s="390"/>
      <c r="AC962" s="390"/>
      <c r="AD962" s="390"/>
      <c r="AE962" s="390"/>
      <c r="AF962" s="390"/>
      <c r="AG962" s="390"/>
      <c r="AH962" s="390"/>
      <c r="AI962" s="390"/>
      <c r="AJ962" s="390"/>
      <c r="AK962" s="390"/>
      <c r="AL962" s="390"/>
      <c r="AM962" s="390"/>
      <c r="AN962" s="390"/>
      <c r="AO962" s="390"/>
      <c r="AP962" s="390"/>
      <c r="AQ962" s="390"/>
      <c r="AR962" s="390"/>
      <c r="AS962" s="390"/>
    </row>
    <row r="963" spans="1:45" ht="21" thickBot="1" x14ac:dyDescent="0.35">
      <c r="A963" s="15" t="s">
        <v>343</v>
      </c>
      <c r="B963" s="223" t="s">
        <v>161</v>
      </c>
      <c r="C963" s="68"/>
      <c r="D963" s="17" t="s">
        <v>5</v>
      </c>
      <c r="E963" s="18" t="s">
        <v>6</v>
      </c>
      <c r="F963" s="18" t="s">
        <v>7</v>
      </c>
      <c r="G963" s="18" t="s">
        <v>8</v>
      </c>
      <c r="H963" s="18" t="s">
        <v>9</v>
      </c>
      <c r="I963" s="18" t="s">
        <v>10</v>
      </c>
      <c r="J963" s="18" t="s">
        <v>11</v>
      </c>
      <c r="K963" s="18" t="s">
        <v>12</v>
      </c>
      <c r="L963" s="18" t="s">
        <v>13</v>
      </c>
      <c r="M963" s="18" t="s">
        <v>14</v>
      </c>
      <c r="N963" s="18" t="s">
        <v>15</v>
      </c>
      <c r="O963" s="18" t="s">
        <v>16</v>
      </c>
      <c r="P963" s="18" t="s">
        <v>17</v>
      </c>
      <c r="Q963" s="18" t="s">
        <v>18</v>
      </c>
      <c r="R963" s="18" t="s">
        <v>19</v>
      </c>
      <c r="S963" s="18" t="s">
        <v>20</v>
      </c>
      <c r="T963" s="18" t="s">
        <v>21</v>
      </c>
      <c r="U963" s="18" t="s">
        <v>22</v>
      </c>
      <c r="V963" s="18" t="s">
        <v>23</v>
      </c>
      <c r="W963" s="18" t="s">
        <v>166</v>
      </c>
      <c r="Y963" s="390"/>
      <c r="Z963" s="390"/>
      <c r="AA963" s="390"/>
      <c r="AB963" s="390"/>
      <c r="AC963" s="390"/>
      <c r="AD963" s="390"/>
      <c r="AE963" s="390"/>
      <c r="AF963" s="390"/>
      <c r="AG963" s="390"/>
      <c r="AH963" s="390"/>
      <c r="AI963" s="390"/>
      <c r="AJ963" s="390"/>
      <c r="AK963" s="390"/>
      <c r="AL963" s="390"/>
      <c r="AM963" s="390"/>
      <c r="AN963" s="390"/>
      <c r="AO963" s="390"/>
      <c r="AP963" s="390"/>
      <c r="AQ963" s="390"/>
      <c r="AR963" s="390"/>
      <c r="AS963" s="390"/>
    </row>
    <row r="964" spans="1:45" x14ac:dyDescent="0.3">
      <c r="B964" s="222" t="s">
        <v>50</v>
      </c>
      <c r="C964" s="70"/>
      <c r="D964" s="20">
        <v>80</v>
      </c>
      <c r="E964" s="20">
        <v>80</v>
      </c>
      <c r="F964" s="20">
        <v>80</v>
      </c>
      <c r="G964" s="20">
        <v>80</v>
      </c>
      <c r="H964" s="20">
        <v>80</v>
      </c>
      <c r="I964" s="20">
        <v>80</v>
      </c>
      <c r="J964" s="20">
        <v>80</v>
      </c>
      <c r="K964" s="20">
        <v>80</v>
      </c>
      <c r="L964" s="20">
        <v>80</v>
      </c>
      <c r="M964" s="20">
        <v>80</v>
      </c>
      <c r="N964" s="20">
        <v>80</v>
      </c>
      <c r="O964" s="20">
        <v>80</v>
      </c>
      <c r="P964" s="20">
        <v>80</v>
      </c>
      <c r="Q964" s="20">
        <v>80</v>
      </c>
      <c r="R964" s="20">
        <v>80</v>
      </c>
      <c r="S964" s="20">
        <v>80</v>
      </c>
      <c r="T964" s="20"/>
      <c r="U964" s="20"/>
      <c r="V964" s="20"/>
      <c r="W964" s="20">
        <v>80</v>
      </c>
      <c r="Y964" s="390"/>
      <c r="Z964" s="390"/>
      <c r="AA964" s="390"/>
      <c r="AB964" s="390"/>
      <c r="AC964" s="390"/>
      <c r="AD964" s="390"/>
      <c r="AE964" s="390"/>
      <c r="AF964" s="390"/>
      <c r="AG964" s="390"/>
      <c r="AH964" s="390"/>
      <c r="AI964" s="390"/>
      <c r="AJ964" s="390"/>
      <c r="AK964" s="390"/>
      <c r="AL964" s="390"/>
      <c r="AM964" s="390"/>
      <c r="AN964" s="390"/>
      <c r="AO964" s="390"/>
      <c r="AP964" s="390"/>
      <c r="AQ964" s="390"/>
      <c r="AR964" s="390"/>
      <c r="AS964" s="390"/>
    </row>
    <row r="965" spans="1:45" x14ac:dyDescent="0.3">
      <c r="B965" s="54" t="s">
        <v>51</v>
      </c>
      <c r="C965" s="55"/>
      <c r="D965" s="322">
        <v>0.4</v>
      </c>
      <c r="E965" s="322">
        <f>D965</f>
        <v>0.4</v>
      </c>
      <c r="F965" s="322">
        <f t="shared" ref="F965:S965" si="771">E965</f>
        <v>0.4</v>
      </c>
      <c r="G965" s="322">
        <f t="shared" si="771"/>
        <v>0.4</v>
      </c>
      <c r="H965" s="322">
        <f t="shared" si="771"/>
        <v>0.4</v>
      </c>
      <c r="I965" s="322">
        <f t="shared" si="771"/>
        <v>0.4</v>
      </c>
      <c r="J965" s="322">
        <f t="shared" si="771"/>
        <v>0.4</v>
      </c>
      <c r="K965" s="322">
        <f t="shared" si="771"/>
        <v>0.4</v>
      </c>
      <c r="L965" s="322">
        <f t="shared" si="771"/>
        <v>0.4</v>
      </c>
      <c r="M965" s="322">
        <f t="shared" si="771"/>
        <v>0.4</v>
      </c>
      <c r="N965" s="322">
        <f t="shared" si="771"/>
        <v>0.4</v>
      </c>
      <c r="O965" s="322">
        <f t="shared" si="771"/>
        <v>0.4</v>
      </c>
      <c r="P965" s="322">
        <f t="shared" si="771"/>
        <v>0.4</v>
      </c>
      <c r="Q965" s="322">
        <f t="shared" si="771"/>
        <v>0.4</v>
      </c>
      <c r="R965" s="322">
        <f t="shared" si="771"/>
        <v>0.4</v>
      </c>
      <c r="S965" s="322">
        <f t="shared" si="771"/>
        <v>0.4</v>
      </c>
      <c r="T965" s="218"/>
      <c r="U965" s="218"/>
      <c r="V965" s="218"/>
      <c r="W965" s="322">
        <f>D965</f>
        <v>0.4</v>
      </c>
      <c r="Y965" s="390"/>
      <c r="Z965" s="390"/>
      <c r="AA965" s="390"/>
      <c r="AB965" s="390"/>
      <c r="AC965" s="390"/>
      <c r="AD965" s="390"/>
      <c r="AE965" s="390"/>
      <c r="AF965" s="390"/>
      <c r="AG965" s="390"/>
      <c r="AH965" s="390"/>
      <c r="AI965" s="390"/>
      <c r="AJ965" s="390"/>
      <c r="AK965" s="390"/>
      <c r="AL965" s="390"/>
      <c r="AM965" s="390"/>
      <c r="AN965" s="390"/>
      <c r="AO965" s="390"/>
      <c r="AP965" s="390"/>
      <c r="AQ965" s="390"/>
      <c r="AR965" s="390"/>
      <c r="AS965" s="390"/>
    </row>
    <row r="966" spans="1:45" x14ac:dyDescent="0.3">
      <c r="B966" s="54" t="s">
        <v>56</v>
      </c>
      <c r="C966" s="55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Y966" s="390"/>
      <c r="Z966" s="390"/>
      <c r="AA966" s="390"/>
      <c r="AB966" s="390"/>
      <c r="AC966" s="390"/>
      <c r="AD966" s="390"/>
      <c r="AE966" s="390"/>
      <c r="AF966" s="390"/>
      <c r="AG966" s="390"/>
      <c r="AH966" s="390"/>
      <c r="AI966" s="390"/>
      <c r="AJ966" s="390"/>
      <c r="AK966" s="390"/>
      <c r="AL966" s="390"/>
      <c r="AM966" s="390"/>
      <c r="AN966" s="390"/>
      <c r="AO966" s="390"/>
      <c r="AP966" s="390"/>
      <c r="AQ966" s="390"/>
      <c r="AR966" s="390"/>
      <c r="AS966" s="390"/>
    </row>
    <row r="967" spans="1:45" x14ac:dyDescent="0.3">
      <c r="B967" s="177" t="s">
        <v>67</v>
      </c>
      <c r="C967" s="178"/>
      <c r="D967" s="323">
        <f>D964-(D964*D965)</f>
        <v>48</v>
      </c>
      <c r="E967" s="323">
        <f t="shared" ref="E967:W967" si="772">E964-(E964*E965)</f>
        <v>48</v>
      </c>
      <c r="F967" s="323">
        <f t="shared" si="772"/>
        <v>48</v>
      </c>
      <c r="G967" s="323">
        <f t="shared" si="772"/>
        <v>48</v>
      </c>
      <c r="H967" s="323">
        <f t="shared" si="772"/>
        <v>48</v>
      </c>
      <c r="I967" s="323">
        <f t="shared" si="772"/>
        <v>48</v>
      </c>
      <c r="J967" s="323">
        <f t="shared" si="772"/>
        <v>48</v>
      </c>
      <c r="K967" s="323">
        <f t="shared" si="772"/>
        <v>48</v>
      </c>
      <c r="L967" s="323">
        <f t="shared" si="772"/>
        <v>48</v>
      </c>
      <c r="M967" s="323">
        <f t="shared" si="772"/>
        <v>48</v>
      </c>
      <c r="N967" s="323">
        <f t="shared" si="772"/>
        <v>48</v>
      </c>
      <c r="O967" s="323">
        <f t="shared" si="772"/>
        <v>48</v>
      </c>
      <c r="P967" s="323">
        <f t="shared" si="772"/>
        <v>48</v>
      </c>
      <c r="Q967" s="323">
        <f t="shared" si="772"/>
        <v>48</v>
      </c>
      <c r="R967" s="323">
        <f t="shared" si="772"/>
        <v>48</v>
      </c>
      <c r="S967" s="323">
        <f t="shared" si="772"/>
        <v>48</v>
      </c>
      <c r="T967" s="323">
        <f t="shared" si="772"/>
        <v>0</v>
      </c>
      <c r="U967" s="323">
        <f t="shared" si="772"/>
        <v>0</v>
      </c>
      <c r="V967" s="323">
        <f t="shared" si="772"/>
        <v>0</v>
      </c>
      <c r="W967" s="323">
        <f t="shared" si="772"/>
        <v>48</v>
      </c>
      <c r="Y967" s="390"/>
      <c r="Z967" s="390"/>
      <c r="AA967" s="390"/>
      <c r="AB967" s="390"/>
      <c r="AC967" s="390"/>
      <c r="AD967" s="390"/>
      <c r="AE967" s="390"/>
      <c r="AF967" s="390"/>
      <c r="AG967" s="390"/>
      <c r="AH967" s="390"/>
      <c r="AI967" s="390"/>
      <c r="AJ967" s="390"/>
      <c r="AK967" s="390"/>
      <c r="AL967" s="390"/>
      <c r="AM967" s="390"/>
      <c r="AN967" s="390"/>
      <c r="AO967" s="390"/>
      <c r="AP967" s="390"/>
      <c r="AQ967" s="390"/>
      <c r="AR967" s="390"/>
      <c r="AS967" s="390"/>
    </row>
    <row r="968" spans="1:45" x14ac:dyDescent="0.3">
      <c r="B968" s="54" t="s">
        <v>66</v>
      </c>
      <c r="C968" s="56">
        <v>7.0000000000000007E-2</v>
      </c>
      <c r="D968" s="24">
        <f>D967*$C968</f>
        <v>3.3600000000000003</v>
      </c>
      <c r="E968" s="24">
        <f t="shared" ref="E968:V968" si="773">E967*$C968</f>
        <v>3.3600000000000003</v>
      </c>
      <c r="F968" s="24">
        <f t="shared" si="773"/>
        <v>3.3600000000000003</v>
      </c>
      <c r="G968" s="24">
        <f t="shared" si="773"/>
        <v>3.3600000000000003</v>
      </c>
      <c r="H968" s="24">
        <f t="shared" si="773"/>
        <v>3.3600000000000003</v>
      </c>
      <c r="I968" s="24">
        <f t="shared" si="773"/>
        <v>3.3600000000000003</v>
      </c>
      <c r="J968" s="24">
        <f t="shared" si="773"/>
        <v>3.3600000000000003</v>
      </c>
      <c r="K968" s="24">
        <f t="shared" si="773"/>
        <v>3.3600000000000003</v>
      </c>
      <c r="L968" s="24">
        <f t="shared" si="773"/>
        <v>3.3600000000000003</v>
      </c>
      <c r="M968" s="24">
        <f t="shared" si="773"/>
        <v>3.3600000000000003</v>
      </c>
      <c r="N968" s="24">
        <f t="shared" si="773"/>
        <v>3.3600000000000003</v>
      </c>
      <c r="O968" s="24">
        <f t="shared" si="773"/>
        <v>3.3600000000000003</v>
      </c>
      <c r="P968" s="24">
        <f t="shared" si="773"/>
        <v>3.3600000000000003</v>
      </c>
      <c r="Q968" s="24">
        <f t="shared" si="773"/>
        <v>3.3600000000000003</v>
      </c>
      <c r="R968" s="24">
        <f t="shared" si="773"/>
        <v>3.3600000000000003</v>
      </c>
      <c r="S968" s="24">
        <f t="shared" si="773"/>
        <v>3.3600000000000003</v>
      </c>
      <c r="T968" s="24">
        <f t="shared" si="773"/>
        <v>0</v>
      </c>
      <c r="U968" s="24">
        <f t="shared" si="773"/>
        <v>0</v>
      </c>
      <c r="V968" s="24">
        <f t="shared" si="773"/>
        <v>0</v>
      </c>
      <c r="W968" s="24">
        <f>W967*$C968</f>
        <v>3.3600000000000003</v>
      </c>
      <c r="Y968" s="390"/>
      <c r="Z968" s="390"/>
      <c r="AA968" s="390"/>
      <c r="AB968" s="390"/>
      <c r="AC968" s="390"/>
      <c r="AD968" s="390"/>
      <c r="AE968" s="390"/>
      <c r="AF968" s="390"/>
      <c r="AG968" s="390"/>
      <c r="AH968" s="390"/>
      <c r="AI968" s="390"/>
      <c r="AJ968" s="390"/>
      <c r="AK968" s="390"/>
      <c r="AL968" s="390"/>
      <c r="AM968" s="390"/>
      <c r="AN968" s="390"/>
      <c r="AO968" s="390"/>
      <c r="AP968" s="390"/>
      <c r="AQ968" s="390"/>
      <c r="AR968" s="390"/>
      <c r="AS968" s="390"/>
    </row>
    <row r="969" spans="1:45" x14ac:dyDescent="0.3">
      <c r="B969" s="54" t="s">
        <v>68</v>
      </c>
      <c r="C969" s="55"/>
      <c r="D969" s="21">
        <f>D967+D968</f>
        <v>51.36</v>
      </c>
      <c r="E969" s="21">
        <f t="shared" ref="E969:V969" si="774">E967+E968</f>
        <v>51.36</v>
      </c>
      <c r="F969" s="21">
        <f t="shared" si="774"/>
        <v>51.36</v>
      </c>
      <c r="G969" s="21">
        <f t="shared" si="774"/>
        <v>51.36</v>
      </c>
      <c r="H969" s="21">
        <f t="shared" si="774"/>
        <v>51.36</v>
      </c>
      <c r="I969" s="21">
        <f t="shared" si="774"/>
        <v>51.36</v>
      </c>
      <c r="J969" s="21">
        <f t="shared" si="774"/>
        <v>51.36</v>
      </c>
      <c r="K969" s="21">
        <f t="shared" si="774"/>
        <v>51.36</v>
      </c>
      <c r="L969" s="21">
        <f t="shared" si="774"/>
        <v>51.36</v>
      </c>
      <c r="M969" s="21">
        <f t="shared" si="774"/>
        <v>51.36</v>
      </c>
      <c r="N969" s="21">
        <f t="shared" si="774"/>
        <v>51.36</v>
      </c>
      <c r="O969" s="21">
        <f t="shared" si="774"/>
        <v>51.36</v>
      </c>
      <c r="P969" s="21">
        <f t="shared" si="774"/>
        <v>51.36</v>
      </c>
      <c r="Q969" s="21">
        <f t="shared" si="774"/>
        <v>51.36</v>
      </c>
      <c r="R969" s="21">
        <f t="shared" si="774"/>
        <v>51.36</v>
      </c>
      <c r="S969" s="21">
        <f t="shared" si="774"/>
        <v>51.36</v>
      </c>
      <c r="T969" s="21">
        <f t="shared" si="774"/>
        <v>0</v>
      </c>
      <c r="U969" s="21">
        <f t="shared" si="774"/>
        <v>0</v>
      </c>
      <c r="V969" s="21">
        <f t="shared" si="774"/>
        <v>0</v>
      </c>
      <c r="W969" s="21">
        <f>W967+W968</f>
        <v>51.36</v>
      </c>
      <c r="Y969" s="390"/>
      <c r="Z969" s="390"/>
      <c r="AA969" s="390"/>
      <c r="AB969" s="390"/>
      <c r="AC969" s="390"/>
      <c r="AD969" s="390"/>
      <c r="AE969" s="390"/>
      <c r="AF969" s="390"/>
      <c r="AG969" s="390"/>
      <c r="AH969" s="390"/>
      <c r="AI969" s="390"/>
      <c r="AJ969" s="390"/>
      <c r="AK969" s="390"/>
      <c r="AL969" s="390"/>
      <c r="AM969" s="390"/>
      <c r="AN969" s="390"/>
      <c r="AO969" s="390"/>
      <c r="AP969" s="390"/>
      <c r="AQ969" s="390"/>
      <c r="AR969" s="390"/>
      <c r="AS969" s="390"/>
    </row>
    <row r="970" spans="1:45" x14ac:dyDescent="0.3">
      <c r="B970" s="54" t="s">
        <v>52</v>
      </c>
      <c r="C970" s="55"/>
      <c r="D970" s="398">
        <f>Y972</f>
        <v>2.8477272727272727</v>
      </c>
      <c r="E970" s="398">
        <f t="shared" ref="E970:W970" si="775">Z972</f>
        <v>6.4686363636363637</v>
      </c>
      <c r="F970" s="398">
        <f t="shared" si="775"/>
        <v>7.7625000000000002</v>
      </c>
      <c r="G970" s="398">
        <f t="shared" si="775"/>
        <v>5.1749999999999998</v>
      </c>
      <c r="H970" s="398">
        <f t="shared" si="775"/>
        <v>2.7722727272727274</v>
      </c>
      <c r="I970" s="398">
        <f t="shared" si="775"/>
        <v>3.6963636363636363</v>
      </c>
      <c r="J970" s="398">
        <f t="shared" si="775"/>
        <v>5.7295454545454545</v>
      </c>
      <c r="K970" s="398">
        <f t="shared" si="775"/>
        <v>4.6945454545454544</v>
      </c>
      <c r="L970" s="398">
        <f t="shared" si="775"/>
        <v>5.5445454545454549</v>
      </c>
      <c r="M970" s="398">
        <f t="shared" si="775"/>
        <v>2.6613636363636362</v>
      </c>
      <c r="N970" s="398">
        <f t="shared" si="775"/>
        <v>2.9572727272727271</v>
      </c>
      <c r="O970" s="398">
        <f t="shared" si="775"/>
        <v>6.9502272727272727</v>
      </c>
      <c r="P970" s="398">
        <f t="shared" si="775"/>
        <v>2.6613636363636362</v>
      </c>
      <c r="Q970" s="398">
        <f t="shared" si="775"/>
        <v>2.6613636363636362</v>
      </c>
      <c r="R970" s="398">
        <f t="shared" si="775"/>
        <v>3.5115909090909092</v>
      </c>
      <c r="S970" s="398">
        <f t="shared" si="775"/>
        <v>3.3268181818181817</v>
      </c>
      <c r="T970" s="398">
        <f t="shared" si="775"/>
        <v>0</v>
      </c>
      <c r="U970" s="398">
        <v>0</v>
      </c>
      <c r="V970" s="398">
        <f t="shared" si="775"/>
        <v>0</v>
      </c>
      <c r="W970" s="398">
        <f t="shared" si="775"/>
        <v>2.6613636363636362</v>
      </c>
      <c r="Y970" s="390">
        <v>12530</v>
      </c>
      <c r="Z970" s="390">
        <v>28462</v>
      </c>
      <c r="AA970" s="390">
        <v>34155</v>
      </c>
      <c r="AB970" s="390">
        <v>22770</v>
      </c>
      <c r="AC970" s="390">
        <v>12198</v>
      </c>
      <c r="AD970" s="390">
        <v>16264</v>
      </c>
      <c r="AE970" s="390">
        <v>25210</v>
      </c>
      <c r="AF970" s="390">
        <v>20656</v>
      </c>
      <c r="AG970" s="390">
        <v>24396</v>
      </c>
      <c r="AH970" s="390">
        <v>11710</v>
      </c>
      <c r="AI970" s="390">
        <v>13012</v>
      </c>
      <c r="AJ970" s="390">
        <v>30581</v>
      </c>
      <c r="AK970" s="396">
        <v>11710</v>
      </c>
      <c r="AL970" s="396">
        <v>11710</v>
      </c>
      <c r="AM970" s="390">
        <v>15451</v>
      </c>
      <c r="AN970" s="390">
        <v>14638</v>
      </c>
      <c r="AO970" s="390"/>
      <c r="AP970" s="396">
        <v>30581</v>
      </c>
      <c r="AQ970" s="390"/>
      <c r="AR970" s="396">
        <v>11710</v>
      </c>
      <c r="AS970" s="390"/>
    </row>
    <row r="971" spans="1:45" x14ac:dyDescent="0.3">
      <c r="B971" s="57" t="s">
        <v>53</v>
      </c>
      <c r="C971" s="58"/>
      <c r="D971" s="25">
        <f>SUM(D969:D970)</f>
        <v>54.207727272727269</v>
      </c>
      <c r="E971" s="26">
        <f t="shared" ref="E971:V971" si="776">SUM(E969:E970)</f>
        <v>57.828636363636363</v>
      </c>
      <c r="F971" s="26">
        <f t="shared" si="776"/>
        <v>59.122500000000002</v>
      </c>
      <c r="G971" s="26">
        <f t="shared" si="776"/>
        <v>56.534999999999997</v>
      </c>
      <c r="H971" s="26">
        <f t="shared" si="776"/>
        <v>54.132272727272728</v>
      </c>
      <c r="I971" s="26">
        <f t="shared" si="776"/>
        <v>55.056363636363635</v>
      </c>
      <c r="J971" s="26">
        <f t="shared" si="776"/>
        <v>57.089545454545451</v>
      </c>
      <c r="K971" s="26">
        <f t="shared" si="776"/>
        <v>56.054545454545455</v>
      </c>
      <c r="L971" s="26">
        <f t="shared" si="776"/>
        <v>56.904545454545456</v>
      </c>
      <c r="M971" s="26">
        <f t="shared" si="776"/>
        <v>54.021363636363638</v>
      </c>
      <c r="N971" s="26">
        <f t="shared" si="776"/>
        <v>54.317272727272723</v>
      </c>
      <c r="O971" s="26">
        <f t="shared" si="776"/>
        <v>58.310227272727275</v>
      </c>
      <c r="P971" s="26">
        <f t="shared" si="776"/>
        <v>54.021363636363638</v>
      </c>
      <c r="Q971" s="26">
        <f t="shared" si="776"/>
        <v>54.021363636363638</v>
      </c>
      <c r="R971" s="26">
        <f t="shared" si="776"/>
        <v>54.871590909090912</v>
      </c>
      <c r="S971" s="26">
        <f t="shared" si="776"/>
        <v>54.686818181818182</v>
      </c>
      <c r="T971" s="26">
        <f t="shared" si="776"/>
        <v>0</v>
      </c>
      <c r="U971" s="26">
        <f t="shared" si="776"/>
        <v>0</v>
      </c>
      <c r="V971" s="26">
        <f t="shared" si="776"/>
        <v>0</v>
      </c>
      <c r="W971" s="26">
        <f>SUM(W969:W970)</f>
        <v>54.021363636363638</v>
      </c>
      <c r="Y971" s="390">
        <v>4400</v>
      </c>
      <c r="Z971" s="390">
        <v>4400</v>
      </c>
      <c r="AA971" s="390">
        <v>4400</v>
      </c>
      <c r="AB971" s="390">
        <v>4400</v>
      </c>
      <c r="AC971" s="390">
        <v>4400</v>
      </c>
      <c r="AD971" s="390">
        <v>4400</v>
      </c>
      <c r="AE971" s="390">
        <v>4400</v>
      </c>
      <c r="AF971" s="390">
        <v>4400</v>
      </c>
      <c r="AG971" s="390">
        <v>4400</v>
      </c>
      <c r="AH971" s="390">
        <v>4400</v>
      </c>
      <c r="AI971" s="390">
        <v>4400</v>
      </c>
      <c r="AJ971" s="390">
        <v>4400</v>
      </c>
      <c r="AK971" s="390">
        <v>4400</v>
      </c>
      <c r="AL971" s="390">
        <v>4400</v>
      </c>
      <c r="AM971" s="390">
        <v>4400</v>
      </c>
      <c r="AN971" s="390">
        <v>4400</v>
      </c>
      <c r="AO971" s="390"/>
      <c r="AP971" s="390">
        <v>4400</v>
      </c>
      <c r="AQ971" s="390"/>
      <c r="AR971" s="390">
        <v>4400</v>
      </c>
      <c r="AS971" s="390"/>
    </row>
    <row r="972" spans="1:45" x14ac:dyDescent="0.3">
      <c r="B972" s="54" t="s">
        <v>54</v>
      </c>
      <c r="C972" s="55"/>
      <c r="D972" s="20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Y972" s="389">
        <f>Y970/Y971</f>
        <v>2.8477272727272727</v>
      </c>
      <c r="Z972" s="389">
        <f t="shared" ref="Z972:AN972" si="777">Z970/Z971</f>
        <v>6.4686363636363637</v>
      </c>
      <c r="AA972" s="389">
        <f t="shared" si="777"/>
        <v>7.7625000000000002</v>
      </c>
      <c r="AB972" s="389">
        <f t="shared" si="777"/>
        <v>5.1749999999999998</v>
      </c>
      <c r="AC972" s="389">
        <f t="shared" si="777"/>
        <v>2.7722727272727274</v>
      </c>
      <c r="AD972" s="389">
        <f t="shared" si="777"/>
        <v>3.6963636363636363</v>
      </c>
      <c r="AE972" s="389">
        <f t="shared" si="777"/>
        <v>5.7295454545454545</v>
      </c>
      <c r="AF972" s="389">
        <f t="shared" si="777"/>
        <v>4.6945454545454544</v>
      </c>
      <c r="AG972" s="389">
        <f t="shared" si="777"/>
        <v>5.5445454545454549</v>
      </c>
      <c r="AH972" s="389">
        <f t="shared" si="777"/>
        <v>2.6613636363636362</v>
      </c>
      <c r="AI972" s="389">
        <f t="shared" si="777"/>
        <v>2.9572727272727271</v>
      </c>
      <c r="AJ972" s="389">
        <f t="shared" si="777"/>
        <v>6.9502272727272727</v>
      </c>
      <c r="AK972" s="389">
        <f t="shared" si="777"/>
        <v>2.6613636363636362</v>
      </c>
      <c r="AL972" s="389">
        <f t="shared" si="777"/>
        <v>2.6613636363636362</v>
      </c>
      <c r="AM972" s="389">
        <f t="shared" si="777"/>
        <v>3.5115909090909092</v>
      </c>
      <c r="AN972" s="389">
        <f t="shared" si="777"/>
        <v>3.3268181818181817</v>
      </c>
      <c r="AO972" s="390"/>
      <c r="AP972" s="389">
        <f t="shared" ref="AP972" si="778">AP970/AP971</f>
        <v>6.9502272727272727</v>
      </c>
      <c r="AQ972" s="390"/>
      <c r="AR972" s="389">
        <f t="shared" ref="AR972" si="779">AR970/AR971</f>
        <v>2.6613636363636362</v>
      </c>
      <c r="AS972" s="390"/>
    </row>
    <row r="973" spans="1:45" x14ac:dyDescent="0.3">
      <c r="B973" s="59" t="s">
        <v>55</v>
      </c>
      <c r="C973" s="60"/>
      <c r="D973" s="27">
        <f>SUM(D971:D972)</f>
        <v>54.207727272727269</v>
      </c>
      <c r="E973" s="41">
        <f t="shared" ref="E973:V973" si="780">SUM(E971:E972)</f>
        <v>57.828636363636363</v>
      </c>
      <c r="F973" s="41">
        <f t="shared" si="780"/>
        <v>59.122500000000002</v>
      </c>
      <c r="G973" s="41">
        <f t="shared" si="780"/>
        <v>56.534999999999997</v>
      </c>
      <c r="H973" s="41">
        <f t="shared" si="780"/>
        <v>54.132272727272728</v>
      </c>
      <c r="I973" s="41">
        <f t="shared" si="780"/>
        <v>55.056363636363635</v>
      </c>
      <c r="J973" s="41">
        <f t="shared" si="780"/>
        <v>57.089545454545451</v>
      </c>
      <c r="K973" s="41">
        <f t="shared" si="780"/>
        <v>56.054545454545455</v>
      </c>
      <c r="L973" s="41">
        <f t="shared" si="780"/>
        <v>56.904545454545456</v>
      </c>
      <c r="M973" s="41">
        <f t="shared" si="780"/>
        <v>54.021363636363638</v>
      </c>
      <c r="N973" s="41">
        <f t="shared" si="780"/>
        <v>54.317272727272723</v>
      </c>
      <c r="O973" s="41">
        <f t="shared" si="780"/>
        <v>58.310227272727275</v>
      </c>
      <c r="P973" s="41">
        <f t="shared" si="780"/>
        <v>54.021363636363638</v>
      </c>
      <c r="Q973" s="41">
        <f t="shared" si="780"/>
        <v>54.021363636363638</v>
      </c>
      <c r="R973" s="41">
        <f t="shared" si="780"/>
        <v>54.871590909090912</v>
      </c>
      <c r="S973" s="41">
        <f t="shared" si="780"/>
        <v>54.686818181818182</v>
      </c>
      <c r="T973" s="41">
        <f t="shared" si="780"/>
        <v>0</v>
      </c>
      <c r="U973" s="41">
        <f t="shared" si="780"/>
        <v>0</v>
      </c>
      <c r="V973" s="41">
        <f t="shared" si="780"/>
        <v>0</v>
      </c>
      <c r="W973" s="41">
        <f>SUM(W971:W972)</f>
        <v>54.021363636363638</v>
      </c>
      <c r="Y973" s="390"/>
      <c r="Z973" s="390"/>
      <c r="AA973" s="390"/>
      <c r="AB973" s="390"/>
      <c r="AC973" s="390"/>
      <c r="AD973" s="390"/>
      <c r="AE973" s="390"/>
      <c r="AF973" s="390"/>
      <c r="AG973" s="390"/>
      <c r="AH973" s="390"/>
      <c r="AI973" s="390"/>
      <c r="AJ973" s="390"/>
      <c r="AK973" s="390"/>
      <c r="AL973" s="390"/>
      <c r="AM973" s="390"/>
      <c r="AN973" s="390"/>
      <c r="AO973" s="390"/>
      <c r="AP973" s="390"/>
      <c r="AQ973" s="390"/>
      <c r="AR973" s="390"/>
      <c r="AS973" s="390"/>
    </row>
    <row r="974" spans="1:45" x14ac:dyDescent="0.3">
      <c r="B974" s="61" t="s">
        <v>101</v>
      </c>
      <c r="C974" s="55"/>
      <c r="D974" s="43">
        <v>0</v>
      </c>
      <c r="E974" s="408">
        <v>0</v>
      </c>
      <c r="F974" s="408">
        <v>0</v>
      </c>
      <c r="G974" s="408">
        <v>0</v>
      </c>
      <c r="H974" s="408">
        <v>0</v>
      </c>
      <c r="I974" s="408">
        <v>0</v>
      </c>
      <c r="J974" s="408">
        <v>0</v>
      </c>
      <c r="K974" s="408">
        <v>0</v>
      </c>
      <c r="L974" s="408">
        <v>0</v>
      </c>
      <c r="M974" s="408">
        <v>0</v>
      </c>
      <c r="N974" s="408">
        <v>0</v>
      </c>
      <c r="O974" s="408">
        <v>0</v>
      </c>
      <c r="P974" s="408">
        <v>0</v>
      </c>
      <c r="Q974" s="408">
        <v>0</v>
      </c>
      <c r="R974" s="408">
        <v>0</v>
      </c>
      <c r="S974" s="408">
        <v>0</v>
      </c>
      <c r="T974" s="408">
        <v>0</v>
      </c>
      <c r="U974" s="408">
        <v>0</v>
      </c>
      <c r="V974" s="408">
        <v>0</v>
      </c>
      <c r="W974" s="408">
        <v>0</v>
      </c>
      <c r="Y974" s="409"/>
      <c r="Z974" s="409"/>
      <c r="AA974" s="409"/>
      <c r="AB974" s="409"/>
      <c r="AC974" s="409"/>
      <c r="AD974" s="409"/>
      <c r="AE974" s="409"/>
      <c r="AF974" s="409"/>
      <c r="AG974" s="409"/>
      <c r="AH974" s="409"/>
      <c r="AI974" s="409"/>
      <c r="AJ974" s="409"/>
      <c r="AK974" s="409"/>
      <c r="AL974" s="409"/>
      <c r="AM974" s="409"/>
      <c r="AN974" s="409"/>
      <c r="AO974" s="409"/>
      <c r="AP974" s="409"/>
      <c r="AQ974" s="409"/>
      <c r="AR974" s="409"/>
      <c r="AS974" s="409"/>
    </row>
    <row r="975" spans="1:45" x14ac:dyDescent="0.3">
      <c r="B975" s="61" t="s">
        <v>194</v>
      </c>
      <c r="C975" s="55"/>
      <c r="D975" s="228">
        <v>58</v>
      </c>
      <c r="E975" s="229">
        <v>61</v>
      </c>
      <c r="F975" s="229">
        <v>63</v>
      </c>
      <c r="G975" s="229">
        <v>60</v>
      </c>
      <c r="H975" s="229">
        <v>58</v>
      </c>
      <c r="I975" s="229">
        <v>59</v>
      </c>
      <c r="J975" s="229">
        <v>61</v>
      </c>
      <c r="K975" s="229">
        <v>60</v>
      </c>
      <c r="L975" s="229">
        <v>60</v>
      </c>
      <c r="M975" s="229">
        <v>58</v>
      </c>
      <c r="N975" s="229">
        <v>58</v>
      </c>
      <c r="O975" s="229">
        <v>62</v>
      </c>
      <c r="P975" s="229">
        <v>58</v>
      </c>
      <c r="Q975" s="229">
        <v>58</v>
      </c>
      <c r="R975" s="229">
        <v>58</v>
      </c>
      <c r="S975" s="229">
        <v>58</v>
      </c>
      <c r="T975" s="21">
        <v>0</v>
      </c>
      <c r="U975" s="21">
        <v>0</v>
      </c>
      <c r="V975" s="21">
        <v>0</v>
      </c>
      <c r="W975" s="229">
        <v>58</v>
      </c>
      <c r="Y975" s="390"/>
      <c r="Z975" s="390"/>
      <c r="AA975" s="390"/>
      <c r="AB975" s="390"/>
      <c r="AC975" s="390"/>
      <c r="AD975" s="390"/>
      <c r="AE975" s="390"/>
      <c r="AF975" s="390"/>
      <c r="AG975" s="390"/>
      <c r="AH975" s="390"/>
      <c r="AI975" s="390"/>
      <c r="AJ975" s="390"/>
      <c r="AK975" s="390"/>
      <c r="AL975" s="390"/>
      <c r="AM975" s="390"/>
      <c r="AN975" s="390"/>
      <c r="AO975" s="390"/>
      <c r="AP975" s="390"/>
      <c r="AQ975" s="390"/>
      <c r="AR975" s="390"/>
      <c r="AS975" s="390"/>
    </row>
    <row r="976" spans="1:45" x14ac:dyDescent="0.3">
      <c r="B976" s="61" t="s">
        <v>195</v>
      </c>
      <c r="C976" s="62"/>
      <c r="D976" s="28">
        <v>59</v>
      </c>
      <c r="E976" s="28">
        <v>62</v>
      </c>
      <c r="F976" s="28">
        <v>64</v>
      </c>
      <c r="G976" s="28">
        <v>61</v>
      </c>
      <c r="H976" s="28">
        <v>59</v>
      </c>
      <c r="I976" s="28">
        <v>60</v>
      </c>
      <c r="J976" s="28">
        <v>62</v>
      </c>
      <c r="K976" s="28">
        <v>61</v>
      </c>
      <c r="L976" s="28">
        <v>61</v>
      </c>
      <c r="M976" s="28">
        <v>59</v>
      </c>
      <c r="N976" s="28">
        <v>59</v>
      </c>
      <c r="O976" s="28">
        <v>63</v>
      </c>
      <c r="P976" s="28">
        <v>59</v>
      </c>
      <c r="Q976" s="28">
        <v>59</v>
      </c>
      <c r="R976" s="28">
        <v>59</v>
      </c>
      <c r="S976" s="28">
        <v>59</v>
      </c>
      <c r="T976" s="410">
        <v>0</v>
      </c>
      <c r="U976" s="410">
        <v>0</v>
      </c>
      <c r="V976" s="410">
        <v>0</v>
      </c>
      <c r="W976" s="28">
        <v>59</v>
      </c>
      <c r="Y976" s="390"/>
      <c r="Z976" s="390"/>
      <c r="AA976" s="390"/>
      <c r="AB976" s="390"/>
      <c r="AC976" s="390"/>
      <c r="AD976" s="390"/>
      <c r="AE976" s="390"/>
      <c r="AF976" s="390"/>
      <c r="AG976" s="390"/>
      <c r="AH976" s="390"/>
      <c r="AI976" s="390"/>
      <c r="AJ976" s="390"/>
      <c r="AK976" s="390"/>
      <c r="AL976" s="390"/>
      <c r="AM976" s="390"/>
      <c r="AN976" s="390"/>
      <c r="AO976" s="390"/>
      <c r="AP976" s="390"/>
      <c r="AQ976" s="390"/>
      <c r="AR976" s="390"/>
      <c r="AS976" s="390"/>
    </row>
    <row r="977" spans="1:45" x14ac:dyDescent="0.3">
      <c r="B977" s="61" t="s">
        <v>196</v>
      </c>
      <c r="C977" s="62"/>
      <c r="D977" s="28">
        <v>60</v>
      </c>
      <c r="E977" s="28">
        <v>63</v>
      </c>
      <c r="F977" s="28">
        <v>65</v>
      </c>
      <c r="G977" s="28">
        <v>62</v>
      </c>
      <c r="H977" s="28">
        <v>60</v>
      </c>
      <c r="I977" s="28">
        <v>61</v>
      </c>
      <c r="J977" s="28">
        <v>63</v>
      </c>
      <c r="K977" s="28">
        <v>62</v>
      </c>
      <c r="L977" s="28">
        <v>62</v>
      </c>
      <c r="M977" s="28">
        <v>60</v>
      </c>
      <c r="N977" s="28">
        <v>60</v>
      </c>
      <c r="O977" s="28">
        <v>64</v>
      </c>
      <c r="P977" s="28">
        <v>60</v>
      </c>
      <c r="Q977" s="28">
        <v>60</v>
      </c>
      <c r="R977" s="28">
        <v>60</v>
      </c>
      <c r="S977" s="28">
        <v>60</v>
      </c>
      <c r="T977" s="410">
        <v>0</v>
      </c>
      <c r="U977" s="410">
        <v>0</v>
      </c>
      <c r="V977" s="410">
        <v>0</v>
      </c>
      <c r="W977" s="28">
        <v>60</v>
      </c>
      <c r="Y977" s="390"/>
      <c r="Z977" s="390"/>
      <c r="AA977" s="390"/>
      <c r="AB977" s="390"/>
      <c r="AC977" s="390"/>
      <c r="AD977" s="390"/>
      <c r="AE977" s="390"/>
      <c r="AF977" s="390"/>
      <c r="AG977" s="390"/>
      <c r="AH977" s="390"/>
      <c r="AI977" s="390"/>
      <c r="AJ977" s="390"/>
      <c r="AK977" s="390"/>
      <c r="AL977" s="390"/>
      <c r="AM977" s="390"/>
      <c r="AN977" s="390"/>
      <c r="AO977" s="390"/>
      <c r="AP977" s="390"/>
      <c r="AQ977" s="390"/>
      <c r="AR977" s="390"/>
      <c r="AS977" s="390"/>
    </row>
    <row r="978" spans="1:45" x14ac:dyDescent="0.3">
      <c r="B978" s="61" t="s">
        <v>197</v>
      </c>
      <c r="C978" s="62"/>
      <c r="D978" s="28">
        <v>61</v>
      </c>
      <c r="E978" s="28">
        <v>64</v>
      </c>
      <c r="F978" s="28">
        <v>66</v>
      </c>
      <c r="G978" s="28">
        <v>63</v>
      </c>
      <c r="H978" s="28">
        <v>61</v>
      </c>
      <c r="I978" s="28">
        <v>62</v>
      </c>
      <c r="J978" s="28">
        <v>64</v>
      </c>
      <c r="K978" s="28">
        <v>63</v>
      </c>
      <c r="L978" s="28">
        <v>63</v>
      </c>
      <c r="M978" s="28">
        <v>61</v>
      </c>
      <c r="N978" s="28">
        <v>61</v>
      </c>
      <c r="O978" s="28">
        <v>65</v>
      </c>
      <c r="P978" s="28">
        <v>61</v>
      </c>
      <c r="Q978" s="28">
        <v>61</v>
      </c>
      <c r="R978" s="28">
        <v>61</v>
      </c>
      <c r="S978" s="28">
        <v>61</v>
      </c>
      <c r="T978" s="410">
        <v>0</v>
      </c>
      <c r="U978" s="410">
        <v>0</v>
      </c>
      <c r="V978" s="410">
        <v>0</v>
      </c>
      <c r="W978" s="28">
        <v>61</v>
      </c>
      <c r="Y978" s="390"/>
      <c r="Z978" s="390"/>
      <c r="AA978" s="390"/>
      <c r="AB978" s="390"/>
      <c r="AC978" s="390"/>
      <c r="AD978" s="390"/>
      <c r="AE978" s="390"/>
      <c r="AF978" s="390"/>
      <c r="AG978" s="390"/>
      <c r="AH978" s="390"/>
      <c r="AI978" s="390"/>
      <c r="AJ978" s="390"/>
      <c r="AK978" s="390"/>
      <c r="AL978" s="390"/>
      <c r="AM978" s="390"/>
      <c r="AN978" s="390"/>
      <c r="AO978" s="390"/>
      <c r="AP978" s="390"/>
      <c r="AQ978" s="390"/>
      <c r="AR978" s="390"/>
      <c r="AS978" s="390"/>
    </row>
    <row r="979" spans="1:45" x14ac:dyDescent="0.3">
      <c r="B979" s="63" t="s">
        <v>103</v>
      </c>
      <c r="C979" s="55"/>
      <c r="D979" s="43">
        <v>0</v>
      </c>
      <c r="E979" s="408">
        <v>0</v>
      </c>
      <c r="F979" s="408">
        <v>0</v>
      </c>
      <c r="G979" s="408">
        <v>0</v>
      </c>
      <c r="H979" s="408">
        <v>0</v>
      </c>
      <c r="I979" s="408">
        <v>0</v>
      </c>
      <c r="J979" s="408">
        <v>0</v>
      </c>
      <c r="K979" s="408">
        <v>0</v>
      </c>
      <c r="L979" s="408">
        <v>0</v>
      </c>
      <c r="M979" s="408">
        <v>0</v>
      </c>
      <c r="N979" s="408">
        <v>0</v>
      </c>
      <c r="O979" s="408">
        <v>0</v>
      </c>
      <c r="P979" s="408">
        <v>0</v>
      </c>
      <c r="Q979" s="408">
        <v>0</v>
      </c>
      <c r="R979" s="408">
        <v>0</v>
      </c>
      <c r="S979" s="408">
        <v>0</v>
      </c>
      <c r="T979" s="408">
        <v>0</v>
      </c>
      <c r="U979" s="408">
        <v>0</v>
      </c>
      <c r="V979" s="408">
        <v>0</v>
      </c>
      <c r="W979" s="408">
        <v>0</v>
      </c>
      <c r="Y979" s="409"/>
      <c r="Z979" s="409"/>
      <c r="AA979" s="409"/>
      <c r="AB979" s="409"/>
      <c r="AC979" s="409"/>
      <c r="AD979" s="409"/>
      <c r="AE979" s="409"/>
      <c r="AF979" s="409"/>
      <c r="AG979" s="409"/>
      <c r="AH979" s="409"/>
      <c r="AI979" s="409"/>
      <c r="AJ979" s="409"/>
      <c r="AK979" s="409"/>
      <c r="AL979" s="409"/>
      <c r="AM979" s="409"/>
      <c r="AN979" s="409"/>
      <c r="AO979" s="409"/>
      <c r="AP979" s="409"/>
      <c r="AQ979" s="409"/>
      <c r="AR979" s="409"/>
      <c r="AS979" s="409"/>
    </row>
    <row r="980" spans="1:45" x14ac:dyDescent="0.3">
      <c r="B980" s="63" t="s">
        <v>198</v>
      </c>
      <c r="C980" s="62"/>
      <c r="D980" s="31">
        <f>+D975-D$973</f>
        <v>3.7922727272727315</v>
      </c>
      <c r="E980" s="31">
        <f t="shared" ref="E980:W980" si="781">+E975-E$973</f>
        <v>3.1713636363636368</v>
      </c>
      <c r="F980" s="31">
        <f t="shared" si="781"/>
        <v>3.8774999999999977</v>
      </c>
      <c r="G980" s="31">
        <f t="shared" si="781"/>
        <v>3.4650000000000034</v>
      </c>
      <c r="H980" s="31">
        <f t="shared" si="781"/>
        <v>3.8677272727272722</v>
      </c>
      <c r="I980" s="31">
        <f t="shared" si="781"/>
        <v>3.9436363636363652</v>
      </c>
      <c r="J980" s="31">
        <f t="shared" si="781"/>
        <v>3.9104545454545487</v>
      </c>
      <c r="K980" s="31">
        <f t="shared" si="781"/>
        <v>3.9454545454545453</v>
      </c>
      <c r="L980" s="31">
        <f t="shared" si="781"/>
        <v>3.0954545454545439</v>
      </c>
      <c r="M980" s="31">
        <f t="shared" si="781"/>
        <v>3.9786363636363618</v>
      </c>
      <c r="N980" s="31">
        <f t="shared" si="781"/>
        <v>3.6827272727272771</v>
      </c>
      <c r="O980" s="31">
        <f t="shared" si="781"/>
        <v>3.6897727272727252</v>
      </c>
      <c r="P980" s="31">
        <f t="shared" si="781"/>
        <v>3.9786363636363618</v>
      </c>
      <c r="Q980" s="31">
        <f t="shared" si="781"/>
        <v>3.9786363636363618</v>
      </c>
      <c r="R980" s="31">
        <f t="shared" si="781"/>
        <v>3.1284090909090878</v>
      </c>
      <c r="S980" s="31">
        <f t="shared" si="781"/>
        <v>3.3131818181818176</v>
      </c>
      <c r="T980" s="29">
        <f t="shared" si="781"/>
        <v>0</v>
      </c>
      <c r="U980" s="29">
        <f t="shared" si="781"/>
        <v>0</v>
      </c>
      <c r="V980" s="29">
        <f t="shared" si="781"/>
        <v>0</v>
      </c>
      <c r="W980" s="31">
        <f t="shared" si="781"/>
        <v>3.9786363636363618</v>
      </c>
      <c r="Y980" s="390"/>
      <c r="Z980" s="390"/>
      <c r="AA980" s="390"/>
      <c r="AB980" s="390"/>
      <c r="AC980" s="390"/>
      <c r="AD980" s="390"/>
      <c r="AE980" s="390"/>
      <c r="AF980" s="390"/>
      <c r="AG980" s="390"/>
      <c r="AH980" s="390"/>
      <c r="AI980" s="390"/>
      <c r="AJ980" s="390"/>
      <c r="AK980" s="390"/>
      <c r="AL980" s="390"/>
      <c r="AM980" s="390"/>
      <c r="AN980" s="390"/>
      <c r="AO980" s="390"/>
      <c r="AP980" s="390"/>
      <c r="AQ980" s="390"/>
      <c r="AR980" s="390"/>
      <c r="AS980" s="390"/>
    </row>
    <row r="981" spans="1:45" x14ac:dyDescent="0.3">
      <c r="B981" s="63" t="s">
        <v>199</v>
      </c>
      <c r="C981" s="64"/>
      <c r="D981" s="31">
        <f>+D976-D$973</f>
        <v>4.7922727272727315</v>
      </c>
      <c r="E981" s="32">
        <f t="shared" ref="E981:W981" si="782">+E976-E$973</f>
        <v>4.1713636363636368</v>
      </c>
      <c r="F981" s="32">
        <f t="shared" si="782"/>
        <v>4.8774999999999977</v>
      </c>
      <c r="G981" s="32">
        <f t="shared" si="782"/>
        <v>4.4650000000000034</v>
      </c>
      <c r="H981" s="32">
        <f t="shared" si="782"/>
        <v>4.8677272727272722</v>
      </c>
      <c r="I981" s="32">
        <f t="shared" si="782"/>
        <v>4.9436363636363652</v>
      </c>
      <c r="J981" s="32">
        <f t="shared" si="782"/>
        <v>4.9104545454545487</v>
      </c>
      <c r="K981" s="32">
        <f t="shared" si="782"/>
        <v>4.9454545454545453</v>
      </c>
      <c r="L981" s="32">
        <f t="shared" si="782"/>
        <v>4.0954545454545439</v>
      </c>
      <c r="M981" s="32">
        <f t="shared" si="782"/>
        <v>4.9786363636363618</v>
      </c>
      <c r="N981" s="32">
        <f t="shared" si="782"/>
        <v>4.6827272727272771</v>
      </c>
      <c r="O981" s="32">
        <f t="shared" si="782"/>
        <v>4.6897727272727252</v>
      </c>
      <c r="P981" s="32">
        <f t="shared" si="782"/>
        <v>4.9786363636363618</v>
      </c>
      <c r="Q981" s="32">
        <f t="shared" si="782"/>
        <v>4.9786363636363618</v>
      </c>
      <c r="R981" s="32">
        <f t="shared" si="782"/>
        <v>4.1284090909090878</v>
      </c>
      <c r="S981" s="32">
        <f t="shared" si="782"/>
        <v>4.3131818181818176</v>
      </c>
      <c r="T981" s="32">
        <f t="shared" si="782"/>
        <v>0</v>
      </c>
      <c r="U981" s="32">
        <f t="shared" si="782"/>
        <v>0</v>
      </c>
      <c r="V981" s="32">
        <f t="shared" si="782"/>
        <v>0</v>
      </c>
      <c r="W981" s="32">
        <f t="shared" si="782"/>
        <v>4.9786363636363618</v>
      </c>
      <c r="Y981" s="390"/>
      <c r="Z981" s="390"/>
      <c r="AA981" s="390"/>
      <c r="AB981" s="390"/>
      <c r="AC981" s="390"/>
      <c r="AD981" s="390"/>
      <c r="AE981" s="390"/>
      <c r="AF981" s="390"/>
      <c r="AG981" s="390"/>
      <c r="AH981" s="390"/>
      <c r="AI981" s="390"/>
      <c r="AJ981" s="390"/>
      <c r="AK981" s="390"/>
      <c r="AL981" s="390"/>
      <c r="AM981" s="390"/>
      <c r="AN981" s="390"/>
      <c r="AO981" s="390"/>
      <c r="AP981" s="390"/>
      <c r="AQ981" s="390"/>
      <c r="AR981" s="390"/>
      <c r="AS981" s="390"/>
    </row>
    <row r="982" spans="1:45" x14ac:dyDescent="0.3">
      <c r="B982" s="63" t="s">
        <v>200</v>
      </c>
      <c r="C982" s="64"/>
      <c r="D982" s="31">
        <f>+D977-D$973</f>
        <v>5.7922727272727315</v>
      </c>
      <c r="E982" s="32">
        <f t="shared" ref="E982:W982" si="783">+E977-E$973</f>
        <v>5.1713636363636368</v>
      </c>
      <c r="F982" s="32">
        <f t="shared" si="783"/>
        <v>5.8774999999999977</v>
      </c>
      <c r="G982" s="32">
        <f t="shared" si="783"/>
        <v>5.4650000000000034</v>
      </c>
      <c r="H982" s="32">
        <f t="shared" si="783"/>
        <v>5.8677272727272722</v>
      </c>
      <c r="I982" s="32">
        <f t="shared" si="783"/>
        <v>5.9436363636363652</v>
      </c>
      <c r="J982" s="32">
        <f t="shared" si="783"/>
        <v>5.9104545454545487</v>
      </c>
      <c r="K982" s="32">
        <f t="shared" si="783"/>
        <v>5.9454545454545453</v>
      </c>
      <c r="L982" s="32">
        <f t="shared" si="783"/>
        <v>5.0954545454545439</v>
      </c>
      <c r="M982" s="32">
        <f t="shared" si="783"/>
        <v>5.9786363636363618</v>
      </c>
      <c r="N982" s="32">
        <f t="shared" si="783"/>
        <v>5.6827272727272771</v>
      </c>
      <c r="O982" s="32">
        <f t="shared" si="783"/>
        <v>5.6897727272727252</v>
      </c>
      <c r="P982" s="32">
        <f t="shared" si="783"/>
        <v>5.9786363636363618</v>
      </c>
      <c r="Q982" s="32">
        <f t="shared" si="783"/>
        <v>5.9786363636363618</v>
      </c>
      <c r="R982" s="32">
        <f t="shared" si="783"/>
        <v>5.1284090909090878</v>
      </c>
      <c r="S982" s="32">
        <f t="shared" si="783"/>
        <v>5.3131818181818176</v>
      </c>
      <c r="T982" s="32">
        <f t="shared" si="783"/>
        <v>0</v>
      </c>
      <c r="U982" s="32">
        <f t="shared" si="783"/>
        <v>0</v>
      </c>
      <c r="V982" s="32">
        <f t="shared" si="783"/>
        <v>0</v>
      </c>
      <c r="W982" s="32">
        <f t="shared" si="783"/>
        <v>5.9786363636363618</v>
      </c>
      <c r="Y982" s="390"/>
      <c r="Z982" s="390"/>
      <c r="AA982" s="390"/>
      <c r="AB982" s="390"/>
      <c r="AC982" s="390"/>
      <c r="AD982" s="390"/>
      <c r="AE982" s="390"/>
      <c r="AF982" s="390"/>
      <c r="AG982" s="390"/>
      <c r="AH982" s="390"/>
      <c r="AI982" s="390"/>
      <c r="AJ982" s="390"/>
      <c r="AK982" s="390"/>
      <c r="AL982" s="390"/>
      <c r="AM982" s="390"/>
      <c r="AN982" s="390"/>
      <c r="AO982" s="390"/>
      <c r="AP982" s="390"/>
      <c r="AQ982" s="390"/>
      <c r="AR982" s="390"/>
      <c r="AS982" s="390"/>
    </row>
    <row r="983" spans="1:45" x14ac:dyDescent="0.3">
      <c r="B983" s="63" t="s">
        <v>201</v>
      </c>
      <c r="C983" s="64"/>
      <c r="D983" s="31">
        <f>+D978-D$973</f>
        <v>6.7922727272727315</v>
      </c>
      <c r="E983" s="32">
        <f t="shared" ref="E983:W983" si="784">+E978-E$973</f>
        <v>6.1713636363636368</v>
      </c>
      <c r="F983" s="32">
        <f t="shared" si="784"/>
        <v>6.8774999999999977</v>
      </c>
      <c r="G983" s="32">
        <f t="shared" si="784"/>
        <v>6.4650000000000034</v>
      </c>
      <c r="H983" s="32">
        <f t="shared" si="784"/>
        <v>6.8677272727272722</v>
      </c>
      <c r="I983" s="32">
        <f t="shared" si="784"/>
        <v>6.9436363636363652</v>
      </c>
      <c r="J983" s="32">
        <f t="shared" si="784"/>
        <v>6.9104545454545487</v>
      </c>
      <c r="K983" s="32">
        <f t="shared" si="784"/>
        <v>6.9454545454545453</v>
      </c>
      <c r="L983" s="32">
        <f t="shared" si="784"/>
        <v>6.0954545454545439</v>
      </c>
      <c r="M983" s="32">
        <f t="shared" si="784"/>
        <v>6.9786363636363618</v>
      </c>
      <c r="N983" s="32">
        <f t="shared" si="784"/>
        <v>6.6827272727272771</v>
      </c>
      <c r="O983" s="32">
        <f t="shared" si="784"/>
        <v>6.6897727272727252</v>
      </c>
      <c r="P983" s="32">
        <f t="shared" si="784"/>
        <v>6.9786363636363618</v>
      </c>
      <c r="Q983" s="32">
        <f t="shared" si="784"/>
        <v>6.9786363636363618</v>
      </c>
      <c r="R983" s="32">
        <f t="shared" si="784"/>
        <v>6.1284090909090878</v>
      </c>
      <c r="S983" s="32">
        <f t="shared" si="784"/>
        <v>6.3131818181818176</v>
      </c>
      <c r="T983" s="32">
        <f t="shared" si="784"/>
        <v>0</v>
      </c>
      <c r="U983" s="32">
        <f t="shared" si="784"/>
        <v>0</v>
      </c>
      <c r="V983" s="32">
        <f t="shared" si="784"/>
        <v>0</v>
      </c>
      <c r="W983" s="32">
        <f t="shared" si="784"/>
        <v>6.9786363636363618</v>
      </c>
      <c r="Y983" s="390"/>
      <c r="Z983" s="390"/>
      <c r="AA983" s="390"/>
      <c r="AB983" s="390"/>
      <c r="AC983" s="390"/>
      <c r="AD983" s="390"/>
      <c r="AE983" s="390"/>
      <c r="AF983" s="390"/>
      <c r="AG983" s="390"/>
      <c r="AH983" s="390"/>
      <c r="AI983" s="390"/>
      <c r="AJ983" s="390"/>
      <c r="AK983" s="390"/>
      <c r="AL983" s="390"/>
      <c r="AM983" s="390"/>
      <c r="AN983" s="390"/>
      <c r="AO983" s="390"/>
      <c r="AP983" s="390"/>
      <c r="AQ983" s="390"/>
      <c r="AR983" s="390"/>
      <c r="AS983" s="390"/>
    </row>
    <row r="984" spans="1:45" x14ac:dyDescent="0.3">
      <c r="B984" s="65" t="s">
        <v>108</v>
      </c>
      <c r="C984" s="55"/>
      <c r="D984" s="43">
        <v>0</v>
      </c>
      <c r="E984" s="408">
        <v>0</v>
      </c>
      <c r="F984" s="408">
        <v>0</v>
      </c>
      <c r="G984" s="408">
        <v>0</v>
      </c>
      <c r="H984" s="408">
        <v>0</v>
      </c>
      <c r="I984" s="408">
        <v>0</v>
      </c>
      <c r="J984" s="408">
        <v>0</v>
      </c>
      <c r="K984" s="408">
        <v>0</v>
      </c>
      <c r="L984" s="408">
        <v>0</v>
      </c>
      <c r="M984" s="408">
        <v>0</v>
      </c>
      <c r="N984" s="408">
        <v>0</v>
      </c>
      <c r="O984" s="408">
        <v>0</v>
      </c>
      <c r="P984" s="408">
        <v>0</v>
      </c>
      <c r="Q984" s="408">
        <v>0</v>
      </c>
      <c r="R984" s="408">
        <v>0</v>
      </c>
      <c r="S984" s="408">
        <v>0</v>
      </c>
      <c r="T984" s="408">
        <v>0</v>
      </c>
      <c r="U984" s="408">
        <v>0</v>
      </c>
      <c r="V984" s="408">
        <v>0</v>
      </c>
      <c r="W984" s="408">
        <v>0</v>
      </c>
      <c r="Y984" s="409"/>
      <c r="Z984" s="409"/>
      <c r="AA984" s="409"/>
      <c r="AB984" s="409"/>
      <c r="AC984" s="409"/>
      <c r="AD984" s="409"/>
      <c r="AE984" s="409"/>
      <c r="AF984" s="409"/>
      <c r="AG984" s="409"/>
      <c r="AH984" s="409"/>
      <c r="AI984" s="409"/>
      <c r="AJ984" s="409"/>
      <c r="AK984" s="409"/>
      <c r="AL984" s="409"/>
      <c r="AM984" s="409"/>
      <c r="AN984" s="409"/>
      <c r="AO984" s="409"/>
      <c r="AP984" s="409"/>
      <c r="AQ984" s="409"/>
      <c r="AR984" s="409"/>
      <c r="AS984" s="409"/>
    </row>
    <row r="985" spans="1:45" x14ac:dyDescent="0.3">
      <c r="B985" s="65" t="s">
        <v>202</v>
      </c>
      <c r="C985" s="64"/>
      <c r="D985" s="99">
        <f>+D980/D$975</f>
        <v>6.5384012539185021E-2</v>
      </c>
      <c r="E985" s="99">
        <f t="shared" ref="E985:W985" si="785">+E980/E$975</f>
        <v>5.1989567809239946E-2</v>
      </c>
      <c r="F985" s="99">
        <f t="shared" si="785"/>
        <v>6.1547619047619011E-2</v>
      </c>
      <c r="G985" s="99">
        <f t="shared" si="785"/>
        <v>5.7750000000000058E-2</v>
      </c>
      <c r="H985" s="99">
        <f t="shared" si="785"/>
        <v>6.6684952978056419E-2</v>
      </c>
      <c r="I985" s="99">
        <f t="shared" si="785"/>
        <v>6.6841294298921439E-2</v>
      </c>
      <c r="J985" s="99">
        <f t="shared" si="785"/>
        <v>6.4105812220566369E-2</v>
      </c>
      <c r="K985" s="99">
        <f t="shared" si="785"/>
        <v>6.5757575757575751E-2</v>
      </c>
      <c r="L985" s="99">
        <f t="shared" si="785"/>
        <v>5.1590909090909062E-2</v>
      </c>
      <c r="M985" s="99">
        <f t="shared" si="785"/>
        <v>6.8597178683385551E-2</v>
      </c>
      <c r="N985" s="99">
        <f t="shared" si="785"/>
        <v>6.3495297805642711E-2</v>
      </c>
      <c r="O985" s="99">
        <f t="shared" si="785"/>
        <v>5.9512463343108474E-2</v>
      </c>
      <c r="P985" s="99">
        <f t="shared" si="785"/>
        <v>6.8597178683385551E-2</v>
      </c>
      <c r="Q985" s="99">
        <f t="shared" si="785"/>
        <v>6.8597178683385551E-2</v>
      </c>
      <c r="R985" s="99">
        <f t="shared" si="785"/>
        <v>5.3938087774294617E-2</v>
      </c>
      <c r="S985" s="99">
        <f t="shared" si="785"/>
        <v>5.7123824451410649E-2</v>
      </c>
      <c r="T985" s="372" t="e">
        <f t="shared" si="785"/>
        <v>#DIV/0!</v>
      </c>
      <c r="U985" s="372" t="e">
        <f t="shared" si="785"/>
        <v>#DIV/0!</v>
      </c>
      <c r="V985" s="372" t="e">
        <f t="shared" si="785"/>
        <v>#DIV/0!</v>
      </c>
      <c r="W985" s="99">
        <f t="shared" si="785"/>
        <v>6.8597178683385551E-2</v>
      </c>
      <c r="Y985" s="390"/>
      <c r="Z985" s="390"/>
      <c r="AA985" s="390"/>
      <c r="AB985" s="390"/>
      <c r="AC985" s="390"/>
      <c r="AD985" s="390"/>
      <c r="AE985" s="390"/>
      <c r="AF985" s="390"/>
      <c r="AG985" s="390"/>
      <c r="AH985" s="390"/>
      <c r="AI985" s="390"/>
      <c r="AJ985" s="390"/>
      <c r="AK985" s="390"/>
      <c r="AL985" s="390"/>
      <c r="AM985" s="390"/>
      <c r="AN985" s="390"/>
      <c r="AO985" s="390"/>
      <c r="AP985" s="390"/>
      <c r="AQ985" s="390"/>
      <c r="AR985" s="390"/>
      <c r="AS985" s="390"/>
    </row>
    <row r="986" spans="1:45" x14ac:dyDescent="0.3">
      <c r="B986" s="65" t="s">
        <v>203</v>
      </c>
      <c r="C986" s="66"/>
      <c r="D986" s="368">
        <f>+D981/D$976</f>
        <v>8.1224961479198832E-2</v>
      </c>
      <c r="E986" s="368">
        <f t="shared" ref="E986:W986" si="786">+E981/E$976</f>
        <v>6.7280058651026403E-2</v>
      </c>
      <c r="F986" s="368">
        <f t="shared" si="786"/>
        <v>7.6210937499999964E-2</v>
      </c>
      <c r="G986" s="368">
        <f t="shared" si="786"/>
        <v>7.3196721311475463E-2</v>
      </c>
      <c r="H986" s="368">
        <f t="shared" si="786"/>
        <v>8.2503852080123258E-2</v>
      </c>
      <c r="I986" s="368">
        <f t="shared" si="786"/>
        <v>8.2393939393939422E-2</v>
      </c>
      <c r="J986" s="368">
        <f t="shared" si="786"/>
        <v>7.9200879765395943E-2</v>
      </c>
      <c r="K986" s="368">
        <f t="shared" si="786"/>
        <v>8.1073025335320417E-2</v>
      </c>
      <c r="L986" s="368">
        <f t="shared" si="786"/>
        <v>6.7138599105812199E-2</v>
      </c>
      <c r="M986" s="368">
        <f t="shared" si="786"/>
        <v>8.4383667180277316E-2</v>
      </c>
      <c r="N986" s="368">
        <f t="shared" si="786"/>
        <v>7.9368258859784352E-2</v>
      </c>
      <c r="O986" s="368">
        <f t="shared" si="786"/>
        <v>7.4440836940836905E-2</v>
      </c>
      <c r="P986" s="368">
        <f t="shared" si="786"/>
        <v>8.4383667180277316E-2</v>
      </c>
      <c r="Q986" s="368">
        <f t="shared" si="786"/>
        <v>8.4383667180277316E-2</v>
      </c>
      <c r="R986" s="368">
        <f t="shared" si="786"/>
        <v>6.9973035439137077E-2</v>
      </c>
      <c r="S986" s="368">
        <f t="shared" si="786"/>
        <v>7.310477657935284E-2</v>
      </c>
      <c r="T986" s="368" t="e">
        <f t="shared" si="786"/>
        <v>#DIV/0!</v>
      </c>
      <c r="U986" s="368" t="e">
        <f t="shared" si="786"/>
        <v>#DIV/0!</v>
      </c>
      <c r="V986" s="368" t="e">
        <f t="shared" si="786"/>
        <v>#DIV/0!</v>
      </c>
      <c r="W986" s="368">
        <f t="shared" si="786"/>
        <v>8.4383667180277316E-2</v>
      </c>
      <c r="Y986" s="390"/>
      <c r="Z986" s="390"/>
      <c r="AA986" s="390"/>
      <c r="AB986" s="390"/>
      <c r="AC986" s="390"/>
      <c r="AD986" s="390"/>
      <c r="AE986" s="390"/>
      <c r="AF986" s="390"/>
      <c r="AG986" s="390"/>
      <c r="AH986" s="390"/>
      <c r="AI986" s="390"/>
      <c r="AJ986" s="390"/>
      <c r="AK986" s="390"/>
      <c r="AL986" s="390"/>
      <c r="AM986" s="390"/>
      <c r="AN986" s="390"/>
      <c r="AO986" s="390"/>
      <c r="AP986" s="390"/>
      <c r="AQ986" s="390"/>
      <c r="AR986" s="390"/>
      <c r="AS986" s="390"/>
    </row>
    <row r="987" spans="1:45" x14ac:dyDescent="0.3">
      <c r="B987" s="65" t="s">
        <v>204</v>
      </c>
      <c r="C987" s="66"/>
      <c r="D987" s="368">
        <f>+D982/D$977</f>
        <v>9.6537878787878853E-2</v>
      </c>
      <c r="E987" s="368">
        <f t="shared" ref="E987:W987" si="787">+E982/E$977</f>
        <v>8.2085137085137094E-2</v>
      </c>
      <c r="F987" s="368">
        <f t="shared" si="787"/>
        <v>9.0423076923076884E-2</v>
      </c>
      <c r="G987" s="368">
        <f t="shared" si="787"/>
        <v>8.8145161290322641E-2</v>
      </c>
      <c r="H987" s="368">
        <f t="shared" si="787"/>
        <v>9.7795454545454533E-2</v>
      </c>
      <c r="I987" s="368">
        <f t="shared" si="787"/>
        <v>9.7436661698956803E-2</v>
      </c>
      <c r="J987" s="368">
        <f t="shared" si="787"/>
        <v>9.3816738816738868E-2</v>
      </c>
      <c r="K987" s="368">
        <f t="shared" si="787"/>
        <v>9.5894428152492661E-2</v>
      </c>
      <c r="L987" s="368">
        <f t="shared" si="787"/>
        <v>8.2184750733137801E-2</v>
      </c>
      <c r="M987" s="368">
        <f t="shared" si="787"/>
        <v>9.9643939393939368E-2</v>
      </c>
      <c r="N987" s="368">
        <f t="shared" si="787"/>
        <v>9.4712121212121289E-2</v>
      </c>
      <c r="O987" s="368">
        <f t="shared" si="787"/>
        <v>8.8902698863636331E-2</v>
      </c>
      <c r="P987" s="368">
        <f t="shared" si="787"/>
        <v>9.9643939393939368E-2</v>
      </c>
      <c r="Q987" s="368">
        <f t="shared" si="787"/>
        <v>9.9643939393939368E-2</v>
      </c>
      <c r="R987" s="368">
        <f t="shared" si="787"/>
        <v>8.5473484848484799E-2</v>
      </c>
      <c r="S987" s="368">
        <f t="shared" si="787"/>
        <v>8.8553030303030286E-2</v>
      </c>
      <c r="T987" s="368" t="e">
        <f t="shared" si="787"/>
        <v>#DIV/0!</v>
      </c>
      <c r="U987" s="368" t="e">
        <f t="shared" si="787"/>
        <v>#DIV/0!</v>
      </c>
      <c r="V987" s="368" t="e">
        <f t="shared" si="787"/>
        <v>#DIV/0!</v>
      </c>
      <c r="W987" s="368">
        <f t="shared" si="787"/>
        <v>9.9643939393939368E-2</v>
      </c>
      <c r="Y987" s="390"/>
      <c r="Z987" s="390"/>
      <c r="AA987" s="390"/>
      <c r="AB987" s="390"/>
      <c r="AC987" s="390"/>
      <c r="AD987" s="390"/>
      <c r="AE987" s="390"/>
      <c r="AF987" s="390"/>
      <c r="AG987" s="390"/>
      <c r="AH987" s="390"/>
      <c r="AI987" s="390"/>
      <c r="AJ987" s="390"/>
      <c r="AK987" s="390"/>
      <c r="AL987" s="390"/>
      <c r="AM987" s="390"/>
      <c r="AN987" s="390"/>
      <c r="AO987" s="390"/>
      <c r="AP987" s="390"/>
      <c r="AQ987" s="390"/>
      <c r="AR987" s="390"/>
      <c r="AS987" s="390"/>
    </row>
    <row r="988" spans="1:45" x14ac:dyDescent="0.3">
      <c r="B988" s="65" t="s">
        <v>205</v>
      </c>
      <c r="C988" s="66"/>
      <c r="D988" s="368">
        <f>+D983/D$978</f>
        <v>0.1113487332339792</v>
      </c>
      <c r="E988" s="368">
        <f t="shared" ref="E988:W988" si="788">+E983/E$978</f>
        <v>9.6427556818181825E-2</v>
      </c>
      <c r="F988" s="368">
        <f t="shared" si="788"/>
        <v>0.10420454545454542</v>
      </c>
      <c r="G988" s="368">
        <f t="shared" si="788"/>
        <v>0.10261904761904768</v>
      </c>
      <c r="H988" s="368">
        <f t="shared" si="788"/>
        <v>0.11258569299552905</v>
      </c>
      <c r="I988" s="368">
        <f t="shared" si="788"/>
        <v>0.11199413489736072</v>
      </c>
      <c r="J988" s="368">
        <f t="shared" si="788"/>
        <v>0.10797585227272732</v>
      </c>
      <c r="K988" s="368">
        <f t="shared" si="788"/>
        <v>0.11024531024531024</v>
      </c>
      <c r="L988" s="368">
        <f t="shared" si="788"/>
        <v>9.675324675324673E-2</v>
      </c>
      <c r="M988" s="368">
        <f t="shared" si="788"/>
        <v>0.11440387481371085</v>
      </c>
      <c r="N988" s="368">
        <f t="shared" si="788"/>
        <v>0.10955290611028323</v>
      </c>
      <c r="O988" s="368">
        <f t="shared" si="788"/>
        <v>0.10291958041958038</v>
      </c>
      <c r="P988" s="368">
        <f t="shared" si="788"/>
        <v>0.11440387481371085</v>
      </c>
      <c r="Q988" s="368">
        <f t="shared" si="788"/>
        <v>0.11440387481371085</v>
      </c>
      <c r="R988" s="368">
        <f t="shared" si="788"/>
        <v>0.10046572280178832</v>
      </c>
      <c r="S988" s="368">
        <f t="shared" si="788"/>
        <v>0.10349478390461996</v>
      </c>
      <c r="T988" s="368" t="e">
        <f t="shared" si="788"/>
        <v>#DIV/0!</v>
      </c>
      <c r="U988" s="368" t="e">
        <f t="shared" si="788"/>
        <v>#DIV/0!</v>
      </c>
      <c r="V988" s="368" t="e">
        <f t="shared" si="788"/>
        <v>#DIV/0!</v>
      </c>
      <c r="W988" s="368">
        <f t="shared" si="788"/>
        <v>0.11440387481371085</v>
      </c>
      <c r="Y988" s="390"/>
      <c r="Z988" s="390"/>
      <c r="AA988" s="390"/>
      <c r="AB988" s="390"/>
      <c r="AC988" s="390"/>
      <c r="AD988" s="390"/>
      <c r="AE988" s="390"/>
      <c r="AF988" s="390"/>
      <c r="AG988" s="390"/>
      <c r="AH988" s="390"/>
      <c r="AI988" s="390"/>
      <c r="AJ988" s="390"/>
      <c r="AK988" s="390"/>
      <c r="AL988" s="390"/>
      <c r="AM988" s="390"/>
      <c r="AN988" s="390"/>
      <c r="AO988" s="390"/>
      <c r="AP988" s="390"/>
      <c r="AQ988" s="390"/>
      <c r="AR988" s="390"/>
      <c r="AS988" s="390"/>
    </row>
    <row r="989" spans="1:45" hidden="1" x14ac:dyDescent="0.3">
      <c r="B989" s="65" t="s">
        <v>78</v>
      </c>
      <c r="C989" s="66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Y989" s="390"/>
      <c r="Z989" s="390"/>
      <c r="AA989" s="390"/>
      <c r="AB989" s="390"/>
      <c r="AC989" s="390"/>
      <c r="AD989" s="390"/>
      <c r="AE989" s="390"/>
      <c r="AF989" s="390"/>
      <c r="AG989" s="390"/>
      <c r="AH989" s="390"/>
      <c r="AI989" s="390"/>
      <c r="AJ989" s="390"/>
      <c r="AK989" s="390"/>
      <c r="AL989" s="390"/>
      <c r="AM989" s="390"/>
      <c r="AN989" s="390"/>
      <c r="AO989" s="390"/>
      <c r="AP989" s="390"/>
      <c r="AQ989" s="390"/>
      <c r="AR989" s="390"/>
      <c r="AS989" s="390"/>
    </row>
    <row r="990" spans="1:45" ht="21" thickBot="1" x14ac:dyDescent="0.35">
      <c r="Y990" s="390"/>
      <c r="Z990" s="390"/>
      <c r="AA990" s="390"/>
      <c r="AB990" s="390"/>
      <c r="AC990" s="390"/>
      <c r="AD990" s="390"/>
      <c r="AE990" s="390"/>
      <c r="AF990" s="390"/>
      <c r="AG990" s="390"/>
      <c r="AH990" s="390"/>
      <c r="AI990" s="390"/>
      <c r="AJ990" s="390"/>
      <c r="AK990" s="390"/>
      <c r="AL990" s="390"/>
      <c r="AM990" s="390"/>
      <c r="AN990" s="390"/>
      <c r="AO990" s="390"/>
      <c r="AP990" s="390"/>
      <c r="AQ990" s="390"/>
      <c r="AR990" s="390"/>
      <c r="AS990" s="390"/>
    </row>
    <row r="991" spans="1:45" ht="21" thickBot="1" x14ac:dyDescent="0.35">
      <c r="A991" s="15" t="s">
        <v>344</v>
      </c>
      <c r="B991" s="223" t="s">
        <v>140</v>
      </c>
      <c r="C991" s="68"/>
      <c r="D991" s="17" t="s">
        <v>5</v>
      </c>
      <c r="E991" s="18" t="s">
        <v>6</v>
      </c>
      <c r="F991" s="18" t="s">
        <v>7</v>
      </c>
      <c r="G991" s="18" t="s">
        <v>8</v>
      </c>
      <c r="H991" s="18" t="s">
        <v>9</v>
      </c>
      <c r="I991" s="18" t="s">
        <v>10</v>
      </c>
      <c r="J991" s="18" t="s">
        <v>11</v>
      </c>
      <c r="K991" s="18" t="s">
        <v>12</v>
      </c>
      <c r="L991" s="18" t="s">
        <v>13</v>
      </c>
      <c r="M991" s="18" t="s">
        <v>14</v>
      </c>
      <c r="N991" s="18" t="s">
        <v>15</v>
      </c>
      <c r="O991" s="18" t="s">
        <v>16</v>
      </c>
      <c r="P991" s="18" t="s">
        <v>17</v>
      </c>
      <c r="Q991" s="18" t="s">
        <v>18</v>
      </c>
      <c r="R991" s="18" t="s">
        <v>19</v>
      </c>
      <c r="S991" s="18" t="s">
        <v>20</v>
      </c>
      <c r="T991" s="18" t="s">
        <v>21</v>
      </c>
      <c r="U991" s="18" t="s">
        <v>22</v>
      </c>
      <c r="V991" s="18" t="s">
        <v>23</v>
      </c>
      <c r="W991" s="18" t="s">
        <v>166</v>
      </c>
      <c r="Y991" s="390"/>
      <c r="Z991" s="390"/>
      <c r="AA991" s="390"/>
      <c r="AB991" s="390"/>
      <c r="AC991" s="390"/>
      <c r="AD991" s="390"/>
      <c r="AE991" s="390"/>
      <c r="AF991" s="390"/>
      <c r="AG991" s="390"/>
      <c r="AH991" s="390"/>
      <c r="AI991" s="390"/>
      <c r="AJ991" s="390"/>
      <c r="AK991" s="390"/>
      <c r="AL991" s="390"/>
      <c r="AM991" s="390"/>
      <c r="AN991" s="390"/>
      <c r="AO991" s="390"/>
      <c r="AP991" s="390"/>
      <c r="AQ991" s="390"/>
      <c r="AR991" s="390"/>
      <c r="AS991" s="390"/>
    </row>
    <row r="992" spans="1:45" x14ac:dyDescent="0.3">
      <c r="B992" s="222" t="s">
        <v>50</v>
      </c>
      <c r="C992" s="70"/>
      <c r="D992" s="20">
        <v>80</v>
      </c>
      <c r="E992" s="20">
        <v>80</v>
      </c>
      <c r="F992" s="20">
        <v>80</v>
      </c>
      <c r="G992" s="20">
        <v>80</v>
      </c>
      <c r="H992" s="20">
        <v>80</v>
      </c>
      <c r="I992" s="20">
        <v>80</v>
      </c>
      <c r="J992" s="20">
        <v>80</v>
      </c>
      <c r="K992" s="20">
        <v>80</v>
      </c>
      <c r="L992" s="20">
        <v>80</v>
      </c>
      <c r="M992" s="20">
        <v>80</v>
      </c>
      <c r="N992" s="20">
        <v>80</v>
      </c>
      <c r="O992" s="20">
        <v>80</v>
      </c>
      <c r="P992" s="20">
        <v>80</v>
      </c>
      <c r="Q992" s="20">
        <v>80</v>
      </c>
      <c r="R992" s="20">
        <v>80</v>
      </c>
      <c r="S992" s="20">
        <v>80</v>
      </c>
      <c r="T992" s="20"/>
      <c r="U992" s="20"/>
      <c r="V992" s="20"/>
      <c r="W992" s="20">
        <v>80</v>
      </c>
      <c r="Y992" s="390"/>
      <c r="Z992" s="390"/>
      <c r="AA992" s="390"/>
      <c r="AB992" s="390"/>
      <c r="AC992" s="390"/>
      <c r="AD992" s="390"/>
      <c r="AE992" s="390"/>
      <c r="AF992" s="390"/>
      <c r="AG992" s="390"/>
      <c r="AH992" s="390"/>
      <c r="AI992" s="390"/>
      <c r="AJ992" s="390"/>
      <c r="AK992" s="390"/>
      <c r="AL992" s="390"/>
      <c r="AM992" s="390"/>
      <c r="AN992" s="390"/>
      <c r="AO992" s="390"/>
      <c r="AP992" s="390"/>
      <c r="AQ992" s="390"/>
      <c r="AR992" s="390"/>
      <c r="AS992" s="390"/>
    </row>
    <row r="993" spans="2:45" x14ac:dyDescent="0.3">
      <c r="B993" s="54" t="s">
        <v>51</v>
      </c>
      <c r="C993" s="55"/>
      <c r="D993" s="322">
        <v>0.4</v>
      </c>
      <c r="E993" s="322">
        <f>D993</f>
        <v>0.4</v>
      </c>
      <c r="F993" s="322">
        <f t="shared" ref="F993:S993" si="789">E993</f>
        <v>0.4</v>
      </c>
      <c r="G993" s="322">
        <f t="shared" si="789"/>
        <v>0.4</v>
      </c>
      <c r="H993" s="322">
        <f t="shared" si="789"/>
        <v>0.4</v>
      </c>
      <c r="I993" s="322">
        <f t="shared" si="789"/>
        <v>0.4</v>
      </c>
      <c r="J993" s="322">
        <f t="shared" si="789"/>
        <v>0.4</v>
      </c>
      <c r="K993" s="322">
        <f t="shared" si="789"/>
        <v>0.4</v>
      </c>
      <c r="L993" s="322">
        <f t="shared" si="789"/>
        <v>0.4</v>
      </c>
      <c r="M993" s="322">
        <f t="shared" si="789"/>
        <v>0.4</v>
      </c>
      <c r="N993" s="322">
        <f t="shared" si="789"/>
        <v>0.4</v>
      </c>
      <c r="O993" s="322">
        <f t="shared" si="789"/>
        <v>0.4</v>
      </c>
      <c r="P993" s="322">
        <f t="shared" si="789"/>
        <v>0.4</v>
      </c>
      <c r="Q993" s="322">
        <f t="shared" si="789"/>
        <v>0.4</v>
      </c>
      <c r="R993" s="322">
        <f t="shared" si="789"/>
        <v>0.4</v>
      </c>
      <c r="S993" s="322">
        <f t="shared" si="789"/>
        <v>0.4</v>
      </c>
      <c r="T993" s="218"/>
      <c r="U993" s="218"/>
      <c r="V993" s="218"/>
      <c r="W993" s="322">
        <f>D993</f>
        <v>0.4</v>
      </c>
      <c r="Y993" s="390"/>
      <c r="Z993" s="390"/>
      <c r="AA993" s="390"/>
      <c r="AB993" s="390"/>
      <c r="AC993" s="390"/>
      <c r="AD993" s="390"/>
      <c r="AE993" s="390"/>
      <c r="AF993" s="390"/>
      <c r="AG993" s="390"/>
      <c r="AH993" s="390"/>
      <c r="AI993" s="390"/>
      <c r="AJ993" s="390"/>
      <c r="AK993" s="390"/>
      <c r="AL993" s="390"/>
      <c r="AM993" s="390"/>
      <c r="AN993" s="390"/>
      <c r="AO993" s="390"/>
      <c r="AP993" s="390"/>
      <c r="AQ993" s="390"/>
      <c r="AR993" s="390"/>
      <c r="AS993" s="390"/>
    </row>
    <row r="994" spans="2:45" x14ac:dyDescent="0.3">
      <c r="B994" s="54" t="s">
        <v>56</v>
      </c>
      <c r="C994" s="55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Y994" s="390"/>
      <c r="Z994" s="390"/>
      <c r="AA994" s="390"/>
      <c r="AB994" s="390"/>
      <c r="AC994" s="390"/>
      <c r="AD994" s="390"/>
      <c r="AE994" s="390"/>
      <c r="AF994" s="390"/>
      <c r="AG994" s="390"/>
      <c r="AH994" s="390"/>
      <c r="AI994" s="390"/>
      <c r="AJ994" s="390"/>
      <c r="AK994" s="390"/>
      <c r="AL994" s="390"/>
      <c r="AM994" s="390"/>
      <c r="AN994" s="390"/>
      <c r="AO994" s="390"/>
      <c r="AP994" s="390"/>
      <c r="AQ994" s="390"/>
      <c r="AR994" s="390"/>
      <c r="AS994" s="390"/>
    </row>
    <row r="995" spans="2:45" x14ac:dyDescent="0.3">
      <c r="B995" s="177" t="s">
        <v>67</v>
      </c>
      <c r="C995" s="178"/>
      <c r="D995" s="323">
        <f>D992-(D992*D993)</f>
        <v>48</v>
      </c>
      <c r="E995" s="323">
        <f t="shared" ref="E995:W995" si="790">E992-(E992*E993)</f>
        <v>48</v>
      </c>
      <c r="F995" s="323">
        <f t="shared" si="790"/>
        <v>48</v>
      </c>
      <c r="G995" s="323">
        <f t="shared" si="790"/>
        <v>48</v>
      </c>
      <c r="H995" s="323">
        <f t="shared" si="790"/>
        <v>48</v>
      </c>
      <c r="I995" s="323">
        <f t="shared" si="790"/>
        <v>48</v>
      </c>
      <c r="J995" s="323">
        <f t="shared" si="790"/>
        <v>48</v>
      </c>
      <c r="K995" s="323">
        <f t="shared" si="790"/>
        <v>48</v>
      </c>
      <c r="L995" s="323">
        <f t="shared" si="790"/>
        <v>48</v>
      </c>
      <c r="M995" s="323">
        <f t="shared" si="790"/>
        <v>48</v>
      </c>
      <c r="N995" s="323">
        <f t="shared" si="790"/>
        <v>48</v>
      </c>
      <c r="O995" s="323">
        <f t="shared" si="790"/>
        <v>48</v>
      </c>
      <c r="P995" s="323">
        <f t="shared" si="790"/>
        <v>48</v>
      </c>
      <c r="Q995" s="323">
        <f t="shared" si="790"/>
        <v>48</v>
      </c>
      <c r="R995" s="323">
        <f t="shared" si="790"/>
        <v>48</v>
      </c>
      <c r="S995" s="323">
        <f t="shared" si="790"/>
        <v>48</v>
      </c>
      <c r="T995" s="323">
        <f t="shared" si="790"/>
        <v>0</v>
      </c>
      <c r="U995" s="323">
        <f t="shared" si="790"/>
        <v>0</v>
      </c>
      <c r="V995" s="323">
        <f t="shared" si="790"/>
        <v>0</v>
      </c>
      <c r="W995" s="323">
        <f t="shared" si="790"/>
        <v>48</v>
      </c>
      <c r="Y995" s="390"/>
      <c r="Z995" s="390"/>
      <c r="AA995" s="390"/>
      <c r="AB995" s="390"/>
      <c r="AC995" s="390"/>
      <c r="AD995" s="390"/>
      <c r="AE995" s="390"/>
      <c r="AF995" s="390"/>
      <c r="AG995" s="390"/>
      <c r="AH995" s="390"/>
      <c r="AI995" s="390"/>
      <c r="AJ995" s="390"/>
      <c r="AK995" s="390"/>
      <c r="AL995" s="390"/>
      <c r="AM995" s="390"/>
      <c r="AN995" s="390"/>
      <c r="AO995" s="390"/>
      <c r="AP995" s="390"/>
      <c r="AQ995" s="390"/>
      <c r="AR995" s="390"/>
      <c r="AS995" s="390"/>
    </row>
    <row r="996" spans="2:45" x14ac:dyDescent="0.3">
      <c r="B996" s="54" t="s">
        <v>66</v>
      </c>
      <c r="C996" s="56">
        <v>7.0000000000000007E-2</v>
      </c>
      <c r="D996" s="24">
        <f>D995*$C996</f>
        <v>3.3600000000000003</v>
      </c>
      <c r="E996" s="24">
        <f t="shared" ref="E996:V996" si="791">E995*$C996</f>
        <v>3.3600000000000003</v>
      </c>
      <c r="F996" s="24">
        <f t="shared" si="791"/>
        <v>3.3600000000000003</v>
      </c>
      <c r="G996" s="24">
        <f t="shared" si="791"/>
        <v>3.3600000000000003</v>
      </c>
      <c r="H996" s="24">
        <f t="shared" si="791"/>
        <v>3.3600000000000003</v>
      </c>
      <c r="I996" s="24">
        <f t="shared" si="791"/>
        <v>3.3600000000000003</v>
      </c>
      <c r="J996" s="24">
        <f t="shared" si="791"/>
        <v>3.3600000000000003</v>
      </c>
      <c r="K996" s="24">
        <f t="shared" si="791"/>
        <v>3.3600000000000003</v>
      </c>
      <c r="L996" s="24">
        <f t="shared" si="791"/>
        <v>3.3600000000000003</v>
      </c>
      <c r="M996" s="24">
        <f t="shared" si="791"/>
        <v>3.3600000000000003</v>
      </c>
      <c r="N996" s="24">
        <f t="shared" si="791"/>
        <v>3.3600000000000003</v>
      </c>
      <c r="O996" s="24">
        <f t="shared" si="791"/>
        <v>3.3600000000000003</v>
      </c>
      <c r="P996" s="24">
        <f t="shared" si="791"/>
        <v>3.3600000000000003</v>
      </c>
      <c r="Q996" s="24">
        <f t="shared" si="791"/>
        <v>3.3600000000000003</v>
      </c>
      <c r="R996" s="24">
        <f t="shared" si="791"/>
        <v>3.3600000000000003</v>
      </c>
      <c r="S996" s="24">
        <f t="shared" si="791"/>
        <v>3.3600000000000003</v>
      </c>
      <c r="T996" s="24">
        <f t="shared" si="791"/>
        <v>0</v>
      </c>
      <c r="U996" s="24">
        <f t="shared" si="791"/>
        <v>0</v>
      </c>
      <c r="V996" s="24">
        <f t="shared" si="791"/>
        <v>0</v>
      </c>
      <c r="W996" s="24">
        <f>W995*$C996</f>
        <v>3.3600000000000003</v>
      </c>
      <c r="Y996" s="390"/>
      <c r="Z996" s="390"/>
      <c r="AA996" s="390"/>
      <c r="AB996" s="390"/>
      <c r="AC996" s="390"/>
      <c r="AD996" s="390"/>
      <c r="AE996" s="390"/>
      <c r="AF996" s="390"/>
      <c r="AG996" s="390"/>
      <c r="AH996" s="390"/>
      <c r="AI996" s="390"/>
      <c r="AJ996" s="390"/>
      <c r="AK996" s="390"/>
      <c r="AL996" s="390"/>
      <c r="AM996" s="390"/>
      <c r="AN996" s="390"/>
      <c r="AO996" s="390"/>
      <c r="AP996" s="390"/>
      <c r="AQ996" s="390"/>
      <c r="AR996" s="390"/>
      <c r="AS996" s="390"/>
    </row>
    <row r="997" spans="2:45" x14ac:dyDescent="0.3">
      <c r="B997" s="54" t="s">
        <v>68</v>
      </c>
      <c r="C997" s="55"/>
      <c r="D997" s="21">
        <f>D995+D996</f>
        <v>51.36</v>
      </c>
      <c r="E997" s="21">
        <f t="shared" ref="E997:V997" si="792">E995+E996</f>
        <v>51.36</v>
      </c>
      <c r="F997" s="21">
        <f t="shared" si="792"/>
        <v>51.36</v>
      </c>
      <c r="G997" s="21">
        <f t="shared" si="792"/>
        <v>51.36</v>
      </c>
      <c r="H997" s="21">
        <f t="shared" si="792"/>
        <v>51.36</v>
      </c>
      <c r="I997" s="21">
        <f t="shared" si="792"/>
        <v>51.36</v>
      </c>
      <c r="J997" s="21">
        <f t="shared" si="792"/>
        <v>51.36</v>
      </c>
      <c r="K997" s="21">
        <f t="shared" si="792"/>
        <v>51.36</v>
      </c>
      <c r="L997" s="21">
        <f t="shared" si="792"/>
        <v>51.36</v>
      </c>
      <c r="M997" s="21">
        <f t="shared" si="792"/>
        <v>51.36</v>
      </c>
      <c r="N997" s="21">
        <f t="shared" si="792"/>
        <v>51.36</v>
      </c>
      <c r="O997" s="21">
        <f t="shared" si="792"/>
        <v>51.36</v>
      </c>
      <c r="P997" s="21">
        <f t="shared" si="792"/>
        <v>51.36</v>
      </c>
      <c r="Q997" s="21">
        <f t="shared" si="792"/>
        <v>51.36</v>
      </c>
      <c r="R997" s="21">
        <f t="shared" si="792"/>
        <v>51.36</v>
      </c>
      <c r="S997" s="21">
        <f t="shared" si="792"/>
        <v>51.36</v>
      </c>
      <c r="T997" s="21">
        <f t="shared" si="792"/>
        <v>0</v>
      </c>
      <c r="U997" s="21">
        <f t="shared" si="792"/>
        <v>0</v>
      </c>
      <c r="V997" s="21">
        <f t="shared" si="792"/>
        <v>0</v>
      </c>
      <c r="W997" s="21">
        <f>W995+W996</f>
        <v>51.36</v>
      </c>
      <c r="Y997" s="390"/>
      <c r="Z997" s="390"/>
      <c r="AA997" s="390"/>
      <c r="AB997" s="390"/>
      <c r="AC997" s="390"/>
      <c r="AD997" s="390"/>
      <c r="AE997" s="390"/>
      <c r="AF997" s="390"/>
      <c r="AG997" s="390"/>
      <c r="AH997" s="390"/>
      <c r="AI997" s="390"/>
      <c r="AJ997" s="390"/>
      <c r="AK997" s="390"/>
      <c r="AL997" s="390"/>
      <c r="AM997" s="390"/>
      <c r="AN997" s="390"/>
      <c r="AO997" s="390"/>
      <c r="AP997" s="390"/>
      <c r="AQ997" s="390"/>
      <c r="AR997" s="390"/>
      <c r="AS997" s="390"/>
    </row>
    <row r="998" spans="2:45" x14ac:dyDescent="0.3">
      <c r="B998" s="54" t="s">
        <v>52</v>
      </c>
      <c r="C998" s="55"/>
      <c r="D998" s="398">
        <f>Y1000</f>
        <v>2.8477272727272727</v>
      </c>
      <c r="E998" s="398">
        <f t="shared" ref="E998:W998" si="793">Z1000</f>
        <v>6.4686363636363637</v>
      </c>
      <c r="F998" s="398">
        <f t="shared" si="793"/>
        <v>7.7625000000000002</v>
      </c>
      <c r="G998" s="398">
        <f t="shared" si="793"/>
        <v>5.1749999999999998</v>
      </c>
      <c r="H998" s="398">
        <f t="shared" si="793"/>
        <v>2.7722727272727274</v>
      </c>
      <c r="I998" s="398">
        <f t="shared" si="793"/>
        <v>3.6963636363636363</v>
      </c>
      <c r="J998" s="398">
        <f t="shared" si="793"/>
        <v>5.7295454545454545</v>
      </c>
      <c r="K998" s="398">
        <f t="shared" si="793"/>
        <v>4.6945454545454544</v>
      </c>
      <c r="L998" s="398">
        <f t="shared" si="793"/>
        <v>5.5445454545454549</v>
      </c>
      <c r="M998" s="398">
        <f t="shared" si="793"/>
        <v>2.6613636363636362</v>
      </c>
      <c r="N998" s="398">
        <f t="shared" si="793"/>
        <v>2.9572727272727271</v>
      </c>
      <c r="O998" s="398">
        <f t="shared" si="793"/>
        <v>6.9502272727272727</v>
      </c>
      <c r="P998" s="398">
        <f t="shared" si="793"/>
        <v>2.6613636363636362</v>
      </c>
      <c r="Q998" s="398">
        <f t="shared" si="793"/>
        <v>2.6613636363636362</v>
      </c>
      <c r="R998" s="398">
        <f t="shared" si="793"/>
        <v>3.5115909090909092</v>
      </c>
      <c r="S998" s="398">
        <f t="shared" si="793"/>
        <v>3.3268181818181817</v>
      </c>
      <c r="T998" s="398">
        <f t="shared" si="793"/>
        <v>0</v>
      </c>
      <c r="U998" s="398">
        <v>0</v>
      </c>
      <c r="V998" s="398">
        <f t="shared" si="793"/>
        <v>0</v>
      </c>
      <c r="W998" s="398">
        <f t="shared" si="793"/>
        <v>2.6613636363636362</v>
      </c>
      <c r="Y998" s="390">
        <v>12530</v>
      </c>
      <c r="Z998" s="390">
        <v>28462</v>
      </c>
      <c r="AA998" s="390">
        <v>34155</v>
      </c>
      <c r="AB998" s="390">
        <v>22770</v>
      </c>
      <c r="AC998" s="390">
        <v>12198</v>
      </c>
      <c r="AD998" s="390">
        <v>16264</v>
      </c>
      <c r="AE998" s="390">
        <v>25210</v>
      </c>
      <c r="AF998" s="390">
        <v>20656</v>
      </c>
      <c r="AG998" s="390">
        <v>24396</v>
      </c>
      <c r="AH998" s="390">
        <v>11710</v>
      </c>
      <c r="AI998" s="390">
        <v>13012</v>
      </c>
      <c r="AJ998" s="390">
        <v>30581</v>
      </c>
      <c r="AK998" s="396">
        <v>11710</v>
      </c>
      <c r="AL998" s="396">
        <v>11710</v>
      </c>
      <c r="AM998" s="390">
        <v>15451</v>
      </c>
      <c r="AN998" s="390">
        <v>14638</v>
      </c>
      <c r="AO998" s="390"/>
      <c r="AP998" s="396">
        <v>30581</v>
      </c>
      <c r="AQ998" s="390"/>
      <c r="AR998" s="396">
        <v>11710</v>
      </c>
      <c r="AS998" s="390"/>
    </row>
    <row r="999" spans="2:45" x14ac:dyDescent="0.3">
      <c r="B999" s="57" t="s">
        <v>53</v>
      </c>
      <c r="C999" s="58"/>
      <c r="D999" s="25">
        <f>SUM(D997:D998)</f>
        <v>54.207727272727269</v>
      </c>
      <c r="E999" s="26">
        <f t="shared" ref="E999:V999" si="794">SUM(E997:E998)</f>
        <v>57.828636363636363</v>
      </c>
      <c r="F999" s="26">
        <f t="shared" si="794"/>
        <v>59.122500000000002</v>
      </c>
      <c r="G999" s="26">
        <f t="shared" si="794"/>
        <v>56.534999999999997</v>
      </c>
      <c r="H999" s="26">
        <f t="shared" si="794"/>
        <v>54.132272727272728</v>
      </c>
      <c r="I999" s="26">
        <f t="shared" si="794"/>
        <v>55.056363636363635</v>
      </c>
      <c r="J999" s="26">
        <f t="shared" si="794"/>
        <v>57.089545454545451</v>
      </c>
      <c r="K999" s="26">
        <f t="shared" si="794"/>
        <v>56.054545454545455</v>
      </c>
      <c r="L999" s="26">
        <f t="shared" si="794"/>
        <v>56.904545454545456</v>
      </c>
      <c r="M999" s="26">
        <f t="shared" si="794"/>
        <v>54.021363636363638</v>
      </c>
      <c r="N999" s="26">
        <f t="shared" si="794"/>
        <v>54.317272727272723</v>
      </c>
      <c r="O999" s="26">
        <f t="shared" si="794"/>
        <v>58.310227272727275</v>
      </c>
      <c r="P999" s="26">
        <f t="shared" si="794"/>
        <v>54.021363636363638</v>
      </c>
      <c r="Q999" s="26">
        <f t="shared" si="794"/>
        <v>54.021363636363638</v>
      </c>
      <c r="R999" s="26">
        <f t="shared" si="794"/>
        <v>54.871590909090912</v>
      </c>
      <c r="S999" s="26">
        <f t="shared" si="794"/>
        <v>54.686818181818182</v>
      </c>
      <c r="T999" s="26">
        <f t="shared" si="794"/>
        <v>0</v>
      </c>
      <c r="U999" s="26">
        <f t="shared" si="794"/>
        <v>0</v>
      </c>
      <c r="V999" s="26">
        <f t="shared" si="794"/>
        <v>0</v>
      </c>
      <c r="W999" s="26">
        <f>SUM(W997:W998)</f>
        <v>54.021363636363638</v>
      </c>
      <c r="Y999" s="390">
        <v>4400</v>
      </c>
      <c r="Z999" s="390">
        <v>4400</v>
      </c>
      <c r="AA999" s="390">
        <v>4400</v>
      </c>
      <c r="AB999" s="390">
        <v>4400</v>
      </c>
      <c r="AC999" s="390">
        <v>4400</v>
      </c>
      <c r="AD999" s="390">
        <v>4400</v>
      </c>
      <c r="AE999" s="390">
        <v>4400</v>
      </c>
      <c r="AF999" s="390">
        <v>4400</v>
      </c>
      <c r="AG999" s="390">
        <v>4400</v>
      </c>
      <c r="AH999" s="390">
        <v>4400</v>
      </c>
      <c r="AI999" s="390">
        <v>4400</v>
      </c>
      <c r="AJ999" s="390">
        <v>4400</v>
      </c>
      <c r="AK999" s="390">
        <v>4400</v>
      </c>
      <c r="AL999" s="390">
        <v>4400</v>
      </c>
      <c r="AM999" s="390">
        <v>4400</v>
      </c>
      <c r="AN999" s="390">
        <v>4400</v>
      </c>
      <c r="AO999" s="390"/>
      <c r="AP999" s="390">
        <v>4400</v>
      </c>
      <c r="AQ999" s="390"/>
      <c r="AR999" s="390">
        <v>4400</v>
      </c>
      <c r="AS999" s="390"/>
    </row>
    <row r="1000" spans="2:45" x14ac:dyDescent="0.3">
      <c r="B1000" s="54" t="s">
        <v>54</v>
      </c>
      <c r="C1000" s="55"/>
      <c r="D1000" s="20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Y1000" s="389">
        <f>Y998/Y999</f>
        <v>2.8477272727272727</v>
      </c>
      <c r="Z1000" s="389">
        <f t="shared" ref="Z1000:AN1000" si="795">Z998/Z999</f>
        <v>6.4686363636363637</v>
      </c>
      <c r="AA1000" s="389">
        <f t="shared" si="795"/>
        <v>7.7625000000000002</v>
      </c>
      <c r="AB1000" s="389">
        <f t="shared" si="795"/>
        <v>5.1749999999999998</v>
      </c>
      <c r="AC1000" s="389">
        <f t="shared" si="795"/>
        <v>2.7722727272727274</v>
      </c>
      <c r="AD1000" s="389">
        <f t="shared" si="795"/>
        <v>3.6963636363636363</v>
      </c>
      <c r="AE1000" s="389">
        <f t="shared" si="795"/>
        <v>5.7295454545454545</v>
      </c>
      <c r="AF1000" s="389">
        <f t="shared" si="795"/>
        <v>4.6945454545454544</v>
      </c>
      <c r="AG1000" s="389">
        <f t="shared" si="795"/>
        <v>5.5445454545454549</v>
      </c>
      <c r="AH1000" s="389">
        <f t="shared" si="795"/>
        <v>2.6613636363636362</v>
      </c>
      <c r="AI1000" s="389">
        <f t="shared" si="795"/>
        <v>2.9572727272727271</v>
      </c>
      <c r="AJ1000" s="389">
        <f t="shared" si="795"/>
        <v>6.9502272727272727</v>
      </c>
      <c r="AK1000" s="389">
        <f t="shared" si="795"/>
        <v>2.6613636363636362</v>
      </c>
      <c r="AL1000" s="389">
        <f t="shared" si="795"/>
        <v>2.6613636363636362</v>
      </c>
      <c r="AM1000" s="389">
        <f t="shared" si="795"/>
        <v>3.5115909090909092</v>
      </c>
      <c r="AN1000" s="389">
        <f t="shared" si="795"/>
        <v>3.3268181818181817</v>
      </c>
      <c r="AO1000" s="390"/>
      <c r="AP1000" s="389">
        <f t="shared" ref="AP1000" si="796">AP998/AP999</f>
        <v>6.9502272727272727</v>
      </c>
      <c r="AQ1000" s="390"/>
      <c r="AR1000" s="389">
        <f t="shared" ref="AR1000" si="797">AR998/AR999</f>
        <v>2.6613636363636362</v>
      </c>
      <c r="AS1000" s="390"/>
    </row>
    <row r="1001" spans="2:45" x14ac:dyDescent="0.3">
      <c r="B1001" s="59" t="s">
        <v>55</v>
      </c>
      <c r="C1001" s="60"/>
      <c r="D1001" s="27">
        <f>SUM(D999:D1000)</f>
        <v>54.207727272727269</v>
      </c>
      <c r="E1001" s="41">
        <f t="shared" ref="E1001:V1001" si="798">SUM(E999:E1000)</f>
        <v>57.828636363636363</v>
      </c>
      <c r="F1001" s="41">
        <f t="shared" si="798"/>
        <v>59.122500000000002</v>
      </c>
      <c r="G1001" s="41">
        <f t="shared" si="798"/>
        <v>56.534999999999997</v>
      </c>
      <c r="H1001" s="41">
        <f t="shared" si="798"/>
        <v>54.132272727272728</v>
      </c>
      <c r="I1001" s="41">
        <f t="shared" si="798"/>
        <v>55.056363636363635</v>
      </c>
      <c r="J1001" s="41">
        <f t="shared" si="798"/>
        <v>57.089545454545451</v>
      </c>
      <c r="K1001" s="41">
        <f t="shared" si="798"/>
        <v>56.054545454545455</v>
      </c>
      <c r="L1001" s="41">
        <f t="shared" si="798"/>
        <v>56.904545454545456</v>
      </c>
      <c r="M1001" s="41">
        <f t="shared" si="798"/>
        <v>54.021363636363638</v>
      </c>
      <c r="N1001" s="41">
        <f t="shared" si="798"/>
        <v>54.317272727272723</v>
      </c>
      <c r="O1001" s="41">
        <f t="shared" si="798"/>
        <v>58.310227272727275</v>
      </c>
      <c r="P1001" s="41">
        <f t="shared" si="798"/>
        <v>54.021363636363638</v>
      </c>
      <c r="Q1001" s="41">
        <f t="shared" si="798"/>
        <v>54.021363636363638</v>
      </c>
      <c r="R1001" s="41">
        <f t="shared" si="798"/>
        <v>54.871590909090912</v>
      </c>
      <c r="S1001" s="41">
        <f t="shared" si="798"/>
        <v>54.686818181818182</v>
      </c>
      <c r="T1001" s="41">
        <f t="shared" si="798"/>
        <v>0</v>
      </c>
      <c r="U1001" s="41">
        <f t="shared" si="798"/>
        <v>0</v>
      </c>
      <c r="V1001" s="41">
        <f t="shared" si="798"/>
        <v>0</v>
      </c>
      <c r="W1001" s="41">
        <f>SUM(W999:W1000)</f>
        <v>54.021363636363638</v>
      </c>
      <c r="Y1001" s="390"/>
      <c r="Z1001" s="390"/>
      <c r="AA1001" s="390"/>
      <c r="AB1001" s="390"/>
      <c r="AC1001" s="390"/>
      <c r="AD1001" s="390"/>
      <c r="AE1001" s="390"/>
      <c r="AF1001" s="390"/>
      <c r="AG1001" s="390"/>
      <c r="AH1001" s="390"/>
      <c r="AI1001" s="390"/>
      <c r="AJ1001" s="390"/>
      <c r="AK1001" s="390"/>
      <c r="AL1001" s="390"/>
      <c r="AM1001" s="390"/>
      <c r="AN1001" s="390"/>
      <c r="AO1001" s="390"/>
      <c r="AP1001" s="390"/>
      <c r="AQ1001" s="390"/>
      <c r="AR1001" s="390"/>
      <c r="AS1001" s="390"/>
    </row>
    <row r="1002" spans="2:45" x14ac:dyDescent="0.3">
      <c r="B1002" s="61" t="s">
        <v>101</v>
      </c>
      <c r="C1002" s="55"/>
      <c r="D1002" s="43">
        <v>0</v>
      </c>
      <c r="E1002" s="408">
        <v>0</v>
      </c>
      <c r="F1002" s="408">
        <v>0</v>
      </c>
      <c r="G1002" s="408">
        <v>0</v>
      </c>
      <c r="H1002" s="408">
        <v>0</v>
      </c>
      <c r="I1002" s="408">
        <v>0</v>
      </c>
      <c r="J1002" s="408">
        <v>0</v>
      </c>
      <c r="K1002" s="408">
        <v>0</v>
      </c>
      <c r="L1002" s="408">
        <v>0</v>
      </c>
      <c r="M1002" s="408">
        <v>0</v>
      </c>
      <c r="N1002" s="408">
        <v>0</v>
      </c>
      <c r="O1002" s="408">
        <v>0</v>
      </c>
      <c r="P1002" s="408">
        <v>0</v>
      </c>
      <c r="Q1002" s="408">
        <v>0</v>
      </c>
      <c r="R1002" s="408">
        <v>0</v>
      </c>
      <c r="S1002" s="408">
        <v>0</v>
      </c>
      <c r="T1002" s="408">
        <v>0</v>
      </c>
      <c r="U1002" s="408">
        <v>0</v>
      </c>
      <c r="V1002" s="408">
        <v>0</v>
      </c>
      <c r="W1002" s="408">
        <v>0</v>
      </c>
      <c r="Y1002" s="409"/>
      <c r="Z1002" s="409"/>
      <c r="AA1002" s="409"/>
      <c r="AB1002" s="409"/>
      <c r="AC1002" s="409"/>
      <c r="AD1002" s="409"/>
      <c r="AE1002" s="409"/>
      <c r="AF1002" s="409"/>
      <c r="AG1002" s="409"/>
      <c r="AH1002" s="409"/>
      <c r="AI1002" s="409"/>
      <c r="AJ1002" s="409"/>
      <c r="AK1002" s="409"/>
      <c r="AL1002" s="409"/>
      <c r="AM1002" s="409"/>
      <c r="AN1002" s="409"/>
      <c r="AO1002" s="409"/>
      <c r="AP1002" s="409"/>
      <c r="AQ1002" s="409"/>
      <c r="AR1002" s="409"/>
      <c r="AS1002" s="409"/>
    </row>
    <row r="1003" spans="2:45" x14ac:dyDescent="0.3">
      <c r="B1003" s="61" t="s">
        <v>194</v>
      </c>
      <c r="C1003" s="55"/>
      <c r="D1003" s="228">
        <v>58</v>
      </c>
      <c r="E1003" s="229">
        <v>61</v>
      </c>
      <c r="F1003" s="229">
        <v>63</v>
      </c>
      <c r="G1003" s="229">
        <v>60</v>
      </c>
      <c r="H1003" s="229">
        <v>58</v>
      </c>
      <c r="I1003" s="229">
        <v>59</v>
      </c>
      <c r="J1003" s="229">
        <v>61</v>
      </c>
      <c r="K1003" s="229">
        <v>60</v>
      </c>
      <c r="L1003" s="229">
        <v>60</v>
      </c>
      <c r="M1003" s="229">
        <v>58</v>
      </c>
      <c r="N1003" s="229">
        <v>58</v>
      </c>
      <c r="O1003" s="229">
        <v>62</v>
      </c>
      <c r="P1003" s="229">
        <v>58</v>
      </c>
      <c r="Q1003" s="229">
        <v>58</v>
      </c>
      <c r="R1003" s="229">
        <v>58</v>
      </c>
      <c r="S1003" s="229">
        <v>58</v>
      </c>
      <c r="T1003" s="21">
        <v>0</v>
      </c>
      <c r="U1003" s="21">
        <v>0</v>
      </c>
      <c r="V1003" s="21">
        <v>0</v>
      </c>
      <c r="W1003" s="229">
        <v>58</v>
      </c>
      <c r="Y1003" s="390"/>
      <c r="Z1003" s="390"/>
      <c r="AA1003" s="390"/>
      <c r="AB1003" s="390"/>
      <c r="AC1003" s="390"/>
      <c r="AD1003" s="390"/>
      <c r="AE1003" s="390"/>
      <c r="AF1003" s="390"/>
      <c r="AG1003" s="390"/>
      <c r="AH1003" s="390"/>
      <c r="AI1003" s="390"/>
      <c r="AJ1003" s="390"/>
      <c r="AK1003" s="390"/>
      <c r="AL1003" s="390"/>
      <c r="AM1003" s="390"/>
      <c r="AN1003" s="390"/>
      <c r="AO1003" s="390"/>
      <c r="AP1003" s="390"/>
      <c r="AQ1003" s="390"/>
      <c r="AR1003" s="390"/>
      <c r="AS1003" s="390"/>
    </row>
    <row r="1004" spans="2:45" x14ac:dyDescent="0.3">
      <c r="B1004" s="61" t="s">
        <v>195</v>
      </c>
      <c r="C1004" s="62"/>
      <c r="D1004" s="28">
        <v>59</v>
      </c>
      <c r="E1004" s="28">
        <v>62</v>
      </c>
      <c r="F1004" s="28">
        <v>64</v>
      </c>
      <c r="G1004" s="28">
        <v>61</v>
      </c>
      <c r="H1004" s="28">
        <v>59</v>
      </c>
      <c r="I1004" s="28">
        <v>60</v>
      </c>
      <c r="J1004" s="28">
        <v>62</v>
      </c>
      <c r="K1004" s="28">
        <v>61</v>
      </c>
      <c r="L1004" s="28">
        <v>61</v>
      </c>
      <c r="M1004" s="28">
        <v>59</v>
      </c>
      <c r="N1004" s="28">
        <v>59</v>
      </c>
      <c r="O1004" s="28">
        <v>63</v>
      </c>
      <c r="P1004" s="28">
        <v>59</v>
      </c>
      <c r="Q1004" s="28">
        <v>59</v>
      </c>
      <c r="R1004" s="28">
        <v>59</v>
      </c>
      <c r="S1004" s="28">
        <v>59</v>
      </c>
      <c r="T1004" s="410">
        <v>0</v>
      </c>
      <c r="U1004" s="410">
        <v>0</v>
      </c>
      <c r="V1004" s="410">
        <v>0</v>
      </c>
      <c r="W1004" s="28">
        <v>59</v>
      </c>
      <c r="Y1004" s="390"/>
      <c r="Z1004" s="390"/>
      <c r="AA1004" s="390"/>
      <c r="AB1004" s="390"/>
      <c r="AC1004" s="390"/>
      <c r="AD1004" s="390"/>
      <c r="AE1004" s="390"/>
      <c r="AF1004" s="390"/>
      <c r="AG1004" s="390"/>
      <c r="AH1004" s="390"/>
      <c r="AI1004" s="390"/>
      <c r="AJ1004" s="390"/>
      <c r="AK1004" s="390"/>
      <c r="AL1004" s="390"/>
      <c r="AM1004" s="390"/>
      <c r="AN1004" s="390"/>
      <c r="AO1004" s="390"/>
      <c r="AP1004" s="390"/>
      <c r="AQ1004" s="390"/>
      <c r="AR1004" s="390"/>
      <c r="AS1004" s="390"/>
    </row>
    <row r="1005" spans="2:45" x14ac:dyDescent="0.3">
      <c r="B1005" s="61" t="s">
        <v>196</v>
      </c>
      <c r="C1005" s="62"/>
      <c r="D1005" s="28">
        <v>60</v>
      </c>
      <c r="E1005" s="28">
        <v>63</v>
      </c>
      <c r="F1005" s="28">
        <v>65</v>
      </c>
      <c r="G1005" s="28">
        <v>62</v>
      </c>
      <c r="H1005" s="28">
        <v>60</v>
      </c>
      <c r="I1005" s="28">
        <v>61</v>
      </c>
      <c r="J1005" s="28">
        <v>63</v>
      </c>
      <c r="K1005" s="28">
        <v>62</v>
      </c>
      <c r="L1005" s="28">
        <v>62</v>
      </c>
      <c r="M1005" s="28">
        <v>60</v>
      </c>
      <c r="N1005" s="28">
        <v>60</v>
      </c>
      <c r="O1005" s="28">
        <v>64</v>
      </c>
      <c r="P1005" s="28">
        <v>60</v>
      </c>
      <c r="Q1005" s="28">
        <v>60</v>
      </c>
      <c r="R1005" s="28">
        <v>60</v>
      </c>
      <c r="S1005" s="28">
        <v>60</v>
      </c>
      <c r="T1005" s="410">
        <v>0</v>
      </c>
      <c r="U1005" s="410">
        <v>0</v>
      </c>
      <c r="V1005" s="410">
        <v>0</v>
      </c>
      <c r="W1005" s="28">
        <v>60</v>
      </c>
      <c r="Y1005" s="390"/>
      <c r="Z1005" s="390"/>
      <c r="AA1005" s="390"/>
      <c r="AB1005" s="390"/>
      <c r="AC1005" s="390"/>
      <c r="AD1005" s="390"/>
      <c r="AE1005" s="390"/>
      <c r="AF1005" s="390"/>
      <c r="AG1005" s="390"/>
      <c r="AH1005" s="390"/>
      <c r="AI1005" s="390"/>
      <c r="AJ1005" s="390"/>
      <c r="AK1005" s="390"/>
      <c r="AL1005" s="390"/>
      <c r="AM1005" s="390"/>
      <c r="AN1005" s="390"/>
      <c r="AO1005" s="390"/>
      <c r="AP1005" s="390"/>
      <c r="AQ1005" s="390"/>
      <c r="AR1005" s="390"/>
      <c r="AS1005" s="390"/>
    </row>
    <row r="1006" spans="2:45" x14ac:dyDescent="0.3">
      <c r="B1006" s="61" t="s">
        <v>197</v>
      </c>
      <c r="C1006" s="62"/>
      <c r="D1006" s="28">
        <v>61</v>
      </c>
      <c r="E1006" s="28">
        <v>64</v>
      </c>
      <c r="F1006" s="28">
        <v>66</v>
      </c>
      <c r="G1006" s="28">
        <v>63</v>
      </c>
      <c r="H1006" s="28">
        <v>61</v>
      </c>
      <c r="I1006" s="28">
        <v>62</v>
      </c>
      <c r="J1006" s="28">
        <v>64</v>
      </c>
      <c r="K1006" s="28">
        <v>63</v>
      </c>
      <c r="L1006" s="28">
        <v>63</v>
      </c>
      <c r="M1006" s="28">
        <v>61</v>
      </c>
      <c r="N1006" s="28">
        <v>61</v>
      </c>
      <c r="O1006" s="28">
        <v>65</v>
      </c>
      <c r="P1006" s="28">
        <v>61</v>
      </c>
      <c r="Q1006" s="28">
        <v>61</v>
      </c>
      <c r="R1006" s="28">
        <v>61</v>
      </c>
      <c r="S1006" s="28">
        <v>61</v>
      </c>
      <c r="T1006" s="410">
        <v>0</v>
      </c>
      <c r="U1006" s="410">
        <v>0</v>
      </c>
      <c r="V1006" s="410">
        <v>0</v>
      </c>
      <c r="W1006" s="28">
        <v>61</v>
      </c>
      <c r="Y1006" s="390"/>
      <c r="Z1006" s="390"/>
      <c r="AA1006" s="390"/>
      <c r="AB1006" s="390"/>
      <c r="AC1006" s="390"/>
      <c r="AD1006" s="390"/>
      <c r="AE1006" s="390"/>
      <c r="AF1006" s="390"/>
      <c r="AG1006" s="390"/>
      <c r="AH1006" s="390"/>
      <c r="AI1006" s="390"/>
      <c r="AJ1006" s="390"/>
      <c r="AK1006" s="390"/>
      <c r="AL1006" s="390"/>
      <c r="AM1006" s="390"/>
      <c r="AN1006" s="390"/>
      <c r="AO1006" s="390"/>
      <c r="AP1006" s="390"/>
      <c r="AQ1006" s="390"/>
      <c r="AR1006" s="390"/>
      <c r="AS1006" s="390"/>
    </row>
    <row r="1007" spans="2:45" x14ac:dyDescent="0.3">
      <c r="B1007" s="63" t="s">
        <v>103</v>
      </c>
      <c r="C1007" s="55"/>
      <c r="D1007" s="43">
        <v>0</v>
      </c>
      <c r="E1007" s="408">
        <v>0</v>
      </c>
      <c r="F1007" s="408">
        <v>0</v>
      </c>
      <c r="G1007" s="408">
        <v>0</v>
      </c>
      <c r="H1007" s="408">
        <v>0</v>
      </c>
      <c r="I1007" s="408">
        <v>0</v>
      </c>
      <c r="J1007" s="408">
        <v>0</v>
      </c>
      <c r="K1007" s="408">
        <v>0</v>
      </c>
      <c r="L1007" s="408">
        <v>0</v>
      </c>
      <c r="M1007" s="408">
        <v>0</v>
      </c>
      <c r="N1007" s="408">
        <v>0</v>
      </c>
      <c r="O1007" s="408">
        <v>0</v>
      </c>
      <c r="P1007" s="408">
        <v>0</v>
      </c>
      <c r="Q1007" s="408">
        <v>0</v>
      </c>
      <c r="R1007" s="408">
        <v>0</v>
      </c>
      <c r="S1007" s="408">
        <v>0</v>
      </c>
      <c r="T1007" s="408">
        <v>0</v>
      </c>
      <c r="U1007" s="408">
        <v>0</v>
      </c>
      <c r="V1007" s="408">
        <v>0</v>
      </c>
      <c r="W1007" s="408">
        <v>0</v>
      </c>
      <c r="Y1007" s="409"/>
      <c r="Z1007" s="409"/>
      <c r="AA1007" s="409"/>
      <c r="AB1007" s="409"/>
      <c r="AC1007" s="409"/>
      <c r="AD1007" s="409"/>
      <c r="AE1007" s="409"/>
      <c r="AF1007" s="409"/>
      <c r="AG1007" s="409"/>
      <c r="AH1007" s="409"/>
      <c r="AI1007" s="409"/>
      <c r="AJ1007" s="409"/>
      <c r="AK1007" s="409"/>
      <c r="AL1007" s="409"/>
      <c r="AM1007" s="409"/>
      <c r="AN1007" s="409"/>
      <c r="AO1007" s="409"/>
      <c r="AP1007" s="409"/>
      <c r="AQ1007" s="409"/>
      <c r="AR1007" s="409"/>
      <c r="AS1007" s="409"/>
    </row>
    <row r="1008" spans="2:45" x14ac:dyDescent="0.3">
      <c r="B1008" s="63" t="s">
        <v>198</v>
      </c>
      <c r="C1008" s="62"/>
      <c r="D1008" s="31">
        <f>+D1003-D$1001</f>
        <v>3.7922727272727315</v>
      </c>
      <c r="E1008" s="31">
        <f t="shared" ref="E1008:W1008" si="799">+E1003-E$1001</f>
        <v>3.1713636363636368</v>
      </c>
      <c r="F1008" s="31">
        <f t="shared" si="799"/>
        <v>3.8774999999999977</v>
      </c>
      <c r="G1008" s="31">
        <f t="shared" si="799"/>
        <v>3.4650000000000034</v>
      </c>
      <c r="H1008" s="31">
        <f t="shared" si="799"/>
        <v>3.8677272727272722</v>
      </c>
      <c r="I1008" s="31">
        <f t="shared" si="799"/>
        <v>3.9436363636363652</v>
      </c>
      <c r="J1008" s="31">
        <f t="shared" si="799"/>
        <v>3.9104545454545487</v>
      </c>
      <c r="K1008" s="31">
        <f t="shared" si="799"/>
        <v>3.9454545454545453</v>
      </c>
      <c r="L1008" s="31">
        <f t="shared" si="799"/>
        <v>3.0954545454545439</v>
      </c>
      <c r="M1008" s="31">
        <f t="shared" si="799"/>
        <v>3.9786363636363618</v>
      </c>
      <c r="N1008" s="31">
        <f t="shared" si="799"/>
        <v>3.6827272727272771</v>
      </c>
      <c r="O1008" s="31">
        <f t="shared" si="799"/>
        <v>3.6897727272727252</v>
      </c>
      <c r="P1008" s="31">
        <f t="shared" si="799"/>
        <v>3.9786363636363618</v>
      </c>
      <c r="Q1008" s="31">
        <f t="shared" si="799"/>
        <v>3.9786363636363618</v>
      </c>
      <c r="R1008" s="31">
        <f t="shared" si="799"/>
        <v>3.1284090909090878</v>
      </c>
      <c r="S1008" s="31">
        <f t="shared" si="799"/>
        <v>3.3131818181818176</v>
      </c>
      <c r="T1008" s="29">
        <f t="shared" si="799"/>
        <v>0</v>
      </c>
      <c r="U1008" s="29">
        <f t="shared" si="799"/>
        <v>0</v>
      </c>
      <c r="V1008" s="29">
        <f t="shared" si="799"/>
        <v>0</v>
      </c>
      <c r="W1008" s="31">
        <f t="shared" si="799"/>
        <v>3.9786363636363618</v>
      </c>
      <c r="Y1008" s="390"/>
      <c r="Z1008" s="390"/>
      <c r="AA1008" s="390"/>
      <c r="AB1008" s="390"/>
      <c r="AC1008" s="390"/>
      <c r="AD1008" s="390"/>
      <c r="AE1008" s="390"/>
      <c r="AF1008" s="390"/>
      <c r="AG1008" s="390"/>
      <c r="AH1008" s="390"/>
      <c r="AI1008" s="390"/>
      <c r="AJ1008" s="390"/>
      <c r="AK1008" s="390"/>
      <c r="AL1008" s="390"/>
      <c r="AM1008" s="390"/>
      <c r="AN1008" s="390"/>
      <c r="AO1008" s="390"/>
      <c r="AP1008" s="390"/>
      <c r="AQ1008" s="390"/>
      <c r="AR1008" s="390"/>
      <c r="AS1008" s="390"/>
    </row>
    <row r="1009" spans="2:45" x14ac:dyDescent="0.3">
      <c r="B1009" s="63" t="s">
        <v>199</v>
      </c>
      <c r="C1009" s="64"/>
      <c r="D1009" s="31">
        <f>+D1004-D$1001</f>
        <v>4.7922727272727315</v>
      </c>
      <c r="E1009" s="32">
        <f t="shared" ref="E1009:W1009" si="800">+E1004-E$1001</f>
        <v>4.1713636363636368</v>
      </c>
      <c r="F1009" s="32">
        <f t="shared" si="800"/>
        <v>4.8774999999999977</v>
      </c>
      <c r="G1009" s="32">
        <f t="shared" si="800"/>
        <v>4.4650000000000034</v>
      </c>
      <c r="H1009" s="32">
        <f t="shared" si="800"/>
        <v>4.8677272727272722</v>
      </c>
      <c r="I1009" s="32">
        <f t="shared" si="800"/>
        <v>4.9436363636363652</v>
      </c>
      <c r="J1009" s="32">
        <f t="shared" si="800"/>
        <v>4.9104545454545487</v>
      </c>
      <c r="K1009" s="32">
        <f t="shared" si="800"/>
        <v>4.9454545454545453</v>
      </c>
      <c r="L1009" s="32">
        <f t="shared" si="800"/>
        <v>4.0954545454545439</v>
      </c>
      <c r="M1009" s="32">
        <f t="shared" si="800"/>
        <v>4.9786363636363618</v>
      </c>
      <c r="N1009" s="32">
        <f t="shared" si="800"/>
        <v>4.6827272727272771</v>
      </c>
      <c r="O1009" s="32">
        <f t="shared" si="800"/>
        <v>4.6897727272727252</v>
      </c>
      <c r="P1009" s="32">
        <f t="shared" si="800"/>
        <v>4.9786363636363618</v>
      </c>
      <c r="Q1009" s="32">
        <f t="shared" si="800"/>
        <v>4.9786363636363618</v>
      </c>
      <c r="R1009" s="32">
        <f t="shared" si="800"/>
        <v>4.1284090909090878</v>
      </c>
      <c r="S1009" s="32">
        <f t="shared" si="800"/>
        <v>4.3131818181818176</v>
      </c>
      <c r="T1009" s="32">
        <f t="shared" si="800"/>
        <v>0</v>
      </c>
      <c r="U1009" s="32">
        <f t="shared" si="800"/>
        <v>0</v>
      </c>
      <c r="V1009" s="32">
        <f t="shared" si="800"/>
        <v>0</v>
      </c>
      <c r="W1009" s="32">
        <f t="shared" si="800"/>
        <v>4.9786363636363618</v>
      </c>
      <c r="Y1009" s="390"/>
      <c r="Z1009" s="390"/>
      <c r="AA1009" s="390"/>
      <c r="AB1009" s="390"/>
      <c r="AC1009" s="390"/>
      <c r="AD1009" s="390"/>
      <c r="AE1009" s="390"/>
      <c r="AF1009" s="390"/>
      <c r="AG1009" s="390"/>
      <c r="AH1009" s="390"/>
      <c r="AI1009" s="390"/>
      <c r="AJ1009" s="390"/>
      <c r="AK1009" s="390"/>
      <c r="AL1009" s="390"/>
      <c r="AM1009" s="390"/>
      <c r="AN1009" s="390"/>
      <c r="AO1009" s="390"/>
      <c r="AP1009" s="390"/>
      <c r="AQ1009" s="390"/>
      <c r="AR1009" s="390"/>
      <c r="AS1009" s="390"/>
    </row>
    <row r="1010" spans="2:45" x14ac:dyDescent="0.3">
      <c r="B1010" s="63" t="s">
        <v>200</v>
      </c>
      <c r="C1010" s="64"/>
      <c r="D1010" s="31">
        <f>+D1005-D$1001</f>
        <v>5.7922727272727315</v>
      </c>
      <c r="E1010" s="32">
        <f t="shared" ref="E1010:W1010" si="801">+E1005-E$1001</f>
        <v>5.1713636363636368</v>
      </c>
      <c r="F1010" s="32">
        <f t="shared" si="801"/>
        <v>5.8774999999999977</v>
      </c>
      <c r="G1010" s="32">
        <f t="shared" si="801"/>
        <v>5.4650000000000034</v>
      </c>
      <c r="H1010" s="32">
        <f t="shared" si="801"/>
        <v>5.8677272727272722</v>
      </c>
      <c r="I1010" s="32">
        <f t="shared" si="801"/>
        <v>5.9436363636363652</v>
      </c>
      <c r="J1010" s="32">
        <f t="shared" si="801"/>
        <v>5.9104545454545487</v>
      </c>
      <c r="K1010" s="32">
        <f t="shared" si="801"/>
        <v>5.9454545454545453</v>
      </c>
      <c r="L1010" s="32">
        <f t="shared" si="801"/>
        <v>5.0954545454545439</v>
      </c>
      <c r="M1010" s="32">
        <f t="shared" si="801"/>
        <v>5.9786363636363618</v>
      </c>
      <c r="N1010" s="32">
        <f t="shared" si="801"/>
        <v>5.6827272727272771</v>
      </c>
      <c r="O1010" s="32">
        <f t="shared" si="801"/>
        <v>5.6897727272727252</v>
      </c>
      <c r="P1010" s="32">
        <f t="shared" si="801"/>
        <v>5.9786363636363618</v>
      </c>
      <c r="Q1010" s="32">
        <f t="shared" si="801"/>
        <v>5.9786363636363618</v>
      </c>
      <c r="R1010" s="32">
        <f t="shared" si="801"/>
        <v>5.1284090909090878</v>
      </c>
      <c r="S1010" s="32">
        <f t="shared" si="801"/>
        <v>5.3131818181818176</v>
      </c>
      <c r="T1010" s="32">
        <f t="shared" si="801"/>
        <v>0</v>
      </c>
      <c r="U1010" s="32">
        <f t="shared" si="801"/>
        <v>0</v>
      </c>
      <c r="V1010" s="32">
        <f t="shared" si="801"/>
        <v>0</v>
      </c>
      <c r="W1010" s="32">
        <f t="shared" si="801"/>
        <v>5.9786363636363618</v>
      </c>
      <c r="Y1010" s="390"/>
      <c r="Z1010" s="390"/>
      <c r="AA1010" s="390"/>
      <c r="AB1010" s="390"/>
      <c r="AC1010" s="390"/>
      <c r="AD1010" s="390"/>
      <c r="AE1010" s="390"/>
      <c r="AF1010" s="390"/>
      <c r="AG1010" s="390"/>
      <c r="AH1010" s="390"/>
      <c r="AI1010" s="390"/>
      <c r="AJ1010" s="390"/>
      <c r="AK1010" s="390"/>
      <c r="AL1010" s="390"/>
      <c r="AM1010" s="390"/>
      <c r="AN1010" s="390"/>
      <c r="AO1010" s="390"/>
      <c r="AP1010" s="390"/>
      <c r="AQ1010" s="390"/>
      <c r="AR1010" s="390"/>
      <c r="AS1010" s="390"/>
    </row>
    <row r="1011" spans="2:45" x14ac:dyDescent="0.3">
      <c r="B1011" s="63" t="s">
        <v>201</v>
      </c>
      <c r="C1011" s="64"/>
      <c r="D1011" s="31">
        <f>+D1006-D$1001</f>
        <v>6.7922727272727315</v>
      </c>
      <c r="E1011" s="32">
        <f t="shared" ref="E1011:W1011" si="802">+E1006-E$1001</f>
        <v>6.1713636363636368</v>
      </c>
      <c r="F1011" s="32">
        <f t="shared" si="802"/>
        <v>6.8774999999999977</v>
      </c>
      <c r="G1011" s="32">
        <f t="shared" si="802"/>
        <v>6.4650000000000034</v>
      </c>
      <c r="H1011" s="32">
        <f t="shared" si="802"/>
        <v>6.8677272727272722</v>
      </c>
      <c r="I1011" s="32">
        <f t="shared" si="802"/>
        <v>6.9436363636363652</v>
      </c>
      <c r="J1011" s="32">
        <f t="shared" si="802"/>
        <v>6.9104545454545487</v>
      </c>
      <c r="K1011" s="32">
        <f t="shared" si="802"/>
        <v>6.9454545454545453</v>
      </c>
      <c r="L1011" s="32">
        <f t="shared" si="802"/>
        <v>6.0954545454545439</v>
      </c>
      <c r="M1011" s="32">
        <f t="shared" si="802"/>
        <v>6.9786363636363618</v>
      </c>
      <c r="N1011" s="32">
        <f t="shared" si="802"/>
        <v>6.6827272727272771</v>
      </c>
      <c r="O1011" s="32">
        <f t="shared" si="802"/>
        <v>6.6897727272727252</v>
      </c>
      <c r="P1011" s="32">
        <f t="shared" si="802"/>
        <v>6.9786363636363618</v>
      </c>
      <c r="Q1011" s="32">
        <f t="shared" si="802"/>
        <v>6.9786363636363618</v>
      </c>
      <c r="R1011" s="32">
        <f t="shared" si="802"/>
        <v>6.1284090909090878</v>
      </c>
      <c r="S1011" s="32">
        <f t="shared" si="802"/>
        <v>6.3131818181818176</v>
      </c>
      <c r="T1011" s="32">
        <f t="shared" si="802"/>
        <v>0</v>
      </c>
      <c r="U1011" s="32">
        <f t="shared" si="802"/>
        <v>0</v>
      </c>
      <c r="V1011" s="32">
        <f t="shared" si="802"/>
        <v>0</v>
      </c>
      <c r="W1011" s="32">
        <f t="shared" si="802"/>
        <v>6.9786363636363618</v>
      </c>
      <c r="Y1011" s="390"/>
      <c r="Z1011" s="390"/>
      <c r="AA1011" s="390"/>
      <c r="AB1011" s="390"/>
      <c r="AC1011" s="390"/>
      <c r="AD1011" s="390"/>
      <c r="AE1011" s="390"/>
      <c r="AF1011" s="390"/>
      <c r="AG1011" s="390"/>
      <c r="AH1011" s="390"/>
      <c r="AI1011" s="390"/>
      <c r="AJ1011" s="390"/>
      <c r="AK1011" s="390"/>
      <c r="AL1011" s="390"/>
      <c r="AM1011" s="390"/>
      <c r="AN1011" s="390"/>
      <c r="AO1011" s="390"/>
      <c r="AP1011" s="390"/>
      <c r="AQ1011" s="390"/>
      <c r="AR1011" s="390"/>
      <c r="AS1011" s="390"/>
    </row>
    <row r="1012" spans="2:45" x14ac:dyDescent="0.3">
      <c r="B1012" s="65" t="s">
        <v>108</v>
      </c>
      <c r="C1012" s="55"/>
      <c r="D1012" s="43">
        <v>0</v>
      </c>
      <c r="E1012" s="408">
        <v>0</v>
      </c>
      <c r="F1012" s="408">
        <v>0</v>
      </c>
      <c r="G1012" s="408">
        <v>0</v>
      </c>
      <c r="H1012" s="408">
        <v>0</v>
      </c>
      <c r="I1012" s="408">
        <v>0</v>
      </c>
      <c r="J1012" s="408">
        <v>0</v>
      </c>
      <c r="K1012" s="408">
        <v>0</v>
      </c>
      <c r="L1012" s="408">
        <v>0</v>
      </c>
      <c r="M1012" s="408">
        <v>0</v>
      </c>
      <c r="N1012" s="408">
        <v>0</v>
      </c>
      <c r="O1012" s="408">
        <v>0</v>
      </c>
      <c r="P1012" s="408">
        <v>0</v>
      </c>
      <c r="Q1012" s="408">
        <v>0</v>
      </c>
      <c r="R1012" s="408">
        <v>0</v>
      </c>
      <c r="S1012" s="408">
        <v>0</v>
      </c>
      <c r="T1012" s="408">
        <v>0</v>
      </c>
      <c r="U1012" s="408">
        <v>0</v>
      </c>
      <c r="V1012" s="408">
        <v>0</v>
      </c>
      <c r="W1012" s="408">
        <v>0</v>
      </c>
      <c r="Y1012" s="409"/>
      <c r="Z1012" s="409"/>
      <c r="AA1012" s="409"/>
      <c r="AB1012" s="409"/>
      <c r="AC1012" s="409"/>
      <c r="AD1012" s="409"/>
      <c r="AE1012" s="409"/>
      <c r="AF1012" s="409"/>
      <c r="AG1012" s="409"/>
      <c r="AH1012" s="409"/>
      <c r="AI1012" s="409"/>
      <c r="AJ1012" s="409"/>
      <c r="AK1012" s="409"/>
      <c r="AL1012" s="409"/>
      <c r="AM1012" s="409"/>
      <c r="AN1012" s="409"/>
      <c r="AO1012" s="409"/>
      <c r="AP1012" s="409"/>
      <c r="AQ1012" s="409"/>
      <c r="AR1012" s="409"/>
      <c r="AS1012" s="409"/>
    </row>
    <row r="1013" spans="2:45" x14ac:dyDescent="0.3">
      <c r="B1013" s="65" t="s">
        <v>202</v>
      </c>
      <c r="C1013" s="64"/>
      <c r="D1013" s="99">
        <f>+D1008/D$1003</f>
        <v>6.5384012539185021E-2</v>
      </c>
      <c r="E1013" s="99">
        <f t="shared" ref="E1013:W1013" si="803">+E1008/E$1003</f>
        <v>5.1989567809239946E-2</v>
      </c>
      <c r="F1013" s="99">
        <f t="shared" si="803"/>
        <v>6.1547619047619011E-2</v>
      </c>
      <c r="G1013" s="99">
        <f t="shared" si="803"/>
        <v>5.7750000000000058E-2</v>
      </c>
      <c r="H1013" s="99">
        <f t="shared" si="803"/>
        <v>6.6684952978056419E-2</v>
      </c>
      <c r="I1013" s="99">
        <f t="shared" si="803"/>
        <v>6.6841294298921439E-2</v>
      </c>
      <c r="J1013" s="99">
        <f t="shared" si="803"/>
        <v>6.4105812220566369E-2</v>
      </c>
      <c r="K1013" s="99">
        <f t="shared" si="803"/>
        <v>6.5757575757575751E-2</v>
      </c>
      <c r="L1013" s="99">
        <f t="shared" si="803"/>
        <v>5.1590909090909062E-2</v>
      </c>
      <c r="M1013" s="99">
        <f t="shared" si="803"/>
        <v>6.8597178683385551E-2</v>
      </c>
      <c r="N1013" s="99">
        <f t="shared" si="803"/>
        <v>6.3495297805642711E-2</v>
      </c>
      <c r="O1013" s="99">
        <f t="shared" si="803"/>
        <v>5.9512463343108474E-2</v>
      </c>
      <c r="P1013" s="99">
        <f t="shared" si="803"/>
        <v>6.8597178683385551E-2</v>
      </c>
      <c r="Q1013" s="99">
        <f t="shared" si="803"/>
        <v>6.8597178683385551E-2</v>
      </c>
      <c r="R1013" s="99">
        <f t="shared" si="803"/>
        <v>5.3938087774294617E-2</v>
      </c>
      <c r="S1013" s="99">
        <f t="shared" si="803"/>
        <v>5.7123824451410649E-2</v>
      </c>
      <c r="T1013" s="372" t="e">
        <f t="shared" si="803"/>
        <v>#DIV/0!</v>
      </c>
      <c r="U1013" s="372" t="e">
        <f t="shared" si="803"/>
        <v>#DIV/0!</v>
      </c>
      <c r="V1013" s="372" t="e">
        <f t="shared" si="803"/>
        <v>#DIV/0!</v>
      </c>
      <c r="W1013" s="99">
        <f t="shared" si="803"/>
        <v>6.8597178683385551E-2</v>
      </c>
      <c r="Y1013" s="390"/>
      <c r="Z1013" s="390"/>
      <c r="AA1013" s="390"/>
      <c r="AB1013" s="390"/>
      <c r="AC1013" s="390"/>
      <c r="AD1013" s="390"/>
      <c r="AE1013" s="390"/>
      <c r="AF1013" s="390"/>
      <c r="AG1013" s="390"/>
      <c r="AH1013" s="390"/>
      <c r="AI1013" s="390"/>
      <c r="AJ1013" s="390"/>
      <c r="AK1013" s="390"/>
      <c r="AL1013" s="390"/>
      <c r="AM1013" s="390"/>
      <c r="AN1013" s="390"/>
      <c r="AO1013" s="390"/>
      <c r="AP1013" s="390"/>
      <c r="AQ1013" s="390"/>
      <c r="AR1013" s="390"/>
      <c r="AS1013" s="390"/>
    </row>
    <row r="1014" spans="2:45" x14ac:dyDescent="0.3">
      <c r="B1014" s="65" t="s">
        <v>203</v>
      </c>
      <c r="C1014" s="66"/>
      <c r="D1014" s="368">
        <f>+D1009/D$1004</f>
        <v>8.1224961479198832E-2</v>
      </c>
      <c r="E1014" s="368">
        <f t="shared" ref="E1014:W1014" si="804">+E1009/E$1004</f>
        <v>6.7280058651026403E-2</v>
      </c>
      <c r="F1014" s="368">
        <f t="shared" si="804"/>
        <v>7.6210937499999964E-2</v>
      </c>
      <c r="G1014" s="368">
        <f t="shared" si="804"/>
        <v>7.3196721311475463E-2</v>
      </c>
      <c r="H1014" s="368">
        <f t="shared" si="804"/>
        <v>8.2503852080123258E-2</v>
      </c>
      <c r="I1014" s="368">
        <f t="shared" si="804"/>
        <v>8.2393939393939422E-2</v>
      </c>
      <c r="J1014" s="368">
        <f t="shared" si="804"/>
        <v>7.9200879765395943E-2</v>
      </c>
      <c r="K1014" s="368">
        <f t="shared" si="804"/>
        <v>8.1073025335320417E-2</v>
      </c>
      <c r="L1014" s="368">
        <f t="shared" si="804"/>
        <v>6.7138599105812199E-2</v>
      </c>
      <c r="M1014" s="368">
        <f t="shared" si="804"/>
        <v>8.4383667180277316E-2</v>
      </c>
      <c r="N1014" s="368">
        <f t="shared" si="804"/>
        <v>7.9368258859784352E-2</v>
      </c>
      <c r="O1014" s="368">
        <f t="shared" si="804"/>
        <v>7.4440836940836905E-2</v>
      </c>
      <c r="P1014" s="368">
        <f t="shared" si="804"/>
        <v>8.4383667180277316E-2</v>
      </c>
      <c r="Q1014" s="368">
        <f t="shared" si="804"/>
        <v>8.4383667180277316E-2</v>
      </c>
      <c r="R1014" s="368">
        <f t="shared" si="804"/>
        <v>6.9973035439137077E-2</v>
      </c>
      <c r="S1014" s="368">
        <f t="shared" si="804"/>
        <v>7.310477657935284E-2</v>
      </c>
      <c r="T1014" s="368" t="e">
        <f t="shared" si="804"/>
        <v>#DIV/0!</v>
      </c>
      <c r="U1014" s="368" t="e">
        <f t="shared" si="804"/>
        <v>#DIV/0!</v>
      </c>
      <c r="V1014" s="368" t="e">
        <f t="shared" si="804"/>
        <v>#DIV/0!</v>
      </c>
      <c r="W1014" s="368">
        <f t="shared" si="804"/>
        <v>8.4383667180277316E-2</v>
      </c>
      <c r="Y1014" s="390"/>
      <c r="Z1014" s="390"/>
      <c r="AA1014" s="390"/>
      <c r="AB1014" s="390"/>
      <c r="AC1014" s="390"/>
      <c r="AD1014" s="390"/>
      <c r="AE1014" s="390"/>
      <c r="AF1014" s="390"/>
      <c r="AG1014" s="390"/>
      <c r="AH1014" s="390"/>
      <c r="AI1014" s="390"/>
      <c r="AJ1014" s="390"/>
      <c r="AK1014" s="390"/>
      <c r="AL1014" s="390"/>
      <c r="AM1014" s="390"/>
      <c r="AN1014" s="390"/>
      <c r="AO1014" s="390"/>
      <c r="AP1014" s="390"/>
      <c r="AQ1014" s="390"/>
      <c r="AR1014" s="390"/>
      <c r="AS1014" s="390"/>
    </row>
    <row r="1015" spans="2:45" x14ac:dyDescent="0.3">
      <c r="B1015" s="65" t="s">
        <v>204</v>
      </c>
      <c r="C1015" s="66"/>
      <c r="D1015" s="368">
        <f>+D1010/D$1005</f>
        <v>9.6537878787878853E-2</v>
      </c>
      <c r="E1015" s="368">
        <f t="shared" ref="E1015:W1015" si="805">+E1010/E$1005</f>
        <v>8.2085137085137094E-2</v>
      </c>
      <c r="F1015" s="368">
        <f t="shared" si="805"/>
        <v>9.0423076923076884E-2</v>
      </c>
      <c r="G1015" s="368">
        <f t="shared" si="805"/>
        <v>8.8145161290322641E-2</v>
      </c>
      <c r="H1015" s="368">
        <f t="shared" si="805"/>
        <v>9.7795454545454533E-2</v>
      </c>
      <c r="I1015" s="368">
        <f t="shared" si="805"/>
        <v>9.7436661698956803E-2</v>
      </c>
      <c r="J1015" s="368">
        <f t="shared" si="805"/>
        <v>9.3816738816738868E-2</v>
      </c>
      <c r="K1015" s="368">
        <f t="shared" si="805"/>
        <v>9.5894428152492661E-2</v>
      </c>
      <c r="L1015" s="368">
        <f t="shared" si="805"/>
        <v>8.2184750733137801E-2</v>
      </c>
      <c r="M1015" s="368">
        <f t="shared" si="805"/>
        <v>9.9643939393939368E-2</v>
      </c>
      <c r="N1015" s="368">
        <f t="shared" si="805"/>
        <v>9.4712121212121289E-2</v>
      </c>
      <c r="O1015" s="368">
        <f t="shared" si="805"/>
        <v>8.8902698863636331E-2</v>
      </c>
      <c r="P1015" s="368">
        <f t="shared" si="805"/>
        <v>9.9643939393939368E-2</v>
      </c>
      <c r="Q1015" s="368">
        <f t="shared" si="805"/>
        <v>9.9643939393939368E-2</v>
      </c>
      <c r="R1015" s="368">
        <f t="shared" si="805"/>
        <v>8.5473484848484799E-2</v>
      </c>
      <c r="S1015" s="368">
        <f t="shared" si="805"/>
        <v>8.8553030303030286E-2</v>
      </c>
      <c r="T1015" s="368" t="e">
        <f t="shared" si="805"/>
        <v>#DIV/0!</v>
      </c>
      <c r="U1015" s="368" t="e">
        <f t="shared" si="805"/>
        <v>#DIV/0!</v>
      </c>
      <c r="V1015" s="368" t="e">
        <f t="shared" si="805"/>
        <v>#DIV/0!</v>
      </c>
      <c r="W1015" s="368">
        <f t="shared" si="805"/>
        <v>9.9643939393939368E-2</v>
      </c>
      <c r="Y1015" s="390"/>
      <c r="Z1015" s="390"/>
      <c r="AA1015" s="390"/>
      <c r="AB1015" s="390"/>
      <c r="AC1015" s="390"/>
      <c r="AD1015" s="390"/>
      <c r="AE1015" s="390"/>
      <c r="AF1015" s="390"/>
      <c r="AG1015" s="390"/>
      <c r="AH1015" s="390"/>
      <c r="AI1015" s="390"/>
      <c r="AJ1015" s="390"/>
      <c r="AK1015" s="390"/>
      <c r="AL1015" s="390"/>
      <c r="AM1015" s="390"/>
      <c r="AN1015" s="390"/>
      <c r="AO1015" s="390"/>
      <c r="AP1015" s="390"/>
      <c r="AQ1015" s="390"/>
      <c r="AR1015" s="390"/>
      <c r="AS1015" s="390"/>
    </row>
    <row r="1016" spans="2:45" x14ac:dyDescent="0.3">
      <c r="B1016" s="65" t="s">
        <v>205</v>
      </c>
      <c r="C1016" s="66"/>
      <c r="D1016" s="368">
        <f>+D1011/D$1006</f>
        <v>0.1113487332339792</v>
      </c>
      <c r="E1016" s="368">
        <f t="shared" ref="E1016:W1016" si="806">+E1011/E$1006</f>
        <v>9.6427556818181825E-2</v>
      </c>
      <c r="F1016" s="368">
        <f t="shared" si="806"/>
        <v>0.10420454545454542</v>
      </c>
      <c r="G1016" s="368">
        <f t="shared" si="806"/>
        <v>0.10261904761904768</v>
      </c>
      <c r="H1016" s="368">
        <f t="shared" si="806"/>
        <v>0.11258569299552905</v>
      </c>
      <c r="I1016" s="368">
        <f t="shared" si="806"/>
        <v>0.11199413489736072</v>
      </c>
      <c r="J1016" s="368">
        <f t="shared" si="806"/>
        <v>0.10797585227272732</v>
      </c>
      <c r="K1016" s="368">
        <f t="shared" si="806"/>
        <v>0.11024531024531024</v>
      </c>
      <c r="L1016" s="368">
        <f t="shared" si="806"/>
        <v>9.675324675324673E-2</v>
      </c>
      <c r="M1016" s="368">
        <f t="shared" si="806"/>
        <v>0.11440387481371085</v>
      </c>
      <c r="N1016" s="368">
        <f t="shared" si="806"/>
        <v>0.10955290611028323</v>
      </c>
      <c r="O1016" s="368">
        <f t="shared" si="806"/>
        <v>0.10291958041958038</v>
      </c>
      <c r="P1016" s="368">
        <f t="shared" si="806"/>
        <v>0.11440387481371085</v>
      </c>
      <c r="Q1016" s="368">
        <f t="shared" si="806"/>
        <v>0.11440387481371085</v>
      </c>
      <c r="R1016" s="368">
        <f t="shared" si="806"/>
        <v>0.10046572280178832</v>
      </c>
      <c r="S1016" s="368">
        <f t="shared" si="806"/>
        <v>0.10349478390461996</v>
      </c>
      <c r="T1016" s="368" t="e">
        <f t="shared" si="806"/>
        <v>#DIV/0!</v>
      </c>
      <c r="U1016" s="368" t="e">
        <f t="shared" si="806"/>
        <v>#DIV/0!</v>
      </c>
      <c r="V1016" s="368" t="e">
        <f t="shared" si="806"/>
        <v>#DIV/0!</v>
      </c>
      <c r="W1016" s="368">
        <f t="shared" si="806"/>
        <v>0.11440387481371085</v>
      </c>
      <c r="Y1016" s="390"/>
      <c r="Z1016" s="390"/>
      <c r="AA1016" s="390"/>
      <c r="AB1016" s="390"/>
      <c r="AC1016" s="390"/>
      <c r="AD1016" s="390"/>
      <c r="AE1016" s="390"/>
      <c r="AF1016" s="390"/>
      <c r="AG1016" s="390"/>
      <c r="AH1016" s="390"/>
      <c r="AI1016" s="390"/>
      <c r="AJ1016" s="390"/>
      <c r="AK1016" s="390"/>
      <c r="AL1016" s="390"/>
      <c r="AM1016" s="390"/>
      <c r="AN1016" s="390"/>
      <c r="AO1016" s="390"/>
      <c r="AP1016" s="390"/>
      <c r="AQ1016" s="390"/>
      <c r="AR1016" s="390"/>
      <c r="AS1016" s="390"/>
    </row>
    <row r="1017" spans="2:45" hidden="1" x14ac:dyDescent="0.3">
      <c r="B1017" s="65" t="s">
        <v>78</v>
      </c>
      <c r="C1017" s="66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Y1017" s="390"/>
      <c r="Z1017" s="390"/>
      <c r="AA1017" s="390"/>
      <c r="AB1017" s="390"/>
      <c r="AC1017" s="390"/>
      <c r="AD1017" s="390"/>
      <c r="AE1017" s="390"/>
      <c r="AF1017" s="390"/>
      <c r="AG1017" s="390"/>
      <c r="AH1017" s="390"/>
      <c r="AI1017" s="390"/>
      <c r="AJ1017" s="390"/>
      <c r="AK1017" s="390"/>
      <c r="AL1017" s="390"/>
      <c r="AM1017" s="390"/>
      <c r="AN1017" s="390"/>
      <c r="AO1017" s="390"/>
      <c r="AP1017" s="390"/>
      <c r="AQ1017" s="390"/>
      <c r="AR1017" s="390"/>
      <c r="AS1017" s="390"/>
    </row>
    <row r="1018" spans="2:45" ht="21" thickBot="1" x14ac:dyDescent="0.35">
      <c r="Y1018" s="390"/>
      <c r="Z1018" s="390"/>
      <c r="AA1018" s="390"/>
      <c r="AB1018" s="390"/>
      <c r="AC1018" s="390"/>
      <c r="AD1018" s="390"/>
      <c r="AE1018" s="390"/>
      <c r="AF1018" s="390"/>
      <c r="AG1018" s="390"/>
      <c r="AH1018" s="390"/>
      <c r="AI1018" s="390"/>
      <c r="AJ1018" s="390"/>
      <c r="AK1018" s="390"/>
      <c r="AL1018" s="390"/>
      <c r="AM1018" s="390"/>
      <c r="AN1018" s="390"/>
      <c r="AO1018" s="390"/>
      <c r="AP1018" s="390"/>
      <c r="AQ1018" s="390"/>
      <c r="AR1018" s="390"/>
      <c r="AS1018" s="390"/>
    </row>
    <row r="1019" spans="2:45" ht="21" thickBot="1" x14ac:dyDescent="0.35">
      <c r="B1019" s="223" t="s">
        <v>162</v>
      </c>
      <c r="C1019" s="68"/>
      <c r="D1019" s="17" t="s">
        <v>5</v>
      </c>
      <c r="E1019" s="18" t="s">
        <v>6</v>
      </c>
      <c r="F1019" s="18" t="s">
        <v>7</v>
      </c>
      <c r="G1019" s="18" t="s">
        <v>8</v>
      </c>
      <c r="H1019" s="18" t="s">
        <v>9</v>
      </c>
      <c r="I1019" s="18" t="s">
        <v>10</v>
      </c>
      <c r="J1019" s="18" t="s">
        <v>11</v>
      </c>
      <c r="K1019" s="18" t="s">
        <v>12</v>
      </c>
      <c r="L1019" s="18" t="s">
        <v>13</v>
      </c>
      <c r="M1019" s="18" t="s">
        <v>14</v>
      </c>
      <c r="N1019" s="18" t="s">
        <v>15</v>
      </c>
      <c r="O1019" s="18" t="s">
        <v>16</v>
      </c>
      <c r="P1019" s="18" t="s">
        <v>17</v>
      </c>
      <c r="Q1019" s="18" t="s">
        <v>18</v>
      </c>
      <c r="R1019" s="18" t="s">
        <v>19</v>
      </c>
      <c r="S1019" s="18" t="s">
        <v>20</v>
      </c>
      <c r="T1019" s="18" t="s">
        <v>21</v>
      </c>
      <c r="U1019" s="18" t="s">
        <v>22</v>
      </c>
      <c r="V1019" s="18" t="s">
        <v>23</v>
      </c>
      <c r="W1019" s="18" t="s">
        <v>166</v>
      </c>
      <c r="Y1019" s="390"/>
      <c r="Z1019" s="390"/>
      <c r="AA1019" s="390"/>
      <c r="AB1019" s="390"/>
      <c r="AC1019" s="390"/>
      <c r="AD1019" s="390"/>
      <c r="AE1019" s="390"/>
      <c r="AF1019" s="390"/>
      <c r="AG1019" s="390"/>
      <c r="AH1019" s="390"/>
      <c r="AI1019" s="390"/>
      <c r="AJ1019" s="390"/>
      <c r="AK1019" s="390"/>
      <c r="AL1019" s="390"/>
      <c r="AM1019" s="390"/>
      <c r="AN1019" s="390"/>
      <c r="AO1019" s="390"/>
      <c r="AP1019" s="390"/>
      <c r="AQ1019" s="390"/>
      <c r="AR1019" s="390"/>
      <c r="AS1019" s="390"/>
    </row>
    <row r="1020" spans="2:45" x14ac:dyDescent="0.3">
      <c r="B1020" s="222" t="s">
        <v>50</v>
      </c>
      <c r="C1020" s="70"/>
      <c r="D1020" s="20">
        <v>105</v>
      </c>
      <c r="E1020" s="20">
        <v>105</v>
      </c>
      <c r="F1020" s="20">
        <v>105</v>
      </c>
      <c r="G1020" s="20">
        <v>105</v>
      </c>
      <c r="H1020" s="20">
        <v>105</v>
      </c>
      <c r="I1020" s="20">
        <v>105</v>
      </c>
      <c r="J1020" s="20">
        <v>105</v>
      </c>
      <c r="K1020" s="20">
        <v>105</v>
      </c>
      <c r="L1020" s="20">
        <v>105</v>
      </c>
      <c r="M1020" s="20">
        <v>105</v>
      </c>
      <c r="N1020" s="20">
        <v>105</v>
      </c>
      <c r="O1020" s="20">
        <v>105</v>
      </c>
      <c r="P1020" s="20">
        <v>105</v>
      </c>
      <c r="Q1020" s="20">
        <v>105</v>
      </c>
      <c r="R1020" s="20">
        <v>105</v>
      </c>
      <c r="S1020" s="20">
        <v>105</v>
      </c>
      <c r="T1020" s="20"/>
      <c r="U1020" s="20"/>
      <c r="V1020" s="20"/>
      <c r="W1020" s="20">
        <v>105</v>
      </c>
      <c r="Y1020" s="390"/>
      <c r="Z1020" s="390"/>
      <c r="AA1020" s="390"/>
      <c r="AB1020" s="390"/>
      <c r="AC1020" s="390"/>
      <c r="AD1020" s="390"/>
      <c r="AE1020" s="390"/>
      <c r="AF1020" s="390"/>
      <c r="AG1020" s="390"/>
      <c r="AH1020" s="390"/>
      <c r="AI1020" s="390"/>
      <c r="AJ1020" s="390"/>
      <c r="AK1020" s="390"/>
      <c r="AL1020" s="390"/>
      <c r="AM1020" s="390"/>
      <c r="AN1020" s="390"/>
      <c r="AO1020" s="390"/>
      <c r="AP1020" s="390"/>
      <c r="AQ1020" s="390"/>
      <c r="AR1020" s="390"/>
      <c r="AS1020" s="390"/>
    </row>
    <row r="1021" spans="2:45" x14ac:dyDescent="0.3">
      <c r="B1021" s="54" t="s">
        <v>51</v>
      </c>
      <c r="C1021" s="55"/>
      <c r="D1021" s="322">
        <v>0.4</v>
      </c>
      <c r="E1021" s="322">
        <f>D1021</f>
        <v>0.4</v>
      </c>
      <c r="F1021" s="322">
        <f t="shared" ref="F1021:S1021" si="807">E1021</f>
        <v>0.4</v>
      </c>
      <c r="G1021" s="322">
        <f t="shared" si="807"/>
        <v>0.4</v>
      </c>
      <c r="H1021" s="322">
        <f t="shared" si="807"/>
        <v>0.4</v>
      </c>
      <c r="I1021" s="322">
        <f t="shared" si="807"/>
        <v>0.4</v>
      </c>
      <c r="J1021" s="322">
        <f t="shared" si="807"/>
        <v>0.4</v>
      </c>
      <c r="K1021" s="322">
        <f t="shared" si="807"/>
        <v>0.4</v>
      </c>
      <c r="L1021" s="322">
        <f t="shared" si="807"/>
        <v>0.4</v>
      </c>
      <c r="M1021" s="322">
        <f t="shared" si="807"/>
        <v>0.4</v>
      </c>
      <c r="N1021" s="322">
        <f t="shared" si="807"/>
        <v>0.4</v>
      </c>
      <c r="O1021" s="322">
        <f t="shared" si="807"/>
        <v>0.4</v>
      </c>
      <c r="P1021" s="322">
        <f t="shared" si="807"/>
        <v>0.4</v>
      </c>
      <c r="Q1021" s="322">
        <f t="shared" si="807"/>
        <v>0.4</v>
      </c>
      <c r="R1021" s="322">
        <f t="shared" si="807"/>
        <v>0.4</v>
      </c>
      <c r="S1021" s="322">
        <f t="shared" si="807"/>
        <v>0.4</v>
      </c>
      <c r="T1021" s="218"/>
      <c r="U1021" s="218"/>
      <c r="V1021" s="218"/>
      <c r="W1021" s="322">
        <f>D1021</f>
        <v>0.4</v>
      </c>
      <c r="Y1021" s="390"/>
      <c r="Z1021" s="390"/>
      <c r="AA1021" s="390"/>
      <c r="AB1021" s="390"/>
      <c r="AC1021" s="390"/>
      <c r="AD1021" s="390"/>
      <c r="AE1021" s="390"/>
      <c r="AF1021" s="390"/>
      <c r="AG1021" s="390"/>
      <c r="AH1021" s="390"/>
      <c r="AI1021" s="390"/>
      <c r="AJ1021" s="390"/>
      <c r="AK1021" s="390"/>
      <c r="AL1021" s="390"/>
      <c r="AM1021" s="390"/>
      <c r="AN1021" s="390"/>
      <c r="AO1021" s="390"/>
      <c r="AP1021" s="390"/>
      <c r="AQ1021" s="390"/>
      <c r="AR1021" s="390"/>
      <c r="AS1021" s="390"/>
    </row>
    <row r="1022" spans="2:45" x14ac:dyDescent="0.3">
      <c r="B1022" s="54" t="s">
        <v>56</v>
      </c>
      <c r="C1022" s="55"/>
      <c r="D1022" s="21"/>
      <c r="E1022" s="21"/>
      <c r="F1022" s="21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Y1022" s="390"/>
      <c r="Z1022" s="390"/>
      <c r="AA1022" s="390"/>
      <c r="AB1022" s="390"/>
      <c r="AC1022" s="390"/>
      <c r="AD1022" s="390"/>
      <c r="AE1022" s="390"/>
      <c r="AF1022" s="390"/>
      <c r="AG1022" s="390"/>
      <c r="AH1022" s="390"/>
      <c r="AI1022" s="390"/>
      <c r="AJ1022" s="390"/>
      <c r="AK1022" s="390"/>
      <c r="AL1022" s="390"/>
      <c r="AM1022" s="390"/>
      <c r="AN1022" s="390"/>
      <c r="AO1022" s="390"/>
      <c r="AP1022" s="390"/>
      <c r="AQ1022" s="390"/>
      <c r="AR1022" s="390"/>
      <c r="AS1022" s="390"/>
    </row>
    <row r="1023" spans="2:45" x14ac:dyDescent="0.3">
      <c r="B1023" s="177" t="s">
        <v>67</v>
      </c>
      <c r="C1023" s="178"/>
      <c r="D1023" s="323">
        <f>D1020-(D1020*D1021)</f>
        <v>63</v>
      </c>
      <c r="E1023" s="323">
        <f t="shared" ref="E1023:W1023" si="808">E1020-(E1020*E1021)</f>
        <v>63</v>
      </c>
      <c r="F1023" s="323">
        <f t="shared" si="808"/>
        <v>63</v>
      </c>
      <c r="G1023" s="323">
        <f t="shared" si="808"/>
        <v>63</v>
      </c>
      <c r="H1023" s="323">
        <f t="shared" si="808"/>
        <v>63</v>
      </c>
      <c r="I1023" s="323">
        <f t="shared" si="808"/>
        <v>63</v>
      </c>
      <c r="J1023" s="323">
        <f t="shared" si="808"/>
        <v>63</v>
      </c>
      <c r="K1023" s="323">
        <f t="shared" si="808"/>
        <v>63</v>
      </c>
      <c r="L1023" s="323">
        <f t="shared" si="808"/>
        <v>63</v>
      </c>
      <c r="M1023" s="323">
        <f t="shared" si="808"/>
        <v>63</v>
      </c>
      <c r="N1023" s="323">
        <f t="shared" si="808"/>
        <v>63</v>
      </c>
      <c r="O1023" s="323">
        <f t="shared" si="808"/>
        <v>63</v>
      </c>
      <c r="P1023" s="323">
        <f t="shared" si="808"/>
        <v>63</v>
      </c>
      <c r="Q1023" s="323">
        <f t="shared" si="808"/>
        <v>63</v>
      </c>
      <c r="R1023" s="323">
        <f t="shared" si="808"/>
        <v>63</v>
      </c>
      <c r="S1023" s="323">
        <f t="shared" si="808"/>
        <v>63</v>
      </c>
      <c r="T1023" s="323">
        <f t="shared" si="808"/>
        <v>0</v>
      </c>
      <c r="U1023" s="323">
        <f t="shared" si="808"/>
        <v>0</v>
      </c>
      <c r="V1023" s="323">
        <f t="shared" si="808"/>
        <v>0</v>
      </c>
      <c r="W1023" s="323">
        <f t="shared" si="808"/>
        <v>63</v>
      </c>
      <c r="Y1023" s="390"/>
      <c r="Z1023" s="390"/>
      <c r="AA1023" s="390"/>
      <c r="AB1023" s="390"/>
      <c r="AC1023" s="390"/>
      <c r="AD1023" s="390"/>
      <c r="AE1023" s="390"/>
      <c r="AF1023" s="390"/>
      <c r="AG1023" s="390"/>
      <c r="AH1023" s="390"/>
      <c r="AI1023" s="390"/>
      <c r="AJ1023" s="390"/>
      <c r="AK1023" s="390"/>
      <c r="AL1023" s="390"/>
      <c r="AM1023" s="390"/>
      <c r="AN1023" s="390"/>
      <c r="AO1023" s="390"/>
      <c r="AP1023" s="390"/>
      <c r="AQ1023" s="390"/>
      <c r="AR1023" s="390"/>
      <c r="AS1023" s="390"/>
    </row>
    <row r="1024" spans="2:45" x14ac:dyDescent="0.3">
      <c r="B1024" s="54" t="s">
        <v>66</v>
      </c>
      <c r="C1024" s="56">
        <v>7.0000000000000007E-2</v>
      </c>
      <c r="D1024" s="24">
        <f>D1023*$C1024</f>
        <v>4.41</v>
      </c>
      <c r="E1024" s="24">
        <f t="shared" ref="E1024:V1024" si="809">E1023*$C1024</f>
        <v>4.41</v>
      </c>
      <c r="F1024" s="24">
        <f t="shared" si="809"/>
        <v>4.41</v>
      </c>
      <c r="G1024" s="24">
        <f t="shared" si="809"/>
        <v>4.41</v>
      </c>
      <c r="H1024" s="24">
        <f t="shared" si="809"/>
        <v>4.41</v>
      </c>
      <c r="I1024" s="24">
        <f t="shared" si="809"/>
        <v>4.41</v>
      </c>
      <c r="J1024" s="24">
        <f t="shared" si="809"/>
        <v>4.41</v>
      </c>
      <c r="K1024" s="24">
        <f t="shared" si="809"/>
        <v>4.41</v>
      </c>
      <c r="L1024" s="24">
        <f t="shared" si="809"/>
        <v>4.41</v>
      </c>
      <c r="M1024" s="24">
        <f t="shared" si="809"/>
        <v>4.41</v>
      </c>
      <c r="N1024" s="24">
        <f t="shared" si="809"/>
        <v>4.41</v>
      </c>
      <c r="O1024" s="24">
        <f t="shared" si="809"/>
        <v>4.41</v>
      </c>
      <c r="P1024" s="24">
        <f t="shared" si="809"/>
        <v>4.41</v>
      </c>
      <c r="Q1024" s="24">
        <f t="shared" si="809"/>
        <v>4.41</v>
      </c>
      <c r="R1024" s="24">
        <f t="shared" si="809"/>
        <v>4.41</v>
      </c>
      <c r="S1024" s="24">
        <f t="shared" si="809"/>
        <v>4.41</v>
      </c>
      <c r="T1024" s="24">
        <f t="shared" si="809"/>
        <v>0</v>
      </c>
      <c r="U1024" s="24">
        <f t="shared" si="809"/>
        <v>0</v>
      </c>
      <c r="V1024" s="24">
        <f t="shared" si="809"/>
        <v>0</v>
      </c>
      <c r="W1024" s="24">
        <f>W1023*$C1024</f>
        <v>4.41</v>
      </c>
      <c r="Y1024" s="390"/>
      <c r="Z1024" s="390"/>
      <c r="AA1024" s="390"/>
      <c r="AB1024" s="390"/>
      <c r="AC1024" s="390"/>
      <c r="AD1024" s="390"/>
      <c r="AE1024" s="390"/>
      <c r="AF1024" s="390"/>
      <c r="AG1024" s="390"/>
      <c r="AH1024" s="390"/>
      <c r="AI1024" s="390"/>
      <c r="AJ1024" s="390"/>
      <c r="AK1024" s="390"/>
      <c r="AL1024" s="390"/>
      <c r="AM1024" s="390"/>
      <c r="AN1024" s="390"/>
      <c r="AO1024" s="390"/>
      <c r="AP1024" s="390"/>
      <c r="AQ1024" s="390"/>
      <c r="AR1024" s="390"/>
      <c r="AS1024" s="390"/>
    </row>
    <row r="1025" spans="2:45" x14ac:dyDescent="0.3">
      <c r="B1025" s="54" t="s">
        <v>68</v>
      </c>
      <c r="C1025" s="55"/>
      <c r="D1025" s="21">
        <f>D1023+D1024</f>
        <v>67.41</v>
      </c>
      <c r="E1025" s="21">
        <f t="shared" ref="E1025:V1025" si="810">E1023+E1024</f>
        <v>67.41</v>
      </c>
      <c r="F1025" s="21">
        <f t="shared" si="810"/>
        <v>67.41</v>
      </c>
      <c r="G1025" s="21">
        <f t="shared" si="810"/>
        <v>67.41</v>
      </c>
      <c r="H1025" s="21">
        <f t="shared" si="810"/>
        <v>67.41</v>
      </c>
      <c r="I1025" s="21">
        <f t="shared" si="810"/>
        <v>67.41</v>
      </c>
      <c r="J1025" s="21">
        <f t="shared" si="810"/>
        <v>67.41</v>
      </c>
      <c r="K1025" s="21">
        <f t="shared" si="810"/>
        <v>67.41</v>
      </c>
      <c r="L1025" s="21">
        <f t="shared" si="810"/>
        <v>67.41</v>
      </c>
      <c r="M1025" s="21">
        <f t="shared" si="810"/>
        <v>67.41</v>
      </c>
      <c r="N1025" s="21">
        <f t="shared" si="810"/>
        <v>67.41</v>
      </c>
      <c r="O1025" s="21">
        <f t="shared" si="810"/>
        <v>67.41</v>
      </c>
      <c r="P1025" s="21">
        <f t="shared" si="810"/>
        <v>67.41</v>
      </c>
      <c r="Q1025" s="21">
        <f t="shared" si="810"/>
        <v>67.41</v>
      </c>
      <c r="R1025" s="21">
        <f t="shared" si="810"/>
        <v>67.41</v>
      </c>
      <c r="S1025" s="21">
        <f t="shared" si="810"/>
        <v>67.41</v>
      </c>
      <c r="T1025" s="21">
        <f t="shared" si="810"/>
        <v>0</v>
      </c>
      <c r="U1025" s="21">
        <f t="shared" si="810"/>
        <v>0</v>
      </c>
      <c r="V1025" s="21">
        <f t="shared" si="810"/>
        <v>0</v>
      </c>
      <c r="W1025" s="21">
        <f>W1023+W1024</f>
        <v>67.41</v>
      </c>
      <c r="Y1025" s="390"/>
      <c r="Z1025" s="390"/>
      <c r="AA1025" s="390"/>
      <c r="AB1025" s="390"/>
      <c r="AC1025" s="390"/>
      <c r="AD1025" s="390"/>
      <c r="AE1025" s="390"/>
      <c r="AF1025" s="390"/>
      <c r="AG1025" s="390"/>
      <c r="AH1025" s="390"/>
      <c r="AI1025" s="390"/>
      <c r="AJ1025" s="390"/>
      <c r="AK1025" s="390"/>
      <c r="AL1025" s="390"/>
      <c r="AM1025" s="390"/>
      <c r="AN1025" s="390"/>
      <c r="AO1025" s="390"/>
      <c r="AP1025" s="390"/>
      <c r="AQ1025" s="390"/>
      <c r="AR1025" s="390"/>
      <c r="AS1025" s="390"/>
    </row>
    <row r="1026" spans="2:45" x14ac:dyDescent="0.3">
      <c r="B1026" s="54" t="s">
        <v>52</v>
      </c>
      <c r="C1026" s="55"/>
      <c r="D1026" s="398">
        <f>Y1028</f>
        <v>3.4805555555555556</v>
      </c>
      <c r="E1026" s="398">
        <f t="shared" ref="E1026:W1026" si="811">Z1028</f>
        <v>7.9061111111111115</v>
      </c>
      <c r="F1026" s="398">
        <f t="shared" si="811"/>
        <v>9.4875000000000007</v>
      </c>
      <c r="G1026" s="398">
        <f t="shared" si="811"/>
        <v>6.3250000000000002</v>
      </c>
      <c r="H1026" s="398">
        <f t="shared" si="811"/>
        <v>3.3883333333333332</v>
      </c>
      <c r="I1026" s="398">
        <f t="shared" si="811"/>
        <v>4.5177777777777779</v>
      </c>
      <c r="J1026" s="398">
        <f t="shared" si="811"/>
        <v>7.0027777777777782</v>
      </c>
      <c r="K1026" s="398">
        <f t="shared" si="811"/>
        <v>5.7377777777777776</v>
      </c>
      <c r="L1026" s="398">
        <f t="shared" si="811"/>
        <v>6.7766666666666664</v>
      </c>
      <c r="M1026" s="398">
        <f t="shared" si="811"/>
        <v>3.2527777777777778</v>
      </c>
      <c r="N1026" s="398">
        <f t="shared" si="811"/>
        <v>3.6144444444444446</v>
      </c>
      <c r="O1026" s="398">
        <f t="shared" si="811"/>
        <v>8.4947222222222223</v>
      </c>
      <c r="P1026" s="398">
        <f t="shared" si="811"/>
        <v>3.2527777777777778</v>
      </c>
      <c r="Q1026" s="398">
        <f t="shared" si="811"/>
        <v>3.2527777777777778</v>
      </c>
      <c r="R1026" s="398">
        <f t="shared" si="811"/>
        <v>4.2919444444444448</v>
      </c>
      <c r="S1026" s="398">
        <f t="shared" si="811"/>
        <v>4.0661111111111108</v>
      </c>
      <c r="T1026" s="398">
        <f t="shared" si="811"/>
        <v>0</v>
      </c>
      <c r="U1026" s="398">
        <v>0</v>
      </c>
      <c r="V1026" s="398">
        <f t="shared" si="811"/>
        <v>0</v>
      </c>
      <c r="W1026" s="398">
        <f t="shared" si="811"/>
        <v>3.2527777777777778</v>
      </c>
      <c r="Y1026" s="390">
        <v>12530</v>
      </c>
      <c r="Z1026" s="390">
        <v>28462</v>
      </c>
      <c r="AA1026" s="390">
        <v>34155</v>
      </c>
      <c r="AB1026" s="390">
        <v>22770</v>
      </c>
      <c r="AC1026" s="390">
        <v>12198</v>
      </c>
      <c r="AD1026" s="390">
        <v>16264</v>
      </c>
      <c r="AE1026" s="390">
        <v>25210</v>
      </c>
      <c r="AF1026" s="390">
        <v>20656</v>
      </c>
      <c r="AG1026" s="390">
        <v>24396</v>
      </c>
      <c r="AH1026" s="390">
        <v>11710</v>
      </c>
      <c r="AI1026" s="390">
        <v>13012</v>
      </c>
      <c r="AJ1026" s="390">
        <v>30581</v>
      </c>
      <c r="AK1026" s="396">
        <v>11710</v>
      </c>
      <c r="AL1026" s="396">
        <v>11710</v>
      </c>
      <c r="AM1026" s="390">
        <v>15451</v>
      </c>
      <c r="AN1026" s="390">
        <v>14638</v>
      </c>
      <c r="AO1026" s="390"/>
      <c r="AP1026" s="396">
        <v>30581</v>
      </c>
      <c r="AQ1026" s="390"/>
      <c r="AR1026" s="396">
        <v>11710</v>
      </c>
      <c r="AS1026" s="390"/>
    </row>
    <row r="1027" spans="2:45" x14ac:dyDescent="0.3">
      <c r="B1027" s="57" t="s">
        <v>53</v>
      </c>
      <c r="C1027" s="58"/>
      <c r="D1027" s="25">
        <f>SUM(D1025:D1026)</f>
        <v>70.890555555555551</v>
      </c>
      <c r="E1027" s="26">
        <f t="shared" ref="E1027:V1027" si="812">SUM(E1025:E1026)</f>
        <v>75.316111111111113</v>
      </c>
      <c r="F1027" s="26">
        <f t="shared" si="812"/>
        <v>76.897499999999994</v>
      </c>
      <c r="G1027" s="26">
        <f t="shared" si="812"/>
        <v>73.734999999999999</v>
      </c>
      <c r="H1027" s="26">
        <f t="shared" si="812"/>
        <v>70.798333333333332</v>
      </c>
      <c r="I1027" s="26">
        <f t="shared" si="812"/>
        <v>71.927777777777777</v>
      </c>
      <c r="J1027" s="26">
        <f t="shared" si="812"/>
        <v>74.412777777777777</v>
      </c>
      <c r="K1027" s="26">
        <f t="shared" si="812"/>
        <v>73.147777777777776</v>
      </c>
      <c r="L1027" s="26">
        <f t="shared" si="812"/>
        <v>74.186666666666667</v>
      </c>
      <c r="M1027" s="26">
        <f t="shared" si="812"/>
        <v>70.662777777777777</v>
      </c>
      <c r="N1027" s="26">
        <f t="shared" si="812"/>
        <v>71.024444444444441</v>
      </c>
      <c r="O1027" s="26">
        <f t="shared" si="812"/>
        <v>75.904722222222219</v>
      </c>
      <c r="P1027" s="26">
        <f t="shared" si="812"/>
        <v>70.662777777777777</v>
      </c>
      <c r="Q1027" s="26">
        <f t="shared" si="812"/>
        <v>70.662777777777777</v>
      </c>
      <c r="R1027" s="26">
        <f t="shared" si="812"/>
        <v>71.701944444444436</v>
      </c>
      <c r="S1027" s="26">
        <f t="shared" si="812"/>
        <v>71.476111111111109</v>
      </c>
      <c r="T1027" s="26">
        <f t="shared" si="812"/>
        <v>0</v>
      </c>
      <c r="U1027" s="26">
        <f t="shared" si="812"/>
        <v>0</v>
      </c>
      <c r="V1027" s="26">
        <f t="shared" si="812"/>
        <v>0</v>
      </c>
      <c r="W1027" s="26">
        <f>SUM(W1025:W1026)</f>
        <v>70.662777777777777</v>
      </c>
      <c r="Y1027" s="390">
        <v>3600</v>
      </c>
      <c r="Z1027" s="390">
        <v>3600</v>
      </c>
      <c r="AA1027" s="390">
        <v>3600</v>
      </c>
      <c r="AB1027" s="390">
        <v>3600</v>
      </c>
      <c r="AC1027" s="390">
        <v>3600</v>
      </c>
      <c r="AD1027" s="390">
        <v>3600</v>
      </c>
      <c r="AE1027" s="390">
        <v>3600</v>
      </c>
      <c r="AF1027" s="390">
        <v>3600</v>
      </c>
      <c r="AG1027" s="390">
        <v>3600</v>
      </c>
      <c r="AH1027" s="390">
        <v>3600</v>
      </c>
      <c r="AI1027" s="390">
        <v>3600</v>
      </c>
      <c r="AJ1027" s="390">
        <v>3600</v>
      </c>
      <c r="AK1027" s="390">
        <v>3600</v>
      </c>
      <c r="AL1027" s="390">
        <v>3600</v>
      </c>
      <c r="AM1027" s="390">
        <v>3600</v>
      </c>
      <c r="AN1027" s="390">
        <v>3600</v>
      </c>
      <c r="AO1027" s="390">
        <v>3600</v>
      </c>
      <c r="AP1027" s="390">
        <v>3600</v>
      </c>
      <c r="AQ1027" s="390">
        <v>3600</v>
      </c>
      <c r="AR1027" s="390">
        <v>3600</v>
      </c>
      <c r="AS1027" s="390"/>
    </row>
    <row r="1028" spans="2:45" x14ac:dyDescent="0.3">
      <c r="B1028" s="54" t="s">
        <v>54</v>
      </c>
      <c r="C1028" s="55"/>
      <c r="D1028" s="20"/>
      <c r="E1028" s="21"/>
      <c r="F1028" s="21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Y1028" s="389">
        <f>Y1026/Y1027</f>
        <v>3.4805555555555556</v>
      </c>
      <c r="Z1028" s="389">
        <f t="shared" ref="Z1028:AN1028" si="813">Z1026/Z1027</f>
        <v>7.9061111111111115</v>
      </c>
      <c r="AA1028" s="389">
        <f t="shared" si="813"/>
        <v>9.4875000000000007</v>
      </c>
      <c r="AB1028" s="389">
        <f t="shared" si="813"/>
        <v>6.3250000000000002</v>
      </c>
      <c r="AC1028" s="389">
        <f t="shared" si="813"/>
        <v>3.3883333333333332</v>
      </c>
      <c r="AD1028" s="389">
        <f t="shared" si="813"/>
        <v>4.5177777777777779</v>
      </c>
      <c r="AE1028" s="389">
        <f t="shared" si="813"/>
        <v>7.0027777777777782</v>
      </c>
      <c r="AF1028" s="389">
        <f t="shared" si="813"/>
        <v>5.7377777777777776</v>
      </c>
      <c r="AG1028" s="389">
        <f t="shared" si="813"/>
        <v>6.7766666666666664</v>
      </c>
      <c r="AH1028" s="389">
        <f t="shared" si="813"/>
        <v>3.2527777777777778</v>
      </c>
      <c r="AI1028" s="389">
        <f t="shared" si="813"/>
        <v>3.6144444444444446</v>
      </c>
      <c r="AJ1028" s="389">
        <f t="shared" si="813"/>
        <v>8.4947222222222223</v>
      </c>
      <c r="AK1028" s="389">
        <f t="shared" si="813"/>
        <v>3.2527777777777778</v>
      </c>
      <c r="AL1028" s="389">
        <f t="shared" si="813"/>
        <v>3.2527777777777778</v>
      </c>
      <c r="AM1028" s="389">
        <f t="shared" si="813"/>
        <v>4.2919444444444448</v>
      </c>
      <c r="AN1028" s="389">
        <f t="shared" si="813"/>
        <v>4.0661111111111108</v>
      </c>
      <c r="AO1028" s="390"/>
      <c r="AP1028" s="389">
        <f t="shared" ref="AP1028" si="814">AP1026/AP1027</f>
        <v>8.4947222222222223</v>
      </c>
      <c r="AQ1028" s="390"/>
      <c r="AR1028" s="389">
        <f t="shared" ref="AR1028" si="815">AR1026/AR1027</f>
        <v>3.2527777777777778</v>
      </c>
      <c r="AS1028" s="390"/>
    </row>
    <row r="1029" spans="2:45" x14ac:dyDescent="0.3">
      <c r="B1029" s="59" t="s">
        <v>55</v>
      </c>
      <c r="C1029" s="60"/>
      <c r="D1029" s="27">
        <f>SUM(D1027:D1028)</f>
        <v>70.890555555555551</v>
      </c>
      <c r="E1029" s="41">
        <f t="shared" ref="E1029:V1029" si="816">SUM(E1027:E1028)</f>
        <v>75.316111111111113</v>
      </c>
      <c r="F1029" s="41">
        <f t="shared" si="816"/>
        <v>76.897499999999994</v>
      </c>
      <c r="G1029" s="41">
        <f t="shared" si="816"/>
        <v>73.734999999999999</v>
      </c>
      <c r="H1029" s="41">
        <f t="shared" si="816"/>
        <v>70.798333333333332</v>
      </c>
      <c r="I1029" s="41">
        <f t="shared" si="816"/>
        <v>71.927777777777777</v>
      </c>
      <c r="J1029" s="41">
        <f t="shared" si="816"/>
        <v>74.412777777777777</v>
      </c>
      <c r="K1029" s="41">
        <f t="shared" si="816"/>
        <v>73.147777777777776</v>
      </c>
      <c r="L1029" s="41">
        <f t="shared" si="816"/>
        <v>74.186666666666667</v>
      </c>
      <c r="M1029" s="41">
        <f t="shared" si="816"/>
        <v>70.662777777777777</v>
      </c>
      <c r="N1029" s="41">
        <f t="shared" si="816"/>
        <v>71.024444444444441</v>
      </c>
      <c r="O1029" s="41">
        <f t="shared" si="816"/>
        <v>75.904722222222219</v>
      </c>
      <c r="P1029" s="41">
        <f t="shared" si="816"/>
        <v>70.662777777777777</v>
      </c>
      <c r="Q1029" s="41">
        <f t="shared" si="816"/>
        <v>70.662777777777777</v>
      </c>
      <c r="R1029" s="41">
        <f t="shared" si="816"/>
        <v>71.701944444444436</v>
      </c>
      <c r="S1029" s="41">
        <f t="shared" si="816"/>
        <v>71.476111111111109</v>
      </c>
      <c r="T1029" s="41">
        <f t="shared" si="816"/>
        <v>0</v>
      </c>
      <c r="U1029" s="41">
        <f t="shared" si="816"/>
        <v>0</v>
      </c>
      <c r="V1029" s="41">
        <f t="shared" si="816"/>
        <v>0</v>
      </c>
      <c r="W1029" s="41">
        <f>SUM(W1027:W1028)</f>
        <v>70.662777777777777</v>
      </c>
      <c r="Y1029" s="390"/>
      <c r="Z1029" s="390"/>
      <c r="AA1029" s="390"/>
      <c r="AB1029" s="390"/>
      <c r="AC1029" s="390"/>
      <c r="AD1029" s="390"/>
      <c r="AE1029" s="390"/>
      <c r="AF1029" s="390"/>
      <c r="AG1029" s="390"/>
      <c r="AH1029" s="390"/>
      <c r="AI1029" s="390"/>
      <c r="AJ1029" s="390"/>
      <c r="AK1029" s="390"/>
      <c r="AL1029" s="390"/>
      <c r="AM1029" s="390"/>
      <c r="AN1029" s="390"/>
      <c r="AO1029" s="390"/>
      <c r="AP1029" s="390"/>
      <c r="AQ1029" s="390"/>
      <c r="AR1029" s="390"/>
      <c r="AS1029" s="390"/>
    </row>
    <row r="1030" spans="2:45" x14ac:dyDescent="0.3">
      <c r="B1030" s="61" t="s">
        <v>101</v>
      </c>
      <c r="C1030" s="55"/>
      <c r="D1030" s="43">
        <v>0</v>
      </c>
      <c r="E1030" s="408">
        <v>0</v>
      </c>
      <c r="F1030" s="408">
        <v>0</v>
      </c>
      <c r="G1030" s="408">
        <v>0</v>
      </c>
      <c r="H1030" s="408">
        <v>0</v>
      </c>
      <c r="I1030" s="408">
        <v>0</v>
      </c>
      <c r="J1030" s="408">
        <v>0</v>
      </c>
      <c r="K1030" s="408">
        <v>0</v>
      </c>
      <c r="L1030" s="408">
        <v>0</v>
      </c>
      <c r="M1030" s="408">
        <v>0</v>
      </c>
      <c r="N1030" s="408">
        <v>0</v>
      </c>
      <c r="O1030" s="408">
        <v>0</v>
      </c>
      <c r="P1030" s="408">
        <v>0</v>
      </c>
      <c r="Q1030" s="408">
        <v>0</v>
      </c>
      <c r="R1030" s="408">
        <v>0</v>
      </c>
      <c r="S1030" s="408">
        <v>0</v>
      </c>
      <c r="T1030" s="408">
        <v>0</v>
      </c>
      <c r="U1030" s="408">
        <v>0</v>
      </c>
      <c r="V1030" s="408">
        <v>0</v>
      </c>
      <c r="W1030" s="408">
        <v>0</v>
      </c>
      <c r="Y1030" s="409"/>
      <c r="Z1030" s="409"/>
      <c r="AA1030" s="409"/>
      <c r="AB1030" s="409"/>
      <c r="AC1030" s="409"/>
      <c r="AD1030" s="409"/>
      <c r="AE1030" s="409"/>
      <c r="AF1030" s="409"/>
      <c r="AG1030" s="409"/>
      <c r="AH1030" s="409"/>
      <c r="AI1030" s="409"/>
      <c r="AJ1030" s="409"/>
      <c r="AK1030" s="409"/>
      <c r="AL1030" s="409"/>
      <c r="AM1030" s="409"/>
      <c r="AN1030" s="409"/>
      <c r="AO1030" s="409"/>
      <c r="AP1030" s="409"/>
      <c r="AQ1030" s="409"/>
      <c r="AR1030" s="409"/>
      <c r="AS1030" s="409"/>
    </row>
    <row r="1031" spans="2:45" x14ac:dyDescent="0.3">
      <c r="B1031" s="61" t="s">
        <v>194</v>
      </c>
      <c r="C1031" s="55"/>
      <c r="D1031" s="228">
        <v>76</v>
      </c>
      <c r="E1031" s="229">
        <v>81</v>
      </c>
      <c r="F1031" s="229">
        <v>82</v>
      </c>
      <c r="G1031" s="229">
        <v>79</v>
      </c>
      <c r="H1031" s="229">
        <v>76</v>
      </c>
      <c r="I1031" s="229">
        <v>77</v>
      </c>
      <c r="J1031" s="229">
        <v>80</v>
      </c>
      <c r="K1031" s="229">
        <v>79</v>
      </c>
      <c r="L1031" s="229">
        <v>80</v>
      </c>
      <c r="M1031" s="229">
        <v>76</v>
      </c>
      <c r="N1031" s="229">
        <v>77</v>
      </c>
      <c r="O1031" s="229">
        <v>81</v>
      </c>
      <c r="P1031" s="229">
        <v>76</v>
      </c>
      <c r="Q1031" s="229">
        <v>76</v>
      </c>
      <c r="R1031" s="229">
        <v>77</v>
      </c>
      <c r="S1031" s="229">
        <v>77</v>
      </c>
      <c r="T1031" s="21">
        <v>0</v>
      </c>
      <c r="U1031" s="21">
        <v>0</v>
      </c>
      <c r="V1031" s="21">
        <v>0</v>
      </c>
      <c r="W1031" s="229">
        <v>76</v>
      </c>
      <c r="Y1031" s="390"/>
      <c r="Z1031" s="390"/>
      <c r="AA1031" s="390"/>
      <c r="AB1031" s="390"/>
      <c r="AC1031" s="390"/>
      <c r="AD1031" s="390"/>
      <c r="AE1031" s="390"/>
      <c r="AF1031" s="390"/>
      <c r="AG1031" s="390"/>
      <c r="AH1031" s="390"/>
      <c r="AI1031" s="390"/>
      <c r="AJ1031" s="390"/>
      <c r="AK1031" s="390"/>
      <c r="AL1031" s="390"/>
      <c r="AM1031" s="390"/>
      <c r="AN1031" s="390"/>
      <c r="AO1031" s="390"/>
      <c r="AP1031" s="390"/>
      <c r="AQ1031" s="390"/>
      <c r="AR1031" s="390"/>
      <c r="AS1031" s="390"/>
    </row>
    <row r="1032" spans="2:45" x14ac:dyDescent="0.3">
      <c r="B1032" s="61" t="s">
        <v>195</v>
      </c>
      <c r="C1032" s="62"/>
      <c r="D1032" s="28">
        <v>77</v>
      </c>
      <c r="E1032" s="28">
        <v>82</v>
      </c>
      <c r="F1032" s="28">
        <v>83</v>
      </c>
      <c r="G1032" s="28">
        <v>80</v>
      </c>
      <c r="H1032" s="28">
        <v>77</v>
      </c>
      <c r="I1032" s="28">
        <v>78</v>
      </c>
      <c r="J1032" s="28">
        <v>81</v>
      </c>
      <c r="K1032" s="28">
        <v>80</v>
      </c>
      <c r="L1032" s="28">
        <v>81</v>
      </c>
      <c r="M1032" s="28">
        <v>77</v>
      </c>
      <c r="N1032" s="28">
        <v>78</v>
      </c>
      <c r="O1032" s="28">
        <v>82</v>
      </c>
      <c r="P1032" s="28">
        <v>77</v>
      </c>
      <c r="Q1032" s="28">
        <v>77</v>
      </c>
      <c r="R1032" s="28">
        <v>78</v>
      </c>
      <c r="S1032" s="28">
        <v>78</v>
      </c>
      <c r="T1032" s="410">
        <v>0</v>
      </c>
      <c r="U1032" s="410">
        <v>0</v>
      </c>
      <c r="V1032" s="410">
        <v>0</v>
      </c>
      <c r="W1032" s="28">
        <v>77</v>
      </c>
      <c r="Y1032" s="390"/>
      <c r="Z1032" s="390"/>
      <c r="AA1032" s="390"/>
      <c r="AB1032" s="390"/>
      <c r="AC1032" s="390"/>
      <c r="AD1032" s="390"/>
      <c r="AE1032" s="390"/>
      <c r="AF1032" s="390"/>
      <c r="AG1032" s="390"/>
      <c r="AH1032" s="390"/>
      <c r="AI1032" s="390"/>
      <c r="AJ1032" s="390"/>
      <c r="AK1032" s="390"/>
      <c r="AL1032" s="390"/>
      <c r="AM1032" s="390"/>
      <c r="AN1032" s="390"/>
      <c r="AO1032" s="390"/>
      <c r="AP1032" s="390"/>
      <c r="AQ1032" s="390"/>
      <c r="AR1032" s="390"/>
      <c r="AS1032" s="390"/>
    </row>
    <row r="1033" spans="2:45" x14ac:dyDescent="0.3">
      <c r="B1033" s="61" t="s">
        <v>196</v>
      </c>
      <c r="C1033" s="62"/>
      <c r="D1033" s="28">
        <v>78</v>
      </c>
      <c r="E1033" s="28">
        <v>83</v>
      </c>
      <c r="F1033" s="28">
        <v>84</v>
      </c>
      <c r="G1033" s="28">
        <v>81</v>
      </c>
      <c r="H1033" s="28">
        <v>78</v>
      </c>
      <c r="I1033" s="28">
        <v>79</v>
      </c>
      <c r="J1033" s="28">
        <v>82</v>
      </c>
      <c r="K1033" s="28">
        <v>81</v>
      </c>
      <c r="L1033" s="28">
        <v>82</v>
      </c>
      <c r="M1033" s="28">
        <v>78</v>
      </c>
      <c r="N1033" s="28">
        <v>79</v>
      </c>
      <c r="O1033" s="28">
        <v>83</v>
      </c>
      <c r="P1033" s="28">
        <v>78</v>
      </c>
      <c r="Q1033" s="28">
        <v>78</v>
      </c>
      <c r="R1033" s="28">
        <v>79</v>
      </c>
      <c r="S1033" s="28">
        <v>79</v>
      </c>
      <c r="T1033" s="410">
        <v>0</v>
      </c>
      <c r="U1033" s="410">
        <v>0</v>
      </c>
      <c r="V1033" s="410">
        <v>0</v>
      </c>
      <c r="W1033" s="28">
        <v>78</v>
      </c>
      <c r="Y1033" s="390"/>
      <c r="Z1033" s="390"/>
      <c r="AA1033" s="390"/>
      <c r="AB1033" s="390"/>
      <c r="AC1033" s="390"/>
      <c r="AD1033" s="390"/>
      <c r="AE1033" s="390"/>
      <c r="AF1033" s="390"/>
      <c r="AG1033" s="390"/>
      <c r="AH1033" s="390"/>
      <c r="AI1033" s="390"/>
      <c r="AJ1033" s="390"/>
      <c r="AK1033" s="390"/>
      <c r="AL1033" s="390"/>
      <c r="AM1033" s="390"/>
      <c r="AN1033" s="390"/>
      <c r="AO1033" s="390"/>
      <c r="AP1033" s="390"/>
      <c r="AQ1033" s="390"/>
      <c r="AR1033" s="390"/>
      <c r="AS1033" s="390"/>
    </row>
    <row r="1034" spans="2:45" x14ac:dyDescent="0.3">
      <c r="B1034" s="61" t="s">
        <v>197</v>
      </c>
      <c r="C1034" s="62"/>
      <c r="D1034" s="28">
        <v>79</v>
      </c>
      <c r="E1034" s="28">
        <v>84</v>
      </c>
      <c r="F1034" s="28">
        <v>85</v>
      </c>
      <c r="G1034" s="28">
        <v>82</v>
      </c>
      <c r="H1034" s="28">
        <v>79</v>
      </c>
      <c r="I1034" s="28">
        <v>80</v>
      </c>
      <c r="J1034" s="28">
        <v>83</v>
      </c>
      <c r="K1034" s="28">
        <v>82</v>
      </c>
      <c r="L1034" s="28">
        <v>83</v>
      </c>
      <c r="M1034" s="28">
        <v>79</v>
      </c>
      <c r="N1034" s="28">
        <v>80</v>
      </c>
      <c r="O1034" s="28">
        <v>84</v>
      </c>
      <c r="P1034" s="28">
        <v>79</v>
      </c>
      <c r="Q1034" s="28">
        <v>79</v>
      </c>
      <c r="R1034" s="28">
        <v>80</v>
      </c>
      <c r="S1034" s="28">
        <v>80</v>
      </c>
      <c r="T1034" s="410">
        <v>0</v>
      </c>
      <c r="U1034" s="410">
        <v>0</v>
      </c>
      <c r="V1034" s="410">
        <v>0</v>
      </c>
      <c r="W1034" s="28">
        <v>79</v>
      </c>
      <c r="Y1034" s="390"/>
      <c r="Z1034" s="390"/>
      <c r="AA1034" s="390"/>
      <c r="AB1034" s="390"/>
      <c r="AC1034" s="390"/>
      <c r="AD1034" s="390"/>
      <c r="AE1034" s="390"/>
      <c r="AF1034" s="390"/>
      <c r="AG1034" s="390"/>
      <c r="AH1034" s="390"/>
      <c r="AI1034" s="390"/>
      <c r="AJ1034" s="390"/>
      <c r="AK1034" s="390"/>
      <c r="AL1034" s="390"/>
      <c r="AM1034" s="390"/>
      <c r="AN1034" s="390"/>
      <c r="AO1034" s="390"/>
      <c r="AP1034" s="390"/>
      <c r="AQ1034" s="390"/>
      <c r="AR1034" s="390"/>
      <c r="AS1034" s="390"/>
    </row>
    <row r="1035" spans="2:45" x14ac:dyDescent="0.3">
      <c r="B1035" s="63" t="s">
        <v>103</v>
      </c>
      <c r="C1035" s="55"/>
      <c r="D1035" s="43">
        <v>0</v>
      </c>
      <c r="E1035" s="408">
        <v>0</v>
      </c>
      <c r="F1035" s="408">
        <v>0</v>
      </c>
      <c r="G1035" s="408">
        <v>0</v>
      </c>
      <c r="H1035" s="408">
        <v>0</v>
      </c>
      <c r="I1035" s="408">
        <v>0</v>
      </c>
      <c r="J1035" s="408">
        <v>0</v>
      </c>
      <c r="K1035" s="408">
        <v>0</v>
      </c>
      <c r="L1035" s="408">
        <v>0</v>
      </c>
      <c r="M1035" s="408">
        <v>0</v>
      </c>
      <c r="N1035" s="408">
        <v>0</v>
      </c>
      <c r="O1035" s="408">
        <v>0</v>
      </c>
      <c r="P1035" s="408">
        <v>0</v>
      </c>
      <c r="Q1035" s="408">
        <v>0</v>
      </c>
      <c r="R1035" s="408">
        <v>0</v>
      </c>
      <c r="S1035" s="408">
        <v>0</v>
      </c>
      <c r="T1035" s="408">
        <v>0</v>
      </c>
      <c r="U1035" s="408">
        <v>0</v>
      </c>
      <c r="V1035" s="408">
        <v>0</v>
      </c>
      <c r="W1035" s="408">
        <v>0</v>
      </c>
      <c r="Y1035" s="409"/>
      <c r="Z1035" s="409"/>
      <c r="AA1035" s="409"/>
      <c r="AB1035" s="409"/>
      <c r="AC1035" s="409"/>
      <c r="AD1035" s="409"/>
      <c r="AE1035" s="409"/>
      <c r="AF1035" s="409"/>
      <c r="AG1035" s="409"/>
      <c r="AH1035" s="409"/>
      <c r="AI1035" s="409"/>
      <c r="AJ1035" s="409"/>
      <c r="AK1035" s="409"/>
      <c r="AL1035" s="409"/>
      <c r="AM1035" s="409"/>
      <c r="AN1035" s="409"/>
      <c r="AO1035" s="409"/>
      <c r="AP1035" s="409"/>
      <c r="AQ1035" s="409"/>
      <c r="AR1035" s="409"/>
      <c r="AS1035" s="409"/>
    </row>
    <row r="1036" spans="2:45" x14ac:dyDescent="0.3">
      <c r="B1036" s="63" t="s">
        <v>198</v>
      </c>
      <c r="C1036" s="62"/>
      <c r="D1036" s="31">
        <f>+D1031-D$1029</f>
        <v>5.1094444444444491</v>
      </c>
      <c r="E1036" s="31">
        <f t="shared" ref="E1036:W1036" si="817">+E1031-E$1029</f>
        <v>5.6838888888888874</v>
      </c>
      <c r="F1036" s="31">
        <f t="shared" si="817"/>
        <v>5.1025000000000063</v>
      </c>
      <c r="G1036" s="31">
        <f t="shared" si="817"/>
        <v>5.2650000000000006</v>
      </c>
      <c r="H1036" s="31">
        <f t="shared" si="817"/>
        <v>5.201666666666668</v>
      </c>
      <c r="I1036" s="31">
        <f t="shared" si="817"/>
        <v>5.0722222222222229</v>
      </c>
      <c r="J1036" s="31">
        <f t="shared" si="817"/>
        <v>5.5872222222222234</v>
      </c>
      <c r="K1036" s="31">
        <f t="shared" si="817"/>
        <v>5.852222222222224</v>
      </c>
      <c r="L1036" s="31">
        <f t="shared" si="817"/>
        <v>5.8133333333333326</v>
      </c>
      <c r="M1036" s="31">
        <f t="shared" si="817"/>
        <v>5.3372222222222234</v>
      </c>
      <c r="N1036" s="31">
        <f t="shared" si="817"/>
        <v>5.9755555555555588</v>
      </c>
      <c r="O1036" s="31">
        <f t="shared" si="817"/>
        <v>5.0952777777777811</v>
      </c>
      <c r="P1036" s="31">
        <f t="shared" si="817"/>
        <v>5.3372222222222234</v>
      </c>
      <c r="Q1036" s="31">
        <f t="shared" si="817"/>
        <v>5.3372222222222234</v>
      </c>
      <c r="R1036" s="31">
        <f t="shared" si="817"/>
        <v>5.298055555555564</v>
      </c>
      <c r="S1036" s="31">
        <f t="shared" si="817"/>
        <v>5.5238888888888908</v>
      </c>
      <c r="T1036" s="29">
        <f t="shared" si="817"/>
        <v>0</v>
      </c>
      <c r="U1036" s="29">
        <f t="shared" si="817"/>
        <v>0</v>
      </c>
      <c r="V1036" s="29">
        <f t="shared" si="817"/>
        <v>0</v>
      </c>
      <c r="W1036" s="31">
        <f t="shared" si="817"/>
        <v>5.3372222222222234</v>
      </c>
      <c r="Y1036" s="390"/>
      <c r="Z1036" s="390"/>
      <c r="AA1036" s="390"/>
      <c r="AB1036" s="390"/>
      <c r="AC1036" s="390"/>
      <c r="AD1036" s="390"/>
      <c r="AE1036" s="390"/>
      <c r="AF1036" s="390"/>
      <c r="AG1036" s="390"/>
      <c r="AH1036" s="390"/>
      <c r="AI1036" s="390"/>
      <c r="AJ1036" s="390"/>
      <c r="AK1036" s="390"/>
      <c r="AL1036" s="390"/>
      <c r="AM1036" s="390"/>
      <c r="AN1036" s="390"/>
      <c r="AO1036" s="390"/>
      <c r="AP1036" s="390"/>
      <c r="AQ1036" s="390"/>
      <c r="AR1036" s="390"/>
      <c r="AS1036" s="390"/>
    </row>
    <row r="1037" spans="2:45" x14ac:dyDescent="0.3">
      <c r="B1037" s="63" t="s">
        <v>199</v>
      </c>
      <c r="C1037" s="64"/>
      <c r="D1037" s="31">
        <f>+D1032-D$1029</f>
        <v>6.1094444444444491</v>
      </c>
      <c r="E1037" s="32">
        <f t="shared" ref="E1037:W1037" si="818">+E1032-E$1029</f>
        <v>6.6838888888888874</v>
      </c>
      <c r="F1037" s="32">
        <f t="shared" si="818"/>
        <v>6.1025000000000063</v>
      </c>
      <c r="G1037" s="32">
        <f t="shared" si="818"/>
        <v>6.2650000000000006</v>
      </c>
      <c r="H1037" s="32">
        <f t="shared" si="818"/>
        <v>6.201666666666668</v>
      </c>
      <c r="I1037" s="32">
        <f t="shared" si="818"/>
        <v>6.0722222222222229</v>
      </c>
      <c r="J1037" s="32">
        <f t="shared" si="818"/>
        <v>6.5872222222222234</v>
      </c>
      <c r="K1037" s="32">
        <f t="shared" si="818"/>
        <v>6.852222222222224</v>
      </c>
      <c r="L1037" s="32">
        <f t="shared" si="818"/>
        <v>6.8133333333333326</v>
      </c>
      <c r="M1037" s="32">
        <f t="shared" si="818"/>
        <v>6.3372222222222234</v>
      </c>
      <c r="N1037" s="32">
        <f t="shared" si="818"/>
        <v>6.9755555555555588</v>
      </c>
      <c r="O1037" s="32">
        <f t="shared" si="818"/>
        <v>6.0952777777777811</v>
      </c>
      <c r="P1037" s="32">
        <f t="shared" si="818"/>
        <v>6.3372222222222234</v>
      </c>
      <c r="Q1037" s="32">
        <f t="shared" si="818"/>
        <v>6.3372222222222234</v>
      </c>
      <c r="R1037" s="32">
        <f t="shared" si="818"/>
        <v>6.298055555555564</v>
      </c>
      <c r="S1037" s="32">
        <f t="shared" si="818"/>
        <v>6.5238888888888908</v>
      </c>
      <c r="T1037" s="32">
        <f t="shared" si="818"/>
        <v>0</v>
      </c>
      <c r="U1037" s="32">
        <f t="shared" si="818"/>
        <v>0</v>
      </c>
      <c r="V1037" s="32">
        <f t="shared" si="818"/>
        <v>0</v>
      </c>
      <c r="W1037" s="32">
        <f t="shared" si="818"/>
        <v>6.3372222222222234</v>
      </c>
      <c r="Y1037" s="390"/>
      <c r="Z1037" s="390"/>
      <c r="AA1037" s="390"/>
      <c r="AB1037" s="390"/>
      <c r="AC1037" s="390"/>
      <c r="AD1037" s="390"/>
      <c r="AE1037" s="390"/>
      <c r="AF1037" s="390"/>
      <c r="AG1037" s="390"/>
      <c r="AH1037" s="390"/>
      <c r="AI1037" s="390"/>
      <c r="AJ1037" s="390"/>
      <c r="AK1037" s="390"/>
      <c r="AL1037" s="390"/>
      <c r="AM1037" s="390"/>
      <c r="AN1037" s="390"/>
      <c r="AO1037" s="390"/>
      <c r="AP1037" s="390"/>
      <c r="AQ1037" s="390"/>
      <c r="AR1037" s="390"/>
      <c r="AS1037" s="390"/>
    </row>
    <row r="1038" spans="2:45" x14ac:dyDescent="0.3">
      <c r="B1038" s="63" t="s">
        <v>200</v>
      </c>
      <c r="C1038" s="64"/>
      <c r="D1038" s="31">
        <f>+D1033-D$1029</f>
        <v>7.1094444444444491</v>
      </c>
      <c r="E1038" s="32">
        <f t="shared" ref="E1038:W1038" si="819">+E1033-E$1029</f>
        <v>7.6838888888888874</v>
      </c>
      <c r="F1038" s="32">
        <f t="shared" si="819"/>
        <v>7.1025000000000063</v>
      </c>
      <c r="G1038" s="32">
        <f t="shared" si="819"/>
        <v>7.2650000000000006</v>
      </c>
      <c r="H1038" s="32">
        <f t="shared" si="819"/>
        <v>7.201666666666668</v>
      </c>
      <c r="I1038" s="32">
        <f t="shared" si="819"/>
        <v>7.0722222222222229</v>
      </c>
      <c r="J1038" s="32">
        <f t="shared" si="819"/>
        <v>7.5872222222222234</v>
      </c>
      <c r="K1038" s="32">
        <f t="shared" si="819"/>
        <v>7.852222222222224</v>
      </c>
      <c r="L1038" s="32">
        <f t="shared" si="819"/>
        <v>7.8133333333333326</v>
      </c>
      <c r="M1038" s="32">
        <f t="shared" si="819"/>
        <v>7.3372222222222234</v>
      </c>
      <c r="N1038" s="32">
        <f t="shared" si="819"/>
        <v>7.9755555555555588</v>
      </c>
      <c r="O1038" s="32">
        <f t="shared" si="819"/>
        <v>7.0952777777777811</v>
      </c>
      <c r="P1038" s="32">
        <f t="shared" si="819"/>
        <v>7.3372222222222234</v>
      </c>
      <c r="Q1038" s="32">
        <f t="shared" si="819"/>
        <v>7.3372222222222234</v>
      </c>
      <c r="R1038" s="32">
        <f t="shared" si="819"/>
        <v>7.298055555555564</v>
      </c>
      <c r="S1038" s="32">
        <f t="shared" si="819"/>
        <v>7.5238888888888908</v>
      </c>
      <c r="T1038" s="32">
        <f t="shared" si="819"/>
        <v>0</v>
      </c>
      <c r="U1038" s="32">
        <f t="shared" si="819"/>
        <v>0</v>
      </c>
      <c r="V1038" s="32">
        <f t="shared" si="819"/>
        <v>0</v>
      </c>
      <c r="W1038" s="32">
        <f t="shared" si="819"/>
        <v>7.3372222222222234</v>
      </c>
      <c r="Y1038" s="390"/>
      <c r="Z1038" s="390"/>
      <c r="AA1038" s="390"/>
      <c r="AB1038" s="390"/>
      <c r="AC1038" s="390"/>
      <c r="AD1038" s="390"/>
      <c r="AE1038" s="390"/>
      <c r="AF1038" s="390"/>
      <c r="AG1038" s="390"/>
      <c r="AH1038" s="390"/>
      <c r="AI1038" s="390"/>
      <c r="AJ1038" s="390"/>
      <c r="AK1038" s="390"/>
      <c r="AL1038" s="390"/>
      <c r="AM1038" s="390"/>
      <c r="AN1038" s="390"/>
      <c r="AO1038" s="390"/>
      <c r="AP1038" s="390"/>
      <c r="AQ1038" s="390"/>
      <c r="AR1038" s="390"/>
      <c r="AS1038" s="390"/>
    </row>
    <row r="1039" spans="2:45" x14ac:dyDescent="0.3">
      <c r="B1039" s="63" t="s">
        <v>201</v>
      </c>
      <c r="C1039" s="64"/>
      <c r="D1039" s="31">
        <f>+D1034-D$1029</f>
        <v>8.1094444444444491</v>
      </c>
      <c r="E1039" s="32">
        <f t="shared" ref="E1039:W1039" si="820">+E1034-E$1029</f>
        <v>8.6838888888888874</v>
      </c>
      <c r="F1039" s="32">
        <f t="shared" si="820"/>
        <v>8.1025000000000063</v>
      </c>
      <c r="G1039" s="32">
        <f t="shared" si="820"/>
        <v>8.2650000000000006</v>
      </c>
      <c r="H1039" s="32">
        <f t="shared" si="820"/>
        <v>8.201666666666668</v>
      </c>
      <c r="I1039" s="32">
        <f t="shared" si="820"/>
        <v>8.0722222222222229</v>
      </c>
      <c r="J1039" s="32">
        <f t="shared" si="820"/>
        <v>8.5872222222222234</v>
      </c>
      <c r="K1039" s="32">
        <f t="shared" si="820"/>
        <v>8.852222222222224</v>
      </c>
      <c r="L1039" s="32">
        <f t="shared" si="820"/>
        <v>8.8133333333333326</v>
      </c>
      <c r="M1039" s="32">
        <f t="shared" si="820"/>
        <v>8.3372222222222234</v>
      </c>
      <c r="N1039" s="32">
        <f t="shared" si="820"/>
        <v>8.9755555555555588</v>
      </c>
      <c r="O1039" s="32">
        <f t="shared" si="820"/>
        <v>8.0952777777777811</v>
      </c>
      <c r="P1039" s="32">
        <f t="shared" si="820"/>
        <v>8.3372222222222234</v>
      </c>
      <c r="Q1039" s="32">
        <f t="shared" si="820"/>
        <v>8.3372222222222234</v>
      </c>
      <c r="R1039" s="32">
        <f t="shared" si="820"/>
        <v>8.298055555555564</v>
      </c>
      <c r="S1039" s="32">
        <f t="shared" si="820"/>
        <v>8.5238888888888908</v>
      </c>
      <c r="T1039" s="32">
        <f t="shared" si="820"/>
        <v>0</v>
      </c>
      <c r="U1039" s="32">
        <f t="shared" si="820"/>
        <v>0</v>
      </c>
      <c r="V1039" s="32">
        <f t="shared" si="820"/>
        <v>0</v>
      </c>
      <c r="W1039" s="32">
        <f t="shared" si="820"/>
        <v>8.3372222222222234</v>
      </c>
      <c r="Y1039" s="390"/>
      <c r="Z1039" s="390"/>
      <c r="AA1039" s="390"/>
      <c r="AB1039" s="390"/>
      <c r="AC1039" s="390"/>
      <c r="AD1039" s="390"/>
      <c r="AE1039" s="390"/>
      <c r="AF1039" s="390"/>
      <c r="AG1039" s="390"/>
      <c r="AH1039" s="390"/>
      <c r="AI1039" s="390"/>
      <c r="AJ1039" s="390"/>
      <c r="AK1039" s="390"/>
      <c r="AL1039" s="390"/>
      <c r="AM1039" s="390"/>
      <c r="AN1039" s="390"/>
      <c r="AO1039" s="390"/>
      <c r="AP1039" s="390"/>
      <c r="AQ1039" s="390"/>
      <c r="AR1039" s="390"/>
      <c r="AS1039" s="390"/>
    </row>
    <row r="1040" spans="2:45" x14ac:dyDescent="0.3">
      <c r="B1040" s="65" t="s">
        <v>108</v>
      </c>
      <c r="C1040" s="55"/>
      <c r="D1040" s="43">
        <v>0</v>
      </c>
      <c r="E1040" s="408">
        <v>0</v>
      </c>
      <c r="F1040" s="408">
        <v>0</v>
      </c>
      <c r="G1040" s="408">
        <v>0</v>
      </c>
      <c r="H1040" s="408">
        <v>0</v>
      </c>
      <c r="I1040" s="408">
        <v>0</v>
      </c>
      <c r="J1040" s="408">
        <v>0</v>
      </c>
      <c r="K1040" s="408">
        <v>0</v>
      </c>
      <c r="L1040" s="408">
        <v>0</v>
      </c>
      <c r="M1040" s="408">
        <v>0</v>
      </c>
      <c r="N1040" s="408">
        <v>0</v>
      </c>
      <c r="O1040" s="408">
        <v>0</v>
      </c>
      <c r="P1040" s="408">
        <v>0</v>
      </c>
      <c r="Q1040" s="408">
        <v>0</v>
      </c>
      <c r="R1040" s="408">
        <v>0</v>
      </c>
      <c r="S1040" s="408">
        <v>0</v>
      </c>
      <c r="T1040" s="408">
        <v>0</v>
      </c>
      <c r="U1040" s="408">
        <v>0</v>
      </c>
      <c r="V1040" s="408">
        <v>0</v>
      </c>
      <c r="W1040" s="408">
        <v>0</v>
      </c>
      <c r="Y1040" s="409"/>
      <c r="Z1040" s="409"/>
      <c r="AA1040" s="409"/>
      <c r="AB1040" s="409"/>
      <c r="AC1040" s="409"/>
      <c r="AD1040" s="409"/>
      <c r="AE1040" s="409"/>
      <c r="AF1040" s="409"/>
      <c r="AG1040" s="409"/>
      <c r="AH1040" s="409"/>
      <c r="AI1040" s="409"/>
      <c r="AJ1040" s="409"/>
      <c r="AK1040" s="409"/>
      <c r="AL1040" s="409"/>
      <c r="AM1040" s="409"/>
      <c r="AN1040" s="409"/>
      <c r="AO1040" s="409"/>
      <c r="AP1040" s="409"/>
      <c r="AQ1040" s="409"/>
      <c r="AR1040" s="409"/>
      <c r="AS1040" s="409"/>
    </row>
    <row r="1041" spans="2:45" x14ac:dyDescent="0.3">
      <c r="B1041" s="65" t="s">
        <v>202</v>
      </c>
      <c r="C1041" s="64"/>
      <c r="D1041" s="99">
        <f>+D1036/D$1031</f>
        <v>6.722953216374275E-2</v>
      </c>
      <c r="E1041" s="99">
        <f t="shared" ref="E1041:W1041" si="821">+E1036/E$1031</f>
        <v>7.0171467764060344E-2</v>
      </c>
      <c r="F1041" s="99">
        <f t="shared" si="821"/>
        <v>6.2225609756097637E-2</v>
      </c>
      <c r="G1041" s="99">
        <f t="shared" si="821"/>
        <v>6.664556962025317E-2</v>
      </c>
      <c r="H1041" s="99">
        <f t="shared" si="821"/>
        <v>6.8442982456140375E-2</v>
      </c>
      <c r="I1041" s="99">
        <f t="shared" si="821"/>
        <v>6.5873015873015875E-2</v>
      </c>
      <c r="J1041" s="99">
        <f t="shared" si="821"/>
        <v>6.9840277777777793E-2</v>
      </c>
      <c r="K1041" s="99">
        <f t="shared" si="821"/>
        <v>7.4078762306610424E-2</v>
      </c>
      <c r="L1041" s="99">
        <f t="shared" si="821"/>
        <v>7.2666666666666657E-2</v>
      </c>
      <c r="M1041" s="99">
        <f t="shared" si="821"/>
        <v>7.0226608187134512E-2</v>
      </c>
      <c r="N1041" s="99">
        <f t="shared" si="821"/>
        <v>7.7604617604617648E-2</v>
      </c>
      <c r="O1041" s="99">
        <f t="shared" si="821"/>
        <v>6.2904663923182488E-2</v>
      </c>
      <c r="P1041" s="99">
        <f t="shared" si="821"/>
        <v>7.0226608187134512E-2</v>
      </c>
      <c r="Q1041" s="99">
        <f t="shared" si="821"/>
        <v>7.0226608187134512E-2</v>
      </c>
      <c r="R1041" s="99">
        <f t="shared" si="821"/>
        <v>6.8805916305916412E-2</v>
      </c>
      <c r="S1041" s="99">
        <f t="shared" si="821"/>
        <v>7.1738816738816769E-2</v>
      </c>
      <c r="T1041" s="372" t="e">
        <f t="shared" si="821"/>
        <v>#DIV/0!</v>
      </c>
      <c r="U1041" s="372" t="e">
        <f t="shared" si="821"/>
        <v>#DIV/0!</v>
      </c>
      <c r="V1041" s="372" t="e">
        <f t="shared" si="821"/>
        <v>#DIV/0!</v>
      </c>
      <c r="W1041" s="99">
        <f t="shared" si="821"/>
        <v>7.0226608187134512E-2</v>
      </c>
      <c r="Y1041" s="390"/>
      <c r="Z1041" s="390"/>
      <c r="AA1041" s="390"/>
      <c r="AB1041" s="390"/>
      <c r="AC1041" s="390"/>
      <c r="AD1041" s="390"/>
      <c r="AE1041" s="390"/>
      <c r="AF1041" s="390"/>
      <c r="AG1041" s="390"/>
      <c r="AH1041" s="390"/>
      <c r="AI1041" s="390"/>
      <c r="AJ1041" s="390"/>
      <c r="AK1041" s="390"/>
      <c r="AL1041" s="390"/>
      <c r="AM1041" s="390"/>
      <c r="AN1041" s="390"/>
      <c r="AO1041" s="390"/>
      <c r="AP1041" s="390"/>
      <c r="AQ1041" s="390"/>
      <c r="AR1041" s="390"/>
      <c r="AS1041" s="390"/>
    </row>
    <row r="1042" spans="2:45" x14ac:dyDescent="0.3">
      <c r="B1042" s="65" t="s">
        <v>203</v>
      </c>
      <c r="C1042" s="66"/>
      <c r="D1042" s="368">
        <f>+D1037/D$1032</f>
        <v>7.934343434343441E-2</v>
      </c>
      <c r="E1042" s="368">
        <f t="shared" ref="E1042:W1042" si="822">+E1037/E$1032</f>
        <v>8.1510840108401067E-2</v>
      </c>
      <c r="F1042" s="368">
        <f t="shared" si="822"/>
        <v>7.3524096385542248E-2</v>
      </c>
      <c r="G1042" s="368">
        <f t="shared" si="822"/>
        <v>7.8312500000000007E-2</v>
      </c>
      <c r="H1042" s="368">
        <f t="shared" si="822"/>
        <v>8.0541125541125552E-2</v>
      </c>
      <c r="I1042" s="368">
        <f t="shared" si="822"/>
        <v>7.7849002849002855E-2</v>
      </c>
      <c r="J1042" s="368">
        <f t="shared" si="822"/>
        <v>8.1323731138545963E-2</v>
      </c>
      <c r="K1042" s="368">
        <f t="shared" si="822"/>
        <v>8.56527777777778E-2</v>
      </c>
      <c r="L1042" s="368">
        <f t="shared" si="822"/>
        <v>8.4115226337448556E-2</v>
      </c>
      <c r="M1042" s="368">
        <f t="shared" si="822"/>
        <v>8.230158730158732E-2</v>
      </c>
      <c r="N1042" s="368">
        <f t="shared" si="822"/>
        <v>8.9430199430199475E-2</v>
      </c>
      <c r="O1042" s="368">
        <f t="shared" si="822"/>
        <v>7.4332655826558305E-2</v>
      </c>
      <c r="P1042" s="368">
        <f t="shared" si="822"/>
        <v>8.230158730158732E-2</v>
      </c>
      <c r="Q1042" s="368">
        <f t="shared" si="822"/>
        <v>8.230158730158732E-2</v>
      </c>
      <c r="R1042" s="368">
        <f t="shared" si="822"/>
        <v>8.0744301994302103E-2</v>
      </c>
      <c r="S1042" s="368">
        <f t="shared" si="822"/>
        <v>8.3639601139601158E-2</v>
      </c>
      <c r="T1042" s="368" t="e">
        <f t="shared" si="822"/>
        <v>#DIV/0!</v>
      </c>
      <c r="U1042" s="368" t="e">
        <f t="shared" si="822"/>
        <v>#DIV/0!</v>
      </c>
      <c r="V1042" s="368" t="e">
        <f t="shared" si="822"/>
        <v>#DIV/0!</v>
      </c>
      <c r="W1042" s="368">
        <f t="shared" si="822"/>
        <v>8.230158730158732E-2</v>
      </c>
      <c r="Y1042" s="390"/>
      <c r="Z1042" s="390"/>
      <c r="AA1042" s="390"/>
      <c r="AB1042" s="390"/>
      <c r="AC1042" s="390"/>
      <c r="AD1042" s="390"/>
      <c r="AE1042" s="390"/>
      <c r="AF1042" s="390"/>
      <c r="AG1042" s="390"/>
      <c r="AH1042" s="390"/>
      <c r="AI1042" s="390"/>
      <c r="AJ1042" s="390"/>
      <c r="AK1042" s="390"/>
      <c r="AL1042" s="390"/>
      <c r="AM1042" s="390"/>
      <c r="AN1042" s="390"/>
      <c r="AO1042" s="390"/>
      <c r="AP1042" s="390"/>
      <c r="AQ1042" s="390"/>
      <c r="AR1042" s="390"/>
      <c r="AS1042" s="390"/>
    </row>
    <row r="1043" spans="2:45" x14ac:dyDescent="0.3">
      <c r="B1043" s="65" t="s">
        <v>204</v>
      </c>
      <c r="C1043" s="66"/>
      <c r="D1043" s="368">
        <f>+D1038/D$1033</f>
        <v>9.1146723646723701E-2</v>
      </c>
      <c r="E1043" s="368">
        <f t="shared" ref="E1043:W1043" si="823">+E1038/E$1033</f>
        <v>9.2576974564926348E-2</v>
      </c>
      <c r="F1043" s="368">
        <f t="shared" si="823"/>
        <v>8.4553571428571506E-2</v>
      </c>
      <c r="G1043" s="368">
        <f t="shared" si="823"/>
        <v>8.9691358024691359E-2</v>
      </c>
      <c r="H1043" s="368">
        <f t="shared" si="823"/>
        <v>9.232905982905984E-2</v>
      </c>
      <c r="I1043" s="368">
        <f t="shared" si="823"/>
        <v>8.9521800281293959E-2</v>
      </c>
      <c r="J1043" s="368">
        <f t="shared" si="823"/>
        <v>9.2527100271002721E-2</v>
      </c>
      <c r="K1043" s="368">
        <f t="shared" si="823"/>
        <v>9.6941015089163265E-2</v>
      </c>
      <c r="L1043" s="368">
        <f t="shared" si="823"/>
        <v>9.5284552845528447E-2</v>
      </c>
      <c r="M1043" s="368">
        <f t="shared" si="823"/>
        <v>9.4066951566951579E-2</v>
      </c>
      <c r="N1043" s="368">
        <f t="shared" si="823"/>
        <v>0.10095639943741214</v>
      </c>
      <c r="O1043" s="368">
        <f t="shared" si="823"/>
        <v>8.5485274431057606E-2</v>
      </c>
      <c r="P1043" s="368">
        <f t="shared" si="823"/>
        <v>9.4066951566951579E-2</v>
      </c>
      <c r="Q1043" s="368">
        <f t="shared" si="823"/>
        <v>9.4066951566951579E-2</v>
      </c>
      <c r="R1043" s="368">
        <f t="shared" si="823"/>
        <v>9.2380450070323597E-2</v>
      </c>
      <c r="S1043" s="368">
        <f t="shared" si="823"/>
        <v>9.5239099859353055E-2</v>
      </c>
      <c r="T1043" s="368" t="e">
        <f t="shared" si="823"/>
        <v>#DIV/0!</v>
      </c>
      <c r="U1043" s="368" t="e">
        <f t="shared" si="823"/>
        <v>#DIV/0!</v>
      </c>
      <c r="V1043" s="368" t="e">
        <f t="shared" si="823"/>
        <v>#DIV/0!</v>
      </c>
      <c r="W1043" s="368">
        <f t="shared" si="823"/>
        <v>9.4066951566951579E-2</v>
      </c>
      <c r="Y1043" s="390"/>
      <c r="Z1043" s="390"/>
      <c r="AA1043" s="390"/>
      <c r="AB1043" s="390"/>
      <c r="AC1043" s="390"/>
      <c r="AD1043" s="390"/>
      <c r="AE1043" s="390"/>
      <c r="AF1043" s="390"/>
      <c r="AG1043" s="390"/>
      <c r="AH1043" s="390"/>
      <c r="AI1043" s="390"/>
      <c r="AJ1043" s="390"/>
      <c r="AK1043" s="390"/>
      <c r="AL1043" s="390"/>
      <c r="AM1043" s="390"/>
      <c r="AN1043" s="390"/>
      <c r="AO1043" s="390"/>
      <c r="AP1043" s="390"/>
      <c r="AQ1043" s="390"/>
      <c r="AR1043" s="390"/>
      <c r="AS1043" s="390"/>
    </row>
    <row r="1044" spans="2:45" x14ac:dyDescent="0.3">
      <c r="B1044" s="65" t="s">
        <v>205</v>
      </c>
      <c r="C1044" s="66"/>
      <c r="D1044" s="368">
        <f>+D1039/D$1034</f>
        <v>0.10265119549929683</v>
      </c>
      <c r="E1044" s="368">
        <f t="shared" ref="E1044:W1044" si="824">+E1039/E$1034</f>
        <v>0.10337962962962961</v>
      </c>
      <c r="F1044" s="368">
        <f t="shared" si="824"/>
        <v>9.5323529411764779E-2</v>
      </c>
      <c r="G1044" s="368">
        <f t="shared" si="824"/>
        <v>0.10079268292682927</v>
      </c>
      <c r="H1044" s="368">
        <f t="shared" si="824"/>
        <v>0.1038185654008439</v>
      </c>
      <c r="I1044" s="368">
        <f t="shared" si="824"/>
        <v>0.10090277777777779</v>
      </c>
      <c r="J1044" s="368">
        <f t="shared" si="824"/>
        <v>0.10346050870147257</v>
      </c>
      <c r="K1044" s="368">
        <f t="shared" si="824"/>
        <v>0.10795392953929542</v>
      </c>
      <c r="L1044" s="368">
        <f t="shared" si="824"/>
        <v>0.10618473895582328</v>
      </c>
      <c r="M1044" s="368">
        <f t="shared" si="824"/>
        <v>0.10553445850914207</v>
      </c>
      <c r="N1044" s="368">
        <f t="shared" si="824"/>
        <v>0.11219444444444449</v>
      </c>
      <c r="O1044" s="368">
        <f t="shared" si="824"/>
        <v>9.637235449735454E-2</v>
      </c>
      <c r="P1044" s="368">
        <f t="shared" si="824"/>
        <v>0.10553445850914207</v>
      </c>
      <c r="Q1044" s="368">
        <f t="shared" si="824"/>
        <v>0.10553445850914207</v>
      </c>
      <c r="R1044" s="368">
        <f t="shared" si="824"/>
        <v>0.10372569444444454</v>
      </c>
      <c r="S1044" s="368">
        <f t="shared" si="824"/>
        <v>0.10654861111111114</v>
      </c>
      <c r="T1044" s="368" t="e">
        <f t="shared" si="824"/>
        <v>#DIV/0!</v>
      </c>
      <c r="U1044" s="368" t="e">
        <f t="shared" si="824"/>
        <v>#DIV/0!</v>
      </c>
      <c r="V1044" s="368" t="e">
        <f t="shared" si="824"/>
        <v>#DIV/0!</v>
      </c>
      <c r="W1044" s="368">
        <f t="shared" si="824"/>
        <v>0.10553445850914207</v>
      </c>
      <c r="Y1044" s="390"/>
      <c r="Z1044" s="390"/>
      <c r="AA1044" s="390"/>
      <c r="AB1044" s="390"/>
      <c r="AC1044" s="390"/>
      <c r="AD1044" s="390"/>
      <c r="AE1044" s="390"/>
      <c r="AF1044" s="390"/>
      <c r="AG1044" s="390"/>
      <c r="AH1044" s="390"/>
      <c r="AI1044" s="390"/>
      <c r="AJ1044" s="390"/>
      <c r="AK1044" s="390"/>
      <c r="AL1044" s="390"/>
      <c r="AM1044" s="390"/>
      <c r="AN1044" s="390"/>
      <c r="AO1044" s="390"/>
      <c r="AP1044" s="390"/>
      <c r="AQ1044" s="390"/>
      <c r="AR1044" s="390"/>
      <c r="AS1044" s="390"/>
    </row>
    <row r="1045" spans="2:45" hidden="1" x14ac:dyDescent="0.3">
      <c r="B1045" s="65" t="s">
        <v>78</v>
      </c>
      <c r="C1045" s="66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Y1045" s="390"/>
      <c r="Z1045" s="390"/>
      <c r="AA1045" s="390"/>
      <c r="AB1045" s="390"/>
      <c r="AC1045" s="390"/>
      <c r="AD1045" s="390"/>
      <c r="AE1045" s="390"/>
      <c r="AF1045" s="390"/>
      <c r="AG1045" s="390"/>
      <c r="AH1045" s="390"/>
      <c r="AI1045" s="390"/>
      <c r="AJ1045" s="390"/>
      <c r="AK1045" s="390"/>
      <c r="AL1045" s="390"/>
      <c r="AM1045" s="390"/>
      <c r="AN1045" s="390"/>
      <c r="AO1045" s="390"/>
      <c r="AP1045" s="390"/>
      <c r="AQ1045" s="390"/>
      <c r="AR1045" s="390"/>
      <c r="AS1045" s="390"/>
    </row>
    <row r="1046" spans="2:45" ht="21" thickBot="1" x14ac:dyDescent="0.35">
      <c r="Y1046" s="390"/>
      <c r="Z1046" s="390"/>
      <c r="AA1046" s="390"/>
      <c r="AB1046" s="390"/>
      <c r="AC1046" s="390"/>
      <c r="AD1046" s="390"/>
      <c r="AE1046" s="390"/>
      <c r="AF1046" s="390"/>
      <c r="AG1046" s="390"/>
      <c r="AH1046" s="390"/>
      <c r="AI1046" s="390"/>
      <c r="AJ1046" s="390"/>
      <c r="AK1046" s="390"/>
      <c r="AL1046" s="390"/>
      <c r="AM1046" s="390"/>
      <c r="AN1046" s="390"/>
      <c r="AO1046" s="390"/>
      <c r="AP1046" s="390"/>
      <c r="AQ1046" s="390"/>
      <c r="AR1046" s="390"/>
      <c r="AS1046" s="390"/>
    </row>
    <row r="1047" spans="2:45" ht="21" thickBot="1" x14ac:dyDescent="0.35">
      <c r="B1047" s="399" t="s">
        <v>163</v>
      </c>
      <c r="C1047" s="68"/>
      <c r="D1047" s="17" t="s">
        <v>5</v>
      </c>
      <c r="E1047" s="18" t="s">
        <v>6</v>
      </c>
      <c r="F1047" s="18" t="s">
        <v>7</v>
      </c>
      <c r="G1047" s="18" t="s">
        <v>8</v>
      </c>
      <c r="H1047" s="18" t="s">
        <v>9</v>
      </c>
      <c r="I1047" s="18" t="s">
        <v>10</v>
      </c>
      <c r="J1047" s="18" t="s">
        <v>11</v>
      </c>
      <c r="K1047" s="18" t="s">
        <v>12</v>
      </c>
      <c r="L1047" s="18" t="s">
        <v>13</v>
      </c>
      <c r="M1047" s="18" t="s">
        <v>14</v>
      </c>
      <c r="N1047" s="18" t="s">
        <v>15</v>
      </c>
      <c r="O1047" s="18" t="s">
        <v>16</v>
      </c>
      <c r="P1047" s="18" t="s">
        <v>17</v>
      </c>
      <c r="Q1047" s="18" t="s">
        <v>18</v>
      </c>
      <c r="R1047" s="18" t="s">
        <v>19</v>
      </c>
      <c r="S1047" s="18" t="s">
        <v>20</v>
      </c>
      <c r="T1047" s="18" t="s">
        <v>21</v>
      </c>
      <c r="U1047" s="18" t="s">
        <v>22</v>
      </c>
      <c r="V1047" s="18" t="s">
        <v>23</v>
      </c>
      <c r="W1047" s="18" t="s">
        <v>166</v>
      </c>
      <c r="Y1047" s="390"/>
      <c r="Z1047" s="390"/>
      <c r="AA1047" s="390"/>
      <c r="AB1047" s="390"/>
      <c r="AC1047" s="390"/>
      <c r="AD1047" s="390"/>
      <c r="AE1047" s="390"/>
      <c r="AF1047" s="390"/>
      <c r="AG1047" s="390"/>
      <c r="AH1047" s="390"/>
      <c r="AI1047" s="390"/>
      <c r="AJ1047" s="390"/>
      <c r="AK1047" s="390"/>
      <c r="AL1047" s="390"/>
      <c r="AM1047" s="390"/>
      <c r="AN1047" s="390"/>
      <c r="AO1047" s="390"/>
      <c r="AP1047" s="390"/>
      <c r="AQ1047" s="390"/>
      <c r="AR1047" s="390"/>
      <c r="AS1047" s="390"/>
    </row>
    <row r="1048" spans="2:45" x14ac:dyDescent="0.3">
      <c r="B1048" s="222" t="s">
        <v>50</v>
      </c>
      <c r="C1048" s="70"/>
      <c r="D1048" s="20">
        <v>240</v>
      </c>
      <c r="E1048" s="20">
        <v>240</v>
      </c>
      <c r="F1048" s="20">
        <v>240</v>
      </c>
      <c r="G1048" s="20">
        <v>240</v>
      </c>
      <c r="H1048" s="20">
        <v>240</v>
      </c>
      <c r="I1048" s="20">
        <v>240</v>
      </c>
      <c r="J1048" s="20">
        <v>240</v>
      </c>
      <c r="K1048" s="20">
        <v>240</v>
      </c>
      <c r="L1048" s="20">
        <v>240</v>
      </c>
      <c r="M1048" s="20">
        <v>240</v>
      </c>
      <c r="N1048" s="20">
        <v>240</v>
      </c>
      <c r="O1048" s="20">
        <v>240</v>
      </c>
      <c r="P1048" s="20">
        <v>240</v>
      </c>
      <c r="Q1048" s="20">
        <v>240</v>
      </c>
      <c r="R1048" s="20">
        <v>240</v>
      </c>
      <c r="S1048" s="20">
        <v>240</v>
      </c>
      <c r="T1048" s="20"/>
      <c r="U1048" s="20"/>
      <c r="V1048" s="20"/>
      <c r="W1048" s="20">
        <v>240</v>
      </c>
      <c r="Y1048" s="390"/>
      <c r="Z1048" s="390"/>
      <c r="AA1048" s="390"/>
      <c r="AB1048" s="390"/>
      <c r="AC1048" s="390"/>
      <c r="AD1048" s="390"/>
      <c r="AE1048" s="390"/>
      <c r="AF1048" s="390"/>
      <c r="AG1048" s="390"/>
      <c r="AH1048" s="390"/>
      <c r="AI1048" s="390"/>
      <c r="AJ1048" s="390"/>
      <c r="AK1048" s="390"/>
      <c r="AL1048" s="390"/>
      <c r="AM1048" s="390"/>
      <c r="AN1048" s="390"/>
      <c r="AO1048" s="390"/>
      <c r="AP1048" s="390"/>
      <c r="AQ1048" s="390"/>
      <c r="AR1048" s="390"/>
      <c r="AS1048" s="390"/>
    </row>
    <row r="1049" spans="2:45" x14ac:dyDescent="0.3">
      <c r="B1049" s="54" t="s">
        <v>51</v>
      </c>
      <c r="C1049" s="55"/>
      <c r="D1049" s="322">
        <v>0.35</v>
      </c>
      <c r="E1049" s="322">
        <f>D1049</f>
        <v>0.35</v>
      </c>
      <c r="F1049" s="322">
        <f t="shared" ref="F1049:S1049" si="825">E1049</f>
        <v>0.35</v>
      </c>
      <c r="G1049" s="322">
        <f t="shared" si="825"/>
        <v>0.35</v>
      </c>
      <c r="H1049" s="322">
        <f t="shared" si="825"/>
        <v>0.35</v>
      </c>
      <c r="I1049" s="322">
        <f t="shared" si="825"/>
        <v>0.35</v>
      </c>
      <c r="J1049" s="322">
        <f t="shared" si="825"/>
        <v>0.35</v>
      </c>
      <c r="K1049" s="322">
        <f t="shared" si="825"/>
        <v>0.35</v>
      </c>
      <c r="L1049" s="322">
        <f t="shared" si="825"/>
        <v>0.35</v>
      </c>
      <c r="M1049" s="322">
        <f t="shared" si="825"/>
        <v>0.35</v>
      </c>
      <c r="N1049" s="322">
        <f t="shared" si="825"/>
        <v>0.35</v>
      </c>
      <c r="O1049" s="322">
        <f t="shared" si="825"/>
        <v>0.35</v>
      </c>
      <c r="P1049" s="322">
        <f t="shared" si="825"/>
        <v>0.35</v>
      </c>
      <c r="Q1049" s="322">
        <f t="shared" si="825"/>
        <v>0.35</v>
      </c>
      <c r="R1049" s="322">
        <f t="shared" si="825"/>
        <v>0.35</v>
      </c>
      <c r="S1049" s="322">
        <f t="shared" si="825"/>
        <v>0.35</v>
      </c>
      <c r="T1049" s="218"/>
      <c r="U1049" s="218"/>
      <c r="V1049" s="218"/>
      <c r="W1049" s="322">
        <f>D1049</f>
        <v>0.35</v>
      </c>
      <c r="Y1049" s="390"/>
      <c r="Z1049" s="390"/>
      <c r="AA1049" s="390"/>
      <c r="AB1049" s="390"/>
      <c r="AC1049" s="390"/>
      <c r="AD1049" s="390"/>
      <c r="AE1049" s="390"/>
      <c r="AF1049" s="390"/>
      <c r="AG1049" s="390"/>
      <c r="AH1049" s="390"/>
      <c r="AI1049" s="390"/>
      <c r="AJ1049" s="390"/>
      <c r="AK1049" s="390"/>
      <c r="AL1049" s="390"/>
      <c r="AM1049" s="390"/>
      <c r="AN1049" s="390"/>
      <c r="AO1049" s="390"/>
      <c r="AP1049" s="390"/>
      <c r="AQ1049" s="390"/>
      <c r="AR1049" s="390"/>
      <c r="AS1049" s="390"/>
    </row>
    <row r="1050" spans="2:45" x14ac:dyDescent="0.3">
      <c r="B1050" s="54" t="s">
        <v>56</v>
      </c>
      <c r="C1050" s="55"/>
      <c r="D1050" s="21"/>
      <c r="E1050" s="21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Y1050" s="390"/>
      <c r="Z1050" s="390"/>
      <c r="AA1050" s="390"/>
      <c r="AB1050" s="390"/>
      <c r="AC1050" s="390"/>
      <c r="AD1050" s="390"/>
      <c r="AE1050" s="390"/>
      <c r="AF1050" s="390"/>
      <c r="AG1050" s="390"/>
      <c r="AH1050" s="390"/>
      <c r="AI1050" s="390"/>
      <c r="AJ1050" s="390"/>
      <c r="AK1050" s="390"/>
      <c r="AL1050" s="390"/>
      <c r="AM1050" s="390"/>
      <c r="AN1050" s="390"/>
      <c r="AO1050" s="390"/>
      <c r="AP1050" s="390"/>
      <c r="AQ1050" s="390"/>
      <c r="AR1050" s="390"/>
      <c r="AS1050" s="390"/>
    </row>
    <row r="1051" spans="2:45" x14ac:dyDescent="0.3">
      <c r="B1051" s="177" t="s">
        <v>67</v>
      </c>
      <c r="C1051" s="178"/>
      <c r="D1051" s="323">
        <f>D1048-(D1048*D1049)</f>
        <v>156</v>
      </c>
      <c r="E1051" s="323">
        <f t="shared" ref="E1051:W1051" si="826">E1048-(E1048*E1049)</f>
        <v>156</v>
      </c>
      <c r="F1051" s="323">
        <f t="shared" si="826"/>
        <v>156</v>
      </c>
      <c r="G1051" s="323">
        <f t="shared" si="826"/>
        <v>156</v>
      </c>
      <c r="H1051" s="323">
        <f t="shared" si="826"/>
        <v>156</v>
      </c>
      <c r="I1051" s="323">
        <f t="shared" si="826"/>
        <v>156</v>
      </c>
      <c r="J1051" s="323">
        <f t="shared" si="826"/>
        <v>156</v>
      </c>
      <c r="K1051" s="323">
        <f t="shared" si="826"/>
        <v>156</v>
      </c>
      <c r="L1051" s="323">
        <f t="shared" si="826"/>
        <v>156</v>
      </c>
      <c r="M1051" s="323">
        <f t="shared" si="826"/>
        <v>156</v>
      </c>
      <c r="N1051" s="323">
        <f t="shared" si="826"/>
        <v>156</v>
      </c>
      <c r="O1051" s="323">
        <f t="shared" si="826"/>
        <v>156</v>
      </c>
      <c r="P1051" s="323">
        <f t="shared" si="826"/>
        <v>156</v>
      </c>
      <c r="Q1051" s="323">
        <f t="shared" si="826"/>
        <v>156</v>
      </c>
      <c r="R1051" s="323">
        <f t="shared" si="826"/>
        <v>156</v>
      </c>
      <c r="S1051" s="323">
        <f t="shared" si="826"/>
        <v>156</v>
      </c>
      <c r="T1051" s="323">
        <f t="shared" si="826"/>
        <v>0</v>
      </c>
      <c r="U1051" s="323">
        <f t="shared" si="826"/>
        <v>0</v>
      </c>
      <c r="V1051" s="323">
        <f t="shared" si="826"/>
        <v>0</v>
      </c>
      <c r="W1051" s="323">
        <f t="shared" si="826"/>
        <v>156</v>
      </c>
      <c r="Y1051" s="390"/>
      <c r="Z1051" s="390"/>
      <c r="AA1051" s="390"/>
      <c r="AB1051" s="390"/>
      <c r="AC1051" s="390"/>
      <c r="AD1051" s="390"/>
      <c r="AE1051" s="390"/>
      <c r="AF1051" s="390"/>
      <c r="AG1051" s="390"/>
      <c r="AH1051" s="390"/>
      <c r="AI1051" s="390"/>
      <c r="AJ1051" s="390"/>
      <c r="AK1051" s="390"/>
      <c r="AL1051" s="390"/>
      <c r="AM1051" s="390"/>
      <c r="AN1051" s="390"/>
      <c r="AO1051" s="390"/>
      <c r="AP1051" s="390"/>
      <c r="AQ1051" s="390"/>
      <c r="AR1051" s="390"/>
      <c r="AS1051" s="390"/>
    </row>
    <row r="1052" spans="2:45" x14ac:dyDescent="0.3">
      <c r="B1052" s="54" t="s">
        <v>66</v>
      </c>
      <c r="C1052" s="56">
        <v>7.0000000000000007E-2</v>
      </c>
      <c r="D1052" s="24">
        <f>D1051*$C1052</f>
        <v>10.920000000000002</v>
      </c>
      <c r="E1052" s="24">
        <f t="shared" ref="E1052:V1052" si="827">E1051*$C1052</f>
        <v>10.920000000000002</v>
      </c>
      <c r="F1052" s="24">
        <f t="shared" si="827"/>
        <v>10.920000000000002</v>
      </c>
      <c r="G1052" s="24">
        <f t="shared" si="827"/>
        <v>10.920000000000002</v>
      </c>
      <c r="H1052" s="24">
        <f t="shared" si="827"/>
        <v>10.920000000000002</v>
      </c>
      <c r="I1052" s="24">
        <f t="shared" si="827"/>
        <v>10.920000000000002</v>
      </c>
      <c r="J1052" s="24">
        <f t="shared" si="827"/>
        <v>10.920000000000002</v>
      </c>
      <c r="K1052" s="24">
        <f t="shared" si="827"/>
        <v>10.920000000000002</v>
      </c>
      <c r="L1052" s="24">
        <f t="shared" si="827"/>
        <v>10.920000000000002</v>
      </c>
      <c r="M1052" s="24">
        <f t="shared" si="827"/>
        <v>10.920000000000002</v>
      </c>
      <c r="N1052" s="24">
        <f t="shared" si="827"/>
        <v>10.920000000000002</v>
      </c>
      <c r="O1052" s="24">
        <f t="shared" si="827"/>
        <v>10.920000000000002</v>
      </c>
      <c r="P1052" s="24">
        <f t="shared" si="827"/>
        <v>10.920000000000002</v>
      </c>
      <c r="Q1052" s="24">
        <f t="shared" si="827"/>
        <v>10.920000000000002</v>
      </c>
      <c r="R1052" s="24">
        <f t="shared" si="827"/>
        <v>10.920000000000002</v>
      </c>
      <c r="S1052" s="24">
        <f t="shared" si="827"/>
        <v>10.920000000000002</v>
      </c>
      <c r="T1052" s="24">
        <f t="shared" si="827"/>
        <v>0</v>
      </c>
      <c r="U1052" s="24">
        <f t="shared" si="827"/>
        <v>0</v>
      </c>
      <c r="V1052" s="24">
        <f t="shared" si="827"/>
        <v>0</v>
      </c>
      <c r="W1052" s="24">
        <f>W1051*$C1052</f>
        <v>10.920000000000002</v>
      </c>
      <c r="Y1052" s="390"/>
      <c r="Z1052" s="390"/>
      <c r="AA1052" s="390"/>
      <c r="AB1052" s="390"/>
      <c r="AC1052" s="390"/>
      <c r="AD1052" s="390"/>
      <c r="AE1052" s="390"/>
      <c r="AF1052" s="390"/>
      <c r="AG1052" s="390"/>
      <c r="AH1052" s="390"/>
      <c r="AI1052" s="390"/>
      <c r="AJ1052" s="390"/>
      <c r="AK1052" s="390"/>
      <c r="AL1052" s="390"/>
      <c r="AM1052" s="390"/>
      <c r="AN1052" s="390"/>
      <c r="AO1052" s="390"/>
      <c r="AP1052" s="390"/>
      <c r="AQ1052" s="390"/>
      <c r="AR1052" s="390"/>
      <c r="AS1052" s="390"/>
    </row>
    <row r="1053" spans="2:45" x14ac:dyDescent="0.3">
      <c r="B1053" s="54" t="s">
        <v>68</v>
      </c>
      <c r="C1053" s="55"/>
      <c r="D1053" s="21">
        <f>D1051+D1052</f>
        <v>166.92000000000002</v>
      </c>
      <c r="E1053" s="21">
        <f t="shared" ref="E1053:V1053" si="828">E1051+E1052</f>
        <v>166.92000000000002</v>
      </c>
      <c r="F1053" s="21">
        <f t="shared" si="828"/>
        <v>166.92000000000002</v>
      </c>
      <c r="G1053" s="21">
        <f t="shared" si="828"/>
        <v>166.92000000000002</v>
      </c>
      <c r="H1053" s="21">
        <f t="shared" si="828"/>
        <v>166.92000000000002</v>
      </c>
      <c r="I1053" s="21">
        <f t="shared" si="828"/>
        <v>166.92000000000002</v>
      </c>
      <c r="J1053" s="21">
        <f t="shared" si="828"/>
        <v>166.92000000000002</v>
      </c>
      <c r="K1053" s="21">
        <f t="shared" si="828"/>
        <v>166.92000000000002</v>
      </c>
      <c r="L1053" s="21">
        <f t="shared" si="828"/>
        <v>166.92000000000002</v>
      </c>
      <c r="M1053" s="21">
        <f t="shared" si="828"/>
        <v>166.92000000000002</v>
      </c>
      <c r="N1053" s="21">
        <f t="shared" si="828"/>
        <v>166.92000000000002</v>
      </c>
      <c r="O1053" s="21">
        <f t="shared" si="828"/>
        <v>166.92000000000002</v>
      </c>
      <c r="P1053" s="21">
        <f t="shared" si="828"/>
        <v>166.92000000000002</v>
      </c>
      <c r="Q1053" s="21">
        <f t="shared" si="828"/>
        <v>166.92000000000002</v>
      </c>
      <c r="R1053" s="21">
        <f t="shared" si="828"/>
        <v>166.92000000000002</v>
      </c>
      <c r="S1053" s="21">
        <f t="shared" si="828"/>
        <v>166.92000000000002</v>
      </c>
      <c r="T1053" s="21">
        <f t="shared" si="828"/>
        <v>0</v>
      </c>
      <c r="U1053" s="21">
        <f t="shared" si="828"/>
        <v>0</v>
      </c>
      <c r="V1053" s="21">
        <f t="shared" si="828"/>
        <v>0</v>
      </c>
      <c r="W1053" s="21">
        <f>W1051+W1052</f>
        <v>166.92000000000002</v>
      </c>
      <c r="Y1053" s="390"/>
      <c r="Z1053" s="390"/>
      <c r="AA1053" s="390"/>
      <c r="AB1053" s="390"/>
      <c r="AC1053" s="390"/>
      <c r="AD1053" s="390"/>
      <c r="AE1053" s="390"/>
      <c r="AF1053" s="390"/>
      <c r="AG1053" s="390"/>
      <c r="AH1053" s="390"/>
      <c r="AI1053" s="390"/>
      <c r="AJ1053" s="390"/>
      <c r="AK1053" s="390"/>
      <c r="AL1053" s="390"/>
      <c r="AM1053" s="390"/>
      <c r="AN1053" s="390"/>
      <c r="AO1053" s="390"/>
      <c r="AP1053" s="390"/>
      <c r="AQ1053" s="390"/>
      <c r="AR1053" s="390"/>
      <c r="AS1053" s="390"/>
    </row>
    <row r="1054" spans="2:45" x14ac:dyDescent="0.3">
      <c r="B1054" s="54" t="s">
        <v>52</v>
      </c>
      <c r="C1054" s="55"/>
      <c r="D1054" s="398">
        <f>Y1056</f>
        <v>4.4749999999999996</v>
      </c>
      <c r="E1054" s="398">
        <f t="shared" ref="E1054:W1054" si="829">Z1056</f>
        <v>10.164999999999999</v>
      </c>
      <c r="F1054" s="398">
        <f t="shared" si="829"/>
        <v>12.198214285714286</v>
      </c>
      <c r="G1054" s="398">
        <f t="shared" si="829"/>
        <v>8.132142857142858</v>
      </c>
      <c r="H1054" s="398">
        <f t="shared" si="829"/>
        <v>4.3564285714285713</v>
      </c>
      <c r="I1054" s="398">
        <f t="shared" si="829"/>
        <v>5.8085714285714287</v>
      </c>
      <c r="J1054" s="398">
        <f t="shared" si="829"/>
        <v>9.0035714285714281</v>
      </c>
      <c r="K1054" s="398">
        <f t="shared" si="829"/>
        <v>7.3771428571428572</v>
      </c>
      <c r="L1054" s="398">
        <f t="shared" si="829"/>
        <v>8.7128571428571426</v>
      </c>
      <c r="M1054" s="398">
        <f t="shared" si="829"/>
        <v>4.1821428571428569</v>
      </c>
      <c r="N1054" s="398">
        <f t="shared" si="829"/>
        <v>4.6471428571428568</v>
      </c>
      <c r="O1054" s="398">
        <f t="shared" si="829"/>
        <v>10.921785714285715</v>
      </c>
      <c r="P1054" s="398">
        <f t="shared" si="829"/>
        <v>4.1821428571428569</v>
      </c>
      <c r="Q1054" s="398">
        <f t="shared" si="829"/>
        <v>4.1821428571428569</v>
      </c>
      <c r="R1054" s="398">
        <f t="shared" si="829"/>
        <v>5.5182142857142855</v>
      </c>
      <c r="S1054" s="398">
        <f t="shared" si="829"/>
        <v>5.2278571428571432</v>
      </c>
      <c r="T1054" s="398">
        <f t="shared" si="829"/>
        <v>0</v>
      </c>
      <c r="U1054" s="398">
        <v>0</v>
      </c>
      <c r="V1054" s="398">
        <f t="shared" si="829"/>
        <v>0</v>
      </c>
      <c r="W1054" s="398">
        <f t="shared" si="829"/>
        <v>4.1821428571428569</v>
      </c>
      <c r="Y1054" s="390">
        <v>12530</v>
      </c>
      <c r="Z1054" s="390">
        <v>28462</v>
      </c>
      <c r="AA1054" s="390">
        <v>34155</v>
      </c>
      <c r="AB1054" s="390">
        <v>22770</v>
      </c>
      <c r="AC1054" s="390">
        <v>12198</v>
      </c>
      <c r="AD1054" s="390">
        <v>16264</v>
      </c>
      <c r="AE1054" s="390">
        <v>25210</v>
      </c>
      <c r="AF1054" s="390">
        <v>20656</v>
      </c>
      <c r="AG1054" s="390">
        <v>24396</v>
      </c>
      <c r="AH1054" s="390">
        <v>11710</v>
      </c>
      <c r="AI1054" s="390">
        <v>13012</v>
      </c>
      <c r="AJ1054" s="390">
        <v>30581</v>
      </c>
      <c r="AK1054" s="396">
        <v>11710</v>
      </c>
      <c r="AL1054" s="396">
        <v>11710</v>
      </c>
      <c r="AM1054" s="390">
        <v>15451</v>
      </c>
      <c r="AN1054" s="390">
        <v>14638</v>
      </c>
      <c r="AO1054" s="390"/>
      <c r="AP1054" s="396">
        <v>30581</v>
      </c>
      <c r="AQ1054" s="390"/>
      <c r="AR1054" s="396">
        <v>11710</v>
      </c>
      <c r="AS1054" s="390"/>
    </row>
    <row r="1055" spans="2:45" x14ac:dyDescent="0.3">
      <c r="B1055" s="57" t="s">
        <v>53</v>
      </c>
      <c r="C1055" s="58"/>
      <c r="D1055" s="25">
        <f>SUM(D1053:D1054)</f>
        <v>171.39500000000001</v>
      </c>
      <c r="E1055" s="26">
        <f t="shared" ref="E1055:V1055" si="830">SUM(E1053:E1054)</f>
        <v>177.08500000000001</v>
      </c>
      <c r="F1055" s="26">
        <f t="shared" si="830"/>
        <v>179.11821428571432</v>
      </c>
      <c r="G1055" s="26">
        <f t="shared" si="830"/>
        <v>175.05214285714288</v>
      </c>
      <c r="H1055" s="26">
        <f t="shared" si="830"/>
        <v>171.2764285714286</v>
      </c>
      <c r="I1055" s="26">
        <f t="shared" si="830"/>
        <v>172.72857142857146</v>
      </c>
      <c r="J1055" s="26">
        <f t="shared" si="830"/>
        <v>175.92357142857145</v>
      </c>
      <c r="K1055" s="26">
        <f t="shared" si="830"/>
        <v>174.29714285714289</v>
      </c>
      <c r="L1055" s="26">
        <f t="shared" si="830"/>
        <v>175.63285714285715</v>
      </c>
      <c r="M1055" s="26">
        <f t="shared" si="830"/>
        <v>171.10214285714287</v>
      </c>
      <c r="N1055" s="26">
        <f t="shared" si="830"/>
        <v>171.56714285714287</v>
      </c>
      <c r="O1055" s="26">
        <f t="shared" si="830"/>
        <v>177.84178571428572</v>
      </c>
      <c r="P1055" s="26">
        <f t="shared" si="830"/>
        <v>171.10214285714287</v>
      </c>
      <c r="Q1055" s="26">
        <f t="shared" si="830"/>
        <v>171.10214285714287</v>
      </c>
      <c r="R1055" s="26">
        <f t="shared" si="830"/>
        <v>172.43821428571431</v>
      </c>
      <c r="S1055" s="26">
        <f t="shared" si="830"/>
        <v>172.14785714285716</v>
      </c>
      <c r="T1055" s="26">
        <f t="shared" si="830"/>
        <v>0</v>
      </c>
      <c r="U1055" s="26">
        <f t="shared" si="830"/>
        <v>0</v>
      </c>
      <c r="V1055" s="26">
        <f t="shared" si="830"/>
        <v>0</v>
      </c>
      <c r="W1055" s="26">
        <f>SUM(W1053:W1054)</f>
        <v>171.10214285714287</v>
      </c>
      <c r="Y1055" s="390">
        <v>2800</v>
      </c>
      <c r="Z1055" s="390">
        <v>2800</v>
      </c>
      <c r="AA1055" s="390">
        <v>2800</v>
      </c>
      <c r="AB1055" s="390">
        <v>2800</v>
      </c>
      <c r="AC1055" s="390">
        <v>2800</v>
      </c>
      <c r="AD1055" s="390">
        <v>2800</v>
      </c>
      <c r="AE1055" s="390">
        <v>2800</v>
      </c>
      <c r="AF1055" s="390">
        <v>2800</v>
      </c>
      <c r="AG1055" s="390">
        <v>2800</v>
      </c>
      <c r="AH1055" s="390">
        <v>2800</v>
      </c>
      <c r="AI1055" s="390">
        <v>2800</v>
      </c>
      <c r="AJ1055" s="390">
        <v>2800</v>
      </c>
      <c r="AK1055" s="390">
        <v>2800</v>
      </c>
      <c r="AL1055" s="390">
        <v>2800</v>
      </c>
      <c r="AM1055" s="390">
        <v>2800</v>
      </c>
      <c r="AN1055" s="390">
        <v>2800</v>
      </c>
      <c r="AO1055" s="390"/>
      <c r="AP1055" s="390">
        <v>2800</v>
      </c>
      <c r="AQ1055" s="390"/>
      <c r="AR1055" s="390">
        <v>2800</v>
      </c>
      <c r="AS1055" s="390"/>
    </row>
    <row r="1056" spans="2:45" x14ac:dyDescent="0.3">
      <c r="B1056" s="54" t="s">
        <v>54</v>
      </c>
      <c r="C1056" s="55"/>
      <c r="D1056" s="20"/>
      <c r="E1056" s="21"/>
      <c r="F1056" s="21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Y1056" s="389">
        <f>Y1054/Y1055</f>
        <v>4.4749999999999996</v>
      </c>
      <c r="Z1056" s="389">
        <f t="shared" ref="Z1056:AN1056" si="831">Z1054/Z1055</f>
        <v>10.164999999999999</v>
      </c>
      <c r="AA1056" s="389">
        <f t="shared" si="831"/>
        <v>12.198214285714286</v>
      </c>
      <c r="AB1056" s="389">
        <f t="shared" si="831"/>
        <v>8.132142857142858</v>
      </c>
      <c r="AC1056" s="389">
        <f t="shared" si="831"/>
        <v>4.3564285714285713</v>
      </c>
      <c r="AD1056" s="389">
        <f t="shared" si="831"/>
        <v>5.8085714285714287</v>
      </c>
      <c r="AE1056" s="389">
        <f t="shared" si="831"/>
        <v>9.0035714285714281</v>
      </c>
      <c r="AF1056" s="389">
        <f t="shared" si="831"/>
        <v>7.3771428571428572</v>
      </c>
      <c r="AG1056" s="389">
        <f t="shared" si="831"/>
        <v>8.7128571428571426</v>
      </c>
      <c r="AH1056" s="389">
        <f t="shared" si="831"/>
        <v>4.1821428571428569</v>
      </c>
      <c r="AI1056" s="389">
        <f t="shared" si="831"/>
        <v>4.6471428571428568</v>
      </c>
      <c r="AJ1056" s="389">
        <f t="shared" si="831"/>
        <v>10.921785714285715</v>
      </c>
      <c r="AK1056" s="389">
        <f t="shared" si="831"/>
        <v>4.1821428571428569</v>
      </c>
      <c r="AL1056" s="389">
        <f t="shared" si="831"/>
        <v>4.1821428571428569</v>
      </c>
      <c r="AM1056" s="389">
        <f t="shared" si="831"/>
        <v>5.5182142857142855</v>
      </c>
      <c r="AN1056" s="389">
        <f t="shared" si="831"/>
        <v>5.2278571428571432</v>
      </c>
      <c r="AO1056" s="390"/>
      <c r="AP1056" s="389">
        <f t="shared" ref="AP1056" si="832">AP1054/AP1055</f>
        <v>10.921785714285715</v>
      </c>
      <c r="AQ1056" s="390"/>
      <c r="AR1056" s="389">
        <f t="shared" ref="AR1056" si="833">AR1054/AR1055</f>
        <v>4.1821428571428569</v>
      </c>
      <c r="AS1056" s="390"/>
    </row>
    <row r="1057" spans="2:45" x14ac:dyDescent="0.3">
      <c r="B1057" s="59" t="s">
        <v>55</v>
      </c>
      <c r="C1057" s="60"/>
      <c r="D1057" s="27">
        <f>SUM(D1055:D1056)</f>
        <v>171.39500000000001</v>
      </c>
      <c r="E1057" s="41">
        <f t="shared" ref="E1057:V1057" si="834">SUM(E1055:E1056)</f>
        <v>177.08500000000001</v>
      </c>
      <c r="F1057" s="41">
        <f t="shared" si="834"/>
        <v>179.11821428571432</v>
      </c>
      <c r="G1057" s="41">
        <f t="shared" si="834"/>
        <v>175.05214285714288</v>
      </c>
      <c r="H1057" s="41">
        <f t="shared" si="834"/>
        <v>171.2764285714286</v>
      </c>
      <c r="I1057" s="41">
        <f t="shared" si="834"/>
        <v>172.72857142857146</v>
      </c>
      <c r="J1057" s="41">
        <f t="shared" si="834"/>
        <v>175.92357142857145</v>
      </c>
      <c r="K1057" s="41">
        <f t="shared" si="834"/>
        <v>174.29714285714289</v>
      </c>
      <c r="L1057" s="41">
        <f t="shared" si="834"/>
        <v>175.63285714285715</v>
      </c>
      <c r="M1057" s="41">
        <f t="shared" si="834"/>
        <v>171.10214285714287</v>
      </c>
      <c r="N1057" s="41">
        <f t="shared" si="834"/>
        <v>171.56714285714287</v>
      </c>
      <c r="O1057" s="41">
        <f t="shared" si="834"/>
        <v>177.84178571428572</v>
      </c>
      <c r="P1057" s="41">
        <f t="shared" si="834"/>
        <v>171.10214285714287</v>
      </c>
      <c r="Q1057" s="41">
        <f t="shared" si="834"/>
        <v>171.10214285714287</v>
      </c>
      <c r="R1057" s="41">
        <f t="shared" si="834"/>
        <v>172.43821428571431</v>
      </c>
      <c r="S1057" s="41">
        <f t="shared" si="834"/>
        <v>172.14785714285716</v>
      </c>
      <c r="T1057" s="41">
        <f t="shared" si="834"/>
        <v>0</v>
      </c>
      <c r="U1057" s="41">
        <f t="shared" si="834"/>
        <v>0</v>
      </c>
      <c r="V1057" s="41">
        <f t="shared" si="834"/>
        <v>0</v>
      </c>
      <c r="W1057" s="41">
        <f>SUM(W1055:W1056)</f>
        <v>171.10214285714287</v>
      </c>
      <c r="Y1057" s="390"/>
      <c r="Z1057" s="390"/>
      <c r="AA1057" s="390"/>
      <c r="AB1057" s="390"/>
      <c r="AC1057" s="390"/>
      <c r="AD1057" s="390"/>
      <c r="AE1057" s="390"/>
      <c r="AF1057" s="390"/>
      <c r="AG1057" s="390"/>
      <c r="AH1057" s="390"/>
      <c r="AI1057" s="390"/>
      <c r="AJ1057" s="390"/>
      <c r="AK1057" s="390"/>
      <c r="AL1057" s="390"/>
      <c r="AM1057" s="390"/>
      <c r="AN1057" s="390"/>
      <c r="AO1057" s="390"/>
      <c r="AP1057" s="390"/>
      <c r="AQ1057" s="390"/>
      <c r="AR1057" s="390"/>
      <c r="AS1057" s="390"/>
    </row>
    <row r="1058" spans="2:45" x14ac:dyDescent="0.3">
      <c r="B1058" s="61" t="s">
        <v>101</v>
      </c>
      <c r="C1058" s="55"/>
      <c r="D1058" s="43">
        <v>0</v>
      </c>
      <c r="E1058" s="408">
        <v>0</v>
      </c>
      <c r="F1058" s="408">
        <v>0</v>
      </c>
      <c r="G1058" s="408">
        <v>0</v>
      </c>
      <c r="H1058" s="408">
        <v>0</v>
      </c>
      <c r="I1058" s="408">
        <v>0</v>
      </c>
      <c r="J1058" s="408">
        <v>0</v>
      </c>
      <c r="K1058" s="408">
        <v>0</v>
      </c>
      <c r="L1058" s="408">
        <v>0</v>
      </c>
      <c r="M1058" s="408">
        <v>0</v>
      </c>
      <c r="N1058" s="408">
        <v>0</v>
      </c>
      <c r="O1058" s="408">
        <v>0</v>
      </c>
      <c r="P1058" s="408">
        <v>0</v>
      </c>
      <c r="Q1058" s="408">
        <v>0</v>
      </c>
      <c r="R1058" s="408">
        <v>0</v>
      </c>
      <c r="S1058" s="408">
        <v>0</v>
      </c>
      <c r="T1058" s="408">
        <v>0</v>
      </c>
      <c r="U1058" s="408">
        <v>0</v>
      </c>
      <c r="V1058" s="408">
        <v>0</v>
      </c>
      <c r="W1058" s="408">
        <v>0</v>
      </c>
      <c r="Y1058" s="409"/>
      <c r="Z1058" s="409"/>
      <c r="AA1058" s="409"/>
      <c r="AB1058" s="409"/>
      <c r="AC1058" s="409"/>
      <c r="AD1058" s="409"/>
      <c r="AE1058" s="409"/>
      <c r="AF1058" s="409"/>
      <c r="AG1058" s="409"/>
      <c r="AH1058" s="409"/>
      <c r="AI1058" s="409"/>
      <c r="AJ1058" s="409"/>
      <c r="AK1058" s="409"/>
      <c r="AL1058" s="409"/>
      <c r="AM1058" s="409"/>
      <c r="AN1058" s="409"/>
      <c r="AO1058" s="409"/>
      <c r="AP1058" s="409"/>
      <c r="AQ1058" s="409"/>
      <c r="AR1058" s="409"/>
      <c r="AS1058" s="409"/>
    </row>
    <row r="1059" spans="2:45" x14ac:dyDescent="0.3">
      <c r="B1059" s="61" t="s">
        <v>194</v>
      </c>
      <c r="C1059" s="55"/>
      <c r="D1059" s="228">
        <v>185</v>
      </c>
      <c r="E1059" s="229">
        <v>191</v>
      </c>
      <c r="F1059" s="229">
        <v>193</v>
      </c>
      <c r="G1059" s="229">
        <v>189</v>
      </c>
      <c r="H1059" s="229">
        <v>185</v>
      </c>
      <c r="I1059" s="229">
        <v>186</v>
      </c>
      <c r="J1059" s="229">
        <v>189</v>
      </c>
      <c r="K1059" s="229">
        <v>188</v>
      </c>
      <c r="L1059" s="229">
        <v>189</v>
      </c>
      <c r="M1059" s="229">
        <v>185</v>
      </c>
      <c r="N1059" s="229">
        <v>185</v>
      </c>
      <c r="O1059" s="229">
        <v>191</v>
      </c>
      <c r="P1059" s="229">
        <v>185</v>
      </c>
      <c r="Q1059" s="229">
        <v>185</v>
      </c>
      <c r="R1059" s="229">
        <v>186</v>
      </c>
      <c r="S1059" s="229">
        <v>186</v>
      </c>
      <c r="T1059" s="21">
        <v>0</v>
      </c>
      <c r="U1059" s="21">
        <v>0</v>
      </c>
      <c r="V1059" s="21">
        <v>0</v>
      </c>
      <c r="W1059" s="229">
        <v>185</v>
      </c>
      <c r="Y1059" s="390"/>
      <c r="Z1059" s="390"/>
      <c r="AA1059" s="390"/>
      <c r="AB1059" s="390"/>
      <c r="AC1059" s="390"/>
      <c r="AD1059" s="390"/>
      <c r="AE1059" s="390"/>
      <c r="AF1059" s="390"/>
      <c r="AG1059" s="390"/>
      <c r="AH1059" s="390"/>
      <c r="AI1059" s="390"/>
      <c r="AJ1059" s="390"/>
      <c r="AK1059" s="390"/>
      <c r="AL1059" s="390"/>
      <c r="AM1059" s="390"/>
      <c r="AN1059" s="390"/>
      <c r="AO1059" s="390"/>
      <c r="AP1059" s="390"/>
      <c r="AQ1059" s="390"/>
      <c r="AR1059" s="390"/>
      <c r="AS1059" s="390"/>
    </row>
    <row r="1060" spans="2:45" x14ac:dyDescent="0.3">
      <c r="B1060" s="61" t="s">
        <v>195</v>
      </c>
      <c r="C1060" s="62"/>
      <c r="D1060" s="28">
        <v>188</v>
      </c>
      <c r="E1060" s="28">
        <v>194</v>
      </c>
      <c r="F1060" s="28">
        <v>196</v>
      </c>
      <c r="G1060" s="28">
        <v>192</v>
      </c>
      <c r="H1060" s="28">
        <v>188</v>
      </c>
      <c r="I1060" s="28">
        <v>189</v>
      </c>
      <c r="J1060" s="28">
        <v>192</v>
      </c>
      <c r="K1060" s="28">
        <v>191</v>
      </c>
      <c r="L1060" s="28">
        <v>192</v>
      </c>
      <c r="M1060" s="28">
        <v>188</v>
      </c>
      <c r="N1060" s="28">
        <v>188</v>
      </c>
      <c r="O1060" s="28">
        <v>194</v>
      </c>
      <c r="P1060" s="28">
        <v>188</v>
      </c>
      <c r="Q1060" s="28">
        <v>188</v>
      </c>
      <c r="R1060" s="28">
        <v>189</v>
      </c>
      <c r="S1060" s="28">
        <v>189</v>
      </c>
      <c r="T1060" s="410">
        <v>0</v>
      </c>
      <c r="U1060" s="410">
        <v>0</v>
      </c>
      <c r="V1060" s="410">
        <v>0</v>
      </c>
      <c r="W1060" s="28">
        <v>188</v>
      </c>
      <c r="Y1060" s="390"/>
      <c r="Z1060" s="390"/>
      <c r="AA1060" s="390"/>
      <c r="AB1060" s="390"/>
      <c r="AC1060" s="390"/>
      <c r="AD1060" s="390"/>
      <c r="AE1060" s="390"/>
      <c r="AF1060" s="390"/>
      <c r="AG1060" s="390"/>
      <c r="AH1060" s="390"/>
      <c r="AI1060" s="390"/>
      <c r="AJ1060" s="390"/>
      <c r="AK1060" s="390"/>
      <c r="AL1060" s="390"/>
      <c r="AM1060" s="390"/>
      <c r="AN1060" s="390"/>
      <c r="AO1060" s="390"/>
      <c r="AP1060" s="390"/>
      <c r="AQ1060" s="390"/>
      <c r="AR1060" s="390"/>
      <c r="AS1060" s="390"/>
    </row>
    <row r="1061" spans="2:45" x14ac:dyDescent="0.3">
      <c r="B1061" s="61" t="s">
        <v>196</v>
      </c>
      <c r="C1061" s="62"/>
      <c r="D1061" s="28">
        <v>190</v>
      </c>
      <c r="E1061" s="28">
        <v>196</v>
      </c>
      <c r="F1061" s="28">
        <v>198</v>
      </c>
      <c r="G1061" s="28">
        <v>194</v>
      </c>
      <c r="H1061" s="28">
        <v>190</v>
      </c>
      <c r="I1061" s="28">
        <v>191</v>
      </c>
      <c r="J1061" s="28">
        <v>194</v>
      </c>
      <c r="K1061" s="28">
        <v>193</v>
      </c>
      <c r="L1061" s="28">
        <v>194</v>
      </c>
      <c r="M1061" s="28">
        <v>190</v>
      </c>
      <c r="N1061" s="28">
        <v>190</v>
      </c>
      <c r="O1061" s="28">
        <v>196</v>
      </c>
      <c r="P1061" s="28">
        <v>190</v>
      </c>
      <c r="Q1061" s="28">
        <v>190</v>
      </c>
      <c r="R1061" s="28">
        <v>191</v>
      </c>
      <c r="S1061" s="28">
        <v>191</v>
      </c>
      <c r="T1061" s="410">
        <v>0</v>
      </c>
      <c r="U1061" s="410">
        <v>0</v>
      </c>
      <c r="V1061" s="410">
        <v>0</v>
      </c>
      <c r="W1061" s="28">
        <v>190</v>
      </c>
      <c r="Y1061" s="390"/>
      <c r="Z1061" s="390"/>
      <c r="AA1061" s="390"/>
      <c r="AB1061" s="390"/>
      <c r="AC1061" s="390"/>
      <c r="AD1061" s="390"/>
      <c r="AE1061" s="390"/>
      <c r="AF1061" s="390"/>
      <c r="AG1061" s="390"/>
      <c r="AH1061" s="390"/>
      <c r="AI1061" s="390"/>
      <c r="AJ1061" s="390"/>
      <c r="AK1061" s="390"/>
      <c r="AL1061" s="390"/>
      <c r="AM1061" s="390"/>
      <c r="AN1061" s="390"/>
      <c r="AO1061" s="390"/>
      <c r="AP1061" s="390"/>
      <c r="AQ1061" s="390"/>
      <c r="AR1061" s="390"/>
      <c r="AS1061" s="390"/>
    </row>
    <row r="1062" spans="2:45" x14ac:dyDescent="0.3">
      <c r="B1062" s="61" t="s">
        <v>197</v>
      </c>
      <c r="C1062" s="62"/>
      <c r="D1062" s="28">
        <v>192</v>
      </c>
      <c r="E1062" s="28">
        <v>198</v>
      </c>
      <c r="F1062" s="28">
        <v>200</v>
      </c>
      <c r="G1062" s="28">
        <v>196</v>
      </c>
      <c r="H1062" s="28">
        <v>192</v>
      </c>
      <c r="I1062" s="28">
        <v>193</v>
      </c>
      <c r="J1062" s="28">
        <v>196</v>
      </c>
      <c r="K1062" s="28">
        <v>195</v>
      </c>
      <c r="L1062" s="28">
        <v>196</v>
      </c>
      <c r="M1062" s="28">
        <v>192</v>
      </c>
      <c r="N1062" s="28">
        <v>192</v>
      </c>
      <c r="O1062" s="28">
        <v>198</v>
      </c>
      <c r="P1062" s="28">
        <v>192</v>
      </c>
      <c r="Q1062" s="28">
        <v>192</v>
      </c>
      <c r="R1062" s="28">
        <v>193</v>
      </c>
      <c r="S1062" s="28">
        <v>193</v>
      </c>
      <c r="T1062" s="410">
        <v>0</v>
      </c>
      <c r="U1062" s="410">
        <v>0</v>
      </c>
      <c r="V1062" s="410">
        <v>0</v>
      </c>
      <c r="W1062" s="28">
        <v>192</v>
      </c>
      <c r="Y1062" s="390"/>
      <c r="Z1062" s="390"/>
      <c r="AA1062" s="390"/>
      <c r="AB1062" s="390"/>
      <c r="AC1062" s="390"/>
      <c r="AD1062" s="390"/>
      <c r="AE1062" s="390"/>
      <c r="AF1062" s="390"/>
      <c r="AG1062" s="390"/>
      <c r="AH1062" s="390"/>
      <c r="AI1062" s="390"/>
      <c r="AJ1062" s="390"/>
      <c r="AK1062" s="390"/>
      <c r="AL1062" s="390"/>
      <c r="AM1062" s="390"/>
      <c r="AN1062" s="390"/>
      <c r="AO1062" s="390"/>
      <c r="AP1062" s="390"/>
      <c r="AQ1062" s="390"/>
      <c r="AR1062" s="390"/>
      <c r="AS1062" s="390"/>
    </row>
    <row r="1063" spans="2:45" x14ac:dyDescent="0.3">
      <c r="B1063" s="63" t="s">
        <v>103</v>
      </c>
      <c r="C1063" s="55"/>
      <c r="D1063" s="43">
        <v>0</v>
      </c>
      <c r="E1063" s="408">
        <v>0</v>
      </c>
      <c r="F1063" s="408">
        <v>0</v>
      </c>
      <c r="G1063" s="408">
        <v>0</v>
      </c>
      <c r="H1063" s="408">
        <v>0</v>
      </c>
      <c r="I1063" s="408">
        <v>0</v>
      </c>
      <c r="J1063" s="408">
        <v>0</v>
      </c>
      <c r="K1063" s="408">
        <v>0</v>
      </c>
      <c r="L1063" s="408">
        <v>0</v>
      </c>
      <c r="M1063" s="408">
        <v>0</v>
      </c>
      <c r="N1063" s="408">
        <v>0</v>
      </c>
      <c r="O1063" s="408">
        <v>0</v>
      </c>
      <c r="P1063" s="408">
        <v>0</v>
      </c>
      <c r="Q1063" s="408">
        <v>0</v>
      </c>
      <c r="R1063" s="408">
        <v>0</v>
      </c>
      <c r="S1063" s="408">
        <v>0</v>
      </c>
      <c r="T1063" s="408">
        <v>0</v>
      </c>
      <c r="U1063" s="408">
        <v>0</v>
      </c>
      <c r="V1063" s="408">
        <v>0</v>
      </c>
      <c r="W1063" s="408">
        <v>0</v>
      </c>
      <c r="Y1063" s="409"/>
      <c r="Z1063" s="409"/>
      <c r="AA1063" s="409"/>
      <c r="AB1063" s="409"/>
      <c r="AC1063" s="409"/>
      <c r="AD1063" s="409"/>
      <c r="AE1063" s="409"/>
      <c r="AF1063" s="409"/>
      <c r="AG1063" s="409"/>
      <c r="AH1063" s="409"/>
      <c r="AI1063" s="409"/>
      <c r="AJ1063" s="409"/>
      <c r="AK1063" s="409"/>
      <c r="AL1063" s="409"/>
      <c r="AM1063" s="409"/>
      <c r="AN1063" s="409"/>
      <c r="AO1063" s="409"/>
      <c r="AP1063" s="409"/>
      <c r="AQ1063" s="409"/>
      <c r="AR1063" s="409"/>
      <c r="AS1063" s="409"/>
    </row>
    <row r="1064" spans="2:45" x14ac:dyDescent="0.3">
      <c r="B1064" s="63" t="s">
        <v>198</v>
      </c>
      <c r="C1064" s="62"/>
      <c r="D1064" s="31">
        <f t="shared" ref="D1064:S1064" si="835">+D1059-D$1057</f>
        <v>13.60499999999999</v>
      </c>
      <c r="E1064" s="31">
        <f t="shared" si="835"/>
        <v>13.914999999999992</v>
      </c>
      <c r="F1064" s="31">
        <f t="shared" si="835"/>
        <v>13.881785714285684</v>
      </c>
      <c r="G1064" s="31">
        <f t="shared" si="835"/>
        <v>13.947857142857117</v>
      </c>
      <c r="H1064" s="31">
        <f t="shared" si="835"/>
        <v>13.723571428571404</v>
      </c>
      <c r="I1064" s="31">
        <f t="shared" si="835"/>
        <v>13.271428571428544</v>
      </c>
      <c r="J1064" s="31">
        <f t="shared" si="835"/>
        <v>13.076428571428551</v>
      </c>
      <c r="K1064" s="31">
        <f t="shared" si="835"/>
        <v>13.702857142857113</v>
      </c>
      <c r="L1064" s="31">
        <f t="shared" si="835"/>
        <v>13.367142857142852</v>
      </c>
      <c r="M1064" s="31">
        <f t="shared" si="835"/>
        <v>13.897857142857134</v>
      </c>
      <c r="N1064" s="31">
        <f t="shared" si="835"/>
        <v>13.432857142857131</v>
      </c>
      <c r="O1064" s="31">
        <f t="shared" si="835"/>
        <v>13.15821428571428</v>
      </c>
      <c r="P1064" s="31">
        <f t="shared" si="835"/>
        <v>13.897857142857134</v>
      </c>
      <c r="Q1064" s="31">
        <f t="shared" si="835"/>
        <v>13.897857142857134</v>
      </c>
      <c r="R1064" s="31">
        <f t="shared" si="835"/>
        <v>13.561785714285691</v>
      </c>
      <c r="S1064" s="31">
        <f t="shared" si="835"/>
        <v>13.852142857142837</v>
      </c>
      <c r="T1064" s="29"/>
      <c r="U1064" s="29"/>
      <c r="V1064" s="29"/>
      <c r="W1064" s="31">
        <f>+W1059-W$1057</f>
        <v>13.897857142857134</v>
      </c>
      <c r="Y1064" s="390"/>
      <c r="Z1064" s="390"/>
      <c r="AA1064" s="390"/>
      <c r="AB1064" s="390"/>
      <c r="AC1064" s="390"/>
      <c r="AD1064" s="390"/>
      <c r="AE1064" s="390"/>
      <c r="AF1064" s="390"/>
      <c r="AG1064" s="390"/>
      <c r="AH1064" s="390"/>
      <c r="AI1064" s="390"/>
      <c r="AJ1064" s="390"/>
      <c r="AK1064" s="390"/>
      <c r="AL1064" s="390"/>
      <c r="AM1064" s="390"/>
      <c r="AN1064" s="390"/>
      <c r="AO1064" s="390"/>
      <c r="AP1064" s="390"/>
      <c r="AQ1064" s="390"/>
      <c r="AR1064" s="390"/>
      <c r="AS1064" s="390"/>
    </row>
    <row r="1065" spans="2:45" x14ac:dyDescent="0.3">
      <c r="B1065" s="63" t="s">
        <v>199</v>
      </c>
      <c r="C1065" s="64"/>
      <c r="D1065" s="31">
        <f t="shared" ref="D1065:S1065" si="836">+D1060-D$1057</f>
        <v>16.60499999999999</v>
      </c>
      <c r="E1065" s="32">
        <f t="shared" si="836"/>
        <v>16.914999999999992</v>
      </c>
      <c r="F1065" s="32">
        <f t="shared" si="836"/>
        <v>16.881785714285684</v>
      </c>
      <c r="G1065" s="32">
        <f t="shared" si="836"/>
        <v>16.947857142857117</v>
      </c>
      <c r="H1065" s="32">
        <f t="shared" si="836"/>
        <v>16.723571428571404</v>
      </c>
      <c r="I1065" s="32">
        <f t="shared" si="836"/>
        <v>16.271428571428544</v>
      </c>
      <c r="J1065" s="32">
        <f t="shared" si="836"/>
        <v>16.076428571428551</v>
      </c>
      <c r="K1065" s="32">
        <f t="shared" si="836"/>
        <v>16.702857142857113</v>
      </c>
      <c r="L1065" s="32">
        <f t="shared" si="836"/>
        <v>16.367142857142852</v>
      </c>
      <c r="M1065" s="32">
        <f t="shared" si="836"/>
        <v>16.897857142857134</v>
      </c>
      <c r="N1065" s="32">
        <f t="shared" si="836"/>
        <v>16.432857142857131</v>
      </c>
      <c r="O1065" s="32">
        <f t="shared" si="836"/>
        <v>16.15821428571428</v>
      </c>
      <c r="P1065" s="32">
        <f t="shared" si="836"/>
        <v>16.897857142857134</v>
      </c>
      <c r="Q1065" s="32">
        <f t="shared" si="836"/>
        <v>16.897857142857134</v>
      </c>
      <c r="R1065" s="32">
        <f t="shared" si="836"/>
        <v>16.561785714285691</v>
      </c>
      <c r="S1065" s="32">
        <f t="shared" si="836"/>
        <v>16.852142857142837</v>
      </c>
      <c r="T1065" s="32"/>
      <c r="U1065" s="32"/>
      <c r="V1065" s="32"/>
      <c r="W1065" s="32">
        <f>+W1060-W$1057</f>
        <v>16.897857142857134</v>
      </c>
      <c r="Y1065" s="390"/>
      <c r="Z1065" s="390"/>
      <c r="AA1065" s="390"/>
      <c r="AB1065" s="390"/>
      <c r="AC1065" s="390"/>
      <c r="AD1065" s="390"/>
      <c r="AE1065" s="390"/>
      <c r="AF1065" s="390"/>
      <c r="AG1065" s="390"/>
      <c r="AH1065" s="390"/>
      <c r="AI1065" s="390"/>
      <c r="AJ1065" s="390"/>
      <c r="AK1065" s="390"/>
      <c r="AL1065" s="390"/>
      <c r="AM1065" s="390"/>
      <c r="AN1065" s="390"/>
      <c r="AO1065" s="390"/>
      <c r="AP1065" s="390"/>
      <c r="AQ1065" s="390"/>
      <c r="AR1065" s="390"/>
      <c r="AS1065" s="390"/>
    </row>
    <row r="1066" spans="2:45" x14ac:dyDescent="0.3">
      <c r="B1066" s="63" t="s">
        <v>200</v>
      </c>
      <c r="C1066" s="64"/>
      <c r="D1066" s="31">
        <f t="shared" ref="D1066:S1066" si="837">+D1061-D$1057</f>
        <v>18.60499999999999</v>
      </c>
      <c r="E1066" s="32">
        <f t="shared" si="837"/>
        <v>18.914999999999992</v>
      </c>
      <c r="F1066" s="32">
        <f t="shared" si="837"/>
        <v>18.881785714285684</v>
      </c>
      <c r="G1066" s="32">
        <f t="shared" si="837"/>
        <v>18.947857142857117</v>
      </c>
      <c r="H1066" s="32">
        <f t="shared" si="837"/>
        <v>18.723571428571404</v>
      </c>
      <c r="I1066" s="32">
        <f t="shared" si="837"/>
        <v>18.271428571428544</v>
      </c>
      <c r="J1066" s="32">
        <f t="shared" si="837"/>
        <v>18.076428571428551</v>
      </c>
      <c r="K1066" s="32">
        <f t="shared" si="837"/>
        <v>18.702857142857113</v>
      </c>
      <c r="L1066" s="32">
        <f t="shared" si="837"/>
        <v>18.367142857142852</v>
      </c>
      <c r="M1066" s="32">
        <f t="shared" si="837"/>
        <v>18.897857142857134</v>
      </c>
      <c r="N1066" s="32">
        <f t="shared" si="837"/>
        <v>18.432857142857131</v>
      </c>
      <c r="O1066" s="32">
        <f t="shared" si="837"/>
        <v>18.15821428571428</v>
      </c>
      <c r="P1066" s="32">
        <f t="shared" si="837"/>
        <v>18.897857142857134</v>
      </c>
      <c r="Q1066" s="32">
        <f t="shared" si="837"/>
        <v>18.897857142857134</v>
      </c>
      <c r="R1066" s="32">
        <f t="shared" si="837"/>
        <v>18.561785714285691</v>
      </c>
      <c r="S1066" s="32">
        <f t="shared" si="837"/>
        <v>18.852142857142837</v>
      </c>
      <c r="T1066" s="32"/>
      <c r="U1066" s="32"/>
      <c r="V1066" s="32"/>
      <c r="W1066" s="32">
        <f>+W1061-W$1057</f>
        <v>18.897857142857134</v>
      </c>
      <c r="Y1066" s="390"/>
      <c r="Z1066" s="390"/>
      <c r="AA1066" s="390"/>
      <c r="AB1066" s="390"/>
      <c r="AC1066" s="390"/>
      <c r="AD1066" s="390"/>
      <c r="AE1066" s="390"/>
      <c r="AF1066" s="390"/>
      <c r="AG1066" s="390"/>
      <c r="AH1066" s="390"/>
      <c r="AI1066" s="390"/>
      <c r="AJ1066" s="390"/>
      <c r="AK1066" s="390"/>
      <c r="AL1066" s="390"/>
      <c r="AM1066" s="390"/>
      <c r="AN1066" s="390"/>
      <c r="AO1066" s="390"/>
      <c r="AP1066" s="390"/>
      <c r="AQ1066" s="390"/>
      <c r="AR1066" s="390"/>
      <c r="AS1066" s="390"/>
    </row>
    <row r="1067" spans="2:45" x14ac:dyDescent="0.3">
      <c r="B1067" s="63" t="s">
        <v>201</v>
      </c>
      <c r="C1067" s="64"/>
      <c r="D1067" s="31">
        <f t="shared" ref="D1067:S1067" si="838">+D1062-D$1057</f>
        <v>20.60499999999999</v>
      </c>
      <c r="E1067" s="32">
        <f t="shared" si="838"/>
        <v>20.914999999999992</v>
      </c>
      <c r="F1067" s="32">
        <f t="shared" si="838"/>
        <v>20.881785714285684</v>
      </c>
      <c r="G1067" s="32">
        <f t="shared" si="838"/>
        <v>20.947857142857117</v>
      </c>
      <c r="H1067" s="32">
        <f t="shared" si="838"/>
        <v>20.723571428571404</v>
      </c>
      <c r="I1067" s="32">
        <f t="shared" si="838"/>
        <v>20.271428571428544</v>
      </c>
      <c r="J1067" s="32">
        <f t="shared" si="838"/>
        <v>20.076428571428551</v>
      </c>
      <c r="K1067" s="32">
        <f t="shared" si="838"/>
        <v>20.702857142857113</v>
      </c>
      <c r="L1067" s="32">
        <f t="shared" si="838"/>
        <v>20.367142857142852</v>
      </c>
      <c r="M1067" s="32">
        <f t="shared" si="838"/>
        <v>20.897857142857134</v>
      </c>
      <c r="N1067" s="32">
        <f t="shared" si="838"/>
        <v>20.432857142857131</v>
      </c>
      <c r="O1067" s="32">
        <f t="shared" si="838"/>
        <v>20.15821428571428</v>
      </c>
      <c r="P1067" s="32">
        <f t="shared" si="838"/>
        <v>20.897857142857134</v>
      </c>
      <c r="Q1067" s="32">
        <f t="shared" si="838"/>
        <v>20.897857142857134</v>
      </c>
      <c r="R1067" s="32">
        <f t="shared" si="838"/>
        <v>20.561785714285691</v>
      </c>
      <c r="S1067" s="32">
        <f t="shared" si="838"/>
        <v>20.852142857142837</v>
      </c>
      <c r="T1067" s="32"/>
      <c r="U1067" s="32"/>
      <c r="V1067" s="32"/>
      <c r="W1067" s="32">
        <f>+W1062-W$1057</f>
        <v>20.897857142857134</v>
      </c>
      <c r="Y1067" s="390"/>
      <c r="Z1067" s="390"/>
      <c r="AA1067" s="390"/>
      <c r="AB1067" s="390"/>
      <c r="AC1067" s="390"/>
      <c r="AD1067" s="390"/>
      <c r="AE1067" s="390"/>
      <c r="AF1067" s="390"/>
      <c r="AG1067" s="390"/>
      <c r="AH1067" s="390"/>
      <c r="AI1067" s="390"/>
      <c r="AJ1067" s="390"/>
      <c r="AK1067" s="390"/>
      <c r="AL1067" s="390"/>
      <c r="AM1067" s="390"/>
      <c r="AN1067" s="390"/>
      <c r="AO1067" s="390"/>
      <c r="AP1067" s="390"/>
      <c r="AQ1067" s="390"/>
      <c r="AR1067" s="390"/>
      <c r="AS1067" s="390"/>
    </row>
    <row r="1068" spans="2:45" x14ac:dyDescent="0.3">
      <c r="B1068" s="65" t="s">
        <v>108</v>
      </c>
      <c r="C1068" s="55"/>
      <c r="D1068" s="43">
        <v>0</v>
      </c>
      <c r="E1068" s="408">
        <v>0</v>
      </c>
      <c r="F1068" s="408">
        <v>0</v>
      </c>
      <c r="G1068" s="408">
        <v>0</v>
      </c>
      <c r="H1068" s="408">
        <v>0</v>
      </c>
      <c r="I1068" s="408">
        <v>0</v>
      </c>
      <c r="J1068" s="408">
        <v>0</v>
      </c>
      <c r="K1068" s="408">
        <v>0</v>
      </c>
      <c r="L1068" s="408">
        <v>0</v>
      </c>
      <c r="M1068" s="408">
        <v>0</v>
      </c>
      <c r="N1068" s="408">
        <v>0</v>
      </c>
      <c r="O1068" s="408">
        <v>0</v>
      </c>
      <c r="P1068" s="408">
        <v>0</v>
      </c>
      <c r="Q1068" s="408">
        <v>0</v>
      </c>
      <c r="R1068" s="408">
        <v>0</v>
      </c>
      <c r="S1068" s="408">
        <v>0</v>
      </c>
      <c r="T1068" s="408">
        <v>0</v>
      </c>
      <c r="U1068" s="408">
        <v>0</v>
      </c>
      <c r="V1068" s="408">
        <v>0</v>
      </c>
      <c r="W1068" s="408">
        <v>0</v>
      </c>
      <c r="Y1068" s="409"/>
      <c r="Z1068" s="409"/>
      <c r="AA1068" s="409"/>
      <c r="AB1068" s="409"/>
      <c r="AC1068" s="409"/>
      <c r="AD1068" s="409"/>
      <c r="AE1068" s="409"/>
      <c r="AF1068" s="409"/>
      <c r="AG1068" s="409"/>
      <c r="AH1068" s="409"/>
      <c r="AI1068" s="409"/>
      <c r="AJ1068" s="409"/>
      <c r="AK1068" s="409"/>
      <c r="AL1068" s="409"/>
      <c r="AM1068" s="409"/>
      <c r="AN1068" s="409"/>
      <c r="AO1068" s="409"/>
      <c r="AP1068" s="409"/>
      <c r="AQ1068" s="409"/>
      <c r="AR1068" s="409"/>
      <c r="AS1068" s="409"/>
    </row>
    <row r="1069" spans="2:45" x14ac:dyDescent="0.3">
      <c r="B1069" s="65" t="s">
        <v>202</v>
      </c>
      <c r="C1069" s="64"/>
      <c r="D1069" s="99">
        <f>+D1064/D$1059</f>
        <v>7.3540540540540489E-2</v>
      </c>
      <c r="E1069" s="99">
        <f t="shared" ref="E1069:W1069" si="839">+E1064/E$1059</f>
        <v>7.2853403141361212E-2</v>
      </c>
      <c r="F1069" s="99">
        <f t="shared" si="839"/>
        <v>7.1926350851221163E-2</v>
      </c>
      <c r="G1069" s="99">
        <f t="shared" si="839"/>
        <v>7.3798185941042954E-2</v>
      </c>
      <c r="H1069" s="99">
        <f t="shared" si="839"/>
        <v>7.4181467181467051E-2</v>
      </c>
      <c r="I1069" s="99">
        <f t="shared" si="839"/>
        <v>7.1351766513056691E-2</v>
      </c>
      <c r="J1069" s="99">
        <f t="shared" si="839"/>
        <v>6.9187452758881218E-2</v>
      </c>
      <c r="K1069" s="99">
        <f t="shared" si="839"/>
        <v>7.2887537993920809E-2</v>
      </c>
      <c r="L1069" s="99">
        <f t="shared" si="839"/>
        <v>7.072562358276642E-2</v>
      </c>
      <c r="M1069" s="99">
        <f t="shared" si="839"/>
        <v>7.5123552123552081E-2</v>
      </c>
      <c r="N1069" s="99">
        <f t="shared" si="839"/>
        <v>7.2610038610038549E-2</v>
      </c>
      <c r="O1069" s="99">
        <f t="shared" si="839"/>
        <v>6.889117427075539E-2</v>
      </c>
      <c r="P1069" s="99">
        <f t="shared" si="839"/>
        <v>7.5123552123552081E-2</v>
      </c>
      <c r="Q1069" s="99">
        <f t="shared" si="839"/>
        <v>7.5123552123552081E-2</v>
      </c>
      <c r="R1069" s="99">
        <f t="shared" si="839"/>
        <v>7.2912826420890808E-2</v>
      </c>
      <c r="S1069" s="99">
        <f t="shared" si="839"/>
        <v>7.4473886328724925E-2</v>
      </c>
      <c r="T1069" s="372" t="e">
        <f t="shared" si="839"/>
        <v>#DIV/0!</v>
      </c>
      <c r="U1069" s="372" t="e">
        <f t="shared" si="839"/>
        <v>#DIV/0!</v>
      </c>
      <c r="V1069" s="372" t="e">
        <f t="shared" si="839"/>
        <v>#DIV/0!</v>
      </c>
      <c r="W1069" s="99">
        <f t="shared" si="839"/>
        <v>7.5123552123552081E-2</v>
      </c>
      <c r="Y1069" s="390"/>
      <c r="Z1069" s="390"/>
      <c r="AA1069" s="390"/>
      <c r="AB1069" s="390"/>
      <c r="AC1069" s="390"/>
      <c r="AD1069" s="390"/>
      <c r="AE1069" s="390"/>
      <c r="AF1069" s="390"/>
      <c r="AG1069" s="390"/>
      <c r="AH1069" s="390"/>
      <c r="AI1069" s="390"/>
      <c r="AJ1069" s="390"/>
      <c r="AK1069" s="390"/>
      <c r="AL1069" s="390"/>
      <c r="AM1069" s="390"/>
      <c r="AN1069" s="390"/>
      <c r="AO1069" s="390"/>
      <c r="AP1069" s="390"/>
      <c r="AQ1069" s="390"/>
      <c r="AR1069" s="390"/>
      <c r="AS1069" s="390"/>
    </row>
    <row r="1070" spans="2:45" x14ac:dyDescent="0.3">
      <c r="B1070" s="65" t="s">
        <v>203</v>
      </c>
      <c r="C1070" s="66"/>
      <c r="D1070" s="368">
        <f>+D1065/D$1060</f>
        <v>8.8324468085106328E-2</v>
      </c>
      <c r="E1070" s="368">
        <f t="shared" ref="E1070:W1070" si="840">+E1065/E$1060</f>
        <v>8.7190721649484493E-2</v>
      </c>
      <c r="F1070" s="368">
        <f t="shared" si="840"/>
        <v>8.6131559766763691E-2</v>
      </c>
      <c r="G1070" s="368">
        <f t="shared" si="840"/>
        <v>8.8270089285714157E-2</v>
      </c>
      <c r="H1070" s="368">
        <f t="shared" si="840"/>
        <v>8.895516717325215E-2</v>
      </c>
      <c r="I1070" s="368">
        <f t="shared" si="840"/>
        <v>8.6092214663643085E-2</v>
      </c>
      <c r="J1070" s="368">
        <f t="shared" si="840"/>
        <v>8.3731398809523697E-2</v>
      </c>
      <c r="K1070" s="368">
        <f t="shared" si="840"/>
        <v>8.7449513836948239E-2</v>
      </c>
      <c r="L1070" s="368">
        <f t="shared" si="840"/>
        <v>8.5245535714285683E-2</v>
      </c>
      <c r="M1070" s="368">
        <f t="shared" si="840"/>
        <v>8.9882218844984763E-2</v>
      </c>
      <c r="N1070" s="368">
        <f t="shared" si="840"/>
        <v>8.7408814589665595E-2</v>
      </c>
      <c r="O1070" s="368">
        <f t="shared" si="840"/>
        <v>8.3289764359351953E-2</v>
      </c>
      <c r="P1070" s="368">
        <f t="shared" si="840"/>
        <v>8.9882218844984763E-2</v>
      </c>
      <c r="Q1070" s="368">
        <f t="shared" si="840"/>
        <v>8.9882218844984763E-2</v>
      </c>
      <c r="R1070" s="368">
        <f t="shared" si="840"/>
        <v>8.7628495842781429E-2</v>
      </c>
      <c r="S1070" s="368">
        <f t="shared" si="840"/>
        <v>8.9164777021919772E-2</v>
      </c>
      <c r="T1070" s="368" t="e">
        <f t="shared" si="840"/>
        <v>#DIV/0!</v>
      </c>
      <c r="U1070" s="368" t="e">
        <f t="shared" si="840"/>
        <v>#DIV/0!</v>
      </c>
      <c r="V1070" s="368" t="e">
        <f t="shared" si="840"/>
        <v>#DIV/0!</v>
      </c>
      <c r="W1070" s="368">
        <f t="shared" si="840"/>
        <v>8.9882218844984763E-2</v>
      </c>
      <c r="Y1070" s="390"/>
      <c r="Z1070" s="390"/>
      <c r="AA1070" s="390"/>
      <c r="AB1070" s="390"/>
      <c r="AC1070" s="390"/>
      <c r="AD1070" s="390"/>
      <c r="AE1070" s="390"/>
      <c r="AF1070" s="390"/>
      <c r="AG1070" s="390"/>
      <c r="AH1070" s="390"/>
      <c r="AI1070" s="390"/>
      <c r="AJ1070" s="390"/>
      <c r="AK1070" s="390"/>
      <c r="AL1070" s="390"/>
      <c r="AM1070" s="390"/>
      <c r="AN1070" s="390"/>
      <c r="AO1070" s="390"/>
      <c r="AP1070" s="390"/>
      <c r="AQ1070" s="390"/>
      <c r="AR1070" s="390"/>
      <c r="AS1070" s="390"/>
    </row>
    <row r="1071" spans="2:45" x14ac:dyDescent="0.3">
      <c r="B1071" s="65" t="s">
        <v>204</v>
      </c>
      <c r="C1071" s="66"/>
      <c r="D1071" s="368">
        <f>+D1066/D$1061</f>
        <v>9.7921052631578895E-2</v>
      </c>
      <c r="E1071" s="368">
        <f t="shared" ref="E1071:W1071" si="841">+E1066/E$1061</f>
        <v>9.650510204081629E-2</v>
      </c>
      <c r="F1071" s="368">
        <f t="shared" si="841"/>
        <v>9.5362554112553954E-2</v>
      </c>
      <c r="G1071" s="368">
        <f t="shared" si="841"/>
        <v>9.7669366715758335E-2</v>
      </c>
      <c r="H1071" s="368">
        <f t="shared" si="841"/>
        <v>9.8545112781954755E-2</v>
      </c>
      <c r="I1071" s="368">
        <f t="shared" si="841"/>
        <v>9.5661929693343167E-2</v>
      </c>
      <c r="J1071" s="368">
        <f t="shared" si="841"/>
        <v>9.317746686303377E-2</v>
      </c>
      <c r="K1071" s="368">
        <f t="shared" si="841"/>
        <v>9.6905995558845145E-2</v>
      </c>
      <c r="L1071" s="368">
        <f t="shared" si="841"/>
        <v>9.467599410898378E-2</v>
      </c>
      <c r="M1071" s="368">
        <f t="shared" si="841"/>
        <v>9.9462406015037544E-2</v>
      </c>
      <c r="N1071" s="368">
        <f t="shared" si="841"/>
        <v>9.7015037593984901E-2</v>
      </c>
      <c r="O1071" s="368">
        <f t="shared" si="841"/>
        <v>9.2643950437317754E-2</v>
      </c>
      <c r="P1071" s="368">
        <f t="shared" si="841"/>
        <v>9.9462406015037544E-2</v>
      </c>
      <c r="Q1071" s="368">
        <f t="shared" si="841"/>
        <v>9.9462406015037544E-2</v>
      </c>
      <c r="R1071" s="368">
        <f t="shared" si="841"/>
        <v>9.7182124158563823E-2</v>
      </c>
      <c r="S1071" s="368">
        <f t="shared" si="841"/>
        <v>9.8702318623784494E-2</v>
      </c>
      <c r="T1071" s="368" t="e">
        <f t="shared" si="841"/>
        <v>#DIV/0!</v>
      </c>
      <c r="U1071" s="368" t="e">
        <f t="shared" si="841"/>
        <v>#DIV/0!</v>
      </c>
      <c r="V1071" s="368" t="e">
        <f t="shared" si="841"/>
        <v>#DIV/0!</v>
      </c>
      <c r="W1071" s="368">
        <f t="shared" si="841"/>
        <v>9.9462406015037544E-2</v>
      </c>
      <c r="Y1071" s="390"/>
      <c r="Z1071" s="390"/>
      <c r="AA1071" s="390"/>
      <c r="AB1071" s="390"/>
      <c r="AC1071" s="390"/>
      <c r="AD1071" s="390"/>
      <c r="AE1071" s="390"/>
      <c r="AF1071" s="390"/>
      <c r="AG1071" s="390"/>
      <c r="AH1071" s="390"/>
      <c r="AI1071" s="390"/>
      <c r="AJ1071" s="390"/>
      <c r="AK1071" s="390"/>
      <c r="AL1071" s="390"/>
      <c r="AM1071" s="390"/>
      <c r="AN1071" s="390"/>
      <c r="AO1071" s="390"/>
      <c r="AP1071" s="390"/>
      <c r="AQ1071" s="390"/>
      <c r="AR1071" s="390"/>
      <c r="AS1071" s="390"/>
    </row>
    <row r="1072" spans="2:45" x14ac:dyDescent="0.3">
      <c r="B1072" s="65" t="s">
        <v>205</v>
      </c>
      <c r="C1072" s="66"/>
      <c r="D1072" s="368">
        <f>+D1067/D$1062</f>
        <v>0.10731770833333328</v>
      </c>
      <c r="E1072" s="368">
        <f t="shared" ref="E1072:W1072" si="842">+E1067/E$1062</f>
        <v>0.10563131313131309</v>
      </c>
      <c r="F1072" s="368">
        <f t="shared" si="842"/>
        <v>0.10440892857142842</v>
      </c>
      <c r="G1072" s="368">
        <f t="shared" si="842"/>
        <v>0.10687682215743427</v>
      </c>
      <c r="H1072" s="368">
        <f t="shared" si="842"/>
        <v>0.10793526785714273</v>
      </c>
      <c r="I1072" s="368">
        <f t="shared" si="842"/>
        <v>0.10503330866025153</v>
      </c>
      <c r="J1072" s="368">
        <f t="shared" si="842"/>
        <v>0.1024307580174926</v>
      </c>
      <c r="K1072" s="368">
        <f t="shared" si="842"/>
        <v>0.10616849816849801</v>
      </c>
      <c r="L1072" s="368">
        <f t="shared" si="842"/>
        <v>0.10391399416909619</v>
      </c>
      <c r="M1072" s="368">
        <f t="shared" si="842"/>
        <v>0.1088430059523809</v>
      </c>
      <c r="N1072" s="368">
        <f t="shared" si="842"/>
        <v>0.10642113095238089</v>
      </c>
      <c r="O1072" s="368">
        <f t="shared" si="842"/>
        <v>0.10180916305916303</v>
      </c>
      <c r="P1072" s="368">
        <f t="shared" si="842"/>
        <v>0.1088430059523809</v>
      </c>
      <c r="Q1072" s="368">
        <f t="shared" si="842"/>
        <v>0.1088430059523809</v>
      </c>
      <c r="R1072" s="368">
        <f t="shared" si="842"/>
        <v>0.10653774981495176</v>
      </c>
      <c r="S1072" s="368">
        <f t="shared" si="842"/>
        <v>0.10804219096965201</v>
      </c>
      <c r="T1072" s="368" t="e">
        <f t="shared" si="842"/>
        <v>#DIV/0!</v>
      </c>
      <c r="U1072" s="368" t="e">
        <f t="shared" si="842"/>
        <v>#DIV/0!</v>
      </c>
      <c r="V1072" s="368" t="e">
        <f t="shared" si="842"/>
        <v>#DIV/0!</v>
      </c>
      <c r="W1072" s="368">
        <f t="shared" si="842"/>
        <v>0.1088430059523809</v>
      </c>
      <c r="Y1072" s="390"/>
      <c r="Z1072" s="390"/>
      <c r="AA1072" s="390"/>
      <c r="AB1072" s="390"/>
      <c r="AC1072" s="390"/>
      <c r="AD1072" s="390"/>
      <c r="AE1072" s="390"/>
      <c r="AF1072" s="390"/>
      <c r="AG1072" s="390"/>
      <c r="AH1072" s="390"/>
      <c r="AI1072" s="390"/>
      <c r="AJ1072" s="390"/>
      <c r="AK1072" s="390"/>
      <c r="AL1072" s="390"/>
      <c r="AM1072" s="390"/>
      <c r="AN1072" s="390"/>
      <c r="AO1072" s="390"/>
      <c r="AP1072" s="390"/>
      <c r="AQ1072" s="390"/>
      <c r="AR1072" s="390"/>
      <c r="AS1072" s="390"/>
    </row>
    <row r="1073" spans="2:45" hidden="1" x14ac:dyDescent="0.3">
      <c r="B1073" s="65" t="s">
        <v>78</v>
      </c>
      <c r="C1073" s="66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Y1073" s="390"/>
      <c r="Z1073" s="390"/>
      <c r="AA1073" s="390"/>
      <c r="AB1073" s="390"/>
      <c r="AC1073" s="390"/>
      <c r="AD1073" s="390"/>
      <c r="AE1073" s="390"/>
      <c r="AF1073" s="390"/>
      <c r="AG1073" s="390"/>
      <c r="AH1073" s="390"/>
      <c r="AI1073" s="390"/>
      <c r="AJ1073" s="390"/>
      <c r="AK1073" s="390"/>
      <c r="AL1073" s="390"/>
      <c r="AM1073" s="390"/>
      <c r="AN1073" s="390"/>
      <c r="AO1073" s="390"/>
      <c r="AP1073" s="390"/>
      <c r="AQ1073" s="390"/>
      <c r="AR1073" s="390"/>
      <c r="AS1073" s="390"/>
    </row>
    <row r="1074" spans="2:45" ht="21" thickBot="1" x14ac:dyDescent="0.35">
      <c r="Y1074" s="390"/>
      <c r="Z1074" s="390"/>
      <c r="AA1074" s="390"/>
      <c r="AB1074" s="390"/>
      <c r="AC1074" s="390"/>
      <c r="AD1074" s="390"/>
      <c r="AE1074" s="390"/>
      <c r="AF1074" s="390"/>
      <c r="AG1074" s="390"/>
      <c r="AH1074" s="390"/>
      <c r="AI1074" s="390"/>
      <c r="AJ1074" s="390"/>
      <c r="AK1074" s="390"/>
      <c r="AL1074" s="390"/>
      <c r="AM1074" s="390"/>
      <c r="AN1074" s="390"/>
      <c r="AO1074" s="390"/>
      <c r="AP1074" s="390"/>
      <c r="AQ1074" s="390"/>
      <c r="AR1074" s="390"/>
      <c r="AS1074" s="390"/>
    </row>
    <row r="1075" spans="2:45" ht="21" thickBot="1" x14ac:dyDescent="0.35">
      <c r="B1075" s="223" t="s">
        <v>164</v>
      </c>
      <c r="C1075" s="68"/>
      <c r="D1075" s="17" t="s">
        <v>5</v>
      </c>
      <c r="E1075" s="18" t="s">
        <v>6</v>
      </c>
      <c r="F1075" s="18" t="s">
        <v>7</v>
      </c>
      <c r="G1075" s="18" t="s">
        <v>8</v>
      </c>
      <c r="H1075" s="18" t="s">
        <v>9</v>
      </c>
      <c r="I1075" s="18" t="s">
        <v>10</v>
      </c>
      <c r="J1075" s="18" t="s">
        <v>11</v>
      </c>
      <c r="K1075" s="18" t="s">
        <v>12</v>
      </c>
      <c r="L1075" s="18" t="s">
        <v>13</v>
      </c>
      <c r="M1075" s="18" t="s">
        <v>14</v>
      </c>
      <c r="N1075" s="18" t="s">
        <v>15</v>
      </c>
      <c r="O1075" s="18" t="s">
        <v>16</v>
      </c>
      <c r="P1075" s="18" t="s">
        <v>17</v>
      </c>
      <c r="Q1075" s="18" t="s">
        <v>18</v>
      </c>
      <c r="R1075" s="18" t="s">
        <v>19</v>
      </c>
      <c r="S1075" s="18" t="s">
        <v>20</v>
      </c>
      <c r="T1075" s="18" t="s">
        <v>21</v>
      </c>
      <c r="U1075" s="18" t="s">
        <v>22</v>
      </c>
      <c r="V1075" s="18" t="s">
        <v>23</v>
      </c>
      <c r="W1075" s="18" t="s">
        <v>166</v>
      </c>
      <c r="Y1075" s="390"/>
      <c r="Z1075" s="390"/>
      <c r="AA1075" s="390"/>
      <c r="AB1075" s="390"/>
      <c r="AC1075" s="390"/>
      <c r="AD1075" s="390"/>
      <c r="AE1075" s="390"/>
      <c r="AF1075" s="390"/>
      <c r="AG1075" s="390"/>
      <c r="AH1075" s="390"/>
      <c r="AI1075" s="390"/>
      <c r="AJ1075" s="390"/>
      <c r="AK1075" s="390"/>
      <c r="AL1075" s="390"/>
      <c r="AM1075" s="390"/>
      <c r="AN1075" s="390"/>
      <c r="AO1075" s="390"/>
      <c r="AP1075" s="390"/>
      <c r="AQ1075" s="390"/>
      <c r="AR1075" s="390"/>
      <c r="AS1075" s="390"/>
    </row>
    <row r="1076" spans="2:45" x14ac:dyDescent="0.3">
      <c r="B1076" s="222" t="s">
        <v>50</v>
      </c>
      <c r="C1076" s="70"/>
      <c r="D1076" s="20">
        <v>360</v>
      </c>
      <c r="E1076" s="20">
        <v>360</v>
      </c>
      <c r="F1076" s="20">
        <v>360</v>
      </c>
      <c r="G1076" s="20">
        <v>360</v>
      </c>
      <c r="H1076" s="20">
        <v>360</v>
      </c>
      <c r="I1076" s="20">
        <v>360</v>
      </c>
      <c r="J1076" s="20">
        <v>360</v>
      </c>
      <c r="K1076" s="20">
        <v>360</v>
      </c>
      <c r="L1076" s="20">
        <v>360</v>
      </c>
      <c r="M1076" s="20">
        <v>360</v>
      </c>
      <c r="N1076" s="20">
        <v>360</v>
      </c>
      <c r="O1076" s="20">
        <v>360</v>
      </c>
      <c r="P1076" s="20">
        <v>360</v>
      </c>
      <c r="Q1076" s="20">
        <v>360</v>
      </c>
      <c r="R1076" s="20">
        <v>360</v>
      </c>
      <c r="S1076" s="20">
        <v>360</v>
      </c>
      <c r="T1076" s="20"/>
      <c r="U1076" s="20"/>
      <c r="V1076" s="20"/>
      <c r="W1076" s="20">
        <v>360</v>
      </c>
      <c r="Y1076" s="390"/>
      <c r="Z1076" s="390"/>
      <c r="AA1076" s="390"/>
      <c r="AB1076" s="390"/>
      <c r="AC1076" s="390"/>
      <c r="AD1076" s="390"/>
      <c r="AE1076" s="390"/>
      <c r="AF1076" s="390"/>
      <c r="AG1076" s="390"/>
      <c r="AH1076" s="390"/>
      <c r="AI1076" s="390"/>
      <c r="AJ1076" s="390"/>
      <c r="AK1076" s="390"/>
      <c r="AL1076" s="390"/>
      <c r="AM1076" s="390"/>
      <c r="AN1076" s="390"/>
      <c r="AO1076" s="390"/>
      <c r="AP1076" s="390"/>
      <c r="AQ1076" s="390"/>
      <c r="AR1076" s="390"/>
      <c r="AS1076" s="390"/>
    </row>
    <row r="1077" spans="2:45" x14ac:dyDescent="0.3">
      <c r="B1077" s="54" t="s">
        <v>51</v>
      </c>
      <c r="C1077" s="55"/>
      <c r="D1077" s="322">
        <v>0.35</v>
      </c>
      <c r="E1077" s="322">
        <f>D1077</f>
        <v>0.35</v>
      </c>
      <c r="F1077" s="322">
        <f t="shared" ref="F1077:S1077" si="843">E1077</f>
        <v>0.35</v>
      </c>
      <c r="G1077" s="322">
        <f t="shared" si="843"/>
        <v>0.35</v>
      </c>
      <c r="H1077" s="322">
        <f t="shared" si="843"/>
        <v>0.35</v>
      </c>
      <c r="I1077" s="322">
        <f t="shared" si="843"/>
        <v>0.35</v>
      </c>
      <c r="J1077" s="322">
        <f t="shared" si="843"/>
        <v>0.35</v>
      </c>
      <c r="K1077" s="322">
        <f t="shared" si="843"/>
        <v>0.35</v>
      </c>
      <c r="L1077" s="322">
        <f t="shared" si="843"/>
        <v>0.35</v>
      </c>
      <c r="M1077" s="322">
        <f t="shared" si="843"/>
        <v>0.35</v>
      </c>
      <c r="N1077" s="322">
        <f t="shared" si="843"/>
        <v>0.35</v>
      </c>
      <c r="O1077" s="322">
        <f t="shared" si="843"/>
        <v>0.35</v>
      </c>
      <c r="P1077" s="322">
        <f t="shared" si="843"/>
        <v>0.35</v>
      </c>
      <c r="Q1077" s="322">
        <f t="shared" si="843"/>
        <v>0.35</v>
      </c>
      <c r="R1077" s="322">
        <f t="shared" si="843"/>
        <v>0.35</v>
      </c>
      <c r="S1077" s="322">
        <f t="shared" si="843"/>
        <v>0.35</v>
      </c>
      <c r="T1077" s="218"/>
      <c r="U1077" s="218"/>
      <c r="V1077" s="218"/>
      <c r="W1077" s="322">
        <f>D1077</f>
        <v>0.35</v>
      </c>
      <c r="Y1077" s="390"/>
      <c r="Z1077" s="390"/>
      <c r="AA1077" s="390"/>
      <c r="AB1077" s="390"/>
      <c r="AC1077" s="390"/>
      <c r="AD1077" s="390"/>
      <c r="AE1077" s="390"/>
      <c r="AF1077" s="390"/>
      <c r="AG1077" s="390"/>
      <c r="AH1077" s="390"/>
      <c r="AI1077" s="390"/>
      <c r="AJ1077" s="390"/>
      <c r="AK1077" s="390"/>
      <c r="AL1077" s="390"/>
      <c r="AM1077" s="390"/>
      <c r="AN1077" s="390"/>
      <c r="AO1077" s="390"/>
      <c r="AP1077" s="390"/>
      <c r="AQ1077" s="390"/>
      <c r="AR1077" s="390"/>
      <c r="AS1077" s="390"/>
    </row>
    <row r="1078" spans="2:45" x14ac:dyDescent="0.3">
      <c r="B1078" s="54" t="s">
        <v>56</v>
      </c>
      <c r="C1078" s="55"/>
      <c r="D1078" s="21"/>
      <c r="E1078" s="21"/>
      <c r="F1078" s="21"/>
      <c r="G1078" s="21"/>
      <c r="H1078" s="21"/>
      <c r="I1078" s="21"/>
      <c r="J1078" s="21"/>
      <c r="K1078" s="21"/>
      <c r="L1078" s="21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Y1078" s="390"/>
      <c r="Z1078" s="390"/>
      <c r="AA1078" s="390"/>
      <c r="AB1078" s="390"/>
      <c r="AC1078" s="390"/>
      <c r="AD1078" s="390"/>
      <c r="AE1078" s="390"/>
      <c r="AF1078" s="390"/>
      <c r="AG1078" s="390"/>
      <c r="AH1078" s="390"/>
      <c r="AI1078" s="390"/>
      <c r="AJ1078" s="390"/>
      <c r="AK1078" s="390"/>
      <c r="AL1078" s="390"/>
      <c r="AM1078" s="390"/>
      <c r="AN1078" s="390"/>
      <c r="AO1078" s="390"/>
      <c r="AP1078" s="390"/>
      <c r="AQ1078" s="390"/>
      <c r="AR1078" s="390"/>
      <c r="AS1078" s="390"/>
    </row>
    <row r="1079" spans="2:45" x14ac:dyDescent="0.3">
      <c r="B1079" s="177" t="s">
        <v>67</v>
      </c>
      <c r="C1079" s="178"/>
      <c r="D1079" s="323">
        <f>D1076-(D1076*D1077)</f>
        <v>234</v>
      </c>
      <c r="E1079" s="323">
        <f t="shared" ref="E1079:W1079" si="844">E1076-(E1076*E1077)</f>
        <v>234</v>
      </c>
      <c r="F1079" s="323">
        <f t="shared" si="844"/>
        <v>234</v>
      </c>
      <c r="G1079" s="323">
        <f t="shared" si="844"/>
        <v>234</v>
      </c>
      <c r="H1079" s="323">
        <f t="shared" si="844"/>
        <v>234</v>
      </c>
      <c r="I1079" s="323">
        <f t="shared" si="844"/>
        <v>234</v>
      </c>
      <c r="J1079" s="323">
        <f t="shared" si="844"/>
        <v>234</v>
      </c>
      <c r="K1079" s="323">
        <f t="shared" si="844"/>
        <v>234</v>
      </c>
      <c r="L1079" s="323">
        <f t="shared" si="844"/>
        <v>234</v>
      </c>
      <c r="M1079" s="323">
        <f t="shared" si="844"/>
        <v>234</v>
      </c>
      <c r="N1079" s="323">
        <f t="shared" si="844"/>
        <v>234</v>
      </c>
      <c r="O1079" s="323">
        <f t="shared" si="844"/>
        <v>234</v>
      </c>
      <c r="P1079" s="323">
        <f t="shared" si="844"/>
        <v>234</v>
      </c>
      <c r="Q1079" s="323">
        <f t="shared" si="844"/>
        <v>234</v>
      </c>
      <c r="R1079" s="323">
        <f t="shared" si="844"/>
        <v>234</v>
      </c>
      <c r="S1079" s="323">
        <f t="shared" si="844"/>
        <v>234</v>
      </c>
      <c r="T1079" s="323">
        <f t="shared" si="844"/>
        <v>0</v>
      </c>
      <c r="U1079" s="323">
        <f t="shared" si="844"/>
        <v>0</v>
      </c>
      <c r="V1079" s="323">
        <f t="shared" si="844"/>
        <v>0</v>
      </c>
      <c r="W1079" s="323">
        <f t="shared" si="844"/>
        <v>234</v>
      </c>
      <c r="Y1079" s="390"/>
      <c r="Z1079" s="390"/>
      <c r="AA1079" s="390"/>
      <c r="AB1079" s="390"/>
      <c r="AC1079" s="390"/>
      <c r="AD1079" s="390"/>
      <c r="AE1079" s="390"/>
      <c r="AF1079" s="390"/>
      <c r="AG1079" s="390"/>
      <c r="AH1079" s="390"/>
      <c r="AI1079" s="390"/>
      <c r="AJ1079" s="390"/>
      <c r="AK1079" s="390"/>
      <c r="AL1079" s="390"/>
      <c r="AM1079" s="390"/>
      <c r="AN1079" s="390"/>
      <c r="AO1079" s="390"/>
      <c r="AP1079" s="390"/>
      <c r="AQ1079" s="390"/>
      <c r="AR1079" s="390"/>
      <c r="AS1079" s="390"/>
    </row>
    <row r="1080" spans="2:45" x14ac:dyDescent="0.3">
      <c r="B1080" s="54" t="s">
        <v>66</v>
      </c>
      <c r="C1080" s="56">
        <v>7.0000000000000007E-2</v>
      </c>
      <c r="D1080" s="24">
        <f>D1079*$C1080</f>
        <v>16.380000000000003</v>
      </c>
      <c r="E1080" s="24">
        <f t="shared" ref="E1080:V1080" si="845">E1079*$C1080</f>
        <v>16.380000000000003</v>
      </c>
      <c r="F1080" s="24">
        <f t="shared" si="845"/>
        <v>16.380000000000003</v>
      </c>
      <c r="G1080" s="24">
        <f t="shared" si="845"/>
        <v>16.380000000000003</v>
      </c>
      <c r="H1080" s="24">
        <f t="shared" si="845"/>
        <v>16.380000000000003</v>
      </c>
      <c r="I1080" s="24">
        <f t="shared" si="845"/>
        <v>16.380000000000003</v>
      </c>
      <c r="J1080" s="24">
        <f t="shared" si="845"/>
        <v>16.380000000000003</v>
      </c>
      <c r="K1080" s="24">
        <f t="shared" si="845"/>
        <v>16.380000000000003</v>
      </c>
      <c r="L1080" s="24">
        <f t="shared" si="845"/>
        <v>16.380000000000003</v>
      </c>
      <c r="M1080" s="24">
        <f t="shared" si="845"/>
        <v>16.380000000000003</v>
      </c>
      <c r="N1080" s="24">
        <f t="shared" si="845"/>
        <v>16.380000000000003</v>
      </c>
      <c r="O1080" s="24">
        <f t="shared" si="845"/>
        <v>16.380000000000003</v>
      </c>
      <c r="P1080" s="24">
        <f t="shared" si="845"/>
        <v>16.380000000000003</v>
      </c>
      <c r="Q1080" s="24">
        <f t="shared" si="845"/>
        <v>16.380000000000003</v>
      </c>
      <c r="R1080" s="24">
        <f t="shared" si="845"/>
        <v>16.380000000000003</v>
      </c>
      <c r="S1080" s="24">
        <f t="shared" si="845"/>
        <v>16.380000000000003</v>
      </c>
      <c r="T1080" s="24">
        <f t="shared" si="845"/>
        <v>0</v>
      </c>
      <c r="U1080" s="24">
        <f t="shared" si="845"/>
        <v>0</v>
      </c>
      <c r="V1080" s="24">
        <f t="shared" si="845"/>
        <v>0</v>
      </c>
      <c r="W1080" s="24">
        <f>W1079*$C1080</f>
        <v>16.380000000000003</v>
      </c>
      <c r="Y1080" s="390"/>
      <c r="Z1080" s="390"/>
      <c r="AA1080" s="390"/>
      <c r="AB1080" s="390"/>
      <c r="AC1080" s="390"/>
      <c r="AD1080" s="390"/>
      <c r="AE1080" s="390"/>
      <c r="AF1080" s="390"/>
      <c r="AG1080" s="390"/>
      <c r="AH1080" s="390"/>
      <c r="AI1080" s="390"/>
      <c r="AJ1080" s="390"/>
      <c r="AK1080" s="390"/>
      <c r="AL1080" s="390"/>
      <c r="AM1080" s="390"/>
      <c r="AN1080" s="390"/>
      <c r="AO1080" s="390"/>
      <c r="AP1080" s="390"/>
      <c r="AQ1080" s="390"/>
      <c r="AR1080" s="390"/>
      <c r="AS1080" s="390"/>
    </row>
    <row r="1081" spans="2:45" x14ac:dyDescent="0.3">
      <c r="B1081" s="54" t="s">
        <v>68</v>
      </c>
      <c r="C1081" s="55"/>
      <c r="D1081" s="21">
        <f>D1079+D1080</f>
        <v>250.38</v>
      </c>
      <c r="E1081" s="21">
        <f t="shared" ref="E1081:V1081" si="846">E1079+E1080</f>
        <v>250.38</v>
      </c>
      <c r="F1081" s="21">
        <f t="shared" si="846"/>
        <v>250.38</v>
      </c>
      <c r="G1081" s="21">
        <f t="shared" si="846"/>
        <v>250.38</v>
      </c>
      <c r="H1081" s="21">
        <f t="shared" si="846"/>
        <v>250.38</v>
      </c>
      <c r="I1081" s="21">
        <f t="shared" si="846"/>
        <v>250.38</v>
      </c>
      <c r="J1081" s="21">
        <f t="shared" si="846"/>
        <v>250.38</v>
      </c>
      <c r="K1081" s="21">
        <f t="shared" si="846"/>
        <v>250.38</v>
      </c>
      <c r="L1081" s="21">
        <f t="shared" si="846"/>
        <v>250.38</v>
      </c>
      <c r="M1081" s="21">
        <f t="shared" si="846"/>
        <v>250.38</v>
      </c>
      <c r="N1081" s="21">
        <f t="shared" si="846"/>
        <v>250.38</v>
      </c>
      <c r="O1081" s="21">
        <f t="shared" si="846"/>
        <v>250.38</v>
      </c>
      <c r="P1081" s="21">
        <f t="shared" si="846"/>
        <v>250.38</v>
      </c>
      <c r="Q1081" s="21">
        <f t="shared" si="846"/>
        <v>250.38</v>
      </c>
      <c r="R1081" s="21">
        <f t="shared" si="846"/>
        <v>250.38</v>
      </c>
      <c r="S1081" s="21">
        <f t="shared" si="846"/>
        <v>250.38</v>
      </c>
      <c r="T1081" s="21">
        <f t="shared" si="846"/>
        <v>0</v>
      </c>
      <c r="U1081" s="21">
        <f t="shared" si="846"/>
        <v>0</v>
      </c>
      <c r="V1081" s="21">
        <f t="shared" si="846"/>
        <v>0</v>
      </c>
      <c r="W1081" s="21">
        <f>W1079+W1080</f>
        <v>250.38</v>
      </c>
      <c r="Y1081" s="390"/>
      <c r="Z1081" s="390"/>
      <c r="AA1081" s="390"/>
      <c r="AB1081" s="390"/>
      <c r="AC1081" s="390"/>
      <c r="AD1081" s="390"/>
      <c r="AE1081" s="390"/>
      <c r="AF1081" s="390"/>
      <c r="AG1081" s="390"/>
      <c r="AH1081" s="390"/>
      <c r="AI1081" s="390"/>
      <c r="AJ1081" s="390"/>
      <c r="AK1081" s="390"/>
      <c r="AL1081" s="390"/>
      <c r="AM1081" s="390"/>
      <c r="AN1081" s="390"/>
      <c r="AO1081" s="390"/>
      <c r="AP1081" s="390"/>
      <c r="AQ1081" s="390"/>
      <c r="AR1081" s="390"/>
      <c r="AS1081" s="390"/>
    </row>
    <row r="1082" spans="2:45" x14ac:dyDescent="0.3">
      <c r="B1082" s="54" t="s">
        <v>52</v>
      </c>
      <c r="C1082" s="55"/>
      <c r="D1082" s="398">
        <f>Y1084</f>
        <v>6.9611111111111112</v>
      </c>
      <c r="E1082" s="398">
        <f t="shared" ref="E1082:W1082" si="847">Z1084</f>
        <v>15.812222222222223</v>
      </c>
      <c r="F1082" s="398">
        <f t="shared" si="847"/>
        <v>18.975000000000001</v>
      </c>
      <c r="G1082" s="398">
        <f t="shared" si="847"/>
        <v>12.65</v>
      </c>
      <c r="H1082" s="398">
        <f t="shared" si="847"/>
        <v>6.7766666666666664</v>
      </c>
      <c r="I1082" s="398">
        <f t="shared" si="847"/>
        <v>9.0355555555555558</v>
      </c>
      <c r="J1082" s="398">
        <f t="shared" si="847"/>
        <v>14.005555555555556</v>
      </c>
      <c r="K1082" s="398">
        <f t="shared" si="847"/>
        <v>11.475555555555555</v>
      </c>
      <c r="L1082" s="398">
        <f t="shared" si="847"/>
        <v>13.553333333333333</v>
      </c>
      <c r="M1082" s="398">
        <f t="shared" si="847"/>
        <v>6.5055555555555555</v>
      </c>
      <c r="N1082" s="398">
        <f t="shared" si="847"/>
        <v>7.2288888888888891</v>
      </c>
      <c r="O1082" s="398">
        <f t="shared" si="847"/>
        <v>16.989444444444445</v>
      </c>
      <c r="P1082" s="398">
        <f t="shared" si="847"/>
        <v>6.5055555555555555</v>
      </c>
      <c r="Q1082" s="398">
        <f t="shared" si="847"/>
        <v>6.5055555555555555</v>
      </c>
      <c r="R1082" s="398">
        <f t="shared" si="847"/>
        <v>8.5838888888888896</v>
      </c>
      <c r="S1082" s="398">
        <f t="shared" si="847"/>
        <v>8.1322222222222216</v>
      </c>
      <c r="T1082" s="398">
        <f t="shared" si="847"/>
        <v>0</v>
      </c>
      <c r="U1082" s="398">
        <v>0</v>
      </c>
      <c r="V1082" s="398">
        <f t="shared" si="847"/>
        <v>0</v>
      </c>
      <c r="W1082" s="398">
        <f t="shared" si="847"/>
        <v>6.5055555555555555</v>
      </c>
      <c r="Y1082" s="390">
        <v>12530</v>
      </c>
      <c r="Z1082" s="390">
        <v>28462</v>
      </c>
      <c r="AA1082" s="390">
        <v>34155</v>
      </c>
      <c r="AB1082" s="390">
        <v>22770</v>
      </c>
      <c r="AC1082" s="390">
        <v>12198</v>
      </c>
      <c r="AD1082" s="390">
        <v>16264</v>
      </c>
      <c r="AE1082" s="390">
        <v>25210</v>
      </c>
      <c r="AF1082" s="390">
        <v>20656</v>
      </c>
      <c r="AG1082" s="390">
        <v>24396</v>
      </c>
      <c r="AH1082" s="390">
        <v>11710</v>
      </c>
      <c r="AI1082" s="390">
        <v>13012</v>
      </c>
      <c r="AJ1082" s="390">
        <v>30581</v>
      </c>
      <c r="AK1082" s="396">
        <v>11710</v>
      </c>
      <c r="AL1082" s="396">
        <v>11710</v>
      </c>
      <c r="AM1082" s="390">
        <v>15451</v>
      </c>
      <c r="AN1082" s="390">
        <v>14638</v>
      </c>
      <c r="AO1082" s="390"/>
      <c r="AP1082" s="396">
        <v>30581</v>
      </c>
      <c r="AQ1082" s="390"/>
      <c r="AR1082" s="396">
        <v>11710</v>
      </c>
      <c r="AS1082" s="390"/>
    </row>
    <row r="1083" spans="2:45" x14ac:dyDescent="0.3">
      <c r="B1083" s="57" t="s">
        <v>53</v>
      </c>
      <c r="C1083" s="58"/>
      <c r="D1083" s="25">
        <f>SUM(D1081:D1082)</f>
        <v>257.3411111111111</v>
      </c>
      <c r="E1083" s="26">
        <f t="shared" ref="E1083:V1083" si="848">SUM(E1081:E1082)</f>
        <v>266.1922222222222</v>
      </c>
      <c r="F1083" s="26">
        <f t="shared" si="848"/>
        <v>269.35500000000002</v>
      </c>
      <c r="G1083" s="26">
        <f t="shared" si="848"/>
        <v>263.02999999999997</v>
      </c>
      <c r="H1083" s="26">
        <f t="shared" si="848"/>
        <v>257.15666666666664</v>
      </c>
      <c r="I1083" s="26">
        <f t="shared" si="848"/>
        <v>259.41555555555556</v>
      </c>
      <c r="J1083" s="26">
        <f t="shared" si="848"/>
        <v>264.38555555555553</v>
      </c>
      <c r="K1083" s="26">
        <f t="shared" si="848"/>
        <v>261.85555555555555</v>
      </c>
      <c r="L1083" s="26">
        <f t="shared" si="848"/>
        <v>263.93333333333334</v>
      </c>
      <c r="M1083" s="26">
        <f t="shared" si="848"/>
        <v>256.88555555555553</v>
      </c>
      <c r="N1083" s="26">
        <f t="shared" si="848"/>
        <v>257.60888888888888</v>
      </c>
      <c r="O1083" s="26">
        <f t="shared" si="848"/>
        <v>267.36944444444441</v>
      </c>
      <c r="P1083" s="26">
        <f t="shared" si="848"/>
        <v>256.88555555555553</v>
      </c>
      <c r="Q1083" s="26">
        <f t="shared" si="848"/>
        <v>256.88555555555553</v>
      </c>
      <c r="R1083" s="26">
        <f t="shared" si="848"/>
        <v>258.9638888888889</v>
      </c>
      <c r="S1083" s="26">
        <f t="shared" si="848"/>
        <v>258.51222222222219</v>
      </c>
      <c r="T1083" s="26">
        <f t="shared" si="848"/>
        <v>0</v>
      </c>
      <c r="U1083" s="26">
        <f t="shared" si="848"/>
        <v>0</v>
      </c>
      <c r="V1083" s="26">
        <f t="shared" si="848"/>
        <v>0</v>
      </c>
      <c r="W1083" s="26">
        <f>SUM(W1081:W1082)</f>
        <v>256.88555555555553</v>
      </c>
      <c r="Y1083" s="390">
        <v>1800</v>
      </c>
      <c r="Z1083" s="390">
        <v>1800</v>
      </c>
      <c r="AA1083" s="390">
        <v>1800</v>
      </c>
      <c r="AB1083" s="390">
        <v>1800</v>
      </c>
      <c r="AC1083" s="390">
        <v>1800</v>
      </c>
      <c r="AD1083" s="390">
        <v>1800</v>
      </c>
      <c r="AE1083" s="390">
        <v>1800</v>
      </c>
      <c r="AF1083" s="390">
        <v>1800</v>
      </c>
      <c r="AG1083" s="390">
        <v>1800</v>
      </c>
      <c r="AH1083" s="390">
        <v>1800</v>
      </c>
      <c r="AI1083" s="390">
        <v>1800</v>
      </c>
      <c r="AJ1083" s="390">
        <v>1800</v>
      </c>
      <c r="AK1083" s="390">
        <v>1800</v>
      </c>
      <c r="AL1083" s="390">
        <v>1800</v>
      </c>
      <c r="AM1083" s="390">
        <v>1800</v>
      </c>
      <c r="AN1083" s="390">
        <v>1800</v>
      </c>
      <c r="AO1083" s="390"/>
      <c r="AP1083" s="390">
        <v>1800</v>
      </c>
      <c r="AQ1083" s="390"/>
      <c r="AR1083" s="390">
        <v>1800</v>
      </c>
      <c r="AS1083" s="390"/>
    </row>
    <row r="1084" spans="2:45" x14ac:dyDescent="0.3">
      <c r="B1084" s="54" t="s">
        <v>54</v>
      </c>
      <c r="C1084" s="55"/>
      <c r="D1084" s="20"/>
      <c r="E1084" s="21"/>
      <c r="F1084" s="21"/>
      <c r="G1084" s="21"/>
      <c r="H1084" s="21"/>
      <c r="I1084" s="21"/>
      <c r="J1084" s="21"/>
      <c r="K1084" s="21"/>
      <c r="L1084" s="21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Y1084" s="389">
        <f>Y1082/Y1083</f>
        <v>6.9611111111111112</v>
      </c>
      <c r="Z1084" s="389">
        <f t="shared" ref="Z1084:AN1084" si="849">Z1082/Z1083</f>
        <v>15.812222222222223</v>
      </c>
      <c r="AA1084" s="389">
        <f t="shared" si="849"/>
        <v>18.975000000000001</v>
      </c>
      <c r="AB1084" s="389">
        <f t="shared" si="849"/>
        <v>12.65</v>
      </c>
      <c r="AC1084" s="389">
        <f t="shared" si="849"/>
        <v>6.7766666666666664</v>
      </c>
      <c r="AD1084" s="389">
        <f t="shared" si="849"/>
        <v>9.0355555555555558</v>
      </c>
      <c r="AE1084" s="389">
        <f t="shared" si="849"/>
        <v>14.005555555555556</v>
      </c>
      <c r="AF1084" s="389">
        <f t="shared" si="849"/>
        <v>11.475555555555555</v>
      </c>
      <c r="AG1084" s="389">
        <f t="shared" si="849"/>
        <v>13.553333333333333</v>
      </c>
      <c r="AH1084" s="389">
        <f t="shared" si="849"/>
        <v>6.5055555555555555</v>
      </c>
      <c r="AI1084" s="389">
        <f t="shared" si="849"/>
        <v>7.2288888888888891</v>
      </c>
      <c r="AJ1084" s="389">
        <f t="shared" si="849"/>
        <v>16.989444444444445</v>
      </c>
      <c r="AK1084" s="389">
        <f t="shared" si="849"/>
        <v>6.5055555555555555</v>
      </c>
      <c r="AL1084" s="389">
        <f t="shared" si="849"/>
        <v>6.5055555555555555</v>
      </c>
      <c r="AM1084" s="389">
        <f t="shared" si="849"/>
        <v>8.5838888888888896</v>
      </c>
      <c r="AN1084" s="389">
        <f t="shared" si="849"/>
        <v>8.1322222222222216</v>
      </c>
      <c r="AO1084" s="390"/>
      <c r="AP1084" s="389">
        <f t="shared" ref="AP1084" si="850">AP1082/AP1083</f>
        <v>16.989444444444445</v>
      </c>
      <c r="AQ1084" s="390"/>
      <c r="AR1084" s="389">
        <f t="shared" ref="AR1084" si="851">AR1082/AR1083</f>
        <v>6.5055555555555555</v>
      </c>
      <c r="AS1084" s="390"/>
    </row>
    <row r="1085" spans="2:45" x14ac:dyDescent="0.3">
      <c r="B1085" s="59" t="s">
        <v>55</v>
      </c>
      <c r="C1085" s="60"/>
      <c r="D1085" s="27">
        <f>SUM(D1083:D1084)</f>
        <v>257.3411111111111</v>
      </c>
      <c r="E1085" s="41">
        <f t="shared" ref="E1085:V1085" si="852">SUM(E1083:E1084)</f>
        <v>266.1922222222222</v>
      </c>
      <c r="F1085" s="41">
        <f t="shared" si="852"/>
        <v>269.35500000000002</v>
      </c>
      <c r="G1085" s="41">
        <f t="shared" si="852"/>
        <v>263.02999999999997</v>
      </c>
      <c r="H1085" s="41">
        <f t="shared" si="852"/>
        <v>257.15666666666664</v>
      </c>
      <c r="I1085" s="41">
        <f t="shared" si="852"/>
        <v>259.41555555555556</v>
      </c>
      <c r="J1085" s="41">
        <f t="shared" si="852"/>
        <v>264.38555555555553</v>
      </c>
      <c r="K1085" s="41">
        <f t="shared" si="852"/>
        <v>261.85555555555555</v>
      </c>
      <c r="L1085" s="41">
        <f t="shared" si="852"/>
        <v>263.93333333333334</v>
      </c>
      <c r="M1085" s="41">
        <f t="shared" si="852"/>
        <v>256.88555555555553</v>
      </c>
      <c r="N1085" s="41">
        <f t="shared" si="852"/>
        <v>257.60888888888888</v>
      </c>
      <c r="O1085" s="41">
        <f t="shared" si="852"/>
        <v>267.36944444444441</v>
      </c>
      <c r="P1085" s="41">
        <f t="shared" si="852"/>
        <v>256.88555555555553</v>
      </c>
      <c r="Q1085" s="41">
        <f t="shared" si="852"/>
        <v>256.88555555555553</v>
      </c>
      <c r="R1085" s="41">
        <f t="shared" si="852"/>
        <v>258.9638888888889</v>
      </c>
      <c r="S1085" s="41">
        <f t="shared" si="852"/>
        <v>258.51222222222219</v>
      </c>
      <c r="T1085" s="41">
        <f t="shared" si="852"/>
        <v>0</v>
      </c>
      <c r="U1085" s="41">
        <f t="shared" si="852"/>
        <v>0</v>
      </c>
      <c r="V1085" s="41">
        <f t="shared" si="852"/>
        <v>0</v>
      </c>
      <c r="W1085" s="41">
        <f>SUM(W1083:W1084)</f>
        <v>256.88555555555553</v>
      </c>
      <c r="Y1085" s="390"/>
      <c r="Z1085" s="390"/>
      <c r="AA1085" s="390"/>
      <c r="AB1085" s="390"/>
      <c r="AC1085" s="390"/>
      <c r="AD1085" s="390"/>
      <c r="AE1085" s="390"/>
      <c r="AF1085" s="390"/>
      <c r="AG1085" s="390"/>
      <c r="AH1085" s="390"/>
      <c r="AI1085" s="390"/>
      <c r="AJ1085" s="390"/>
      <c r="AK1085" s="390"/>
      <c r="AL1085" s="390"/>
      <c r="AM1085" s="390"/>
      <c r="AN1085" s="390"/>
      <c r="AO1085" s="390"/>
      <c r="AP1085" s="390"/>
      <c r="AQ1085" s="390"/>
      <c r="AR1085" s="390"/>
      <c r="AS1085" s="390"/>
    </row>
    <row r="1086" spans="2:45" x14ac:dyDescent="0.3">
      <c r="B1086" s="61" t="s">
        <v>101</v>
      </c>
      <c r="C1086" s="55"/>
      <c r="D1086" s="43">
        <v>0</v>
      </c>
      <c r="E1086" s="408">
        <v>0</v>
      </c>
      <c r="F1086" s="408">
        <v>0</v>
      </c>
      <c r="G1086" s="408">
        <v>0</v>
      </c>
      <c r="H1086" s="408">
        <v>0</v>
      </c>
      <c r="I1086" s="408">
        <v>0</v>
      </c>
      <c r="J1086" s="408">
        <v>0</v>
      </c>
      <c r="K1086" s="408">
        <v>0</v>
      </c>
      <c r="L1086" s="408">
        <v>0</v>
      </c>
      <c r="M1086" s="408">
        <v>0</v>
      </c>
      <c r="N1086" s="408">
        <v>0</v>
      </c>
      <c r="O1086" s="408">
        <v>0</v>
      </c>
      <c r="P1086" s="408">
        <v>0</v>
      </c>
      <c r="Q1086" s="408">
        <v>0</v>
      </c>
      <c r="R1086" s="408">
        <v>0</v>
      </c>
      <c r="S1086" s="408">
        <v>0</v>
      </c>
      <c r="T1086" s="408">
        <v>0</v>
      </c>
      <c r="U1086" s="408">
        <v>0</v>
      </c>
      <c r="V1086" s="408">
        <v>0</v>
      </c>
      <c r="W1086" s="408">
        <v>0</v>
      </c>
      <c r="Y1086" s="409"/>
      <c r="Z1086" s="409"/>
      <c r="AA1086" s="409"/>
      <c r="AB1086" s="409"/>
      <c r="AC1086" s="409"/>
      <c r="AD1086" s="409"/>
      <c r="AE1086" s="409"/>
      <c r="AF1086" s="409"/>
      <c r="AG1086" s="409"/>
      <c r="AH1086" s="409"/>
      <c r="AI1086" s="409"/>
      <c r="AJ1086" s="409"/>
      <c r="AK1086" s="409"/>
      <c r="AL1086" s="409"/>
      <c r="AM1086" s="409"/>
      <c r="AN1086" s="409"/>
      <c r="AO1086" s="409"/>
      <c r="AP1086" s="409"/>
      <c r="AQ1086" s="409"/>
      <c r="AR1086" s="409"/>
      <c r="AS1086" s="409"/>
    </row>
    <row r="1087" spans="2:45" x14ac:dyDescent="0.3">
      <c r="B1087" s="61" t="s">
        <v>194</v>
      </c>
      <c r="C1087" s="55"/>
      <c r="D1087" s="228">
        <v>278</v>
      </c>
      <c r="E1087" s="229">
        <v>287</v>
      </c>
      <c r="F1087" s="229">
        <v>290</v>
      </c>
      <c r="G1087" s="229">
        <v>284</v>
      </c>
      <c r="H1087" s="229">
        <v>278</v>
      </c>
      <c r="I1087" s="229">
        <v>280</v>
      </c>
      <c r="J1087" s="229">
        <v>285</v>
      </c>
      <c r="K1087" s="229">
        <v>282</v>
      </c>
      <c r="L1087" s="229">
        <v>284</v>
      </c>
      <c r="M1087" s="229">
        <v>277</v>
      </c>
      <c r="N1087" s="229">
        <v>278</v>
      </c>
      <c r="O1087" s="229">
        <v>288</v>
      </c>
      <c r="P1087" s="229">
        <v>277</v>
      </c>
      <c r="Q1087" s="229">
        <v>277</v>
      </c>
      <c r="R1087" s="229">
        <v>279</v>
      </c>
      <c r="S1087" s="229">
        <v>279</v>
      </c>
      <c r="T1087" s="21">
        <v>0</v>
      </c>
      <c r="U1087" s="21">
        <v>0</v>
      </c>
      <c r="V1087" s="21">
        <v>0</v>
      </c>
      <c r="W1087" s="229">
        <v>277</v>
      </c>
      <c r="Y1087" s="390"/>
      <c r="Z1087" s="390"/>
      <c r="AA1087" s="390"/>
      <c r="AB1087" s="390"/>
      <c r="AC1087" s="390"/>
      <c r="AD1087" s="390"/>
      <c r="AE1087" s="390"/>
      <c r="AF1087" s="390"/>
      <c r="AG1087" s="390"/>
      <c r="AH1087" s="390"/>
      <c r="AI1087" s="390"/>
      <c r="AJ1087" s="390"/>
      <c r="AK1087" s="390"/>
      <c r="AL1087" s="390"/>
      <c r="AM1087" s="390"/>
      <c r="AN1087" s="390"/>
      <c r="AO1087" s="390"/>
      <c r="AP1087" s="390"/>
      <c r="AQ1087" s="390"/>
      <c r="AR1087" s="390"/>
      <c r="AS1087" s="390"/>
    </row>
    <row r="1088" spans="2:45" x14ac:dyDescent="0.3">
      <c r="B1088" s="61" t="s">
        <v>195</v>
      </c>
      <c r="C1088" s="62"/>
      <c r="D1088" s="28">
        <v>282</v>
      </c>
      <c r="E1088" s="28">
        <v>291</v>
      </c>
      <c r="F1088" s="28">
        <v>294</v>
      </c>
      <c r="G1088" s="28">
        <v>288</v>
      </c>
      <c r="H1088" s="28">
        <v>282</v>
      </c>
      <c r="I1088" s="28">
        <v>284</v>
      </c>
      <c r="J1088" s="28">
        <v>289</v>
      </c>
      <c r="K1088" s="28">
        <v>286</v>
      </c>
      <c r="L1088" s="28">
        <v>288</v>
      </c>
      <c r="M1088" s="28">
        <v>281</v>
      </c>
      <c r="N1088" s="28">
        <v>282</v>
      </c>
      <c r="O1088" s="28">
        <v>292</v>
      </c>
      <c r="P1088" s="28">
        <v>281</v>
      </c>
      <c r="Q1088" s="28">
        <v>281</v>
      </c>
      <c r="R1088" s="28">
        <v>283</v>
      </c>
      <c r="S1088" s="28">
        <v>283</v>
      </c>
      <c r="T1088" s="410">
        <v>0</v>
      </c>
      <c r="U1088" s="410">
        <v>0</v>
      </c>
      <c r="V1088" s="410">
        <v>0</v>
      </c>
      <c r="W1088" s="28">
        <v>281</v>
      </c>
      <c r="Y1088" s="390"/>
      <c r="Z1088" s="390"/>
      <c r="AA1088" s="390"/>
      <c r="AB1088" s="390"/>
      <c r="AC1088" s="390"/>
      <c r="AD1088" s="390"/>
      <c r="AE1088" s="390"/>
      <c r="AF1088" s="390"/>
      <c r="AG1088" s="390"/>
      <c r="AH1088" s="390"/>
      <c r="AI1088" s="390"/>
      <c r="AJ1088" s="390"/>
      <c r="AK1088" s="390"/>
      <c r="AL1088" s="390"/>
      <c r="AM1088" s="390"/>
      <c r="AN1088" s="390"/>
      <c r="AO1088" s="390"/>
      <c r="AP1088" s="390"/>
      <c r="AQ1088" s="390"/>
      <c r="AR1088" s="390"/>
      <c r="AS1088" s="390"/>
    </row>
    <row r="1089" spans="2:45" x14ac:dyDescent="0.3">
      <c r="B1089" s="61" t="s">
        <v>196</v>
      </c>
      <c r="C1089" s="62"/>
      <c r="D1089" s="28">
        <v>285</v>
      </c>
      <c r="E1089" s="28">
        <v>294</v>
      </c>
      <c r="F1089" s="28">
        <v>297</v>
      </c>
      <c r="G1089" s="28">
        <v>291</v>
      </c>
      <c r="H1089" s="28">
        <v>285</v>
      </c>
      <c r="I1089" s="28">
        <v>287</v>
      </c>
      <c r="J1089" s="28">
        <v>292</v>
      </c>
      <c r="K1089" s="28">
        <v>289</v>
      </c>
      <c r="L1089" s="28">
        <v>291</v>
      </c>
      <c r="M1089" s="28">
        <v>284</v>
      </c>
      <c r="N1089" s="28">
        <v>285</v>
      </c>
      <c r="O1089" s="28">
        <v>295</v>
      </c>
      <c r="P1089" s="28">
        <v>284</v>
      </c>
      <c r="Q1089" s="28">
        <v>284</v>
      </c>
      <c r="R1089" s="28">
        <v>286</v>
      </c>
      <c r="S1089" s="28">
        <v>286</v>
      </c>
      <c r="T1089" s="410">
        <v>0</v>
      </c>
      <c r="U1089" s="410">
        <v>0</v>
      </c>
      <c r="V1089" s="410">
        <v>0</v>
      </c>
      <c r="W1089" s="28">
        <v>284</v>
      </c>
      <c r="Y1089" s="390"/>
      <c r="Z1089" s="390"/>
      <c r="AA1089" s="390"/>
      <c r="AB1089" s="390"/>
      <c r="AC1089" s="390"/>
      <c r="AD1089" s="390"/>
      <c r="AE1089" s="390"/>
      <c r="AF1089" s="390"/>
      <c r="AG1089" s="390"/>
      <c r="AH1089" s="390"/>
      <c r="AI1089" s="390"/>
      <c r="AJ1089" s="390"/>
      <c r="AK1089" s="390"/>
      <c r="AL1089" s="390"/>
      <c r="AM1089" s="390"/>
      <c r="AN1089" s="390"/>
      <c r="AO1089" s="390"/>
      <c r="AP1089" s="390"/>
      <c r="AQ1089" s="390"/>
      <c r="AR1089" s="390"/>
      <c r="AS1089" s="390"/>
    </row>
    <row r="1090" spans="2:45" x14ac:dyDescent="0.3">
      <c r="B1090" s="61" t="s">
        <v>197</v>
      </c>
      <c r="C1090" s="62"/>
      <c r="D1090" s="28">
        <v>288</v>
      </c>
      <c r="E1090" s="28">
        <v>297</v>
      </c>
      <c r="F1090" s="28">
        <v>300</v>
      </c>
      <c r="G1090" s="28">
        <v>294</v>
      </c>
      <c r="H1090" s="28">
        <v>288</v>
      </c>
      <c r="I1090" s="28">
        <v>290</v>
      </c>
      <c r="J1090" s="28">
        <v>295</v>
      </c>
      <c r="K1090" s="28">
        <v>292</v>
      </c>
      <c r="L1090" s="28">
        <v>294</v>
      </c>
      <c r="M1090" s="28">
        <v>287</v>
      </c>
      <c r="N1090" s="28">
        <v>288</v>
      </c>
      <c r="O1090" s="28">
        <v>298</v>
      </c>
      <c r="P1090" s="28">
        <v>287</v>
      </c>
      <c r="Q1090" s="28">
        <v>287</v>
      </c>
      <c r="R1090" s="28">
        <v>289</v>
      </c>
      <c r="S1090" s="28">
        <v>289</v>
      </c>
      <c r="T1090" s="410">
        <v>0</v>
      </c>
      <c r="U1090" s="410">
        <v>0</v>
      </c>
      <c r="V1090" s="410">
        <v>0</v>
      </c>
      <c r="W1090" s="28">
        <v>287</v>
      </c>
      <c r="Y1090" s="390"/>
      <c r="Z1090" s="390"/>
      <c r="AA1090" s="390"/>
      <c r="AB1090" s="390"/>
      <c r="AC1090" s="390"/>
      <c r="AD1090" s="390"/>
      <c r="AE1090" s="390"/>
      <c r="AF1090" s="390"/>
      <c r="AG1090" s="390"/>
      <c r="AH1090" s="390"/>
      <c r="AI1090" s="390"/>
      <c r="AJ1090" s="390"/>
      <c r="AK1090" s="390"/>
      <c r="AL1090" s="390"/>
      <c r="AM1090" s="390"/>
      <c r="AN1090" s="390"/>
      <c r="AO1090" s="390"/>
      <c r="AP1090" s="390"/>
      <c r="AQ1090" s="390"/>
      <c r="AR1090" s="390"/>
      <c r="AS1090" s="390"/>
    </row>
    <row r="1091" spans="2:45" x14ac:dyDescent="0.3">
      <c r="B1091" s="63" t="s">
        <v>103</v>
      </c>
      <c r="C1091" s="55"/>
      <c r="D1091" s="43">
        <v>0</v>
      </c>
      <c r="E1091" s="408">
        <v>0</v>
      </c>
      <c r="F1091" s="408">
        <v>0</v>
      </c>
      <c r="G1091" s="408">
        <v>0</v>
      </c>
      <c r="H1091" s="408">
        <v>0</v>
      </c>
      <c r="I1091" s="408">
        <v>0</v>
      </c>
      <c r="J1091" s="408">
        <v>0</v>
      </c>
      <c r="K1091" s="408">
        <v>0</v>
      </c>
      <c r="L1091" s="408">
        <v>0</v>
      </c>
      <c r="M1091" s="408">
        <v>0</v>
      </c>
      <c r="N1091" s="408">
        <v>0</v>
      </c>
      <c r="O1091" s="408">
        <v>0</v>
      </c>
      <c r="P1091" s="408">
        <v>0</v>
      </c>
      <c r="Q1091" s="408">
        <v>0</v>
      </c>
      <c r="R1091" s="408">
        <v>0</v>
      </c>
      <c r="S1091" s="408">
        <v>0</v>
      </c>
      <c r="T1091" s="408">
        <v>0</v>
      </c>
      <c r="U1091" s="408">
        <v>0</v>
      </c>
      <c r="V1091" s="408">
        <v>0</v>
      </c>
      <c r="W1091" s="408">
        <v>0</v>
      </c>
      <c r="Y1091" s="409"/>
      <c r="Z1091" s="409"/>
      <c r="AA1091" s="409"/>
      <c r="AB1091" s="409"/>
      <c r="AC1091" s="409"/>
      <c r="AD1091" s="409"/>
      <c r="AE1091" s="409"/>
      <c r="AF1091" s="409"/>
      <c r="AG1091" s="409"/>
      <c r="AH1091" s="409"/>
      <c r="AI1091" s="409"/>
      <c r="AJ1091" s="409"/>
      <c r="AK1091" s="409"/>
      <c r="AL1091" s="409"/>
      <c r="AM1091" s="409"/>
      <c r="AN1091" s="409"/>
      <c r="AO1091" s="409"/>
      <c r="AP1091" s="409"/>
      <c r="AQ1091" s="409"/>
      <c r="AR1091" s="409"/>
      <c r="AS1091" s="409"/>
    </row>
    <row r="1092" spans="2:45" x14ac:dyDescent="0.3">
      <c r="B1092" s="63" t="s">
        <v>198</v>
      </c>
      <c r="C1092" s="62"/>
      <c r="D1092" s="31">
        <f t="shared" ref="D1092:S1092" si="853">+D1087-D$1085</f>
        <v>20.658888888888896</v>
      </c>
      <c r="E1092" s="31">
        <f t="shared" si="853"/>
        <v>20.807777777777801</v>
      </c>
      <c r="F1092" s="31">
        <f t="shared" si="853"/>
        <v>20.644999999999982</v>
      </c>
      <c r="G1092" s="31">
        <f t="shared" si="853"/>
        <v>20.970000000000027</v>
      </c>
      <c r="H1092" s="31">
        <f t="shared" si="853"/>
        <v>20.843333333333362</v>
      </c>
      <c r="I1092" s="31">
        <f t="shared" si="853"/>
        <v>20.584444444444443</v>
      </c>
      <c r="J1092" s="31">
        <f t="shared" si="853"/>
        <v>20.614444444444473</v>
      </c>
      <c r="K1092" s="31">
        <f t="shared" si="853"/>
        <v>20.144444444444446</v>
      </c>
      <c r="L1092" s="31">
        <f t="shared" si="853"/>
        <v>20.066666666666663</v>
      </c>
      <c r="M1092" s="31">
        <f t="shared" si="853"/>
        <v>20.114444444444473</v>
      </c>
      <c r="N1092" s="31">
        <f t="shared" si="853"/>
        <v>20.391111111111115</v>
      </c>
      <c r="O1092" s="31">
        <f t="shared" si="853"/>
        <v>20.630555555555588</v>
      </c>
      <c r="P1092" s="31">
        <f t="shared" si="853"/>
        <v>20.114444444444473</v>
      </c>
      <c r="Q1092" s="31">
        <f t="shared" si="853"/>
        <v>20.114444444444473</v>
      </c>
      <c r="R1092" s="31">
        <f t="shared" si="853"/>
        <v>20.036111111111097</v>
      </c>
      <c r="S1092" s="31">
        <f t="shared" si="853"/>
        <v>20.487777777777808</v>
      </c>
      <c r="T1092" s="29"/>
      <c r="U1092" s="29"/>
      <c r="V1092" s="29"/>
      <c r="W1092" s="31">
        <f>+W1087-W$1085</f>
        <v>20.114444444444473</v>
      </c>
      <c r="Y1092" s="390"/>
      <c r="Z1092" s="390"/>
      <c r="AA1092" s="390"/>
      <c r="AB1092" s="390"/>
      <c r="AC1092" s="390"/>
      <c r="AD1092" s="390"/>
      <c r="AE1092" s="390"/>
      <c r="AF1092" s="390"/>
      <c r="AG1092" s="390"/>
      <c r="AH1092" s="390"/>
      <c r="AI1092" s="390"/>
      <c r="AJ1092" s="390"/>
      <c r="AK1092" s="390"/>
      <c r="AL1092" s="390"/>
      <c r="AM1092" s="390"/>
      <c r="AN1092" s="390"/>
      <c r="AO1092" s="390"/>
      <c r="AP1092" s="390"/>
      <c r="AQ1092" s="390"/>
      <c r="AR1092" s="390"/>
      <c r="AS1092" s="390"/>
    </row>
    <row r="1093" spans="2:45" x14ac:dyDescent="0.3">
      <c r="B1093" s="63" t="s">
        <v>199</v>
      </c>
      <c r="C1093" s="64"/>
      <c r="D1093" s="31">
        <f t="shared" ref="D1093:S1093" si="854">+D1088-D$1085</f>
        <v>24.658888888888896</v>
      </c>
      <c r="E1093" s="32">
        <f t="shared" si="854"/>
        <v>24.807777777777801</v>
      </c>
      <c r="F1093" s="32">
        <f t="shared" si="854"/>
        <v>24.644999999999982</v>
      </c>
      <c r="G1093" s="32">
        <f t="shared" si="854"/>
        <v>24.970000000000027</v>
      </c>
      <c r="H1093" s="32">
        <f t="shared" si="854"/>
        <v>24.843333333333362</v>
      </c>
      <c r="I1093" s="32">
        <f t="shared" si="854"/>
        <v>24.584444444444443</v>
      </c>
      <c r="J1093" s="32">
        <f t="shared" si="854"/>
        <v>24.614444444444473</v>
      </c>
      <c r="K1093" s="32">
        <f t="shared" si="854"/>
        <v>24.144444444444446</v>
      </c>
      <c r="L1093" s="32">
        <f t="shared" si="854"/>
        <v>24.066666666666663</v>
      </c>
      <c r="M1093" s="32">
        <f t="shared" si="854"/>
        <v>24.114444444444473</v>
      </c>
      <c r="N1093" s="32">
        <f t="shared" si="854"/>
        <v>24.391111111111115</v>
      </c>
      <c r="O1093" s="32">
        <f t="shared" si="854"/>
        <v>24.630555555555588</v>
      </c>
      <c r="P1093" s="32">
        <f t="shared" si="854"/>
        <v>24.114444444444473</v>
      </c>
      <c r="Q1093" s="32">
        <f t="shared" si="854"/>
        <v>24.114444444444473</v>
      </c>
      <c r="R1093" s="32">
        <f t="shared" si="854"/>
        <v>24.036111111111097</v>
      </c>
      <c r="S1093" s="32">
        <f t="shared" si="854"/>
        <v>24.487777777777808</v>
      </c>
      <c r="T1093" s="32"/>
      <c r="U1093" s="32"/>
      <c r="V1093" s="32"/>
      <c r="W1093" s="32">
        <f>+W1088-W$1085</f>
        <v>24.114444444444473</v>
      </c>
      <c r="Y1093" s="390"/>
      <c r="Z1093" s="390"/>
      <c r="AA1093" s="390"/>
      <c r="AB1093" s="390"/>
      <c r="AC1093" s="390"/>
      <c r="AD1093" s="390"/>
      <c r="AE1093" s="390"/>
      <c r="AF1093" s="390"/>
      <c r="AG1093" s="390"/>
      <c r="AH1093" s="390"/>
      <c r="AI1093" s="390"/>
      <c r="AJ1093" s="390"/>
      <c r="AK1093" s="390"/>
      <c r="AL1093" s="390"/>
      <c r="AM1093" s="390"/>
      <c r="AN1093" s="390"/>
      <c r="AO1093" s="390"/>
      <c r="AP1093" s="390"/>
      <c r="AQ1093" s="390"/>
      <c r="AR1093" s="390"/>
      <c r="AS1093" s="390"/>
    </row>
    <row r="1094" spans="2:45" x14ac:dyDescent="0.3">
      <c r="B1094" s="63" t="s">
        <v>200</v>
      </c>
      <c r="C1094" s="64"/>
      <c r="D1094" s="31">
        <f t="shared" ref="D1094:S1094" si="855">+D1089-D$1085</f>
        <v>27.658888888888896</v>
      </c>
      <c r="E1094" s="32">
        <f t="shared" si="855"/>
        <v>27.807777777777801</v>
      </c>
      <c r="F1094" s="32">
        <f t="shared" si="855"/>
        <v>27.644999999999982</v>
      </c>
      <c r="G1094" s="32">
        <f t="shared" si="855"/>
        <v>27.970000000000027</v>
      </c>
      <c r="H1094" s="32">
        <f t="shared" si="855"/>
        <v>27.843333333333362</v>
      </c>
      <c r="I1094" s="32">
        <f t="shared" si="855"/>
        <v>27.584444444444443</v>
      </c>
      <c r="J1094" s="32">
        <f t="shared" si="855"/>
        <v>27.614444444444473</v>
      </c>
      <c r="K1094" s="32">
        <f t="shared" si="855"/>
        <v>27.144444444444446</v>
      </c>
      <c r="L1094" s="32">
        <f t="shared" si="855"/>
        <v>27.066666666666663</v>
      </c>
      <c r="M1094" s="32">
        <f t="shared" si="855"/>
        <v>27.114444444444473</v>
      </c>
      <c r="N1094" s="32">
        <f t="shared" si="855"/>
        <v>27.391111111111115</v>
      </c>
      <c r="O1094" s="32">
        <f t="shared" si="855"/>
        <v>27.630555555555588</v>
      </c>
      <c r="P1094" s="32">
        <f t="shared" si="855"/>
        <v>27.114444444444473</v>
      </c>
      <c r="Q1094" s="32">
        <f t="shared" si="855"/>
        <v>27.114444444444473</v>
      </c>
      <c r="R1094" s="32">
        <f t="shared" si="855"/>
        <v>27.036111111111097</v>
      </c>
      <c r="S1094" s="32">
        <f t="shared" si="855"/>
        <v>27.487777777777808</v>
      </c>
      <c r="T1094" s="32"/>
      <c r="U1094" s="32"/>
      <c r="V1094" s="32"/>
      <c r="W1094" s="32">
        <f>+W1089-W$1085</f>
        <v>27.114444444444473</v>
      </c>
      <c r="Y1094" s="390"/>
      <c r="Z1094" s="390"/>
      <c r="AA1094" s="390"/>
      <c r="AB1094" s="390"/>
      <c r="AC1094" s="390"/>
      <c r="AD1094" s="390"/>
      <c r="AE1094" s="390"/>
      <c r="AF1094" s="390"/>
      <c r="AG1094" s="390"/>
      <c r="AH1094" s="390"/>
      <c r="AI1094" s="390"/>
      <c r="AJ1094" s="390"/>
      <c r="AK1094" s="390"/>
      <c r="AL1094" s="390"/>
      <c r="AM1094" s="390"/>
      <c r="AN1094" s="390"/>
      <c r="AO1094" s="390"/>
      <c r="AP1094" s="390"/>
      <c r="AQ1094" s="390"/>
      <c r="AR1094" s="390"/>
      <c r="AS1094" s="390"/>
    </row>
    <row r="1095" spans="2:45" x14ac:dyDescent="0.3">
      <c r="B1095" s="63" t="s">
        <v>201</v>
      </c>
      <c r="C1095" s="64"/>
      <c r="D1095" s="31">
        <f t="shared" ref="D1095:S1095" si="856">+D1090-D$1085</f>
        <v>30.658888888888896</v>
      </c>
      <c r="E1095" s="32">
        <f t="shared" si="856"/>
        <v>30.807777777777801</v>
      </c>
      <c r="F1095" s="32">
        <f t="shared" si="856"/>
        <v>30.644999999999982</v>
      </c>
      <c r="G1095" s="32">
        <f t="shared" si="856"/>
        <v>30.970000000000027</v>
      </c>
      <c r="H1095" s="32">
        <f t="shared" si="856"/>
        <v>30.843333333333362</v>
      </c>
      <c r="I1095" s="32">
        <f t="shared" si="856"/>
        <v>30.584444444444443</v>
      </c>
      <c r="J1095" s="32">
        <f t="shared" si="856"/>
        <v>30.614444444444473</v>
      </c>
      <c r="K1095" s="32">
        <f t="shared" si="856"/>
        <v>30.144444444444446</v>
      </c>
      <c r="L1095" s="32">
        <f t="shared" si="856"/>
        <v>30.066666666666663</v>
      </c>
      <c r="M1095" s="32">
        <f t="shared" si="856"/>
        <v>30.114444444444473</v>
      </c>
      <c r="N1095" s="32">
        <f t="shared" si="856"/>
        <v>30.391111111111115</v>
      </c>
      <c r="O1095" s="32">
        <f t="shared" si="856"/>
        <v>30.630555555555588</v>
      </c>
      <c r="P1095" s="32">
        <f t="shared" si="856"/>
        <v>30.114444444444473</v>
      </c>
      <c r="Q1095" s="32">
        <f t="shared" si="856"/>
        <v>30.114444444444473</v>
      </c>
      <c r="R1095" s="32">
        <f t="shared" si="856"/>
        <v>30.036111111111097</v>
      </c>
      <c r="S1095" s="32">
        <f t="shared" si="856"/>
        <v>30.487777777777808</v>
      </c>
      <c r="T1095" s="32"/>
      <c r="U1095" s="32"/>
      <c r="V1095" s="32"/>
      <c r="W1095" s="32">
        <f>+W1090-W$1085</f>
        <v>30.114444444444473</v>
      </c>
      <c r="Y1095" s="390"/>
      <c r="Z1095" s="390"/>
      <c r="AA1095" s="390"/>
      <c r="AB1095" s="390"/>
      <c r="AC1095" s="390"/>
      <c r="AD1095" s="390"/>
      <c r="AE1095" s="390"/>
      <c r="AF1095" s="390"/>
      <c r="AG1095" s="390"/>
      <c r="AH1095" s="390"/>
      <c r="AI1095" s="390"/>
      <c r="AJ1095" s="390"/>
      <c r="AK1095" s="390"/>
      <c r="AL1095" s="390"/>
      <c r="AM1095" s="390"/>
      <c r="AN1095" s="390"/>
      <c r="AO1095" s="390"/>
      <c r="AP1095" s="390"/>
      <c r="AQ1095" s="390"/>
      <c r="AR1095" s="390"/>
      <c r="AS1095" s="390"/>
    </row>
    <row r="1096" spans="2:45" x14ac:dyDescent="0.3">
      <c r="B1096" s="65" t="s">
        <v>108</v>
      </c>
      <c r="C1096" s="55"/>
      <c r="D1096" s="43">
        <v>0</v>
      </c>
      <c r="E1096" s="408">
        <v>0</v>
      </c>
      <c r="F1096" s="408">
        <v>0</v>
      </c>
      <c r="G1096" s="408">
        <v>0</v>
      </c>
      <c r="H1096" s="408">
        <v>0</v>
      </c>
      <c r="I1096" s="408">
        <v>0</v>
      </c>
      <c r="J1096" s="408">
        <v>0</v>
      </c>
      <c r="K1096" s="408">
        <v>0</v>
      </c>
      <c r="L1096" s="408">
        <v>0</v>
      </c>
      <c r="M1096" s="408">
        <v>0</v>
      </c>
      <c r="N1096" s="408">
        <v>0</v>
      </c>
      <c r="O1096" s="408">
        <v>0</v>
      </c>
      <c r="P1096" s="408">
        <v>0</v>
      </c>
      <c r="Q1096" s="408">
        <v>0</v>
      </c>
      <c r="R1096" s="408">
        <v>0</v>
      </c>
      <c r="S1096" s="408">
        <v>0</v>
      </c>
      <c r="T1096" s="408">
        <v>0</v>
      </c>
      <c r="U1096" s="408">
        <v>0</v>
      </c>
      <c r="V1096" s="408">
        <v>0</v>
      </c>
      <c r="W1096" s="408">
        <v>0</v>
      </c>
      <c r="Y1096" s="409"/>
      <c r="Z1096" s="409"/>
      <c r="AA1096" s="409"/>
      <c r="AB1096" s="409"/>
      <c r="AC1096" s="409"/>
      <c r="AD1096" s="409"/>
      <c r="AE1096" s="409"/>
      <c r="AF1096" s="409"/>
      <c r="AG1096" s="409"/>
      <c r="AH1096" s="409"/>
      <c r="AI1096" s="409"/>
      <c r="AJ1096" s="409"/>
      <c r="AK1096" s="409"/>
      <c r="AL1096" s="409"/>
      <c r="AM1096" s="409"/>
      <c r="AN1096" s="409"/>
      <c r="AO1096" s="409"/>
      <c r="AP1096" s="409"/>
      <c r="AQ1096" s="409"/>
      <c r="AR1096" s="409"/>
      <c r="AS1096" s="409"/>
    </row>
    <row r="1097" spans="2:45" x14ac:dyDescent="0.3">
      <c r="B1097" s="65" t="s">
        <v>202</v>
      </c>
      <c r="C1097" s="64"/>
      <c r="D1097" s="99">
        <f>+D1092/D$1087</f>
        <v>7.4312549960032004E-2</v>
      </c>
      <c r="E1097" s="99">
        <f t="shared" ref="E1097:W1097" si="857">+E1092/E$1087</f>
        <v>7.25009678668216E-2</v>
      </c>
      <c r="F1097" s="99">
        <f t="shared" si="857"/>
        <v>7.1189655172413727E-2</v>
      </c>
      <c r="G1097" s="99">
        <f t="shared" si="857"/>
        <v>7.3838028169014178E-2</v>
      </c>
      <c r="H1097" s="99">
        <f t="shared" si="857"/>
        <v>7.4976019184652382E-2</v>
      </c>
      <c r="I1097" s="99">
        <f t="shared" si="857"/>
        <v>7.3515873015873007E-2</v>
      </c>
      <c r="J1097" s="99">
        <f t="shared" si="857"/>
        <v>7.2331384015594635E-2</v>
      </c>
      <c r="K1097" s="99">
        <f t="shared" si="857"/>
        <v>7.1434200157604419E-2</v>
      </c>
      <c r="L1097" s="99">
        <f t="shared" si="857"/>
        <v>7.0657276995305149E-2</v>
      </c>
      <c r="M1097" s="99">
        <f t="shared" si="857"/>
        <v>7.2615322904131668E-2</v>
      </c>
      <c r="N1097" s="99">
        <f t="shared" si="857"/>
        <v>7.3349320543565161E-2</v>
      </c>
      <c r="O1097" s="99">
        <f t="shared" si="857"/>
        <v>7.1633873456790231E-2</v>
      </c>
      <c r="P1097" s="99">
        <f t="shared" si="857"/>
        <v>7.2615322904131668E-2</v>
      </c>
      <c r="Q1097" s="99">
        <f t="shared" si="857"/>
        <v>7.2615322904131668E-2</v>
      </c>
      <c r="R1097" s="99">
        <f t="shared" si="857"/>
        <v>7.1814018319394615E-2</v>
      </c>
      <c r="S1097" s="99">
        <f t="shared" si="857"/>
        <v>7.3432895260852352E-2</v>
      </c>
      <c r="T1097" s="372" t="e">
        <f t="shared" si="857"/>
        <v>#DIV/0!</v>
      </c>
      <c r="U1097" s="372" t="e">
        <f t="shared" si="857"/>
        <v>#DIV/0!</v>
      </c>
      <c r="V1097" s="372" t="e">
        <f t="shared" si="857"/>
        <v>#DIV/0!</v>
      </c>
      <c r="W1097" s="99">
        <f t="shared" si="857"/>
        <v>7.2615322904131668E-2</v>
      </c>
      <c r="Y1097" s="390"/>
      <c r="Z1097" s="390"/>
      <c r="AA1097" s="390"/>
      <c r="AB1097" s="390"/>
      <c r="AC1097" s="390"/>
      <c r="AD1097" s="390"/>
      <c r="AE1097" s="390"/>
      <c r="AF1097" s="390"/>
      <c r="AG1097" s="390"/>
      <c r="AH1097" s="390"/>
      <c r="AI1097" s="390"/>
      <c r="AJ1097" s="390"/>
      <c r="AK1097" s="390"/>
      <c r="AL1097" s="390"/>
      <c r="AM1097" s="390"/>
      <c r="AN1097" s="390"/>
      <c r="AO1097" s="390"/>
      <c r="AP1097" s="390"/>
      <c r="AQ1097" s="390"/>
      <c r="AR1097" s="390"/>
      <c r="AS1097" s="390"/>
    </row>
    <row r="1098" spans="2:45" x14ac:dyDescent="0.3">
      <c r="B1098" s="65" t="s">
        <v>203</v>
      </c>
      <c r="C1098" s="66"/>
      <c r="D1098" s="368">
        <f>+D1093/D$1088</f>
        <v>8.7442868400315232E-2</v>
      </c>
      <c r="E1098" s="368">
        <f t="shared" ref="E1098:W1098" si="858">+E1093/E$1088</f>
        <v>8.5250095456281108E-2</v>
      </c>
      <c r="F1098" s="368">
        <f t="shared" si="858"/>
        <v>8.3826530612244834E-2</v>
      </c>
      <c r="G1098" s="368">
        <f t="shared" si="858"/>
        <v>8.6701388888888981E-2</v>
      </c>
      <c r="H1098" s="368">
        <f t="shared" si="858"/>
        <v>8.8096926713948087E-2</v>
      </c>
      <c r="I1098" s="368">
        <f t="shared" si="858"/>
        <v>8.6564945226917059E-2</v>
      </c>
      <c r="J1098" s="368">
        <f t="shared" si="858"/>
        <v>8.5171088043060464E-2</v>
      </c>
      <c r="K1098" s="368">
        <f t="shared" si="858"/>
        <v>8.4421134421134428E-2</v>
      </c>
      <c r="L1098" s="368">
        <f t="shared" si="858"/>
        <v>8.35648148148148E-2</v>
      </c>
      <c r="M1098" s="368">
        <f t="shared" si="858"/>
        <v>8.581652827204439E-2</v>
      </c>
      <c r="N1098" s="368">
        <f t="shared" si="858"/>
        <v>8.6493301812450768E-2</v>
      </c>
      <c r="O1098" s="368">
        <f t="shared" si="858"/>
        <v>8.4351217656012292E-2</v>
      </c>
      <c r="P1098" s="368">
        <f t="shared" si="858"/>
        <v>8.581652827204439E-2</v>
      </c>
      <c r="Q1098" s="368">
        <f t="shared" si="858"/>
        <v>8.581652827204439E-2</v>
      </c>
      <c r="R1098" s="368">
        <f t="shared" si="858"/>
        <v>8.4933254809579847E-2</v>
      </c>
      <c r="S1098" s="368">
        <f t="shared" si="858"/>
        <v>8.6529250098154792E-2</v>
      </c>
      <c r="T1098" s="368" t="e">
        <f t="shared" si="858"/>
        <v>#DIV/0!</v>
      </c>
      <c r="U1098" s="368" t="e">
        <f t="shared" si="858"/>
        <v>#DIV/0!</v>
      </c>
      <c r="V1098" s="368" t="e">
        <f t="shared" si="858"/>
        <v>#DIV/0!</v>
      </c>
      <c r="W1098" s="368">
        <f t="shared" si="858"/>
        <v>8.581652827204439E-2</v>
      </c>
      <c r="Y1098" s="390"/>
      <c r="Z1098" s="390"/>
      <c r="AA1098" s="390"/>
      <c r="AB1098" s="390"/>
      <c r="AC1098" s="390"/>
      <c r="AD1098" s="390"/>
      <c r="AE1098" s="390"/>
      <c r="AF1098" s="390"/>
      <c r="AG1098" s="390"/>
      <c r="AH1098" s="390"/>
      <c r="AI1098" s="390"/>
      <c r="AJ1098" s="390"/>
      <c r="AK1098" s="390"/>
      <c r="AL1098" s="390"/>
      <c r="AM1098" s="390"/>
      <c r="AN1098" s="390"/>
      <c r="AO1098" s="390"/>
      <c r="AP1098" s="390"/>
      <c r="AQ1098" s="390"/>
      <c r="AR1098" s="390"/>
      <c r="AS1098" s="390"/>
    </row>
    <row r="1099" spans="2:45" x14ac:dyDescent="0.3">
      <c r="B1099" s="65" t="s">
        <v>204</v>
      </c>
      <c r="C1099" s="66"/>
      <c r="D1099" s="368">
        <f>+D1094/D$1089</f>
        <v>9.7048732943469815E-2</v>
      </c>
      <c r="E1099" s="368">
        <f t="shared" ref="E1099:W1099" si="859">+E1094/E$1089</f>
        <v>9.4584278155706802E-2</v>
      </c>
      <c r="F1099" s="368">
        <f t="shared" si="859"/>
        <v>9.3080808080808014E-2</v>
      </c>
      <c r="G1099" s="368">
        <f>+G1094/G$1089</f>
        <v>9.6116838487972603E-2</v>
      </c>
      <c r="H1099" s="368">
        <f t="shared" si="859"/>
        <v>9.7695906432748642E-2</v>
      </c>
      <c r="I1099" s="368">
        <f t="shared" si="859"/>
        <v>9.6113046844754163E-2</v>
      </c>
      <c r="J1099" s="368">
        <f t="shared" si="859"/>
        <v>9.4570015220700243E-2</v>
      </c>
      <c r="K1099" s="368">
        <f t="shared" si="859"/>
        <v>9.3925413302575936E-2</v>
      </c>
      <c r="L1099" s="368">
        <f t="shared" si="859"/>
        <v>9.3012600229095063E-2</v>
      </c>
      <c r="M1099" s="368">
        <f t="shared" si="859"/>
        <v>9.5473395931142513E-2</v>
      </c>
      <c r="N1099" s="368">
        <f t="shared" si="859"/>
        <v>9.6109161793372339E-2</v>
      </c>
      <c r="O1099" s="368">
        <f t="shared" si="859"/>
        <v>9.366290018832403E-2</v>
      </c>
      <c r="P1099" s="368">
        <f t="shared" si="859"/>
        <v>9.5473395931142513E-2</v>
      </c>
      <c r="Q1099" s="368">
        <f t="shared" si="859"/>
        <v>9.5473395931142513E-2</v>
      </c>
      <c r="R1099" s="368">
        <f t="shared" si="859"/>
        <v>9.4531857031856986E-2</v>
      </c>
      <c r="S1099" s="368">
        <f t="shared" si="859"/>
        <v>9.6111111111111217E-2</v>
      </c>
      <c r="T1099" s="368" t="e">
        <f t="shared" si="859"/>
        <v>#DIV/0!</v>
      </c>
      <c r="U1099" s="368" t="e">
        <f t="shared" si="859"/>
        <v>#DIV/0!</v>
      </c>
      <c r="V1099" s="368" t="e">
        <f t="shared" si="859"/>
        <v>#DIV/0!</v>
      </c>
      <c r="W1099" s="368">
        <f t="shared" si="859"/>
        <v>9.5473395931142513E-2</v>
      </c>
      <c r="Y1099" s="390"/>
      <c r="Z1099" s="390"/>
      <c r="AA1099" s="390"/>
      <c r="AB1099" s="390"/>
      <c r="AC1099" s="390"/>
      <c r="AD1099" s="390"/>
      <c r="AE1099" s="390"/>
      <c r="AF1099" s="390"/>
      <c r="AG1099" s="390"/>
      <c r="AH1099" s="390"/>
      <c r="AI1099" s="390"/>
      <c r="AJ1099" s="390"/>
      <c r="AK1099" s="390"/>
      <c r="AL1099" s="390"/>
      <c r="AM1099" s="390"/>
      <c r="AN1099" s="390"/>
      <c r="AO1099" s="390"/>
      <c r="AP1099" s="390"/>
      <c r="AQ1099" s="390"/>
      <c r="AR1099" s="390"/>
      <c r="AS1099" s="390"/>
    </row>
    <row r="1100" spans="2:45" x14ac:dyDescent="0.3">
      <c r="B1100" s="65" t="s">
        <v>205</v>
      </c>
      <c r="C1100" s="66"/>
      <c r="D1100" s="368">
        <f>+D1095/D$1090</f>
        <v>0.10645447530864199</v>
      </c>
      <c r="E1100" s="368">
        <f t="shared" ref="E1100:W1100" si="860">+E1095/E$1090</f>
        <v>0.10372989150766937</v>
      </c>
      <c r="F1100" s="368">
        <f t="shared" si="860"/>
        <v>0.10214999999999994</v>
      </c>
      <c r="G1100" s="368">
        <f t="shared" si="860"/>
        <v>0.10534013605442186</v>
      </c>
      <c r="H1100" s="368">
        <f t="shared" si="860"/>
        <v>0.10709490740740751</v>
      </c>
      <c r="I1100" s="368">
        <f t="shared" si="860"/>
        <v>0.10546360153256705</v>
      </c>
      <c r="J1100" s="368">
        <f t="shared" si="860"/>
        <v>0.10377777777777787</v>
      </c>
      <c r="K1100" s="368">
        <f t="shared" si="860"/>
        <v>0.10323439878234399</v>
      </c>
      <c r="L1100" s="368">
        <f t="shared" si="860"/>
        <v>0.10226757369614511</v>
      </c>
      <c r="M1100" s="368">
        <f t="shared" si="860"/>
        <v>0.10492837785520723</v>
      </c>
      <c r="N1100" s="368">
        <f t="shared" si="860"/>
        <v>0.10552469135802471</v>
      </c>
      <c r="O1100" s="368">
        <f t="shared" si="860"/>
        <v>0.10278709917971673</v>
      </c>
      <c r="P1100" s="368">
        <f t="shared" si="860"/>
        <v>0.10492837785520723</v>
      </c>
      <c r="Q1100" s="368">
        <f t="shared" si="860"/>
        <v>0.10492837785520723</v>
      </c>
      <c r="R1100" s="368">
        <f t="shared" si="860"/>
        <v>0.10393118031526331</v>
      </c>
      <c r="S1100" s="368">
        <f t="shared" si="860"/>
        <v>0.10549404075355642</v>
      </c>
      <c r="T1100" s="368" t="e">
        <f t="shared" si="860"/>
        <v>#DIV/0!</v>
      </c>
      <c r="U1100" s="368" t="e">
        <f t="shared" si="860"/>
        <v>#DIV/0!</v>
      </c>
      <c r="V1100" s="368" t="e">
        <f t="shared" si="860"/>
        <v>#DIV/0!</v>
      </c>
      <c r="W1100" s="368">
        <f t="shared" si="860"/>
        <v>0.10492837785520723</v>
      </c>
      <c r="Y1100" s="390"/>
      <c r="Z1100" s="390"/>
      <c r="AA1100" s="390"/>
      <c r="AB1100" s="390"/>
      <c r="AC1100" s="390"/>
      <c r="AD1100" s="390"/>
      <c r="AE1100" s="390"/>
      <c r="AF1100" s="390"/>
      <c r="AG1100" s="390"/>
      <c r="AH1100" s="390"/>
      <c r="AI1100" s="390"/>
      <c r="AJ1100" s="390"/>
      <c r="AK1100" s="390"/>
      <c r="AL1100" s="390"/>
      <c r="AM1100" s="390"/>
      <c r="AN1100" s="390"/>
      <c r="AO1100" s="390"/>
      <c r="AP1100" s="390"/>
      <c r="AQ1100" s="390"/>
      <c r="AR1100" s="390"/>
      <c r="AS1100" s="390"/>
    </row>
    <row r="1101" spans="2:45" hidden="1" x14ac:dyDescent="0.3">
      <c r="B1101" s="65" t="s">
        <v>78</v>
      </c>
      <c r="C1101" s="66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Y1101" s="390"/>
      <c r="Z1101" s="390"/>
      <c r="AA1101" s="390"/>
      <c r="AB1101" s="390"/>
      <c r="AC1101" s="390"/>
      <c r="AD1101" s="390"/>
      <c r="AE1101" s="390"/>
      <c r="AF1101" s="390"/>
      <c r="AG1101" s="390"/>
      <c r="AH1101" s="390"/>
      <c r="AI1101" s="390"/>
      <c r="AJ1101" s="390"/>
      <c r="AK1101" s="390"/>
      <c r="AL1101" s="390"/>
      <c r="AM1101" s="390"/>
      <c r="AN1101" s="390"/>
      <c r="AO1101" s="390"/>
      <c r="AP1101" s="390"/>
      <c r="AQ1101" s="390"/>
      <c r="AR1101" s="390"/>
      <c r="AS1101" s="390"/>
    </row>
    <row r="1102" spans="2:45" ht="21" thickBot="1" x14ac:dyDescent="0.35">
      <c r="Y1102" s="390"/>
      <c r="Z1102" s="390"/>
      <c r="AA1102" s="390"/>
      <c r="AB1102" s="390"/>
      <c r="AC1102" s="390"/>
      <c r="AD1102" s="390"/>
      <c r="AE1102" s="390"/>
      <c r="AF1102" s="390"/>
      <c r="AG1102" s="390"/>
      <c r="AH1102" s="390"/>
      <c r="AI1102" s="390"/>
      <c r="AJ1102" s="390"/>
      <c r="AK1102" s="390"/>
      <c r="AL1102" s="390"/>
      <c r="AM1102" s="390"/>
      <c r="AN1102" s="390"/>
      <c r="AO1102" s="390"/>
      <c r="AP1102" s="390"/>
      <c r="AQ1102" s="390"/>
      <c r="AR1102" s="390"/>
      <c r="AS1102" s="390"/>
    </row>
    <row r="1103" spans="2:45" ht="21" thickBot="1" x14ac:dyDescent="0.35">
      <c r="B1103" s="223" t="s">
        <v>165</v>
      </c>
      <c r="C1103" s="68"/>
      <c r="D1103" s="17" t="s">
        <v>5</v>
      </c>
      <c r="E1103" s="18" t="s">
        <v>6</v>
      </c>
      <c r="F1103" s="18" t="s">
        <v>7</v>
      </c>
      <c r="G1103" s="18" t="s">
        <v>8</v>
      </c>
      <c r="H1103" s="18" t="s">
        <v>9</v>
      </c>
      <c r="I1103" s="18" t="s">
        <v>10</v>
      </c>
      <c r="J1103" s="18" t="s">
        <v>11</v>
      </c>
      <c r="K1103" s="18" t="s">
        <v>12</v>
      </c>
      <c r="L1103" s="18" t="s">
        <v>13</v>
      </c>
      <c r="M1103" s="18" t="s">
        <v>14</v>
      </c>
      <c r="N1103" s="18" t="s">
        <v>15</v>
      </c>
      <c r="O1103" s="18" t="s">
        <v>16</v>
      </c>
      <c r="P1103" s="18" t="s">
        <v>17</v>
      </c>
      <c r="Q1103" s="18" t="s">
        <v>18</v>
      </c>
      <c r="R1103" s="18" t="s">
        <v>19</v>
      </c>
      <c r="S1103" s="18" t="s">
        <v>20</v>
      </c>
      <c r="T1103" s="18" t="s">
        <v>21</v>
      </c>
      <c r="U1103" s="18" t="s">
        <v>22</v>
      </c>
      <c r="V1103" s="18" t="s">
        <v>23</v>
      </c>
      <c r="W1103" s="18" t="s">
        <v>166</v>
      </c>
      <c r="Y1103" s="390"/>
      <c r="Z1103" s="390"/>
      <c r="AA1103" s="390"/>
      <c r="AB1103" s="390"/>
      <c r="AC1103" s="390"/>
      <c r="AD1103" s="390"/>
      <c r="AE1103" s="390"/>
      <c r="AF1103" s="390"/>
      <c r="AG1103" s="390"/>
      <c r="AH1103" s="390"/>
      <c r="AI1103" s="390"/>
      <c r="AJ1103" s="390"/>
      <c r="AK1103" s="390"/>
      <c r="AL1103" s="390"/>
      <c r="AM1103" s="390"/>
      <c r="AN1103" s="390"/>
      <c r="AO1103" s="390"/>
      <c r="AP1103" s="390"/>
      <c r="AQ1103" s="390"/>
      <c r="AR1103" s="390"/>
      <c r="AS1103" s="390"/>
    </row>
    <row r="1104" spans="2:45" x14ac:dyDescent="0.3">
      <c r="B1104" s="222" t="s">
        <v>50</v>
      </c>
      <c r="C1104" s="70"/>
      <c r="D1104" s="20">
        <v>480</v>
      </c>
      <c r="E1104" s="20">
        <v>480</v>
      </c>
      <c r="F1104" s="20">
        <v>480</v>
      </c>
      <c r="G1104" s="20">
        <v>480</v>
      </c>
      <c r="H1104" s="20">
        <v>480</v>
      </c>
      <c r="I1104" s="20">
        <v>480</v>
      </c>
      <c r="J1104" s="20">
        <v>480</v>
      </c>
      <c r="K1104" s="20">
        <v>480</v>
      </c>
      <c r="L1104" s="20">
        <v>480</v>
      </c>
      <c r="M1104" s="20">
        <v>480</v>
      </c>
      <c r="N1104" s="20">
        <v>480</v>
      </c>
      <c r="O1104" s="20">
        <v>480</v>
      </c>
      <c r="P1104" s="20">
        <v>480</v>
      </c>
      <c r="Q1104" s="20">
        <v>480</v>
      </c>
      <c r="R1104" s="20">
        <v>480</v>
      </c>
      <c r="S1104" s="20">
        <v>480</v>
      </c>
      <c r="T1104" s="20"/>
      <c r="U1104" s="20"/>
      <c r="V1104" s="20"/>
      <c r="W1104" s="20">
        <v>480</v>
      </c>
      <c r="Y1104" s="390"/>
      <c r="Z1104" s="390"/>
      <c r="AA1104" s="390"/>
      <c r="AB1104" s="390"/>
      <c r="AC1104" s="390"/>
      <c r="AD1104" s="390"/>
      <c r="AE1104" s="390"/>
      <c r="AF1104" s="390"/>
      <c r="AG1104" s="390"/>
      <c r="AH1104" s="390"/>
      <c r="AI1104" s="390"/>
      <c r="AJ1104" s="390"/>
      <c r="AK1104" s="390"/>
      <c r="AL1104" s="390"/>
      <c r="AM1104" s="390"/>
      <c r="AN1104" s="390"/>
      <c r="AO1104" s="390"/>
      <c r="AP1104" s="390"/>
      <c r="AQ1104" s="390"/>
      <c r="AR1104" s="390"/>
      <c r="AS1104" s="390"/>
    </row>
    <row r="1105" spans="2:45" x14ac:dyDescent="0.3">
      <c r="B1105" s="54" t="s">
        <v>51</v>
      </c>
      <c r="C1105" s="55"/>
      <c r="D1105" s="322">
        <v>0.35</v>
      </c>
      <c r="E1105" s="322">
        <f>D1105</f>
        <v>0.35</v>
      </c>
      <c r="F1105" s="322">
        <f t="shared" ref="F1105:S1105" si="861">E1105</f>
        <v>0.35</v>
      </c>
      <c r="G1105" s="322">
        <f t="shared" si="861"/>
        <v>0.35</v>
      </c>
      <c r="H1105" s="322">
        <f t="shared" si="861"/>
        <v>0.35</v>
      </c>
      <c r="I1105" s="322">
        <f t="shared" si="861"/>
        <v>0.35</v>
      </c>
      <c r="J1105" s="322">
        <f t="shared" si="861"/>
        <v>0.35</v>
      </c>
      <c r="K1105" s="322">
        <f t="shared" si="861"/>
        <v>0.35</v>
      </c>
      <c r="L1105" s="322">
        <f t="shared" si="861"/>
        <v>0.35</v>
      </c>
      <c r="M1105" s="322">
        <f t="shared" si="861"/>
        <v>0.35</v>
      </c>
      <c r="N1105" s="322">
        <f t="shared" si="861"/>
        <v>0.35</v>
      </c>
      <c r="O1105" s="322">
        <f t="shared" si="861"/>
        <v>0.35</v>
      </c>
      <c r="P1105" s="322">
        <f t="shared" si="861"/>
        <v>0.35</v>
      </c>
      <c r="Q1105" s="322">
        <f t="shared" si="861"/>
        <v>0.35</v>
      </c>
      <c r="R1105" s="322">
        <f t="shared" si="861"/>
        <v>0.35</v>
      </c>
      <c r="S1105" s="322">
        <f t="shared" si="861"/>
        <v>0.35</v>
      </c>
      <c r="T1105" s="218"/>
      <c r="U1105" s="218"/>
      <c r="V1105" s="218"/>
      <c r="W1105" s="322">
        <f>D1105</f>
        <v>0.35</v>
      </c>
      <c r="Y1105" s="390"/>
      <c r="Z1105" s="390"/>
      <c r="AA1105" s="390"/>
      <c r="AB1105" s="390"/>
      <c r="AC1105" s="390"/>
      <c r="AD1105" s="390"/>
      <c r="AE1105" s="390"/>
      <c r="AF1105" s="390"/>
      <c r="AG1105" s="390"/>
      <c r="AH1105" s="390"/>
      <c r="AI1105" s="390"/>
      <c r="AJ1105" s="390"/>
      <c r="AK1105" s="390"/>
      <c r="AL1105" s="390"/>
      <c r="AM1105" s="390"/>
      <c r="AN1105" s="390"/>
      <c r="AO1105" s="390"/>
      <c r="AP1105" s="390"/>
      <c r="AQ1105" s="390"/>
      <c r="AR1105" s="390"/>
      <c r="AS1105" s="390"/>
    </row>
    <row r="1106" spans="2:45" x14ac:dyDescent="0.3">
      <c r="B1106" s="54" t="s">
        <v>56</v>
      </c>
      <c r="C1106" s="55"/>
      <c r="D1106" s="21"/>
      <c r="E1106" s="21"/>
      <c r="F1106" s="21"/>
      <c r="G1106" s="21"/>
      <c r="H1106" s="21"/>
      <c r="I1106" s="21"/>
      <c r="J1106" s="21"/>
      <c r="K1106" s="21"/>
      <c r="L1106" s="21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Y1106" s="390"/>
      <c r="Z1106" s="390"/>
      <c r="AA1106" s="390"/>
      <c r="AB1106" s="390"/>
      <c r="AC1106" s="390"/>
      <c r="AD1106" s="390"/>
      <c r="AE1106" s="390"/>
      <c r="AF1106" s="390"/>
      <c r="AG1106" s="390"/>
      <c r="AH1106" s="390"/>
      <c r="AI1106" s="390"/>
      <c r="AJ1106" s="390"/>
      <c r="AK1106" s="390"/>
      <c r="AL1106" s="390"/>
      <c r="AM1106" s="390"/>
      <c r="AN1106" s="390"/>
      <c r="AO1106" s="390"/>
      <c r="AP1106" s="390"/>
      <c r="AQ1106" s="390"/>
      <c r="AR1106" s="390"/>
      <c r="AS1106" s="390"/>
    </row>
    <row r="1107" spans="2:45" x14ac:dyDescent="0.3">
      <c r="B1107" s="177" t="s">
        <v>67</v>
      </c>
      <c r="C1107" s="178"/>
      <c r="D1107" s="323">
        <f>D1104-(D1104*D1105)</f>
        <v>312</v>
      </c>
      <c r="E1107" s="323">
        <f t="shared" ref="E1107:W1107" si="862">E1104-(E1104*E1105)</f>
        <v>312</v>
      </c>
      <c r="F1107" s="323">
        <f t="shared" si="862"/>
        <v>312</v>
      </c>
      <c r="G1107" s="323">
        <f t="shared" si="862"/>
        <v>312</v>
      </c>
      <c r="H1107" s="323">
        <f t="shared" si="862"/>
        <v>312</v>
      </c>
      <c r="I1107" s="323">
        <f t="shared" si="862"/>
        <v>312</v>
      </c>
      <c r="J1107" s="323">
        <f t="shared" si="862"/>
        <v>312</v>
      </c>
      <c r="K1107" s="323">
        <f t="shared" si="862"/>
        <v>312</v>
      </c>
      <c r="L1107" s="323">
        <f t="shared" si="862"/>
        <v>312</v>
      </c>
      <c r="M1107" s="323">
        <f t="shared" si="862"/>
        <v>312</v>
      </c>
      <c r="N1107" s="323">
        <f t="shared" si="862"/>
        <v>312</v>
      </c>
      <c r="O1107" s="323">
        <f t="shared" si="862"/>
        <v>312</v>
      </c>
      <c r="P1107" s="323">
        <f t="shared" si="862"/>
        <v>312</v>
      </c>
      <c r="Q1107" s="323">
        <f t="shared" si="862"/>
        <v>312</v>
      </c>
      <c r="R1107" s="323">
        <f t="shared" si="862"/>
        <v>312</v>
      </c>
      <c r="S1107" s="323">
        <f t="shared" si="862"/>
        <v>312</v>
      </c>
      <c r="T1107" s="323">
        <f t="shared" si="862"/>
        <v>0</v>
      </c>
      <c r="U1107" s="323">
        <f t="shared" si="862"/>
        <v>0</v>
      </c>
      <c r="V1107" s="323">
        <f t="shared" si="862"/>
        <v>0</v>
      </c>
      <c r="W1107" s="323">
        <f t="shared" si="862"/>
        <v>312</v>
      </c>
      <c r="Y1107" s="390"/>
      <c r="Z1107" s="390"/>
      <c r="AA1107" s="390"/>
      <c r="AB1107" s="390"/>
      <c r="AC1107" s="390"/>
      <c r="AD1107" s="390"/>
      <c r="AE1107" s="390"/>
      <c r="AF1107" s="390"/>
      <c r="AG1107" s="390"/>
      <c r="AH1107" s="390"/>
      <c r="AI1107" s="390"/>
      <c r="AJ1107" s="390"/>
      <c r="AK1107" s="390"/>
      <c r="AL1107" s="390"/>
      <c r="AM1107" s="390"/>
      <c r="AN1107" s="390"/>
      <c r="AO1107" s="390"/>
      <c r="AP1107" s="390"/>
      <c r="AQ1107" s="390"/>
      <c r="AR1107" s="390"/>
      <c r="AS1107" s="390"/>
    </row>
    <row r="1108" spans="2:45" x14ac:dyDescent="0.3">
      <c r="B1108" s="54" t="s">
        <v>66</v>
      </c>
      <c r="C1108" s="56">
        <v>7.0000000000000007E-2</v>
      </c>
      <c r="D1108" s="24">
        <f>D1107*$C1108</f>
        <v>21.840000000000003</v>
      </c>
      <c r="E1108" s="24">
        <f t="shared" ref="E1108:V1108" si="863">E1107*$C1108</f>
        <v>21.840000000000003</v>
      </c>
      <c r="F1108" s="24">
        <f t="shared" si="863"/>
        <v>21.840000000000003</v>
      </c>
      <c r="G1108" s="24">
        <f t="shared" si="863"/>
        <v>21.840000000000003</v>
      </c>
      <c r="H1108" s="24">
        <f t="shared" si="863"/>
        <v>21.840000000000003</v>
      </c>
      <c r="I1108" s="24">
        <f t="shared" si="863"/>
        <v>21.840000000000003</v>
      </c>
      <c r="J1108" s="24">
        <f t="shared" si="863"/>
        <v>21.840000000000003</v>
      </c>
      <c r="K1108" s="24">
        <f t="shared" si="863"/>
        <v>21.840000000000003</v>
      </c>
      <c r="L1108" s="24">
        <f t="shared" si="863"/>
        <v>21.840000000000003</v>
      </c>
      <c r="M1108" s="24">
        <f t="shared" si="863"/>
        <v>21.840000000000003</v>
      </c>
      <c r="N1108" s="24">
        <f t="shared" si="863"/>
        <v>21.840000000000003</v>
      </c>
      <c r="O1108" s="24">
        <f t="shared" si="863"/>
        <v>21.840000000000003</v>
      </c>
      <c r="P1108" s="24">
        <f t="shared" si="863"/>
        <v>21.840000000000003</v>
      </c>
      <c r="Q1108" s="24">
        <f t="shared" si="863"/>
        <v>21.840000000000003</v>
      </c>
      <c r="R1108" s="24">
        <f t="shared" si="863"/>
        <v>21.840000000000003</v>
      </c>
      <c r="S1108" s="24">
        <f t="shared" si="863"/>
        <v>21.840000000000003</v>
      </c>
      <c r="T1108" s="24">
        <f t="shared" si="863"/>
        <v>0</v>
      </c>
      <c r="U1108" s="24">
        <f t="shared" si="863"/>
        <v>0</v>
      </c>
      <c r="V1108" s="24">
        <f t="shared" si="863"/>
        <v>0</v>
      </c>
      <c r="W1108" s="24">
        <f>W1107*$C1108</f>
        <v>21.840000000000003</v>
      </c>
      <c r="Y1108" s="390"/>
      <c r="Z1108" s="390"/>
      <c r="AA1108" s="390"/>
      <c r="AB1108" s="390"/>
      <c r="AC1108" s="390"/>
      <c r="AD1108" s="390"/>
      <c r="AE1108" s="390"/>
      <c r="AF1108" s="390"/>
      <c r="AG1108" s="390"/>
      <c r="AH1108" s="390"/>
      <c r="AI1108" s="390"/>
      <c r="AJ1108" s="390"/>
      <c r="AK1108" s="390"/>
      <c r="AL1108" s="390"/>
      <c r="AM1108" s="390"/>
      <c r="AN1108" s="390"/>
      <c r="AO1108" s="390"/>
      <c r="AP1108" s="390"/>
      <c r="AQ1108" s="390"/>
      <c r="AR1108" s="390"/>
      <c r="AS1108" s="390"/>
    </row>
    <row r="1109" spans="2:45" x14ac:dyDescent="0.3">
      <c r="B1109" s="54" t="s">
        <v>68</v>
      </c>
      <c r="C1109" s="55"/>
      <c r="D1109" s="21">
        <f>D1107+D1108</f>
        <v>333.84000000000003</v>
      </c>
      <c r="E1109" s="21">
        <f t="shared" ref="E1109:V1109" si="864">E1107+E1108</f>
        <v>333.84000000000003</v>
      </c>
      <c r="F1109" s="21">
        <f t="shared" si="864"/>
        <v>333.84000000000003</v>
      </c>
      <c r="G1109" s="21">
        <f t="shared" si="864"/>
        <v>333.84000000000003</v>
      </c>
      <c r="H1109" s="21">
        <f t="shared" si="864"/>
        <v>333.84000000000003</v>
      </c>
      <c r="I1109" s="21">
        <f t="shared" si="864"/>
        <v>333.84000000000003</v>
      </c>
      <c r="J1109" s="21">
        <f t="shared" si="864"/>
        <v>333.84000000000003</v>
      </c>
      <c r="K1109" s="21">
        <f t="shared" si="864"/>
        <v>333.84000000000003</v>
      </c>
      <c r="L1109" s="21">
        <f t="shared" si="864"/>
        <v>333.84000000000003</v>
      </c>
      <c r="M1109" s="21">
        <f t="shared" si="864"/>
        <v>333.84000000000003</v>
      </c>
      <c r="N1109" s="21">
        <f t="shared" si="864"/>
        <v>333.84000000000003</v>
      </c>
      <c r="O1109" s="21">
        <f t="shared" si="864"/>
        <v>333.84000000000003</v>
      </c>
      <c r="P1109" s="21">
        <f t="shared" si="864"/>
        <v>333.84000000000003</v>
      </c>
      <c r="Q1109" s="21">
        <f t="shared" si="864"/>
        <v>333.84000000000003</v>
      </c>
      <c r="R1109" s="21">
        <f t="shared" si="864"/>
        <v>333.84000000000003</v>
      </c>
      <c r="S1109" s="21">
        <f t="shared" si="864"/>
        <v>333.84000000000003</v>
      </c>
      <c r="T1109" s="21">
        <f t="shared" si="864"/>
        <v>0</v>
      </c>
      <c r="U1109" s="21">
        <f t="shared" si="864"/>
        <v>0</v>
      </c>
      <c r="V1109" s="21">
        <f t="shared" si="864"/>
        <v>0</v>
      </c>
      <c r="W1109" s="21">
        <f>W1107+W1108</f>
        <v>333.84000000000003</v>
      </c>
      <c r="Y1109" s="390"/>
      <c r="Z1109" s="390"/>
      <c r="AA1109" s="390"/>
      <c r="AB1109" s="390"/>
      <c r="AC1109" s="390"/>
      <c r="AD1109" s="390"/>
      <c r="AE1109" s="390"/>
      <c r="AF1109" s="390"/>
      <c r="AG1109" s="390"/>
      <c r="AH1109" s="390"/>
      <c r="AI1109" s="390"/>
      <c r="AJ1109" s="390"/>
      <c r="AK1109" s="390"/>
      <c r="AL1109" s="390"/>
      <c r="AM1109" s="390"/>
      <c r="AN1109" s="390"/>
      <c r="AO1109" s="390"/>
      <c r="AP1109" s="390"/>
      <c r="AQ1109" s="390"/>
      <c r="AR1109" s="390"/>
      <c r="AS1109" s="390"/>
    </row>
    <row r="1110" spans="2:45" x14ac:dyDescent="0.3">
      <c r="B1110" s="54" t="s">
        <v>52</v>
      </c>
      <c r="C1110" s="55"/>
      <c r="D1110" s="398">
        <f>Y1112</f>
        <v>8.9499999999999993</v>
      </c>
      <c r="E1110" s="398">
        <f t="shared" ref="E1110:W1110" si="865">Z1112</f>
        <v>20.329999999999998</v>
      </c>
      <c r="F1110" s="398">
        <f t="shared" si="865"/>
        <v>24.396428571428572</v>
      </c>
      <c r="G1110" s="398">
        <f t="shared" si="865"/>
        <v>16.264285714285716</v>
      </c>
      <c r="H1110" s="398">
        <f t="shared" si="865"/>
        <v>8.7128571428571426</v>
      </c>
      <c r="I1110" s="398">
        <f t="shared" si="865"/>
        <v>11.617142857142857</v>
      </c>
      <c r="J1110" s="398">
        <f t="shared" si="865"/>
        <v>18.007142857142856</v>
      </c>
      <c r="K1110" s="398">
        <f t="shared" si="865"/>
        <v>14.754285714285714</v>
      </c>
      <c r="L1110" s="398">
        <f t="shared" si="865"/>
        <v>17.425714285714285</v>
      </c>
      <c r="M1110" s="398">
        <f t="shared" si="865"/>
        <v>8.3642857142857139</v>
      </c>
      <c r="N1110" s="398">
        <f t="shared" si="865"/>
        <v>9.2942857142857136</v>
      </c>
      <c r="O1110" s="398">
        <f t="shared" si="865"/>
        <v>21.84357142857143</v>
      </c>
      <c r="P1110" s="398">
        <f t="shared" si="865"/>
        <v>8.3642857142857139</v>
      </c>
      <c r="Q1110" s="398">
        <f t="shared" si="865"/>
        <v>8.3642857142857139</v>
      </c>
      <c r="R1110" s="398">
        <f t="shared" si="865"/>
        <v>11.036428571428571</v>
      </c>
      <c r="S1110" s="398">
        <f t="shared" si="865"/>
        <v>10.455714285714286</v>
      </c>
      <c r="T1110" s="398">
        <f t="shared" si="865"/>
        <v>0</v>
      </c>
      <c r="U1110" s="398">
        <v>0</v>
      </c>
      <c r="V1110" s="398">
        <f t="shared" si="865"/>
        <v>0</v>
      </c>
      <c r="W1110" s="398">
        <f t="shared" si="865"/>
        <v>8.3642857142857139</v>
      </c>
      <c r="Y1110" s="390">
        <v>12530</v>
      </c>
      <c r="Z1110" s="390">
        <v>28462</v>
      </c>
      <c r="AA1110" s="390">
        <v>34155</v>
      </c>
      <c r="AB1110" s="390">
        <v>22770</v>
      </c>
      <c r="AC1110" s="390">
        <v>12198</v>
      </c>
      <c r="AD1110" s="390">
        <v>16264</v>
      </c>
      <c r="AE1110" s="390">
        <v>25210</v>
      </c>
      <c r="AF1110" s="390">
        <v>20656</v>
      </c>
      <c r="AG1110" s="390">
        <v>24396</v>
      </c>
      <c r="AH1110" s="390">
        <v>11710</v>
      </c>
      <c r="AI1110" s="390">
        <v>13012</v>
      </c>
      <c r="AJ1110" s="390">
        <v>30581</v>
      </c>
      <c r="AK1110" s="396">
        <v>11710</v>
      </c>
      <c r="AL1110" s="396">
        <v>11710</v>
      </c>
      <c r="AM1110" s="390">
        <v>15451</v>
      </c>
      <c r="AN1110" s="390">
        <v>14638</v>
      </c>
      <c r="AO1110" s="390"/>
      <c r="AP1110" s="396">
        <v>30581</v>
      </c>
      <c r="AQ1110" s="390"/>
      <c r="AR1110" s="396">
        <v>11710</v>
      </c>
      <c r="AS1110" s="390"/>
    </row>
    <row r="1111" spans="2:45" x14ac:dyDescent="0.3">
      <c r="B1111" s="57" t="s">
        <v>53</v>
      </c>
      <c r="C1111" s="58"/>
      <c r="D1111" s="25">
        <f>SUM(D1109:D1110)</f>
        <v>342.79</v>
      </c>
      <c r="E1111" s="26">
        <f t="shared" ref="E1111:V1111" si="866">SUM(E1109:E1110)</f>
        <v>354.17</v>
      </c>
      <c r="F1111" s="26">
        <f t="shared" si="866"/>
        <v>358.23642857142863</v>
      </c>
      <c r="G1111" s="26">
        <f t="shared" si="866"/>
        <v>350.10428571428577</v>
      </c>
      <c r="H1111" s="26">
        <f t="shared" si="866"/>
        <v>342.55285714285719</v>
      </c>
      <c r="I1111" s="26">
        <f t="shared" si="866"/>
        <v>345.45714285714291</v>
      </c>
      <c r="J1111" s="26">
        <f t="shared" si="866"/>
        <v>351.8471428571429</v>
      </c>
      <c r="K1111" s="26">
        <f t="shared" si="866"/>
        <v>348.59428571428577</v>
      </c>
      <c r="L1111" s="26">
        <f t="shared" si="866"/>
        <v>351.2657142857143</v>
      </c>
      <c r="M1111" s="26">
        <f t="shared" si="866"/>
        <v>342.20428571428573</v>
      </c>
      <c r="N1111" s="26">
        <f t="shared" si="866"/>
        <v>343.13428571428574</v>
      </c>
      <c r="O1111" s="26">
        <f t="shared" si="866"/>
        <v>355.68357142857144</v>
      </c>
      <c r="P1111" s="26">
        <f t="shared" si="866"/>
        <v>342.20428571428573</v>
      </c>
      <c r="Q1111" s="26">
        <f t="shared" si="866"/>
        <v>342.20428571428573</v>
      </c>
      <c r="R1111" s="26">
        <f t="shared" si="866"/>
        <v>344.87642857142862</v>
      </c>
      <c r="S1111" s="26">
        <f t="shared" si="866"/>
        <v>344.29571428571433</v>
      </c>
      <c r="T1111" s="26">
        <f t="shared" si="866"/>
        <v>0</v>
      </c>
      <c r="U1111" s="26">
        <f t="shared" si="866"/>
        <v>0</v>
      </c>
      <c r="V1111" s="26">
        <f t="shared" si="866"/>
        <v>0</v>
      </c>
      <c r="W1111" s="26">
        <f>SUM(W1109:W1110)</f>
        <v>342.20428571428573</v>
      </c>
      <c r="Y1111" s="390">
        <v>1400</v>
      </c>
      <c r="Z1111" s="390">
        <v>1400</v>
      </c>
      <c r="AA1111" s="390">
        <v>1400</v>
      </c>
      <c r="AB1111" s="390">
        <v>1400</v>
      </c>
      <c r="AC1111" s="390">
        <v>1400</v>
      </c>
      <c r="AD1111" s="390">
        <v>1400</v>
      </c>
      <c r="AE1111" s="390">
        <v>1400</v>
      </c>
      <c r="AF1111" s="390">
        <v>1400</v>
      </c>
      <c r="AG1111" s="390">
        <v>1400</v>
      </c>
      <c r="AH1111" s="390">
        <v>1400</v>
      </c>
      <c r="AI1111" s="390">
        <v>1400</v>
      </c>
      <c r="AJ1111" s="390">
        <v>1400</v>
      </c>
      <c r="AK1111" s="390">
        <v>1400</v>
      </c>
      <c r="AL1111" s="390">
        <v>1400</v>
      </c>
      <c r="AM1111" s="390">
        <v>1400</v>
      </c>
      <c r="AN1111" s="390">
        <v>1400</v>
      </c>
      <c r="AO1111" s="390"/>
      <c r="AP1111" s="390">
        <v>1400</v>
      </c>
      <c r="AQ1111" s="390"/>
      <c r="AR1111" s="390">
        <v>1400</v>
      </c>
      <c r="AS1111" s="390"/>
    </row>
    <row r="1112" spans="2:45" x14ac:dyDescent="0.3">
      <c r="B1112" s="54" t="s">
        <v>54</v>
      </c>
      <c r="C1112" s="55"/>
      <c r="D1112" s="20"/>
      <c r="E1112" s="21"/>
      <c r="F1112" s="21"/>
      <c r="G1112" s="21"/>
      <c r="H1112" s="21"/>
      <c r="I1112" s="21"/>
      <c r="J1112" s="21"/>
      <c r="K1112" s="21"/>
      <c r="L1112" s="21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Y1112" s="389">
        <f>Y1110/Y1111</f>
        <v>8.9499999999999993</v>
      </c>
      <c r="Z1112" s="389">
        <f t="shared" ref="Z1112:AN1112" si="867">Z1110/Z1111</f>
        <v>20.329999999999998</v>
      </c>
      <c r="AA1112" s="389">
        <f t="shared" si="867"/>
        <v>24.396428571428572</v>
      </c>
      <c r="AB1112" s="389">
        <f t="shared" si="867"/>
        <v>16.264285714285716</v>
      </c>
      <c r="AC1112" s="389">
        <f t="shared" si="867"/>
        <v>8.7128571428571426</v>
      </c>
      <c r="AD1112" s="389">
        <f t="shared" si="867"/>
        <v>11.617142857142857</v>
      </c>
      <c r="AE1112" s="389">
        <f t="shared" si="867"/>
        <v>18.007142857142856</v>
      </c>
      <c r="AF1112" s="389">
        <f t="shared" si="867"/>
        <v>14.754285714285714</v>
      </c>
      <c r="AG1112" s="389">
        <f t="shared" si="867"/>
        <v>17.425714285714285</v>
      </c>
      <c r="AH1112" s="389">
        <f t="shared" si="867"/>
        <v>8.3642857142857139</v>
      </c>
      <c r="AI1112" s="389">
        <f t="shared" si="867"/>
        <v>9.2942857142857136</v>
      </c>
      <c r="AJ1112" s="389">
        <f t="shared" si="867"/>
        <v>21.84357142857143</v>
      </c>
      <c r="AK1112" s="389">
        <f t="shared" si="867"/>
        <v>8.3642857142857139</v>
      </c>
      <c r="AL1112" s="389">
        <f t="shared" si="867"/>
        <v>8.3642857142857139</v>
      </c>
      <c r="AM1112" s="389">
        <f t="shared" si="867"/>
        <v>11.036428571428571</v>
      </c>
      <c r="AN1112" s="389">
        <f t="shared" si="867"/>
        <v>10.455714285714286</v>
      </c>
      <c r="AO1112" s="390"/>
      <c r="AP1112" s="389">
        <f t="shared" ref="AP1112" si="868">AP1110/AP1111</f>
        <v>21.84357142857143</v>
      </c>
      <c r="AQ1112" s="390"/>
      <c r="AR1112" s="389">
        <f t="shared" ref="AR1112" si="869">AR1110/AR1111</f>
        <v>8.3642857142857139</v>
      </c>
      <c r="AS1112" s="390"/>
    </row>
    <row r="1113" spans="2:45" x14ac:dyDescent="0.3">
      <c r="B1113" s="59" t="s">
        <v>55</v>
      </c>
      <c r="C1113" s="60"/>
      <c r="D1113" s="27">
        <f>SUM(D1111:D1112)</f>
        <v>342.79</v>
      </c>
      <c r="E1113" s="41">
        <f t="shared" ref="E1113:V1113" si="870">SUM(E1111:E1112)</f>
        <v>354.17</v>
      </c>
      <c r="F1113" s="41">
        <f t="shared" si="870"/>
        <v>358.23642857142863</v>
      </c>
      <c r="G1113" s="41">
        <f t="shared" si="870"/>
        <v>350.10428571428577</v>
      </c>
      <c r="H1113" s="41">
        <f t="shared" si="870"/>
        <v>342.55285714285719</v>
      </c>
      <c r="I1113" s="41">
        <f t="shared" si="870"/>
        <v>345.45714285714291</v>
      </c>
      <c r="J1113" s="41">
        <f t="shared" si="870"/>
        <v>351.8471428571429</v>
      </c>
      <c r="K1113" s="41">
        <f t="shared" si="870"/>
        <v>348.59428571428577</v>
      </c>
      <c r="L1113" s="41">
        <f t="shared" si="870"/>
        <v>351.2657142857143</v>
      </c>
      <c r="M1113" s="41">
        <f t="shared" si="870"/>
        <v>342.20428571428573</v>
      </c>
      <c r="N1113" s="41">
        <f t="shared" si="870"/>
        <v>343.13428571428574</v>
      </c>
      <c r="O1113" s="41">
        <f t="shared" si="870"/>
        <v>355.68357142857144</v>
      </c>
      <c r="P1113" s="41">
        <f t="shared" si="870"/>
        <v>342.20428571428573</v>
      </c>
      <c r="Q1113" s="41">
        <f t="shared" si="870"/>
        <v>342.20428571428573</v>
      </c>
      <c r="R1113" s="41">
        <f t="shared" si="870"/>
        <v>344.87642857142862</v>
      </c>
      <c r="S1113" s="41">
        <f t="shared" si="870"/>
        <v>344.29571428571433</v>
      </c>
      <c r="T1113" s="41">
        <f t="shared" si="870"/>
        <v>0</v>
      </c>
      <c r="U1113" s="41">
        <f t="shared" si="870"/>
        <v>0</v>
      </c>
      <c r="V1113" s="41">
        <f t="shared" si="870"/>
        <v>0</v>
      </c>
      <c r="W1113" s="41">
        <f>SUM(W1111:W1112)</f>
        <v>342.20428571428573</v>
      </c>
      <c r="Y1113" s="390"/>
      <c r="Z1113" s="390"/>
      <c r="AA1113" s="390"/>
      <c r="AB1113" s="390"/>
      <c r="AC1113" s="390"/>
      <c r="AD1113" s="390"/>
      <c r="AE1113" s="390"/>
      <c r="AF1113" s="390"/>
      <c r="AG1113" s="390"/>
      <c r="AH1113" s="390"/>
      <c r="AI1113" s="390"/>
      <c r="AJ1113" s="390"/>
      <c r="AK1113" s="390"/>
      <c r="AL1113" s="390"/>
      <c r="AM1113" s="390"/>
      <c r="AN1113" s="390"/>
      <c r="AO1113" s="390"/>
      <c r="AP1113" s="390"/>
      <c r="AQ1113" s="390"/>
      <c r="AR1113" s="390"/>
      <c r="AS1113" s="390"/>
    </row>
    <row r="1114" spans="2:45" x14ac:dyDescent="0.3">
      <c r="B1114" s="61" t="s">
        <v>101</v>
      </c>
      <c r="C1114" s="55"/>
      <c r="D1114" s="43">
        <v>0</v>
      </c>
      <c r="E1114" s="408">
        <v>0</v>
      </c>
      <c r="F1114" s="408">
        <v>0</v>
      </c>
      <c r="G1114" s="408">
        <v>0</v>
      </c>
      <c r="H1114" s="408">
        <v>0</v>
      </c>
      <c r="I1114" s="408">
        <v>0</v>
      </c>
      <c r="J1114" s="408">
        <v>0</v>
      </c>
      <c r="K1114" s="408">
        <v>0</v>
      </c>
      <c r="L1114" s="408">
        <v>0</v>
      </c>
      <c r="M1114" s="408">
        <v>0</v>
      </c>
      <c r="N1114" s="408">
        <v>0</v>
      </c>
      <c r="O1114" s="408">
        <v>0</v>
      </c>
      <c r="P1114" s="408">
        <v>0</v>
      </c>
      <c r="Q1114" s="408">
        <v>0</v>
      </c>
      <c r="R1114" s="408">
        <v>0</v>
      </c>
      <c r="S1114" s="408">
        <v>0</v>
      </c>
      <c r="T1114" s="408">
        <v>0</v>
      </c>
      <c r="U1114" s="408">
        <v>0</v>
      </c>
      <c r="V1114" s="408">
        <v>0</v>
      </c>
      <c r="W1114" s="408">
        <v>0</v>
      </c>
      <c r="Y1114" s="409"/>
      <c r="Z1114" s="409"/>
      <c r="AA1114" s="409"/>
      <c r="AB1114" s="409"/>
      <c r="AC1114" s="409"/>
      <c r="AD1114" s="409"/>
      <c r="AE1114" s="409"/>
      <c r="AF1114" s="409"/>
      <c r="AG1114" s="409"/>
      <c r="AH1114" s="409"/>
      <c r="AI1114" s="409"/>
      <c r="AJ1114" s="409"/>
      <c r="AK1114" s="409"/>
      <c r="AL1114" s="409"/>
      <c r="AM1114" s="409"/>
      <c r="AN1114" s="409"/>
      <c r="AO1114" s="409"/>
      <c r="AP1114" s="409"/>
      <c r="AQ1114" s="409"/>
      <c r="AR1114" s="409"/>
      <c r="AS1114" s="409"/>
    </row>
    <row r="1115" spans="2:45" x14ac:dyDescent="0.3">
      <c r="B1115" s="61" t="s">
        <v>194</v>
      </c>
      <c r="C1115" s="55"/>
      <c r="D1115" s="228">
        <v>368</v>
      </c>
      <c r="E1115" s="229">
        <v>380</v>
      </c>
      <c r="F1115" s="229">
        <v>384</v>
      </c>
      <c r="G1115" s="229">
        <v>376</v>
      </c>
      <c r="H1115" s="229">
        <v>368</v>
      </c>
      <c r="I1115" s="229">
        <v>371</v>
      </c>
      <c r="J1115" s="229">
        <v>377</v>
      </c>
      <c r="K1115" s="229">
        <v>374</v>
      </c>
      <c r="L1115" s="229">
        <v>377</v>
      </c>
      <c r="M1115" s="229">
        <v>368</v>
      </c>
      <c r="N1115" s="229">
        <v>369</v>
      </c>
      <c r="O1115" s="229">
        <v>381</v>
      </c>
      <c r="P1115" s="229">
        <v>368</v>
      </c>
      <c r="Q1115" s="229">
        <v>368</v>
      </c>
      <c r="R1115" s="229">
        <v>370</v>
      </c>
      <c r="S1115" s="229">
        <v>370</v>
      </c>
      <c r="T1115" s="21">
        <v>0</v>
      </c>
      <c r="U1115" s="21">
        <v>0</v>
      </c>
      <c r="V1115" s="21">
        <v>0</v>
      </c>
      <c r="W1115" s="229">
        <v>368</v>
      </c>
      <c r="Y1115" s="390"/>
      <c r="Z1115" s="390"/>
      <c r="AA1115" s="390"/>
      <c r="AB1115" s="390"/>
      <c r="AC1115" s="390"/>
      <c r="AD1115" s="390"/>
      <c r="AE1115" s="390"/>
      <c r="AF1115" s="390"/>
      <c r="AG1115" s="390"/>
      <c r="AH1115" s="390"/>
      <c r="AI1115" s="390"/>
      <c r="AJ1115" s="390"/>
      <c r="AK1115" s="390"/>
      <c r="AL1115" s="390"/>
      <c r="AM1115" s="390"/>
      <c r="AN1115" s="390"/>
      <c r="AO1115" s="390"/>
      <c r="AP1115" s="390"/>
      <c r="AQ1115" s="390"/>
      <c r="AR1115" s="390"/>
      <c r="AS1115" s="390"/>
    </row>
    <row r="1116" spans="2:45" x14ac:dyDescent="0.3">
      <c r="B1116" s="61" t="s">
        <v>195</v>
      </c>
      <c r="C1116" s="62"/>
      <c r="D1116" s="28">
        <v>373</v>
      </c>
      <c r="E1116" s="28">
        <v>385</v>
      </c>
      <c r="F1116" s="28">
        <v>389</v>
      </c>
      <c r="G1116" s="28">
        <v>381</v>
      </c>
      <c r="H1116" s="28">
        <v>373</v>
      </c>
      <c r="I1116" s="28">
        <v>376</v>
      </c>
      <c r="J1116" s="28">
        <v>382</v>
      </c>
      <c r="K1116" s="28">
        <v>379</v>
      </c>
      <c r="L1116" s="28">
        <v>382</v>
      </c>
      <c r="M1116" s="28">
        <v>373</v>
      </c>
      <c r="N1116" s="28">
        <v>374</v>
      </c>
      <c r="O1116" s="28">
        <v>386</v>
      </c>
      <c r="P1116" s="28">
        <v>373</v>
      </c>
      <c r="Q1116" s="28">
        <v>373</v>
      </c>
      <c r="R1116" s="28">
        <v>375</v>
      </c>
      <c r="S1116" s="28">
        <v>375</v>
      </c>
      <c r="T1116" s="410">
        <v>0</v>
      </c>
      <c r="U1116" s="410">
        <v>0</v>
      </c>
      <c r="V1116" s="410">
        <v>0</v>
      </c>
      <c r="W1116" s="28">
        <v>373</v>
      </c>
      <c r="Y1116" s="390"/>
      <c r="Z1116" s="390"/>
      <c r="AA1116" s="390"/>
      <c r="AB1116" s="390"/>
      <c r="AC1116" s="390"/>
      <c r="AD1116" s="390"/>
      <c r="AE1116" s="390"/>
      <c r="AF1116" s="390"/>
      <c r="AG1116" s="390"/>
      <c r="AH1116" s="390"/>
      <c r="AI1116" s="390"/>
      <c r="AJ1116" s="390"/>
      <c r="AK1116" s="390"/>
      <c r="AL1116" s="390"/>
      <c r="AM1116" s="390"/>
      <c r="AN1116" s="390"/>
      <c r="AO1116" s="390"/>
      <c r="AP1116" s="390"/>
      <c r="AQ1116" s="390"/>
      <c r="AR1116" s="390"/>
      <c r="AS1116" s="390"/>
    </row>
    <row r="1117" spans="2:45" x14ac:dyDescent="0.3">
      <c r="B1117" s="61" t="s">
        <v>196</v>
      </c>
      <c r="C1117" s="62"/>
      <c r="D1117" s="28">
        <v>378</v>
      </c>
      <c r="E1117" s="28">
        <v>390</v>
      </c>
      <c r="F1117" s="28">
        <v>394</v>
      </c>
      <c r="G1117" s="28">
        <v>386</v>
      </c>
      <c r="H1117" s="28">
        <v>378</v>
      </c>
      <c r="I1117" s="28">
        <v>381</v>
      </c>
      <c r="J1117" s="28">
        <v>387</v>
      </c>
      <c r="K1117" s="28">
        <v>384</v>
      </c>
      <c r="L1117" s="28">
        <v>387</v>
      </c>
      <c r="M1117" s="28">
        <v>378</v>
      </c>
      <c r="N1117" s="28">
        <v>379</v>
      </c>
      <c r="O1117" s="28">
        <v>391</v>
      </c>
      <c r="P1117" s="28">
        <v>378</v>
      </c>
      <c r="Q1117" s="28">
        <v>378</v>
      </c>
      <c r="R1117" s="28">
        <v>380</v>
      </c>
      <c r="S1117" s="28">
        <v>380</v>
      </c>
      <c r="T1117" s="410">
        <v>0</v>
      </c>
      <c r="U1117" s="410">
        <v>0</v>
      </c>
      <c r="V1117" s="410">
        <v>0</v>
      </c>
      <c r="W1117" s="28">
        <v>378</v>
      </c>
      <c r="Y1117" s="390"/>
      <c r="Z1117" s="390"/>
      <c r="AA1117" s="390"/>
      <c r="AB1117" s="390"/>
      <c r="AC1117" s="390"/>
      <c r="AD1117" s="390"/>
      <c r="AE1117" s="390"/>
      <c r="AF1117" s="390"/>
      <c r="AG1117" s="390"/>
      <c r="AH1117" s="390"/>
      <c r="AI1117" s="390"/>
      <c r="AJ1117" s="390"/>
      <c r="AK1117" s="390"/>
      <c r="AL1117" s="390"/>
      <c r="AM1117" s="390"/>
      <c r="AN1117" s="390"/>
      <c r="AO1117" s="390"/>
      <c r="AP1117" s="390"/>
      <c r="AQ1117" s="390"/>
      <c r="AR1117" s="390"/>
      <c r="AS1117" s="390"/>
    </row>
    <row r="1118" spans="2:45" x14ac:dyDescent="0.3">
      <c r="B1118" s="61" t="s">
        <v>197</v>
      </c>
      <c r="C1118" s="62"/>
      <c r="D1118" s="28">
        <v>383</v>
      </c>
      <c r="E1118" s="28">
        <v>395</v>
      </c>
      <c r="F1118" s="28">
        <v>399</v>
      </c>
      <c r="G1118" s="28">
        <v>391</v>
      </c>
      <c r="H1118" s="28">
        <v>383</v>
      </c>
      <c r="I1118" s="28">
        <v>386</v>
      </c>
      <c r="J1118" s="28">
        <v>392</v>
      </c>
      <c r="K1118" s="28">
        <v>389</v>
      </c>
      <c r="L1118" s="28">
        <v>392</v>
      </c>
      <c r="M1118" s="28">
        <v>383</v>
      </c>
      <c r="N1118" s="28">
        <v>384</v>
      </c>
      <c r="O1118" s="28">
        <v>396</v>
      </c>
      <c r="P1118" s="28">
        <v>383</v>
      </c>
      <c r="Q1118" s="28">
        <v>383</v>
      </c>
      <c r="R1118" s="28">
        <v>385</v>
      </c>
      <c r="S1118" s="28">
        <v>385</v>
      </c>
      <c r="T1118" s="410">
        <v>0</v>
      </c>
      <c r="U1118" s="410">
        <v>0</v>
      </c>
      <c r="V1118" s="410">
        <v>0</v>
      </c>
      <c r="W1118" s="28">
        <v>383</v>
      </c>
      <c r="Y1118" s="390"/>
      <c r="Z1118" s="390"/>
      <c r="AA1118" s="390"/>
      <c r="AB1118" s="390"/>
      <c r="AC1118" s="390"/>
      <c r="AD1118" s="390"/>
      <c r="AE1118" s="390"/>
      <c r="AF1118" s="390"/>
      <c r="AG1118" s="390"/>
      <c r="AH1118" s="390"/>
      <c r="AI1118" s="390"/>
      <c r="AJ1118" s="390"/>
      <c r="AK1118" s="390"/>
      <c r="AL1118" s="390"/>
      <c r="AM1118" s="390"/>
      <c r="AN1118" s="390"/>
      <c r="AO1118" s="390"/>
      <c r="AP1118" s="390"/>
      <c r="AQ1118" s="390"/>
      <c r="AR1118" s="390"/>
      <c r="AS1118" s="390"/>
    </row>
    <row r="1119" spans="2:45" x14ac:dyDescent="0.3">
      <c r="B1119" s="63" t="s">
        <v>103</v>
      </c>
      <c r="C1119" s="55"/>
      <c r="D1119" s="43">
        <v>0</v>
      </c>
      <c r="E1119" s="408">
        <v>0</v>
      </c>
      <c r="F1119" s="408">
        <v>0</v>
      </c>
      <c r="G1119" s="408">
        <v>0</v>
      </c>
      <c r="H1119" s="408">
        <v>0</v>
      </c>
      <c r="I1119" s="408">
        <v>0</v>
      </c>
      <c r="J1119" s="408">
        <v>0</v>
      </c>
      <c r="K1119" s="408">
        <v>0</v>
      </c>
      <c r="L1119" s="408">
        <v>0</v>
      </c>
      <c r="M1119" s="408">
        <v>0</v>
      </c>
      <c r="N1119" s="408">
        <v>0</v>
      </c>
      <c r="O1119" s="408">
        <v>0</v>
      </c>
      <c r="P1119" s="408">
        <v>0</v>
      </c>
      <c r="Q1119" s="408">
        <v>0</v>
      </c>
      <c r="R1119" s="408">
        <v>0</v>
      </c>
      <c r="S1119" s="408">
        <v>0</v>
      </c>
      <c r="T1119" s="408">
        <v>0</v>
      </c>
      <c r="U1119" s="408">
        <v>0</v>
      </c>
      <c r="V1119" s="408">
        <v>0</v>
      </c>
      <c r="W1119" s="408">
        <v>0</v>
      </c>
      <c r="Y1119" s="409"/>
      <c r="Z1119" s="409"/>
      <c r="AA1119" s="409"/>
      <c r="AB1119" s="409"/>
      <c r="AC1119" s="409"/>
      <c r="AD1119" s="409"/>
      <c r="AE1119" s="409"/>
      <c r="AF1119" s="409"/>
      <c r="AG1119" s="409"/>
      <c r="AH1119" s="409"/>
      <c r="AI1119" s="409"/>
      <c r="AJ1119" s="409"/>
      <c r="AK1119" s="409"/>
      <c r="AL1119" s="409"/>
      <c r="AM1119" s="409"/>
      <c r="AN1119" s="409"/>
      <c r="AO1119" s="409"/>
      <c r="AP1119" s="409"/>
      <c r="AQ1119" s="409"/>
      <c r="AR1119" s="409"/>
      <c r="AS1119" s="409"/>
    </row>
    <row r="1120" spans="2:45" x14ac:dyDescent="0.3">
      <c r="B1120" s="63" t="s">
        <v>198</v>
      </c>
      <c r="C1120" s="62"/>
      <c r="D1120" s="31">
        <f t="shared" ref="D1120:S1120" si="871">+D1115-D$1113</f>
        <v>25.20999999999998</v>
      </c>
      <c r="E1120" s="31">
        <f t="shared" si="871"/>
        <v>25.829999999999984</v>
      </c>
      <c r="F1120" s="31">
        <f t="shared" si="871"/>
        <v>25.763571428571368</v>
      </c>
      <c r="G1120" s="31">
        <f t="shared" si="871"/>
        <v>25.895714285714234</v>
      </c>
      <c r="H1120" s="31">
        <f t="shared" si="871"/>
        <v>25.447142857142808</v>
      </c>
      <c r="I1120" s="31">
        <f t="shared" si="871"/>
        <v>25.542857142857088</v>
      </c>
      <c r="J1120" s="31">
        <f t="shared" si="871"/>
        <v>25.152857142857101</v>
      </c>
      <c r="K1120" s="31">
        <f t="shared" si="871"/>
        <v>25.405714285714225</v>
      </c>
      <c r="L1120" s="31">
        <f t="shared" si="871"/>
        <v>25.734285714285704</v>
      </c>
      <c r="M1120" s="31">
        <f t="shared" si="871"/>
        <v>25.795714285714268</v>
      </c>
      <c r="N1120" s="31">
        <f t="shared" si="871"/>
        <v>25.865714285714262</v>
      </c>
      <c r="O1120" s="31">
        <f t="shared" si="871"/>
        <v>25.31642857142856</v>
      </c>
      <c r="P1120" s="31">
        <f t="shared" si="871"/>
        <v>25.795714285714268</v>
      </c>
      <c r="Q1120" s="31">
        <f t="shared" si="871"/>
        <v>25.795714285714268</v>
      </c>
      <c r="R1120" s="31">
        <f t="shared" si="871"/>
        <v>25.123571428571381</v>
      </c>
      <c r="S1120" s="31">
        <f t="shared" si="871"/>
        <v>25.704285714285675</v>
      </c>
      <c r="T1120" s="29"/>
      <c r="U1120" s="29"/>
      <c r="V1120" s="29"/>
      <c r="W1120" s="31">
        <f>+W1115-W$1113</f>
        <v>25.795714285714268</v>
      </c>
      <c r="Y1120" s="390"/>
      <c r="Z1120" s="390"/>
      <c r="AA1120" s="390"/>
      <c r="AB1120" s="390"/>
      <c r="AC1120" s="390"/>
      <c r="AD1120" s="390"/>
      <c r="AE1120" s="390"/>
      <c r="AF1120" s="390"/>
      <c r="AG1120" s="390"/>
      <c r="AH1120" s="390"/>
      <c r="AI1120" s="390"/>
      <c r="AJ1120" s="390"/>
      <c r="AK1120" s="390"/>
      <c r="AL1120" s="390"/>
      <c r="AM1120" s="390"/>
      <c r="AN1120" s="390"/>
      <c r="AO1120" s="390"/>
      <c r="AP1120" s="390"/>
      <c r="AQ1120" s="390"/>
      <c r="AR1120" s="390"/>
      <c r="AS1120" s="390"/>
    </row>
    <row r="1121" spans="1:45" x14ac:dyDescent="0.3">
      <c r="B1121" s="63" t="s">
        <v>199</v>
      </c>
      <c r="C1121" s="64"/>
      <c r="D1121" s="31">
        <f t="shared" ref="D1121:S1121" si="872">+D1116-D$1113</f>
        <v>30.20999999999998</v>
      </c>
      <c r="E1121" s="32">
        <f t="shared" si="872"/>
        <v>30.829999999999984</v>
      </c>
      <c r="F1121" s="32">
        <f t="shared" si="872"/>
        <v>30.763571428571368</v>
      </c>
      <c r="G1121" s="32">
        <f t="shared" si="872"/>
        <v>30.895714285714234</v>
      </c>
      <c r="H1121" s="32">
        <f t="shared" si="872"/>
        <v>30.447142857142808</v>
      </c>
      <c r="I1121" s="32">
        <f t="shared" si="872"/>
        <v>30.542857142857088</v>
      </c>
      <c r="J1121" s="32">
        <f t="shared" si="872"/>
        <v>30.152857142857101</v>
      </c>
      <c r="K1121" s="32">
        <f t="shared" si="872"/>
        <v>30.405714285714225</v>
      </c>
      <c r="L1121" s="32">
        <f t="shared" si="872"/>
        <v>30.734285714285704</v>
      </c>
      <c r="M1121" s="32">
        <f t="shared" si="872"/>
        <v>30.795714285714268</v>
      </c>
      <c r="N1121" s="32">
        <f t="shared" si="872"/>
        <v>30.865714285714262</v>
      </c>
      <c r="O1121" s="32">
        <f t="shared" si="872"/>
        <v>30.31642857142856</v>
      </c>
      <c r="P1121" s="32">
        <f t="shared" si="872"/>
        <v>30.795714285714268</v>
      </c>
      <c r="Q1121" s="32">
        <f t="shared" si="872"/>
        <v>30.795714285714268</v>
      </c>
      <c r="R1121" s="32">
        <f t="shared" si="872"/>
        <v>30.123571428571381</v>
      </c>
      <c r="S1121" s="32">
        <f t="shared" si="872"/>
        <v>30.704285714285675</v>
      </c>
      <c r="T1121" s="32"/>
      <c r="U1121" s="32"/>
      <c r="V1121" s="32"/>
      <c r="W1121" s="32">
        <f>+W1116-W$1113</f>
        <v>30.795714285714268</v>
      </c>
      <c r="Y1121" s="390"/>
      <c r="Z1121" s="390"/>
      <c r="AA1121" s="390"/>
      <c r="AB1121" s="390"/>
      <c r="AC1121" s="390"/>
      <c r="AD1121" s="390"/>
      <c r="AE1121" s="390"/>
      <c r="AF1121" s="390"/>
      <c r="AG1121" s="390"/>
      <c r="AH1121" s="390"/>
      <c r="AI1121" s="390"/>
      <c r="AJ1121" s="390"/>
      <c r="AK1121" s="390"/>
      <c r="AL1121" s="390"/>
      <c r="AM1121" s="390"/>
      <c r="AN1121" s="390"/>
      <c r="AO1121" s="390"/>
      <c r="AP1121" s="390"/>
      <c r="AQ1121" s="390"/>
      <c r="AR1121" s="390"/>
      <c r="AS1121" s="390"/>
    </row>
    <row r="1122" spans="1:45" x14ac:dyDescent="0.3">
      <c r="B1122" s="63" t="s">
        <v>200</v>
      </c>
      <c r="C1122" s="64"/>
      <c r="D1122" s="31">
        <f t="shared" ref="D1122:S1122" si="873">+D1117-D$1113</f>
        <v>35.20999999999998</v>
      </c>
      <c r="E1122" s="32">
        <f t="shared" si="873"/>
        <v>35.829999999999984</v>
      </c>
      <c r="F1122" s="32">
        <f t="shared" si="873"/>
        <v>35.763571428571368</v>
      </c>
      <c r="G1122" s="32">
        <f t="shared" si="873"/>
        <v>35.895714285714234</v>
      </c>
      <c r="H1122" s="32">
        <f t="shared" si="873"/>
        <v>35.447142857142808</v>
      </c>
      <c r="I1122" s="32">
        <f t="shared" si="873"/>
        <v>35.542857142857088</v>
      </c>
      <c r="J1122" s="32">
        <f t="shared" si="873"/>
        <v>35.152857142857101</v>
      </c>
      <c r="K1122" s="32">
        <f t="shared" si="873"/>
        <v>35.405714285714225</v>
      </c>
      <c r="L1122" s="32">
        <f t="shared" si="873"/>
        <v>35.734285714285704</v>
      </c>
      <c r="M1122" s="32">
        <f t="shared" si="873"/>
        <v>35.795714285714268</v>
      </c>
      <c r="N1122" s="32">
        <f t="shared" si="873"/>
        <v>35.865714285714262</v>
      </c>
      <c r="O1122" s="32">
        <f t="shared" si="873"/>
        <v>35.31642857142856</v>
      </c>
      <c r="P1122" s="32">
        <f t="shared" si="873"/>
        <v>35.795714285714268</v>
      </c>
      <c r="Q1122" s="32">
        <f t="shared" si="873"/>
        <v>35.795714285714268</v>
      </c>
      <c r="R1122" s="32">
        <f t="shared" si="873"/>
        <v>35.123571428571381</v>
      </c>
      <c r="S1122" s="32">
        <f t="shared" si="873"/>
        <v>35.704285714285675</v>
      </c>
      <c r="T1122" s="32"/>
      <c r="U1122" s="32"/>
      <c r="V1122" s="32"/>
      <c r="W1122" s="32">
        <f>+W1117-W$1113</f>
        <v>35.795714285714268</v>
      </c>
      <c r="Y1122" s="390"/>
      <c r="Z1122" s="390">
        <v>408.8</v>
      </c>
      <c r="AA1122" s="390">
        <v>14.534516129032259</v>
      </c>
      <c r="AB1122" s="390">
        <f>Z1122*1.07</f>
        <v>437.41600000000005</v>
      </c>
      <c r="AC1122" s="390">
        <f>AB1122*1.05</f>
        <v>459.28680000000008</v>
      </c>
      <c r="AD1122" s="390">
        <f>AB1122*1.08</f>
        <v>472.40928000000008</v>
      </c>
      <c r="AE1122" s="390">
        <f>AB1122*1.1</f>
        <v>481.15760000000012</v>
      </c>
      <c r="AF1122" s="390">
        <f>AB1122*1.15</f>
        <v>503.02840000000003</v>
      </c>
      <c r="AG1122" s="390"/>
      <c r="AH1122" s="390"/>
      <c r="AI1122" s="390"/>
      <c r="AJ1122" s="390"/>
      <c r="AK1122" s="390"/>
      <c r="AL1122" s="390"/>
      <c r="AM1122" s="390"/>
      <c r="AN1122" s="390"/>
      <c r="AO1122" s="390"/>
      <c r="AP1122" s="390"/>
      <c r="AQ1122" s="390"/>
      <c r="AR1122" s="390"/>
      <c r="AS1122" s="390"/>
    </row>
    <row r="1123" spans="1:45" x14ac:dyDescent="0.3">
      <c r="B1123" s="63" t="s">
        <v>201</v>
      </c>
      <c r="C1123" s="64"/>
      <c r="D1123" s="31">
        <f t="shared" ref="D1123:S1123" si="874">+D1118-D$1113</f>
        <v>40.20999999999998</v>
      </c>
      <c r="E1123" s="32">
        <f t="shared" si="874"/>
        <v>40.829999999999984</v>
      </c>
      <c r="F1123" s="32">
        <f t="shared" si="874"/>
        <v>40.763571428571368</v>
      </c>
      <c r="G1123" s="32">
        <f t="shared" si="874"/>
        <v>40.895714285714234</v>
      </c>
      <c r="H1123" s="32">
        <f t="shared" si="874"/>
        <v>40.447142857142808</v>
      </c>
      <c r="I1123" s="32">
        <f t="shared" si="874"/>
        <v>40.542857142857088</v>
      </c>
      <c r="J1123" s="32">
        <f t="shared" si="874"/>
        <v>40.152857142857101</v>
      </c>
      <c r="K1123" s="32">
        <f t="shared" si="874"/>
        <v>40.405714285714225</v>
      </c>
      <c r="L1123" s="32">
        <f t="shared" si="874"/>
        <v>40.734285714285704</v>
      </c>
      <c r="M1123" s="32">
        <f t="shared" si="874"/>
        <v>40.795714285714268</v>
      </c>
      <c r="N1123" s="32">
        <f t="shared" si="874"/>
        <v>40.865714285714262</v>
      </c>
      <c r="O1123" s="32">
        <f t="shared" si="874"/>
        <v>40.31642857142856</v>
      </c>
      <c r="P1123" s="32">
        <f t="shared" si="874"/>
        <v>40.795714285714268</v>
      </c>
      <c r="Q1123" s="32">
        <f t="shared" si="874"/>
        <v>40.795714285714268</v>
      </c>
      <c r="R1123" s="32">
        <f t="shared" si="874"/>
        <v>40.123571428571381</v>
      </c>
      <c r="S1123" s="32">
        <f t="shared" si="874"/>
        <v>40.704285714285675</v>
      </c>
      <c r="T1123" s="32"/>
      <c r="U1123" s="32"/>
      <c r="V1123" s="32"/>
      <c r="W1123" s="32">
        <f>+W1118-W$1113</f>
        <v>40.795714285714268</v>
      </c>
      <c r="Y1123" s="390"/>
      <c r="Z1123" s="390">
        <v>548.79999999999995</v>
      </c>
      <c r="AA1123" s="390">
        <v>19.36451612903226</v>
      </c>
      <c r="AB1123" s="390">
        <f>Z1123*1.07</f>
        <v>587.21600000000001</v>
      </c>
      <c r="AC1123" s="390">
        <f>AB1123*1.05</f>
        <v>616.57680000000005</v>
      </c>
      <c r="AD1123" s="390">
        <f>AB1123*1.08</f>
        <v>634.19328000000007</v>
      </c>
      <c r="AE1123" s="390">
        <f>AB1123*1.1</f>
        <v>645.93760000000009</v>
      </c>
      <c r="AF1123" s="390">
        <f>AB1123*1.15</f>
        <v>675.2983999999999</v>
      </c>
      <c r="AG1123" s="390"/>
      <c r="AH1123" s="390"/>
      <c r="AI1123" s="390"/>
      <c r="AJ1123" s="390"/>
      <c r="AK1123" s="390"/>
      <c r="AL1123" s="390"/>
      <c r="AM1123" s="390"/>
      <c r="AN1123" s="390"/>
      <c r="AO1123" s="390"/>
      <c r="AP1123" s="390"/>
      <c r="AQ1123" s="390"/>
      <c r="AR1123" s="390"/>
      <c r="AS1123" s="390"/>
    </row>
    <row r="1124" spans="1:45" x14ac:dyDescent="0.3">
      <c r="B1124" s="65" t="s">
        <v>108</v>
      </c>
      <c r="C1124" s="55"/>
      <c r="D1124" s="43">
        <v>0</v>
      </c>
      <c r="E1124" s="408">
        <v>0</v>
      </c>
      <c r="F1124" s="408">
        <v>0</v>
      </c>
      <c r="G1124" s="408">
        <v>0</v>
      </c>
      <c r="H1124" s="408">
        <v>0</v>
      </c>
      <c r="I1124" s="408">
        <v>0</v>
      </c>
      <c r="J1124" s="408">
        <v>0</v>
      </c>
      <c r="K1124" s="408">
        <v>0</v>
      </c>
      <c r="L1124" s="408">
        <v>0</v>
      </c>
      <c r="M1124" s="408">
        <v>0</v>
      </c>
      <c r="N1124" s="408">
        <v>0</v>
      </c>
      <c r="O1124" s="408">
        <v>0</v>
      </c>
      <c r="P1124" s="408">
        <v>0</v>
      </c>
      <c r="Q1124" s="408">
        <v>0</v>
      </c>
      <c r="R1124" s="408">
        <v>0</v>
      </c>
      <c r="S1124" s="408">
        <v>0</v>
      </c>
      <c r="T1124" s="408">
        <v>0</v>
      </c>
      <c r="U1124" s="408">
        <v>0</v>
      </c>
      <c r="V1124" s="408">
        <v>0</v>
      </c>
      <c r="W1124" s="408">
        <v>0</v>
      </c>
      <c r="Y1124" s="409"/>
      <c r="Z1124" s="409"/>
      <c r="AA1124" s="409"/>
      <c r="AB1124" s="409"/>
      <c r="AC1124" s="409"/>
      <c r="AD1124" s="409"/>
      <c r="AE1124" s="409"/>
      <c r="AF1124" s="409"/>
      <c r="AG1124" s="409"/>
      <c r="AH1124" s="409"/>
      <c r="AI1124" s="409"/>
      <c r="AJ1124" s="409"/>
      <c r="AK1124" s="409"/>
      <c r="AL1124" s="409"/>
      <c r="AM1124" s="409"/>
      <c r="AN1124" s="409"/>
      <c r="AO1124" s="409"/>
      <c r="AP1124" s="409"/>
      <c r="AQ1124" s="409"/>
      <c r="AR1124" s="409"/>
      <c r="AS1124" s="409"/>
    </row>
    <row r="1125" spans="1:45" x14ac:dyDescent="0.3">
      <c r="B1125" s="65" t="s">
        <v>202</v>
      </c>
      <c r="C1125" s="64"/>
      <c r="D1125" s="99">
        <f>+D1120/D$1115</f>
        <v>6.8505434782608635E-2</v>
      </c>
      <c r="E1125" s="99">
        <f t="shared" ref="E1125:W1125" si="875">+E1120/E$1115</f>
        <v>6.797368421052627E-2</v>
      </c>
      <c r="F1125" s="99">
        <f t="shared" si="875"/>
        <v>6.7092633928571274E-2</v>
      </c>
      <c r="G1125" s="99">
        <f t="shared" si="875"/>
        <v>6.8871580547112329E-2</v>
      </c>
      <c r="H1125" s="99">
        <f t="shared" si="875"/>
        <v>6.9149844720496761E-2</v>
      </c>
      <c r="I1125" s="99">
        <f t="shared" si="875"/>
        <v>6.8848671544089191E-2</v>
      </c>
      <c r="J1125" s="99">
        <f t="shared" si="875"/>
        <v>6.6718453959833154E-2</v>
      </c>
      <c r="K1125" s="99">
        <f t="shared" si="875"/>
        <v>6.7929717341481885E-2</v>
      </c>
      <c r="L1125" s="99">
        <f t="shared" si="875"/>
        <v>6.8260704812428921E-2</v>
      </c>
      <c r="M1125" s="99">
        <f t="shared" si="875"/>
        <v>7.0097049689440943E-2</v>
      </c>
      <c r="N1125" s="99">
        <f t="shared" si="875"/>
        <v>7.0096786682152468E-2</v>
      </c>
      <c r="O1125" s="99">
        <f t="shared" si="875"/>
        <v>6.6447319085114337E-2</v>
      </c>
      <c r="P1125" s="99">
        <f t="shared" si="875"/>
        <v>7.0097049689440943E-2</v>
      </c>
      <c r="Q1125" s="99">
        <f t="shared" si="875"/>
        <v>7.0097049689440943E-2</v>
      </c>
      <c r="R1125" s="99">
        <f t="shared" si="875"/>
        <v>6.7901544401544278E-2</v>
      </c>
      <c r="S1125" s="99">
        <f t="shared" si="875"/>
        <v>6.9471042471042369E-2</v>
      </c>
      <c r="T1125" s="372" t="e">
        <f t="shared" si="875"/>
        <v>#DIV/0!</v>
      </c>
      <c r="U1125" s="372" t="e">
        <f t="shared" si="875"/>
        <v>#DIV/0!</v>
      </c>
      <c r="V1125" s="372" t="e">
        <f t="shared" si="875"/>
        <v>#DIV/0!</v>
      </c>
      <c r="W1125" s="99">
        <f t="shared" si="875"/>
        <v>7.0097049689440943E-2</v>
      </c>
      <c r="Y1125" s="390"/>
      <c r="Z1125" s="422"/>
      <c r="AA1125" s="423"/>
      <c r="AB1125" s="424"/>
      <c r="AC1125" s="394" t="s">
        <v>142</v>
      </c>
      <c r="AD1125" s="394" t="s">
        <v>143</v>
      </c>
      <c r="AE1125" s="394" t="s">
        <v>144</v>
      </c>
      <c r="AF1125" s="394" t="s">
        <v>145</v>
      </c>
      <c r="AG1125" s="390"/>
      <c r="AH1125" s="390"/>
      <c r="AI1125" s="390"/>
      <c r="AJ1125" s="390"/>
      <c r="AK1125" s="390"/>
      <c r="AL1125" s="390"/>
      <c r="AM1125" s="390"/>
      <c r="AN1125" s="390"/>
      <c r="AO1125" s="390"/>
      <c r="AP1125" s="390"/>
      <c r="AQ1125" s="390"/>
      <c r="AR1125" s="390"/>
      <c r="AS1125" s="390"/>
    </row>
    <row r="1126" spans="1:45" x14ac:dyDescent="0.3">
      <c r="B1126" s="65" t="s">
        <v>203</v>
      </c>
      <c r="C1126" s="66"/>
      <c r="D1126" s="368">
        <f>+D1121/D$1116</f>
        <v>8.0991957104557588E-2</v>
      </c>
      <c r="E1126" s="368">
        <f t="shared" ref="E1126:W1126" si="876">+E1121/E$1116</f>
        <v>8.007792207792204E-2</v>
      </c>
      <c r="F1126" s="368">
        <f t="shared" si="876"/>
        <v>7.9083731178846706E-2</v>
      </c>
      <c r="G1126" s="368">
        <f t="shared" si="876"/>
        <v>8.1091113610798515E-2</v>
      </c>
      <c r="H1126" s="368">
        <f t="shared" si="876"/>
        <v>8.162772883952496E-2</v>
      </c>
      <c r="I1126" s="368">
        <f t="shared" si="876"/>
        <v>8.1231003039513527E-2</v>
      </c>
      <c r="J1126" s="368">
        <f t="shared" si="876"/>
        <v>7.8934181002243725E-2</v>
      </c>
      <c r="K1126" s="368">
        <f t="shared" si="876"/>
        <v>8.0226159065209038E-2</v>
      </c>
      <c r="L1126" s="368">
        <f t="shared" si="876"/>
        <v>8.0456245325355252E-2</v>
      </c>
      <c r="M1126" s="368">
        <f t="shared" si="876"/>
        <v>8.2562236690922969E-2</v>
      </c>
      <c r="N1126" s="368">
        <f t="shared" si="876"/>
        <v>8.2528647822765408E-2</v>
      </c>
      <c r="O1126" s="368">
        <f t="shared" si="876"/>
        <v>7.8539970392301969E-2</v>
      </c>
      <c r="P1126" s="368">
        <f t="shared" si="876"/>
        <v>8.2562236690922969E-2</v>
      </c>
      <c r="Q1126" s="368">
        <f t="shared" si="876"/>
        <v>8.2562236690922969E-2</v>
      </c>
      <c r="R1126" s="368">
        <f t="shared" si="876"/>
        <v>8.0329523809523684E-2</v>
      </c>
      <c r="S1126" s="368">
        <f t="shared" si="876"/>
        <v>8.1878095238095139E-2</v>
      </c>
      <c r="T1126" s="368" t="e">
        <f t="shared" si="876"/>
        <v>#DIV/0!</v>
      </c>
      <c r="U1126" s="368" t="e">
        <f t="shared" si="876"/>
        <v>#DIV/0!</v>
      </c>
      <c r="V1126" s="368" t="e">
        <f t="shared" si="876"/>
        <v>#DIV/0!</v>
      </c>
      <c r="W1126" s="368">
        <f t="shared" si="876"/>
        <v>8.2562236690922969E-2</v>
      </c>
      <c r="Y1126" s="390"/>
      <c r="Z1126" s="395" t="s">
        <v>223</v>
      </c>
      <c r="AA1126" s="395"/>
      <c r="AB1126" s="395"/>
      <c r="AC1126" s="395">
        <f>AA1122+AC1122</f>
        <v>473.82131612903237</v>
      </c>
      <c r="AD1126" s="395">
        <f>AA1122+AD1122</f>
        <v>486.94379612903236</v>
      </c>
      <c r="AE1126" s="395">
        <f>AA1122+AE1122</f>
        <v>495.6921161290324</v>
      </c>
      <c r="AF1126" s="395">
        <f>AA1122+AF1122</f>
        <v>517.56291612903226</v>
      </c>
      <c r="AG1126" s="390"/>
      <c r="AH1126" s="390"/>
      <c r="AI1126" s="390"/>
      <c r="AJ1126" s="390"/>
      <c r="AK1126" s="390"/>
      <c r="AL1126" s="390"/>
      <c r="AM1126" s="390"/>
      <c r="AN1126" s="390"/>
      <c r="AO1126" s="390"/>
      <c r="AP1126" s="390"/>
      <c r="AQ1126" s="390"/>
      <c r="AR1126" s="390"/>
      <c r="AS1126" s="390"/>
    </row>
    <row r="1127" spans="1:45" x14ac:dyDescent="0.3">
      <c r="B1127" s="65" t="s">
        <v>204</v>
      </c>
      <c r="C1127" s="66"/>
      <c r="D1127" s="368">
        <f>+D1122/D$1117</f>
        <v>9.3148148148148091E-2</v>
      </c>
      <c r="E1127" s="368">
        <f t="shared" ref="E1127:W1127" si="877">+E1122/E$1117</f>
        <v>9.1871794871794837E-2</v>
      </c>
      <c r="F1127" s="368">
        <f t="shared" si="877"/>
        <v>9.0770485859318198E-2</v>
      </c>
      <c r="G1127" s="368">
        <f t="shared" si="877"/>
        <v>9.2994078460399573E-2</v>
      </c>
      <c r="H1127" s="368">
        <f t="shared" si="877"/>
        <v>9.3775510204081508E-2</v>
      </c>
      <c r="I1127" s="368">
        <f t="shared" si="877"/>
        <v>9.3288338957630154E-2</v>
      </c>
      <c r="J1127" s="368">
        <f t="shared" si="877"/>
        <v>9.0834256183093279E-2</v>
      </c>
      <c r="K1127" s="368">
        <f t="shared" si="877"/>
        <v>9.22023809523808E-2</v>
      </c>
      <c r="L1127" s="368">
        <f t="shared" si="877"/>
        <v>9.2336655592469521E-2</v>
      </c>
      <c r="M1127" s="368">
        <f t="shared" si="877"/>
        <v>9.4697656840513941E-2</v>
      </c>
      <c r="N1127" s="368">
        <f t="shared" si="877"/>
        <v>9.4632491519034995E-2</v>
      </c>
      <c r="O1127" s="368">
        <f t="shared" si="877"/>
        <v>9.0323346729996312E-2</v>
      </c>
      <c r="P1127" s="368">
        <f t="shared" si="877"/>
        <v>9.4697656840513941E-2</v>
      </c>
      <c r="Q1127" s="368">
        <f t="shared" si="877"/>
        <v>9.4697656840513941E-2</v>
      </c>
      <c r="R1127" s="368">
        <f t="shared" si="877"/>
        <v>9.2430451127819419E-2</v>
      </c>
      <c r="S1127" s="368">
        <f t="shared" si="877"/>
        <v>9.3958646616541255E-2</v>
      </c>
      <c r="T1127" s="368" t="e">
        <f t="shared" si="877"/>
        <v>#DIV/0!</v>
      </c>
      <c r="U1127" s="368" t="e">
        <f t="shared" si="877"/>
        <v>#DIV/0!</v>
      </c>
      <c r="V1127" s="368" t="e">
        <f t="shared" si="877"/>
        <v>#DIV/0!</v>
      </c>
      <c r="W1127" s="368">
        <f t="shared" si="877"/>
        <v>9.4697656840513941E-2</v>
      </c>
      <c r="Y1127" s="390"/>
      <c r="Z1127" s="395" t="s">
        <v>224</v>
      </c>
      <c r="AA1127" s="395"/>
      <c r="AB1127" s="395"/>
      <c r="AC1127" s="395">
        <f>AA1123+AC1123</f>
        <v>635.94131612903232</v>
      </c>
      <c r="AD1127" s="395">
        <f>AA1123+AC1123</f>
        <v>635.94131612903232</v>
      </c>
      <c r="AE1127" s="395">
        <f>AA1123+AE1123</f>
        <v>665.30211612903236</v>
      </c>
      <c r="AF1127" s="395">
        <f>AA1123+AF1123</f>
        <v>694.66291612903217</v>
      </c>
      <c r="AG1127" s="390"/>
      <c r="AH1127" s="390"/>
      <c r="AI1127" s="390"/>
      <c r="AJ1127" s="390"/>
      <c r="AK1127" s="390"/>
      <c r="AL1127" s="390"/>
      <c r="AM1127" s="390"/>
      <c r="AN1127" s="390"/>
      <c r="AO1127" s="390"/>
      <c r="AP1127" s="390"/>
      <c r="AQ1127" s="390"/>
      <c r="AR1127" s="390"/>
      <c r="AS1127" s="390"/>
    </row>
    <row r="1128" spans="1:45" x14ac:dyDescent="0.3">
      <c r="B1128" s="65" t="s">
        <v>205</v>
      </c>
      <c r="C1128" s="66"/>
      <c r="D1128" s="368">
        <f>+D1123/D$1118</f>
        <v>0.10498694516971274</v>
      </c>
      <c r="E1128" s="368">
        <f t="shared" ref="E1128:W1128" si="878">+E1123/E$1118</f>
        <v>0.1033670886075949</v>
      </c>
      <c r="F1128" s="368">
        <f t="shared" si="878"/>
        <v>0.10216433941997836</v>
      </c>
      <c r="G1128" s="368">
        <f t="shared" si="878"/>
        <v>0.10459261965655814</v>
      </c>
      <c r="H1128" s="368">
        <f t="shared" si="878"/>
        <v>0.10560611712047731</v>
      </c>
      <c r="I1128" s="368">
        <f t="shared" si="878"/>
        <v>0.10503330866025153</v>
      </c>
      <c r="J1128" s="368">
        <f t="shared" si="878"/>
        <v>0.1024307580174926</v>
      </c>
      <c r="K1128" s="368">
        <f t="shared" si="878"/>
        <v>0.10387073081160469</v>
      </c>
      <c r="L1128" s="368">
        <f t="shared" si="878"/>
        <v>0.10391399416909619</v>
      </c>
      <c r="M1128" s="368">
        <f t="shared" si="878"/>
        <v>0.1065162252890712</v>
      </c>
      <c r="N1128" s="368">
        <f t="shared" si="878"/>
        <v>0.10642113095238089</v>
      </c>
      <c r="O1128" s="368">
        <f t="shared" si="878"/>
        <v>0.10180916305916303</v>
      </c>
      <c r="P1128" s="368">
        <f t="shared" si="878"/>
        <v>0.1065162252890712</v>
      </c>
      <c r="Q1128" s="368">
        <f t="shared" si="878"/>
        <v>0.1065162252890712</v>
      </c>
      <c r="R1128" s="368">
        <f t="shared" si="878"/>
        <v>0.10421706864563995</v>
      </c>
      <c r="S1128" s="368">
        <f t="shared" si="878"/>
        <v>0.10572541743970305</v>
      </c>
      <c r="T1128" s="368" t="e">
        <f t="shared" si="878"/>
        <v>#DIV/0!</v>
      </c>
      <c r="U1128" s="368" t="e">
        <f t="shared" si="878"/>
        <v>#DIV/0!</v>
      </c>
      <c r="V1128" s="368" t="e">
        <f t="shared" si="878"/>
        <v>#DIV/0!</v>
      </c>
      <c r="W1128" s="368">
        <f t="shared" si="878"/>
        <v>0.1065162252890712</v>
      </c>
      <c r="Y1128" s="390"/>
      <c r="Z1128" s="390"/>
      <c r="AA1128" s="390"/>
      <c r="AB1128" s="390"/>
      <c r="AC1128" s="390"/>
      <c r="AD1128" s="390"/>
      <c r="AE1128" s="390"/>
      <c r="AF1128" s="390"/>
      <c r="AG1128" s="390"/>
      <c r="AH1128" s="390"/>
      <c r="AI1128" s="390"/>
      <c r="AJ1128" s="390"/>
      <c r="AK1128" s="390"/>
      <c r="AL1128" s="390"/>
      <c r="AM1128" s="390"/>
      <c r="AN1128" s="390"/>
      <c r="AO1128" s="390"/>
      <c r="AP1128" s="390"/>
      <c r="AQ1128" s="390"/>
      <c r="AR1128" s="390"/>
      <c r="AS1128" s="390"/>
    </row>
    <row r="1129" spans="1:45" hidden="1" x14ac:dyDescent="0.3">
      <c r="B1129" s="65" t="s">
        <v>78</v>
      </c>
      <c r="C1129" s="66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35"/>
      <c r="Y1129" s="390"/>
      <c r="Z1129" s="390"/>
      <c r="AA1129" s="390"/>
      <c r="AB1129" s="390"/>
      <c r="AC1129" s="390"/>
      <c r="AD1129" s="390"/>
      <c r="AE1129" s="390"/>
      <c r="AF1129" s="390"/>
      <c r="AG1129" s="390"/>
      <c r="AH1129" s="390"/>
      <c r="AI1129" s="390"/>
      <c r="AJ1129" s="390"/>
      <c r="AK1129" s="390"/>
      <c r="AL1129" s="390"/>
      <c r="AM1129" s="390"/>
      <c r="AN1129" s="390"/>
      <c r="AO1129" s="390"/>
      <c r="AP1129" s="390"/>
      <c r="AQ1129" s="390"/>
      <c r="AR1129" s="390"/>
      <c r="AS1129" s="390"/>
    </row>
    <row r="1130" spans="1:45" ht="21" thickBot="1" x14ac:dyDescent="0.35">
      <c r="Y1130" s="390"/>
      <c r="Z1130" s="390"/>
      <c r="AA1130" s="390"/>
      <c r="AB1130" s="390"/>
      <c r="AC1130" s="390"/>
      <c r="AD1130" s="390"/>
      <c r="AE1130" s="390"/>
      <c r="AF1130" s="390"/>
      <c r="AG1130" s="390"/>
      <c r="AH1130" s="390"/>
      <c r="AI1130" s="390"/>
      <c r="AJ1130" s="390"/>
      <c r="AK1130" s="390"/>
      <c r="AL1130" s="390"/>
      <c r="AM1130" s="390"/>
      <c r="AN1130" s="390"/>
      <c r="AO1130" s="390"/>
      <c r="AP1130" s="390"/>
      <c r="AQ1130" s="390"/>
      <c r="AR1130" s="390"/>
      <c r="AS1130" s="390"/>
    </row>
    <row r="1131" spans="1:45" ht="21" thickBot="1" x14ac:dyDescent="0.35">
      <c r="A1131" s="22" t="s">
        <v>345</v>
      </c>
      <c r="B1131" s="223" t="s">
        <v>190</v>
      </c>
      <c r="C1131" s="68"/>
      <c r="D1131" s="17" t="s">
        <v>5</v>
      </c>
      <c r="E1131" s="18" t="s">
        <v>6</v>
      </c>
      <c r="F1131" s="18" t="s">
        <v>7</v>
      </c>
      <c r="G1131" s="18" t="s">
        <v>8</v>
      </c>
      <c r="H1131" s="18" t="s">
        <v>9</v>
      </c>
      <c r="I1131" s="18" t="s">
        <v>10</v>
      </c>
      <c r="J1131" s="18" t="s">
        <v>11</v>
      </c>
      <c r="K1131" s="18" t="s">
        <v>12</v>
      </c>
      <c r="L1131" s="18" t="s">
        <v>13</v>
      </c>
      <c r="M1131" s="18" t="s">
        <v>14</v>
      </c>
      <c r="N1131" s="18" t="s">
        <v>15</v>
      </c>
      <c r="O1131" s="18" t="s">
        <v>16</v>
      </c>
      <c r="P1131" s="18" t="s">
        <v>17</v>
      </c>
      <c r="Q1131" s="18" t="s">
        <v>18</v>
      </c>
      <c r="R1131" s="18" t="s">
        <v>19</v>
      </c>
      <c r="S1131" s="18" t="s">
        <v>20</v>
      </c>
      <c r="T1131" s="18" t="s">
        <v>21</v>
      </c>
      <c r="U1131" s="18" t="s">
        <v>22</v>
      </c>
      <c r="V1131" s="18" t="s">
        <v>23</v>
      </c>
      <c r="W1131" s="18" t="s">
        <v>166</v>
      </c>
      <c r="Y1131" s="390"/>
      <c r="Z1131" s="390"/>
      <c r="AA1131" s="390"/>
      <c r="AB1131" s="390"/>
      <c r="AC1131" s="390"/>
      <c r="AD1131" s="390"/>
      <c r="AE1131" s="390"/>
      <c r="AF1131" s="390"/>
      <c r="AG1131" s="390"/>
      <c r="AH1131" s="390"/>
      <c r="AI1131" s="390"/>
      <c r="AJ1131" s="390"/>
      <c r="AK1131" s="390"/>
      <c r="AL1131" s="390"/>
      <c r="AM1131" s="390"/>
      <c r="AN1131" s="390"/>
      <c r="AO1131" s="390"/>
      <c r="AP1131" s="390"/>
      <c r="AQ1131" s="390"/>
      <c r="AR1131" s="390"/>
      <c r="AS1131" s="390"/>
    </row>
    <row r="1132" spans="1:45" x14ac:dyDescent="0.3">
      <c r="B1132" s="222" t="s">
        <v>50</v>
      </c>
      <c r="C1132" s="70"/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Y1132" s="390"/>
      <c r="Z1132" s="390"/>
      <c r="AA1132" s="390"/>
      <c r="AB1132" s="390"/>
      <c r="AC1132" s="390"/>
      <c r="AD1132" s="390"/>
      <c r="AE1132" s="390"/>
      <c r="AF1132" s="390"/>
      <c r="AG1132" s="390"/>
      <c r="AH1132" s="390"/>
      <c r="AI1132" s="390"/>
      <c r="AJ1132" s="390"/>
      <c r="AK1132" s="390"/>
      <c r="AL1132" s="390"/>
      <c r="AM1132" s="390"/>
      <c r="AN1132" s="390"/>
      <c r="AO1132" s="390"/>
      <c r="AP1132" s="390"/>
      <c r="AQ1132" s="390"/>
      <c r="AR1132" s="390"/>
      <c r="AS1132" s="390"/>
    </row>
    <row r="1133" spans="1:45" x14ac:dyDescent="0.3">
      <c r="B1133" s="54" t="s">
        <v>51</v>
      </c>
      <c r="C1133" s="55"/>
      <c r="D1133" s="322"/>
      <c r="E1133" s="322"/>
      <c r="F1133" s="322"/>
      <c r="G1133" s="322"/>
      <c r="H1133" s="322"/>
      <c r="I1133" s="322"/>
      <c r="J1133" s="322"/>
      <c r="K1133" s="322"/>
      <c r="L1133" s="322"/>
      <c r="M1133" s="322"/>
      <c r="N1133" s="322"/>
      <c r="O1133" s="322"/>
      <c r="P1133" s="322"/>
      <c r="Q1133" s="322"/>
      <c r="R1133" s="322"/>
      <c r="S1133" s="322"/>
      <c r="T1133" s="218"/>
      <c r="U1133" s="218"/>
      <c r="V1133" s="218"/>
      <c r="W1133" s="322"/>
      <c r="Y1133" s="390"/>
      <c r="Z1133" s="390"/>
      <c r="AA1133" s="390"/>
      <c r="AB1133" s="390"/>
      <c r="AC1133" s="390"/>
      <c r="AD1133" s="390"/>
      <c r="AE1133" s="390"/>
      <c r="AF1133" s="390"/>
      <c r="AG1133" s="390"/>
      <c r="AH1133" s="390"/>
      <c r="AI1133" s="390"/>
      <c r="AJ1133" s="390"/>
      <c r="AK1133" s="390"/>
      <c r="AL1133" s="390"/>
      <c r="AM1133" s="390"/>
      <c r="AN1133" s="390"/>
      <c r="AO1133" s="390"/>
      <c r="AP1133" s="390"/>
      <c r="AQ1133" s="390"/>
      <c r="AR1133" s="390"/>
      <c r="AS1133" s="390"/>
    </row>
    <row r="1134" spans="1:45" x14ac:dyDescent="0.3">
      <c r="B1134" s="54" t="s">
        <v>56</v>
      </c>
      <c r="C1134" s="55"/>
      <c r="D1134" s="21"/>
      <c r="E1134" s="21"/>
      <c r="F1134" s="21"/>
      <c r="G1134" s="21"/>
      <c r="H1134" s="21"/>
      <c r="I1134" s="21"/>
      <c r="J1134" s="21"/>
      <c r="K1134" s="21"/>
      <c r="L1134" s="21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Y1134" s="390"/>
      <c r="Z1134" s="390"/>
      <c r="AA1134" s="390"/>
      <c r="AB1134" s="390"/>
      <c r="AC1134" s="390"/>
      <c r="AD1134" s="390"/>
      <c r="AE1134" s="390"/>
      <c r="AF1134" s="390"/>
      <c r="AG1134" s="390"/>
      <c r="AH1134" s="390"/>
      <c r="AI1134" s="390"/>
      <c r="AJ1134" s="390"/>
      <c r="AK1134" s="390"/>
      <c r="AL1134" s="390"/>
      <c r="AM1134" s="390"/>
      <c r="AN1134" s="390"/>
      <c r="AO1134" s="390"/>
      <c r="AP1134" s="390"/>
      <c r="AQ1134" s="390"/>
      <c r="AR1134" s="390"/>
      <c r="AS1134" s="390"/>
    </row>
    <row r="1135" spans="1:45" x14ac:dyDescent="0.3">
      <c r="B1135" s="177" t="s">
        <v>67</v>
      </c>
      <c r="C1135" s="178"/>
      <c r="D1135" s="323">
        <v>42</v>
      </c>
      <c r="E1135" s="323">
        <v>42</v>
      </c>
      <c r="F1135" s="323">
        <v>42</v>
      </c>
      <c r="G1135" s="323">
        <v>42</v>
      </c>
      <c r="H1135" s="323">
        <v>42</v>
      </c>
      <c r="I1135" s="323">
        <v>42</v>
      </c>
      <c r="J1135" s="323">
        <v>42</v>
      </c>
      <c r="K1135" s="323">
        <v>42</v>
      </c>
      <c r="L1135" s="323">
        <v>42</v>
      </c>
      <c r="M1135" s="323">
        <v>42</v>
      </c>
      <c r="N1135" s="323">
        <v>42</v>
      </c>
      <c r="O1135" s="323">
        <v>42</v>
      </c>
      <c r="P1135" s="323">
        <v>42</v>
      </c>
      <c r="Q1135" s="323">
        <v>42</v>
      </c>
      <c r="R1135" s="323">
        <v>42</v>
      </c>
      <c r="S1135" s="323">
        <v>42</v>
      </c>
      <c r="T1135" s="323"/>
      <c r="U1135" s="323"/>
      <c r="V1135" s="323"/>
      <c r="W1135" s="323">
        <f>S1135</f>
        <v>42</v>
      </c>
      <c r="Y1135" s="390"/>
      <c r="Z1135" s="390"/>
      <c r="AA1135" s="390"/>
      <c r="AB1135" s="390"/>
      <c r="AC1135" s="390"/>
      <c r="AD1135" s="390"/>
      <c r="AE1135" s="390"/>
      <c r="AF1135" s="390"/>
      <c r="AG1135" s="390"/>
      <c r="AH1135" s="390"/>
      <c r="AI1135" s="390"/>
      <c r="AJ1135" s="390"/>
      <c r="AK1135" s="390"/>
      <c r="AL1135" s="390"/>
      <c r="AM1135" s="390"/>
      <c r="AN1135" s="390"/>
      <c r="AO1135" s="390"/>
      <c r="AP1135" s="390"/>
      <c r="AQ1135" s="390"/>
      <c r="AR1135" s="390"/>
      <c r="AS1135" s="390"/>
    </row>
    <row r="1136" spans="1:45" x14ac:dyDescent="0.3">
      <c r="B1136" s="54" t="s">
        <v>66</v>
      </c>
      <c r="C1136" s="56">
        <v>7.0000000000000007E-2</v>
      </c>
      <c r="D1136" s="24">
        <f>D1135*$C1136</f>
        <v>2.9400000000000004</v>
      </c>
      <c r="E1136" s="24">
        <f t="shared" ref="E1136:V1136" si="879">E1135*$C1136</f>
        <v>2.9400000000000004</v>
      </c>
      <c r="F1136" s="24">
        <f t="shared" si="879"/>
        <v>2.9400000000000004</v>
      </c>
      <c r="G1136" s="24">
        <f t="shared" si="879"/>
        <v>2.9400000000000004</v>
      </c>
      <c r="H1136" s="24">
        <f t="shared" si="879"/>
        <v>2.9400000000000004</v>
      </c>
      <c r="I1136" s="24">
        <f t="shared" si="879"/>
        <v>2.9400000000000004</v>
      </c>
      <c r="J1136" s="24">
        <f t="shared" si="879"/>
        <v>2.9400000000000004</v>
      </c>
      <c r="K1136" s="24">
        <f t="shared" si="879"/>
        <v>2.9400000000000004</v>
      </c>
      <c r="L1136" s="24">
        <f t="shared" si="879"/>
        <v>2.9400000000000004</v>
      </c>
      <c r="M1136" s="24">
        <f t="shared" si="879"/>
        <v>2.9400000000000004</v>
      </c>
      <c r="N1136" s="24">
        <f t="shared" si="879"/>
        <v>2.9400000000000004</v>
      </c>
      <c r="O1136" s="24">
        <f t="shared" si="879"/>
        <v>2.9400000000000004</v>
      </c>
      <c r="P1136" s="24">
        <f t="shared" si="879"/>
        <v>2.9400000000000004</v>
      </c>
      <c r="Q1136" s="24">
        <f t="shared" si="879"/>
        <v>2.9400000000000004</v>
      </c>
      <c r="R1136" s="24">
        <f t="shared" si="879"/>
        <v>2.9400000000000004</v>
      </c>
      <c r="S1136" s="24">
        <f t="shared" si="879"/>
        <v>2.9400000000000004</v>
      </c>
      <c r="T1136" s="24">
        <f t="shared" si="879"/>
        <v>0</v>
      </c>
      <c r="U1136" s="24">
        <f t="shared" si="879"/>
        <v>0</v>
      </c>
      <c r="V1136" s="24">
        <f t="shared" si="879"/>
        <v>0</v>
      </c>
      <c r="W1136" s="24">
        <f>W1135*$C1136</f>
        <v>2.9400000000000004</v>
      </c>
      <c r="Y1136" s="390"/>
      <c r="Z1136" s="390"/>
      <c r="AA1136" s="390"/>
      <c r="AB1136" s="390"/>
      <c r="AC1136" s="390"/>
      <c r="AD1136" s="390"/>
      <c r="AE1136" s="390"/>
      <c r="AF1136" s="390"/>
      <c r="AG1136" s="390"/>
      <c r="AH1136" s="390"/>
      <c r="AI1136" s="390"/>
      <c r="AJ1136" s="390"/>
      <c r="AK1136" s="390"/>
      <c r="AL1136" s="390"/>
      <c r="AM1136" s="390"/>
      <c r="AN1136" s="390"/>
      <c r="AO1136" s="390"/>
      <c r="AP1136" s="390"/>
      <c r="AQ1136" s="390"/>
      <c r="AR1136" s="390"/>
      <c r="AS1136" s="390"/>
    </row>
    <row r="1137" spans="2:45" x14ac:dyDescent="0.3">
      <c r="B1137" s="54" t="s">
        <v>68</v>
      </c>
      <c r="C1137" s="55"/>
      <c r="D1137" s="21">
        <f>D1135+D1136</f>
        <v>44.94</v>
      </c>
      <c r="E1137" s="21">
        <f t="shared" ref="E1137:V1137" si="880">E1135+E1136</f>
        <v>44.94</v>
      </c>
      <c r="F1137" s="21">
        <f t="shared" si="880"/>
        <v>44.94</v>
      </c>
      <c r="G1137" s="21">
        <f t="shared" si="880"/>
        <v>44.94</v>
      </c>
      <c r="H1137" s="21">
        <f t="shared" si="880"/>
        <v>44.94</v>
      </c>
      <c r="I1137" s="21">
        <f t="shared" si="880"/>
        <v>44.94</v>
      </c>
      <c r="J1137" s="21">
        <f t="shared" si="880"/>
        <v>44.94</v>
      </c>
      <c r="K1137" s="21">
        <f t="shared" si="880"/>
        <v>44.94</v>
      </c>
      <c r="L1137" s="21">
        <f t="shared" si="880"/>
        <v>44.94</v>
      </c>
      <c r="M1137" s="21">
        <f t="shared" si="880"/>
        <v>44.94</v>
      </c>
      <c r="N1137" s="21">
        <f t="shared" si="880"/>
        <v>44.94</v>
      </c>
      <c r="O1137" s="21">
        <f t="shared" si="880"/>
        <v>44.94</v>
      </c>
      <c r="P1137" s="21">
        <f t="shared" si="880"/>
        <v>44.94</v>
      </c>
      <c r="Q1137" s="21">
        <f t="shared" si="880"/>
        <v>44.94</v>
      </c>
      <c r="R1137" s="21">
        <f t="shared" si="880"/>
        <v>44.94</v>
      </c>
      <c r="S1137" s="21">
        <f t="shared" si="880"/>
        <v>44.94</v>
      </c>
      <c r="T1137" s="21">
        <f t="shared" si="880"/>
        <v>0</v>
      </c>
      <c r="U1137" s="21">
        <f t="shared" si="880"/>
        <v>0</v>
      </c>
      <c r="V1137" s="21">
        <f t="shared" si="880"/>
        <v>0</v>
      </c>
      <c r="W1137" s="21">
        <f>W1135+W1136</f>
        <v>44.94</v>
      </c>
      <c r="Y1137" s="390"/>
      <c r="Z1137" s="390"/>
      <c r="AA1137" s="390"/>
      <c r="AB1137" s="390"/>
      <c r="AC1137" s="390"/>
      <c r="AD1137" s="390"/>
      <c r="AE1137" s="390"/>
      <c r="AF1137" s="390"/>
      <c r="AG1137" s="390"/>
      <c r="AH1137" s="390"/>
      <c r="AI1137" s="390"/>
      <c r="AJ1137" s="390"/>
      <c r="AK1137" s="390"/>
      <c r="AL1137" s="390"/>
      <c r="AM1137" s="390"/>
      <c r="AN1137" s="390"/>
      <c r="AO1137" s="390"/>
      <c r="AP1137" s="390"/>
      <c r="AQ1137" s="390"/>
      <c r="AR1137" s="390"/>
      <c r="AS1137" s="390"/>
    </row>
    <row r="1138" spans="2:45" x14ac:dyDescent="0.3">
      <c r="B1138" s="54" t="s">
        <v>52</v>
      </c>
      <c r="C1138" s="55"/>
      <c r="D1138" s="20">
        <v>0.80129032258064525</v>
      </c>
      <c r="E1138" s="21">
        <v>1.9161290322580644</v>
      </c>
      <c r="F1138" s="21">
        <v>2.5258064516129033</v>
      </c>
      <c r="G1138" s="21">
        <v>1.3935483870967742</v>
      </c>
      <c r="H1138" s="21">
        <v>0.98709677419354835</v>
      </c>
      <c r="I1138" s="21">
        <v>1.3645161290322581</v>
      </c>
      <c r="J1138" s="21">
        <v>2.0032258064516126</v>
      </c>
      <c r="K1138" s="21">
        <v>1.6838709677419355</v>
      </c>
      <c r="L1138" s="21">
        <v>1.8</v>
      </c>
      <c r="M1138" s="21">
        <v>0.82451612903225813</v>
      </c>
      <c r="N1138" s="21">
        <v>1.0103225806451612</v>
      </c>
      <c r="O1138" s="21">
        <v>1.3935483870967742</v>
      </c>
      <c r="P1138" s="21">
        <v>0.58064516129032262</v>
      </c>
      <c r="Q1138" s="21">
        <v>0.58064516129032262</v>
      </c>
      <c r="R1138" s="21">
        <v>1.1612903225806452</v>
      </c>
      <c r="S1138" s="21">
        <v>0.99870967741935479</v>
      </c>
      <c r="T1138" s="21">
        <v>6.7</v>
      </c>
      <c r="U1138" s="21">
        <v>11.2</v>
      </c>
      <c r="V1138" s="21">
        <v>6.7</v>
      </c>
      <c r="W1138" s="21">
        <v>0.58064516129032262</v>
      </c>
      <c r="Y1138" s="390"/>
      <c r="Z1138" s="390"/>
      <c r="AA1138" s="390"/>
      <c r="AB1138" s="390"/>
      <c r="AC1138" s="390"/>
      <c r="AD1138" s="390"/>
      <c r="AE1138" s="390"/>
      <c r="AF1138" s="390"/>
      <c r="AG1138" s="390"/>
      <c r="AH1138" s="390"/>
      <c r="AI1138" s="390"/>
      <c r="AJ1138" s="390"/>
      <c r="AK1138" s="390"/>
      <c r="AL1138" s="390"/>
      <c r="AM1138" s="390"/>
      <c r="AN1138" s="390"/>
      <c r="AO1138" s="390"/>
      <c r="AP1138" s="390"/>
      <c r="AQ1138" s="390"/>
      <c r="AR1138" s="390"/>
      <c r="AS1138" s="390"/>
    </row>
    <row r="1139" spans="2:45" x14ac:dyDescent="0.3">
      <c r="B1139" s="57" t="s">
        <v>53</v>
      </c>
      <c r="C1139" s="58"/>
      <c r="D1139" s="25">
        <f>SUM(D1137:D1138)</f>
        <v>45.741290322580646</v>
      </c>
      <c r="E1139" s="26">
        <f t="shared" ref="E1139:V1139" si="881">SUM(E1137:E1138)</f>
        <v>46.85612903225806</v>
      </c>
      <c r="F1139" s="26">
        <f t="shared" si="881"/>
        <v>47.465806451612899</v>
      </c>
      <c r="G1139" s="26">
        <f t="shared" si="881"/>
        <v>46.333548387096769</v>
      </c>
      <c r="H1139" s="26">
        <f t="shared" si="881"/>
        <v>45.927096774193544</v>
      </c>
      <c r="I1139" s="26">
        <f t="shared" si="881"/>
        <v>46.304516129032258</v>
      </c>
      <c r="J1139" s="26">
        <f t="shared" si="881"/>
        <v>46.943225806451608</v>
      </c>
      <c r="K1139" s="26">
        <f t="shared" si="881"/>
        <v>46.623870967741937</v>
      </c>
      <c r="L1139" s="26">
        <f t="shared" si="881"/>
        <v>46.739999999999995</v>
      </c>
      <c r="M1139" s="26">
        <f t="shared" si="881"/>
        <v>45.764516129032259</v>
      </c>
      <c r="N1139" s="26">
        <f t="shared" si="881"/>
        <v>45.950322580645157</v>
      </c>
      <c r="O1139" s="26">
        <f t="shared" si="881"/>
        <v>46.333548387096769</v>
      </c>
      <c r="P1139" s="26">
        <f t="shared" si="881"/>
        <v>45.520645161290318</v>
      </c>
      <c r="Q1139" s="26">
        <f t="shared" si="881"/>
        <v>45.520645161290318</v>
      </c>
      <c r="R1139" s="26">
        <f t="shared" si="881"/>
        <v>46.101290322580645</v>
      </c>
      <c r="S1139" s="26">
        <f t="shared" si="881"/>
        <v>45.938709677419354</v>
      </c>
      <c r="T1139" s="26">
        <f t="shared" si="881"/>
        <v>6.7</v>
      </c>
      <c r="U1139" s="26">
        <f t="shared" si="881"/>
        <v>11.2</v>
      </c>
      <c r="V1139" s="26">
        <f t="shared" si="881"/>
        <v>6.7</v>
      </c>
      <c r="W1139" s="26">
        <f>SUM(W1137:W1138)</f>
        <v>45.520645161290318</v>
      </c>
      <c r="Y1139" s="390"/>
      <c r="Z1139" s="390"/>
      <c r="AA1139" s="390"/>
      <c r="AB1139" s="390"/>
      <c r="AC1139" s="390"/>
      <c r="AD1139" s="390"/>
      <c r="AE1139" s="390"/>
      <c r="AF1139" s="390"/>
      <c r="AG1139" s="390"/>
      <c r="AH1139" s="390"/>
      <c r="AI1139" s="390"/>
      <c r="AJ1139" s="390"/>
      <c r="AK1139" s="390"/>
      <c r="AL1139" s="390"/>
      <c r="AM1139" s="390"/>
      <c r="AN1139" s="390"/>
      <c r="AO1139" s="390"/>
      <c r="AP1139" s="390"/>
      <c r="AQ1139" s="390"/>
      <c r="AR1139" s="390"/>
      <c r="AS1139" s="390"/>
    </row>
    <row r="1140" spans="2:45" x14ac:dyDescent="0.3">
      <c r="B1140" s="54" t="s">
        <v>54</v>
      </c>
      <c r="C1140" s="55"/>
      <c r="D1140" s="20"/>
      <c r="E1140" s="21"/>
      <c r="F1140" s="21"/>
      <c r="G1140" s="21"/>
      <c r="H1140" s="21"/>
      <c r="I1140" s="21"/>
      <c r="J1140" s="21"/>
      <c r="K1140" s="21"/>
      <c r="L1140" s="21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Y1140" s="390"/>
      <c r="Z1140" s="390"/>
      <c r="AA1140" s="390"/>
      <c r="AB1140" s="390"/>
      <c r="AC1140" s="390"/>
      <c r="AD1140" s="390"/>
      <c r="AE1140" s="390"/>
      <c r="AF1140" s="390"/>
      <c r="AG1140" s="390"/>
      <c r="AH1140" s="390"/>
      <c r="AI1140" s="390"/>
      <c r="AJ1140" s="390"/>
      <c r="AK1140" s="390"/>
      <c r="AL1140" s="390"/>
      <c r="AM1140" s="390"/>
      <c r="AN1140" s="390"/>
      <c r="AO1140" s="390"/>
      <c r="AP1140" s="390"/>
      <c r="AQ1140" s="390"/>
      <c r="AR1140" s="390"/>
      <c r="AS1140" s="390"/>
    </row>
    <row r="1141" spans="2:45" x14ac:dyDescent="0.3">
      <c r="B1141" s="59" t="s">
        <v>55</v>
      </c>
      <c r="C1141" s="60"/>
      <c r="D1141" s="27">
        <f>SUM(D1139:D1140)</f>
        <v>45.741290322580646</v>
      </c>
      <c r="E1141" s="41">
        <f t="shared" ref="E1141:V1141" si="882">SUM(E1139:E1140)</f>
        <v>46.85612903225806</v>
      </c>
      <c r="F1141" s="41">
        <f t="shared" si="882"/>
        <v>47.465806451612899</v>
      </c>
      <c r="G1141" s="41">
        <f t="shared" si="882"/>
        <v>46.333548387096769</v>
      </c>
      <c r="H1141" s="41">
        <f t="shared" si="882"/>
        <v>45.927096774193544</v>
      </c>
      <c r="I1141" s="41">
        <f t="shared" si="882"/>
        <v>46.304516129032258</v>
      </c>
      <c r="J1141" s="41">
        <f t="shared" si="882"/>
        <v>46.943225806451608</v>
      </c>
      <c r="K1141" s="41">
        <f t="shared" si="882"/>
        <v>46.623870967741937</v>
      </c>
      <c r="L1141" s="41">
        <f t="shared" si="882"/>
        <v>46.739999999999995</v>
      </c>
      <c r="M1141" s="41">
        <f t="shared" si="882"/>
        <v>45.764516129032259</v>
      </c>
      <c r="N1141" s="41">
        <f t="shared" si="882"/>
        <v>45.950322580645157</v>
      </c>
      <c r="O1141" s="41">
        <f t="shared" si="882"/>
        <v>46.333548387096769</v>
      </c>
      <c r="P1141" s="41">
        <f t="shared" si="882"/>
        <v>45.520645161290318</v>
      </c>
      <c r="Q1141" s="41">
        <f t="shared" si="882"/>
        <v>45.520645161290318</v>
      </c>
      <c r="R1141" s="41">
        <f t="shared" si="882"/>
        <v>46.101290322580645</v>
      </c>
      <c r="S1141" s="41">
        <f t="shared" si="882"/>
        <v>45.938709677419354</v>
      </c>
      <c r="T1141" s="41">
        <f t="shared" si="882"/>
        <v>6.7</v>
      </c>
      <c r="U1141" s="41">
        <f t="shared" si="882"/>
        <v>11.2</v>
      </c>
      <c r="V1141" s="41">
        <f t="shared" si="882"/>
        <v>6.7</v>
      </c>
      <c r="W1141" s="41">
        <f>SUM(W1139:W1140)</f>
        <v>45.520645161290318</v>
      </c>
      <c r="Y1141" s="390"/>
      <c r="Z1141" s="390"/>
      <c r="AA1141" s="390"/>
      <c r="AB1141" s="390"/>
      <c r="AC1141" s="390"/>
      <c r="AD1141" s="390"/>
      <c r="AE1141" s="390"/>
      <c r="AF1141" s="390"/>
      <c r="AG1141" s="390"/>
      <c r="AH1141" s="390"/>
      <c r="AI1141" s="390"/>
      <c r="AJ1141" s="390"/>
      <c r="AK1141" s="390"/>
      <c r="AL1141" s="390"/>
      <c r="AM1141" s="390"/>
      <c r="AN1141" s="390"/>
      <c r="AO1141" s="390"/>
      <c r="AP1141" s="390"/>
      <c r="AQ1141" s="390"/>
      <c r="AR1141" s="390"/>
      <c r="AS1141" s="390"/>
    </row>
    <row r="1142" spans="2:45" x14ac:dyDescent="0.3">
      <c r="B1142" s="61" t="s">
        <v>101</v>
      </c>
      <c r="C1142" s="55"/>
      <c r="D1142" s="43">
        <v>0</v>
      </c>
      <c r="E1142" s="408">
        <v>0</v>
      </c>
      <c r="F1142" s="408">
        <v>0</v>
      </c>
      <c r="G1142" s="408">
        <v>0</v>
      </c>
      <c r="H1142" s="408">
        <v>0</v>
      </c>
      <c r="I1142" s="408">
        <v>0</v>
      </c>
      <c r="J1142" s="408">
        <v>0</v>
      </c>
      <c r="K1142" s="408">
        <v>0</v>
      </c>
      <c r="L1142" s="408">
        <v>0</v>
      </c>
      <c r="M1142" s="408">
        <v>0</v>
      </c>
      <c r="N1142" s="408">
        <v>0</v>
      </c>
      <c r="O1142" s="408">
        <v>0</v>
      </c>
      <c r="P1142" s="408">
        <v>0</v>
      </c>
      <c r="Q1142" s="408">
        <v>0</v>
      </c>
      <c r="R1142" s="408">
        <v>0</v>
      </c>
      <c r="S1142" s="408">
        <v>0</v>
      </c>
      <c r="T1142" s="408">
        <v>0</v>
      </c>
      <c r="U1142" s="408">
        <v>0</v>
      </c>
      <c r="V1142" s="408">
        <v>0</v>
      </c>
      <c r="W1142" s="408">
        <v>0</v>
      </c>
      <c r="Y1142" s="409"/>
      <c r="Z1142" s="409"/>
      <c r="AA1142" s="409"/>
      <c r="AB1142" s="409"/>
      <c r="AC1142" s="409"/>
      <c r="AD1142" s="409"/>
      <c r="AE1142" s="409"/>
      <c r="AF1142" s="409"/>
      <c r="AG1142" s="409"/>
      <c r="AH1142" s="409"/>
      <c r="AI1142" s="409"/>
      <c r="AJ1142" s="409"/>
      <c r="AK1142" s="409"/>
      <c r="AL1142" s="409"/>
      <c r="AM1142" s="409"/>
      <c r="AN1142" s="409"/>
      <c r="AO1142" s="409"/>
      <c r="AP1142" s="409"/>
      <c r="AQ1142" s="409"/>
      <c r="AR1142" s="409"/>
      <c r="AS1142" s="409"/>
    </row>
    <row r="1143" spans="2:45" x14ac:dyDescent="0.3">
      <c r="B1143" s="61" t="s">
        <v>194</v>
      </c>
      <c r="C1143" s="55"/>
      <c r="D1143" s="228">
        <v>48</v>
      </c>
      <c r="E1143" s="229">
        <v>49</v>
      </c>
      <c r="F1143" s="229">
        <v>50</v>
      </c>
      <c r="G1143" s="229">
        <v>49</v>
      </c>
      <c r="H1143" s="229">
        <v>48</v>
      </c>
      <c r="I1143" s="229">
        <v>49</v>
      </c>
      <c r="J1143" s="229">
        <v>49</v>
      </c>
      <c r="K1143" s="229">
        <v>49</v>
      </c>
      <c r="L1143" s="229">
        <v>49</v>
      </c>
      <c r="M1143" s="229">
        <v>48</v>
      </c>
      <c r="N1143" s="229">
        <v>48</v>
      </c>
      <c r="O1143" s="229">
        <v>49</v>
      </c>
      <c r="P1143" s="229">
        <v>48</v>
      </c>
      <c r="Q1143" s="229">
        <v>48</v>
      </c>
      <c r="R1143" s="229">
        <v>49</v>
      </c>
      <c r="S1143" s="229">
        <v>48</v>
      </c>
      <c r="T1143" s="21">
        <v>0</v>
      </c>
      <c r="U1143" s="21">
        <v>0</v>
      </c>
      <c r="V1143" s="21">
        <v>0</v>
      </c>
      <c r="W1143" s="229">
        <v>48</v>
      </c>
      <c r="Y1143" s="390"/>
      <c r="Z1143" s="390"/>
      <c r="AA1143" s="390"/>
      <c r="AB1143" s="390"/>
      <c r="AC1143" s="390"/>
      <c r="AD1143" s="390"/>
      <c r="AE1143" s="390"/>
      <c r="AF1143" s="390"/>
      <c r="AG1143" s="390"/>
      <c r="AH1143" s="390"/>
      <c r="AI1143" s="390"/>
      <c r="AJ1143" s="390"/>
      <c r="AK1143" s="390"/>
      <c r="AL1143" s="390"/>
      <c r="AM1143" s="390"/>
      <c r="AN1143" s="390"/>
      <c r="AO1143" s="390"/>
      <c r="AP1143" s="390"/>
      <c r="AQ1143" s="390"/>
      <c r="AR1143" s="390"/>
      <c r="AS1143" s="390"/>
    </row>
    <row r="1144" spans="2:45" x14ac:dyDescent="0.3">
      <c r="B1144" s="61" t="s">
        <v>195</v>
      </c>
      <c r="C1144" s="62"/>
      <c r="D1144" s="28">
        <v>49</v>
      </c>
      <c r="E1144" s="28">
        <v>50</v>
      </c>
      <c r="F1144" s="28">
        <v>51</v>
      </c>
      <c r="G1144" s="28">
        <v>50</v>
      </c>
      <c r="H1144" s="28">
        <v>49</v>
      </c>
      <c r="I1144" s="28">
        <v>50</v>
      </c>
      <c r="J1144" s="28">
        <v>50</v>
      </c>
      <c r="K1144" s="28">
        <v>50</v>
      </c>
      <c r="L1144" s="28">
        <v>50</v>
      </c>
      <c r="M1144" s="28">
        <v>49</v>
      </c>
      <c r="N1144" s="28">
        <v>49</v>
      </c>
      <c r="O1144" s="28">
        <v>50</v>
      </c>
      <c r="P1144" s="28">
        <v>49</v>
      </c>
      <c r="Q1144" s="28">
        <v>49</v>
      </c>
      <c r="R1144" s="28">
        <v>50</v>
      </c>
      <c r="S1144" s="28">
        <v>49</v>
      </c>
      <c r="T1144" s="410">
        <v>0</v>
      </c>
      <c r="U1144" s="410">
        <v>0</v>
      </c>
      <c r="V1144" s="410">
        <v>0</v>
      </c>
      <c r="W1144" s="28">
        <v>49</v>
      </c>
      <c r="Y1144" s="390"/>
      <c r="Z1144" s="390"/>
      <c r="AA1144" s="390"/>
      <c r="AB1144" s="390"/>
      <c r="AC1144" s="390"/>
      <c r="AD1144" s="390"/>
      <c r="AE1144" s="390"/>
      <c r="AF1144" s="390"/>
      <c r="AG1144" s="390"/>
      <c r="AH1144" s="390"/>
      <c r="AI1144" s="390"/>
      <c r="AJ1144" s="390"/>
      <c r="AK1144" s="390"/>
      <c r="AL1144" s="390"/>
      <c r="AM1144" s="390"/>
      <c r="AN1144" s="390"/>
      <c r="AO1144" s="390"/>
      <c r="AP1144" s="390"/>
      <c r="AQ1144" s="390"/>
      <c r="AR1144" s="390"/>
      <c r="AS1144" s="390"/>
    </row>
    <row r="1145" spans="2:45" x14ac:dyDescent="0.3">
      <c r="B1145" s="61" t="s">
        <v>196</v>
      </c>
      <c r="C1145" s="62"/>
      <c r="D1145" s="28">
        <v>50</v>
      </c>
      <c r="E1145" s="28">
        <v>51</v>
      </c>
      <c r="F1145" s="28">
        <v>52</v>
      </c>
      <c r="G1145" s="28">
        <v>51</v>
      </c>
      <c r="H1145" s="28">
        <v>50</v>
      </c>
      <c r="I1145" s="28">
        <v>51</v>
      </c>
      <c r="J1145" s="28">
        <v>51</v>
      </c>
      <c r="K1145" s="28">
        <v>51</v>
      </c>
      <c r="L1145" s="28">
        <v>51</v>
      </c>
      <c r="M1145" s="28">
        <v>50</v>
      </c>
      <c r="N1145" s="28">
        <v>50</v>
      </c>
      <c r="O1145" s="28">
        <v>51</v>
      </c>
      <c r="P1145" s="28">
        <v>50</v>
      </c>
      <c r="Q1145" s="28">
        <v>50</v>
      </c>
      <c r="R1145" s="28">
        <v>51</v>
      </c>
      <c r="S1145" s="28">
        <v>50</v>
      </c>
      <c r="T1145" s="410">
        <v>0</v>
      </c>
      <c r="U1145" s="410">
        <v>0</v>
      </c>
      <c r="V1145" s="410">
        <v>0</v>
      </c>
      <c r="W1145" s="28">
        <v>50</v>
      </c>
      <c r="Y1145" s="390"/>
      <c r="Z1145" s="390"/>
      <c r="AA1145" s="390"/>
      <c r="AB1145" s="390"/>
      <c r="AC1145" s="390"/>
      <c r="AD1145" s="390"/>
      <c r="AE1145" s="390"/>
      <c r="AF1145" s="390"/>
      <c r="AG1145" s="390"/>
      <c r="AH1145" s="390"/>
      <c r="AI1145" s="390"/>
      <c r="AJ1145" s="390"/>
      <c r="AK1145" s="390"/>
      <c r="AL1145" s="390"/>
      <c r="AM1145" s="390"/>
      <c r="AN1145" s="390"/>
      <c r="AO1145" s="390"/>
      <c r="AP1145" s="390"/>
      <c r="AQ1145" s="390"/>
      <c r="AR1145" s="390"/>
      <c r="AS1145" s="390"/>
    </row>
    <row r="1146" spans="2:45" x14ac:dyDescent="0.3">
      <c r="B1146" s="61" t="s">
        <v>197</v>
      </c>
      <c r="C1146" s="62"/>
      <c r="D1146" s="28">
        <v>52</v>
      </c>
      <c r="E1146" s="28">
        <v>53</v>
      </c>
      <c r="F1146" s="28">
        <v>54</v>
      </c>
      <c r="G1146" s="28">
        <v>53</v>
      </c>
      <c r="H1146" s="28">
        <v>52</v>
      </c>
      <c r="I1146" s="28">
        <v>53</v>
      </c>
      <c r="J1146" s="28">
        <v>53</v>
      </c>
      <c r="K1146" s="28">
        <v>53</v>
      </c>
      <c r="L1146" s="28">
        <v>53</v>
      </c>
      <c r="M1146" s="28">
        <v>52</v>
      </c>
      <c r="N1146" s="28">
        <v>52</v>
      </c>
      <c r="O1146" s="28">
        <v>53</v>
      </c>
      <c r="P1146" s="28">
        <v>52</v>
      </c>
      <c r="Q1146" s="28">
        <v>52</v>
      </c>
      <c r="R1146" s="28">
        <v>53</v>
      </c>
      <c r="S1146" s="28">
        <v>52</v>
      </c>
      <c r="T1146" s="410">
        <v>0</v>
      </c>
      <c r="U1146" s="410">
        <v>0</v>
      </c>
      <c r="V1146" s="410">
        <v>0</v>
      </c>
      <c r="W1146" s="28">
        <v>52</v>
      </c>
      <c r="Y1146" s="390"/>
      <c r="Z1146" s="390"/>
      <c r="AA1146" s="390"/>
      <c r="AB1146" s="390"/>
      <c r="AC1146" s="390"/>
      <c r="AD1146" s="390"/>
      <c r="AE1146" s="390"/>
      <c r="AF1146" s="390"/>
      <c r="AG1146" s="390"/>
      <c r="AH1146" s="390"/>
      <c r="AI1146" s="390"/>
      <c r="AJ1146" s="390"/>
      <c r="AK1146" s="390"/>
      <c r="AL1146" s="390"/>
      <c r="AM1146" s="390"/>
      <c r="AN1146" s="390"/>
      <c r="AO1146" s="390"/>
      <c r="AP1146" s="390"/>
      <c r="AQ1146" s="390"/>
      <c r="AR1146" s="390"/>
      <c r="AS1146" s="390"/>
    </row>
    <row r="1147" spans="2:45" x14ac:dyDescent="0.3">
      <c r="B1147" s="63" t="s">
        <v>103</v>
      </c>
      <c r="C1147" s="55"/>
      <c r="D1147" s="43">
        <v>0</v>
      </c>
      <c r="E1147" s="408">
        <v>0</v>
      </c>
      <c r="F1147" s="408">
        <v>0</v>
      </c>
      <c r="G1147" s="408">
        <v>0</v>
      </c>
      <c r="H1147" s="408">
        <v>0</v>
      </c>
      <c r="I1147" s="408">
        <v>0</v>
      </c>
      <c r="J1147" s="408">
        <v>0</v>
      </c>
      <c r="K1147" s="408">
        <v>0</v>
      </c>
      <c r="L1147" s="408">
        <v>0</v>
      </c>
      <c r="M1147" s="408">
        <v>0</v>
      </c>
      <c r="N1147" s="408">
        <v>0</v>
      </c>
      <c r="O1147" s="408">
        <v>0</v>
      </c>
      <c r="P1147" s="408">
        <v>0</v>
      </c>
      <c r="Q1147" s="408">
        <v>0</v>
      </c>
      <c r="R1147" s="408">
        <v>0</v>
      </c>
      <c r="S1147" s="408">
        <v>0</v>
      </c>
      <c r="T1147" s="408">
        <v>0</v>
      </c>
      <c r="U1147" s="408">
        <v>0</v>
      </c>
      <c r="V1147" s="408">
        <v>0</v>
      </c>
      <c r="W1147" s="408">
        <v>0</v>
      </c>
      <c r="Y1147" s="409"/>
      <c r="Z1147" s="409"/>
      <c r="AA1147" s="409"/>
      <c r="AB1147" s="409"/>
      <c r="AC1147" s="409"/>
      <c r="AD1147" s="409"/>
      <c r="AE1147" s="409"/>
      <c r="AF1147" s="409"/>
      <c r="AG1147" s="409"/>
      <c r="AH1147" s="409"/>
      <c r="AI1147" s="409"/>
      <c r="AJ1147" s="409"/>
      <c r="AK1147" s="409"/>
      <c r="AL1147" s="409"/>
      <c r="AM1147" s="409"/>
      <c r="AN1147" s="409"/>
      <c r="AO1147" s="409"/>
      <c r="AP1147" s="409"/>
      <c r="AQ1147" s="409"/>
      <c r="AR1147" s="409"/>
      <c r="AS1147" s="409"/>
    </row>
    <row r="1148" spans="2:45" x14ac:dyDescent="0.3">
      <c r="B1148" s="63" t="s">
        <v>198</v>
      </c>
      <c r="C1148" s="62"/>
      <c r="D1148" s="31">
        <f t="shared" ref="D1148:S1148" si="883">+D1143-D$1141</f>
        <v>2.258709677419354</v>
      </c>
      <c r="E1148" s="31">
        <f t="shared" si="883"/>
        <v>2.1438709677419396</v>
      </c>
      <c r="F1148" s="31">
        <f t="shared" si="883"/>
        <v>2.5341935483871012</v>
      </c>
      <c r="G1148" s="31">
        <f t="shared" si="883"/>
        <v>2.6664516129032307</v>
      </c>
      <c r="H1148" s="31">
        <f t="shared" si="883"/>
        <v>2.0729032258064564</v>
      </c>
      <c r="I1148" s="31">
        <f t="shared" si="883"/>
        <v>2.6954838709677418</v>
      </c>
      <c r="J1148" s="31">
        <f t="shared" si="883"/>
        <v>2.0567741935483923</v>
      </c>
      <c r="K1148" s="31">
        <f t="shared" si="883"/>
        <v>2.3761290322580635</v>
      </c>
      <c r="L1148" s="31">
        <f t="shared" si="883"/>
        <v>2.2600000000000051</v>
      </c>
      <c r="M1148" s="31">
        <f t="shared" si="883"/>
        <v>2.2354838709677409</v>
      </c>
      <c r="N1148" s="31">
        <f t="shared" si="883"/>
        <v>2.0496774193548433</v>
      </c>
      <c r="O1148" s="31">
        <f t="shared" si="883"/>
        <v>2.6664516129032307</v>
      </c>
      <c r="P1148" s="31">
        <f t="shared" si="883"/>
        <v>2.479354838709682</v>
      </c>
      <c r="Q1148" s="31">
        <f t="shared" si="883"/>
        <v>2.479354838709682</v>
      </c>
      <c r="R1148" s="31">
        <f t="shared" si="883"/>
        <v>2.8987096774193546</v>
      </c>
      <c r="S1148" s="31">
        <f t="shared" si="883"/>
        <v>2.0612903225806463</v>
      </c>
      <c r="T1148" s="29"/>
      <c r="U1148" s="29"/>
      <c r="V1148" s="29"/>
      <c r="W1148" s="31">
        <f>+W1143-W$1141</f>
        <v>2.479354838709682</v>
      </c>
      <c r="Y1148" s="390"/>
      <c r="Z1148" s="390"/>
      <c r="AA1148" s="390"/>
      <c r="AB1148" s="390"/>
      <c r="AC1148" s="390"/>
      <c r="AD1148" s="390"/>
      <c r="AE1148" s="390"/>
      <c r="AF1148" s="390"/>
      <c r="AG1148" s="390"/>
      <c r="AH1148" s="390"/>
      <c r="AI1148" s="390"/>
      <c r="AJ1148" s="390"/>
      <c r="AK1148" s="390"/>
      <c r="AL1148" s="390"/>
      <c r="AM1148" s="390"/>
      <c r="AN1148" s="390"/>
      <c r="AO1148" s="390"/>
      <c r="AP1148" s="390"/>
      <c r="AQ1148" s="390"/>
      <c r="AR1148" s="390"/>
      <c r="AS1148" s="390"/>
    </row>
    <row r="1149" spans="2:45" x14ac:dyDescent="0.3">
      <c r="B1149" s="63" t="s">
        <v>199</v>
      </c>
      <c r="C1149" s="64"/>
      <c r="D1149" s="31">
        <f t="shared" ref="D1149:S1149" si="884">+D1144-D$1141</f>
        <v>3.258709677419354</v>
      </c>
      <c r="E1149" s="32">
        <f t="shared" si="884"/>
        <v>3.1438709677419396</v>
      </c>
      <c r="F1149" s="32">
        <f t="shared" si="884"/>
        <v>3.5341935483871012</v>
      </c>
      <c r="G1149" s="32">
        <f t="shared" si="884"/>
        <v>3.6664516129032307</v>
      </c>
      <c r="H1149" s="32">
        <f t="shared" si="884"/>
        <v>3.0729032258064564</v>
      </c>
      <c r="I1149" s="32">
        <f t="shared" si="884"/>
        <v>3.6954838709677418</v>
      </c>
      <c r="J1149" s="32">
        <f t="shared" si="884"/>
        <v>3.0567741935483923</v>
      </c>
      <c r="K1149" s="32">
        <f t="shared" si="884"/>
        <v>3.3761290322580635</v>
      </c>
      <c r="L1149" s="32">
        <f t="shared" si="884"/>
        <v>3.2600000000000051</v>
      </c>
      <c r="M1149" s="32">
        <f t="shared" si="884"/>
        <v>3.2354838709677409</v>
      </c>
      <c r="N1149" s="32">
        <f t="shared" si="884"/>
        <v>3.0496774193548433</v>
      </c>
      <c r="O1149" s="32">
        <f t="shared" si="884"/>
        <v>3.6664516129032307</v>
      </c>
      <c r="P1149" s="32">
        <f t="shared" si="884"/>
        <v>3.479354838709682</v>
      </c>
      <c r="Q1149" s="32">
        <f t="shared" si="884"/>
        <v>3.479354838709682</v>
      </c>
      <c r="R1149" s="32">
        <f t="shared" si="884"/>
        <v>3.8987096774193546</v>
      </c>
      <c r="S1149" s="32">
        <f t="shared" si="884"/>
        <v>3.0612903225806463</v>
      </c>
      <c r="T1149" s="32"/>
      <c r="U1149" s="32"/>
      <c r="V1149" s="32"/>
      <c r="W1149" s="32">
        <f>+W1144-W$1141</f>
        <v>3.479354838709682</v>
      </c>
      <c r="Y1149" s="390"/>
      <c r="Z1149" s="390"/>
      <c r="AA1149" s="390"/>
      <c r="AB1149" s="390"/>
      <c r="AC1149" s="390"/>
      <c r="AD1149" s="390"/>
      <c r="AE1149" s="390"/>
      <c r="AF1149" s="390"/>
      <c r="AG1149" s="390"/>
      <c r="AH1149" s="390"/>
      <c r="AI1149" s="390"/>
      <c r="AJ1149" s="390"/>
      <c r="AK1149" s="390"/>
      <c r="AL1149" s="390"/>
      <c r="AM1149" s="390"/>
      <c r="AN1149" s="390"/>
      <c r="AO1149" s="390"/>
      <c r="AP1149" s="390"/>
      <c r="AQ1149" s="390"/>
      <c r="AR1149" s="390"/>
      <c r="AS1149" s="390"/>
    </row>
    <row r="1150" spans="2:45" x14ac:dyDescent="0.3">
      <c r="B1150" s="63" t="s">
        <v>200</v>
      </c>
      <c r="C1150" s="64"/>
      <c r="D1150" s="31">
        <f t="shared" ref="D1150:S1150" si="885">+D1145-D$1141</f>
        <v>4.258709677419354</v>
      </c>
      <c r="E1150" s="32">
        <f t="shared" si="885"/>
        <v>4.1438709677419396</v>
      </c>
      <c r="F1150" s="32">
        <f t="shared" si="885"/>
        <v>4.5341935483871012</v>
      </c>
      <c r="G1150" s="32">
        <f t="shared" si="885"/>
        <v>4.6664516129032307</v>
      </c>
      <c r="H1150" s="32">
        <f t="shared" si="885"/>
        <v>4.0729032258064564</v>
      </c>
      <c r="I1150" s="32">
        <f t="shared" si="885"/>
        <v>4.6954838709677418</v>
      </c>
      <c r="J1150" s="32">
        <f t="shared" si="885"/>
        <v>4.0567741935483923</v>
      </c>
      <c r="K1150" s="32">
        <f t="shared" si="885"/>
        <v>4.3761290322580635</v>
      </c>
      <c r="L1150" s="32">
        <f t="shared" si="885"/>
        <v>4.2600000000000051</v>
      </c>
      <c r="M1150" s="32">
        <f t="shared" si="885"/>
        <v>4.2354838709677409</v>
      </c>
      <c r="N1150" s="32">
        <f t="shared" si="885"/>
        <v>4.0496774193548433</v>
      </c>
      <c r="O1150" s="32">
        <f t="shared" si="885"/>
        <v>4.6664516129032307</v>
      </c>
      <c r="P1150" s="32">
        <f t="shared" si="885"/>
        <v>4.479354838709682</v>
      </c>
      <c r="Q1150" s="32">
        <f t="shared" si="885"/>
        <v>4.479354838709682</v>
      </c>
      <c r="R1150" s="32">
        <f t="shared" si="885"/>
        <v>4.8987096774193546</v>
      </c>
      <c r="S1150" s="32">
        <f t="shared" si="885"/>
        <v>4.0612903225806463</v>
      </c>
      <c r="T1150" s="32"/>
      <c r="U1150" s="32"/>
      <c r="V1150" s="32"/>
      <c r="W1150" s="32">
        <f>+W1145-W$1141</f>
        <v>4.479354838709682</v>
      </c>
      <c r="Y1150" s="390"/>
      <c r="Z1150" s="390"/>
      <c r="AA1150" s="390"/>
      <c r="AB1150" s="390"/>
      <c r="AC1150" s="390"/>
      <c r="AD1150" s="390"/>
      <c r="AE1150" s="390"/>
      <c r="AF1150" s="390"/>
      <c r="AG1150" s="390"/>
      <c r="AH1150" s="390"/>
      <c r="AI1150" s="390"/>
      <c r="AJ1150" s="390"/>
      <c r="AK1150" s="390"/>
      <c r="AL1150" s="390"/>
      <c r="AM1150" s="390"/>
      <c r="AN1150" s="390"/>
      <c r="AO1150" s="390"/>
      <c r="AP1150" s="390"/>
      <c r="AQ1150" s="390"/>
      <c r="AR1150" s="390"/>
      <c r="AS1150" s="390"/>
    </row>
    <row r="1151" spans="2:45" x14ac:dyDescent="0.3">
      <c r="B1151" s="63" t="s">
        <v>201</v>
      </c>
      <c r="C1151" s="64"/>
      <c r="D1151" s="31">
        <f t="shared" ref="D1151:S1151" si="886">+D1146-D$1141</f>
        <v>6.258709677419354</v>
      </c>
      <c r="E1151" s="32">
        <f t="shared" si="886"/>
        <v>6.1438709677419396</v>
      </c>
      <c r="F1151" s="32">
        <f t="shared" si="886"/>
        <v>6.5341935483871012</v>
      </c>
      <c r="G1151" s="32">
        <f t="shared" si="886"/>
        <v>6.6664516129032307</v>
      </c>
      <c r="H1151" s="32">
        <f t="shared" si="886"/>
        <v>6.0729032258064564</v>
      </c>
      <c r="I1151" s="32">
        <f t="shared" si="886"/>
        <v>6.6954838709677418</v>
      </c>
      <c r="J1151" s="32">
        <f t="shared" si="886"/>
        <v>6.0567741935483923</v>
      </c>
      <c r="K1151" s="32">
        <f t="shared" si="886"/>
        <v>6.3761290322580635</v>
      </c>
      <c r="L1151" s="32">
        <f t="shared" si="886"/>
        <v>6.2600000000000051</v>
      </c>
      <c r="M1151" s="32">
        <f t="shared" si="886"/>
        <v>6.2354838709677409</v>
      </c>
      <c r="N1151" s="32">
        <f t="shared" si="886"/>
        <v>6.0496774193548433</v>
      </c>
      <c r="O1151" s="32">
        <f t="shared" si="886"/>
        <v>6.6664516129032307</v>
      </c>
      <c r="P1151" s="32">
        <f t="shared" si="886"/>
        <v>6.479354838709682</v>
      </c>
      <c r="Q1151" s="32">
        <f t="shared" si="886"/>
        <v>6.479354838709682</v>
      </c>
      <c r="R1151" s="32">
        <f t="shared" si="886"/>
        <v>6.8987096774193546</v>
      </c>
      <c r="S1151" s="32">
        <f t="shared" si="886"/>
        <v>6.0612903225806463</v>
      </c>
      <c r="T1151" s="32"/>
      <c r="U1151" s="32"/>
      <c r="V1151" s="32"/>
      <c r="W1151" s="32">
        <f>+W1146-W$1141</f>
        <v>6.479354838709682</v>
      </c>
      <c r="Y1151" s="390"/>
      <c r="Z1151" s="390"/>
      <c r="AA1151" s="390"/>
      <c r="AB1151" s="390"/>
      <c r="AC1151" s="390"/>
      <c r="AD1151" s="390"/>
      <c r="AE1151" s="390"/>
      <c r="AF1151" s="390"/>
      <c r="AG1151" s="390"/>
      <c r="AH1151" s="390"/>
      <c r="AI1151" s="390"/>
      <c r="AJ1151" s="390"/>
      <c r="AK1151" s="390"/>
      <c r="AL1151" s="390"/>
      <c r="AM1151" s="390"/>
      <c r="AN1151" s="390"/>
      <c r="AO1151" s="390"/>
      <c r="AP1151" s="390"/>
      <c r="AQ1151" s="390"/>
      <c r="AR1151" s="390"/>
      <c r="AS1151" s="390"/>
    </row>
    <row r="1152" spans="2:45" x14ac:dyDescent="0.3">
      <c r="B1152" s="65" t="s">
        <v>108</v>
      </c>
      <c r="C1152" s="55"/>
      <c r="D1152" s="43">
        <v>0</v>
      </c>
      <c r="E1152" s="408">
        <v>0</v>
      </c>
      <c r="F1152" s="408">
        <v>0</v>
      </c>
      <c r="G1152" s="408">
        <v>0</v>
      </c>
      <c r="H1152" s="408">
        <v>0</v>
      </c>
      <c r="I1152" s="408">
        <v>0</v>
      </c>
      <c r="J1152" s="408">
        <v>0</v>
      </c>
      <c r="K1152" s="408">
        <v>0</v>
      </c>
      <c r="L1152" s="408">
        <v>0</v>
      </c>
      <c r="M1152" s="408">
        <v>0</v>
      </c>
      <c r="N1152" s="408">
        <v>0</v>
      </c>
      <c r="O1152" s="408">
        <v>0</v>
      </c>
      <c r="P1152" s="408">
        <v>0</v>
      </c>
      <c r="Q1152" s="408">
        <v>0</v>
      </c>
      <c r="R1152" s="408">
        <v>0</v>
      </c>
      <c r="S1152" s="408">
        <v>0</v>
      </c>
      <c r="T1152" s="408">
        <v>0</v>
      </c>
      <c r="U1152" s="408">
        <v>0</v>
      </c>
      <c r="V1152" s="408">
        <v>0</v>
      </c>
      <c r="W1152" s="408">
        <v>0</v>
      </c>
      <c r="Y1152" s="409"/>
      <c r="Z1152" s="409"/>
      <c r="AA1152" s="409"/>
      <c r="AB1152" s="409"/>
      <c r="AC1152" s="409"/>
      <c r="AD1152" s="409"/>
      <c r="AE1152" s="409"/>
      <c r="AF1152" s="409"/>
      <c r="AG1152" s="409"/>
      <c r="AH1152" s="409"/>
      <c r="AI1152" s="409"/>
      <c r="AJ1152" s="409"/>
      <c r="AK1152" s="409"/>
      <c r="AL1152" s="409"/>
      <c r="AM1152" s="409"/>
      <c r="AN1152" s="409"/>
      <c r="AO1152" s="409"/>
      <c r="AP1152" s="409"/>
      <c r="AQ1152" s="409"/>
      <c r="AR1152" s="409"/>
      <c r="AS1152" s="409"/>
    </row>
    <row r="1153" spans="1:45" x14ac:dyDescent="0.3">
      <c r="B1153" s="65" t="s">
        <v>202</v>
      </c>
      <c r="C1153" s="64"/>
      <c r="D1153" s="99">
        <f t="shared" ref="D1153:S1153" si="887">+D1148/D$1141</f>
        <v>4.9380104091736113E-2</v>
      </c>
      <c r="E1153" s="99">
        <f t="shared" si="887"/>
        <v>4.5754333787709899E-2</v>
      </c>
      <c r="F1153" s="99">
        <f t="shared" si="887"/>
        <v>5.3389876583482945E-2</v>
      </c>
      <c r="G1153" s="99">
        <f t="shared" si="887"/>
        <v>5.7549048275478062E-2</v>
      </c>
      <c r="H1153" s="99">
        <f t="shared" si="887"/>
        <v>4.5134645370643628E-2</v>
      </c>
      <c r="I1153" s="99">
        <f t="shared" si="887"/>
        <v>5.8212116145572083E-2</v>
      </c>
      <c r="J1153" s="99">
        <f t="shared" si="887"/>
        <v>4.3814078777383914E-2</v>
      </c>
      <c r="K1153" s="99">
        <f t="shared" si="887"/>
        <v>5.0963787067402802E-2</v>
      </c>
      <c r="L1153" s="99">
        <f t="shared" si="887"/>
        <v>4.83525887890459E-2</v>
      </c>
      <c r="M1153" s="99">
        <f t="shared" si="887"/>
        <v>4.884753647705644E-2</v>
      </c>
      <c r="N1153" s="99">
        <f t="shared" si="887"/>
        <v>4.4606377153447722E-2</v>
      </c>
      <c r="O1153" s="99">
        <f t="shared" si="887"/>
        <v>5.7549048275478062E-2</v>
      </c>
      <c r="P1153" s="99">
        <f t="shared" si="887"/>
        <v>5.4466601471151087E-2</v>
      </c>
      <c r="Q1153" s="99">
        <f t="shared" si="887"/>
        <v>5.4466601471151087E-2</v>
      </c>
      <c r="R1153" s="99">
        <f t="shared" si="887"/>
        <v>6.2876974963964341E-2</v>
      </c>
      <c r="S1153" s="99">
        <f t="shared" si="887"/>
        <v>4.4870444491257662E-2</v>
      </c>
      <c r="T1153" s="372"/>
      <c r="U1153" s="372"/>
      <c r="V1153" s="372"/>
      <c r="W1153" s="99">
        <f>+W1148/W$1141</f>
        <v>5.4466601471151087E-2</v>
      </c>
      <c r="Y1153" s="390"/>
      <c r="Z1153" s="390"/>
      <c r="AA1153" s="390"/>
      <c r="AB1153" s="390"/>
      <c r="AC1153" s="390"/>
      <c r="AD1153" s="390"/>
      <c r="AE1153" s="390"/>
      <c r="AF1153" s="390"/>
      <c r="AG1153" s="390"/>
      <c r="AH1153" s="390"/>
      <c r="AI1153" s="390"/>
      <c r="AJ1153" s="390"/>
      <c r="AK1153" s="390"/>
      <c r="AL1153" s="390"/>
      <c r="AM1153" s="390"/>
      <c r="AN1153" s="390"/>
      <c r="AO1153" s="390"/>
      <c r="AP1153" s="390"/>
      <c r="AQ1153" s="390"/>
      <c r="AR1153" s="390"/>
      <c r="AS1153" s="390"/>
    </row>
    <row r="1154" spans="1:45" x14ac:dyDescent="0.3">
      <c r="B1154" s="65" t="s">
        <v>203</v>
      </c>
      <c r="C1154" s="66"/>
      <c r="D1154" s="368">
        <f t="shared" ref="D1154:S1154" si="888">+D1149/D$1141</f>
        <v>7.1242189593647282E-2</v>
      </c>
      <c r="E1154" s="368">
        <f t="shared" si="888"/>
        <v>6.7096258967050917E-2</v>
      </c>
      <c r="F1154" s="368">
        <f t="shared" si="888"/>
        <v>7.4457674115152597E-2</v>
      </c>
      <c r="G1154" s="368">
        <f t="shared" si="888"/>
        <v>7.9131681913753124E-2</v>
      </c>
      <c r="H1154" s="368">
        <f t="shared" si="888"/>
        <v>6.690828381586536E-2</v>
      </c>
      <c r="I1154" s="368">
        <f t="shared" si="888"/>
        <v>7.9808281781196005E-2</v>
      </c>
      <c r="J1154" s="368">
        <f t="shared" si="888"/>
        <v>6.5116406915697866E-2</v>
      </c>
      <c r="K1154" s="368">
        <f t="shared" si="888"/>
        <v>7.2412027619798772E-2</v>
      </c>
      <c r="L1154" s="368">
        <f t="shared" si="888"/>
        <v>6.9747539580659088E-2</v>
      </c>
      <c r="M1154" s="368">
        <f t="shared" si="888"/>
        <v>7.0698526820328442E-2</v>
      </c>
      <c r="N1154" s="368">
        <f t="shared" si="888"/>
        <v>6.6369010010811219E-2</v>
      </c>
      <c r="O1154" s="368">
        <f t="shared" si="888"/>
        <v>7.9131681913753124E-2</v>
      </c>
      <c r="P1154" s="368">
        <f t="shared" si="888"/>
        <v>7.6434655668466744E-2</v>
      </c>
      <c r="Q1154" s="368">
        <f t="shared" si="888"/>
        <v>7.6434655668466744E-2</v>
      </c>
      <c r="R1154" s="368">
        <f t="shared" si="888"/>
        <v>8.4568341799963614E-2</v>
      </c>
      <c r="S1154" s="368">
        <f t="shared" si="888"/>
        <v>6.6638578751492192E-2</v>
      </c>
      <c r="T1154" s="368"/>
      <c r="U1154" s="368"/>
      <c r="V1154" s="368"/>
      <c r="W1154" s="368">
        <f>+W1149/W$1141</f>
        <v>7.6434655668466744E-2</v>
      </c>
      <c r="Y1154" s="390"/>
      <c r="Z1154" s="390"/>
      <c r="AA1154" s="390"/>
      <c r="AB1154" s="390"/>
      <c r="AC1154" s="390"/>
      <c r="AD1154" s="390"/>
      <c r="AE1154" s="390"/>
      <c r="AF1154" s="390"/>
      <c r="AG1154" s="390"/>
      <c r="AH1154" s="390"/>
      <c r="AI1154" s="390"/>
      <c r="AJ1154" s="390"/>
      <c r="AK1154" s="390"/>
      <c r="AL1154" s="390"/>
      <c r="AM1154" s="390"/>
      <c r="AN1154" s="390"/>
      <c r="AO1154" s="390"/>
      <c r="AP1154" s="390"/>
      <c r="AQ1154" s="390"/>
      <c r="AR1154" s="390"/>
      <c r="AS1154" s="390"/>
    </row>
    <row r="1155" spans="1:45" x14ac:dyDescent="0.3">
      <c r="B1155" s="65" t="s">
        <v>204</v>
      </c>
      <c r="C1155" s="66"/>
      <c r="D1155" s="368">
        <f t="shared" ref="D1155:S1155" si="889">+D1150/D$1141</f>
        <v>9.310427509555845E-2</v>
      </c>
      <c r="E1155" s="368">
        <f t="shared" si="889"/>
        <v>8.8438184146391929E-2</v>
      </c>
      <c r="F1155" s="368">
        <f t="shared" si="889"/>
        <v>9.5525471646822263E-2</v>
      </c>
      <c r="G1155" s="368">
        <f t="shared" si="889"/>
        <v>0.10071431555202819</v>
      </c>
      <c r="H1155" s="368">
        <f t="shared" si="889"/>
        <v>8.8681922261087107E-2</v>
      </c>
      <c r="I1155" s="368">
        <f t="shared" si="889"/>
        <v>0.10140444741681992</v>
      </c>
      <c r="J1155" s="368">
        <f t="shared" si="889"/>
        <v>8.6418735054011833E-2</v>
      </c>
      <c r="K1155" s="368">
        <f t="shared" si="889"/>
        <v>9.3860268172194755E-2</v>
      </c>
      <c r="L1155" s="368">
        <f t="shared" si="889"/>
        <v>9.1142490372272261E-2</v>
      </c>
      <c r="M1155" s="368">
        <f t="shared" si="889"/>
        <v>9.254951716360045E-2</v>
      </c>
      <c r="N1155" s="368">
        <f t="shared" si="889"/>
        <v>8.8131642868174709E-2</v>
      </c>
      <c r="O1155" s="368">
        <f t="shared" si="889"/>
        <v>0.10071431555202819</v>
      </c>
      <c r="P1155" s="368">
        <f t="shared" si="889"/>
        <v>9.8402709865782381E-2</v>
      </c>
      <c r="Q1155" s="368">
        <f t="shared" si="889"/>
        <v>9.8402709865782381E-2</v>
      </c>
      <c r="R1155" s="368">
        <f t="shared" si="889"/>
        <v>0.10625970863596287</v>
      </c>
      <c r="S1155" s="368">
        <f t="shared" si="889"/>
        <v>8.8406713011726729E-2</v>
      </c>
      <c r="T1155" s="368"/>
      <c r="U1155" s="368"/>
      <c r="V1155" s="368"/>
      <c r="W1155" s="368">
        <f>+W1150/W$1141</f>
        <v>9.8402709865782381E-2</v>
      </c>
      <c r="Y1155" s="390"/>
      <c r="Z1155" s="390"/>
      <c r="AA1155" s="390"/>
      <c r="AB1155" s="390"/>
      <c r="AC1155" s="390"/>
      <c r="AD1155" s="390"/>
      <c r="AE1155" s="390"/>
      <c r="AF1155" s="390"/>
      <c r="AG1155" s="390"/>
      <c r="AH1155" s="390"/>
      <c r="AI1155" s="390"/>
      <c r="AJ1155" s="390"/>
      <c r="AK1155" s="390"/>
      <c r="AL1155" s="390"/>
      <c r="AM1155" s="390"/>
      <c r="AN1155" s="390"/>
      <c r="AO1155" s="390"/>
      <c r="AP1155" s="390"/>
      <c r="AQ1155" s="390"/>
      <c r="AR1155" s="390"/>
      <c r="AS1155" s="390"/>
    </row>
    <row r="1156" spans="1:45" x14ac:dyDescent="0.3">
      <c r="B1156" s="65" t="s">
        <v>205</v>
      </c>
      <c r="C1156" s="66"/>
      <c r="D1156" s="368">
        <f t="shared" ref="D1156:S1156" si="890">+D1151/D$1141</f>
        <v>0.1368284460993808</v>
      </c>
      <c r="E1156" s="368">
        <f t="shared" si="890"/>
        <v>0.13112203450507398</v>
      </c>
      <c r="F1156" s="368">
        <f t="shared" si="890"/>
        <v>0.13766106671016157</v>
      </c>
      <c r="G1156" s="368">
        <f t="shared" si="890"/>
        <v>0.14387958282857832</v>
      </c>
      <c r="H1156" s="368">
        <f t="shared" si="890"/>
        <v>0.13222919915153059</v>
      </c>
      <c r="I1156" s="368">
        <f t="shared" si="890"/>
        <v>0.14459677868806778</v>
      </c>
      <c r="J1156" s="368">
        <f t="shared" si="890"/>
        <v>0.12902339133063975</v>
      </c>
      <c r="K1156" s="368">
        <f t="shared" si="890"/>
        <v>0.13675674927698669</v>
      </c>
      <c r="L1156" s="368">
        <f t="shared" si="890"/>
        <v>0.13393239195549864</v>
      </c>
      <c r="M1156" s="368">
        <f t="shared" si="890"/>
        <v>0.13625149785014448</v>
      </c>
      <c r="N1156" s="368">
        <f t="shared" si="890"/>
        <v>0.13165690858290172</v>
      </c>
      <c r="O1156" s="368">
        <f t="shared" si="890"/>
        <v>0.14387958282857832</v>
      </c>
      <c r="P1156" s="368">
        <f t="shared" si="890"/>
        <v>0.14233881826041367</v>
      </c>
      <c r="Q1156" s="368">
        <f t="shared" si="890"/>
        <v>0.14233881826041367</v>
      </c>
      <c r="R1156" s="368">
        <f t="shared" si="890"/>
        <v>0.14964244230796142</v>
      </c>
      <c r="S1156" s="368">
        <f t="shared" si="890"/>
        <v>0.1319429815321958</v>
      </c>
      <c r="T1156" s="368"/>
      <c r="U1156" s="368"/>
      <c r="V1156" s="368"/>
      <c r="W1156" s="368">
        <f>+W1151/W$1141</f>
        <v>0.14233881826041367</v>
      </c>
      <c r="Y1156" s="390"/>
      <c r="Z1156" s="390"/>
      <c r="AA1156" s="390"/>
      <c r="AB1156" s="390"/>
      <c r="AC1156" s="390"/>
      <c r="AD1156" s="390"/>
      <c r="AE1156" s="390"/>
      <c r="AF1156" s="390"/>
      <c r="AG1156" s="390"/>
      <c r="AH1156" s="390"/>
      <c r="AI1156" s="390"/>
      <c r="AJ1156" s="390"/>
      <c r="AK1156" s="390"/>
      <c r="AL1156" s="390"/>
      <c r="AM1156" s="390"/>
      <c r="AN1156" s="390"/>
      <c r="AO1156" s="390"/>
      <c r="AP1156" s="390"/>
      <c r="AQ1156" s="390"/>
      <c r="AR1156" s="390"/>
      <c r="AS1156" s="390"/>
    </row>
    <row r="1157" spans="1:45" hidden="1" x14ac:dyDescent="0.3">
      <c r="B1157" s="65" t="s">
        <v>78</v>
      </c>
      <c r="C1157" s="66"/>
      <c r="D1157" s="35"/>
      <c r="E1157" s="35"/>
      <c r="F1157" s="35"/>
      <c r="G1157" s="35"/>
      <c r="H1157" s="35"/>
      <c r="I1157" s="35"/>
      <c r="J1157" s="35"/>
      <c r="K1157" s="35"/>
      <c r="L1157" s="35"/>
      <c r="M1157" s="35"/>
      <c r="N1157" s="35"/>
      <c r="O1157" s="35"/>
      <c r="P1157" s="35"/>
      <c r="Q1157" s="35"/>
      <c r="R1157" s="35"/>
      <c r="S1157" s="35"/>
      <c r="T1157" s="35"/>
      <c r="U1157" s="35"/>
      <c r="V1157" s="35"/>
      <c r="W1157" s="35"/>
      <c r="Y1157" s="390"/>
      <c r="Z1157" s="390"/>
      <c r="AA1157" s="390"/>
      <c r="AB1157" s="390"/>
      <c r="AC1157" s="390"/>
      <c r="AD1157" s="390"/>
      <c r="AE1157" s="390"/>
      <c r="AF1157" s="390"/>
      <c r="AG1157" s="390"/>
      <c r="AH1157" s="390"/>
      <c r="AI1157" s="390"/>
      <c r="AJ1157" s="390"/>
      <c r="AK1157" s="390"/>
      <c r="AL1157" s="390"/>
      <c r="AM1157" s="390"/>
      <c r="AN1157" s="390"/>
      <c r="AO1157" s="390"/>
      <c r="AP1157" s="390"/>
      <c r="AQ1157" s="390"/>
      <c r="AR1157" s="390"/>
      <c r="AS1157" s="390"/>
    </row>
    <row r="1158" spans="1:45" ht="21" thickBot="1" x14ac:dyDescent="0.35">
      <c r="Y1158" s="390"/>
      <c r="Z1158" s="390"/>
      <c r="AA1158" s="390"/>
      <c r="AB1158" s="390"/>
      <c r="AC1158" s="390"/>
      <c r="AD1158" s="390"/>
      <c r="AE1158" s="390"/>
      <c r="AF1158" s="390"/>
      <c r="AG1158" s="390"/>
      <c r="AH1158" s="390"/>
      <c r="AI1158" s="390"/>
      <c r="AJ1158" s="390"/>
      <c r="AK1158" s="390"/>
      <c r="AL1158" s="390"/>
      <c r="AM1158" s="390"/>
      <c r="AN1158" s="390"/>
      <c r="AO1158" s="390"/>
      <c r="AP1158" s="390"/>
      <c r="AQ1158" s="390"/>
      <c r="AR1158" s="390"/>
      <c r="AS1158" s="390"/>
    </row>
    <row r="1159" spans="1:45" ht="21" thickBot="1" x14ac:dyDescent="0.35">
      <c r="A1159" s="15" t="s">
        <v>346</v>
      </c>
      <c r="B1159" s="223" t="s">
        <v>219</v>
      </c>
      <c r="C1159" s="68"/>
      <c r="D1159" s="17" t="s">
        <v>5</v>
      </c>
      <c r="E1159" s="18" t="s">
        <v>6</v>
      </c>
      <c r="F1159" s="18" t="s">
        <v>7</v>
      </c>
      <c r="G1159" s="18" t="s">
        <v>8</v>
      </c>
      <c r="H1159" s="18" t="s">
        <v>9</v>
      </c>
      <c r="I1159" s="18" t="s">
        <v>10</v>
      </c>
      <c r="J1159" s="18" t="s">
        <v>11</v>
      </c>
      <c r="K1159" s="18" t="s">
        <v>12</v>
      </c>
      <c r="L1159" s="18" t="s">
        <v>13</v>
      </c>
      <c r="M1159" s="18" t="s">
        <v>14</v>
      </c>
      <c r="N1159" s="18" t="s">
        <v>15</v>
      </c>
      <c r="O1159" s="18" t="s">
        <v>16</v>
      </c>
      <c r="P1159" s="18" t="s">
        <v>17</v>
      </c>
      <c r="Q1159" s="18" t="s">
        <v>18</v>
      </c>
      <c r="R1159" s="18" t="s">
        <v>19</v>
      </c>
      <c r="S1159" s="18" t="s">
        <v>20</v>
      </c>
      <c r="T1159" s="18" t="s">
        <v>21</v>
      </c>
      <c r="U1159" s="18" t="s">
        <v>22</v>
      </c>
      <c r="V1159" s="18" t="s">
        <v>23</v>
      </c>
      <c r="W1159" s="18" t="s">
        <v>166</v>
      </c>
      <c r="Y1159" s="390"/>
      <c r="Z1159" s="390"/>
      <c r="AA1159" s="390"/>
      <c r="AB1159" s="390"/>
      <c r="AC1159" s="390"/>
      <c r="AD1159" s="390"/>
      <c r="AE1159" s="390"/>
      <c r="AF1159" s="390"/>
      <c r="AG1159" s="390"/>
      <c r="AH1159" s="390"/>
      <c r="AI1159" s="390"/>
      <c r="AJ1159" s="390"/>
      <c r="AK1159" s="390"/>
      <c r="AL1159" s="390"/>
      <c r="AM1159" s="390"/>
      <c r="AN1159" s="390"/>
      <c r="AO1159" s="390"/>
      <c r="AP1159" s="390"/>
      <c r="AQ1159" s="390"/>
      <c r="AR1159" s="390"/>
      <c r="AS1159" s="390"/>
    </row>
    <row r="1160" spans="1:45" x14ac:dyDescent="0.3">
      <c r="B1160" s="222" t="s">
        <v>50</v>
      </c>
      <c r="C1160" s="70"/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Y1160" s="390"/>
      <c r="Z1160" s="390"/>
      <c r="AA1160" s="390"/>
      <c r="AB1160" s="390"/>
      <c r="AC1160" s="390"/>
      <c r="AD1160" s="390"/>
      <c r="AE1160" s="390"/>
      <c r="AF1160" s="390"/>
      <c r="AG1160" s="390"/>
      <c r="AH1160" s="390"/>
      <c r="AI1160" s="390"/>
      <c r="AJ1160" s="390"/>
      <c r="AK1160" s="390"/>
      <c r="AL1160" s="390"/>
      <c r="AM1160" s="390"/>
      <c r="AN1160" s="390"/>
      <c r="AO1160" s="390"/>
      <c r="AP1160" s="390"/>
      <c r="AQ1160" s="390"/>
      <c r="AR1160" s="390"/>
      <c r="AS1160" s="390"/>
    </row>
    <row r="1161" spans="1:45" x14ac:dyDescent="0.3">
      <c r="B1161" s="54" t="s">
        <v>51</v>
      </c>
      <c r="C1161" s="55"/>
      <c r="D1161" s="322"/>
      <c r="E1161" s="322"/>
      <c r="F1161" s="322"/>
      <c r="G1161" s="322"/>
      <c r="H1161" s="322"/>
      <c r="I1161" s="322"/>
      <c r="J1161" s="322"/>
      <c r="K1161" s="322"/>
      <c r="L1161" s="322"/>
      <c r="M1161" s="322"/>
      <c r="N1161" s="322"/>
      <c r="O1161" s="322"/>
      <c r="P1161" s="322"/>
      <c r="Q1161" s="322"/>
      <c r="R1161" s="322"/>
      <c r="S1161" s="322"/>
      <c r="T1161" s="218"/>
      <c r="U1161" s="218"/>
      <c r="V1161" s="218"/>
      <c r="W1161" s="322"/>
      <c r="Y1161" s="390"/>
      <c r="Z1161" s="390"/>
      <c r="AA1161" s="390"/>
      <c r="AB1161" s="390"/>
      <c r="AC1161" s="390"/>
      <c r="AD1161" s="390"/>
      <c r="AE1161" s="390"/>
      <c r="AF1161" s="390"/>
      <c r="AG1161" s="390"/>
      <c r="AH1161" s="390"/>
      <c r="AI1161" s="390"/>
      <c r="AJ1161" s="390"/>
      <c r="AK1161" s="390"/>
      <c r="AL1161" s="390"/>
      <c r="AM1161" s="390"/>
      <c r="AN1161" s="390"/>
      <c r="AO1161" s="390"/>
      <c r="AP1161" s="390"/>
      <c r="AQ1161" s="390"/>
      <c r="AR1161" s="390"/>
      <c r="AS1161" s="390"/>
    </row>
    <row r="1162" spans="1:45" x14ac:dyDescent="0.3">
      <c r="B1162" s="54" t="s">
        <v>56</v>
      </c>
      <c r="C1162" s="55"/>
      <c r="D1162" s="21"/>
      <c r="E1162" s="21"/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Y1162" s="390"/>
      <c r="Z1162" s="390"/>
      <c r="AA1162" s="390"/>
      <c r="AB1162" s="390"/>
      <c r="AC1162" s="390"/>
      <c r="AD1162" s="390"/>
      <c r="AE1162" s="390"/>
      <c r="AF1162" s="390"/>
      <c r="AG1162" s="390"/>
      <c r="AH1162" s="390"/>
      <c r="AI1162" s="390"/>
      <c r="AJ1162" s="390"/>
      <c r="AK1162" s="390"/>
      <c r="AL1162" s="390"/>
      <c r="AM1162" s="390"/>
      <c r="AN1162" s="390"/>
      <c r="AO1162" s="390"/>
      <c r="AP1162" s="390"/>
      <c r="AQ1162" s="390"/>
      <c r="AR1162" s="390"/>
      <c r="AS1162" s="390"/>
    </row>
    <row r="1163" spans="1:45" x14ac:dyDescent="0.3">
      <c r="B1163" s="177" t="s">
        <v>67</v>
      </c>
      <c r="C1163" s="178"/>
      <c r="D1163" s="323"/>
      <c r="E1163" s="323"/>
      <c r="F1163" s="323"/>
      <c r="G1163" s="323"/>
      <c r="H1163" s="323"/>
      <c r="I1163" s="323"/>
      <c r="J1163" s="323"/>
      <c r="K1163" s="323"/>
      <c r="L1163" s="323"/>
      <c r="M1163" s="323"/>
      <c r="N1163" s="323"/>
      <c r="O1163" s="323"/>
      <c r="P1163" s="323"/>
      <c r="Q1163" s="323"/>
      <c r="R1163" s="323"/>
      <c r="S1163" s="323"/>
      <c r="T1163" s="323"/>
      <c r="U1163" s="323"/>
      <c r="V1163" s="323"/>
      <c r="W1163" s="323"/>
      <c r="Y1163" s="390"/>
      <c r="Z1163" s="390"/>
      <c r="AA1163" s="390"/>
      <c r="AB1163" s="390"/>
      <c r="AC1163" s="390"/>
      <c r="AD1163" s="390"/>
      <c r="AE1163" s="390"/>
      <c r="AF1163" s="390"/>
      <c r="AG1163" s="390"/>
      <c r="AH1163" s="390"/>
      <c r="AI1163" s="390"/>
      <c r="AJ1163" s="390"/>
      <c r="AK1163" s="390"/>
      <c r="AL1163" s="390"/>
      <c r="AM1163" s="390"/>
      <c r="AN1163" s="390"/>
      <c r="AO1163" s="390"/>
      <c r="AP1163" s="390"/>
      <c r="AQ1163" s="390"/>
      <c r="AR1163" s="390"/>
      <c r="AS1163" s="390"/>
    </row>
    <row r="1164" spans="1:45" x14ac:dyDescent="0.3">
      <c r="B1164" s="54" t="s">
        <v>66</v>
      </c>
      <c r="C1164" s="56">
        <v>7.0000000000000007E-2</v>
      </c>
      <c r="D1164" s="24">
        <f>D1163*$C1164</f>
        <v>0</v>
      </c>
      <c r="E1164" s="24">
        <f t="shared" ref="E1164:V1164" si="891">E1163*$C1164</f>
        <v>0</v>
      </c>
      <c r="F1164" s="24">
        <f t="shared" si="891"/>
        <v>0</v>
      </c>
      <c r="G1164" s="24">
        <f t="shared" si="891"/>
        <v>0</v>
      </c>
      <c r="H1164" s="24">
        <f t="shared" si="891"/>
        <v>0</v>
      </c>
      <c r="I1164" s="24">
        <f t="shared" si="891"/>
        <v>0</v>
      </c>
      <c r="J1164" s="24">
        <f t="shared" si="891"/>
        <v>0</v>
      </c>
      <c r="K1164" s="24">
        <f t="shared" si="891"/>
        <v>0</v>
      </c>
      <c r="L1164" s="24">
        <f t="shared" si="891"/>
        <v>0</v>
      </c>
      <c r="M1164" s="24">
        <f t="shared" si="891"/>
        <v>0</v>
      </c>
      <c r="N1164" s="24">
        <f t="shared" si="891"/>
        <v>0</v>
      </c>
      <c r="O1164" s="24">
        <f t="shared" si="891"/>
        <v>0</v>
      </c>
      <c r="P1164" s="24">
        <f t="shared" si="891"/>
        <v>0</v>
      </c>
      <c r="Q1164" s="24">
        <f t="shared" si="891"/>
        <v>0</v>
      </c>
      <c r="R1164" s="24">
        <f t="shared" si="891"/>
        <v>0</v>
      </c>
      <c r="S1164" s="24">
        <f t="shared" si="891"/>
        <v>0</v>
      </c>
      <c r="T1164" s="24">
        <f t="shared" si="891"/>
        <v>0</v>
      </c>
      <c r="U1164" s="24">
        <f t="shared" si="891"/>
        <v>0</v>
      </c>
      <c r="V1164" s="24">
        <f t="shared" si="891"/>
        <v>0</v>
      </c>
      <c r="W1164" s="24">
        <f>W1163*$C1164</f>
        <v>0</v>
      </c>
      <c r="Y1164" s="390"/>
      <c r="Z1164" s="390"/>
      <c r="AA1164" s="390"/>
      <c r="AB1164" s="390"/>
      <c r="AC1164" s="390"/>
      <c r="AD1164" s="390"/>
      <c r="AE1164" s="390"/>
      <c r="AF1164" s="390"/>
      <c r="AG1164" s="390"/>
      <c r="AH1164" s="390"/>
      <c r="AI1164" s="390"/>
      <c r="AJ1164" s="390"/>
      <c r="AK1164" s="390"/>
      <c r="AL1164" s="390"/>
      <c r="AM1164" s="390"/>
      <c r="AN1164" s="390"/>
      <c r="AO1164" s="390"/>
      <c r="AP1164" s="390"/>
      <c r="AQ1164" s="390"/>
      <c r="AR1164" s="390"/>
      <c r="AS1164" s="390"/>
    </row>
    <row r="1165" spans="1:45" x14ac:dyDescent="0.3">
      <c r="B1165" s="54" t="s">
        <v>68</v>
      </c>
      <c r="C1165" s="55"/>
      <c r="D1165" s="21">
        <f>D1163+D1164</f>
        <v>0</v>
      </c>
      <c r="E1165" s="21">
        <f t="shared" ref="E1165:V1165" si="892">E1163+E1164</f>
        <v>0</v>
      </c>
      <c r="F1165" s="21">
        <f t="shared" si="892"/>
        <v>0</v>
      </c>
      <c r="G1165" s="21">
        <f t="shared" si="892"/>
        <v>0</v>
      </c>
      <c r="H1165" s="21">
        <f t="shared" si="892"/>
        <v>0</v>
      </c>
      <c r="I1165" s="21">
        <f t="shared" si="892"/>
        <v>0</v>
      </c>
      <c r="J1165" s="21">
        <f t="shared" si="892"/>
        <v>0</v>
      </c>
      <c r="K1165" s="21">
        <f t="shared" si="892"/>
        <v>0</v>
      </c>
      <c r="L1165" s="21">
        <f t="shared" si="892"/>
        <v>0</v>
      </c>
      <c r="M1165" s="21">
        <f t="shared" si="892"/>
        <v>0</v>
      </c>
      <c r="N1165" s="21">
        <f t="shared" si="892"/>
        <v>0</v>
      </c>
      <c r="O1165" s="21">
        <f t="shared" si="892"/>
        <v>0</v>
      </c>
      <c r="P1165" s="21">
        <f t="shared" si="892"/>
        <v>0</v>
      </c>
      <c r="Q1165" s="21">
        <f t="shared" si="892"/>
        <v>0</v>
      </c>
      <c r="R1165" s="21">
        <f t="shared" si="892"/>
        <v>0</v>
      </c>
      <c r="S1165" s="21">
        <f t="shared" si="892"/>
        <v>0</v>
      </c>
      <c r="T1165" s="21">
        <f t="shared" si="892"/>
        <v>0</v>
      </c>
      <c r="U1165" s="21">
        <f t="shared" si="892"/>
        <v>0</v>
      </c>
      <c r="V1165" s="21">
        <f t="shared" si="892"/>
        <v>0</v>
      </c>
      <c r="W1165" s="21">
        <f>W1163+W1164</f>
        <v>0</v>
      </c>
      <c r="Y1165" s="390" t="s">
        <v>219</v>
      </c>
      <c r="Z1165" s="390"/>
      <c r="AA1165" s="390"/>
      <c r="AB1165" s="390"/>
      <c r="AC1165" s="390"/>
      <c r="AD1165" s="390"/>
      <c r="AE1165" s="390"/>
      <c r="AF1165" s="390"/>
      <c r="AG1165" s="390"/>
      <c r="AH1165" s="390"/>
      <c r="AI1165" s="390"/>
      <c r="AJ1165" s="390"/>
      <c r="AK1165" s="390"/>
      <c r="AL1165" s="390"/>
      <c r="AM1165" s="390"/>
      <c r="AN1165" s="390"/>
      <c r="AO1165" s="390"/>
      <c r="AP1165" s="390"/>
      <c r="AQ1165" s="390"/>
      <c r="AR1165" s="390"/>
      <c r="AS1165" s="390"/>
    </row>
    <row r="1166" spans="1:45" x14ac:dyDescent="0.3">
      <c r="B1166" s="54" t="s">
        <v>52</v>
      </c>
      <c r="C1166" s="55"/>
      <c r="D1166" s="20">
        <v>0.85000000000000009</v>
      </c>
      <c r="E1166" s="21">
        <v>1.7</v>
      </c>
      <c r="F1166" s="21">
        <v>2.0500000000000003</v>
      </c>
      <c r="G1166" s="21">
        <v>1.1499999999999999</v>
      </c>
      <c r="H1166" s="21">
        <v>0.98</v>
      </c>
      <c r="I1166" s="21">
        <v>0.98</v>
      </c>
      <c r="J1166" s="21">
        <v>1.5999999999999999</v>
      </c>
      <c r="K1166" s="21">
        <v>1.45</v>
      </c>
      <c r="L1166" s="21">
        <v>1.45</v>
      </c>
      <c r="M1166" s="21">
        <v>0.7</v>
      </c>
      <c r="N1166" s="21">
        <v>0.82000000000000006</v>
      </c>
      <c r="O1166" s="21">
        <v>0.98</v>
      </c>
      <c r="P1166" s="21">
        <v>0.59000000000000008</v>
      </c>
      <c r="Q1166" s="21">
        <v>0.59000000000000008</v>
      </c>
      <c r="R1166" s="21">
        <v>0.98</v>
      </c>
      <c r="S1166" s="21">
        <v>0.85000000000000009</v>
      </c>
      <c r="T1166" s="21"/>
      <c r="U1166" s="21"/>
      <c r="V1166" s="21"/>
      <c r="W1166" s="21">
        <v>0.59000000000000008</v>
      </c>
      <c r="Y1166" s="390" t="s">
        <v>142</v>
      </c>
      <c r="Z1166" s="390">
        <v>325</v>
      </c>
      <c r="AA1166" s="390"/>
      <c r="AB1166" s="390"/>
      <c r="AC1166" s="390"/>
      <c r="AD1166" s="390"/>
      <c r="AE1166" s="390"/>
      <c r="AF1166" s="390"/>
      <c r="AG1166" s="390"/>
      <c r="AH1166" s="390"/>
      <c r="AI1166" s="390"/>
      <c r="AJ1166" s="390"/>
      <c r="AK1166" s="390"/>
      <c r="AL1166" s="390"/>
      <c r="AM1166" s="390"/>
      <c r="AN1166" s="390"/>
      <c r="AO1166" s="390"/>
      <c r="AP1166" s="390"/>
      <c r="AQ1166" s="390"/>
      <c r="AR1166" s="390"/>
      <c r="AS1166" s="390"/>
    </row>
    <row r="1167" spans="1:45" x14ac:dyDescent="0.3">
      <c r="B1167" s="57" t="s">
        <v>53</v>
      </c>
      <c r="C1167" s="58"/>
      <c r="D1167" s="25">
        <f>SUM(D1165:D1166)</f>
        <v>0.85000000000000009</v>
      </c>
      <c r="E1167" s="26">
        <f t="shared" ref="E1167:V1167" si="893">SUM(E1165:E1166)</f>
        <v>1.7</v>
      </c>
      <c r="F1167" s="26">
        <f t="shared" si="893"/>
        <v>2.0500000000000003</v>
      </c>
      <c r="G1167" s="26">
        <f t="shared" si="893"/>
        <v>1.1499999999999999</v>
      </c>
      <c r="H1167" s="26">
        <f t="shared" si="893"/>
        <v>0.98</v>
      </c>
      <c r="I1167" s="26">
        <f t="shared" si="893"/>
        <v>0.98</v>
      </c>
      <c r="J1167" s="26">
        <f t="shared" si="893"/>
        <v>1.5999999999999999</v>
      </c>
      <c r="K1167" s="26">
        <f t="shared" si="893"/>
        <v>1.45</v>
      </c>
      <c r="L1167" s="26">
        <f t="shared" si="893"/>
        <v>1.45</v>
      </c>
      <c r="M1167" s="26">
        <f t="shared" si="893"/>
        <v>0.7</v>
      </c>
      <c r="N1167" s="26">
        <f t="shared" si="893"/>
        <v>0.82000000000000006</v>
      </c>
      <c r="O1167" s="26">
        <f t="shared" si="893"/>
        <v>0.98</v>
      </c>
      <c r="P1167" s="26">
        <f t="shared" si="893"/>
        <v>0.59000000000000008</v>
      </c>
      <c r="Q1167" s="26">
        <f t="shared" si="893"/>
        <v>0.59000000000000008</v>
      </c>
      <c r="R1167" s="26">
        <f t="shared" si="893"/>
        <v>0.98</v>
      </c>
      <c r="S1167" s="26">
        <f t="shared" si="893"/>
        <v>0.85000000000000009</v>
      </c>
      <c r="T1167" s="26">
        <f t="shared" si="893"/>
        <v>0</v>
      </c>
      <c r="U1167" s="26">
        <f t="shared" si="893"/>
        <v>0</v>
      </c>
      <c r="V1167" s="26">
        <f t="shared" si="893"/>
        <v>0</v>
      </c>
      <c r="W1167" s="26">
        <f>SUM(W1165:W1166)</f>
        <v>0.59000000000000008</v>
      </c>
      <c r="Y1167" s="390" t="s">
        <v>143</v>
      </c>
      <c r="Z1167" s="390">
        <v>330</v>
      </c>
      <c r="AA1167" s="390"/>
      <c r="AB1167" s="390"/>
      <c r="AC1167" s="390"/>
      <c r="AD1167" s="390"/>
      <c r="AE1167" s="390"/>
      <c r="AF1167" s="390"/>
      <c r="AG1167" s="390"/>
      <c r="AH1167" s="390"/>
      <c r="AI1167" s="390"/>
      <c r="AJ1167" s="390"/>
      <c r="AK1167" s="390"/>
      <c r="AL1167" s="390"/>
      <c r="AM1167" s="390"/>
      <c r="AN1167" s="390"/>
      <c r="AO1167" s="390"/>
      <c r="AP1167" s="390"/>
      <c r="AQ1167" s="390"/>
      <c r="AR1167" s="390"/>
      <c r="AS1167" s="390"/>
    </row>
    <row r="1168" spans="1:45" x14ac:dyDescent="0.3">
      <c r="B1168" s="54" t="s">
        <v>54</v>
      </c>
      <c r="C1168" s="55"/>
      <c r="D1168" s="20"/>
      <c r="E1168" s="21"/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Y1168" s="390" t="s">
        <v>144</v>
      </c>
      <c r="Z1168" s="390">
        <v>335</v>
      </c>
      <c r="AA1168" s="390"/>
      <c r="AB1168" s="390"/>
      <c r="AC1168" s="390"/>
      <c r="AD1168" s="390"/>
      <c r="AE1168" s="390"/>
      <c r="AF1168" s="390"/>
      <c r="AG1168" s="390"/>
      <c r="AH1168" s="390"/>
      <c r="AI1168" s="390"/>
      <c r="AJ1168" s="390"/>
      <c r="AK1168" s="390"/>
      <c r="AL1168" s="390"/>
      <c r="AM1168" s="390"/>
      <c r="AN1168" s="390"/>
      <c r="AO1168" s="390"/>
      <c r="AP1168" s="390"/>
      <c r="AQ1168" s="390"/>
      <c r="AR1168" s="390"/>
      <c r="AS1168" s="390"/>
    </row>
    <row r="1169" spans="2:45" x14ac:dyDescent="0.3">
      <c r="B1169" s="59" t="s">
        <v>55</v>
      </c>
      <c r="C1169" s="60"/>
      <c r="D1169" s="27">
        <f>SUM(D1167:D1168)</f>
        <v>0.85000000000000009</v>
      </c>
      <c r="E1169" s="41">
        <f t="shared" ref="E1169:V1169" si="894">SUM(E1167:E1168)</f>
        <v>1.7</v>
      </c>
      <c r="F1169" s="41">
        <f t="shared" si="894"/>
        <v>2.0500000000000003</v>
      </c>
      <c r="G1169" s="41">
        <f t="shared" si="894"/>
        <v>1.1499999999999999</v>
      </c>
      <c r="H1169" s="41">
        <f t="shared" si="894"/>
        <v>0.98</v>
      </c>
      <c r="I1169" s="41">
        <f t="shared" si="894"/>
        <v>0.98</v>
      </c>
      <c r="J1169" s="41">
        <f t="shared" si="894"/>
        <v>1.5999999999999999</v>
      </c>
      <c r="K1169" s="41">
        <f t="shared" si="894"/>
        <v>1.45</v>
      </c>
      <c r="L1169" s="41">
        <f t="shared" si="894"/>
        <v>1.45</v>
      </c>
      <c r="M1169" s="41">
        <f t="shared" si="894"/>
        <v>0.7</v>
      </c>
      <c r="N1169" s="41">
        <f t="shared" si="894"/>
        <v>0.82000000000000006</v>
      </c>
      <c r="O1169" s="41">
        <f t="shared" si="894"/>
        <v>0.98</v>
      </c>
      <c r="P1169" s="41">
        <f t="shared" si="894"/>
        <v>0.59000000000000008</v>
      </c>
      <c r="Q1169" s="41">
        <f t="shared" si="894"/>
        <v>0.59000000000000008</v>
      </c>
      <c r="R1169" s="41">
        <f t="shared" si="894"/>
        <v>0.98</v>
      </c>
      <c r="S1169" s="41">
        <f t="shared" si="894"/>
        <v>0.85000000000000009</v>
      </c>
      <c r="T1169" s="41">
        <f t="shared" si="894"/>
        <v>0</v>
      </c>
      <c r="U1169" s="41">
        <f t="shared" si="894"/>
        <v>0</v>
      </c>
      <c r="V1169" s="41">
        <f t="shared" si="894"/>
        <v>0</v>
      </c>
      <c r="W1169" s="41">
        <f>SUM(W1167:W1168)</f>
        <v>0.59000000000000008</v>
      </c>
      <c r="Y1169" s="390" t="s">
        <v>145</v>
      </c>
      <c r="Z1169" s="390">
        <v>340</v>
      </c>
      <c r="AA1169" s="390"/>
      <c r="AB1169" s="390"/>
      <c r="AC1169" s="390"/>
      <c r="AD1169" s="390"/>
      <c r="AE1169" s="390"/>
      <c r="AF1169" s="390"/>
      <c r="AG1169" s="390"/>
      <c r="AH1169" s="390"/>
      <c r="AI1169" s="390"/>
      <c r="AJ1169" s="390"/>
      <c r="AK1169" s="390"/>
      <c r="AL1169" s="390"/>
      <c r="AM1169" s="390"/>
      <c r="AN1169" s="390"/>
      <c r="AO1169" s="390"/>
      <c r="AP1169" s="390"/>
      <c r="AQ1169" s="390"/>
      <c r="AR1169" s="390"/>
      <c r="AS1169" s="390"/>
    </row>
    <row r="1170" spans="2:45" x14ac:dyDescent="0.3">
      <c r="B1170" s="61" t="s">
        <v>101</v>
      </c>
      <c r="C1170" s="55"/>
      <c r="D1170" s="228">
        <v>3</v>
      </c>
      <c r="E1170" s="229">
        <v>4</v>
      </c>
      <c r="F1170" s="229">
        <v>5</v>
      </c>
      <c r="G1170" s="229">
        <v>4</v>
      </c>
      <c r="H1170" s="229">
        <v>3</v>
      </c>
      <c r="I1170" s="229">
        <v>3</v>
      </c>
      <c r="J1170" s="229">
        <v>4</v>
      </c>
      <c r="K1170" s="229">
        <v>4</v>
      </c>
      <c r="L1170" s="229">
        <v>4</v>
      </c>
      <c r="M1170" s="229">
        <v>3</v>
      </c>
      <c r="N1170" s="229">
        <v>3</v>
      </c>
      <c r="O1170" s="229">
        <v>3</v>
      </c>
      <c r="P1170" s="229">
        <v>3</v>
      </c>
      <c r="Q1170" s="229">
        <v>3</v>
      </c>
      <c r="R1170" s="229">
        <v>3</v>
      </c>
      <c r="S1170" s="229">
        <v>3</v>
      </c>
      <c r="T1170" s="21"/>
      <c r="U1170" s="21"/>
      <c r="V1170" s="21"/>
      <c r="W1170" s="229">
        <v>3</v>
      </c>
      <c r="Y1170" s="390"/>
      <c r="Z1170" s="390"/>
      <c r="AA1170" s="390"/>
      <c r="AB1170" s="390"/>
      <c r="AC1170" s="390"/>
      <c r="AD1170" s="390"/>
      <c r="AE1170" s="390"/>
      <c r="AF1170" s="390"/>
      <c r="AG1170" s="390"/>
      <c r="AH1170" s="390"/>
      <c r="AI1170" s="390"/>
      <c r="AJ1170" s="390"/>
      <c r="AK1170" s="390"/>
      <c r="AL1170" s="390"/>
      <c r="AM1170" s="390"/>
      <c r="AN1170" s="390"/>
      <c r="AO1170" s="390"/>
      <c r="AP1170" s="390"/>
      <c r="AQ1170" s="390"/>
      <c r="AR1170" s="390"/>
      <c r="AS1170" s="390"/>
    </row>
    <row r="1171" spans="2:45" x14ac:dyDescent="0.3">
      <c r="B1171" s="61" t="s">
        <v>194</v>
      </c>
      <c r="C1171" s="62"/>
      <c r="D1171" s="28">
        <v>4</v>
      </c>
      <c r="E1171" s="28">
        <v>5</v>
      </c>
      <c r="F1171" s="28">
        <v>6</v>
      </c>
      <c r="G1171" s="28">
        <v>5</v>
      </c>
      <c r="H1171" s="28">
        <v>4</v>
      </c>
      <c r="I1171" s="28">
        <v>4</v>
      </c>
      <c r="J1171" s="28">
        <v>5</v>
      </c>
      <c r="K1171" s="28">
        <v>5</v>
      </c>
      <c r="L1171" s="28">
        <v>5</v>
      </c>
      <c r="M1171" s="28">
        <v>4</v>
      </c>
      <c r="N1171" s="28">
        <v>4</v>
      </c>
      <c r="O1171" s="28">
        <v>4</v>
      </c>
      <c r="P1171" s="28">
        <v>4</v>
      </c>
      <c r="Q1171" s="28">
        <v>4</v>
      </c>
      <c r="R1171" s="28">
        <v>4</v>
      </c>
      <c r="S1171" s="28">
        <v>4</v>
      </c>
      <c r="T1171" s="29"/>
      <c r="U1171" s="29"/>
      <c r="V1171" s="29"/>
      <c r="W1171" s="28">
        <v>4</v>
      </c>
      <c r="Y1171" s="390"/>
      <c r="Z1171" s="390"/>
      <c r="AA1171" s="390"/>
      <c r="AB1171" s="390"/>
      <c r="AC1171" s="390"/>
      <c r="AD1171" s="390"/>
      <c r="AE1171" s="390"/>
      <c r="AF1171" s="390"/>
      <c r="AG1171" s="390"/>
      <c r="AH1171" s="390"/>
      <c r="AI1171" s="390"/>
      <c r="AJ1171" s="390"/>
      <c r="AK1171" s="390"/>
      <c r="AL1171" s="390"/>
      <c r="AM1171" s="390"/>
      <c r="AN1171" s="390"/>
      <c r="AO1171" s="390"/>
      <c r="AP1171" s="390"/>
      <c r="AQ1171" s="390"/>
      <c r="AR1171" s="390"/>
      <c r="AS1171" s="390"/>
    </row>
    <row r="1172" spans="2:45" x14ac:dyDescent="0.3">
      <c r="B1172" s="61" t="s">
        <v>195</v>
      </c>
      <c r="C1172" s="62"/>
      <c r="D1172" s="28">
        <v>5</v>
      </c>
      <c r="E1172" s="28">
        <v>6</v>
      </c>
      <c r="F1172" s="28">
        <v>7</v>
      </c>
      <c r="G1172" s="28">
        <v>6</v>
      </c>
      <c r="H1172" s="28">
        <v>5</v>
      </c>
      <c r="I1172" s="28">
        <v>5</v>
      </c>
      <c r="J1172" s="28">
        <v>6</v>
      </c>
      <c r="K1172" s="28">
        <v>6</v>
      </c>
      <c r="L1172" s="28">
        <v>6</v>
      </c>
      <c r="M1172" s="28">
        <v>5</v>
      </c>
      <c r="N1172" s="28">
        <v>5</v>
      </c>
      <c r="O1172" s="28">
        <v>5</v>
      </c>
      <c r="P1172" s="28">
        <v>5</v>
      </c>
      <c r="Q1172" s="28">
        <v>5</v>
      </c>
      <c r="R1172" s="28">
        <v>5</v>
      </c>
      <c r="S1172" s="28">
        <v>5</v>
      </c>
      <c r="T1172" s="29"/>
      <c r="U1172" s="29"/>
      <c r="V1172" s="29"/>
      <c r="W1172" s="28">
        <v>5</v>
      </c>
      <c r="Y1172" s="390"/>
      <c r="Z1172" s="390"/>
      <c r="AA1172" s="390"/>
      <c r="AB1172" s="390"/>
      <c r="AC1172" s="390"/>
      <c r="AD1172" s="390"/>
      <c r="AE1172" s="390"/>
      <c r="AF1172" s="390"/>
      <c r="AG1172" s="390"/>
      <c r="AH1172" s="390"/>
      <c r="AI1172" s="390"/>
      <c r="AJ1172" s="390"/>
      <c r="AK1172" s="390"/>
      <c r="AL1172" s="390"/>
      <c r="AM1172" s="390"/>
      <c r="AN1172" s="390"/>
      <c r="AO1172" s="390"/>
      <c r="AP1172" s="390"/>
      <c r="AQ1172" s="390"/>
      <c r="AR1172" s="390"/>
      <c r="AS1172" s="390"/>
    </row>
    <row r="1173" spans="2:45" x14ac:dyDescent="0.3">
      <c r="B1173" s="61" t="s">
        <v>196</v>
      </c>
      <c r="C1173" s="62"/>
      <c r="D1173" s="28">
        <v>7</v>
      </c>
      <c r="E1173" s="28">
        <v>8</v>
      </c>
      <c r="F1173" s="28">
        <v>9</v>
      </c>
      <c r="G1173" s="28">
        <v>8</v>
      </c>
      <c r="H1173" s="28">
        <v>7</v>
      </c>
      <c r="I1173" s="28">
        <v>7</v>
      </c>
      <c r="J1173" s="28">
        <v>8</v>
      </c>
      <c r="K1173" s="28">
        <v>8</v>
      </c>
      <c r="L1173" s="28">
        <v>8</v>
      </c>
      <c r="M1173" s="28">
        <v>7</v>
      </c>
      <c r="N1173" s="28">
        <v>7</v>
      </c>
      <c r="O1173" s="28">
        <v>7</v>
      </c>
      <c r="P1173" s="28">
        <v>7</v>
      </c>
      <c r="Q1173" s="28">
        <v>7</v>
      </c>
      <c r="R1173" s="28">
        <v>7</v>
      </c>
      <c r="S1173" s="28">
        <v>7</v>
      </c>
      <c r="T1173" s="29"/>
      <c r="U1173" s="29"/>
      <c r="V1173" s="29"/>
      <c r="W1173" s="28">
        <v>7</v>
      </c>
      <c r="Y1173" s="390"/>
      <c r="Z1173" s="390"/>
      <c r="AA1173" s="390"/>
      <c r="AB1173" s="390"/>
      <c r="AC1173" s="390"/>
      <c r="AD1173" s="390"/>
      <c r="AE1173" s="390"/>
      <c r="AF1173" s="390"/>
      <c r="AG1173" s="390"/>
      <c r="AH1173" s="390"/>
      <c r="AI1173" s="390"/>
      <c r="AJ1173" s="390"/>
      <c r="AK1173" s="390"/>
      <c r="AL1173" s="390"/>
      <c r="AM1173" s="390"/>
      <c r="AN1173" s="390"/>
      <c r="AO1173" s="390"/>
      <c r="AP1173" s="390"/>
      <c r="AQ1173" s="390"/>
      <c r="AR1173" s="390"/>
      <c r="AS1173" s="390"/>
    </row>
    <row r="1174" spans="2:45" x14ac:dyDescent="0.3">
      <c r="B1174" s="61" t="s">
        <v>197</v>
      </c>
      <c r="C1174" s="62"/>
      <c r="D1174" s="28">
        <v>11</v>
      </c>
      <c r="E1174" s="28">
        <v>12</v>
      </c>
      <c r="F1174" s="28">
        <v>13</v>
      </c>
      <c r="G1174" s="28">
        <v>12</v>
      </c>
      <c r="H1174" s="28">
        <v>11</v>
      </c>
      <c r="I1174" s="28">
        <v>11</v>
      </c>
      <c r="J1174" s="28">
        <v>12</v>
      </c>
      <c r="K1174" s="28">
        <v>12</v>
      </c>
      <c r="L1174" s="28">
        <v>12</v>
      </c>
      <c r="M1174" s="28">
        <v>11</v>
      </c>
      <c r="N1174" s="28">
        <v>11</v>
      </c>
      <c r="O1174" s="28">
        <v>11</v>
      </c>
      <c r="P1174" s="28">
        <v>11</v>
      </c>
      <c r="Q1174" s="28">
        <v>11</v>
      </c>
      <c r="R1174" s="28">
        <v>11</v>
      </c>
      <c r="S1174" s="28">
        <v>11</v>
      </c>
      <c r="T1174" s="29"/>
      <c r="U1174" s="29"/>
      <c r="V1174" s="29"/>
      <c r="W1174" s="28">
        <v>11</v>
      </c>
      <c r="Y1174" s="390"/>
      <c r="Z1174" s="390"/>
      <c r="AA1174" s="390"/>
      <c r="AB1174" s="390"/>
      <c r="AC1174" s="390"/>
      <c r="AD1174" s="390"/>
      <c r="AE1174" s="390"/>
      <c r="AF1174" s="390"/>
      <c r="AG1174" s="390"/>
      <c r="AH1174" s="390"/>
      <c r="AI1174" s="390"/>
      <c r="AJ1174" s="390"/>
      <c r="AK1174" s="390"/>
      <c r="AL1174" s="390"/>
      <c r="AM1174" s="390"/>
      <c r="AN1174" s="390"/>
      <c r="AO1174" s="390"/>
      <c r="AP1174" s="390"/>
      <c r="AQ1174" s="390"/>
      <c r="AR1174" s="390"/>
      <c r="AS1174" s="390"/>
    </row>
    <row r="1175" spans="2:45" x14ac:dyDescent="0.3">
      <c r="B1175" s="63" t="s">
        <v>103</v>
      </c>
      <c r="C1175" s="62"/>
      <c r="D1175" s="31">
        <f t="shared" ref="D1175:S1175" si="895">+D1170-D$833</f>
        <v>-382.62882580645157</v>
      </c>
      <c r="E1175" s="31">
        <f t="shared" si="895"/>
        <v>-394.01592258064517</v>
      </c>
      <c r="F1175" s="31">
        <f t="shared" si="895"/>
        <v>-399.79011612903224</v>
      </c>
      <c r="G1175" s="31">
        <f t="shared" si="895"/>
        <v>-388.20947096774194</v>
      </c>
      <c r="H1175" s="31">
        <f t="shared" si="895"/>
        <v>-384.69334193548383</v>
      </c>
      <c r="I1175" s="31">
        <f t="shared" si="895"/>
        <v>-388.88689032258065</v>
      </c>
      <c r="J1175" s="31">
        <f t="shared" si="895"/>
        <v>-394.98366451612901</v>
      </c>
      <c r="K1175" s="31">
        <f t="shared" si="895"/>
        <v>-391.4352774193548</v>
      </c>
      <c r="L1175" s="31">
        <f t="shared" si="895"/>
        <v>-392.72559999999999</v>
      </c>
      <c r="M1175" s="31">
        <f t="shared" si="895"/>
        <v>-382.88689032258065</v>
      </c>
      <c r="N1175" s="31">
        <f t="shared" si="895"/>
        <v>-384.95140645161291</v>
      </c>
      <c r="O1175" s="31">
        <f t="shared" si="895"/>
        <v>-389.20947096774194</v>
      </c>
      <c r="P1175" s="31">
        <f t="shared" si="895"/>
        <v>-380.17721290322578</v>
      </c>
      <c r="Q1175" s="31">
        <f t="shared" si="895"/>
        <v>-380.17721290322578</v>
      </c>
      <c r="R1175" s="31">
        <f t="shared" si="895"/>
        <v>-386.62882580645157</v>
      </c>
      <c r="S1175" s="31">
        <f t="shared" si="895"/>
        <v>-384.8223741935484</v>
      </c>
      <c r="T1175" s="29"/>
      <c r="U1175" s="29"/>
      <c r="V1175" s="29"/>
      <c r="W1175" s="31">
        <f>+W1170-W$833</f>
        <v>-380.17721290322578</v>
      </c>
      <c r="Y1175" s="390"/>
      <c r="Z1175" s="390"/>
      <c r="AA1175" s="390"/>
      <c r="AB1175" s="390"/>
      <c r="AC1175" s="390"/>
      <c r="AD1175" s="390"/>
      <c r="AE1175" s="390"/>
      <c r="AF1175" s="390"/>
      <c r="AG1175" s="390"/>
      <c r="AH1175" s="390"/>
      <c r="AI1175" s="390"/>
      <c r="AJ1175" s="390"/>
      <c r="AK1175" s="390"/>
      <c r="AL1175" s="390"/>
      <c r="AM1175" s="390"/>
      <c r="AN1175" s="390"/>
      <c r="AO1175" s="390"/>
      <c r="AP1175" s="390"/>
      <c r="AQ1175" s="390"/>
      <c r="AR1175" s="390"/>
      <c r="AS1175" s="390"/>
    </row>
    <row r="1176" spans="2:45" x14ac:dyDescent="0.3">
      <c r="B1176" s="63" t="s">
        <v>104</v>
      </c>
      <c r="C1176" s="64"/>
      <c r="D1176" s="31">
        <f t="shared" ref="D1176:S1176" si="896">+D1171-D$833</f>
        <v>-381.62882580645157</v>
      </c>
      <c r="E1176" s="32">
        <f t="shared" si="896"/>
        <v>-393.01592258064517</v>
      </c>
      <c r="F1176" s="32">
        <f t="shared" si="896"/>
        <v>-398.79011612903224</v>
      </c>
      <c r="G1176" s="32">
        <f t="shared" si="896"/>
        <v>-387.20947096774194</v>
      </c>
      <c r="H1176" s="32">
        <f t="shared" si="896"/>
        <v>-383.69334193548383</v>
      </c>
      <c r="I1176" s="32">
        <f t="shared" si="896"/>
        <v>-387.88689032258065</v>
      </c>
      <c r="J1176" s="32">
        <f t="shared" si="896"/>
        <v>-393.98366451612901</v>
      </c>
      <c r="K1176" s="32">
        <f t="shared" si="896"/>
        <v>-390.4352774193548</v>
      </c>
      <c r="L1176" s="32">
        <f t="shared" si="896"/>
        <v>-391.72559999999999</v>
      </c>
      <c r="M1176" s="32">
        <f t="shared" si="896"/>
        <v>-381.88689032258065</v>
      </c>
      <c r="N1176" s="32">
        <f t="shared" si="896"/>
        <v>-383.95140645161291</v>
      </c>
      <c r="O1176" s="32">
        <f t="shared" si="896"/>
        <v>-388.20947096774194</v>
      </c>
      <c r="P1176" s="32">
        <f t="shared" si="896"/>
        <v>-379.17721290322578</v>
      </c>
      <c r="Q1176" s="32">
        <f t="shared" si="896"/>
        <v>-379.17721290322578</v>
      </c>
      <c r="R1176" s="32">
        <f t="shared" si="896"/>
        <v>-385.62882580645157</v>
      </c>
      <c r="S1176" s="32">
        <f t="shared" si="896"/>
        <v>-383.8223741935484</v>
      </c>
      <c r="T1176" s="32"/>
      <c r="U1176" s="32"/>
      <c r="V1176" s="32"/>
      <c r="W1176" s="32">
        <f>+W1171-W$833</f>
        <v>-379.17721290322578</v>
      </c>
      <c r="Y1176" s="390"/>
      <c r="Z1176" s="390"/>
      <c r="AA1176" s="390"/>
      <c r="AB1176" s="390"/>
      <c r="AC1176" s="390"/>
      <c r="AD1176" s="390"/>
      <c r="AE1176" s="390"/>
      <c r="AF1176" s="390"/>
      <c r="AG1176" s="390"/>
      <c r="AH1176" s="390"/>
      <c r="AI1176" s="390"/>
      <c r="AJ1176" s="390"/>
      <c r="AK1176" s="390"/>
      <c r="AL1176" s="390"/>
      <c r="AM1176" s="390"/>
      <c r="AN1176" s="390"/>
      <c r="AO1176" s="390"/>
      <c r="AP1176" s="390"/>
      <c r="AQ1176" s="390"/>
      <c r="AR1176" s="390"/>
      <c r="AS1176" s="390"/>
    </row>
    <row r="1177" spans="2:45" x14ac:dyDescent="0.3">
      <c r="B1177" s="63" t="s">
        <v>105</v>
      </c>
      <c r="C1177" s="64"/>
      <c r="D1177" s="31">
        <f t="shared" ref="D1177:S1177" si="897">+D1172-D$833</f>
        <v>-380.62882580645157</v>
      </c>
      <c r="E1177" s="32">
        <f t="shared" si="897"/>
        <v>-392.01592258064517</v>
      </c>
      <c r="F1177" s="32">
        <f t="shared" si="897"/>
        <v>-397.79011612903224</v>
      </c>
      <c r="G1177" s="32">
        <f t="shared" si="897"/>
        <v>-386.20947096774194</v>
      </c>
      <c r="H1177" s="32">
        <f t="shared" si="897"/>
        <v>-382.69334193548383</v>
      </c>
      <c r="I1177" s="32">
        <f t="shared" si="897"/>
        <v>-386.88689032258065</v>
      </c>
      <c r="J1177" s="32">
        <f t="shared" si="897"/>
        <v>-392.98366451612901</v>
      </c>
      <c r="K1177" s="32">
        <f t="shared" si="897"/>
        <v>-389.4352774193548</v>
      </c>
      <c r="L1177" s="32">
        <f t="shared" si="897"/>
        <v>-390.72559999999999</v>
      </c>
      <c r="M1177" s="32">
        <f t="shared" si="897"/>
        <v>-380.88689032258065</v>
      </c>
      <c r="N1177" s="32">
        <f t="shared" si="897"/>
        <v>-382.95140645161291</v>
      </c>
      <c r="O1177" s="32">
        <f t="shared" si="897"/>
        <v>-387.20947096774194</v>
      </c>
      <c r="P1177" s="32">
        <f t="shared" si="897"/>
        <v>-378.17721290322578</v>
      </c>
      <c r="Q1177" s="32">
        <f t="shared" si="897"/>
        <v>-378.17721290322578</v>
      </c>
      <c r="R1177" s="32">
        <f t="shared" si="897"/>
        <v>-384.62882580645157</v>
      </c>
      <c r="S1177" s="32">
        <f t="shared" si="897"/>
        <v>-382.8223741935484</v>
      </c>
      <c r="T1177" s="32"/>
      <c r="U1177" s="32"/>
      <c r="V1177" s="32"/>
      <c r="W1177" s="32">
        <f>+W1172-W$833</f>
        <v>-378.17721290322578</v>
      </c>
      <c r="Y1177" s="390"/>
      <c r="Z1177" s="390"/>
      <c r="AA1177" s="390"/>
      <c r="AB1177" s="390"/>
      <c r="AC1177" s="390"/>
      <c r="AD1177" s="390"/>
      <c r="AE1177" s="390"/>
      <c r="AF1177" s="390"/>
      <c r="AG1177" s="390"/>
      <c r="AH1177" s="390"/>
      <c r="AI1177" s="390"/>
      <c r="AJ1177" s="390"/>
      <c r="AK1177" s="390"/>
      <c r="AL1177" s="390"/>
      <c r="AM1177" s="390"/>
      <c r="AN1177" s="390"/>
      <c r="AO1177" s="390"/>
      <c r="AP1177" s="390"/>
      <c r="AQ1177" s="390"/>
      <c r="AR1177" s="390"/>
      <c r="AS1177" s="390"/>
    </row>
    <row r="1178" spans="2:45" x14ac:dyDescent="0.3">
      <c r="B1178" s="63" t="s">
        <v>75</v>
      </c>
      <c r="C1178" s="64"/>
      <c r="D1178" s="31">
        <f t="shared" ref="D1178:S1178" si="898">+D1173-D$833</f>
        <v>-378.62882580645157</v>
      </c>
      <c r="E1178" s="32">
        <f t="shared" si="898"/>
        <v>-390.01592258064517</v>
      </c>
      <c r="F1178" s="32">
        <f t="shared" si="898"/>
        <v>-395.79011612903224</v>
      </c>
      <c r="G1178" s="32">
        <f t="shared" si="898"/>
        <v>-384.20947096774194</v>
      </c>
      <c r="H1178" s="32">
        <f t="shared" si="898"/>
        <v>-380.69334193548383</v>
      </c>
      <c r="I1178" s="32">
        <f t="shared" si="898"/>
        <v>-384.88689032258065</v>
      </c>
      <c r="J1178" s="32">
        <f t="shared" si="898"/>
        <v>-390.98366451612901</v>
      </c>
      <c r="K1178" s="32">
        <f t="shared" si="898"/>
        <v>-387.4352774193548</v>
      </c>
      <c r="L1178" s="32">
        <f t="shared" si="898"/>
        <v>-388.72559999999999</v>
      </c>
      <c r="M1178" s="32">
        <f t="shared" si="898"/>
        <v>-378.88689032258065</v>
      </c>
      <c r="N1178" s="32">
        <f t="shared" si="898"/>
        <v>-380.95140645161291</v>
      </c>
      <c r="O1178" s="32">
        <f t="shared" si="898"/>
        <v>-385.20947096774194</v>
      </c>
      <c r="P1178" s="32">
        <f t="shared" si="898"/>
        <v>-376.17721290322578</v>
      </c>
      <c r="Q1178" s="32">
        <f t="shared" si="898"/>
        <v>-376.17721290322578</v>
      </c>
      <c r="R1178" s="32">
        <f t="shared" si="898"/>
        <v>-382.62882580645157</v>
      </c>
      <c r="S1178" s="32">
        <f t="shared" si="898"/>
        <v>-380.8223741935484</v>
      </c>
      <c r="T1178" s="32"/>
      <c r="U1178" s="32"/>
      <c r="V1178" s="32"/>
      <c r="W1178" s="32">
        <f>+W1173-W$833</f>
        <v>-376.17721290322578</v>
      </c>
      <c r="Y1178" s="390"/>
      <c r="Z1178" s="390"/>
      <c r="AA1178" s="390"/>
      <c r="AB1178" s="390"/>
      <c r="AC1178" s="390"/>
      <c r="AD1178" s="390"/>
      <c r="AE1178" s="390"/>
      <c r="AF1178" s="390"/>
      <c r="AG1178" s="390"/>
      <c r="AH1178" s="390"/>
      <c r="AI1178" s="390"/>
      <c r="AJ1178" s="390"/>
      <c r="AK1178" s="390"/>
      <c r="AL1178" s="390"/>
      <c r="AM1178" s="390"/>
      <c r="AN1178" s="390"/>
      <c r="AO1178" s="390"/>
      <c r="AP1178" s="390"/>
      <c r="AQ1178" s="390"/>
      <c r="AR1178" s="390"/>
      <c r="AS1178" s="390"/>
    </row>
    <row r="1179" spans="2:45" x14ac:dyDescent="0.3">
      <c r="B1179" s="63" t="s">
        <v>76</v>
      </c>
      <c r="C1179" s="64"/>
      <c r="D1179" s="31">
        <f t="shared" ref="D1179:S1179" si="899">+D1174-D$833</f>
        <v>-374.62882580645157</v>
      </c>
      <c r="E1179" s="34">
        <f t="shared" si="899"/>
        <v>-386.01592258064517</v>
      </c>
      <c r="F1179" s="34">
        <f t="shared" si="899"/>
        <v>-391.79011612903224</v>
      </c>
      <c r="G1179" s="34">
        <f t="shared" si="899"/>
        <v>-380.20947096774194</v>
      </c>
      <c r="H1179" s="34">
        <f t="shared" si="899"/>
        <v>-376.69334193548383</v>
      </c>
      <c r="I1179" s="34">
        <f t="shared" si="899"/>
        <v>-380.88689032258065</v>
      </c>
      <c r="J1179" s="34">
        <f t="shared" si="899"/>
        <v>-386.98366451612901</v>
      </c>
      <c r="K1179" s="34">
        <f t="shared" si="899"/>
        <v>-383.4352774193548</v>
      </c>
      <c r="L1179" s="34">
        <f t="shared" si="899"/>
        <v>-384.72559999999999</v>
      </c>
      <c r="M1179" s="34">
        <f t="shared" si="899"/>
        <v>-374.88689032258065</v>
      </c>
      <c r="N1179" s="34">
        <f t="shared" si="899"/>
        <v>-376.95140645161291</v>
      </c>
      <c r="O1179" s="34">
        <f t="shared" si="899"/>
        <v>-381.20947096774194</v>
      </c>
      <c r="P1179" s="34">
        <f t="shared" si="899"/>
        <v>-372.17721290322578</v>
      </c>
      <c r="Q1179" s="34">
        <f t="shared" si="899"/>
        <v>-372.17721290322578</v>
      </c>
      <c r="R1179" s="34">
        <f t="shared" si="899"/>
        <v>-378.62882580645157</v>
      </c>
      <c r="S1179" s="34">
        <f t="shared" si="899"/>
        <v>-376.8223741935484</v>
      </c>
      <c r="T1179" s="34"/>
      <c r="U1179" s="34"/>
      <c r="V1179" s="34"/>
      <c r="W1179" s="34">
        <f>+W1174-W$833</f>
        <v>-372.17721290322578</v>
      </c>
      <c r="Y1179" s="390"/>
      <c r="Z1179" s="390"/>
      <c r="AA1179" s="390"/>
      <c r="AB1179" s="390"/>
      <c r="AC1179" s="390"/>
      <c r="AD1179" s="390"/>
      <c r="AE1179" s="390"/>
      <c r="AF1179" s="390"/>
      <c r="AG1179" s="390"/>
      <c r="AH1179" s="390"/>
      <c r="AI1179" s="390"/>
      <c r="AJ1179" s="390"/>
      <c r="AK1179" s="390"/>
      <c r="AL1179" s="390"/>
      <c r="AM1179" s="390"/>
      <c r="AN1179" s="390"/>
      <c r="AO1179" s="390"/>
      <c r="AP1179" s="390"/>
      <c r="AQ1179" s="390"/>
      <c r="AR1179" s="390"/>
      <c r="AS1179" s="390"/>
    </row>
    <row r="1180" spans="2:45" x14ac:dyDescent="0.3">
      <c r="B1180" s="65" t="s">
        <v>108</v>
      </c>
      <c r="C1180" s="64"/>
      <c r="D1180" s="105">
        <f>+D1175/D$835</f>
        <v>-0.93097037909112301</v>
      </c>
      <c r="E1180" s="105">
        <f t="shared" ref="E1180:S1180" si="900">+E1175/E$835</f>
        <v>-0.92928283627510655</v>
      </c>
      <c r="F1180" s="105">
        <f t="shared" si="900"/>
        <v>-0.92974445611402845</v>
      </c>
      <c r="G1180" s="105">
        <f t="shared" si="900"/>
        <v>-0.92873079178885631</v>
      </c>
      <c r="H1180" s="105">
        <f t="shared" si="900"/>
        <v>-0.93146087635710373</v>
      </c>
      <c r="I1180" s="105">
        <f t="shared" si="900"/>
        <v>-0.93258247079755552</v>
      </c>
      <c r="J1180" s="105">
        <f t="shared" si="900"/>
        <v>-0.93156524650030426</v>
      </c>
      <c r="K1180" s="105">
        <f t="shared" si="900"/>
        <v>-0.92977500574668603</v>
      </c>
      <c r="L1180" s="105">
        <f t="shared" si="900"/>
        <v>-0.93062938388625593</v>
      </c>
      <c r="M1180" s="105">
        <f t="shared" si="900"/>
        <v>-0.93159827329095046</v>
      </c>
      <c r="N1180" s="105">
        <f t="shared" si="900"/>
        <v>-0.93208572990705307</v>
      </c>
      <c r="O1180" s="105">
        <f t="shared" si="900"/>
        <v>-0.93112313628646393</v>
      </c>
      <c r="P1180" s="105">
        <f t="shared" si="900"/>
        <v>-0.92952863790519746</v>
      </c>
      <c r="Q1180" s="105">
        <f t="shared" si="900"/>
        <v>-0.92952863790519746</v>
      </c>
      <c r="R1180" s="105">
        <f t="shared" si="900"/>
        <v>-0.93163572483482304</v>
      </c>
      <c r="S1180" s="105">
        <f t="shared" si="900"/>
        <v>-0.9317733031320784</v>
      </c>
      <c r="T1180" s="34"/>
      <c r="U1180" s="34"/>
      <c r="V1180" s="34"/>
      <c r="W1180" s="105">
        <f>+W1175/W$835</f>
        <v>-0.92952863790519746</v>
      </c>
      <c r="Y1180" s="390"/>
      <c r="Z1180" s="390"/>
      <c r="AA1180" s="390"/>
      <c r="AB1180" s="390"/>
      <c r="AC1180" s="390"/>
      <c r="AD1180" s="390"/>
      <c r="AE1180" s="390"/>
      <c r="AF1180" s="390"/>
      <c r="AG1180" s="390"/>
      <c r="AH1180" s="390"/>
      <c r="AI1180" s="390"/>
      <c r="AJ1180" s="390"/>
      <c r="AK1180" s="390"/>
      <c r="AL1180" s="390"/>
      <c r="AM1180" s="390"/>
      <c r="AN1180" s="390"/>
      <c r="AO1180" s="390"/>
      <c r="AP1180" s="390"/>
      <c r="AQ1180" s="390"/>
      <c r="AR1180" s="390"/>
      <c r="AS1180" s="390"/>
    </row>
    <row r="1181" spans="2:45" x14ac:dyDescent="0.3">
      <c r="B1181" s="65" t="s">
        <v>107</v>
      </c>
      <c r="C1181" s="66"/>
      <c r="D1181" s="35">
        <f>+D1176/D$836</f>
        <v>-0.91737698511166244</v>
      </c>
      <c r="E1181" s="35">
        <f t="shared" ref="E1181:S1181" si="901">+E1176/E$836</f>
        <v>-0.91612103165651559</v>
      </c>
      <c r="F1181" s="35">
        <f t="shared" si="901"/>
        <v>-0.91675888765294766</v>
      </c>
      <c r="G1181" s="35">
        <f t="shared" si="901"/>
        <v>-0.91538882025470902</v>
      </c>
      <c r="H1181" s="35">
        <f t="shared" si="901"/>
        <v>-0.9179266553480474</v>
      </c>
      <c r="I1181" s="35">
        <f t="shared" si="901"/>
        <v>-0.91916324720990672</v>
      </c>
      <c r="J1181" s="35">
        <f t="shared" si="901"/>
        <v>-0.91837684036393707</v>
      </c>
      <c r="K1181" s="35">
        <f t="shared" si="901"/>
        <v>-0.91651473572618503</v>
      </c>
      <c r="L1181" s="35">
        <f t="shared" si="901"/>
        <v>-0.91739016393442618</v>
      </c>
      <c r="M1181" s="35">
        <f t="shared" si="901"/>
        <v>-0.91799733250620352</v>
      </c>
      <c r="N1181" s="35">
        <f t="shared" si="901"/>
        <v>-0.91854403457323663</v>
      </c>
      <c r="O1181" s="35">
        <f t="shared" si="901"/>
        <v>-0.91775288644856245</v>
      </c>
      <c r="P1181" s="35">
        <f t="shared" si="901"/>
        <v>-0.91588698768895116</v>
      </c>
      <c r="Q1181" s="35">
        <f t="shared" si="901"/>
        <v>-0.91588698768895116</v>
      </c>
      <c r="R1181" s="35">
        <f t="shared" si="901"/>
        <v>-0.91816387096774188</v>
      </c>
      <c r="S1181" s="35">
        <f t="shared" si="901"/>
        <v>-0.91823534496064207</v>
      </c>
      <c r="T1181" s="35"/>
      <c r="U1181" s="35"/>
      <c r="V1181" s="35"/>
      <c r="W1181" s="35">
        <f>+W1176/W$836</f>
        <v>-0.91588698768895116</v>
      </c>
      <c r="Y1181" s="390"/>
      <c r="Z1181" s="390"/>
      <c r="AA1181" s="390"/>
      <c r="AB1181" s="390"/>
      <c r="AC1181" s="390"/>
      <c r="AD1181" s="390"/>
      <c r="AE1181" s="390"/>
      <c r="AF1181" s="390"/>
      <c r="AG1181" s="390"/>
      <c r="AH1181" s="390"/>
      <c r="AI1181" s="390"/>
      <c r="AJ1181" s="390"/>
      <c r="AK1181" s="390"/>
      <c r="AL1181" s="390"/>
      <c r="AM1181" s="390"/>
      <c r="AN1181" s="390"/>
      <c r="AO1181" s="390"/>
      <c r="AP1181" s="390"/>
      <c r="AQ1181" s="390"/>
      <c r="AR1181" s="390"/>
      <c r="AS1181" s="390"/>
    </row>
    <row r="1182" spans="2:45" x14ac:dyDescent="0.3">
      <c r="B1182" s="65" t="s">
        <v>106</v>
      </c>
      <c r="C1182" s="66"/>
      <c r="D1182" s="35">
        <f>+D1177/D$837</f>
        <v>-0.90410647459964744</v>
      </c>
      <c r="E1182" s="35">
        <f t="shared" ref="E1182:S1182" si="902">+E1177/E$837</f>
        <v>-0.9032624944254497</v>
      </c>
      <c r="F1182" s="35">
        <f t="shared" si="902"/>
        <v>-0.90406844574780054</v>
      </c>
      <c r="G1182" s="35">
        <f t="shared" si="902"/>
        <v>-0.90235857702743438</v>
      </c>
      <c r="H1182" s="35">
        <f t="shared" si="902"/>
        <v>-0.90471239228246769</v>
      </c>
      <c r="I1182" s="35">
        <f t="shared" si="902"/>
        <v>-0.90605829115358472</v>
      </c>
      <c r="J1182" s="35">
        <f t="shared" si="902"/>
        <v>-0.9054923145532926</v>
      </c>
      <c r="K1182" s="35">
        <f t="shared" si="902"/>
        <v>-0.90356212858318985</v>
      </c>
      <c r="L1182" s="35">
        <f t="shared" si="902"/>
        <v>-0.90445740740740732</v>
      </c>
      <c r="M1182" s="35">
        <f t="shared" si="902"/>
        <v>-0.904719454447935</v>
      </c>
      <c r="N1182" s="35">
        <f t="shared" si="902"/>
        <v>-0.90532247388088161</v>
      </c>
      <c r="O1182" s="35">
        <f t="shared" si="902"/>
        <v>-0.90469502562556525</v>
      </c>
      <c r="P1182" s="35">
        <f t="shared" si="902"/>
        <v>-0.90257091385018084</v>
      </c>
      <c r="Q1182" s="35">
        <f t="shared" si="902"/>
        <v>-0.90257091385018084</v>
      </c>
      <c r="R1182" s="35">
        <f t="shared" si="902"/>
        <v>-0.90500900189753308</v>
      </c>
      <c r="S1182" s="35">
        <f t="shared" si="902"/>
        <v>-0.9050174330816747</v>
      </c>
      <c r="T1182" s="35"/>
      <c r="U1182" s="35"/>
      <c r="V1182" s="35"/>
      <c r="W1182" s="35">
        <f>+W1177/W$837</f>
        <v>-0.90257091385018084</v>
      </c>
      <c r="Y1182" s="390"/>
      <c r="Z1182" s="390"/>
      <c r="AA1182" s="390"/>
      <c r="AB1182" s="390"/>
      <c r="AC1182" s="390"/>
      <c r="AD1182" s="390"/>
      <c r="AE1182" s="390"/>
      <c r="AF1182" s="390"/>
      <c r="AG1182" s="390"/>
      <c r="AH1182" s="390"/>
      <c r="AI1182" s="390"/>
      <c r="AJ1182" s="390"/>
      <c r="AK1182" s="390"/>
      <c r="AL1182" s="390"/>
      <c r="AM1182" s="390"/>
      <c r="AN1182" s="390"/>
      <c r="AO1182" s="390"/>
      <c r="AP1182" s="390"/>
      <c r="AQ1182" s="390"/>
      <c r="AR1182" s="390"/>
      <c r="AS1182" s="390"/>
    </row>
    <row r="1183" spans="2:45" x14ac:dyDescent="0.3">
      <c r="B1183" s="65" t="s">
        <v>77</v>
      </c>
      <c r="C1183" s="66"/>
      <c r="D1183" s="35">
        <f>+D1178/D$838</f>
        <v>-0.88880006057852479</v>
      </c>
      <c r="E1183" s="35">
        <f t="shared" ref="E1183:S1183" si="903">+E1178/E$838</f>
        <v>-0.88841895804247195</v>
      </c>
      <c r="F1183" s="35">
        <f t="shared" si="903"/>
        <v>-0.88941599130119608</v>
      </c>
      <c r="G1183" s="35">
        <f t="shared" si="903"/>
        <v>-0.88731979438277586</v>
      </c>
      <c r="H1183" s="35">
        <f t="shared" si="903"/>
        <v>-0.88947042508290619</v>
      </c>
      <c r="I1183" s="35">
        <f t="shared" si="903"/>
        <v>-0.89094187574671446</v>
      </c>
      <c r="J1183" s="35">
        <f t="shared" si="903"/>
        <v>-0.8906233815857153</v>
      </c>
      <c r="K1183" s="35">
        <f t="shared" si="903"/>
        <v>-0.88861302160402478</v>
      </c>
      <c r="L1183" s="35">
        <f t="shared" si="903"/>
        <v>-0.88953226544622421</v>
      </c>
      <c r="M1183" s="35">
        <f t="shared" si="903"/>
        <v>-0.88940584582765414</v>
      </c>
      <c r="N1183" s="35">
        <f t="shared" si="903"/>
        <v>-0.89007337955984323</v>
      </c>
      <c r="O1183" s="35">
        <f t="shared" si="903"/>
        <v>-0.88962926320494673</v>
      </c>
      <c r="P1183" s="35">
        <f t="shared" si="903"/>
        <v>-0.88721040779062688</v>
      </c>
      <c r="Q1183" s="35">
        <f t="shared" si="903"/>
        <v>-0.88721040779062688</v>
      </c>
      <c r="R1183" s="35">
        <f t="shared" si="903"/>
        <v>-0.88983447861965481</v>
      </c>
      <c r="S1183" s="35">
        <f t="shared" si="903"/>
        <v>-0.88977190232137471</v>
      </c>
      <c r="T1183" s="35"/>
      <c r="U1183" s="35"/>
      <c r="V1183" s="35"/>
      <c r="W1183" s="35">
        <f>+W1178/W$838</f>
        <v>-0.88721040779062688</v>
      </c>
      <c r="Y1183" s="390"/>
      <c r="Z1183" s="390"/>
      <c r="AA1183" s="390"/>
      <c r="AB1183" s="390"/>
      <c r="AC1183" s="390"/>
      <c r="AD1183" s="390"/>
      <c r="AE1183" s="390"/>
      <c r="AF1183" s="390"/>
      <c r="AG1183" s="390"/>
      <c r="AH1183" s="390"/>
      <c r="AI1183" s="390"/>
      <c r="AJ1183" s="390"/>
      <c r="AK1183" s="390"/>
      <c r="AL1183" s="390"/>
      <c r="AM1183" s="390"/>
      <c r="AN1183" s="390"/>
      <c r="AO1183" s="390"/>
      <c r="AP1183" s="390"/>
      <c r="AQ1183" s="390"/>
      <c r="AR1183" s="390"/>
      <c r="AS1183" s="390"/>
    </row>
    <row r="1184" spans="2:45" x14ac:dyDescent="0.3">
      <c r="B1184" s="65" t="s">
        <v>78</v>
      </c>
      <c r="C1184" s="66"/>
      <c r="D1184" s="35" t="e">
        <f>+D1179/#REF!</f>
        <v>#REF!</v>
      </c>
      <c r="E1184" s="35" t="e">
        <f>+E1179/#REF!</f>
        <v>#REF!</v>
      </c>
      <c r="F1184" s="35" t="e">
        <f>+F1179/#REF!</f>
        <v>#REF!</v>
      </c>
      <c r="G1184" s="35" t="e">
        <f>+G1179/#REF!</f>
        <v>#REF!</v>
      </c>
      <c r="H1184" s="35" t="e">
        <f>+H1179/#REF!</f>
        <v>#REF!</v>
      </c>
      <c r="I1184" s="35" t="e">
        <f>+I1179/#REF!</f>
        <v>#REF!</v>
      </c>
      <c r="J1184" s="35" t="e">
        <f>+J1179/#REF!</f>
        <v>#REF!</v>
      </c>
      <c r="K1184" s="35" t="e">
        <f>+K1179/#REF!</f>
        <v>#REF!</v>
      </c>
      <c r="L1184" s="35" t="e">
        <f>+L1179/#REF!</f>
        <v>#REF!</v>
      </c>
      <c r="M1184" s="35" t="e">
        <f>+M1179/#REF!</f>
        <v>#REF!</v>
      </c>
      <c r="N1184" s="35" t="e">
        <f>+N1179/#REF!</f>
        <v>#REF!</v>
      </c>
      <c r="O1184" s="35" t="e">
        <f>+O1179/#REF!</f>
        <v>#REF!</v>
      </c>
      <c r="P1184" s="35" t="e">
        <f>+P1179/#REF!</f>
        <v>#REF!</v>
      </c>
      <c r="Q1184" s="35" t="e">
        <f>+Q1179/#REF!</f>
        <v>#REF!</v>
      </c>
      <c r="R1184" s="35" t="e">
        <f>+R1179/#REF!</f>
        <v>#REF!</v>
      </c>
      <c r="S1184" s="35" t="e">
        <f>+S1179/#REF!</f>
        <v>#REF!</v>
      </c>
      <c r="T1184" s="35"/>
      <c r="U1184" s="35"/>
      <c r="V1184" s="35"/>
      <c r="W1184" s="35" t="e">
        <f>+W1179/#REF!</f>
        <v>#REF!</v>
      </c>
      <c r="Y1184" s="390"/>
      <c r="Z1184" s="390"/>
      <c r="AA1184" s="390"/>
      <c r="AB1184" s="390"/>
      <c r="AC1184" s="390"/>
      <c r="AD1184" s="390"/>
      <c r="AE1184" s="390"/>
      <c r="AF1184" s="390"/>
      <c r="AG1184" s="390"/>
      <c r="AH1184" s="390"/>
      <c r="AI1184" s="390"/>
      <c r="AJ1184" s="390"/>
      <c r="AK1184" s="390"/>
      <c r="AL1184" s="390"/>
      <c r="AM1184" s="390"/>
      <c r="AN1184" s="390"/>
      <c r="AO1184" s="390"/>
      <c r="AP1184" s="390"/>
      <c r="AQ1184" s="390"/>
      <c r="AR1184" s="390"/>
      <c r="AS1184" s="390"/>
    </row>
    <row r="1185" spans="1:45" ht="21" thickBot="1" x14ac:dyDescent="0.35">
      <c r="Y1185" s="390"/>
      <c r="Z1185" s="390"/>
      <c r="AA1185" s="390"/>
      <c r="AB1185" s="390"/>
      <c r="AC1185" s="390"/>
      <c r="AD1185" s="390"/>
      <c r="AE1185" s="390"/>
      <c r="AF1185" s="390"/>
      <c r="AG1185" s="390"/>
      <c r="AH1185" s="390"/>
      <c r="AI1185" s="390"/>
      <c r="AJ1185" s="390"/>
      <c r="AK1185" s="390"/>
      <c r="AL1185" s="390"/>
      <c r="AM1185" s="390"/>
      <c r="AN1185" s="390"/>
      <c r="AO1185" s="390"/>
      <c r="AP1185" s="390"/>
      <c r="AQ1185" s="390"/>
      <c r="AR1185" s="390"/>
      <c r="AS1185" s="390"/>
    </row>
    <row r="1186" spans="1:45" ht="21" thickBot="1" x14ac:dyDescent="0.35">
      <c r="A1186" s="15" t="s">
        <v>347</v>
      </c>
      <c r="B1186" s="223" t="s">
        <v>225</v>
      </c>
      <c r="C1186" s="68"/>
      <c r="D1186" s="17" t="s">
        <v>5</v>
      </c>
      <c r="E1186" s="18" t="s">
        <v>6</v>
      </c>
      <c r="F1186" s="18" t="s">
        <v>7</v>
      </c>
      <c r="G1186" s="18" t="s">
        <v>8</v>
      </c>
      <c r="H1186" s="18" t="s">
        <v>9</v>
      </c>
      <c r="I1186" s="18" t="s">
        <v>10</v>
      </c>
      <c r="J1186" s="18" t="s">
        <v>11</v>
      </c>
      <c r="K1186" s="18" t="s">
        <v>12</v>
      </c>
      <c r="L1186" s="18" t="s">
        <v>13</v>
      </c>
      <c r="M1186" s="18" t="s">
        <v>14</v>
      </c>
      <c r="N1186" s="18" t="s">
        <v>15</v>
      </c>
      <c r="O1186" s="18" t="s">
        <v>16</v>
      </c>
      <c r="P1186" s="18" t="s">
        <v>17</v>
      </c>
      <c r="Q1186" s="18" t="s">
        <v>18</v>
      </c>
      <c r="R1186" s="18" t="s">
        <v>19</v>
      </c>
      <c r="S1186" s="18" t="s">
        <v>20</v>
      </c>
      <c r="T1186" s="18" t="s">
        <v>21</v>
      </c>
      <c r="U1186" s="18" t="s">
        <v>22</v>
      </c>
      <c r="V1186" s="18" t="s">
        <v>23</v>
      </c>
      <c r="W1186" s="18" t="s">
        <v>166</v>
      </c>
      <c r="Y1186" s="390"/>
      <c r="Z1186" s="390"/>
      <c r="AA1186" s="390"/>
      <c r="AB1186" s="390"/>
      <c r="AC1186" s="390"/>
      <c r="AD1186" s="390"/>
      <c r="AE1186" s="390"/>
      <c r="AF1186" s="390"/>
      <c r="AG1186" s="390"/>
      <c r="AH1186" s="390"/>
      <c r="AI1186" s="390"/>
      <c r="AJ1186" s="390"/>
      <c r="AK1186" s="390"/>
      <c r="AL1186" s="390"/>
      <c r="AM1186" s="390"/>
      <c r="AN1186" s="390"/>
      <c r="AO1186" s="390"/>
      <c r="AP1186" s="390"/>
      <c r="AQ1186" s="390"/>
      <c r="AR1186" s="390"/>
      <c r="AS1186" s="390"/>
    </row>
    <row r="1187" spans="1:45" x14ac:dyDescent="0.3">
      <c r="B1187" s="222" t="s">
        <v>50</v>
      </c>
      <c r="C1187" s="70"/>
      <c r="D1187" s="20">
        <v>730</v>
      </c>
      <c r="E1187" s="20">
        <v>730</v>
      </c>
      <c r="F1187" s="20">
        <v>730</v>
      </c>
      <c r="G1187" s="20">
        <v>730</v>
      </c>
      <c r="H1187" s="20">
        <v>730</v>
      </c>
      <c r="I1187" s="20">
        <v>730</v>
      </c>
      <c r="J1187" s="20">
        <v>730</v>
      </c>
      <c r="K1187" s="20">
        <v>730</v>
      </c>
      <c r="L1187" s="20">
        <v>730</v>
      </c>
      <c r="M1187" s="20">
        <v>730</v>
      </c>
      <c r="N1187" s="20">
        <v>730</v>
      </c>
      <c r="O1187" s="20">
        <v>730</v>
      </c>
      <c r="P1187" s="20">
        <v>730</v>
      </c>
      <c r="Q1187" s="20">
        <v>730</v>
      </c>
      <c r="R1187" s="20">
        <v>730</v>
      </c>
      <c r="S1187" s="20">
        <v>730</v>
      </c>
      <c r="T1187" s="20"/>
      <c r="U1187" s="20"/>
      <c r="V1187" s="20"/>
      <c r="W1187" s="20">
        <v>730</v>
      </c>
      <c r="Y1187" s="390"/>
      <c r="Z1187" s="390"/>
      <c r="AA1187" s="390"/>
      <c r="AB1187" s="390"/>
      <c r="AC1187" s="390"/>
      <c r="AD1187" s="390"/>
      <c r="AE1187" s="390"/>
      <c r="AF1187" s="390"/>
      <c r="AG1187" s="390"/>
      <c r="AH1187" s="390"/>
      <c r="AI1187" s="390"/>
      <c r="AJ1187" s="390"/>
      <c r="AK1187" s="390"/>
      <c r="AL1187" s="390"/>
      <c r="AM1187" s="390"/>
      <c r="AN1187" s="390"/>
      <c r="AO1187" s="390"/>
      <c r="AP1187" s="390"/>
      <c r="AQ1187" s="390"/>
      <c r="AR1187" s="390"/>
      <c r="AS1187" s="390"/>
    </row>
    <row r="1188" spans="1:45" x14ac:dyDescent="0.3">
      <c r="B1188" s="54" t="s">
        <v>51</v>
      </c>
      <c r="C1188" s="55"/>
      <c r="D1188" s="322">
        <v>0.39</v>
      </c>
      <c r="E1188" s="322">
        <f>D1188</f>
        <v>0.39</v>
      </c>
      <c r="F1188" s="322">
        <f t="shared" ref="F1188:S1188" si="904">E1188</f>
        <v>0.39</v>
      </c>
      <c r="G1188" s="322">
        <f t="shared" si="904"/>
        <v>0.39</v>
      </c>
      <c r="H1188" s="322">
        <f t="shared" si="904"/>
        <v>0.39</v>
      </c>
      <c r="I1188" s="322">
        <f t="shared" si="904"/>
        <v>0.39</v>
      </c>
      <c r="J1188" s="322">
        <f t="shared" si="904"/>
        <v>0.39</v>
      </c>
      <c r="K1188" s="322">
        <f t="shared" si="904"/>
        <v>0.39</v>
      </c>
      <c r="L1188" s="322">
        <f t="shared" si="904"/>
        <v>0.39</v>
      </c>
      <c r="M1188" s="322">
        <f t="shared" si="904"/>
        <v>0.39</v>
      </c>
      <c r="N1188" s="322">
        <f t="shared" si="904"/>
        <v>0.39</v>
      </c>
      <c r="O1188" s="322">
        <f t="shared" si="904"/>
        <v>0.39</v>
      </c>
      <c r="P1188" s="322">
        <f t="shared" si="904"/>
        <v>0.39</v>
      </c>
      <c r="Q1188" s="322">
        <f t="shared" si="904"/>
        <v>0.39</v>
      </c>
      <c r="R1188" s="322">
        <f t="shared" si="904"/>
        <v>0.39</v>
      </c>
      <c r="S1188" s="322">
        <f t="shared" si="904"/>
        <v>0.39</v>
      </c>
      <c r="T1188" s="218"/>
      <c r="U1188" s="218"/>
      <c r="V1188" s="218"/>
      <c r="W1188" s="322">
        <f>D1188</f>
        <v>0.39</v>
      </c>
      <c r="Y1188" s="390"/>
      <c r="Z1188" s="390"/>
      <c r="AA1188" s="390"/>
      <c r="AB1188" s="390"/>
      <c r="AC1188" s="390"/>
      <c r="AD1188" s="390"/>
      <c r="AE1188" s="390"/>
      <c r="AF1188" s="390"/>
      <c r="AG1188" s="390"/>
      <c r="AH1188" s="390"/>
      <c r="AI1188" s="390"/>
      <c r="AJ1188" s="390"/>
      <c r="AK1188" s="390"/>
      <c r="AL1188" s="390"/>
      <c r="AM1188" s="390"/>
      <c r="AN1188" s="390"/>
      <c r="AO1188" s="390"/>
      <c r="AP1188" s="390"/>
      <c r="AQ1188" s="390"/>
      <c r="AR1188" s="390"/>
      <c r="AS1188" s="390"/>
    </row>
    <row r="1189" spans="1:45" x14ac:dyDescent="0.3">
      <c r="B1189" s="54" t="s">
        <v>56</v>
      </c>
      <c r="C1189" s="55"/>
      <c r="D1189" s="21"/>
      <c r="E1189" s="21"/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Y1189" s="390"/>
      <c r="Z1189" s="390"/>
      <c r="AA1189" s="390"/>
      <c r="AB1189" s="390"/>
      <c r="AC1189" s="390"/>
      <c r="AD1189" s="390"/>
      <c r="AE1189" s="390"/>
      <c r="AF1189" s="390"/>
      <c r="AG1189" s="390"/>
      <c r="AH1189" s="390"/>
      <c r="AI1189" s="390"/>
      <c r="AJ1189" s="390"/>
      <c r="AK1189" s="390"/>
      <c r="AL1189" s="390"/>
      <c r="AM1189" s="390"/>
      <c r="AN1189" s="390"/>
      <c r="AO1189" s="390"/>
      <c r="AP1189" s="390"/>
      <c r="AQ1189" s="390"/>
      <c r="AR1189" s="390"/>
      <c r="AS1189" s="390"/>
    </row>
    <row r="1190" spans="1:45" x14ac:dyDescent="0.3">
      <c r="B1190" s="177" t="s">
        <v>67</v>
      </c>
      <c r="C1190" s="178"/>
      <c r="D1190" s="323">
        <f>D1187-(D1187*D1188)</f>
        <v>445.3</v>
      </c>
      <c r="E1190" s="323">
        <f t="shared" ref="E1190:W1190" si="905">E1187-(E1187*E1188)</f>
        <v>445.3</v>
      </c>
      <c r="F1190" s="323">
        <f t="shared" si="905"/>
        <v>445.3</v>
      </c>
      <c r="G1190" s="323">
        <f t="shared" si="905"/>
        <v>445.3</v>
      </c>
      <c r="H1190" s="323">
        <f t="shared" si="905"/>
        <v>445.3</v>
      </c>
      <c r="I1190" s="323">
        <f t="shared" si="905"/>
        <v>445.3</v>
      </c>
      <c r="J1190" s="323">
        <f t="shared" si="905"/>
        <v>445.3</v>
      </c>
      <c r="K1190" s="323">
        <f t="shared" si="905"/>
        <v>445.3</v>
      </c>
      <c r="L1190" s="323">
        <f t="shared" si="905"/>
        <v>445.3</v>
      </c>
      <c r="M1190" s="323">
        <f t="shared" si="905"/>
        <v>445.3</v>
      </c>
      <c r="N1190" s="323">
        <f t="shared" si="905"/>
        <v>445.3</v>
      </c>
      <c r="O1190" s="323">
        <f t="shared" si="905"/>
        <v>445.3</v>
      </c>
      <c r="P1190" s="323">
        <f t="shared" si="905"/>
        <v>445.3</v>
      </c>
      <c r="Q1190" s="323">
        <f t="shared" si="905"/>
        <v>445.3</v>
      </c>
      <c r="R1190" s="323">
        <f t="shared" si="905"/>
        <v>445.3</v>
      </c>
      <c r="S1190" s="323">
        <f t="shared" si="905"/>
        <v>445.3</v>
      </c>
      <c r="T1190" s="323">
        <v>473.31</v>
      </c>
      <c r="U1190" s="323">
        <v>473.31</v>
      </c>
      <c r="V1190" s="323">
        <v>473.31</v>
      </c>
      <c r="W1190" s="323">
        <f t="shared" si="905"/>
        <v>445.3</v>
      </c>
      <c r="Y1190" s="390"/>
      <c r="Z1190" s="390"/>
      <c r="AA1190" s="390"/>
      <c r="AB1190" s="390"/>
      <c r="AC1190" s="390"/>
      <c r="AD1190" s="390"/>
      <c r="AE1190" s="390"/>
      <c r="AF1190" s="390"/>
      <c r="AG1190" s="390"/>
      <c r="AH1190" s="390"/>
      <c r="AI1190" s="390"/>
      <c r="AJ1190" s="390"/>
      <c r="AK1190" s="390"/>
      <c r="AL1190" s="390"/>
      <c r="AM1190" s="390"/>
      <c r="AN1190" s="390"/>
      <c r="AO1190" s="390"/>
      <c r="AP1190" s="390"/>
      <c r="AQ1190" s="390"/>
      <c r="AR1190" s="390"/>
      <c r="AS1190" s="390"/>
    </row>
    <row r="1191" spans="1:45" x14ac:dyDescent="0.3">
      <c r="B1191" s="54" t="s">
        <v>66</v>
      </c>
      <c r="C1191" s="56">
        <v>7.0000000000000007E-2</v>
      </c>
      <c r="D1191" s="24">
        <f>D1190*$C1191</f>
        <v>31.171000000000003</v>
      </c>
      <c r="E1191" s="24">
        <f t="shared" ref="E1191:W1191" si="906">E1190*$C1191</f>
        <v>31.171000000000003</v>
      </c>
      <c r="F1191" s="24">
        <f t="shared" si="906"/>
        <v>31.171000000000003</v>
      </c>
      <c r="G1191" s="24">
        <f t="shared" si="906"/>
        <v>31.171000000000003</v>
      </c>
      <c r="H1191" s="24">
        <f t="shared" si="906"/>
        <v>31.171000000000003</v>
      </c>
      <c r="I1191" s="24">
        <f t="shared" si="906"/>
        <v>31.171000000000003</v>
      </c>
      <c r="J1191" s="24">
        <f t="shared" si="906"/>
        <v>31.171000000000003</v>
      </c>
      <c r="K1191" s="24">
        <f t="shared" si="906"/>
        <v>31.171000000000003</v>
      </c>
      <c r="L1191" s="24">
        <f t="shared" si="906"/>
        <v>31.171000000000003</v>
      </c>
      <c r="M1191" s="24">
        <f t="shared" si="906"/>
        <v>31.171000000000003</v>
      </c>
      <c r="N1191" s="24">
        <f t="shared" si="906"/>
        <v>31.171000000000003</v>
      </c>
      <c r="O1191" s="24">
        <f t="shared" si="906"/>
        <v>31.171000000000003</v>
      </c>
      <c r="P1191" s="24">
        <f t="shared" si="906"/>
        <v>31.171000000000003</v>
      </c>
      <c r="Q1191" s="24">
        <f t="shared" si="906"/>
        <v>31.171000000000003</v>
      </c>
      <c r="R1191" s="24">
        <f t="shared" si="906"/>
        <v>31.171000000000003</v>
      </c>
      <c r="S1191" s="24">
        <f t="shared" si="906"/>
        <v>31.171000000000003</v>
      </c>
      <c r="T1191" s="24">
        <f t="shared" si="906"/>
        <v>33.131700000000002</v>
      </c>
      <c r="U1191" s="24">
        <f t="shared" si="906"/>
        <v>33.131700000000002</v>
      </c>
      <c r="V1191" s="24">
        <f t="shared" si="906"/>
        <v>33.131700000000002</v>
      </c>
      <c r="W1191" s="24">
        <f t="shared" si="906"/>
        <v>31.171000000000003</v>
      </c>
      <c r="Y1191" s="390"/>
      <c r="Z1191" s="390"/>
      <c r="AA1191" s="390"/>
      <c r="AB1191" s="390"/>
      <c r="AC1191" s="390"/>
      <c r="AD1191" s="390"/>
      <c r="AE1191" s="390"/>
      <c r="AF1191" s="390"/>
      <c r="AG1191" s="390"/>
      <c r="AH1191" s="390"/>
      <c r="AI1191" s="390"/>
      <c r="AJ1191" s="390"/>
      <c r="AK1191" s="390"/>
      <c r="AL1191" s="390"/>
      <c r="AM1191" s="390"/>
      <c r="AN1191" s="390"/>
      <c r="AO1191" s="390"/>
      <c r="AP1191" s="390"/>
      <c r="AQ1191" s="390"/>
      <c r="AR1191" s="390"/>
      <c r="AS1191" s="390"/>
    </row>
    <row r="1192" spans="1:45" x14ac:dyDescent="0.3">
      <c r="B1192" s="54" t="s">
        <v>68</v>
      </c>
      <c r="C1192" s="55"/>
      <c r="D1192" s="21">
        <f>D1190+D1191</f>
        <v>476.471</v>
      </c>
      <c r="E1192" s="21">
        <f t="shared" ref="E1192:W1192" si="907">E1190+E1191</f>
        <v>476.471</v>
      </c>
      <c r="F1192" s="21">
        <f t="shared" si="907"/>
        <v>476.471</v>
      </c>
      <c r="G1192" s="21">
        <f t="shared" si="907"/>
        <v>476.471</v>
      </c>
      <c r="H1192" s="21">
        <f t="shared" si="907"/>
        <v>476.471</v>
      </c>
      <c r="I1192" s="21">
        <f t="shared" si="907"/>
        <v>476.471</v>
      </c>
      <c r="J1192" s="21">
        <f t="shared" si="907"/>
        <v>476.471</v>
      </c>
      <c r="K1192" s="21">
        <f t="shared" si="907"/>
        <v>476.471</v>
      </c>
      <c r="L1192" s="21">
        <f t="shared" si="907"/>
        <v>476.471</v>
      </c>
      <c r="M1192" s="21">
        <f t="shared" si="907"/>
        <v>476.471</v>
      </c>
      <c r="N1192" s="21">
        <f t="shared" si="907"/>
        <v>476.471</v>
      </c>
      <c r="O1192" s="21">
        <f t="shared" si="907"/>
        <v>476.471</v>
      </c>
      <c r="P1192" s="21">
        <f t="shared" si="907"/>
        <v>476.471</v>
      </c>
      <c r="Q1192" s="21">
        <f t="shared" si="907"/>
        <v>476.471</v>
      </c>
      <c r="R1192" s="21">
        <f t="shared" si="907"/>
        <v>476.471</v>
      </c>
      <c r="S1192" s="21">
        <f t="shared" si="907"/>
        <v>476.471</v>
      </c>
      <c r="T1192" s="21">
        <f t="shared" si="907"/>
        <v>506.44170000000003</v>
      </c>
      <c r="U1192" s="21">
        <f t="shared" si="907"/>
        <v>506.44170000000003</v>
      </c>
      <c r="V1192" s="21">
        <f t="shared" si="907"/>
        <v>506.44170000000003</v>
      </c>
      <c r="W1192" s="21">
        <f t="shared" si="907"/>
        <v>476.471</v>
      </c>
      <c r="Y1192" s="390"/>
      <c r="Z1192" s="390"/>
      <c r="AA1192" s="390"/>
      <c r="AB1192" s="390"/>
      <c r="AC1192" s="390"/>
      <c r="AD1192" s="390"/>
      <c r="AE1192" s="390"/>
      <c r="AF1192" s="390"/>
      <c r="AG1192" s="390"/>
      <c r="AH1192" s="390"/>
      <c r="AI1192" s="390"/>
      <c r="AJ1192" s="390"/>
      <c r="AK1192" s="390"/>
      <c r="AL1192" s="390"/>
      <c r="AM1192" s="390"/>
      <c r="AN1192" s="390"/>
      <c r="AO1192" s="390"/>
      <c r="AP1192" s="390"/>
      <c r="AQ1192" s="390"/>
      <c r="AR1192" s="390"/>
      <c r="AS1192" s="390"/>
    </row>
    <row r="1193" spans="1:45" x14ac:dyDescent="0.3">
      <c r="B1193" s="54" t="s">
        <v>52</v>
      </c>
      <c r="C1193" s="55"/>
      <c r="D1193" s="398">
        <f>Y1195</f>
        <v>25.571428571428573</v>
      </c>
      <c r="E1193" s="398">
        <f t="shared" ref="E1193:W1193" si="908">Z1195</f>
        <v>58.085714285714289</v>
      </c>
      <c r="F1193" s="398">
        <f t="shared" si="908"/>
        <v>69.704081632653057</v>
      </c>
      <c r="G1193" s="398">
        <f t="shared" si="908"/>
        <v>46.469387755102041</v>
      </c>
      <c r="H1193" s="398">
        <f t="shared" si="908"/>
        <v>24.89387755102041</v>
      </c>
      <c r="I1193" s="398">
        <f t="shared" si="908"/>
        <v>33.191836734693879</v>
      </c>
      <c r="J1193" s="398">
        <f t="shared" si="908"/>
        <v>51.448979591836732</v>
      </c>
      <c r="K1193" s="398">
        <f t="shared" si="908"/>
        <v>42.155102040816324</v>
      </c>
      <c r="L1193" s="398">
        <f>AG1195</f>
        <v>49.787755102040819</v>
      </c>
      <c r="M1193" s="398">
        <f t="shared" si="908"/>
        <v>23.897959183673468</v>
      </c>
      <c r="N1193" s="398">
        <f t="shared" si="908"/>
        <v>26.555102040816326</v>
      </c>
      <c r="O1193" s="398">
        <f t="shared" si="908"/>
        <v>62.410204081632656</v>
      </c>
      <c r="P1193" s="398">
        <f t="shared" si="908"/>
        <v>23.897959183673468</v>
      </c>
      <c r="Q1193" s="398">
        <f t="shared" si="908"/>
        <v>23.897959183673468</v>
      </c>
      <c r="R1193" s="398">
        <f t="shared" si="908"/>
        <v>31.53265306122449</v>
      </c>
      <c r="S1193" s="398">
        <f t="shared" si="908"/>
        <v>29.873469387755101</v>
      </c>
      <c r="T1193" s="398">
        <f t="shared" si="908"/>
        <v>0</v>
      </c>
      <c r="U1193" s="398">
        <f t="shared" si="908"/>
        <v>62.410204081632656</v>
      </c>
      <c r="V1193" s="398">
        <f t="shared" si="908"/>
        <v>0</v>
      </c>
      <c r="W1193" s="398">
        <f t="shared" si="908"/>
        <v>23.897959183673468</v>
      </c>
      <c r="Y1193" s="390">
        <v>12530</v>
      </c>
      <c r="Z1193" s="390">
        <v>28462</v>
      </c>
      <c r="AA1193" s="390">
        <v>34155</v>
      </c>
      <c r="AB1193" s="390">
        <v>22770</v>
      </c>
      <c r="AC1193" s="390">
        <v>12198</v>
      </c>
      <c r="AD1193" s="390">
        <v>16264</v>
      </c>
      <c r="AE1193" s="390">
        <v>25210</v>
      </c>
      <c r="AF1193" s="390">
        <v>20656</v>
      </c>
      <c r="AG1193" s="390">
        <v>24396</v>
      </c>
      <c r="AH1193" s="390">
        <v>11710</v>
      </c>
      <c r="AI1193" s="390">
        <v>13012</v>
      </c>
      <c r="AJ1193" s="390">
        <v>30581</v>
      </c>
      <c r="AK1193" s="396">
        <v>11710</v>
      </c>
      <c r="AL1193" s="396">
        <v>11710</v>
      </c>
      <c r="AM1193" s="390">
        <v>15451</v>
      </c>
      <c r="AN1193" s="390">
        <v>14638</v>
      </c>
      <c r="AO1193" s="390"/>
      <c r="AP1193" s="396">
        <v>30581</v>
      </c>
      <c r="AQ1193" s="390"/>
      <c r="AR1193" s="396">
        <v>11710</v>
      </c>
      <c r="AS1193" s="390"/>
    </row>
    <row r="1194" spans="1:45" x14ac:dyDescent="0.3">
      <c r="B1194" s="57" t="s">
        <v>53</v>
      </c>
      <c r="C1194" s="58"/>
      <c r="D1194" s="25">
        <f>SUM(D1192:D1193)</f>
        <v>502.04242857142856</v>
      </c>
      <c r="E1194" s="26">
        <f t="shared" ref="E1194:W1194" si="909">SUM(E1192:E1193)</f>
        <v>534.55671428571429</v>
      </c>
      <c r="F1194" s="26">
        <f t="shared" si="909"/>
        <v>546.17508163265302</v>
      </c>
      <c r="G1194" s="26">
        <f t="shared" si="909"/>
        <v>522.94038775510205</v>
      </c>
      <c r="H1194" s="26">
        <f t="shared" si="909"/>
        <v>501.36487755102041</v>
      </c>
      <c r="I1194" s="26">
        <f t="shared" si="909"/>
        <v>509.66283673469388</v>
      </c>
      <c r="J1194" s="26">
        <f t="shared" si="909"/>
        <v>527.91997959183675</v>
      </c>
      <c r="K1194" s="26">
        <f t="shared" si="909"/>
        <v>518.62610204081636</v>
      </c>
      <c r="L1194" s="26">
        <f t="shared" si="909"/>
        <v>526.25875510204082</v>
      </c>
      <c r="M1194" s="26">
        <f t="shared" si="909"/>
        <v>500.3689591836735</v>
      </c>
      <c r="N1194" s="26">
        <f t="shared" si="909"/>
        <v>503.02610204081634</v>
      </c>
      <c r="O1194" s="26">
        <f t="shared" si="909"/>
        <v>538.88120408163263</v>
      </c>
      <c r="P1194" s="26">
        <f t="shared" si="909"/>
        <v>500.3689591836735</v>
      </c>
      <c r="Q1194" s="26">
        <f t="shared" si="909"/>
        <v>500.3689591836735</v>
      </c>
      <c r="R1194" s="26">
        <f t="shared" si="909"/>
        <v>508.0036530612245</v>
      </c>
      <c r="S1194" s="26">
        <f t="shared" si="909"/>
        <v>506.34446938775511</v>
      </c>
      <c r="T1194" s="26">
        <f t="shared" si="909"/>
        <v>506.44170000000003</v>
      </c>
      <c r="U1194" s="26">
        <f t="shared" si="909"/>
        <v>568.85190408163271</v>
      </c>
      <c r="V1194" s="26">
        <f t="shared" si="909"/>
        <v>506.44170000000003</v>
      </c>
      <c r="W1194" s="26">
        <f t="shared" si="909"/>
        <v>500.3689591836735</v>
      </c>
      <c r="Y1194" s="390">
        <v>490</v>
      </c>
      <c r="Z1194" s="390">
        <v>490</v>
      </c>
      <c r="AA1194" s="390">
        <v>490</v>
      </c>
      <c r="AB1194" s="390">
        <v>490</v>
      </c>
      <c r="AC1194" s="390">
        <v>490</v>
      </c>
      <c r="AD1194" s="390">
        <v>490</v>
      </c>
      <c r="AE1194" s="390">
        <v>490</v>
      </c>
      <c r="AF1194" s="390">
        <v>490</v>
      </c>
      <c r="AG1194" s="390">
        <v>490</v>
      </c>
      <c r="AH1194" s="390">
        <v>490</v>
      </c>
      <c r="AI1194" s="390">
        <v>490</v>
      </c>
      <c r="AJ1194" s="390">
        <v>490</v>
      </c>
      <c r="AK1194" s="390">
        <v>490</v>
      </c>
      <c r="AL1194" s="390">
        <v>490</v>
      </c>
      <c r="AM1194" s="390">
        <v>490</v>
      </c>
      <c r="AN1194" s="390">
        <v>490</v>
      </c>
      <c r="AO1194" s="390"/>
      <c r="AP1194" s="390">
        <v>490</v>
      </c>
      <c r="AQ1194" s="390"/>
      <c r="AR1194" s="390">
        <v>490</v>
      </c>
      <c r="AS1194" s="390"/>
    </row>
    <row r="1195" spans="1:45" x14ac:dyDescent="0.3">
      <c r="B1195" s="54" t="s">
        <v>54</v>
      </c>
      <c r="C1195" s="55"/>
      <c r="D1195" s="20"/>
      <c r="E1195" s="21"/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Y1195" s="389">
        <f>Y1193/Y1194</f>
        <v>25.571428571428573</v>
      </c>
      <c r="Z1195" s="389">
        <f t="shared" ref="Z1195:AN1195" si="910">Z1193/Z1194</f>
        <v>58.085714285714289</v>
      </c>
      <c r="AA1195" s="389">
        <f t="shared" si="910"/>
        <v>69.704081632653057</v>
      </c>
      <c r="AB1195" s="389">
        <f t="shared" si="910"/>
        <v>46.469387755102041</v>
      </c>
      <c r="AC1195" s="389">
        <f t="shared" si="910"/>
        <v>24.89387755102041</v>
      </c>
      <c r="AD1195" s="389">
        <f t="shared" si="910"/>
        <v>33.191836734693879</v>
      </c>
      <c r="AE1195" s="389">
        <f t="shared" si="910"/>
        <v>51.448979591836732</v>
      </c>
      <c r="AF1195" s="389">
        <f t="shared" si="910"/>
        <v>42.155102040816324</v>
      </c>
      <c r="AG1195" s="389">
        <f t="shared" si="910"/>
        <v>49.787755102040819</v>
      </c>
      <c r="AH1195" s="389">
        <f t="shared" si="910"/>
        <v>23.897959183673468</v>
      </c>
      <c r="AI1195" s="389">
        <f t="shared" si="910"/>
        <v>26.555102040816326</v>
      </c>
      <c r="AJ1195" s="389">
        <f t="shared" si="910"/>
        <v>62.410204081632656</v>
      </c>
      <c r="AK1195" s="389">
        <f t="shared" si="910"/>
        <v>23.897959183673468</v>
      </c>
      <c r="AL1195" s="389">
        <f t="shared" si="910"/>
        <v>23.897959183673468</v>
      </c>
      <c r="AM1195" s="389">
        <f t="shared" si="910"/>
        <v>31.53265306122449</v>
      </c>
      <c r="AN1195" s="389">
        <f t="shared" si="910"/>
        <v>29.873469387755101</v>
      </c>
      <c r="AO1195" s="390"/>
      <c r="AP1195" s="389">
        <f t="shared" ref="AP1195" si="911">AP1193/AP1194</f>
        <v>62.410204081632656</v>
      </c>
      <c r="AQ1195" s="390"/>
      <c r="AR1195" s="389">
        <f t="shared" ref="AR1195" si="912">AR1193/AR1194</f>
        <v>23.897959183673468</v>
      </c>
      <c r="AS1195" s="390"/>
    </row>
    <row r="1196" spans="1:45" x14ac:dyDescent="0.3">
      <c r="B1196" s="59" t="s">
        <v>55</v>
      </c>
      <c r="C1196" s="60"/>
      <c r="D1196" s="27">
        <f>SUM(D1194:D1195)</f>
        <v>502.04242857142856</v>
      </c>
      <c r="E1196" s="41">
        <f t="shared" ref="E1196:W1196" si="913">SUM(E1194:E1195)</f>
        <v>534.55671428571429</v>
      </c>
      <c r="F1196" s="41">
        <f t="shared" si="913"/>
        <v>546.17508163265302</v>
      </c>
      <c r="G1196" s="41">
        <f t="shared" si="913"/>
        <v>522.94038775510205</v>
      </c>
      <c r="H1196" s="41">
        <f t="shared" si="913"/>
        <v>501.36487755102041</v>
      </c>
      <c r="I1196" s="41">
        <f t="shared" si="913"/>
        <v>509.66283673469388</v>
      </c>
      <c r="J1196" s="41">
        <f t="shared" si="913"/>
        <v>527.91997959183675</v>
      </c>
      <c r="K1196" s="41">
        <f t="shared" si="913"/>
        <v>518.62610204081636</v>
      </c>
      <c r="L1196" s="41">
        <f t="shared" si="913"/>
        <v>526.25875510204082</v>
      </c>
      <c r="M1196" s="41">
        <f t="shared" si="913"/>
        <v>500.3689591836735</v>
      </c>
      <c r="N1196" s="41">
        <f t="shared" si="913"/>
        <v>503.02610204081634</v>
      </c>
      <c r="O1196" s="41">
        <f t="shared" si="913"/>
        <v>538.88120408163263</v>
      </c>
      <c r="P1196" s="41">
        <f t="shared" si="913"/>
        <v>500.3689591836735</v>
      </c>
      <c r="Q1196" s="41">
        <f t="shared" si="913"/>
        <v>500.3689591836735</v>
      </c>
      <c r="R1196" s="41">
        <f t="shared" si="913"/>
        <v>508.0036530612245</v>
      </c>
      <c r="S1196" s="41">
        <f t="shared" si="913"/>
        <v>506.34446938775511</v>
      </c>
      <c r="T1196" s="41">
        <f t="shared" si="913"/>
        <v>506.44170000000003</v>
      </c>
      <c r="U1196" s="41">
        <f t="shared" si="913"/>
        <v>568.85190408163271</v>
      </c>
      <c r="V1196" s="41">
        <f t="shared" si="913"/>
        <v>506.44170000000003</v>
      </c>
      <c r="W1196" s="41">
        <f t="shared" si="913"/>
        <v>500.3689591836735</v>
      </c>
      <c r="Y1196" s="390"/>
      <c r="Z1196" s="390"/>
      <c r="AA1196" s="390"/>
      <c r="AB1196" s="390"/>
      <c r="AC1196" s="390"/>
      <c r="AD1196" s="390"/>
      <c r="AE1196" s="390"/>
      <c r="AF1196" s="390"/>
      <c r="AG1196" s="390"/>
      <c r="AH1196" s="390"/>
      <c r="AI1196" s="390"/>
      <c r="AJ1196" s="390"/>
      <c r="AK1196" s="390"/>
      <c r="AL1196" s="390"/>
      <c r="AM1196" s="390"/>
      <c r="AN1196" s="390"/>
      <c r="AO1196" s="390"/>
      <c r="AP1196" s="390"/>
      <c r="AQ1196" s="390"/>
      <c r="AR1196" s="390"/>
      <c r="AS1196" s="390"/>
    </row>
    <row r="1197" spans="1:45" x14ac:dyDescent="0.3">
      <c r="B1197" s="61" t="s">
        <v>101</v>
      </c>
      <c r="C1197" s="55"/>
      <c r="D1197" s="28">
        <v>528</v>
      </c>
      <c r="E1197" s="28">
        <v>560</v>
      </c>
      <c r="F1197" s="28">
        <v>572</v>
      </c>
      <c r="G1197" s="28">
        <v>548</v>
      </c>
      <c r="H1197" s="28">
        <v>527</v>
      </c>
      <c r="I1197" s="28">
        <v>535</v>
      </c>
      <c r="J1197" s="28">
        <v>553</v>
      </c>
      <c r="K1197" s="28">
        <v>544</v>
      </c>
      <c r="L1197" s="28">
        <v>552</v>
      </c>
      <c r="M1197" s="28">
        <v>526</v>
      </c>
      <c r="N1197" s="28">
        <v>529</v>
      </c>
      <c r="O1197" s="28">
        <v>564</v>
      </c>
      <c r="P1197" s="28">
        <v>526</v>
      </c>
      <c r="Q1197" s="28">
        <v>526</v>
      </c>
      <c r="R1197" s="28">
        <v>534</v>
      </c>
      <c r="S1197" s="28">
        <v>532</v>
      </c>
      <c r="T1197" s="28">
        <v>532</v>
      </c>
      <c r="U1197" s="28">
        <v>594</v>
      </c>
      <c r="V1197" s="28">
        <v>532</v>
      </c>
      <c r="W1197" s="28">
        <v>526</v>
      </c>
      <c r="Y1197" s="390"/>
      <c r="Z1197" s="390"/>
      <c r="AA1197" s="390"/>
      <c r="AB1197" s="390"/>
      <c r="AC1197" s="390"/>
      <c r="AD1197" s="390"/>
      <c r="AE1197" s="390"/>
      <c r="AF1197" s="390"/>
      <c r="AG1197" s="390"/>
      <c r="AH1197" s="390"/>
      <c r="AI1197" s="390"/>
      <c r="AJ1197" s="390"/>
      <c r="AK1197" s="390"/>
      <c r="AL1197" s="390"/>
      <c r="AM1197" s="390"/>
      <c r="AN1197" s="390"/>
      <c r="AO1197" s="390"/>
      <c r="AP1197" s="390"/>
      <c r="AQ1197" s="390"/>
      <c r="AR1197" s="390"/>
      <c r="AS1197" s="390"/>
    </row>
    <row r="1198" spans="1:45" x14ac:dyDescent="0.3">
      <c r="B1198" s="61" t="s">
        <v>194</v>
      </c>
      <c r="C1198" s="62"/>
      <c r="D1198" s="28">
        <v>533</v>
      </c>
      <c r="E1198" s="28">
        <v>565</v>
      </c>
      <c r="F1198" s="28">
        <v>577</v>
      </c>
      <c r="G1198" s="28">
        <v>553</v>
      </c>
      <c r="H1198" s="28">
        <v>532</v>
      </c>
      <c r="I1198" s="28">
        <v>540</v>
      </c>
      <c r="J1198" s="28">
        <v>558</v>
      </c>
      <c r="K1198" s="28">
        <v>549</v>
      </c>
      <c r="L1198" s="28">
        <v>557</v>
      </c>
      <c r="M1198" s="28">
        <v>531</v>
      </c>
      <c r="N1198" s="28">
        <v>534</v>
      </c>
      <c r="O1198" s="28">
        <v>569</v>
      </c>
      <c r="P1198" s="28">
        <v>531</v>
      </c>
      <c r="Q1198" s="28">
        <v>531</v>
      </c>
      <c r="R1198" s="28">
        <v>539</v>
      </c>
      <c r="S1198" s="28">
        <v>537</v>
      </c>
      <c r="T1198" s="28">
        <v>537</v>
      </c>
      <c r="U1198" s="28">
        <v>599</v>
      </c>
      <c r="V1198" s="28">
        <v>537</v>
      </c>
      <c r="W1198" s="28">
        <v>531</v>
      </c>
      <c r="Y1198" s="390"/>
      <c r="Z1198" s="390"/>
      <c r="AA1198" s="390"/>
      <c r="AB1198" s="390"/>
      <c r="AC1198" s="390"/>
      <c r="AD1198" s="390"/>
      <c r="AE1198" s="390"/>
      <c r="AF1198" s="390"/>
      <c r="AG1198" s="390"/>
      <c r="AH1198" s="390"/>
      <c r="AI1198" s="390"/>
      <c r="AJ1198" s="390"/>
      <c r="AK1198" s="390"/>
      <c r="AL1198" s="390"/>
      <c r="AM1198" s="390"/>
      <c r="AN1198" s="390"/>
      <c r="AO1198" s="390"/>
      <c r="AP1198" s="390"/>
      <c r="AQ1198" s="390"/>
      <c r="AR1198" s="390"/>
      <c r="AS1198" s="390"/>
    </row>
    <row r="1199" spans="1:45" x14ac:dyDescent="0.3">
      <c r="B1199" s="61" t="s">
        <v>195</v>
      </c>
      <c r="C1199" s="62"/>
      <c r="D1199" s="28">
        <v>543</v>
      </c>
      <c r="E1199" s="28">
        <v>575</v>
      </c>
      <c r="F1199" s="28">
        <v>587</v>
      </c>
      <c r="G1199" s="28">
        <v>563</v>
      </c>
      <c r="H1199" s="28">
        <v>542</v>
      </c>
      <c r="I1199" s="28">
        <v>550</v>
      </c>
      <c r="J1199" s="28">
        <v>568</v>
      </c>
      <c r="K1199" s="28">
        <v>559</v>
      </c>
      <c r="L1199" s="28">
        <v>567</v>
      </c>
      <c r="M1199" s="28">
        <v>541</v>
      </c>
      <c r="N1199" s="28">
        <v>544</v>
      </c>
      <c r="O1199" s="28">
        <v>579</v>
      </c>
      <c r="P1199" s="28">
        <v>541</v>
      </c>
      <c r="Q1199" s="28">
        <v>541</v>
      </c>
      <c r="R1199" s="28">
        <v>549</v>
      </c>
      <c r="S1199" s="28">
        <v>547</v>
      </c>
      <c r="T1199" s="28">
        <v>547</v>
      </c>
      <c r="U1199" s="28">
        <v>609</v>
      </c>
      <c r="V1199" s="28">
        <v>547</v>
      </c>
      <c r="W1199" s="28">
        <v>541</v>
      </c>
      <c r="Y1199" s="390"/>
      <c r="Z1199" s="390"/>
      <c r="AA1199" s="390"/>
      <c r="AB1199" s="390"/>
      <c r="AC1199" s="390"/>
      <c r="AD1199" s="390"/>
      <c r="AE1199" s="390"/>
      <c r="AF1199" s="390"/>
      <c r="AG1199" s="390"/>
      <c r="AH1199" s="390"/>
      <c r="AI1199" s="390"/>
      <c r="AJ1199" s="390"/>
      <c r="AK1199" s="390"/>
      <c r="AL1199" s="390"/>
      <c r="AM1199" s="390"/>
      <c r="AN1199" s="390"/>
      <c r="AO1199" s="390"/>
      <c r="AP1199" s="390"/>
      <c r="AQ1199" s="390"/>
      <c r="AR1199" s="390"/>
      <c r="AS1199" s="390"/>
    </row>
    <row r="1200" spans="1:45" x14ac:dyDescent="0.3">
      <c r="B1200" s="61" t="s">
        <v>196</v>
      </c>
      <c r="C1200" s="62"/>
      <c r="D1200" s="28">
        <v>553</v>
      </c>
      <c r="E1200" s="28">
        <v>585</v>
      </c>
      <c r="F1200" s="28">
        <v>597</v>
      </c>
      <c r="G1200" s="28">
        <v>573</v>
      </c>
      <c r="H1200" s="28">
        <v>552</v>
      </c>
      <c r="I1200" s="28">
        <v>560</v>
      </c>
      <c r="J1200" s="28">
        <v>578</v>
      </c>
      <c r="K1200" s="28">
        <v>569</v>
      </c>
      <c r="L1200" s="28">
        <v>577</v>
      </c>
      <c r="M1200" s="28">
        <v>551</v>
      </c>
      <c r="N1200" s="28">
        <v>554</v>
      </c>
      <c r="O1200" s="28">
        <v>589</v>
      </c>
      <c r="P1200" s="28">
        <v>551</v>
      </c>
      <c r="Q1200" s="28">
        <v>551</v>
      </c>
      <c r="R1200" s="28">
        <v>559</v>
      </c>
      <c r="S1200" s="28">
        <v>557</v>
      </c>
      <c r="T1200" s="28">
        <v>557</v>
      </c>
      <c r="U1200" s="28">
        <v>619</v>
      </c>
      <c r="V1200" s="28">
        <v>557</v>
      </c>
      <c r="W1200" s="28">
        <v>551</v>
      </c>
      <c r="Y1200" s="390"/>
      <c r="Z1200" s="390"/>
      <c r="AA1200" s="390"/>
      <c r="AB1200" s="390"/>
      <c r="AC1200" s="390"/>
      <c r="AD1200" s="390"/>
      <c r="AE1200" s="390"/>
      <c r="AF1200" s="390"/>
      <c r="AG1200" s="390"/>
      <c r="AH1200" s="390"/>
      <c r="AI1200" s="390"/>
      <c r="AJ1200" s="390"/>
      <c r="AK1200" s="390"/>
      <c r="AL1200" s="390"/>
      <c r="AM1200" s="390"/>
      <c r="AN1200" s="390"/>
      <c r="AO1200" s="390"/>
      <c r="AP1200" s="390"/>
      <c r="AQ1200" s="390"/>
      <c r="AR1200" s="390"/>
      <c r="AS1200" s="390"/>
    </row>
    <row r="1201" spans="1:45" x14ac:dyDescent="0.3">
      <c r="B1201" s="61" t="s">
        <v>197</v>
      </c>
      <c r="C1201" s="62"/>
      <c r="D1201" s="28">
        <v>563</v>
      </c>
      <c r="E1201" s="28">
        <v>595</v>
      </c>
      <c r="F1201" s="28">
        <v>607</v>
      </c>
      <c r="G1201" s="28">
        <v>583</v>
      </c>
      <c r="H1201" s="28">
        <v>562</v>
      </c>
      <c r="I1201" s="28">
        <v>570</v>
      </c>
      <c r="J1201" s="28">
        <v>588</v>
      </c>
      <c r="K1201" s="28">
        <v>579</v>
      </c>
      <c r="L1201" s="28">
        <v>587</v>
      </c>
      <c r="M1201" s="28">
        <v>561</v>
      </c>
      <c r="N1201" s="28">
        <v>564</v>
      </c>
      <c r="O1201" s="28">
        <v>599</v>
      </c>
      <c r="P1201" s="28">
        <v>561</v>
      </c>
      <c r="Q1201" s="28">
        <v>561</v>
      </c>
      <c r="R1201" s="28">
        <v>569</v>
      </c>
      <c r="S1201" s="28">
        <v>567</v>
      </c>
      <c r="T1201" s="28">
        <v>567</v>
      </c>
      <c r="U1201" s="28">
        <v>629</v>
      </c>
      <c r="V1201" s="28">
        <v>567</v>
      </c>
      <c r="W1201" s="28">
        <v>561</v>
      </c>
      <c r="Y1201" s="390"/>
      <c r="Z1201" s="390"/>
      <c r="AA1201" s="390"/>
      <c r="AB1201" s="390"/>
      <c r="AC1201" s="390"/>
      <c r="AD1201" s="390"/>
      <c r="AE1201" s="390"/>
      <c r="AF1201" s="390"/>
      <c r="AG1201" s="390"/>
      <c r="AH1201" s="390"/>
      <c r="AI1201" s="390"/>
      <c r="AJ1201" s="390"/>
      <c r="AK1201" s="390"/>
      <c r="AL1201" s="390"/>
      <c r="AM1201" s="390"/>
      <c r="AN1201" s="390"/>
      <c r="AO1201" s="390"/>
      <c r="AP1201" s="390"/>
      <c r="AQ1201" s="390"/>
      <c r="AR1201" s="390"/>
      <c r="AS1201" s="390"/>
    </row>
    <row r="1202" spans="1:45" x14ac:dyDescent="0.3">
      <c r="B1202" s="63" t="s">
        <v>103</v>
      </c>
      <c r="C1202" s="62"/>
      <c r="D1202" s="31">
        <f>+D1197-D$1196</f>
        <v>25.957571428571441</v>
      </c>
      <c r="E1202" s="31">
        <f t="shared" ref="E1202:W1206" si="914">+E1197-E$1196</f>
        <v>25.443285714285707</v>
      </c>
      <c r="F1202" s="31">
        <f t="shared" si="914"/>
        <v>25.824918367346982</v>
      </c>
      <c r="G1202" s="31">
        <f t="shared" si="914"/>
        <v>25.059612244897949</v>
      </c>
      <c r="H1202" s="31">
        <f t="shared" si="914"/>
        <v>25.635122448979587</v>
      </c>
      <c r="I1202" s="31">
        <f t="shared" si="914"/>
        <v>25.337163265306117</v>
      </c>
      <c r="J1202" s="31">
        <f t="shared" si="914"/>
        <v>25.08002040816325</v>
      </c>
      <c r="K1202" s="31">
        <f t="shared" si="914"/>
        <v>25.373897959183637</v>
      </c>
      <c r="L1202" s="31">
        <f t="shared" si="914"/>
        <v>25.741244897959177</v>
      </c>
      <c r="M1202" s="31">
        <f t="shared" si="914"/>
        <v>25.631040816326504</v>
      </c>
      <c r="N1202" s="31">
        <f t="shared" si="914"/>
        <v>25.97389795918366</v>
      </c>
      <c r="O1202" s="31">
        <f t="shared" si="914"/>
        <v>25.118795918367368</v>
      </c>
      <c r="P1202" s="31">
        <f t="shared" si="914"/>
        <v>25.631040816326504</v>
      </c>
      <c r="Q1202" s="31">
        <f t="shared" si="914"/>
        <v>25.631040816326504</v>
      </c>
      <c r="R1202" s="31">
        <f t="shared" si="914"/>
        <v>25.996346938775503</v>
      </c>
      <c r="S1202" s="31">
        <f t="shared" si="914"/>
        <v>25.655530612244888</v>
      </c>
      <c r="T1202" s="31">
        <f t="shared" si="914"/>
        <v>25.558299999999974</v>
      </c>
      <c r="U1202" s="31">
        <f t="shared" si="914"/>
        <v>25.148095918367289</v>
      </c>
      <c r="V1202" s="31">
        <f t="shared" si="914"/>
        <v>25.558299999999974</v>
      </c>
      <c r="W1202" s="31">
        <f t="shared" si="914"/>
        <v>25.631040816326504</v>
      </c>
      <c r="Y1202" s="390"/>
      <c r="Z1202" s="390"/>
      <c r="AA1202" s="390"/>
      <c r="AB1202" s="390"/>
      <c r="AC1202" s="390"/>
      <c r="AD1202" s="390"/>
      <c r="AE1202" s="390"/>
      <c r="AF1202" s="390"/>
      <c r="AG1202" s="390"/>
      <c r="AH1202" s="390"/>
      <c r="AI1202" s="390"/>
      <c r="AJ1202" s="390"/>
      <c r="AK1202" s="390"/>
      <c r="AL1202" s="390"/>
      <c r="AM1202" s="390"/>
      <c r="AN1202" s="390"/>
      <c r="AO1202" s="390"/>
      <c r="AP1202" s="390"/>
      <c r="AQ1202" s="390"/>
      <c r="AR1202" s="390"/>
      <c r="AS1202" s="390"/>
    </row>
    <row r="1203" spans="1:45" x14ac:dyDescent="0.3">
      <c r="B1203" s="63" t="s">
        <v>198</v>
      </c>
      <c r="C1203" s="64"/>
      <c r="D1203" s="31">
        <f>+D1198-D$1196</f>
        <v>30.957571428571441</v>
      </c>
      <c r="E1203" s="31">
        <f t="shared" ref="E1203:S1203" si="915">+E1198-E$1196</f>
        <v>30.443285714285707</v>
      </c>
      <c r="F1203" s="31">
        <f t="shared" si="915"/>
        <v>30.824918367346982</v>
      </c>
      <c r="G1203" s="31">
        <f t="shared" si="915"/>
        <v>30.059612244897949</v>
      </c>
      <c r="H1203" s="31">
        <f t="shared" si="915"/>
        <v>30.635122448979587</v>
      </c>
      <c r="I1203" s="31">
        <f t="shared" si="915"/>
        <v>30.337163265306117</v>
      </c>
      <c r="J1203" s="31">
        <f t="shared" si="915"/>
        <v>30.08002040816325</v>
      </c>
      <c r="K1203" s="31">
        <f t="shared" si="915"/>
        <v>30.373897959183637</v>
      </c>
      <c r="L1203" s="31">
        <f t="shared" si="915"/>
        <v>30.741244897959177</v>
      </c>
      <c r="M1203" s="31">
        <f t="shared" si="915"/>
        <v>30.631040816326504</v>
      </c>
      <c r="N1203" s="31">
        <f t="shared" si="915"/>
        <v>30.97389795918366</v>
      </c>
      <c r="O1203" s="31">
        <f t="shared" si="915"/>
        <v>30.118795918367368</v>
      </c>
      <c r="P1203" s="31">
        <f t="shared" si="915"/>
        <v>30.631040816326504</v>
      </c>
      <c r="Q1203" s="31">
        <f t="shared" si="915"/>
        <v>30.631040816326504</v>
      </c>
      <c r="R1203" s="31">
        <f t="shared" si="915"/>
        <v>30.996346938775503</v>
      </c>
      <c r="S1203" s="31">
        <f t="shared" si="915"/>
        <v>30.655530612244888</v>
      </c>
      <c r="T1203" s="31">
        <f t="shared" si="914"/>
        <v>30.558299999999974</v>
      </c>
      <c r="U1203" s="31">
        <f t="shared" si="914"/>
        <v>30.148095918367289</v>
      </c>
      <c r="V1203" s="31">
        <f t="shared" si="914"/>
        <v>30.558299999999974</v>
      </c>
      <c r="W1203" s="31">
        <f t="shared" si="914"/>
        <v>30.631040816326504</v>
      </c>
      <c r="Y1203" s="390"/>
      <c r="Z1203" s="390"/>
      <c r="AA1203" s="390"/>
      <c r="AB1203" s="390"/>
      <c r="AC1203" s="390"/>
      <c r="AD1203" s="390"/>
      <c r="AE1203" s="390"/>
      <c r="AF1203" s="390"/>
      <c r="AG1203" s="390"/>
      <c r="AH1203" s="390"/>
      <c r="AI1203" s="390"/>
      <c r="AJ1203" s="390"/>
      <c r="AK1203" s="390"/>
      <c r="AL1203" s="390"/>
      <c r="AM1203" s="390"/>
      <c r="AN1203" s="390"/>
      <c r="AO1203" s="390"/>
      <c r="AP1203" s="390"/>
      <c r="AQ1203" s="390"/>
      <c r="AR1203" s="390"/>
      <c r="AS1203" s="390"/>
    </row>
    <row r="1204" spans="1:45" x14ac:dyDescent="0.3">
      <c r="B1204" s="63" t="s">
        <v>199</v>
      </c>
      <c r="C1204" s="64"/>
      <c r="D1204" s="31">
        <f>+D1199-D$1196</f>
        <v>40.957571428571441</v>
      </c>
      <c r="E1204" s="31">
        <f t="shared" si="914"/>
        <v>40.443285714285707</v>
      </c>
      <c r="F1204" s="31">
        <f t="shared" si="914"/>
        <v>40.824918367346982</v>
      </c>
      <c r="G1204" s="31">
        <f t="shared" si="914"/>
        <v>40.059612244897949</v>
      </c>
      <c r="H1204" s="31">
        <f t="shared" si="914"/>
        <v>40.635122448979587</v>
      </c>
      <c r="I1204" s="31">
        <f t="shared" si="914"/>
        <v>40.337163265306117</v>
      </c>
      <c r="J1204" s="31">
        <f t="shared" si="914"/>
        <v>40.08002040816325</v>
      </c>
      <c r="K1204" s="31">
        <f t="shared" si="914"/>
        <v>40.373897959183637</v>
      </c>
      <c r="L1204" s="31">
        <f t="shared" si="914"/>
        <v>40.741244897959177</v>
      </c>
      <c r="M1204" s="31">
        <f t="shared" si="914"/>
        <v>40.631040816326504</v>
      </c>
      <c r="N1204" s="31">
        <f t="shared" si="914"/>
        <v>40.97389795918366</v>
      </c>
      <c r="O1204" s="31">
        <f t="shared" si="914"/>
        <v>40.118795918367368</v>
      </c>
      <c r="P1204" s="31">
        <f t="shared" si="914"/>
        <v>40.631040816326504</v>
      </c>
      <c r="Q1204" s="31">
        <f t="shared" si="914"/>
        <v>40.631040816326504</v>
      </c>
      <c r="R1204" s="31">
        <f t="shared" si="914"/>
        <v>40.996346938775503</v>
      </c>
      <c r="S1204" s="31">
        <f t="shared" si="914"/>
        <v>40.655530612244888</v>
      </c>
      <c r="T1204" s="31">
        <f t="shared" si="914"/>
        <v>40.558299999999974</v>
      </c>
      <c r="U1204" s="31">
        <f t="shared" si="914"/>
        <v>40.148095918367289</v>
      </c>
      <c r="V1204" s="31">
        <f t="shared" si="914"/>
        <v>40.558299999999974</v>
      </c>
      <c r="W1204" s="31">
        <f t="shared" si="914"/>
        <v>40.631040816326504</v>
      </c>
      <c r="Y1204" s="390"/>
      <c r="Z1204" s="390"/>
      <c r="AA1204" s="390"/>
      <c r="AB1204" s="390"/>
      <c r="AC1204" s="390"/>
      <c r="AD1204" s="390"/>
      <c r="AE1204" s="390"/>
      <c r="AF1204" s="390"/>
      <c r="AG1204" s="390"/>
      <c r="AH1204" s="390"/>
      <c r="AI1204" s="390"/>
      <c r="AJ1204" s="390"/>
      <c r="AK1204" s="390"/>
      <c r="AL1204" s="390"/>
      <c r="AM1204" s="390"/>
      <c r="AN1204" s="390"/>
      <c r="AO1204" s="390"/>
      <c r="AP1204" s="390"/>
      <c r="AQ1204" s="390"/>
      <c r="AR1204" s="390"/>
      <c r="AS1204" s="390"/>
    </row>
    <row r="1205" spans="1:45" x14ac:dyDescent="0.3">
      <c r="B1205" s="63" t="s">
        <v>200</v>
      </c>
      <c r="C1205" s="64"/>
      <c r="D1205" s="31">
        <f>+D1200-D$1196</f>
        <v>50.957571428571441</v>
      </c>
      <c r="E1205" s="31">
        <f t="shared" si="914"/>
        <v>50.443285714285707</v>
      </c>
      <c r="F1205" s="31">
        <f t="shared" si="914"/>
        <v>50.824918367346982</v>
      </c>
      <c r="G1205" s="31">
        <f t="shared" si="914"/>
        <v>50.059612244897949</v>
      </c>
      <c r="H1205" s="31">
        <f t="shared" si="914"/>
        <v>50.635122448979587</v>
      </c>
      <c r="I1205" s="31">
        <f t="shared" si="914"/>
        <v>50.337163265306117</v>
      </c>
      <c r="J1205" s="31">
        <f t="shared" si="914"/>
        <v>50.08002040816325</v>
      </c>
      <c r="K1205" s="31">
        <f t="shared" si="914"/>
        <v>50.373897959183637</v>
      </c>
      <c r="L1205" s="31">
        <f t="shared" si="914"/>
        <v>50.741244897959177</v>
      </c>
      <c r="M1205" s="31">
        <f t="shared" si="914"/>
        <v>50.631040816326504</v>
      </c>
      <c r="N1205" s="31">
        <f t="shared" si="914"/>
        <v>50.97389795918366</v>
      </c>
      <c r="O1205" s="31">
        <f t="shared" si="914"/>
        <v>50.118795918367368</v>
      </c>
      <c r="P1205" s="31">
        <f t="shared" si="914"/>
        <v>50.631040816326504</v>
      </c>
      <c r="Q1205" s="31">
        <f t="shared" si="914"/>
        <v>50.631040816326504</v>
      </c>
      <c r="R1205" s="31">
        <f t="shared" si="914"/>
        <v>50.996346938775503</v>
      </c>
      <c r="S1205" s="31">
        <f t="shared" si="914"/>
        <v>50.655530612244888</v>
      </c>
      <c r="T1205" s="31">
        <f t="shared" si="914"/>
        <v>50.558299999999974</v>
      </c>
      <c r="U1205" s="31">
        <f t="shared" si="914"/>
        <v>50.148095918367289</v>
      </c>
      <c r="V1205" s="31">
        <f t="shared" si="914"/>
        <v>50.558299999999974</v>
      </c>
      <c r="W1205" s="31">
        <f t="shared" si="914"/>
        <v>50.631040816326504</v>
      </c>
      <c r="Y1205" s="390"/>
      <c r="Z1205" s="390"/>
      <c r="AA1205" s="390"/>
      <c r="AB1205" s="390"/>
      <c r="AC1205" s="390"/>
      <c r="AD1205" s="390"/>
      <c r="AE1205" s="390"/>
      <c r="AF1205" s="390"/>
      <c r="AG1205" s="390"/>
      <c r="AH1205" s="390"/>
      <c r="AI1205" s="390"/>
      <c r="AJ1205" s="390"/>
      <c r="AK1205" s="390"/>
      <c r="AL1205" s="390"/>
      <c r="AM1205" s="390"/>
      <c r="AN1205" s="390"/>
      <c r="AO1205" s="390"/>
      <c r="AP1205" s="390"/>
      <c r="AQ1205" s="390"/>
      <c r="AR1205" s="390"/>
      <c r="AS1205" s="390"/>
    </row>
    <row r="1206" spans="1:45" x14ac:dyDescent="0.3">
      <c r="B1206" s="63" t="s">
        <v>201</v>
      </c>
      <c r="C1206" s="64"/>
      <c r="D1206" s="31">
        <f>+D1201-D$1196</f>
        <v>60.957571428571441</v>
      </c>
      <c r="E1206" s="31">
        <f t="shared" si="914"/>
        <v>60.443285714285707</v>
      </c>
      <c r="F1206" s="31">
        <f t="shared" si="914"/>
        <v>60.824918367346982</v>
      </c>
      <c r="G1206" s="31">
        <f t="shared" si="914"/>
        <v>60.059612244897949</v>
      </c>
      <c r="H1206" s="31">
        <f t="shared" si="914"/>
        <v>60.635122448979587</v>
      </c>
      <c r="I1206" s="31">
        <f t="shared" si="914"/>
        <v>60.337163265306117</v>
      </c>
      <c r="J1206" s="31">
        <f t="shared" si="914"/>
        <v>60.08002040816325</v>
      </c>
      <c r="K1206" s="31">
        <f t="shared" si="914"/>
        <v>60.373897959183637</v>
      </c>
      <c r="L1206" s="31">
        <f t="shared" si="914"/>
        <v>60.741244897959177</v>
      </c>
      <c r="M1206" s="31">
        <f t="shared" si="914"/>
        <v>60.631040816326504</v>
      </c>
      <c r="N1206" s="31">
        <f t="shared" si="914"/>
        <v>60.97389795918366</v>
      </c>
      <c r="O1206" s="31">
        <f t="shared" si="914"/>
        <v>60.118795918367368</v>
      </c>
      <c r="P1206" s="31">
        <f t="shared" si="914"/>
        <v>60.631040816326504</v>
      </c>
      <c r="Q1206" s="31">
        <f t="shared" si="914"/>
        <v>60.631040816326504</v>
      </c>
      <c r="R1206" s="31">
        <f t="shared" si="914"/>
        <v>60.996346938775503</v>
      </c>
      <c r="S1206" s="31">
        <f t="shared" si="914"/>
        <v>60.655530612244888</v>
      </c>
      <c r="T1206" s="31">
        <f t="shared" si="914"/>
        <v>60.558299999999974</v>
      </c>
      <c r="U1206" s="31">
        <f t="shared" si="914"/>
        <v>60.148095918367289</v>
      </c>
      <c r="V1206" s="31">
        <f t="shared" si="914"/>
        <v>60.558299999999974</v>
      </c>
      <c r="W1206" s="31">
        <f t="shared" si="914"/>
        <v>60.631040816326504</v>
      </c>
      <c r="Y1206" s="390"/>
      <c r="Z1206" s="390"/>
      <c r="AA1206" s="390"/>
      <c r="AB1206" s="390"/>
      <c r="AC1206" s="390"/>
      <c r="AD1206" s="390"/>
      <c r="AE1206" s="390"/>
      <c r="AF1206" s="390"/>
      <c r="AG1206" s="390"/>
      <c r="AH1206" s="390"/>
      <c r="AI1206" s="390"/>
      <c r="AJ1206" s="390"/>
      <c r="AK1206" s="390"/>
      <c r="AL1206" s="390"/>
      <c r="AM1206" s="390"/>
      <c r="AN1206" s="390"/>
      <c r="AO1206" s="390"/>
      <c r="AP1206" s="390"/>
      <c r="AQ1206" s="390"/>
      <c r="AR1206" s="390"/>
      <c r="AS1206" s="390"/>
    </row>
    <row r="1207" spans="1:45" x14ac:dyDescent="0.3">
      <c r="B1207" s="65" t="s">
        <v>108</v>
      </c>
      <c r="C1207" s="64"/>
      <c r="D1207" s="99">
        <f>+D1202/D$1197</f>
        <v>4.9162067099567122E-2</v>
      </c>
      <c r="E1207" s="99">
        <f t="shared" ref="E1207:W1207" si="916">+E1202/E$1197</f>
        <v>4.5434438775510191E-2</v>
      </c>
      <c r="F1207" s="99">
        <f t="shared" si="916"/>
        <v>4.5148458684173047E-2</v>
      </c>
      <c r="G1207" s="99">
        <f t="shared" si="916"/>
        <v>4.5729219424996255E-2</v>
      </c>
      <c r="H1207" s="99">
        <f t="shared" si="916"/>
        <v>4.864349610812066E-2</v>
      </c>
      <c r="I1207" s="99">
        <f t="shared" si="916"/>
        <v>4.7359183673469377E-2</v>
      </c>
      <c r="J1207" s="99">
        <f t="shared" si="916"/>
        <v>4.5352658965937161E-2</v>
      </c>
      <c r="K1207" s="99">
        <f t="shared" si="916"/>
        <v>4.6643194777911096E-2</v>
      </c>
      <c r="L1207" s="99">
        <f t="shared" si="916"/>
        <v>4.6632690032534743E-2</v>
      </c>
      <c r="M1207" s="99">
        <f t="shared" si="916"/>
        <v>4.8728214479708182E-2</v>
      </c>
      <c r="N1207" s="99">
        <f t="shared" si="916"/>
        <v>4.9099996142124118E-2</v>
      </c>
      <c r="O1207" s="99">
        <f t="shared" si="916"/>
        <v>4.4536872195686826E-2</v>
      </c>
      <c r="P1207" s="99">
        <f t="shared" si="916"/>
        <v>4.8728214479708182E-2</v>
      </c>
      <c r="Q1207" s="99">
        <f t="shared" si="916"/>
        <v>4.8728214479708182E-2</v>
      </c>
      <c r="R1207" s="99">
        <f t="shared" si="916"/>
        <v>4.8682297638156374E-2</v>
      </c>
      <c r="S1207" s="99">
        <f t="shared" si="916"/>
        <v>4.8224681601964074E-2</v>
      </c>
      <c r="T1207" s="99">
        <f t="shared" si="916"/>
        <v>4.8041917293233032E-2</v>
      </c>
      <c r="U1207" s="99">
        <f t="shared" si="916"/>
        <v>4.2336861815433148E-2</v>
      </c>
      <c r="V1207" s="99">
        <f t="shared" si="916"/>
        <v>4.8041917293233032E-2</v>
      </c>
      <c r="W1207" s="99">
        <f t="shared" si="916"/>
        <v>4.8728214479708182E-2</v>
      </c>
      <c r="Y1207" s="390"/>
      <c r="Z1207" s="390"/>
      <c r="AA1207" s="390"/>
      <c r="AB1207" s="390"/>
      <c r="AC1207" s="390"/>
      <c r="AD1207" s="390"/>
      <c r="AE1207" s="390"/>
      <c r="AF1207" s="390"/>
      <c r="AG1207" s="390"/>
      <c r="AH1207" s="390"/>
      <c r="AI1207" s="390"/>
      <c r="AJ1207" s="390"/>
      <c r="AK1207" s="390"/>
      <c r="AL1207" s="390"/>
      <c r="AM1207" s="390"/>
      <c r="AN1207" s="390"/>
      <c r="AO1207" s="390"/>
      <c r="AP1207" s="390"/>
      <c r="AQ1207" s="390"/>
      <c r="AR1207" s="390"/>
      <c r="AS1207" s="390"/>
    </row>
    <row r="1208" spans="1:45" x14ac:dyDescent="0.3">
      <c r="B1208" s="65" t="s">
        <v>202</v>
      </c>
      <c r="C1208" s="66"/>
      <c r="D1208" s="99">
        <f>+D1203/D$1198</f>
        <v>5.8081747520771936E-2</v>
      </c>
      <c r="E1208" s="99">
        <f t="shared" ref="E1208:W1208" si="917">+E1203/E$1198</f>
        <v>5.3881921618204792E-2</v>
      </c>
      <c r="F1208" s="99">
        <f t="shared" si="917"/>
        <v>5.342273547200517E-2</v>
      </c>
      <c r="G1208" s="99">
        <f t="shared" si="917"/>
        <v>5.4357345831641861E-2</v>
      </c>
      <c r="H1208" s="99">
        <f t="shared" si="917"/>
        <v>5.7584816633420279E-2</v>
      </c>
      <c r="I1208" s="99">
        <f t="shared" si="917"/>
        <v>5.6179931972789109E-2</v>
      </c>
      <c r="J1208" s="99">
        <f t="shared" si="917"/>
        <v>5.3906846609611557E-2</v>
      </c>
      <c r="K1208" s="99">
        <f t="shared" si="917"/>
        <v>5.5325861492137772E-2</v>
      </c>
      <c r="L1208" s="99">
        <f t="shared" si="917"/>
        <v>5.5190744879639458E-2</v>
      </c>
      <c r="M1208" s="99">
        <f t="shared" si="917"/>
        <v>5.7685575925285316E-2</v>
      </c>
      <c r="N1208" s="99">
        <f t="shared" si="917"/>
        <v>5.8003554230681008E-2</v>
      </c>
      <c r="O1208" s="99">
        <f t="shared" si="917"/>
        <v>5.293285750152437E-2</v>
      </c>
      <c r="P1208" s="99">
        <f t="shared" si="917"/>
        <v>5.7685575925285316E-2</v>
      </c>
      <c r="Q1208" s="99">
        <f t="shared" si="917"/>
        <v>5.7685575925285316E-2</v>
      </c>
      <c r="R1208" s="99">
        <f t="shared" si="917"/>
        <v>5.7507137177691098E-2</v>
      </c>
      <c r="S1208" s="99">
        <f t="shared" si="917"/>
        <v>5.708664918481357E-2</v>
      </c>
      <c r="T1208" s="99">
        <f t="shared" si="917"/>
        <v>5.6905586592178724E-2</v>
      </c>
      <c r="U1208" s="99">
        <f t="shared" si="917"/>
        <v>5.0330711049027192E-2</v>
      </c>
      <c r="V1208" s="99">
        <f t="shared" si="917"/>
        <v>5.6905586592178724E-2</v>
      </c>
      <c r="W1208" s="99">
        <f t="shared" si="917"/>
        <v>5.7685575925285316E-2</v>
      </c>
      <c r="Y1208" s="390"/>
      <c r="Z1208" s="390"/>
      <c r="AA1208" s="390"/>
      <c r="AB1208" s="390"/>
      <c r="AC1208" s="390"/>
      <c r="AD1208" s="390"/>
      <c r="AE1208" s="390"/>
      <c r="AF1208" s="390"/>
      <c r="AG1208" s="390"/>
      <c r="AH1208" s="390"/>
      <c r="AI1208" s="390"/>
      <c r="AJ1208" s="390"/>
      <c r="AK1208" s="390"/>
      <c r="AL1208" s="390"/>
      <c r="AM1208" s="390"/>
      <c r="AN1208" s="390"/>
      <c r="AO1208" s="390"/>
      <c r="AP1208" s="390"/>
      <c r="AQ1208" s="390"/>
      <c r="AR1208" s="390"/>
      <c r="AS1208" s="390"/>
    </row>
    <row r="1209" spans="1:45" x14ac:dyDescent="0.3">
      <c r="B1209" s="65" t="s">
        <v>203</v>
      </c>
      <c r="C1209" s="66"/>
      <c r="D1209" s="99">
        <f>+D1204/D$1199</f>
        <v>7.5428308339910571E-2</v>
      </c>
      <c r="E1209" s="99">
        <f t="shared" ref="E1209:W1209" si="918">+E1204/E$1199</f>
        <v>7.0336149068322973E-2</v>
      </c>
      <c r="F1209" s="99">
        <f t="shared" si="918"/>
        <v>6.9548412891562147E-2</v>
      </c>
      <c r="G1209" s="99">
        <f t="shared" si="918"/>
        <v>7.1153840577083391E-2</v>
      </c>
      <c r="H1209" s="99">
        <f t="shared" si="918"/>
        <v>7.4972550643873773E-2</v>
      </c>
      <c r="I1209" s="99">
        <f t="shared" si="918"/>
        <v>7.3340296846011122E-2</v>
      </c>
      <c r="J1209" s="99">
        <f t="shared" si="918"/>
        <v>7.0563416211555013E-2</v>
      </c>
      <c r="K1209" s="99">
        <f t="shared" si="918"/>
        <v>7.2225219962761419E-2</v>
      </c>
      <c r="L1209" s="99">
        <f t="shared" si="918"/>
        <v>7.1854047439081442E-2</v>
      </c>
      <c r="M1209" s="99">
        <f t="shared" si="918"/>
        <v>7.5103587460862292E-2</v>
      </c>
      <c r="N1209" s="99">
        <f t="shared" si="918"/>
        <v>7.5319665366146427E-2</v>
      </c>
      <c r="O1209" s="99">
        <f t="shared" si="918"/>
        <v>6.9289802967819294E-2</v>
      </c>
      <c r="P1209" s="99">
        <f t="shared" si="918"/>
        <v>7.5103587460862292E-2</v>
      </c>
      <c r="Q1209" s="99">
        <f t="shared" si="918"/>
        <v>7.5103587460862292E-2</v>
      </c>
      <c r="R1209" s="99">
        <f t="shared" si="918"/>
        <v>7.4674584587933523E-2</v>
      </c>
      <c r="S1209" s="99">
        <f t="shared" si="918"/>
        <v>7.432455322165428E-2</v>
      </c>
      <c r="T1209" s="99">
        <f t="shared" si="918"/>
        <v>7.4146800731261384E-2</v>
      </c>
      <c r="U1209" s="99">
        <f t="shared" si="918"/>
        <v>6.592462383968356E-2</v>
      </c>
      <c r="V1209" s="99">
        <f t="shared" si="918"/>
        <v>7.4146800731261384E-2</v>
      </c>
      <c r="W1209" s="99">
        <f t="shared" si="918"/>
        <v>7.5103587460862292E-2</v>
      </c>
      <c r="Y1209" s="390"/>
      <c r="Z1209" s="390"/>
      <c r="AA1209" s="390"/>
      <c r="AB1209" s="390"/>
      <c r="AC1209" s="390"/>
      <c r="AD1209" s="390"/>
      <c r="AE1209" s="390"/>
      <c r="AF1209" s="390"/>
      <c r="AG1209" s="390"/>
      <c r="AH1209" s="390"/>
      <c r="AI1209" s="390"/>
      <c r="AJ1209" s="390"/>
      <c r="AK1209" s="390"/>
      <c r="AL1209" s="390"/>
      <c r="AM1209" s="390"/>
      <c r="AN1209" s="390"/>
      <c r="AO1209" s="390"/>
      <c r="AP1209" s="390"/>
      <c r="AQ1209" s="390"/>
      <c r="AR1209" s="390"/>
      <c r="AS1209" s="390"/>
    </row>
    <row r="1210" spans="1:45" x14ac:dyDescent="0.3">
      <c r="B1210" s="65" t="s">
        <v>204</v>
      </c>
      <c r="C1210" s="66"/>
      <c r="D1210" s="99">
        <f>+D1205/D$1200</f>
        <v>9.214750710410749E-2</v>
      </c>
      <c r="E1210" s="99">
        <f t="shared" ref="E1210:W1210" si="919">+E1205/E$1200</f>
        <v>8.6227838827838812E-2</v>
      </c>
      <c r="F1210" s="99">
        <f t="shared" si="919"/>
        <v>8.513386661197149E-2</v>
      </c>
      <c r="G1210" s="99">
        <f t="shared" si="919"/>
        <v>8.7364070235423988E-2</v>
      </c>
      <c r="H1210" s="99">
        <f t="shared" si="919"/>
        <v>9.1730294291629683E-2</v>
      </c>
      <c r="I1210" s="99">
        <f t="shared" si="919"/>
        <v>8.9887791545189499E-2</v>
      </c>
      <c r="J1210" s="99">
        <f t="shared" si="919"/>
        <v>8.6643633924157873E-2</v>
      </c>
      <c r="K1210" s="99">
        <f t="shared" si="919"/>
        <v>8.8530576378178627E-2</v>
      </c>
      <c r="L1210" s="99">
        <f t="shared" si="919"/>
        <v>8.7939765854348664E-2</v>
      </c>
      <c r="M1210" s="99">
        <f t="shared" si="919"/>
        <v>9.1889366272824874E-2</v>
      </c>
      <c r="N1210" s="99">
        <f t="shared" si="919"/>
        <v>9.2010646135710583E-2</v>
      </c>
      <c r="O1210" s="99">
        <f t="shared" si="919"/>
        <v>8.5091334326599946E-2</v>
      </c>
      <c r="P1210" s="99">
        <f t="shared" si="919"/>
        <v>9.1889366272824874E-2</v>
      </c>
      <c r="Q1210" s="99">
        <f t="shared" si="919"/>
        <v>9.1889366272824874E-2</v>
      </c>
      <c r="R1210" s="99">
        <f t="shared" si="919"/>
        <v>9.1227812055054563E-2</v>
      </c>
      <c r="S1210" s="99">
        <f t="shared" si="919"/>
        <v>9.0943501996848988E-2</v>
      </c>
      <c r="T1210" s="99">
        <f t="shared" si="919"/>
        <v>9.0768940754039448E-2</v>
      </c>
      <c r="U1210" s="99">
        <f t="shared" si="919"/>
        <v>8.1014694536942308E-2</v>
      </c>
      <c r="V1210" s="99">
        <f t="shared" si="919"/>
        <v>9.0768940754039448E-2</v>
      </c>
      <c r="W1210" s="99">
        <f t="shared" si="919"/>
        <v>9.1889366272824874E-2</v>
      </c>
      <c r="Y1210" s="390"/>
      <c r="Z1210" s="390"/>
      <c r="AA1210" s="390"/>
      <c r="AB1210" s="390"/>
      <c r="AC1210" s="390"/>
      <c r="AD1210" s="390"/>
      <c r="AE1210" s="390"/>
      <c r="AF1210" s="390"/>
      <c r="AG1210" s="390"/>
      <c r="AH1210" s="390"/>
      <c r="AI1210" s="390"/>
      <c r="AJ1210" s="390"/>
      <c r="AK1210" s="390"/>
      <c r="AL1210" s="390"/>
      <c r="AM1210" s="390"/>
      <c r="AN1210" s="390"/>
      <c r="AO1210" s="390"/>
      <c r="AP1210" s="390"/>
      <c r="AQ1210" s="390"/>
      <c r="AR1210" s="390"/>
      <c r="AS1210" s="390"/>
    </row>
    <row r="1211" spans="1:45" x14ac:dyDescent="0.3">
      <c r="B1211" s="65" t="s">
        <v>205</v>
      </c>
      <c r="C1211" s="66"/>
      <c r="D1211" s="99">
        <f>+D1206/D$1201</f>
        <v>0.10827277340776455</v>
      </c>
      <c r="E1211" s="99">
        <f t="shared" ref="E1211:W1211" si="920">+E1206/E$1201</f>
        <v>0.10158535414165665</v>
      </c>
      <c r="F1211" s="99">
        <f t="shared" si="920"/>
        <v>0.10020579632182369</v>
      </c>
      <c r="G1211" s="99">
        <f t="shared" si="920"/>
        <v>0.10301820282143731</v>
      </c>
      <c r="H1211" s="99">
        <f t="shared" si="920"/>
        <v>0.10789167695547969</v>
      </c>
      <c r="I1211" s="99">
        <f t="shared" si="920"/>
        <v>0.10585467239527389</v>
      </c>
      <c r="J1211" s="99">
        <f t="shared" si="920"/>
        <v>0.10217690545605995</v>
      </c>
      <c r="K1211" s="99">
        <f t="shared" si="920"/>
        <v>0.10427270804694928</v>
      </c>
      <c r="L1211" s="99">
        <f t="shared" si="920"/>
        <v>0.10347741890623369</v>
      </c>
      <c r="M1211" s="99">
        <f t="shared" si="920"/>
        <v>0.10807672159772995</v>
      </c>
      <c r="N1211" s="99">
        <f t="shared" si="920"/>
        <v>0.10810974815458095</v>
      </c>
      <c r="O1211" s="99">
        <f t="shared" si="920"/>
        <v>0.10036526864502064</v>
      </c>
      <c r="P1211" s="99">
        <f t="shared" si="920"/>
        <v>0.10807672159772995</v>
      </c>
      <c r="Q1211" s="99">
        <f t="shared" si="920"/>
        <v>0.10807672159772995</v>
      </c>
      <c r="R1211" s="99">
        <f t="shared" si="920"/>
        <v>0.10719920375883217</v>
      </c>
      <c r="S1211" s="99">
        <f t="shared" si="920"/>
        <v>0.10697624446604037</v>
      </c>
      <c r="T1211" s="99">
        <f t="shared" si="920"/>
        <v>0.10680476190476186</v>
      </c>
      <c r="U1211" s="99">
        <f t="shared" si="920"/>
        <v>9.5624953765289802E-2</v>
      </c>
      <c r="V1211" s="99">
        <f t="shared" si="920"/>
        <v>0.10680476190476186</v>
      </c>
      <c r="W1211" s="99">
        <f t="shared" si="920"/>
        <v>0.10807672159772995</v>
      </c>
      <c r="Y1211" s="390"/>
      <c r="Z1211" s="390"/>
      <c r="AA1211" s="390"/>
      <c r="AB1211" s="390"/>
      <c r="AC1211" s="390"/>
      <c r="AD1211" s="390"/>
      <c r="AE1211" s="390"/>
      <c r="AF1211" s="390"/>
      <c r="AG1211" s="390"/>
      <c r="AH1211" s="390"/>
      <c r="AI1211" s="390"/>
      <c r="AJ1211" s="390"/>
      <c r="AK1211" s="390"/>
      <c r="AL1211" s="390"/>
      <c r="AM1211" s="390"/>
      <c r="AN1211" s="390"/>
      <c r="AO1211" s="390"/>
      <c r="AP1211" s="390"/>
      <c r="AQ1211" s="390"/>
      <c r="AR1211" s="390"/>
      <c r="AS1211" s="390"/>
    </row>
    <row r="1212" spans="1:45" ht="21" thickBot="1" x14ac:dyDescent="0.35">
      <c r="Y1212" s="390"/>
      <c r="Z1212" s="390"/>
      <c r="AA1212" s="390"/>
      <c r="AB1212" s="390"/>
      <c r="AC1212" s="390"/>
      <c r="AD1212" s="390"/>
      <c r="AE1212" s="390"/>
      <c r="AF1212" s="390"/>
      <c r="AG1212" s="390"/>
      <c r="AH1212" s="390"/>
      <c r="AI1212" s="390"/>
      <c r="AJ1212" s="390"/>
      <c r="AK1212" s="390"/>
      <c r="AL1212" s="390"/>
      <c r="AM1212" s="390"/>
      <c r="AN1212" s="390"/>
      <c r="AO1212" s="390"/>
      <c r="AP1212" s="390"/>
      <c r="AQ1212" s="390"/>
      <c r="AR1212" s="390"/>
      <c r="AS1212" s="390"/>
    </row>
    <row r="1213" spans="1:45" ht="21" thickBot="1" x14ac:dyDescent="0.35">
      <c r="A1213" s="15" t="s">
        <v>348</v>
      </c>
      <c r="B1213" s="223" t="s">
        <v>226</v>
      </c>
      <c r="C1213" s="68"/>
      <c r="D1213" s="17" t="s">
        <v>5</v>
      </c>
      <c r="E1213" s="18" t="s">
        <v>6</v>
      </c>
      <c r="F1213" s="18" t="s">
        <v>7</v>
      </c>
      <c r="G1213" s="18" t="s">
        <v>8</v>
      </c>
      <c r="H1213" s="18" t="s">
        <v>9</v>
      </c>
      <c r="I1213" s="18" t="s">
        <v>10</v>
      </c>
      <c r="J1213" s="18" t="s">
        <v>11</v>
      </c>
      <c r="K1213" s="18" t="s">
        <v>12</v>
      </c>
      <c r="L1213" s="18" t="s">
        <v>13</v>
      </c>
      <c r="M1213" s="18" t="s">
        <v>14</v>
      </c>
      <c r="N1213" s="18" t="s">
        <v>15</v>
      </c>
      <c r="O1213" s="18" t="s">
        <v>16</v>
      </c>
      <c r="P1213" s="18" t="s">
        <v>17</v>
      </c>
      <c r="Q1213" s="18" t="s">
        <v>18</v>
      </c>
      <c r="R1213" s="18" t="s">
        <v>19</v>
      </c>
      <c r="S1213" s="18" t="s">
        <v>20</v>
      </c>
      <c r="T1213" s="18" t="s">
        <v>21</v>
      </c>
      <c r="U1213" s="18" t="s">
        <v>22</v>
      </c>
      <c r="V1213" s="18" t="s">
        <v>23</v>
      </c>
      <c r="W1213" s="18" t="s">
        <v>166</v>
      </c>
      <c r="Y1213" s="390"/>
      <c r="Z1213" s="390"/>
      <c r="AA1213" s="390"/>
      <c r="AB1213" s="390"/>
      <c r="AC1213" s="390"/>
      <c r="AD1213" s="390"/>
      <c r="AE1213" s="390"/>
      <c r="AF1213" s="390"/>
      <c r="AG1213" s="390"/>
      <c r="AH1213" s="390"/>
      <c r="AI1213" s="390"/>
      <c r="AJ1213" s="390"/>
      <c r="AK1213" s="390"/>
      <c r="AL1213" s="390"/>
      <c r="AM1213" s="390"/>
      <c r="AN1213" s="390"/>
      <c r="AO1213" s="390"/>
      <c r="AP1213" s="390"/>
      <c r="AQ1213" s="390"/>
      <c r="AR1213" s="390"/>
      <c r="AS1213" s="390"/>
    </row>
    <row r="1214" spans="1:45" x14ac:dyDescent="0.3">
      <c r="B1214" s="222" t="s">
        <v>50</v>
      </c>
      <c r="C1214" s="70"/>
      <c r="D1214" s="20">
        <v>980</v>
      </c>
      <c r="E1214" s="20">
        <v>980</v>
      </c>
      <c r="F1214" s="20">
        <v>980</v>
      </c>
      <c r="G1214" s="20">
        <v>980</v>
      </c>
      <c r="H1214" s="20">
        <v>980</v>
      </c>
      <c r="I1214" s="20">
        <v>980</v>
      </c>
      <c r="J1214" s="20">
        <v>980</v>
      </c>
      <c r="K1214" s="20">
        <v>980</v>
      </c>
      <c r="L1214" s="20">
        <v>980</v>
      </c>
      <c r="M1214" s="20">
        <v>980</v>
      </c>
      <c r="N1214" s="20">
        <v>980</v>
      </c>
      <c r="O1214" s="20">
        <v>980</v>
      </c>
      <c r="P1214" s="20">
        <v>980</v>
      </c>
      <c r="Q1214" s="20">
        <v>980</v>
      </c>
      <c r="R1214" s="20">
        <v>980</v>
      </c>
      <c r="S1214" s="20">
        <v>980</v>
      </c>
      <c r="T1214" s="20"/>
      <c r="U1214" s="20"/>
      <c r="V1214" s="20"/>
      <c r="W1214" s="20">
        <v>980</v>
      </c>
      <c r="Y1214" s="390"/>
      <c r="Z1214" s="390"/>
      <c r="AA1214" s="390"/>
      <c r="AB1214" s="390"/>
      <c r="AC1214" s="390"/>
      <c r="AD1214" s="390"/>
      <c r="AE1214" s="390"/>
      <c r="AF1214" s="390"/>
      <c r="AG1214" s="390"/>
      <c r="AH1214" s="390"/>
      <c r="AI1214" s="390"/>
      <c r="AJ1214" s="390"/>
      <c r="AK1214" s="390"/>
      <c r="AL1214" s="390"/>
      <c r="AM1214" s="390"/>
      <c r="AN1214" s="390"/>
      <c r="AO1214" s="390"/>
      <c r="AP1214" s="390"/>
      <c r="AQ1214" s="390"/>
      <c r="AR1214" s="390"/>
      <c r="AS1214" s="390"/>
    </row>
    <row r="1215" spans="1:45" x14ac:dyDescent="0.3">
      <c r="B1215" s="54" t="s">
        <v>51</v>
      </c>
      <c r="C1215" s="55"/>
      <c r="D1215" s="322">
        <v>0.39</v>
      </c>
      <c r="E1215" s="322">
        <f>D1215</f>
        <v>0.39</v>
      </c>
      <c r="F1215" s="322">
        <f t="shared" ref="F1215:S1215" si="921">E1215</f>
        <v>0.39</v>
      </c>
      <c r="G1215" s="322">
        <f t="shared" si="921"/>
        <v>0.39</v>
      </c>
      <c r="H1215" s="322">
        <f t="shared" si="921"/>
        <v>0.39</v>
      </c>
      <c r="I1215" s="322">
        <f t="shared" si="921"/>
        <v>0.39</v>
      </c>
      <c r="J1215" s="322">
        <f t="shared" si="921"/>
        <v>0.39</v>
      </c>
      <c r="K1215" s="322">
        <f t="shared" si="921"/>
        <v>0.39</v>
      </c>
      <c r="L1215" s="322">
        <f t="shared" si="921"/>
        <v>0.39</v>
      </c>
      <c r="M1215" s="322">
        <f t="shared" si="921"/>
        <v>0.39</v>
      </c>
      <c r="N1215" s="322">
        <f t="shared" si="921"/>
        <v>0.39</v>
      </c>
      <c r="O1215" s="322">
        <f t="shared" si="921"/>
        <v>0.39</v>
      </c>
      <c r="P1215" s="322">
        <f t="shared" si="921"/>
        <v>0.39</v>
      </c>
      <c r="Q1215" s="322">
        <f t="shared" si="921"/>
        <v>0.39</v>
      </c>
      <c r="R1215" s="322">
        <f t="shared" si="921"/>
        <v>0.39</v>
      </c>
      <c r="S1215" s="322">
        <f t="shared" si="921"/>
        <v>0.39</v>
      </c>
      <c r="T1215" s="218"/>
      <c r="U1215" s="218"/>
      <c r="V1215" s="218"/>
      <c r="W1215" s="322">
        <f>D1215</f>
        <v>0.39</v>
      </c>
      <c r="Y1215" s="390"/>
      <c r="Z1215" s="390"/>
      <c r="AA1215" s="390"/>
      <c r="AB1215" s="390"/>
      <c r="AC1215" s="390"/>
      <c r="AD1215" s="390"/>
      <c r="AE1215" s="390"/>
      <c r="AF1215" s="390"/>
      <c r="AG1215" s="390"/>
      <c r="AH1215" s="390"/>
      <c r="AI1215" s="390"/>
      <c r="AJ1215" s="390"/>
      <c r="AK1215" s="390"/>
      <c r="AL1215" s="390"/>
      <c r="AM1215" s="390"/>
      <c r="AN1215" s="390"/>
      <c r="AO1215" s="390"/>
      <c r="AP1215" s="390"/>
      <c r="AQ1215" s="390"/>
      <c r="AR1215" s="390"/>
      <c r="AS1215" s="390"/>
    </row>
    <row r="1216" spans="1:45" x14ac:dyDescent="0.3">
      <c r="B1216" s="54" t="s">
        <v>56</v>
      </c>
      <c r="C1216" s="55"/>
      <c r="D1216" s="21"/>
      <c r="E1216" s="21"/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Y1216" s="390"/>
      <c r="Z1216" s="390"/>
      <c r="AA1216" s="390"/>
      <c r="AB1216" s="390"/>
      <c r="AC1216" s="390"/>
      <c r="AD1216" s="390"/>
      <c r="AE1216" s="390"/>
      <c r="AF1216" s="390"/>
      <c r="AG1216" s="390"/>
      <c r="AH1216" s="390"/>
      <c r="AI1216" s="390"/>
      <c r="AJ1216" s="390"/>
      <c r="AK1216" s="390"/>
      <c r="AL1216" s="390"/>
      <c r="AM1216" s="390"/>
      <c r="AN1216" s="390"/>
      <c r="AO1216" s="390"/>
      <c r="AP1216" s="390"/>
      <c r="AQ1216" s="390"/>
      <c r="AR1216" s="390"/>
      <c r="AS1216" s="390"/>
    </row>
    <row r="1217" spans="2:45" x14ac:dyDescent="0.3">
      <c r="B1217" s="177" t="s">
        <v>67</v>
      </c>
      <c r="C1217" s="178"/>
      <c r="D1217" s="323">
        <f>D1214-(D1214*D1215)</f>
        <v>597.79999999999995</v>
      </c>
      <c r="E1217" s="323">
        <f t="shared" ref="E1217:W1217" si="922">E1214-(E1214*E1215)</f>
        <v>597.79999999999995</v>
      </c>
      <c r="F1217" s="323">
        <f t="shared" si="922"/>
        <v>597.79999999999995</v>
      </c>
      <c r="G1217" s="323">
        <f t="shared" si="922"/>
        <v>597.79999999999995</v>
      </c>
      <c r="H1217" s="323">
        <f t="shared" si="922"/>
        <v>597.79999999999995</v>
      </c>
      <c r="I1217" s="323">
        <f t="shared" si="922"/>
        <v>597.79999999999995</v>
      </c>
      <c r="J1217" s="323">
        <f t="shared" si="922"/>
        <v>597.79999999999995</v>
      </c>
      <c r="K1217" s="323">
        <f t="shared" si="922"/>
        <v>597.79999999999995</v>
      </c>
      <c r="L1217" s="323">
        <f t="shared" si="922"/>
        <v>597.79999999999995</v>
      </c>
      <c r="M1217" s="323">
        <f t="shared" si="922"/>
        <v>597.79999999999995</v>
      </c>
      <c r="N1217" s="323">
        <f t="shared" si="922"/>
        <v>597.79999999999995</v>
      </c>
      <c r="O1217" s="323">
        <f t="shared" si="922"/>
        <v>597.79999999999995</v>
      </c>
      <c r="P1217" s="323">
        <f t="shared" si="922"/>
        <v>597.79999999999995</v>
      </c>
      <c r="Q1217" s="323">
        <f t="shared" si="922"/>
        <v>597.79999999999995</v>
      </c>
      <c r="R1217" s="323">
        <f t="shared" si="922"/>
        <v>597.79999999999995</v>
      </c>
      <c r="S1217" s="323">
        <f t="shared" si="922"/>
        <v>597.79999999999995</v>
      </c>
      <c r="T1217" s="323">
        <f t="shared" si="922"/>
        <v>0</v>
      </c>
      <c r="U1217" s="323">
        <f t="shared" si="922"/>
        <v>0</v>
      </c>
      <c r="V1217" s="323">
        <f t="shared" si="922"/>
        <v>0</v>
      </c>
      <c r="W1217" s="323">
        <f t="shared" si="922"/>
        <v>597.79999999999995</v>
      </c>
      <c r="Y1217" s="390"/>
      <c r="Z1217" s="390"/>
      <c r="AA1217" s="390"/>
      <c r="AB1217" s="390"/>
      <c r="AC1217" s="390"/>
      <c r="AD1217" s="390"/>
      <c r="AE1217" s="390"/>
      <c r="AF1217" s="390"/>
      <c r="AG1217" s="390"/>
      <c r="AH1217" s="390"/>
      <c r="AI1217" s="390"/>
      <c r="AJ1217" s="390"/>
      <c r="AK1217" s="390"/>
      <c r="AL1217" s="390"/>
      <c r="AM1217" s="390"/>
      <c r="AN1217" s="390"/>
      <c r="AO1217" s="390"/>
      <c r="AP1217" s="390"/>
      <c r="AQ1217" s="390"/>
      <c r="AR1217" s="390"/>
      <c r="AS1217" s="390"/>
    </row>
    <row r="1218" spans="2:45" x14ac:dyDescent="0.3">
      <c r="B1218" s="54" t="s">
        <v>66</v>
      </c>
      <c r="C1218" s="56">
        <v>7.0000000000000007E-2</v>
      </c>
      <c r="D1218" s="24">
        <f>D1217*$C1218</f>
        <v>41.846000000000004</v>
      </c>
      <c r="E1218" s="24">
        <f t="shared" ref="E1218:W1218" si="923">E1217*$C1218</f>
        <v>41.846000000000004</v>
      </c>
      <c r="F1218" s="24">
        <f t="shared" si="923"/>
        <v>41.846000000000004</v>
      </c>
      <c r="G1218" s="24">
        <f t="shared" si="923"/>
        <v>41.846000000000004</v>
      </c>
      <c r="H1218" s="24">
        <f t="shared" si="923"/>
        <v>41.846000000000004</v>
      </c>
      <c r="I1218" s="24">
        <f t="shared" si="923"/>
        <v>41.846000000000004</v>
      </c>
      <c r="J1218" s="24">
        <f t="shared" si="923"/>
        <v>41.846000000000004</v>
      </c>
      <c r="K1218" s="24">
        <f t="shared" si="923"/>
        <v>41.846000000000004</v>
      </c>
      <c r="L1218" s="24">
        <f t="shared" si="923"/>
        <v>41.846000000000004</v>
      </c>
      <c r="M1218" s="24">
        <f t="shared" si="923"/>
        <v>41.846000000000004</v>
      </c>
      <c r="N1218" s="24">
        <f t="shared" si="923"/>
        <v>41.846000000000004</v>
      </c>
      <c r="O1218" s="24">
        <f t="shared" si="923"/>
        <v>41.846000000000004</v>
      </c>
      <c r="P1218" s="24">
        <f t="shared" si="923"/>
        <v>41.846000000000004</v>
      </c>
      <c r="Q1218" s="24">
        <f t="shared" si="923"/>
        <v>41.846000000000004</v>
      </c>
      <c r="R1218" s="24">
        <f t="shared" si="923"/>
        <v>41.846000000000004</v>
      </c>
      <c r="S1218" s="24">
        <f t="shared" si="923"/>
        <v>41.846000000000004</v>
      </c>
      <c r="T1218" s="24">
        <f t="shared" si="923"/>
        <v>0</v>
      </c>
      <c r="U1218" s="24">
        <f t="shared" si="923"/>
        <v>0</v>
      </c>
      <c r="V1218" s="24">
        <f t="shared" si="923"/>
        <v>0</v>
      </c>
      <c r="W1218" s="24">
        <f t="shared" si="923"/>
        <v>41.846000000000004</v>
      </c>
      <c r="Y1218" s="390"/>
      <c r="Z1218" s="390"/>
      <c r="AA1218" s="390"/>
      <c r="AB1218" s="390"/>
      <c r="AC1218" s="390"/>
      <c r="AD1218" s="390"/>
      <c r="AE1218" s="390"/>
      <c r="AF1218" s="390"/>
      <c r="AG1218" s="390"/>
      <c r="AH1218" s="390"/>
      <c r="AI1218" s="390"/>
      <c r="AJ1218" s="390"/>
      <c r="AK1218" s="390"/>
      <c r="AL1218" s="390"/>
      <c r="AM1218" s="390"/>
      <c r="AN1218" s="390"/>
      <c r="AO1218" s="390"/>
      <c r="AP1218" s="390"/>
      <c r="AQ1218" s="390"/>
      <c r="AR1218" s="390"/>
      <c r="AS1218" s="390"/>
    </row>
    <row r="1219" spans="2:45" x14ac:dyDescent="0.3">
      <c r="B1219" s="54" t="s">
        <v>68</v>
      </c>
      <c r="C1219" s="55"/>
      <c r="D1219" s="21">
        <f>D1217+D1218</f>
        <v>639.64599999999996</v>
      </c>
      <c r="E1219" s="21">
        <f t="shared" ref="E1219:W1219" si="924">E1217+E1218</f>
        <v>639.64599999999996</v>
      </c>
      <c r="F1219" s="21">
        <f t="shared" si="924"/>
        <v>639.64599999999996</v>
      </c>
      <c r="G1219" s="21">
        <f t="shared" si="924"/>
        <v>639.64599999999996</v>
      </c>
      <c r="H1219" s="21">
        <f t="shared" si="924"/>
        <v>639.64599999999996</v>
      </c>
      <c r="I1219" s="21">
        <f t="shared" si="924"/>
        <v>639.64599999999996</v>
      </c>
      <c r="J1219" s="21">
        <f t="shared" si="924"/>
        <v>639.64599999999996</v>
      </c>
      <c r="K1219" s="21">
        <f t="shared" si="924"/>
        <v>639.64599999999996</v>
      </c>
      <c r="L1219" s="21">
        <f t="shared" si="924"/>
        <v>639.64599999999996</v>
      </c>
      <c r="M1219" s="21">
        <f t="shared" si="924"/>
        <v>639.64599999999996</v>
      </c>
      <c r="N1219" s="21">
        <f t="shared" si="924"/>
        <v>639.64599999999996</v>
      </c>
      <c r="O1219" s="21">
        <f t="shared" si="924"/>
        <v>639.64599999999996</v>
      </c>
      <c r="P1219" s="21">
        <f t="shared" si="924"/>
        <v>639.64599999999996</v>
      </c>
      <c r="Q1219" s="21">
        <f t="shared" si="924"/>
        <v>639.64599999999996</v>
      </c>
      <c r="R1219" s="21">
        <f t="shared" si="924"/>
        <v>639.64599999999996</v>
      </c>
      <c r="S1219" s="21">
        <f t="shared" si="924"/>
        <v>639.64599999999996</v>
      </c>
      <c r="T1219" s="21">
        <f t="shared" si="924"/>
        <v>0</v>
      </c>
      <c r="U1219" s="21">
        <f t="shared" si="924"/>
        <v>0</v>
      </c>
      <c r="V1219" s="21">
        <f t="shared" si="924"/>
        <v>0</v>
      </c>
      <c r="W1219" s="21">
        <f t="shared" si="924"/>
        <v>639.64599999999996</v>
      </c>
      <c r="Y1219" s="390"/>
      <c r="Z1219" s="390"/>
      <c r="AA1219" s="390"/>
      <c r="AB1219" s="390"/>
      <c r="AC1219" s="390"/>
      <c r="AD1219" s="390"/>
      <c r="AE1219" s="390"/>
      <c r="AF1219" s="390"/>
      <c r="AG1219" s="390"/>
      <c r="AH1219" s="390"/>
      <c r="AI1219" s="390"/>
      <c r="AJ1219" s="390"/>
      <c r="AK1219" s="390"/>
      <c r="AL1219" s="390"/>
      <c r="AM1219" s="390"/>
      <c r="AN1219" s="390"/>
      <c r="AO1219" s="390"/>
      <c r="AP1219" s="390"/>
      <c r="AQ1219" s="390"/>
      <c r="AR1219" s="390"/>
      <c r="AS1219" s="390"/>
    </row>
    <row r="1220" spans="2:45" x14ac:dyDescent="0.3">
      <c r="B1220" s="54" t="s">
        <v>52</v>
      </c>
      <c r="C1220" s="55"/>
      <c r="D1220" s="398">
        <f>Y1222</f>
        <v>34.805555555555557</v>
      </c>
      <c r="E1220" s="398">
        <f t="shared" ref="E1220:W1220" si="925">Z1222</f>
        <v>79.061111111111117</v>
      </c>
      <c r="F1220" s="398">
        <f t="shared" si="925"/>
        <v>94.875</v>
      </c>
      <c r="G1220" s="398">
        <f t="shared" si="925"/>
        <v>63.25</v>
      </c>
      <c r="H1220" s="398">
        <f t="shared" si="925"/>
        <v>33.883333333333333</v>
      </c>
      <c r="I1220" s="398">
        <f t="shared" si="925"/>
        <v>45.177777777777777</v>
      </c>
      <c r="J1220" s="398">
        <f t="shared" si="925"/>
        <v>70.027777777777771</v>
      </c>
      <c r="K1220" s="398">
        <f t="shared" si="925"/>
        <v>57.37777777777778</v>
      </c>
      <c r="L1220" s="398">
        <f t="shared" si="925"/>
        <v>67.766666666666666</v>
      </c>
      <c r="M1220" s="398">
        <f t="shared" si="925"/>
        <v>32.527777777777779</v>
      </c>
      <c r="N1220" s="398">
        <f t="shared" si="925"/>
        <v>36.144444444444446</v>
      </c>
      <c r="O1220" s="398">
        <f t="shared" si="925"/>
        <v>84.947222222222223</v>
      </c>
      <c r="P1220" s="398">
        <f t="shared" si="925"/>
        <v>32.527777777777779</v>
      </c>
      <c r="Q1220" s="398">
        <f t="shared" si="925"/>
        <v>32.527777777777779</v>
      </c>
      <c r="R1220" s="398">
        <f t="shared" si="925"/>
        <v>42.919444444444444</v>
      </c>
      <c r="S1220" s="398">
        <f t="shared" si="925"/>
        <v>40.661111111111111</v>
      </c>
      <c r="T1220" s="398">
        <f t="shared" si="925"/>
        <v>0</v>
      </c>
      <c r="U1220" s="398">
        <v>0</v>
      </c>
      <c r="V1220" s="398">
        <f t="shared" si="925"/>
        <v>0</v>
      </c>
      <c r="W1220" s="398">
        <f t="shared" si="925"/>
        <v>32.527777777777779</v>
      </c>
      <c r="Y1220" s="390">
        <v>12530</v>
      </c>
      <c r="Z1220" s="390">
        <v>28462</v>
      </c>
      <c r="AA1220" s="390">
        <v>34155</v>
      </c>
      <c r="AB1220" s="390">
        <v>22770</v>
      </c>
      <c r="AC1220" s="390">
        <v>12198</v>
      </c>
      <c r="AD1220" s="390">
        <v>16264</v>
      </c>
      <c r="AE1220" s="390">
        <v>25210</v>
      </c>
      <c r="AF1220" s="390">
        <v>20656</v>
      </c>
      <c r="AG1220" s="390">
        <v>24396</v>
      </c>
      <c r="AH1220" s="390">
        <v>11710</v>
      </c>
      <c r="AI1220" s="390">
        <v>13012</v>
      </c>
      <c r="AJ1220" s="390">
        <v>30581</v>
      </c>
      <c r="AK1220" s="396">
        <v>11710</v>
      </c>
      <c r="AL1220" s="396">
        <v>11710</v>
      </c>
      <c r="AM1220" s="390">
        <v>15451</v>
      </c>
      <c r="AN1220" s="390">
        <v>14638</v>
      </c>
      <c r="AO1220" s="390"/>
      <c r="AP1220" s="396">
        <v>30581</v>
      </c>
      <c r="AQ1220" s="390"/>
      <c r="AR1220" s="396">
        <v>11710</v>
      </c>
      <c r="AS1220" s="390"/>
    </row>
    <row r="1221" spans="2:45" x14ac:dyDescent="0.3">
      <c r="B1221" s="57" t="s">
        <v>53</v>
      </c>
      <c r="C1221" s="58"/>
      <c r="D1221" s="25">
        <f>SUM(D1219:D1220)</f>
        <v>674.4515555555555</v>
      </c>
      <c r="E1221" s="26">
        <f t="shared" ref="E1221:W1221" si="926">SUM(E1219:E1220)</f>
        <v>718.70711111111109</v>
      </c>
      <c r="F1221" s="26">
        <f t="shared" si="926"/>
        <v>734.52099999999996</v>
      </c>
      <c r="G1221" s="26">
        <f t="shared" si="926"/>
        <v>702.89599999999996</v>
      </c>
      <c r="H1221" s="26">
        <f t="shared" si="926"/>
        <v>673.52933333333328</v>
      </c>
      <c r="I1221" s="26">
        <f t="shared" si="926"/>
        <v>684.82377777777776</v>
      </c>
      <c r="J1221" s="26">
        <f t="shared" si="926"/>
        <v>709.67377777777779</v>
      </c>
      <c r="K1221" s="26">
        <f t="shared" si="926"/>
        <v>697.0237777777777</v>
      </c>
      <c r="L1221" s="26">
        <f t="shared" si="926"/>
        <v>707.41266666666661</v>
      </c>
      <c r="M1221" s="26">
        <f t="shared" si="926"/>
        <v>672.17377777777779</v>
      </c>
      <c r="N1221" s="26">
        <f t="shared" si="926"/>
        <v>675.79044444444435</v>
      </c>
      <c r="O1221" s="26">
        <f t="shared" si="926"/>
        <v>724.59322222222215</v>
      </c>
      <c r="P1221" s="26">
        <f t="shared" si="926"/>
        <v>672.17377777777779</v>
      </c>
      <c r="Q1221" s="26">
        <f t="shared" si="926"/>
        <v>672.17377777777779</v>
      </c>
      <c r="R1221" s="26">
        <f t="shared" si="926"/>
        <v>682.56544444444444</v>
      </c>
      <c r="S1221" s="26">
        <f t="shared" si="926"/>
        <v>680.30711111111111</v>
      </c>
      <c r="T1221" s="26">
        <f t="shared" si="926"/>
        <v>0</v>
      </c>
      <c r="U1221" s="26">
        <f t="shared" si="926"/>
        <v>0</v>
      </c>
      <c r="V1221" s="26">
        <f t="shared" si="926"/>
        <v>0</v>
      </c>
      <c r="W1221" s="26">
        <f t="shared" si="926"/>
        <v>672.17377777777779</v>
      </c>
      <c r="Y1221" s="390">
        <v>360</v>
      </c>
      <c r="Z1221" s="390">
        <v>360</v>
      </c>
      <c r="AA1221" s="390">
        <v>360</v>
      </c>
      <c r="AB1221" s="390">
        <v>360</v>
      </c>
      <c r="AC1221" s="390">
        <v>360</v>
      </c>
      <c r="AD1221" s="390">
        <v>360</v>
      </c>
      <c r="AE1221" s="390">
        <v>360</v>
      </c>
      <c r="AF1221" s="390">
        <v>360</v>
      </c>
      <c r="AG1221" s="390">
        <v>360</v>
      </c>
      <c r="AH1221" s="390">
        <v>360</v>
      </c>
      <c r="AI1221" s="390">
        <v>360</v>
      </c>
      <c r="AJ1221" s="390">
        <v>360</v>
      </c>
      <c r="AK1221" s="390">
        <v>360</v>
      </c>
      <c r="AL1221" s="390">
        <v>360</v>
      </c>
      <c r="AM1221" s="390">
        <v>360</v>
      </c>
      <c r="AN1221" s="390">
        <v>360</v>
      </c>
      <c r="AO1221" s="390"/>
      <c r="AP1221" s="390">
        <v>360</v>
      </c>
      <c r="AQ1221" s="390"/>
      <c r="AR1221" s="390">
        <v>360</v>
      </c>
      <c r="AS1221" s="390"/>
    </row>
    <row r="1222" spans="2:45" x14ac:dyDescent="0.3">
      <c r="B1222" s="54" t="s">
        <v>54</v>
      </c>
      <c r="C1222" s="55"/>
      <c r="D1222" s="20"/>
      <c r="E1222" s="21"/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Y1222" s="389">
        <f>Y1220/Y1221</f>
        <v>34.805555555555557</v>
      </c>
      <c r="Z1222" s="389">
        <f t="shared" ref="Z1222:AN1222" si="927">Z1220/Z1221</f>
        <v>79.061111111111117</v>
      </c>
      <c r="AA1222" s="389">
        <f t="shared" si="927"/>
        <v>94.875</v>
      </c>
      <c r="AB1222" s="389">
        <f t="shared" si="927"/>
        <v>63.25</v>
      </c>
      <c r="AC1222" s="389">
        <f t="shared" si="927"/>
        <v>33.883333333333333</v>
      </c>
      <c r="AD1222" s="389">
        <f t="shared" si="927"/>
        <v>45.177777777777777</v>
      </c>
      <c r="AE1222" s="389">
        <f t="shared" si="927"/>
        <v>70.027777777777771</v>
      </c>
      <c r="AF1222" s="389">
        <f t="shared" si="927"/>
        <v>57.37777777777778</v>
      </c>
      <c r="AG1222" s="389">
        <f t="shared" si="927"/>
        <v>67.766666666666666</v>
      </c>
      <c r="AH1222" s="389">
        <f t="shared" si="927"/>
        <v>32.527777777777779</v>
      </c>
      <c r="AI1222" s="389">
        <f t="shared" si="927"/>
        <v>36.144444444444446</v>
      </c>
      <c r="AJ1222" s="389">
        <f t="shared" si="927"/>
        <v>84.947222222222223</v>
      </c>
      <c r="AK1222" s="389">
        <f t="shared" si="927"/>
        <v>32.527777777777779</v>
      </c>
      <c r="AL1222" s="389">
        <f t="shared" si="927"/>
        <v>32.527777777777779</v>
      </c>
      <c r="AM1222" s="389">
        <f t="shared" si="927"/>
        <v>42.919444444444444</v>
      </c>
      <c r="AN1222" s="389">
        <f t="shared" si="927"/>
        <v>40.661111111111111</v>
      </c>
      <c r="AO1222" s="390"/>
      <c r="AP1222" s="389">
        <f t="shared" ref="AP1222" si="928">AP1220/AP1221</f>
        <v>84.947222222222223</v>
      </c>
      <c r="AQ1222" s="390"/>
      <c r="AR1222" s="389">
        <f t="shared" ref="AR1222" si="929">AR1220/AR1221</f>
        <v>32.527777777777779</v>
      </c>
      <c r="AS1222" s="390"/>
    </row>
    <row r="1223" spans="2:45" x14ac:dyDescent="0.3">
      <c r="B1223" s="59" t="s">
        <v>55</v>
      </c>
      <c r="C1223" s="60"/>
      <c r="D1223" s="27">
        <f>SUM(D1221:D1222)</f>
        <v>674.4515555555555</v>
      </c>
      <c r="E1223" s="41">
        <f t="shared" ref="E1223:W1223" si="930">SUM(E1221:E1222)</f>
        <v>718.70711111111109</v>
      </c>
      <c r="F1223" s="41">
        <f t="shared" si="930"/>
        <v>734.52099999999996</v>
      </c>
      <c r="G1223" s="41">
        <f t="shared" si="930"/>
        <v>702.89599999999996</v>
      </c>
      <c r="H1223" s="41">
        <f t="shared" si="930"/>
        <v>673.52933333333328</v>
      </c>
      <c r="I1223" s="41">
        <f t="shared" si="930"/>
        <v>684.82377777777776</v>
      </c>
      <c r="J1223" s="41">
        <f t="shared" si="930"/>
        <v>709.67377777777779</v>
      </c>
      <c r="K1223" s="41">
        <f t="shared" si="930"/>
        <v>697.0237777777777</v>
      </c>
      <c r="L1223" s="41">
        <f t="shared" si="930"/>
        <v>707.41266666666661</v>
      </c>
      <c r="M1223" s="41">
        <f t="shared" si="930"/>
        <v>672.17377777777779</v>
      </c>
      <c r="N1223" s="41">
        <f t="shared" si="930"/>
        <v>675.79044444444435</v>
      </c>
      <c r="O1223" s="41">
        <f t="shared" si="930"/>
        <v>724.59322222222215</v>
      </c>
      <c r="P1223" s="41">
        <f t="shared" si="930"/>
        <v>672.17377777777779</v>
      </c>
      <c r="Q1223" s="41">
        <f t="shared" si="930"/>
        <v>672.17377777777779</v>
      </c>
      <c r="R1223" s="41">
        <f t="shared" si="930"/>
        <v>682.56544444444444</v>
      </c>
      <c r="S1223" s="41">
        <f t="shared" si="930"/>
        <v>680.30711111111111</v>
      </c>
      <c r="T1223" s="41">
        <f t="shared" si="930"/>
        <v>0</v>
      </c>
      <c r="U1223" s="41">
        <f t="shared" si="930"/>
        <v>0</v>
      </c>
      <c r="V1223" s="41">
        <f t="shared" si="930"/>
        <v>0</v>
      </c>
      <c r="W1223" s="41">
        <f t="shared" si="930"/>
        <v>672.17377777777779</v>
      </c>
      <c r="Y1223" s="390"/>
      <c r="Z1223" s="390"/>
      <c r="AA1223" s="390"/>
      <c r="AB1223" s="390"/>
      <c r="AC1223" s="390"/>
      <c r="AD1223" s="390"/>
      <c r="AE1223" s="390"/>
      <c r="AF1223" s="390"/>
      <c r="AG1223" s="390"/>
      <c r="AH1223" s="390"/>
      <c r="AI1223" s="390"/>
      <c r="AJ1223" s="390"/>
      <c r="AK1223" s="390"/>
      <c r="AL1223" s="390"/>
      <c r="AM1223" s="390"/>
      <c r="AN1223" s="390"/>
      <c r="AO1223" s="390"/>
      <c r="AP1223" s="390"/>
      <c r="AQ1223" s="390"/>
      <c r="AR1223" s="390"/>
      <c r="AS1223" s="390"/>
    </row>
    <row r="1224" spans="2:45" x14ac:dyDescent="0.3">
      <c r="B1224" s="61" t="s">
        <v>101</v>
      </c>
      <c r="C1224" s="55"/>
      <c r="D1224" s="228">
        <v>710</v>
      </c>
      <c r="E1224" s="229">
        <v>754</v>
      </c>
      <c r="F1224" s="229">
        <v>770</v>
      </c>
      <c r="G1224" s="229">
        <v>738</v>
      </c>
      <c r="H1224" s="229">
        <v>709</v>
      </c>
      <c r="I1224" s="229">
        <v>720</v>
      </c>
      <c r="J1224" s="229">
        <v>745</v>
      </c>
      <c r="K1224" s="229">
        <v>733</v>
      </c>
      <c r="L1224" s="229">
        <v>743</v>
      </c>
      <c r="M1224" s="229">
        <v>708</v>
      </c>
      <c r="N1224" s="229">
        <v>711</v>
      </c>
      <c r="O1224" s="229">
        <v>760</v>
      </c>
      <c r="P1224" s="229">
        <v>708</v>
      </c>
      <c r="Q1224" s="229">
        <v>708</v>
      </c>
      <c r="R1224" s="229">
        <v>718</v>
      </c>
      <c r="S1224" s="229">
        <v>716</v>
      </c>
      <c r="T1224" s="21">
        <v>0</v>
      </c>
      <c r="U1224" s="21">
        <v>0</v>
      </c>
      <c r="V1224" s="21">
        <v>0</v>
      </c>
      <c r="W1224" s="229">
        <v>708</v>
      </c>
      <c r="Y1224" s="390"/>
      <c r="Z1224" s="390"/>
      <c r="AA1224" s="390"/>
      <c r="AB1224" s="390"/>
      <c r="AC1224" s="390"/>
      <c r="AD1224" s="390"/>
      <c r="AE1224" s="390"/>
      <c r="AF1224" s="390"/>
      <c r="AG1224" s="390"/>
      <c r="AH1224" s="390"/>
      <c r="AI1224" s="390"/>
      <c r="AJ1224" s="390"/>
      <c r="AK1224" s="390"/>
      <c r="AL1224" s="390"/>
      <c r="AM1224" s="390"/>
      <c r="AN1224" s="390"/>
      <c r="AO1224" s="390"/>
      <c r="AP1224" s="390"/>
      <c r="AQ1224" s="390"/>
      <c r="AR1224" s="390"/>
      <c r="AS1224" s="390"/>
    </row>
    <row r="1225" spans="2:45" x14ac:dyDescent="0.3">
      <c r="B1225" s="61" t="s">
        <v>194</v>
      </c>
      <c r="C1225" s="62"/>
      <c r="D1225" s="28">
        <v>715</v>
      </c>
      <c r="E1225" s="28">
        <v>759</v>
      </c>
      <c r="F1225" s="28">
        <v>775</v>
      </c>
      <c r="G1225" s="28">
        <v>743</v>
      </c>
      <c r="H1225" s="28">
        <v>714</v>
      </c>
      <c r="I1225" s="28">
        <v>725</v>
      </c>
      <c r="J1225" s="28">
        <v>750</v>
      </c>
      <c r="K1225" s="28">
        <v>738</v>
      </c>
      <c r="L1225" s="28">
        <v>748</v>
      </c>
      <c r="M1225" s="28">
        <v>713</v>
      </c>
      <c r="N1225" s="28">
        <v>716</v>
      </c>
      <c r="O1225" s="28">
        <v>765</v>
      </c>
      <c r="P1225" s="28">
        <v>713</v>
      </c>
      <c r="Q1225" s="28">
        <v>713</v>
      </c>
      <c r="R1225" s="28">
        <v>723</v>
      </c>
      <c r="S1225" s="28">
        <v>721</v>
      </c>
      <c r="T1225" s="410">
        <v>0</v>
      </c>
      <c r="U1225" s="410">
        <v>0</v>
      </c>
      <c r="V1225" s="410">
        <v>0</v>
      </c>
      <c r="W1225" s="28">
        <v>713</v>
      </c>
      <c r="Y1225" s="390"/>
      <c r="Z1225" s="390"/>
      <c r="AA1225" s="390"/>
      <c r="AB1225" s="390"/>
      <c r="AC1225" s="390"/>
      <c r="AD1225" s="390"/>
      <c r="AE1225" s="390"/>
      <c r="AF1225" s="390"/>
      <c r="AG1225" s="390"/>
      <c r="AH1225" s="390"/>
      <c r="AI1225" s="390"/>
      <c r="AJ1225" s="390"/>
      <c r="AK1225" s="390"/>
      <c r="AL1225" s="390"/>
      <c r="AM1225" s="390"/>
      <c r="AN1225" s="390"/>
      <c r="AO1225" s="390"/>
      <c r="AP1225" s="390"/>
      <c r="AQ1225" s="390"/>
      <c r="AR1225" s="390"/>
      <c r="AS1225" s="390"/>
    </row>
    <row r="1226" spans="2:45" x14ac:dyDescent="0.3">
      <c r="B1226" s="61" t="s">
        <v>195</v>
      </c>
      <c r="C1226" s="62"/>
      <c r="D1226" s="28">
        <v>725</v>
      </c>
      <c r="E1226" s="28">
        <v>769</v>
      </c>
      <c r="F1226" s="28">
        <v>785</v>
      </c>
      <c r="G1226" s="28">
        <v>753</v>
      </c>
      <c r="H1226" s="28">
        <v>724</v>
      </c>
      <c r="I1226" s="28">
        <v>735</v>
      </c>
      <c r="J1226" s="28">
        <v>760</v>
      </c>
      <c r="K1226" s="28">
        <v>748</v>
      </c>
      <c r="L1226" s="28">
        <v>758</v>
      </c>
      <c r="M1226" s="28">
        <v>723</v>
      </c>
      <c r="N1226" s="28">
        <v>726</v>
      </c>
      <c r="O1226" s="28">
        <v>775</v>
      </c>
      <c r="P1226" s="28">
        <v>723</v>
      </c>
      <c r="Q1226" s="28">
        <v>723</v>
      </c>
      <c r="R1226" s="28">
        <v>733</v>
      </c>
      <c r="S1226" s="28">
        <v>731</v>
      </c>
      <c r="T1226" s="410">
        <v>0</v>
      </c>
      <c r="U1226" s="410">
        <v>0</v>
      </c>
      <c r="V1226" s="410">
        <v>0</v>
      </c>
      <c r="W1226" s="28">
        <v>723</v>
      </c>
      <c r="Y1226" s="390"/>
      <c r="Z1226" s="390"/>
      <c r="AA1226" s="390"/>
      <c r="AB1226" s="390"/>
      <c r="AC1226" s="390"/>
      <c r="AD1226" s="390"/>
      <c r="AE1226" s="390"/>
      <c r="AF1226" s="390"/>
      <c r="AG1226" s="390"/>
      <c r="AH1226" s="390"/>
      <c r="AI1226" s="390"/>
      <c r="AJ1226" s="390"/>
      <c r="AK1226" s="390"/>
      <c r="AL1226" s="390"/>
      <c r="AM1226" s="390"/>
      <c r="AN1226" s="390"/>
      <c r="AO1226" s="390"/>
      <c r="AP1226" s="390"/>
      <c r="AQ1226" s="390"/>
      <c r="AR1226" s="390"/>
      <c r="AS1226" s="390"/>
    </row>
    <row r="1227" spans="2:45" x14ac:dyDescent="0.3">
      <c r="B1227" s="61" t="s">
        <v>196</v>
      </c>
      <c r="C1227" s="62"/>
      <c r="D1227" s="28">
        <v>735</v>
      </c>
      <c r="E1227" s="28">
        <v>779</v>
      </c>
      <c r="F1227" s="28">
        <v>795</v>
      </c>
      <c r="G1227" s="28">
        <v>763</v>
      </c>
      <c r="H1227" s="28">
        <v>734</v>
      </c>
      <c r="I1227" s="28">
        <v>745</v>
      </c>
      <c r="J1227" s="28">
        <v>770</v>
      </c>
      <c r="K1227" s="28">
        <v>758</v>
      </c>
      <c r="L1227" s="28">
        <v>768</v>
      </c>
      <c r="M1227" s="28">
        <v>733</v>
      </c>
      <c r="N1227" s="28">
        <v>736</v>
      </c>
      <c r="O1227" s="28">
        <v>785</v>
      </c>
      <c r="P1227" s="28">
        <v>733</v>
      </c>
      <c r="Q1227" s="28">
        <v>733</v>
      </c>
      <c r="R1227" s="28">
        <v>743</v>
      </c>
      <c r="S1227" s="28">
        <v>741</v>
      </c>
      <c r="T1227" s="410">
        <v>0</v>
      </c>
      <c r="U1227" s="410">
        <v>0</v>
      </c>
      <c r="V1227" s="410">
        <v>0</v>
      </c>
      <c r="W1227" s="28">
        <v>733</v>
      </c>
      <c r="Y1227" s="390"/>
      <c r="Z1227" s="390"/>
      <c r="AA1227" s="390"/>
      <c r="AB1227" s="390"/>
      <c r="AC1227" s="390"/>
      <c r="AD1227" s="390"/>
      <c r="AE1227" s="390"/>
      <c r="AF1227" s="390"/>
      <c r="AG1227" s="390"/>
      <c r="AH1227" s="390"/>
      <c r="AI1227" s="390"/>
      <c r="AJ1227" s="390"/>
      <c r="AK1227" s="390"/>
      <c r="AL1227" s="390"/>
      <c r="AM1227" s="390"/>
      <c r="AN1227" s="390"/>
      <c r="AO1227" s="390"/>
      <c r="AP1227" s="390"/>
      <c r="AQ1227" s="390"/>
      <c r="AR1227" s="390"/>
      <c r="AS1227" s="390"/>
    </row>
    <row r="1228" spans="2:45" x14ac:dyDescent="0.3">
      <c r="B1228" s="61" t="s">
        <v>197</v>
      </c>
      <c r="C1228" s="62"/>
      <c r="D1228" s="28">
        <v>750</v>
      </c>
      <c r="E1228" s="28">
        <v>794</v>
      </c>
      <c r="F1228" s="28">
        <v>810</v>
      </c>
      <c r="G1228" s="28">
        <v>778</v>
      </c>
      <c r="H1228" s="28">
        <v>749</v>
      </c>
      <c r="I1228" s="28">
        <v>760</v>
      </c>
      <c r="J1228" s="28">
        <v>785</v>
      </c>
      <c r="K1228" s="28">
        <v>773</v>
      </c>
      <c r="L1228" s="28">
        <v>783</v>
      </c>
      <c r="M1228" s="28">
        <v>748</v>
      </c>
      <c r="N1228" s="28">
        <v>751</v>
      </c>
      <c r="O1228" s="28">
        <v>800</v>
      </c>
      <c r="P1228" s="28">
        <v>748</v>
      </c>
      <c r="Q1228" s="28">
        <v>748</v>
      </c>
      <c r="R1228" s="28">
        <v>758</v>
      </c>
      <c r="S1228" s="28">
        <v>756</v>
      </c>
      <c r="T1228" s="410">
        <v>0</v>
      </c>
      <c r="U1228" s="410">
        <v>0</v>
      </c>
      <c r="V1228" s="410">
        <v>0</v>
      </c>
      <c r="W1228" s="28">
        <v>748</v>
      </c>
      <c r="Y1228" s="390"/>
      <c r="Z1228" s="390"/>
      <c r="AA1228" s="390"/>
      <c r="AB1228" s="390"/>
      <c r="AC1228" s="390"/>
      <c r="AD1228" s="390"/>
      <c r="AE1228" s="390"/>
      <c r="AF1228" s="390"/>
      <c r="AG1228" s="390"/>
      <c r="AH1228" s="390"/>
      <c r="AI1228" s="390"/>
      <c r="AJ1228" s="390"/>
      <c r="AK1228" s="390"/>
      <c r="AL1228" s="390"/>
      <c r="AM1228" s="390"/>
      <c r="AN1228" s="390"/>
      <c r="AO1228" s="390"/>
      <c r="AP1228" s="390"/>
      <c r="AQ1228" s="390"/>
      <c r="AR1228" s="390"/>
      <c r="AS1228" s="390"/>
    </row>
    <row r="1229" spans="2:45" x14ac:dyDescent="0.3">
      <c r="B1229" s="63" t="s">
        <v>103</v>
      </c>
      <c r="C1229" s="62"/>
      <c r="D1229" s="31">
        <f>+D1224-D$1223</f>
        <v>35.548444444444499</v>
      </c>
      <c r="E1229" s="31">
        <f>+E1224-E$1223</f>
        <v>35.292888888888911</v>
      </c>
      <c r="F1229" s="31">
        <f t="shared" ref="F1229:W1229" si="931">+F1224-F$1223</f>
        <v>35.479000000000042</v>
      </c>
      <c r="G1229" s="31">
        <f t="shared" si="931"/>
        <v>35.104000000000042</v>
      </c>
      <c r="H1229" s="31">
        <f t="shared" si="931"/>
        <v>35.470666666666716</v>
      </c>
      <c r="I1229" s="31">
        <f t="shared" si="931"/>
        <v>35.176222222222236</v>
      </c>
      <c r="J1229" s="31">
        <f t="shared" si="931"/>
        <v>35.326222222222214</v>
      </c>
      <c r="K1229" s="31">
        <f t="shared" si="931"/>
        <v>35.976222222222304</v>
      </c>
      <c r="L1229" s="31">
        <f t="shared" si="931"/>
        <v>35.58733333333339</v>
      </c>
      <c r="M1229" s="31">
        <f t="shared" si="931"/>
        <v>35.826222222222214</v>
      </c>
      <c r="N1229" s="31">
        <f t="shared" si="931"/>
        <v>35.209555555555653</v>
      </c>
      <c r="O1229" s="31">
        <f t="shared" si="931"/>
        <v>35.406777777777847</v>
      </c>
      <c r="P1229" s="31">
        <f t="shared" si="931"/>
        <v>35.826222222222214</v>
      </c>
      <c r="Q1229" s="31">
        <f t="shared" si="931"/>
        <v>35.826222222222214</v>
      </c>
      <c r="R1229" s="31">
        <f t="shared" si="931"/>
        <v>35.434555555555562</v>
      </c>
      <c r="S1229" s="31">
        <f t="shared" si="931"/>
        <v>35.692888888888888</v>
      </c>
      <c r="T1229" s="29"/>
      <c r="U1229" s="29"/>
      <c r="V1229" s="29"/>
      <c r="W1229" s="31">
        <f t="shared" si="931"/>
        <v>35.826222222222214</v>
      </c>
      <c r="Y1229" s="390"/>
      <c r="Z1229" s="390"/>
      <c r="AA1229" s="390"/>
      <c r="AB1229" s="390"/>
      <c r="AC1229" s="390"/>
      <c r="AD1229" s="390"/>
      <c r="AE1229" s="390"/>
      <c r="AF1229" s="390"/>
      <c r="AG1229" s="390"/>
      <c r="AH1229" s="390"/>
      <c r="AI1229" s="390"/>
      <c r="AJ1229" s="390"/>
      <c r="AK1229" s="390"/>
      <c r="AL1229" s="390"/>
      <c r="AM1229" s="390"/>
      <c r="AN1229" s="390"/>
      <c r="AO1229" s="390"/>
      <c r="AP1229" s="390"/>
      <c r="AQ1229" s="390"/>
      <c r="AR1229" s="390"/>
      <c r="AS1229" s="390"/>
    </row>
    <row r="1230" spans="2:45" x14ac:dyDescent="0.3">
      <c r="B1230" s="63" t="s">
        <v>198</v>
      </c>
      <c r="C1230" s="64"/>
      <c r="D1230" s="31">
        <f>+D1225-D$1223</f>
        <v>40.548444444444499</v>
      </c>
      <c r="E1230" s="32">
        <f t="shared" ref="E1230:W1230" si="932">+E1225-E$1223</f>
        <v>40.292888888888911</v>
      </c>
      <c r="F1230" s="32">
        <f t="shared" si="932"/>
        <v>40.479000000000042</v>
      </c>
      <c r="G1230" s="32">
        <f t="shared" si="932"/>
        <v>40.104000000000042</v>
      </c>
      <c r="H1230" s="32">
        <f t="shared" si="932"/>
        <v>40.470666666666716</v>
      </c>
      <c r="I1230" s="32">
        <f t="shared" si="932"/>
        <v>40.176222222222236</v>
      </c>
      <c r="J1230" s="32">
        <f t="shared" si="932"/>
        <v>40.326222222222214</v>
      </c>
      <c r="K1230" s="32">
        <f t="shared" si="932"/>
        <v>40.976222222222304</v>
      </c>
      <c r="L1230" s="32">
        <f t="shared" si="932"/>
        <v>40.58733333333339</v>
      </c>
      <c r="M1230" s="32">
        <f t="shared" si="932"/>
        <v>40.826222222222214</v>
      </c>
      <c r="N1230" s="32">
        <f t="shared" si="932"/>
        <v>40.209555555555653</v>
      </c>
      <c r="O1230" s="32">
        <f t="shared" si="932"/>
        <v>40.406777777777847</v>
      </c>
      <c r="P1230" s="32">
        <f t="shared" si="932"/>
        <v>40.826222222222214</v>
      </c>
      <c r="Q1230" s="32">
        <f t="shared" si="932"/>
        <v>40.826222222222214</v>
      </c>
      <c r="R1230" s="32">
        <f t="shared" si="932"/>
        <v>40.434555555555562</v>
      </c>
      <c r="S1230" s="32">
        <f t="shared" si="932"/>
        <v>40.692888888888888</v>
      </c>
      <c r="T1230" s="32"/>
      <c r="U1230" s="32"/>
      <c r="V1230" s="32"/>
      <c r="W1230" s="32">
        <f t="shared" si="932"/>
        <v>40.826222222222214</v>
      </c>
      <c r="Y1230" s="390"/>
      <c r="Z1230" s="390"/>
      <c r="AA1230" s="390"/>
      <c r="AB1230" s="390"/>
      <c r="AC1230" s="390"/>
      <c r="AD1230" s="390"/>
      <c r="AE1230" s="390"/>
      <c r="AF1230" s="390"/>
      <c r="AG1230" s="390"/>
      <c r="AH1230" s="390"/>
      <c r="AI1230" s="390"/>
      <c r="AJ1230" s="390"/>
      <c r="AK1230" s="390"/>
      <c r="AL1230" s="390"/>
      <c r="AM1230" s="390"/>
      <c r="AN1230" s="390"/>
      <c r="AO1230" s="390"/>
      <c r="AP1230" s="390"/>
      <c r="AQ1230" s="390"/>
      <c r="AR1230" s="390"/>
      <c r="AS1230" s="390"/>
    </row>
    <row r="1231" spans="2:45" x14ac:dyDescent="0.3">
      <c r="B1231" s="63" t="s">
        <v>199</v>
      </c>
      <c r="C1231" s="64"/>
      <c r="D1231" s="31">
        <f>+D1226-D$1223</f>
        <v>50.548444444444499</v>
      </c>
      <c r="E1231" s="32">
        <f t="shared" ref="E1231:W1231" si="933">+E1226-E$1223</f>
        <v>50.292888888888911</v>
      </c>
      <c r="F1231" s="32">
        <f t="shared" si="933"/>
        <v>50.479000000000042</v>
      </c>
      <c r="G1231" s="32">
        <f t="shared" si="933"/>
        <v>50.104000000000042</v>
      </c>
      <c r="H1231" s="32">
        <f t="shared" si="933"/>
        <v>50.470666666666716</v>
      </c>
      <c r="I1231" s="32">
        <f t="shared" si="933"/>
        <v>50.176222222222236</v>
      </c>
      <c r="J1231" s="32">
        <f t="shared" si="933"/>
        <v>50.326222222222214</v>
      </c>
      <c r="K1231" s="32">
        <f t="shared" si="933"/>
        <v>50.976222222222304</v>
      </c>
      <c r="L1231" s="32">
        <f t="shared" si="933"/>
        <v>50.58733333333339</v>
      </c>
      <c r="M1231" s="32">
        <f t="shared" si="933"/>
        <v>50.826222222222214</v>
      </c>
      <c r="N1231" s="32">
        <f t="shared" si="933"/>
        <v>50.209555555555653</v>
      </c>
      <c r="O1231" s="32">
        <f t="shared" si="933"/>
        <v>50.406777777777847</v>
      </c>
      <c r="P1231" s="32">
        <f t="shared" si="933"/>
        <v>50.826222222222214</v>
      </c>
      <c r="Q1231" s="32">
        <f t="shared" si="933"/>
        <v>50.826222222222214</v>
      </c>
      <c r="R1231" s="32">
        <f t="shared" si="933"/>
        <v>50.434555555555562</v>
      </c>
      <c r="S1231" s="32">
        <f t="shared" si="933"/>
        <v>50.692888888888888</v>
      </c>
      <c r="T1231" s="32"/>
      <c r="U1231" s="32"/>
      <c r="V1231" s="32"/>
      <c r="W1231" s="32">
        <f t="shared" si="933"/>
        <v>50.826222222222214</v>
      </c>
      <c r="Y1231" s="390"/>
      <c r="Z1231" s="390"/>
      <c r="AA1231" s="390"/>
      <c r="AB1231" s="390"/>
      <c r="AC1231" s="390"/>
      <c r="AD1231" s="390"/>
      <c r="AE1231" s="390"/>
      <c r="AF1231" s="390"/>
      <c r="AG1231" s="390"/>
      <c r="AH1231" s="390"/>
      <c r="AI1231" s="390"/>
      <c r="AJ1231" s="390"/>
      <c r="AK1231" s="390"/>
      <c r="AL1231" s="390"/>
      <c r="AM1231" s="390"/>
      <c r="AN1231" s="390"/>
      <c r="AO1231" s="390"/>
      <c r="AP1231" s="390"/>
      <c r="AQ1231" s="390"/>
      <c r="AR1231" s="390"/>
      <c r="AS1231" s="390"/>
    </row>
    <row r="1232" spans="2:45" x14ac:dyDescent="0.3">
      <c r="B1232" s="63" t="s">
        <v>200</v>
      </c>
      <c r="C1232" s="64"/>
      <c r="D1232" s="31">
        <f>+D1227-D$1223</f>
        <v>60.548444444444499</v>
      </c>
      <c r="E1232" s="32">
        <f t="shared" ref="E1232:W1232" si="934">+E1227-E$1223</f>
        <v>60.292888888888911</v>
      </c>
      <c r="F1232" s="32">
        <f t="shared" si="934"/>
        <v>60.479000000000042</v>
      </c>
      <c r="G1232" s="32">
        <f>+G1227-G$1223</f>
        <v>60.104000000000042</v>
      </c>
      <c r="H1232" s="32">
        <f t="shared" si="934"/>
        <v>60.470666666666716</v>
      </c>
      <c r="I1232" s="32">
        <f t="shared" si="934"/>
        <v>60.176222222222236</v>
      </c>
      <c r="J1232" s="32">
        <f t="shared" si="934"/>
        <v>60.326222222222214</v>
      </c>
      <c r="K1232" s="32">
        <f t="shared" si="934"/>
        <v>60.976222222222304</v>
      </c>
      <c r="L1232" s="32">
        <f t="shared" si="934"/>
        <v>60.58733333333339</v>
      </c>
      <c r="M1232" s="32">
        <f t="shared" si="934"/>
        <v>60.826222222222214</v>
      </c>
      <c r="N1232" s="32">
        <f t="shared" si="934"/>
        <v>60.209555555555653</v>
      </c>
      <c r="O1232" s="32">
        <f t="shared" si="934"/>
        <v>60.406777777777847</v>
      </c>
      <c r="P1232" s="32">
        <f t="shared" si="934"/>
        <v>60.826222222222214</v>
      </c>
      <c r="Q1232" s="32">
        <f t="shared" si="934"/>
        <v>60.826222222222214</v>
      </c>
      <c r="R1232" s="32">
        <f t="shared" si="934"/>
        <v>60.434555555555562</v>
      </c>
      <c r="S1232" s="32">
        <f t="shared" si="934"/>
        <v>60.692888888888888</v>
      </c>
      <c r="T1232" s="32"/>
      <c r="U1232" s="32"/>
      <c r="V1232" s="32"/>
      <c r="W1232" s="32">
        <f t="shared" si="934"/>
        <v>60.826222222222214</v>
      </c>
      <c r="Y1232" s="390"/>
      <c r="Z1232" s="390"/>
      <c r="AA1232" s="390"/>
      <c r="AB1232" s="390"/>
      <c r="AC1232" s="390"/>
      <c r="AD1232" s="390"/>
      <c r="AE1232" s="390"/>
      <c r="AF1232" s="390"/>
      <c r="AG1232" s="390"/>
      <c r="AH1232" s="390"/>
      <c r="AI1232" s="390"/>
      <c r="AJ1232" s="390"/>
      <c r="AK1232" s="390"/>
      <c r="AL1232" s="390"/>
      <c r="AM1232" s="390"/>
      <c r="AN1232" s="390"/>
      <c r="AO1232" s="390"/>
      <c r="AP1232" s="390"/>
      <c r="AQ1232" s="390"/>
      <c r="AR1232" s="390"/>
      <c r="AS1232" s="390"/>
    </row>
    <row r="1233" spans="2:45" x14ac:dyDescent="0.3">
      <c r="B1233" s="63" t="s">
        <v>201</v>
      </c>
      <c r="C1233" s="64"/>
      <c r="D1233" s="31">
        <f>+D1228-D$1223</f>
        <v>75.548444444444499</v>
      </c>
      <c r="E1233" s="34">
        <f t="shared" ref="E1233:W1233" si="935">+E1228-E$1223</f>
        <v>75.292888888888911</v>
      </c>
      <c r="F1233" s="34">
        <f t="shared" si="935"/>
        <v>75.479000000000042</v>
      </c>
      <c r="G1233" s="34">
        <f t="shared" si="935"/>
        <v>75.104000000000042</v>
      </c>
      <c r="H1233" s="34">
        <f t="shared" si="935"/>
        <v>75.470666666666716</v>
      </c>
      <c r="I1233" s="34">
        <f t="shared" si="935"/>
        <v>75.176222222222236</v>
      </c>
      <c r="J1233" s="34">
        <f t="shared" si="935"/>
        <v>75.326222222222214</v>
      </c>
      <c r="K1233" s="34">
        <f t="shared" si="935"/>
        <v>75.976222222222304</v>
      </c>
      <c r="L1233" s="34">
        <f t="shared" si="935"/>
        <v>75.58733333333339</v>
      </c>
      <c r="M1233" s="34">
        <f t="shared" si="935"/>
        <v>75.826222222222214</v>
      </c>
      <c r="N1233" s="34">
        <f t="shared" si="935"/>
        <v>75.209555555555653</v>
      </c>
      <c r="O1233" s="34">
        <f t="shared" si="935"/>
        <v>75.406777777777847</v>
      </c>
      <c r="P1233" s="34">
        <f t="shared" si="935"/>
        <v>75.826222222222214</v>
      </c>
      <c r="Q1233" s="34">
        <f t="shared" si="935"/>
        <v>75.826222222222214</v>
      </c>
      <c r="R1233" s="34">
        <f t="shared" si="935"/>
        <v>75.434555555555562</v>
      </c>
      <c r="S1233" s="34">
        <f t="shared" si="935"/>
        <v>75.692888888888888</v>
      </c>
      <c r="T1233" s="34"/>
      <c r="U1233" s="34"/>
      <c r="V1233" s="34"/>
      <c r="W1233" s="34">
        <f t="shared" si="935"/>
        <v>75.826222222222214</v>
      </c>
      <c r="Y1233" s="390"/>
      <c r="Z1233" s="390"/>
      <c r="AA1233" s="390"/>
      <c r="AB1233" s="390"/>
      <c r="AC1233" s="390"/>
      <c r="AD1233" s="390"/>
      <c r="AE1233" s="390"/>
      <c r="AF1233" s="390"/>
      <c r="AG1233" s="390"/>
      <c r="AH1233" s="390"/>
      <c r="AI1233" s="390"/>
      <c r="AJ1233" s="390"/>
      <c r="AK1233" s="390"/>
      <c r="AL1233" s="390"/>
      <c r="AM1233" s="390"/>
      <c r="AN1233" s="390"/>
      <c r="AO1233" s="390"/>
      <c r="AP1233" s="390"/>
      <c r="AQ1233" s="390"/>
      <c r="AR1233" s="390"/>
      <c r="AS1233" s="390"/>
    </row>
    <row r="1234" spans="2:45" x14ac:dyDescent="0.3">
      <c r="B1234" s="65" t="s">
        <v>108</v>
      </c>
      <c r="C1234" s="64"/>
      <c r="D1234" s="99">
        <f>+D1229/D$1224</f>
        <v>5.0068231611893659E-2</v>
      </c>
      <c r="E1234" s="99">
        <f t="shared" ref="E1234:W1234" si="936">+E1229/E$1224</f>
        <v>4.680754494547601E-2</v>
      </c>
      <c r="F1234" s="99">
        <f t="shared" si="936"/>
        <v>4.6076623376623431E-2</v>
      </c>
      <c r="G1234" s="99">
        <f t="shared" si="936"/>
        <v>4.75663956639567E-2</v>
      </c>
      <c r="H1234" s="99">
        <f t="shared" si="936"/>
        <v>5.0029149036201294E-2</v>
      </c>
      <c r="I1234" s="99">
        <f t="shared" si="936"/>
        <v>4.8855864197530886E-2</v>
      </c>
      <c r="J1234" s="99">
        <f t="shared" si="936"/>
        <v>4.7417747949291565E-2</v>
      </c>
      <c r="K1234" s="99">
        <f t="shared" si="936"/>
        <v>4.9080794300439705E-2</v>
      </c>
      <c r="L1234" s="99">
        <f t="shared" si="936"/>
        <v>4.7896814715118967E-2</v>
      </c>
      <c r="M1234" s="99">
        <f t="shared" si="936"/>
        <v>5.0602008788449455E-2</v>
      </c>
      <c r="N1234" s="99">
        <f t="shared" si="936"/>
        <v>4.9521175183622576E-2</v>
      </c>
      <c r="O1234" s="99">
        <f t="shared" si="936"/>
        <v>4.6587865497076116E-2</v>
      </c>
      <c r="P1234" s="99">
        <f t="shared" si="936"/>
        <v>5.0602008788449455E-2</v>
      </c>
      <c r="Q1234" s="99">
        <f t="shared" si="936"/>
        <v>5.0602008788449455E-2</v>
      </c>
      <c r="R1234" s="99">
        <f t="shared" si="936"/>
        <v>4.9351748684617773E-2</v>
      </c>
      <c r="S1234" s="99">
        <f t="shared" si="936"/>
        <v>4.9850403476101798E-2</v>
      </c>
      <c r="T1234" s="117" t="e">
        <f t="shared" si="936"/>
        <v>#DIV/0!</v>
      </c>
      <c r="U1234" s="117" t="e">
        <f t="shared" si="936"/>
        <v>#DIV/0!</v>
      </c>
      <c r="V1234" s="117" t="e">
        <f t="shared" si="936"/>
        <v>#DIV/0!</v>
      </c>
      <c r="W1234" s="99">
        <f t="shared" si="936"/>
        <v>5.0602008788449455E-2</v>
      </c>
      <c r="Y1234" s="390"/>
      <c r="Z1234" s="390"/>
      <c r="AA1234" s="390"/>
      <c r="AB1234" s="390"/>
      <c r="AC1234" s="390"/>
      <c r="AD1234" s="390"/>
      <c r="AE1234" s="390"/>
      <c r="AF1234" s="390"/>
      <c r="AG1234" s="390"/>
      <c r="AH1234" s="390"/>
      <c r="AI1234" s="390"/>
      <c r="AJ1234" s="390"/>
      <c r="AK1234" s="390"/>
      <c r="AL1234" s="390"/>
      <c r="AM1234" s="390"/>
      <c r="AN1234" s="390"/>
      <c r="AO1234" s="390"/>
      <c r="AP1234" s="390"/>
      <c r="AQ1234" s="390"/>
      <c r="AR1234" s="390"/>
      <c r="AS1234" s="390"/>
    </row>
    <row r="1235" spans="2:45" x14ac:dyDescent="0.3">
      <c r="B1235" s="65" t="s">
        <v>202</v>
      </c>
      <c r="C1235" s="66"/>
      <c r="D1235" s="368">
        <f>+D1230/D$1225</f>
        <v>5.6711111111111184E-2</v>
      </c>
      <c r="E1235" s="368">
        <f t="shared" ref="E1235:W1235" si="937">+E1230/E$1225</f>
        <v>5.3086810130288417E-2</v>
      </c>
      <c r="F1235" s="368">
        <f t="shared" si="937"/>
        <v>5.2230967741935537E-2</v>
      </c>
      <c r="G1235" s="368">
        <f t="shared" si="937"/>
        <v>5.3975773889636668E-2</v>
      </c>
      <c r="H1235" s="368">
        <f t="shared" si="937"/>
        <v>5.6681605975723692E-2</v>
      </c>
      <c r="I1235" s="368">
        <f t="shared" si="937"/>
        <v>5.5415478927203082E-2</v>
      </c>
      <c r="J1235" s="368">
        <f t="shared" si="937"/>
        <v>5.3768296296296286E-2</v>
      </c>
      <c r="K1235" s="368">
        <f t="shared" si="937"/>
        <v>5.5523336344474671E-2</v>
      </c>
      <c r="L1235" s="368">
        <f t="shared" si="937"/>
        <v>5.4261140819964422E-2</v>
      </c>
      <c r="M1235" s="368">
        <f t="shared" si="937"/>
        <v>5.7259778712794127E-2</v>
      </c>
      <c r="N1235" s="368">
        <f t="shared" si="937"/>
        <v>5.6158597144630798E-2</v>
      </c>
      <c r="O1235" s="368">
        <f t="shared" si="937"/>
        <v>5.2819317356572353E-2</v>
      </c>
      <c r="P1235" s="368">
        <f t="shared" si="937"/>
        <v>5.7259778712794127E-2</v>
      </c>
      <c r="Q1235" s="368">
        <f t="shared" si="937"/>
        <v>5.7259778712794127E-2</v>
      </c>
      <c r="R1235" s="368">
        <f t="shared" si="937"/>
        <v>5.5926079606577542E-2</v>
      </c>
      <c r="S1235" s="368">
        <f t="shared" si="937"/>
        <v>5.6439513022037292E-2</v>
      </c>
      <c r="T1235" s="368" t="e">
        <f t="shared" si="937"/>
        <v>#DIV/0!</v>
      </c>
      <c r="U1235" s="368" t="e">
        <f t="shared" si="937"/>
        <v>#DIV/0!</v>
      </c>
      <c r="V1235" s="368" t="e">
        <f t="shared" si="937"/>
        <v>#DIV/0!</v>
      </c>
      <c r="W1235" s="368">
        <f t="shared" si="937"/>
        <v>5.7259778712794127E-2</v>
      </c>
      <c r="Y1235" s="390"/>
      <c r="Z1235" s="390"/>
      <c r="AA1235" s="390"/>
      <c r="AB1235" s="390"/>
      <c r="AC1235" s="390"/>
      <c r="AD1235" s="390"/>
      <c r="AE1235" s="390"/>
      <c r="AF1235" s="390"/>
      <c r="AG1235" s="390"/>
      <c r="AH1235" s="390"/>
      <c r="AI1235" s="390"/>
      <c r="AJ1235" s="390"/>
      <c r="AK1235" s="390"/>
      <c r="AL1235" s="390"/>
      <c r="AM1235" s="390"/>
      <c r="AN1235" s="390"/>
      <c r="AO1235" s="390"/>
      <c r="AP1235" s="390"/>
      <c r="AQ1235" s="390"/>
      <c r="AR1235" s="390"/>
      <c r="AS1235" s="390"/>
    </row>
    <row r="1236" spans="2:45" x14ac:dyDescent="0.3">
      <c r="B1236" s="65" t="s">
        <v>203</v>
      </c>
      <c r="C1236" s="66"/>
      <c r="D1236" s="368">
        <f>+D1231/D$1226</f>
        <v>6.972199233716482E-2</v>
      </c>
      <c r="E1236" s="368">
        <f t="shared" ref="E1236:W1236" si="938">+E1231/E$1226</f>
        <v>6.5400375668256058E-2</v>
      </c>
      <c r="F1236" s="368">
        <f t="shared" si="938"/>
        <v>6.4304458598726175E-2</v>
      </c>
      <c r="G1236" s="368">
        <f t="shared" si="938"/>
        <v>6.6539176626826083E-2</v>
      </c>
      <c r="H1236" s="368">
        <f t="shared" si="938"/>
        <v>6.9710865561694355E-2</v>
      </c>
      <c r="I1236" s="368">
        <f t="shared" si="938"/>
        <v>6.8266969009826178E-2</v>
      </c>
      <c r="J1236" s="368">
        <f t="shared" si="938"/>
        <v>6.6218713450292385E-2</v>
      </c>
      <c r="K1236" s="368">
        <f t="shared" si="938"/>
        <v>6.8150029708853352E-2</v>
      </c>
      <c r="L1236" s="368">
        <f t="shared" si="938"/>
        <v>6.6737906772207645E-2</v>
      </c>
      <c r="M1236" s="368">
        <f t="shared" si="938"/>
        <v>7.029906254802519E-2</v>
      </c>
      <c r="N1236" s="368">
        <f t="shared" si="938"/>
        <v>6.9159167431894833E-2</v>
      </c>
      <c r="O1236" s="368">
        <f t="shared" si="938"/>
        <v>6.5041003584229484E-2</v>
      </c>
      <c r="P1236" s="368">
        <f t="shared" si="938"/>
        <v>7.029906254802519E-2</v>
      </c>
      <c r="Q1236" s="368">
        <f t="shared" si="938"/>
        <v>7.029906254802519E-2</v>
      </c>
      <c r="R1236" s="368">
        <f t="shared" si="938"/>
        <v>6.8805669243595588E-2</v>
      </c>
      <c r="S1236" s="368">
        <f t="shared" si="938"/>
        <v>6.9347317221462229E-2</v>
      </c>
      <c r="T1236" s="368" t="e">
        <f t="shared" si="938"/>
        <v>#DIV/0!</v>
      </c>
      <c r="U1236" s="368" t="e">
        <f t="shared" si="938"/>
        <v>#DIV/0!</v>
      </c>
      <c r="V1236" s="368" t="e">
        <f t="shared" si="938"/>
        <v>#DIV/0!</v>
      </c>
      <c r="W1236" s="368">
        <f t="shared" si="938"/>
        <v>7.029906254802519E-2</v>
      </c>
      <c r="Y1236" s="390"/>
      <c r="Z1236" s="390"/>
      <c r="AA1236" s="390"/>
      <c r="AB1236" s="390"/>
      <c r="AC1236" s="390"/>
      <c r="AD1236" s="390"/>
      <c r="AE1236" s="390"/>
      <c r="AF1236" s="390"/>
      <c r="AG1236" s="390"/>
      <c r="AH1236" s="390"/>
      <c r="AI1236" s="390"/>
      <c r="AJ1236" s="390"/>
      <c r="AK1236" s="390"/>
      <c r="AL1236" s="390"/>
      <c r="AM1236" s="390"/>
      <c r="AN1236" s="390"/>
      <c r="AO1236" s="390"/>
      <c r="AP1236" s="390"/>
      <c r="AQ1236" s="390"/>
      <c r="AR1236" s="390"/>
      <c r="AS1236" s="390"/>
    </row>
    <row r="1237" spans="2:45" x14ac:dyDescent="0.3">
      <c r="B1237" s="65" t="s">
        <v>204</v>
      </c>
      <c r="C1237" s="66"/>
      <c r="D1237" s="368">
        <f>+D1232/D$1227</f>
        <v>8.2378835978836051E-2</v>
      </c>
      <c r="E1237" s="368">
        <f t="shared" ref="E1237:W1237" si="939">+E1232/E$1227</f>
        <v>7.7397803451718761E-2</v>
      </c>
      <c r="F1237" s="368">
        <f t="shared" si="939"/>
        <v>7.6074213836478041E-2</v>
      </c>
      <c r="G1237" s="368">
        <f t="shared" si="939"/>
        <v>7.8773263433813953E-2</v>
      </c>
      <c r="H1237" s="368">
        <f t="shared" si="939"/>
        <v>8.2385104450499611E-2</v>
      </c>
      <c r="I1237" s="368">
        <f t="shared" si="939"/>
        <v>8.0773452647278171E-2</v>
      </c>
      <c r="J1237" s="368">
        <f t="shared" si="939"/>
        <v>7.8345743145743135E-2</v>
      </c>
      <c r="K1237" s="368">
        <f t="shared" si="939"/>
        <v>8.0443564936968734E-2</v>
      </c>
      <c r="L1237" s="368">
        <f t="shared" si="939"/>
        <v>7.8889756944444514E-2</v>
      </c>
      <c r="M1237" s="368">
        <f t="shared" si="939"/>
        <v>8.298256783386386E-2</v>
      </c>
      <c r="N1237" s="368">
        <f t="shared" si="939"/>
        <v>8.1806461352657137E-2</v>
      </c>
      <c r="O1237" s="368">
        <f t="shared" si="939"/>
        <v>7.6951309271054577E-2</v>
      </c>
      <c r="P1237" s="368">
        <f t="shared" si="939"/>
        <v>8.298256783386386E-2</v>
      </c>
      <c r="Q1237" s="368">
        <f t="shared" si="939"/>
        <v>8.298256783386386E-2</v>
      </c>
      <c r="R1237" s="368">
        <f t="shared" si="939"/>
        <v>8.1338567369522968E-2</v>
      </c>
      <c r="S1237" s="368">
        <f t="shared" si="939"/>
        <v>8.1906732643574745E-2</v>
      </c>
      <c r="T1237" s="368" t="e">
        <f t="shared" si="939"/>
        <v>#DIV/0!</v>
      </c>
      <c r="U1237" s="368" t="e">
        <f t="shared" si="939"/>
        <v>#DIV/0!</v>
      </c>
      <c r="V1237" s="368" t="e">
        <f t="shared" si="939"/>
        <v>#DIV/0!</v>
      </c>
      <c r="W1237" s="368">
        <f t="shared" si="939"/>
        <v>8.298256783386386E-2</v>
      </c>
      <c r="Y1237" s="390"/>
      <c r="Z1237" s="390"/>
      <c r="AA1237" s="390"/>
      <c r="AB1237" s="390"/>
      <c r="AC1237" s="390"/>
      <c r="AD1237" s="390"/>
      <c r="AE1237" s="390"/>
      <c r="AF1237" s="390"/>
      <c r="AG1237" s="390"/>
      <c r="AH1237" s="390"/>
      <c r="AI1237" s="390"/>
      <c r="AJ1237" s="390"/>
      <c r="AK1237" s="390"/>
      <c r="AL1237" s="390"/>
      <c r="AM1237" s="390"/>
      <c r="AN1237" s="390"/>
      <c r="AO1237" s="390"/>
      <c r="AP1237" s="390"/>
      <c r="AQ1237" s="390"/>
      <c r="AR1237" s="390"/>
      <c r="AS1237" s="390"/>
    </row>
    <row r="1238" spans="2:45" x14ac:dyDescent="0.3">
      <c r="B1238" s="65" t="s">
        <v>205</v>
      </c>
      <c r="C1238" s="66"/>
      <c r="D1238" s="368">
        <f>+D1233/D$1228</f>
        <v>0.10073125925925933</v>
      </c>
      <c r="E1238" s="368">
        <f t="shared" ref="E1238:W1238" si="940">+E1233/E$1228</f>
        <v>9.4827315980968399E-2</v>
      </c>
      <c r="F1238" s="368">
        <f t="shared" si="940"/>
        <v>9.3183950617284003E-2</v>
      </c>
      <c r="G1238" s="368">
        <f t="shared" si="940"/>
        <v>9.6534704370179997E-2</v>
      </c>
      <c r="H1238" s="368">
        <f t="shared" si="940"/>
        <v>0.10076190476190483</v>
      </c>
      <c r="I1238" s="368">
        <f t="shared" si="940"/>
        <v>9.8916081871345055E-2</v>
      </c>
      <c r="J1238" s="368">
        <f t="shared" si="940"/>
        <v>9.5956970983722564E-2</v>
      </c>
      <c r="K1238" s="368">
        <f t="shared" si="940"/>
        <v>9.8287480235733901E-2</v>
      </c>
      <c r="L1238" s="368">
        <f t="shared" si="940"/>
        <v>9.6535547041294245E-2</v>
      </c>
      <c r="M1238" s="368">
        <f t="shared" si="940"/>
        <v>0.10137195484254306</v>
      </c>
      <c r="N1238" s="368">
        <f t="shared" si="940"/>
        <v>0.10014587956798356</v>
      </c>
      <c r="O1238" s="368">
        <f t="shared" si="940"/>
        <v>9.4258472222222306E-2</v>
      </c>
      <c r="P1238" s="368">
        <f t="shared" si="940"/>
        <v>0.10137195484254306</v>
      </c>
      <c r="Q1238" s="368">
        <f t="shared" si="940"/>
        <v>0.10137195484254306</v>
      </c>
      <c r="R1238" s="368">
        <f t="shared" si="940"/>
        <v>9.951788331867488E-2</v>
      </c>
      <c r="S1238" s="368">
        <f t="shared" si="940"/>
        <v>0.10012286890064667</v>
      </c>
      <c r="T1238" s="368" t="e">
        <f t="shared" si="940"/>
        <v>#DIV/0!</v>
      </c>
      <c r="U1238" s="368" t="e">
        <f t="shared" si="940"/>
        <v>#DIV/0!</v>
      </c>
      <c r="V1238" s="368" t="e">
        <f t="shared" si="940"/>
        <v>#DIV/0!</v>
      </c>
      <c r="W1238" s="368">
        <f t="shared" si="940"/>
        <v>0.10137195484254306</v>
      </c>
      <c r="Y1238" s="390"/>
      <c r="Z1238" s="390"/>
      <c r="AA1238" s="390"/>
      <c r="AB1238" s="390"/>
      <c r="AC1238" s="390"/>
      <c r="AD1238" s="390"/>
      <c r="AE1238" s="390"/>
      <c r="AF1238" s="390"/>
      <c r="AG1238" s="390"/>
      <c r="AH1238" s="390"/>
      <c r="AI1238" s="390"/>
      <c r="AJ1238" s="390"/>
      <c r="AK1238" s="390"/>
      <c r="AL1238" s="390"/>
      <c r="AM1238" s="390"/>
      <c r="AN1238" s="390"/>
      <c r="AO1238" s="390"/>
      <c r="AP1238" s="390"/>
      <c r="AQ1238" s="390"/>
      <c r="AR1238" s="390"/>
      <c r="AS1238" s="390"/>
    </row>
    <row r="1239" spans="2:45" ht="21" thickBot="1" x14ac:dyDescent="0.35">
      <c r="Y1239" s="390"/>
      <c r="Z1239" s="390"/>
      <c r="AA1239" s="390"/>
      <c r="AB1239" s="390"/>
      <c r="AC1239" s="390"/>
      <c r="AD1239" s="390"/>
      <c r="AE1239" s="390"/>
      <c r="AF1239" s="390"/>
      <c r="AG1239" s="390"/>
      <c r="AH1239" s="390"/>
      <c r="AI1239" s="390"/>
      <c r="AJ1239" s="390"/>
      <c r="AK1239" s="390"/>
      <c r="AL1239" s="390"/>
      <c r="AM1239" s="390"/>
      <c r="AN1239" s="390"/>
      <c r="AO1239" s="390"/>
      <c r="AP1239" s="390"/>
      <c r="AQ1239" s="390"/>
      <c r="AR1239" s="390"/>
      <c r="AS1239" s="390"/>
    </row>
    <row r="1240" spans="2:45" ht="21" thickBot="1" x14ac:dyDescent="0.35">
      <c r="B1240" s="223"/>
      <c r="C1240" s="68"/>
      <c r="D1240" s="17" t="s">
        <v>5</v>
      </c>
      <c r="E1240" s="18" t="s">
        <v>6</v>
      </c>
      <c r="F1240" s="18" t="s">
        <v>7</v>
      </c>
      <c r="G1240" s="18" t="s">
        <v>8</v>
      </c>
      <c r="H1240" s="18" t="s">
        <v>9</v>
      </c>
      <c r="I1240" s="18" t="s">
        <v>10</v>
      </c>
      <c r="J1240" s="18" t="s">
        <v>11</v>
      </c>
      <c r="K1240" s="18" t="s">
        <v>12</v>
      </c>
      <c r="L1240" s="18" t="s">
        <v>13</v>
      </c>
      <c r="M1240" s="18" t="s">
        <v>14</v>
      </c>
      <c r="N1240" s="18" t="s">
        <v>15</v>
      </c>
      <c r="O1240" s="18" t="s">
        <v>16</v>
      </c>
      <c r="P1240" s="18" t="s">
        <v>17</v>
      </c>
      <c r="Q1240" s="18" t="s">
        <v>18</v>
      </c>
      <c r="R1240" s="18" t="s">
        <v>19</v>
      </c>
      <c r="S1240" s="18" t="s">
        <v>20</v>
      </c>
      <c r="T1240" s="18" t="s">
        <v>21</v>
      </c>
      <c r="U1240" s="18" t="s">
        <v>22</v>
      </c>
      <c r="V1240" s="18" t="s">
        <v>23</v>
      </c>
      <c r="W1240" s="18" t="s">
        <v>166</v>
      </c>
      <c r="Y1240" s="390"/>
      <c r="Z1240" s="390"/>
      <c r="AA1240" s="390"/>
      <c r="AB1240" s="390"/>
      <c r="AC1240" s="390"/>
      <c r="AD1240" s="390"/>
      <c r="AE1240" s="390"/>
      <c r="AF1240" s="390"/>
      <c r="AG1240" s="390"/>
      <c r="AH1240" s="390"/>
      <c r="AI1240" s="390"/>
      <c r="AJ1240" s="390"/>
      <c r="AK1240" s="390"/>
      <c r="AL1240" s="390"/>
      <c r="AM1240" s="390"/>
      <c r="AN1240" s="390"/>
      <c r="AO1240" s="390"/>
      <c r="AP1240" s="390"/>
      <c r="AQ1240" s="390"/>
      <c r="AR1240" s="390"/>
      <c r="AS1240" s="390"/>
    </row>
    <row r="1241" spans="2:45" x14ac:dyDescent="0.3">
      <c r="B1241" s="222" t="s">
        <v>50</v>
      </c>
      <c r="C1241" s="70"/>
      <c r="D1241" s="20"/>
      <c r="E1241" s="20"/>
      <c r="F1241" s="20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Y1241" s="390"/>
      <c r="Z1241" s="390"/>
      <c r="AA1241" s="390"/>
      <c r="AB1241" s="390"/>
      <c r="AC1241" s="390"/>
      <c r="AD1241" s="390"/>
      <c r="AE1241" s="390"/>
      <c r="AF1241" s="390"/>
      <c r="AG1241" s="390"/>
      <c r="AH1241" s="390"/>
      <c r="AI1241" s="390"/>
      <c r="AJ1241" s="390"/>
      <c r="AK1241" s="390"/>
      <c r="AL1241" s="390"/>
      <c r="AM1241" s="390"/>
      <c r="AN1241" s="390"/>
      <c r="AO1241" s="390"/>
      <c r="AP1241" s="390"/>
      <c r="AQ1241" s="390"/>
      <c r="AR1241" s="390"/>
      <c r="AS1241" s="390"/>
    </row>
    <row r="1242" spans="2:45" x14ac:dyDescent="0.3">
      <c r="B1242" s="54" t="s">
        <v>51</v>
      </c>
      <c r="C1242" s="55"/>
      <c r="D1242" s="322"/>
      <c r="E1242" s="322"/>
      <c r="F1242" s="322"/>
      <c r="G1242" s="322"/>
      <c r="H1242" s="322"/>
      <c r="I1242" s="322"/>
      <c r="J1242" s="322"/>
      <c r="K1242" s="322"/>
      <c r="L1242" s="322"/>
      <c r="M1242" s="322"/>
      <c r="N1242" s="322"/>
      <c r="O1242" s="322"/>
      <c r="P1242" s="322"/>
      <c r="Q1242" s="322"/>
      <c r="R1242" s="322"/>
      <c r="S1242" s="322"/>
      <c r="T1242" s="218"/>
      <c r="U1242" s="218"/>
      <c r="V1242" s="218"/>
      <c r="W1242" s="322"/>
      <c r="Y1242" s="390"/>
      <c r="Z1242" s="390"/>
      <c r="AA1242" s="390"/>
      <c r="AB1242" s="390"/>
      <c r="AC1242" s="390"/>
      <c r="AD1242" s="390"/>
      <c r="AE1242" s="390"/>
      <c r="AF1242" s="390"/>
      <c r="AG1242" s="390"/>
      <c r="AH1242" s="390"/>
      <c r="AI1242" s="390"/>
      <c r="AJ1242" s="390"/>
      <c r="AK1242" s="390"/>
      <c r="AL1242" s="390"/>
      <c r="AM1242" s="390"/>
      <c r="AN1242" s="390"/>
      <c r="AO1242" s="390"/>
      <c r="AP1242" s="390"/>
      <c r="AQ1242" s="390"/>
      <c r="AR1242" s="390"/>
      <c r="AS1242" s="390"/>
    </row>
    <row r="1243" spans="2:45" x14ac:dyDescent="0.3">
      <c r="B1243" s="54" t="s">
        <v>56</v>
      </c>
      <c r="C1243" s="55"/>
      <c r="D1243" s="21"/>
      <c r="E1243" s="21"/>
      <c r="F1243" s="21"/>
      <c r="G1243" s="21"/>
      <c r="H1243" s="21"/>
      <c r="I1243" s="21"/>
      <c r="J1243" s="21"/>
      <c r="K1243" s="21"/>
      <c r="L1243" s="21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Y1243" s="390"/>
      <c r="Z1243" s="390"/>
      <c r="AA1243" s="390"/>
      <c r="AB1243" s="390"/>
      <c r="AC1243" s="390"/>
      <c r="AD1243" s="390"/>
      <c r="AE1243" s="390"/>
      <c r="AF1243" s="390"/>
      <c r="AG1243" s="390"/>
      <c r="AH1243" s="390"/>
      <c r="AI1243" s="390"/>
      <c r="AJ1243" s="390"/>
      <c r="AK1243" s="390"/>
      <c r="AL1243" s="390"/>
      <c r="AM1243" s="390"/>
      <c r="AN1243" s="390"/>
      <c r="AO1243" s="390"/>
      <c r="AP1243" s="390"/>
      <c r="AQ1243" s="390"/>
      <c r="AR1243" s="390"/>
      <c r="AS1243" s="390"/>
    </row>
    <row r="1244" spans="2:45" x14ac:dyDescent="0.3">
      <c r="B1244" s="177" t="s">
        <v>67</v>
      </c>
      <c r="C1244" s="178"/>
      <c r="D1244" s="323"/>
      <c r="E1244" s="323"/>
      <c r="F1244" s="323"/>
      <c r="G1244" s="323"/>
      <c r="H1244" s="323"/>
      <c r="I1244" s="323"/>
      <c r="J1244" s="323"/>
      <c r="K1244" s="323"/>
      <c r="L1244" s="323"/>
      <c r="M1244" s="323"/>
      <c r="N1244" s="323"/>
      <c r="O1244" s="323"/>
      <c r="P1244" s="323"/>
      <c r="Q1244" s="323"/>
      <c r="R1244" s="323"/>
      <c r="S1244" s="323"/>
      <c r="T1244" s="323"/>
      <c r="U1244" s="323"/>
      <c r="V1244" s="323"/>
      <c r="W1244" s="323"/>
      <c r="Y1244" s="390"/>
      <c r="Z1244" s="390"/>
      <c r="AA1244" s="390"/>
      <c r="AB1244" s="390"/>
      <c r="AC1244" s="390"/>
      <c r="AD1244" s="390"/>
      <c r="AE1244" s="390"/>
      <c r="AF1244" s="390"/>
      <c r="AG1244" s="390"/>
      <c r="AH1244" s="390"/>
      <c r="AI1244" s="390"/>
      <c r="AJ1244" s="390"/>
      <c r="AK1244" s="390"/>
      <c r="AL1244" s="390"/>
      <c r="AM1244" s="390"/>
      <c r="AN1244" s="390"/>
      <c r="AO1244" s="390"/>
      <c r="AP1244" s="390"/>
      <c r="AQ1244" s="390"/>
      <c r="AR1244" s="390"/>
      <c r="AS1244" s="390"/>
    </row>
    <row r="1245" spans="2:45" x14ac:dyDescent="0.3">
      <c r="B1245" s="54" t="s">
        <v>66</v>
      </c>
      <c r="C1245" s="56">
        <v>7.0000000000000007E-2</v>
      </c>
      <c r="D1245" s="24">
        <f>D1244*$C1245</f>
        <v>0</v>
      </c>
      <c r="E1245" s="24">
        <f t="shared" ref="E1245:W1245" si="941">E1244*$C1245</f>
        <v>0</v>
      </c>
      <c r="F1245" s="24">
        <f t="shared" si="941"/>
        <v>0</v>
      </c>
      <c r="G1245" s="24">
        <f t="shared" si="941"/>
        <v>0</v>
      </c>
      <c r="H1245" s="24">
        <f t="shared" si="941"/>
        <v>0</v>
      </c>
      <c r="I1245" s="24">
        <f t="shared" si="941"/>
        <v>0</v>
      </c>
      <c r="J1245" s="24">
        <f t="shared" si="941"/>
        <v>0</v>
      </c>
      <c r="K1245" s="24">
        <f t="shared" si="941"/>
        <v>0</v>
      </c>
      <c r="L1245" s="24">
        <f t="shared" si="941"/>
        <v>0</v>
      </c>
      <c r="M1245" s="24">
        <f t="shared" si="941"/>
        <v>0</v>
      </c>
      <c r="N1245" s="24">
        <f t="shared" si="941"/>
        <v>0</v>
      </c>
      <c r="O1245" s="24">
        <f t="shared" si="941"/>
        <v>0</v>
      </c>
      <c r="P1245" s="24">
        <f t="shared" si="941"/>
        <v>0</v>
      </c>
      <c r="Q1245" s="24">
        <f t="shared" si="941"/>
        <v>0</v>
      </c>
      <c r="R1245" s="24">
        <f t="shared" si="941"/>
        <v>0</v>
      </c>
      <c r="S1245" s="24">
        <f t="shared" si="941"/>
        <v>0</v>
      </c>
      <c r="T1245" s="24">
        <f t="shared" si="941"/>
        <v>0</v>
      </c>
      <c r="U1245" s="24">
        <f t="shared" si="941"/>
        <v>0</v>
      </c>
      <c r="V1245" s="24">
        <f t="shared" si="941"/>
        <v>0</v>
      </c>
      <c r="W1245" s="24">
        <f t="shared" si="941"/>
        <v>0</v>
      </c>
      <c r="Y1245" s="390"/>
      <c r="Z1245" s="390"/>
      <c r="AA1245" s="390"/>
      <c r="AB1245" s="390"/>
      <c r="AC1245" s="390"/>
      <c r="AD1245" s="390"/>
      <c r="AE1245" s="390"/>
      <c r="AF1245" s="390"/>
      <c r="AG1245" s="390"/>
      <c r="AH1245" s="390"/>
      <c r="AI1245" s="390"/>
      <c r="AJ1245" s="390"/>
      <c r="AK1245" s="390"/>
      <c r="AL1245" s="390"/>
      <c r="AM1245" s="390"/>
      <c r="AN1245" s="390"/>
      <c r="AO1245" s="390"/>
      <c r="AP1245" s="390"/>
      <c r="AQ1245" s="390"/>
      <c r="AR1245" s="390"/>
      <c r="AS1245" s="390"/>
    </row>
    <row r="1246" spans="2:45" x14ac:dyDescent="0.3">
      <c r="B1246" s="54" t="s">
        <v>68</v>
      </c>
      <c r="C1246" s="55"/>
      <c r="D1246" s="21">
        <f>D1244+D1245</f>
        <v>0</v>
      </c>
      <c r="E1246" s="21">
        <f t="shared" ref="E1246:W1246" si="942">E1244+E1245</f>
        <v>0</v>
      </c>
      <c r="F1246" s="21">
        <f t="shared" si="942"/>
        <v>0</v>
      </c>
      <c r="G1246" s="21">
        <f t="shared" si="942"/>
        <v>0</v>
      </c>
      <c r="H1246" s="21">
        <f t="shared" si="942"/>
        <v>0</v>
      </c>
      <c r="I1246" s="21">
        <f t="shared" si="942"/>
        <v>0</v>
      </c>
      <c r="J1246" s="21">
        <f t="shared" si="942"/>
        <v>0</v>
      </c>
      <c r="K1246" s="21">
        <f t="shared" si="942"/>
        <v>0</v>
      </c>
      <c r="L1246" s="21">
        <f t="shared" si="942"/>
        <v>0</v>
      </c>
      <c r="M1246" s="21">
        <f t="shared" si="942"/>
        <v>0</v>
      </c>
      <c r="N1246" s="21">
        <f t="shared" si="942"/>
        <v>0</v>
      </c>
      <c r="O1246" s="21">
        <f t="shared" si="942"/>
        <v>0</v>
      </c>
      <c r="P1246" s="21">
        <f t="shared" si="942"/>
        <v>0</v>
      </c>
      <c r="Q1246" s="21">
        <f t="shared" si="942"/>
        <v>0</v>
      </c>
      <c r="R1246" s="21">
        <f t="shared" si="942"/>
        <v>0</v>
      </c>
      <c r="S1246" s="21">
        <f t="shared" si="942"/>
        <v>0</v>
      </c>
      <c r="T1246" s="21">
        <f t="shared" si="942"/>
        <v>0</v>
      </c>
      <c r="U1246" s="21">
        <f t="shared" si="942"/>
        <v>0</v>
      </c>
      <c r="V1246" s="21">
        <f t="shared" si="942"/>
        <v>0</v>
      </c>
      <c r="W1246" s="21">
        <f t="shared" si="942"/>
        <v>0</v>
      </c>
      <c r="Y1246" s="390"/>
      <c r="Z1246" s="390"/>
      <c r="AA1246" s="390"/>
      <c r="AB1246" s="390"/>
      <c r="AC1246" s="390"/>
      <c r="AD1246" s="390"/>
      <c r="AE1246" s="390"/>
      <c r="AF1246" s="390"/>
      <c r="AG1246" s="390"/>
      <c r="AH1246" s="390"/>
      <c r="AI1246" s="390"/>
      <c r="AJ1246" s="390"/>
      <c r="AK1246" s="390"/>
      <c r="AL1246" s="390"/>
      <c r="AM1246" s="390"/>
      <c r="AN1246" s="390"/>
      <c r="AO1246" s="390"/>
      <c r="AP1246" s="390"/>
      <c r="AQ1246" s="390"/>
      <c r="AR1246" s="390"/>
      <c r="AS1246" s="390"/>
    </row>
    <row r="1247" spans="2:45" x14ac:dyDescent="0.3">
      <c r="B1247" s="54" t="s">
        <v>52</v>
      </c>
      <c r="C1247" s="55"/>
      <c r="D1247" s="20">
        <v>0.85000000000000009</v>
      </c>
      <c r="E1247" s="21">
        <v>1.7</v>
      </c>
      <c r="F1247" s="21">
        <v>2.0500000000000003</v>
      </c>
      <c r="G1247" s="21">
        <v>1.1499999999999999</v>
      </c>
      <c r="H1247" s="21">
        <v>0.98</v>
      </c>
      <c r="I1247" s="21">
        <v>0.98</v>
      </c>
      <c r="J1247" s="21">
        <v>1.5999999999999999</v>
      </c>
      <c r="K1247" s="21">
        <v>1.45</v>
      </c>
      <c r="L1247" s="21">
        <v>1.45</v>
      </c>
      <c r="M1247" s="21">
        <v>0.7</v>
      </c>
      <c r="N1247" s="21">
        <v>0.82000000000000006</v>
      </c>
      <c r="O1247" s="21">
        <v>0.98</v>
      </c>
      <c r="P1247" s="21">
        <v>0.59000000000000008</v>
      </c>
      <c r="Q1247" s="21">
        <v>0.59000000000000008</v>
      </c>
      <c r="R1247" s="21">
        <v>0.98</v>
      </c>
      <c r="S1247" s="21">
        <v>0.85000000000000009</v>
      </c>
      <c r="T1247" s="21">
        <v>6.7</v>
      </c>
      <c r="U1247" s="21">
        <v>11.2</v>
      </c>
      <c r="V1247" s="21">
        <v>6.7</v>
      </c>
      <c r="W1247" s="21">
        <v>0.59000000000000008</v>
      </c>
      <c r="Y1247" s="390"/>
      <c r="Z1247" s="390"/>
      <c r="AA1247" s="390"/>
      <c r="AB1247" s="390"/>
      <c r="AC1247" s="390"/>
      <c r="AD1247" s="390"/>
      <c r="AE1247" s="390"/>
      <c r="AF1247" s="390"/>
      <c r="AG1247" s="390"/>
      <c r="AH1247" s="390"/>
      <c r="AI1247" s="390"/>
      <c r="AJ1247" s="390"/>
      <c r="AK1247" s="390"/>
      <c r="AL1247" s="390"/>
      <c r="AM1247" s="390"/>
      <c r="AN1247" s="390"/>
      <c r="AO1247" s="390"/>
      <c r="AP1247" s="390"/>
      <c r="AQ1247" s="390"/>
      <c r="AR1247" s="390"/>
      <c r="AS1247" s="390"/>
    </row>
    <row r="1248" spans="2:45" x14ac:dyDescent="0.3">
      <c r="B1248" s="57" t="s">
        <v>53</v>
      </c>
      <c r="C1248" s="58"/>
      <c r="D1248" s="25">
        <f>SUM(D1246:D1247)</f>
        <v>0.85000000000000009</v>
      </c>
      <c r="E1248" s="26">
        <f t="shared" ref="E1248:W1248" si="943">SUM(E1246:E1247)</f>
        <v>1.7</v>
      </c>
      <c r="F1248" s="26">
        <f t="shared" si="943"/>
        <v>2.0500000000000003</v>
      </c>
      <c r="G1248" s="26">
        <f t="shared" si="943"/>
        <v>1.1499999999999999</v>
      </c>
      <c r="H1248" s="26">
        <f t="shared" si="943"/>
        <v>0.98</v>
      </c>
      <c r="I1248" s="26">
        <f t="shared" si="943"/>
        <v>0.98</v>
      </c>
      <c r="J1248" s="26">
        <f t="shared" si="943"/>
        <v>1.5999999999999999</v>
      </c>
      <c r="K1248" s="26">
        <f t="shared" si="943"/>
        <v>1.45</v>
      </c>
      <c r="L1248" s="26">
        <f t="shared" si="943"/>
        <v>1.45</v>
      </c>
      <c r="M1248" s="26">
        <f t="shared" si="943"/>
        <v>0.7</v>
      </c>
      <c r="N1248" s="26">
        <f t="shared" si="943"/>
        <v>0.82000000000000006</v>
      </c>
      <c r="O1248" s="26">
        <f t="shared" si="943"/>
        <v>0.98</v>
      </c>
      <c r="P1248" s="26">
        <f t="shared" si="943"/>
        <v>0.59000000000000008</v>
      </c>
      <c r="Q1248" s="26">
        <f t="shared" si="943"/>
        <v>0.59000000000000008</v>
      </c>
      <c r="R1248" s="26">
        <f t="shared" si="943"/>
        <v>0.98</v>
      </c>
      <c r="S1248" s="26">
        <f t="shared" si="943"/>
        <v>0.85000000000000009</v>
      </c>
      <c r="T1248" s="26">
        <f t="shared" si="943"/>
        <v>6.7</v>
      </c>
      <c r="U1248" s="26">
        <f t="shared" si="943"/>
        <v>11.2</v>
      </c>
      <c r="V1248" s="26">
        <f t="shared" si="943"/>
        <v>6.7</v>
      </c>
      <c r="W1248" s="26">
        <f t="shared" si="943"/>
        <v>0.59000000000000008</v>
      </c>
      <c r="Y1248" s="390"/>
      <c r="Z1248" s="390"/>
      <c r="AA1248" s="390"/>
      <c r="AB1248" s="390"/>
      <c r="AC1248" s="390"/>
      <c r="AD1248" s="390"/>
      <c r="AE1248" s="390"/>
      <c r="AF1248" s="390"/>
      <c r="AG1248" s="390"/>
      <c r="AH1248" s="390"/>
      <c r="AI1248" s="390"/>
      <c r="AJ1248" s="390"/>
      <c r="AK1248" s="390"/>
      <c r="AL1248" s="390"/>
      <c r="AM1248" s="390"/>
      <c r="AN1248" s="390"/>
      <c r="AO1248" s="390"/>
      <c r="AP1248" s="390"/>
      <c r="AQ1248" s="390"/>
      <c r="AR1248" s="390"/>
      <c r="AS1248" s="390"/>
    </row>
    <row r="1249" spans="2:45" x14ac:dyDescent="0.3">
      <c r="B1249" s="54" t="s">
        <v>54</v>
      </c>
      <c r="C1249" s="55"/>
      <c r="D1249" s="20"/>
      <c r="E1249" s="21"/>
      <c r="F1249" s="21"/>
      <c r="G1249" s="21"/>
      <c r="H1249" s="21"/>
      <c r="I1249" s="21"/>
      <c r="J1249" s="21"/>
      <c r="K1249" s="21"/>
      <c r="L1249" s="21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Y1249" s="390"/>
      <c r="Z1249" s="390"/>
      <c r="AA1249" s="390"/>
      <c r="AB1249" s="390"/>
      <c r="AC1249" s="390"/>
      <c r="AD1249" s="390"/>
      <c r="AE1249" s="390"/>
      <c r="AF1249" s="390"/>
      <c r="AG1249" s="390"/>
      <c r="AH1249" s="390"/>
      <c r="AI1249" s="390"/>
      <c r="AJ1249" s="390"/>
      <c r="AK1249" s="390"/>
      <c r="AL1249" s="390"/>
      <c r="AM1249" s="390"/>
      <c r="AN1249" s="390"/>
      <c r="AO1249" s="390"/>
      <c r="AP1249" s="390"/>
      <c r="AQ1249" s="390"/>
      <c r="AR1249" s="390"/>
      <c r="AS1249" s="390"/>
    </row>
    <row r="1250" spans="2:45" x14ac:dyDescent="0.3">
      <c r="B1250" s="59" t="s">
        <v>55</v>
      </c>
      <c r="C1250" s="60"/>
      <c r="D1250" s="27">
        <f>SUM(D1248:D1249)</f>
        <v>0.85000000000000009</v>
      </c>
      <c r="E1250" s="41">
        <f t="shared" ref="E1250:W1250" si="944">SUM(E1248:E1249)</f>
        <v>1.7</v>
      </c>
      <c r="F1250" s="41">
        <f t="shared" si="944"/>
        <v>2.0500000000000003</v>
      </c>
      <c r="G1250" s="41">
        <f t="shared" si="944"/>
        <v>1.1499999999999999</v>
      </c>
      <c r="H1250" s="41">
        <f t="shared" si="944"/>
        <v>0.98</v>
      </c>
      <c r="I1250" s="41">
        <f t="shared" si="944"/>
        <v>0.98</v>
      </c>
      <c r="J1250" s="41">
        <f t="shared" si="944"/>
        <v>1.5999999999999999</v>
      </c>
      <c r="K1250" s="41">
        <f t="shared" si="944"/>
        <v>1.45</v>
      </c>
      <c r="L1250" s="41">
        <f t="shared" si="944"/>
        <v>1.45</v>
      </c>
      <c r="M1250" s="41">
        <f t="shared" si="944"/>
        <v>0.7</v>
      </c>
      <c r="N1250" s="41">
        <f t="shared" si="944"/>
        <v>0.82000000000000006</v>
      </c>
      <c r="O1250" s="41">
        <f t="shared" si="944"/>
        <v>0.98</v>
      </c>
      <c r="P1250" s="41">
        <f t="shared" si="944"/>
        <v>0.59000000000000008</v>
      </c>
      <c r="Q1250" s="41">
        <f t="shared" si="944"/>
        <v>0.59000000000000008</v>
      </c>
      <c r="R1250" s="41">
        <f t="shared" si="944"/>
        <v>0.98</v>
      </c>
      <c r="S1250" s="41">
        <f t="shared" si="944"/>
        <v>0.85000000000000009</v>
      </c>
      <c r="T1250" s="41">
        <f t="shared" si="944"/>
        <v>6.7</v>
      </c>
      <c r="U1250" s="41">
        <f t="shared" si="944"/>
        <v>11.2</v>
      </c>
      <c r="V1250" s="41">
        <f t="shared" si="944"/>
        <v>6.7</v>
      </c>
      <c r="W1250" s="41">
        <f t="shared" si="944"/>
        <v>0.59000000000000008</v>
      </c>
      <c r="Y1250" s="390"/>
      <c r="Z1250" s="390"/>
      <c r="AA1250" s="390"/>
      <c r="AB1250" s="390"/>
      <c r="AC1250" s="390"/>
      <c r="AD1250" s="390"/>
      <c r="AE1250" s="390"/>
      <c r="AF1250" s="390"/>
      <c r="AG1250" s="390"/>
      <c r="AH1250" s="390"/>
      <c r="AI1250" s="390"/>
      <c r="AJ1250" s="390"/>
      <c r="AK1250" s="390"/>
      <c r="AL1250" s="390"/>
      <c r="AM1250" s="390"/>
      <c r="AN1250" s="390"/>
      <c r="AO1250" s="390"/>
      <c r="AP1250" s="390"/>
      <c r="AQ1250" s="390"/>
      <c r="AR1250" s="390"/>
      <c r="AS1250" s="390"/>
    </row>
    <row r="1251" spans="2:45" x14ac:dyDescent="0.3">
      <c r="B1251" s="61" t="s">
        <v>101</v>
      </c>
      <c r="C1251" s="55"/>
      <c r="D1251" s="228">
        <v>3</v>
      </c>
      <c r="E1251" s="229">
        <v>4</v>
      </c>
      <c r="F1251" s="229">
        <v>5</v>
      </c>
      <c r="G1251" s="229">
        <v>4</v>
      </c>
      <c r="H1251" s="229">
        <v>3</v>
      </c>
      <c r="I1251" s="229">
        <v>3</v>
      </c>
      <c r="J1251" s="229">
        <v>4</v>
      </c>
      <c r="K1251" s="229">
        <v>4</v>
      </c>
      <c r="L1251" s="229">
        <v>4</v>
      </c>
      <c r="M1251" s="229">
        <v>3</v>
      </c>
      <c r="N1251" s="229">
        <v>3</v>
      </c>
      <c r="O1251" s="229">
        <v>3</v>
      </c>
      <c r="P1251" s="229">
        <v>3</v>
      </c>
      <c r="Q1251" s="229">
        <v>3</v>
      </c>
      <c r="R1251" s="229">
        <v>3</v>
      </c>
      <c r="S1251" s="229">
        <v>3</v>
      </c>
      <c r="T1251" s="21"/>
      <c r="U1251" s="21"/>
      <c r="V1251" s="21"/>
      <c r="W1251" s="229">
        <v>3</v>
      </c>
      <c r="Y1251" s="390"/>
      <c r="Z1251" s="390"/>
      <c r="AA1251" s="390"/>
      <c r="AB1251" s="390"/>
      <c r="AC1251" s="390"/>
      <c r="AD1251" s="390"/>
      <c r="AE1251" s="390"/>
      <c r="AF1251" s="390"/>
      <c r="AG1251" s="390"/>
      <c r="AH1251" s="390"/>
      <c r="AI1251" s="390"/>
      <c r="AJ1251" s="390"/>
      <c r="AK1251" s="390"/>
      <c r="AL1251" s="390"/>
      <c r="AM1251" s="390"/>
      <c r="AN1251" s="390"/>
      <c r="AO1251" s="390"/>
      <c r="AP1251" s="390"/>
      <c r="AQ1251" s="390"/>
      <c r="AR1251" s="390"/>
      <c r="AS1251" s="390"/>
    </row>
    <row r="1252" spans="2:45" x14ac:dyDescent="0.3">
      <c r="B1252" s="61" t="s">
        <v>194</v>
      </c>
      <c r="C1252" s="62"/>
      <c r="D1252" s="28">
        <v>4</v>
      </c>
      <c r="E1252" s="28">
        <v>5</v>
      </c>
      <c r="F1252" s="28">
        <v>6</v>
      </c>
      <c r="G1252" s="28">
        <v>5</v>
      </c>
      <c r="H1252" s="28">
        <v>4</v>
      </c>
      <c r="I1252" s="28">
        <v>4</v>
      </c>
      <c r="J1252" s="28">
        <v>5</v>
      </c>
      <c r="K1252" s="28">
        <v>5</v>
      </c>
      <c r="L1252" s="28">
        <v>5</v>
      </c>
      <c r="M1252" s="28">
        <v>4</v>
      </c>
      <c r="N1252" s="28">
        <v>4</v>
      </c>
      <c r="O1252" s="28">
        <v>4</v>
      </c>
      <c r="P1252" s="28">
        <v>4</v>
      </c>
      <c r="Q1252" s="28">
        <v>4</v>
      </c>
      <c r="R1252" s="28">
        <v>4</v>
      </c>
      <c r="S1252" s="28">
        <v>4</v>
      </c>
      <c r="T1252" s="29"/>
      <c r="U1252" s="29"/>
      <c r="V1252" s="29"/>
      <c r="W1252" s="28">
        <v>4</v>
      </c>
      <c r="Y1252" s="390"/>
      <c r="Z1252" s="390"/>
      <c r="AA1252" s="390"/>
      <c r="AB1252" s="390"/>
      <c r="AC1252" s="390"/>
      <c r="AD1252" s="390"/>
      <c r="AE1252" s="390"/>
      <c r="AF1252" s="390"/>
      <c r="AG1252" s="390"/>
      <c r="AH1252" s="390"/>
      <c r="AI1252" s="390"/>
      <c r="AJ1252" s="390"/>
      <c r="AK1252" s="390"/>
      <c r="AL1252" s="390"/>
      <c r="AM1252" s="390"/>
      <c r="AN1252" s="390"/>
      <c r="AO1252" s="390"/>
      <c r="AP1252" s="390"/>
      <c r="AQ1252" s="390"/>
      <c r="AR1252" s="390"/>
      <c r="AS1252" s="390"/>
    </row>
    <row r="1253" spans="2:45" x14ac:dyDescent="0.3">
      <c r="B1253" s="61" t="s">
        <v>195</v>
      </c>
      <c r="C1253" s="62"/>
      <c r="D1253" s="28">
        <v>5</v>
      </c>
      <c r="E1253" s="28">
        <v>6</v>
      </c>
      <c r="F1253" s="28">
        <v>7</v>
      </c>
      <c r="G1253" s="28">
        <v>6</v>
      </c>
      <c r="H1253" s="28">
        <v>5</v>
      </c>
      <c r="I1253" s="28">
        <v>5</v>
      </c>
      <c r="J1253" s="28">
        <v>6</v>
      </c>
      <c r="K1253" s="28">
        <v>6</v>
      </c>
      <c r="L1253" s="28">
        <v>6</v>
      </c>
      <c r="M1253" s="28">
        <v>5</v>
      </c>
      <c r="N1253" s="28">
        <v>5</v>
      </c>
      <c r="O1253" s="28">
        <v>5</v>
      </c>
      <c r="P1253" s="28">
        <v>5</v>
      </c>
      <c r="Q1253" s="28">
        <v>5</v>
      </c>
      <c r="R1253" s="28">
        <v>5</v>
      </c>
      <c r="S1253" s="28">
        <v>5</v>
      </c>
      <c r="T1253" s="29"/>
      <c r="U1253" s="29"/>
      <c r="V1253" s="29"/>
      <c r="W1253" s="28">
        <v>5</v>
      </c>
      <c r="Y1253" s="390"/>
      <c r="Z1253" s="390"/>
      <c r="AA1253" s="390"/>
      <c r="AB1253" s="390"/>
      <c r="AC1253" s="390"/>
      <c r="AD1253" s="390"/>
      <c r="AE1253" s="390"/>
      <c r="AF1253" s="390"/>
      <c r="AG1253" s="390"/>
      <c r="AH1253" s="390"/>
      <c r="AI1253" s="390"/>
      <c r="AJ1253" s="390"/>
      <c r="AK1253" s="390"/>
      <c r="AL1253" s="390"/>
      <c r="AM1253" s="390"/>
      <c r="AN1253" s="390"/>
      <c r="AO1253" s="390"/>
      <c r="AP1253" s="390"/>
      <c r="AQ1253" s="390"/>
      <c r="AR1253" s="390"/>
      <c r="AS1253" s="390"/>
    </row>
    <row r="1254" spans="2:45" x14ac:dyDescent="0.3">
      <c r="B1254" s="61" t="s">
        <v>196</v>
      </c>
      <c r="C1254" s="62"/>
      <c r="D1254" s="28">
        <v>7</v>
      </c>
      <c r="E1254" s="28">
        <v>8</v>
      </c>
      <c r="F1254" s="28">
        <v>9</v>
      </c>
      <c r="G1254" s="28">
        <v>8</v>
      </c>
      <c r="H1254" s="28">
        <v>7</v>
      </c>
      <c r="I1254" s="28">
        <v>7</v>
      </c>
      <c r="J1254" s="28">
        <v>8</v>
      </c>
      <c r="K1254" s="28">
        <v>8</v>
      </c>
      <c r="L1254" s="28">
        <v>8</v>
      </c>
      <c r="M1254" s="28">
        <v>7</v>
      </c>
      <c r="N1254" s="28">
        <v>7</v>
      </c>
      <c r="O1254" s="28">
        <v>7</v>
      </c>
      <c r="P1254" s="28">
        <v>7</v>
      </c>
      <c r="Q1254" s="28">
        <v>7</v>
      </c>
      <c r="R1254" s="28">
        <v>7</v>
      </c>
      <c r="S1254" s="28">
        <v>7</v>
      </c>
      <c r="T1254" s="29"/>
      <c r="U1254" s="29"/>
      <c r="V1254" s="29"/>
      <c r="W1254" s="28">
        <v>7</v>
      </c>
      <c r="Y1254" s="390"/>
      <c r="Z1254" s="390"/>
      <c r="AA1254" s="390"/>
      <c r="AB1254" s="390"/>
      <c r="AC1254" s="390"/>
      <c r="AD1254" s="390"/>
      <c r="AE1254" s="390"/>
      <c r="AF1254" s="390"/>
      <c r="AG1254" s="390"/>
      <c r="AH1254" s="390"/>
      <c r="AI1254" s="390"/>
      <c r="AJ1254" s="390"/>
      <c r="AK1254" s="390"/>
      <c r="AL1254" s="390"/>
      <c r="AM1254" s="390"/>
      <c r="AN1254" s="390"/>
      <c r="AO1254" s="390"/>
      <c r="AP1254" s="390"/>
      <c r="AQ1254" s="390"/>
      <c r="AR1254" s="390"/>
      <c r="AS1254" s="390"/>
    </row>
    <row r="1255" spans="2:45" x14ac:dyDescent="0.3">
      <c r="B1255" s="61" t="s">
        <v>197</v>
      </c>
      <c r="C1255" s="62"/>
      <c r="D1255" s="28">
        <v>11</v>
      </c>
      <c r="E1255" s="28">
        <v>12</v>
      </c>
      <c r="F1255" s="28">
        <v>13</v>
      </c>
      <c r="G1255" s="28">
        <v>12</v>
      </c>
      <c r="H1255" s="28">
        <v>11</v>
      </c>
      <c r="I1255" s="28">
        <v>11</v>
      </c>
      <c r="J1255" s="28">
        <v>12</v>
      </c>
      <c r="K1255" s="28">
        <v>12</v>
      </c>
      <c r="L1255" s="28">
        <v>12</v>
      </c>
      <c r="M1255" s="28">
        <v>11</v>
      </c>
      <c r="N1255" s="28">
        <v>11</v>
      </c>
      <c r="O1255" s="28">
        <v>11</v>
      </c>
      <c r="P1255" s="28">
        <v>11</v>
      </c>
      <c r="Q1255" s="28">
        <v>11</v>
      </c>
      <c r="R1255" s="28">
        <v>11</v>
      </c>
      <c r="S1255" s="28">
        <v>11</v>
      </c>
      <c r="T1255" s="29"/>
      <c r="U1255" s="29"/>
      <c r="V1255" s="29"/>
      <c r="W1255" s="28">
        <v>11</v>
      </c>
      <c r="Y1255" s="390"/>
      <c r="Z1255" s="390"/>
      <c r="AA1255" s="390"/>
      <c r="AB1255" s="390"/>
      <c r="AC1255" s="390"/>
      <c r="AD1255" s="390"/>
      <c r="AE1255" s="390"/>
      <c r="AF1255" s="390"/>
      <c r="AG1255" s="390"/>
      <c r="AH1255" s="390"/>
      <c r="AI1255" s="390"/>
      <c r="AJ1255" s="390"/>
      <c r="AK1255" s="390"/>
      <c r="AL1255" s="390"/>
      <c r="AM1255" s="390"/>
      <c r="AN1255" s="390"/>
      <c r="AO1255" s="390"/>
      <c r="AP1255" s="390"/>
      <c r="AQ1255" s="390"/>
      <c r="AR1255" s="390"/>
      <c r="AS1255" s="390"/>
    </row>
    <row r="1256" spans="2:45" x14ac:dyDescent="0.3">
      <c r="B1256" s="63" t="s">
        <v>103</v>
      </c>
      <c r="C1256" s="62"/>
      <c r="D1256" s="31">
        <f>+D1251-D$833</f>
        <v>-382.62882580645157</v>
      </c>
      <c r="E1256" s="31">
        <f>+E1251-E$833</f>
        <v>-394.01592258064517</v>
      </c>
      <c r="F1256" s="31">
        <f t="shared" ref="F1256:S1256" si="945">+F1251-F$833</f>
        <v>-399.79011612903224</v>
      </c>
      <c r="G1256" s="31">
        <f t="shared" si="945"/>
        <v>-388.20947096774194</v>
      </c>
      <c r="H1256" s="31">
        <f t="shared" si="945"/>
        <v>-384.69334193548383</v>
      </c>
      <c r="I1256" s="31">
        <f t="shared" si="945"/>
        <v>-388.88689032258065</v>
      </c>
      <c r="J1256" s="31">
        <f t="shared" si="945"/>
        <v>-394.98366451612901</v>
      </c>
      <c r="K1256" s="31">
        <f t="shared" si="945"/>
        <v>-391.4352774193548</v>
      </c>
      <c r="L1256" s="31">
        <f t="shared" si="945"/>
        <v>-392.72559999999999</v>
      </c>
      <c r="M1256" s="31">
        <f t="shared" si="945"/>
        <v>-382.88689032258065</v>
      </c>
      <c r="N1256" s="31">
        <f t="shared" si="945"/>
        <v>-384.95140645161291</v>
      </c>
      <c r="O1256" s="31">
        <f t="shared" si="945"/>
        <v>-389.20947096774194</v>
      </c>
      <c r="P1256" s="31">
        <f t="shared" si="945"/>
        <v>-380.17721290322578</v>
      </c>
      <c r="Q1256" s="31">
        <f t="shared" si="945"/>
        <v>-380.17721290322578</v>
      </c>
      <c r="R1256" s="31">
        <f t="shared" si="945"/>
        <v>-386.62882580645157</v>
      </c>
      <c r="S1256" s="31">
        <f t="shared" si="945"/>
        <v>-384.8223741935484</v>
      </c>
      <c r="T1256" s="29"/>
      <c r="U1256" s="29"/>
      <c r="V1256" s="29"/>
      <c r="W1256" s="31">
        <f>+W1251-W$833</f>
        <v>-380.17721290322578</v>
      </c>
      <c r="Y1256" s="390"/>
      <c r="Z1256" s="390"/>
      <c r="AA1256" s="390"/>
      <c r="AB1256" s="390"/>
      <c r="AC1256" s="390"/>
      <c r="AD1256" s="390"/>
      <c r="AE1256" s="390"/>
      <c r="AF1256" s="390"/>
      <c r="AG1256" s="390"/>
      <c r="AH1256" s="390"/>
      <c r="AI1256" s="390"/>
      <c r="AJ1256" s="390"/>
      <c r="AK1256" s="390"/>
      <c r="AL1256" s="390"/>
      <c r="AM1256" s="390"/>
      <c r="AN1256" s="390"/>
      <c r="AO1256" s="390"/>
      <c r="AP1256" s="390"/>
      <c r="AQ1256" s="390"/>
      <c r="AR1256" s="390"/>
      <c r="AS1256" s="390"/>
    </row>
    <row r="1257" spans="2:45" x14ac:dyDescent="0.3">
      <c r="B1257" s="63" t="s">
        <v>104</v>
      </c>
      <c r="C1257" s="64"/>
      <c r="D1257" s="31">
        <f>+D1252-D$833</f>
        <v>-381.62882580645157</v>
      </c>
      <c r="E1257" s="32">
        <f t="shared" ref="E1257:S1257" si="946">+E1252-E$833</f>
        <v>-393.01592258064517</v>
      </c>
      <c r="F1257" s="32">
        <f t="shared" si="946"/>
        <v>-398.79011612903224</v>
      </c>
      <c r="G1257" s="32">
        <f t="shared" si="946"/>
        <v>-387.20947096774194</v>
      </c>
      <c r="H1257" s="32">
        <f t="shared" si="946"/>
        <v>-383.69334193548383</v>
      </c>
      <c r="I1257" s="32">
        <f t="shared" si="946"/>
        <v>-387.88689032258065</v>
      </c>
      <c r="J1257" s="32">
        <f t="shared" si="946"/>
        <v>-393.98366451612901</v>
      </c>
      <c r="K1257" s="32">
        <f t="shared" si="946"/>
        <v>-390.4352774193548</v>
      </c>
      <c r="L1257" s="32">
        <f t="shared" si="946"/>
        <v>-391.72559999999999</v>
      </c>
      <c r="M1257" s="32">
        <f t="shared" si="946"/>
        <v>-381.88689032258065</v>
      </c>
      <c r="N1257" s="32">
        <f t="shared" si="946"/>
        <v>-383.95140645161291</v>
      </c>
      <c r="O1257" s="32">
        <f t="shared" si="946"/>
        <v>-388.20947096774194</v>
      </c>
      <c r="P1257" s="32">
        <f t="shared" si="946"/>
        <v>-379.17721290322578</v>
      </c>
      <c r="Q1257" s="32">
        <f t="shared" si="946"/>
        <v>-379.17721290322578</v>
      </c>
      <c r="R1257" s="32">
        <f t="shared" si="946"/>
        <v>-385.62882580645157</v>
      </c>
      <c r="S1257" s="32">
        <f t="shared" si="946"/>
        <v>-383.8223741935484</v>
      </c>
      <c r="T1257" s="32"/>
      <c r="U1257" s="32"/>
      <c r="V1257" s="32"/>
      <c r="W1257" s="32">
        <f>+W1252-W$833</f>
        <v>-379.17721290322578</v>
      </c>
      <c r="Y1257" s="390"/>
      <c r="Z1257" s="390"/>
      <c r="AA1257" s="390"/>
      <c r="AB1257" s="390"/>
      <c r="AC1257" s="390"/>
      <c r="AD1257" s="390"/>
      <c r="AE1257" s="390"/>
      <c r="AF1257" s="390"/>
      <c r="AG1257" s="390"/>
      <c r="AH1257" s="390"/>
      <c r="AI1257" s="390"/>
      <c r="AJ1257" s="390"/>
      <c r="AK1257" s="390"/>
      <c r="AL1257" s="390"/>
      <c r="AM1257" s="390"/>
      <c r="AN1257" s="390"/>
      <c r="AO1257" s="390"/>
      <c r="AP1257" s="390"/>
      <c r="AQ1257" s="390"/>
      <c r="AR1257" s="390"/>
      <c r="AS1257" s="390"/>
    </row>
    <row r="1258" spans="2:45" x14ac:dyDescent="0.3">
      <c r="B1258" s="63" t="s">
        <v>105</v>
      </c>
      <c r="C1258" s="64"/>
      <c r="D1258" s="31">
        <f>+D1253-D$833</f>
        <v>-380.62882580645157</v>
      </c>
      <c r="E1258" s="32">
        <f t="shared" ref="E1258:S1258" si="947">+E1253-E$833</f>
        <v>-392.01592258064517</v>
      </c>
      <c r="F1258" s="32">
        <f t="shared" si="947"/>
        <v>-397.79011612903224</v>
      </c>
      <c r="G1258" s="32">
        <f t="shared" si="947"/>
        <v>-386.20947096774194</v>
      </c>
      <c r="H1258" s="32">
        <f t="shared" si="947"/>
        <v>-382.69334193548383</v>
      </c>
      <c r="I1258" s="32">
        <f t="shared" si="947"/>
        <v>-386.88689032258065</v>
      </c>
      <c r="J1258" s="32">
        <f t="shared" si="947"/>
        <v>-392.98366451612901</v>
      </c>
      <c r="K1258" s="32">
        <f t="shared" si="947"/>
        <v>-389.4352774193548</v>
      </c>
      <c r="L1258" s="32">
        <f t="shared" si="947"/>
        <v>-390.72559999999999</v>
      </c>
      <c r="M1258" s="32">
        <f t="shared" si="947"/>
        <v>-380.88689032258065</v>
      </c>
      <c r="N1258" s="32">
        <f t="shared" si="947"/>
        <v>-382.95140645161291</v>
      </c>
      <c r="O1258" s="32">
        <f t="shared" si="947"/>
        <v>-387.20947096774194</v>
      </c>
      <c r="P1258" s="32">
        <f t="shared" si="947"/>
        <v>-378.17721290322578</v>
      </c>
      <c r="Q1258" s="32">
        <f t="shared" si="947"/>
        <v>-378.17721290322578</v>
      </c>
      <c r="R1258" s="32">
        <f t="shared" si="947"/>
        <v>-384.62882580645157</v>
      </c>
      <c r="S1258" s="32">
        <f t="shared" si="947"/>
        <v>-382.8223741935484</v>
      </c>
      <c r="T1258" s="32"/>
      <c r="U1258" s="32"/>
      <c r="V1258" s="32"/>
      <c r="W1258" s="32">
        <f>+W1253-W$833</f>
        <v>-378.17721290322578</v>
      </c>
      <c r="Y1258" s="390"/>
      <c r="Z1258" s="390"/>
      <c r="AA1258" s="390"/>
      <c r="AB1258" s="390"/>
      <c r="AC1258" s="390"/>
      <c r="AD1258" s="390"/>
      <c r="AE1258" s="390"/>
      <c r="AF1258" s="390"/>
      <c r="AG1258" s="390"/>
      <c r="AH1258" s="390"/>
      <c r="AI1258" s="390"/>
      <c r="AJ1258" s="390"/>
      <c r="AK1258" s="390"/>
      <c r="AL1258" s="390"/>
      <c r="AM1258" s="390"/>
      <c r="AN1258" s="390"/>
      <c r="AO1258" s="390"/>
      <c r="AP1258" s="390"/>
      <c r="AQ1258" s="390"/>
      <c r="AR1258" s="390"/>
      <c r="AS1258" s="390"/>
    </row>
    <row r="1259" spans="2:45" x14ac:dyDescent="0.3">
      <c r="B1259" s="63" t="s">
        <v>75</v>
      </c>
      <c r="C1259" s="64"/>
      <c r="D1259" s="31">
        <f>+D1254-D$833</f>
        <v>-378.62882580645157</v>
      </c>
      <c r="E1259" s="32">
        <f t="shared" ref="E1259:S1259" si="948">+E1254-E$833</f>
        <v>-390.01592258064517</v>
      </c>
      <c r="F1259" s="32">
        <f t="shared" si="948"/>
        <v>-395.79011612903224</v>
      </c>
      <c r="G1259" s="32">
        <f t="shared" si="948"/>
        <v>-384.20947096774194</v>
      </c>
      <c r="H1259" s="32">
        <f t="shared" si="948"/>
        <v>-380.69334193548383</v>
      </c>
      <c r="I1259" s="32">
        <f t="shared" si="948"/>
        <v>-384.88689032258065</v>
      </c>
      <c r="J1259" s="32">
        <f t="shared" si="948"/>
        <v>-390.98366451612901</v>
      </c>
      <c r="K1259" s="32">
        <f t="shared" si="948"/>
        <v>-387.4352774193548</v>
      </c>
      <c r="L1259" s="32">
        <f t="shared" si="948"/>
        <v>-388.72559999999999</v>
      </c>
      <c r="M1259" s="32">
        <f t="shared" si="948"/>
        <v>-378.88689032258065</v>
      </c>
      <c r="N1259" s="32">
        <f t="shared" si="948"/>
        <v>-380.95140645161291</v>
      </c>
      <c r="O1259" s="32">
        <f t="shared" si="948"/>
        <v>-385.20947096774194</v>
      </c>
      <c r="P1259" s="32">
        <f t="shared" si="948"/>
        <v>-376.17721290322578</v>
      </c>
      <c r="Q1259" s="32">
        <f t="shared" si="948"/>
        <v>-376.17721290322578</v>
      </c>
      <c r="R1259" s="32">
        <f t="shared" si="948"/>
        <v>-382.62882580645157</v>
      </c>
      <c r="S1259" s="32">
        <f t="shared" si="948"/>
        <v>-380.8223741935484</v>
      </c>
      <c r="T1259" s="32"/>
      <c r="U1259" s="32"/>
      <c r="V1259" s="32"/>
      <c r="W1259" s="32">
        <f>+W1254-W$833</f>
        <v>-376.17721290322578</v>
      </c>
      <c r="Y1259" s="390"/>
      <c r="Z1259" s="390"/>
      <c r="AA1259" s="390"/>
      <c r="AB1259" s="390"/>
      <c r="AC1259" s="390"/>
      <c r="AD1259" s="390"/>
      <c r="AE1259" s="390"/>
      <c r="AF1259" s="390"/>
      <c r="AG1259" s="390"/>
      <c r="AH1259" s="390"/>
      <c r="AI1259" s="390"/>
      <c r="AJ1259" s="390"/>
      <c r="AK1259" s="390"/>
      <c r="AL1259" s="390"/>
      <c r="AM1259" s="390"/>
      <c r="AN1259" s="390"/>
      <c r="AO1259" s="390"/>
      <c r="AP1259" s="390"/>
      <c r="AQ1259" s="390"/>
      <c r="AR1259" s="390"/>
      <c r="AS1259" s="390"/>
    </row>
    <row r="1260" spans="2:45" x14ac:dyDescent="0.3">
      <c r="B1260" s="63" t="s">
        <v>76</v>
      </c>
      <c r="C1260" s="64"/>
      <c r="D1260" s="31">
        <f>+D1255-D$833</f>
        <v>-374.62882580645157</v>
      </c>
      <c r="E1260" s="34">
        <f t="shared" ref="E1260:S1260" si="949">+E1255-E$833</f>
        <v>-386.01592258064517</v>
      </c>
      <c r="F1260" s="34">
        <f t="shared" si="949"/>
        <v>-391.79011612903224</v>
      </c>
      <c r="G1260" s="34">
        <f t="shared" si="949"/>
        <v>-380.20947096774194</v>
      </c>
      <c r="H1260" s="34">
        <f t="shared" si="949"/>
        <v>-376.69334193548383</v>
      </c>
      <c r="I1260" s="34">
        <f t="shared" si="949"/>
        <v>-380.88689032258065</v>
      </c>
      <c r="J1260" s="34">
        <f t="shared" si="949"/>
        <v>-386.98366451612901</v>
      </c>
      <c r="K1260" s="34">
        <f t="shared" si="949"/>
        <v>-383.4352774193548</v>
      </c>
      <c r="L1260" s="34">
        <f t="shared" si="949"/>
        <v>-384.72559999999999</v>
      </c>
      <c r="M1260" s="34">
        <f t="shared" si="949"/>
        <v>-374.88689032258065</v>
      </c>
      <c r="N1260" s="34">
        <f t="shared" si="949"/>
        <v>-376.95140645161291</v>
      </c>
      <c r="O1260" s="34">
        <f t="shared" si="949"/>
        <v>-381.20947096774194</v>
      </c>
      <c r="P1260" s="34">
        <f t="shared" si="949"/>
        <v>-372.17721290322578</v>
      </c>
      <c r="Q1260" s="34">
        <f t="shared" si="949"/>
        <v>-372.17721290322578</v>
      </c>
      <c r="R1260" s="34">
        <f t="shared" si="949"/>
        <v>-378.62882580645157</v>
      </c>
      <c r="S1260" s="34">
        <f t="shared" si="949"/>
        <v>-376.8223741935484</v>
      </c>
      <c r="T1260" s="34"/>
      <c r="U1260" s="34"/>
      <c r="V1260" s="34"/>
      <c r="W1260" s="34">
        <f>+W1255-W$833</f>
        <v>-372.17721290322578</v>
      </c>
      <c r="Y1260" s="390"/>
      <c r="Z1260" s="390"/>
      <c r="AA1260" s="390"/>
      <c r="AB1260" s="390"/>
      <c r="AC1260" s="390"/>
      <c r="AD1260" s="390"/>
      <c r="AE1260" s="390"/>
      <c r="AF1260" s="390"/>
      <c r="AG1260" s="390"/>
      <c r="AH1260" s="390"/>
      <c r="AI1260" s="390"/>
      <c r="AJ1260" s="390"/>
      <c r="AK1260" s="390"/>
      <c r="AL1260" s="390"/>
      <c r="AM1260" s="390"/>
      <c r="AN1260" s="390"/>
      <c r="AO1260" s="390"/>
      <c r="AP1260" s="390"/>
      <c r="AQ1260" s="390"/>
      <c r="AR1260" s="390"/>
      <c r="AS1260" s="390"/>
    </row>
    <row r="1261" spans="2:45" x14ac:dyDescent="0.3">
      <c r="B1261" s="65" t="s">
        <v>108</v>
      </c>
      <c r="C1261" s="64"/>
      <c r="D1261" s="105">
        <f>+D1256/D$835</f>
        <v>-0.93097037909112301</v>
      </c>
      <c r="E1261" s="105">
        <f t="shared" ref="E1261:S1261" si="950">+E1256/E$835</f>
        <v>-0.92928283627510655</v>
      </c>
      <c r="F1261" s="105">
        <f t="shared" si="950"/>
        <v>-0.92974445611402845</v>
      </c>
      <c r="G1261" s="105">
        <f t="shared" si="950"/>
        <v>-0.92873079178885631</v>
      </c>
      <c r="H1261" s="105">
        <f t="shared" si="950"/>
        <v>-0.93146087635710373</v>
      </c>
      <c r="I1261" s="105">
        <f t="shared" si="950"/>
        <v>-0.93258247079755552</v>
      </c>
      <c r="J1261" s="105">
        <f t="shared" si="950"/>
        <v>-0.93156524650030426</v>
      </c>
      <c r="K1261" s="105">
        <f t="shared" si="950"/>
        <v>-0.92977500574668603</v>
      </c>
      <c r="L1261" s="105">
        <f t="shared" si="950"/>
        <v>-0.93062938388625593</v>
      </c>
      <c r="M1261" s="105">
        <f t="shared" si="950"/>
        <v>-0.93159827329095046</v>
      </c>
      <c r="N1261" s="105">
        <f t="shared" si="950"/>
        <v>-0.93208572990705307</v>
      </c>
      <c r="O1261" s="105">
        <f t="shared" si="950"/>
        <v>-0.93112313628646393</v>
      </c>
      <c r="P1261" s="105">
        <f t="shared" si="950"/>
        <v>-0.92952863790519746</v>
      </c>
      <c r="Q1261" s="105">
        <f t="shared" si="950"/>
        <v>-0.92952863790519746</v>
      </c>
      <c r="R1261" s="105">
        <f t="shared" si="950"/>
        <v>-0.93163572483482304</v>
      </c>
      <c r="S1261" s="105">
        <f t="shared" si="950"/>
        <v>-0.9317733031320784</v>
      </c>
      <c r="T1261" s="34"/>
      <c r="U1261" s="34"/>
      <c r="V1261" s="34"/>
      <c r="W1261" s="105">
        <f>+W1256/W$835</f>
        <v>-0.92952863790519746</v>
      </c>
      <c r="Y1261" s="390"/>
      <c r="Z1261" s="390"/>
      <c r="AA1261" s="390"/>
      <c r="AB1261" s="390"/>
      <c r="AC1261" s="390"/>
      <c r="AD1261" s="390"/>
      <c r="AE1261" s="390"/>
      <c r="AF1261" s="390"/>
      <c r="AG1261" s="390"/>
      <c r="AH1261" s="390"/>
      <c r="AI1261" s="390"/>
      <c r="AJ1261" s="390"/>
      <c r="AK1261" s="390"/>
      <c r="AL1261" s="390"/>
      <c r="AM1261" s="390"/>
      <c r="AN1261" s="390"/>
      <c r="AO1261" s="390"/>
      <c r="AP1261" s="390"/>
      <c r="AQ1261" s="390"/>
      <c r="AR1261" s="390"/>
      <c r="AS1261" s="390"/>
    </row>
    <row r="1262" spans="2:45" x14ac:dyDescent="0.3">
      <c r="B1262" s="65" t="s">
        <v>107</v>
      </c>
      <c r="C1262" s="66"/>
      <c r="D1262" s="35">
        <f>+D1257/D$836</f>
        <v>-0.91737698511166244</v>
      </c>
      <c r="E1262" s="35">
        <f t="shared" ref="E1262:S1262" si="951">+E1257/E$836</f>
        <v>-0.91612103165651559</v>
      </c>
      <c r="F1262" s="35">
        <f t="shared" si="951"/>
        <v>-0.91675888765294766</v>
      </c>
      <c r="G1262" s="35">
        <f t="shared" si="951"/>
        <v>-0.91538882025470902</v>
      </c>
      <c r="H1262" s="35">
        <f t="shared" si="951"/>
        <v>-0.9179266553480474</v>
      </c>
      <c r="I1262" s="35">
        <f t="shared" si="951"/>
        <v>-0.91916324720990672</v>
      </c>
      <c r="J1262" s="35">
        <f t="shared" si="951"/>
        <v>-0.91837684036393707</v>
      </c>
      <c r="K1262" s="35">
        <f t="shared" si="951"/>
        <v>-0.91651473572618503</v>
      </c>
      <c r="L1262" s="35">
        <f t="shared" si="951"/>
        <v>-0.91739016393442618</v>
      </c>
      <c r="M1262" s="35">
        <f t="shared" si="951"/>
        <v>-0.91799733250620352</v>
      </c>
      <c r="N1262" s="35">
        <f t="shared" si="951"/>
        <v>-0.91854403457323663</v>
      </c>
      <c r="O1262" s="35">
        <f t="shared" si="951"/>
        <v>-0.91775288644856245</v>
      </c>
      <c r="P1262" s="35">
        <f t="shared" si="951"/>
        <v>-0.91588698768895116</v>
      </c>
      <c r="Q1262" s="35">
        <f t="shared" si="951"/>
        <v>-0.91588698768895116</v>
      </c>
      <c r="R1262" s="35">
        <f t="shared" si="951"/>
        <v>-0.91816387096774188</v>
      </c>
      <c r="S1262" s="35">
        <f t="shared" si="951"/>
        <v>-0.91823534496064207</v>
      </c>
      <c r="T1262" s="35"/>
      <c r="U1262" s="35"/>
      <c r="V1262" s="35"/>
      <c r="W1262" s="35">
        <f>+W1257/W$836</f>
        <v>-0.91588698768895116</v>
      </c>
      <c r="Y1262" s="390"/>
      <c r="Z1262" s="390"/>
      <c r="AA1262" s="390"/>
      <c r="AB1262" s="390"/>
      <c r="AC1262" s="390"/>
      <c r="AD1262" s="390"/>
      <c r="AE1262" s="390"/>
      <c r="AF1262" s="390"/>
      <c r="AG1262" s="390"/>
      <c r="AH1262" s="390"/>
      <c r="AI1262" s="390"/>
      <c r="AJ1262" s="390"/>
      <c r="AK1262" s="390"/>
      <c r="AL1262" s="390"/>
      <c r="AM1262" s="390"/>
      <c r="AN1262" s="390"/>
      <c r="AO1262" s="390"/>
      <c r="AP1262" s="390"/>
      <c r="AQ1262" s="390"/>
      <c r="AR1262" s="390"/>
      <c r="AS1262" s="390"/>
    </row>
    <row r="1263" spans="2:45" x14ac:dyDescent="0.3">
      <c r="B1263" s="65" t="s">
        <v>106</v>
      </c>
      <c r="C1263" s="66"/>
      <c r="D1263" s="35">
        <f>+D1258/D$837</f>
        <v>-0.90410647459964744</v>
      </c>
      <c r="E1263" s="35">
        <f t="shared" ref="E1263:S1263" si="952">+E1258/E$837</f>
        <v>-0.9032624944254497</v>
      </c>
      <c r="F1263" s="35">
        <f t="shared" si="952"/>
        <v>-0.90406844574780054</v>
      </c>
      <c r="G1263" s="35">
        <f t="shared" si="952"/>
        <v>-0.90235857702743438</v>
      </c>
      <c r="H1263" s="35">
        <f t="shared" si="952"/>
        <v>-0.90471239228246769</v>
      </c>
      <c r="I1263" s="35">
        <f t="shared" si="952"/>
        <v>-0.90605829115358472</v>
      </c>
      <c r="J1263" s="35">
        <f t="shared" si="952"/>
        <v>-0.9054923145532926</v>
      </c>
      <c r="K1263" s="35">
        <f t="shared" si="952"/>
        <v>-0.90356212858318985</v>
      </c>
      <c r="L1263" s="35">
        <f t="shared" si="952"/>
        <v>-0.90445740740740732</v>
      </c>
      <c r="M1263" s="35">
        <f t="shared" si="952"/>
        <v>-0.904719454447935</v>
      </c>
      <c r="N1263" s="35">
        <f t="shared" si="952"/>
        <v>-0.90532247388088161</v>
      </c>
      <c r="O1263" s="35">
        <f t="shared" si="952"/>
        <v>-0.90469502562556525</v>
      </c>
      <c r="P1263" s="35">
        <f t="shared" si="952"/>
        <v>-0.90257091385018084</v>
      </c>
      <c r="Q1263" s="35">
        <f t="shared" si="952"/>
        <v>-0.90257091385018084</v>
      </c>
      <c r="R1263" s="35">
        <f t="shared" si="952"/>
        <v>-0.90500900189753308</v>
      </c>
      <c r="S1263" s="35">
        <f t="shared" si="952"/>
        <v>-0.9050174330816747</v>
      </c>
      <c r="T1263" s="35"/>
      <c r="U1263" s="35"/>
      <c r="V1263" s="35"/>
      <c r="W1263" s="35">
        <f>+W1258/W$837</f>
        <v>-0.90257091385018084</v>
      </c>
      <c r="Y1263" s="390"/>
      <c r="Z1263" s="390"/>
      <c r="AA1263" s="390"/>
      <c r="AB1263" s="390"/>
      <c r="AC1263" s="390"/>
      <c r="AD1263" s="390"/>
      <c r="AE1263" s="390"/>
      <c r="AF1263" s="390"/>
      <c r="AG1263" s="390"/>
      <c r="AH1263" s="390"/>
      <c r="AI1263" s="390"/>
      <c r="AJ1263" s="390"/>
      <c r="AK1263" s="390"/>
      <c r="AL1263" s="390"/>
      <c r="AM1263" s="390"/>
      <c r="AN1263" s="390"/>
      <c r="AO1263" s="390"/>
      <c r="AP1263" s="390"/>
      <c r="AQ1263" s="390"/>
      <c r="AR1263" s="390"/>
      <c r="AS1263" s="390"/>
    </row>
    <row r="1264" spans="2:45" x14ac:dyDescent="0.3">
      <c r="B1264" s="65" t="s">
        <v>77</v>
      </c>
      <c r="C1264" s="66"/>
      <c r="D1264" s="35">
        <f>+D1259/D$838</f>
        <v>-0.88880006057852479</v>
      </c>
      <c r="E1264" s="35">
        <f t="shared" ref="E1264:S1264" si="953">+E1259/E$838</f>
        <v>-0.88841895804247195</v>
      </c>
      <c r="F1264" s="35">
        <f t="shared" si="953"/>
        <v>-0.88941599130119608</v>
      </c>
      <c r="G1264" s="35">
        <f t="shared" si="953"/>
        <v>-0.88731979438277586</v>
      </c>
      <c r="H1264" s="35">
        <f t="shared" si="953"/>
        <v>-0.88947042508290619</v>
      </c>
      <c r="I1264" s="35">
        <f t="shared" si="953"/>
        <v>-0.89094187574671446</v>
      </c>
      <c r="J1264" s="35">
        <f t="shared" si="953"/>
        <v>-0.8906233815857153</v>
      </c>
      <c r="K1264" s="35">
        <f t="shared" si="953"/>
        <v>-0.88861302160402478</v>
      </c>
      <c r="L1264" s="35">
        <f t="shared" si="953"/>
        <v>-0.88953226544622421</v>
      </c>
      <c r="M1264" s="35">
        <f t="shared" si="953"/>
        <v>-0.88940584582765414</v>
      </c>
      <c r="N1264" s="35">
        <f t="shared" si="953"/>
        <v>-0.89007337955984323</v>
      </c>
      <c r="O1264" s="35">
        <f t="shared" si="953"/>
        <v>-0.88962926320494673</v>
      </c>
      <c r="P1264" s="35">
        <f t="shared" si="953"/>
        <v>-0.88721040779062688</v>
      </c>
      <c r="Q1264" s="35">
        <f t="shared" si="953"/>
        <v>-0.88721040779062688</v>
      </c>
      <c r="R1264" s="35">
        <f t="shared" si="953"/>
        <v>-0.88983447861965481</v>
      </c>
      <c r="S1264" s="35">
        <f t="shared" si="953"/>
        <v>-0.88977190232137471</v>
      </c>
      <c r="T1264" s="35"/>
      <c r="U1264" s="35"/>
      <c r="V1264" s="35"/>
      <c r="W1264" s="35">
        <f>+W1259/W$838</f>
        <v>-0.88721040779062688</v>
      </c>
      <c r="Y1264" s="390"/>
      <c r="Z1264" s="390"/>
      <c r="AA1264" s="390"/>
      <c r="AB1264" s="390"/>
      <c r="AC1264" s="390"/>
      <c r="AD1264" s="390"/>
      <c r="AE1264" s="390"/>
      <c r="AF1264" s="390"/>
      <c r="AG1264" s="390"/>
      <c r="AH1264" s="390"/>
      <c r="AI1264" s="390"/>
      <c r="AJ1264" s="390"/>
      <c r="AK1264" s="390"/>
      <c r="AL1264" s="390"/>
      <c r="AM1264" s="390"/>
      <c r="AN1264" s="390"/>
      <c r="AO1264" s="390"/>
      <c r="AP1264" s="390"/>
      <c r="AQ1264" s="390"/>
      <c r="AR1264" s="390"/>
      <c r="AS1264" s="390"/>
    </row>
    <row r="1265" spans="2:45" x14ac:dyDescent="0.3">
      <c r="B1265" s="65" t="s">
        <v>78</v>
      </c>
      <c r="C1265" s="66"/>
      <c r="D1265" s="35" t="e">
        <f>+D1260/#REF!</f>
        <v>#REF!</v>
      </c>
      <c r="E1265" s="35" t="e">
        <f>+E1260/#REF!</f>
        <v>#REF!</v>
      </c>
      <c r="F1265" s="35" t="e">
        <f>+F1260/#REF!</f>
        <v>#REF!</v>
      </c>
      <c r="G1265" s="35" t="e">
        <f>+G1260/#REF!</f>
        <v>#REF!</v>
      </c>
      <c r="H1265" s="35" t="e">
        <f>+H1260/#REF!</f>
        <v>#REF!</v>
      </c>
      <c r="I1265" s="35" t="e">
        <f>+I1260/#REF!</f>
        <v>#REF!</v>
      </c>
      <c r="J1265" s="35" t="e">
        <f>+J1260/#REF!</f>
        <v>#REF!</v>
      </c>
      <c r="K1265" s="35" t="e">
        <f>+K1260/#REF!</f>
        <v>#REF!</v>
      </c>
      <c r="L1265" s="35" t="e">
        <f>+L1260/#REF!</f>
        <v>#REF!</v>
      </c>
      <c r="M1265" s="35" t="e">
        <f>+M1260/#REF!</f>
        <v>#REF!</v>
      </c>
      <c r="N1265" s="35" t="e">
        <f>+N1260/#REF!</f>
        <v>#REF!</v>
      </c>
      <c r="O1265" s="35" t="e">
        <f>+O1260/#REF!</f>
        <v>#REF!</v>
      </c>
      <c r="P1265" s="35" t="e">
        <f>+P1260/#REF!</f>
        <v>#REF!</v>
      </c>
      <c r="Q1265" s="35" t="e">
        <f>+Q1260/#REF!</f>
        <v>#REF!</v>
      </c>
      <c r="R1265" s="35" t="e">
        <f>+R1260/#REF!</f>
        <v>#REF!</v>
      </c>
      <c r="S1265" s="35" t="e">
        <f>+S1260/#REF!</f>
        <v>#REF!</v>
      </c>
      <c r="T1265" s="35"/>
      <c r="U1265" s="35"/>
      <c r="V1265" s="35"/>
      <c r="W1265" s="35" t="e">
        <f>+W1260/#REF!</f>
        <v>#REF!</v>
      </c>
      <c r="Y1265" s="390"/>
      <c r="Z1265" s="390"/>
      <c r="AA1265" s="390"/>
      <c r="AB1265" s="390"/>
      <c r="AC1265" s="390"/>
      <c r="AD1265" s="390"/>
      <c r="AE1265" s="390"/>
      <c r="AF1265" s="390"/>
      <c r="AG1265" s="390"/>
      <c r="AH1265" s="390"/>
      <c r="AI1265" s="390"/>
      <c r="AJ1265" s="390"/>
      <c r="AK1265" s="390"/>
      <c r="AL1265" s="390"/>
      <c r="AM1265" s="390"/>
      <c r="AN1265" s="390"/>
      <c r="AO1265" s="390"/>
      <c r="AP1265" s="390"/>
      <c r="AQ1265" s="390"/>
      <c r="AR1265" s="390"/>
      <c r="AS1265" s="390"/>
    </row>
    <row r="1266" spans="2:45" ht="21" thickBot="1" x14ac:dyDescent="0.35">
      <c r="Y1266" s="390"/>
      <c r="Z1266" s="390"/>
      <c r="AA1266" s="390"/>
      <c r="AB1266" s="390"/>
      <c r="AC1266" s="390"/>
      <c r="AD1266" s="390"/>
      <c r="AE1266" s="390"/>
      <c r="AF1266" s="390"/>
      <c r="AG1266" s="390"/>
      <c r="AH1266" s="390"/>
      <c r="AI1266" s="390"/>
      <c r="AJ1266" s="390"/>
      <c r="AK1266" s="390"/>
      <c r="AL1266" s="390"/>
      <c r="AM1266" s="390"/>
      <c r="AN1266" s="390"/>
      <c r="AO1266" s="390"/>
      <c r="AP1266" s="390"/>
      <c r="AQ1266" s="390"/>
      <c r="AR1266" s="390"/>
      <c r="AS1266" s="390"/>
    </row>
    <row r="1267" spans="2:45" ht="21" thickBot="1" x14ac:dyDescent="0.35">
      <c r="B1267" s="223"/>
      <c r="C1267" s="68"/>
      <c r="D1267" s="17" t="s">
        <v>5</v>
      </c>
      <c r="E1267" s="18" t="s">
        <v>6</v>
      </c>
      <c r="F1267" s="18" t="s">
        <v>7</v>
      </c>
      <c r="G1267" s="18" t="s">
        <v>8</v>
      </c>
      <c r="H1267" s="18" t="s">
        <v>9</v>
      </c>
      <c r="I1267" s="18" t="s">
        <v>10</v>
      </c>
      <c r="J1267" s="18" t="s">
        <v>11</v>
      </c>
      <c r="K1267" s="18" t="s">
        <v>12</v>
      </c>
      <c r="L1267" s="18" t="s">
        <v>13</v>
      </c>
      <c r="M1267" s="18" t="s">
        <v>14</v>
      </c>
      <c r="N1267" s="18" t="s">
        <v>15</v>
      </c>
      <c r="O1267" s="18" t="s">
        <v>16</v>
      </c>
      <c r="P1267" s="18" t="s">
        <v>17</v>
      </c>
      <c r="Q1267" s="18" t="s">
        <v>18</v>
      </c>
      <c r="R1267" s="18" t="s">
        <v>19</v>
      </c>
      <c r="S1267" s="18" t="s">
        <v>20</v>
      </c>
      <c r="T1267" s="18" t="s">
        <v>21</v>
      </c>
      <c r="U1267" s="18" t="s">
        <v>22</v>
      </c>
      <c r="V1267" s="18" t="s">
        <v>23</v>
      </c>
      <c r="W1267" s="18" t="s">
        <v>166</v>
      </c>
      <c r="Y1267" s="390"/>
      <c r="Z1267" s="390"/>
      <c r="AA1267" s="390"/>
      <c r="AB1267" s="390"/>
      <c r="AC1267" s="390"/>
      <c r="AD1267" s="390"/>
      <c r="AE1267" s="390"/>
      <c r="AF1267" s="390"/>
      <c r="AG1267" s="390"/>
      <c r="AH1267" s="390"/>
      <c r="AI1267" s="390"/>
      <c r="AJ1267" s="390"/>
      <c r="AK1267" s="390"/>
      <c r="AL1267" s="390"/>
      <c r="AM1267" s="390"/>
      <c r="AN1267" s="390"/>
      <c r="AO1267" s="390"/>
      <c r="AP1267" s="390"/>
      <c r="AQ1267" s="390"/>
      <c r="AR1267" s="390"/>
      <c r="AS1267" s="390"/>
    </row>
    <row r="1268" spans="2:45" x14ac:dyDescent="0.3">
      <c r="B1268" s="222" t="s">
        <v>50</v>
      </c>
      <c r="C1268" s="70"/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Y1268" s="390"/>
      <c r="Z1268" s="390"/>
      <c r="AA1268" s="390"/>
      <c r="AB1268" s="390"/>
      <c r="AC1268" s="390"/>
      <c r="AD1268" s="390"/>
      <c r="AE1268" s="390"/>
      <c r="AF1268" s="390"/>
      <c r="AG1268" s="390"/>
      <c r="AH1268" s="390"/>
      <c r="AI1268" s="390"/>
      <c r="AJ1268" s="390"/>
      <c r="AK1268" s="390"/>
      <c r="AL1268" s="390"/>
      <c r="AM1268" s="390"/>
      <c r="AN1268" s="390"/>
      <c r="AO1268" s="390"/>
      <c r="AP1268" s="390"/>
      <c r="AQ1268" s="390"/>
      <c r="AR1268" s="390"/>
      <c r="AS1268" s="390"/>
    </row>
    <row r="1269" spans="2:45" x14ac:dyDescent="0.3">
      <c r="B1269" s="54" t="s">
        <v>51</v>
      </c>
      <c r="C1269" s="55"/>
      <c r="D1269" s="322"/>
      <c r="E1269" s="322"/>
      <c r="F1269" s="322"/>
      <c r="G1269" s="322"/>
      <c r="H1269" s="322"/>
      <c r="I1269" s="322"/>
      <c r="J1269" s="322"/>
      <c r="K1269" s="322"/>
      <c r="L1269" s="322"/>
      <c r="M1269" s="322"/>
      <c r="N1269" s="322"/>
      <c r="O1269" s="322"/>
      <c r="P1269" s="322"/>
      <c r="Q1269" s="322"/>
      <c r="R1269" s="322"/>
      <c r="S1269" s="322"/>
      <c r="T1269" s="218"/>
      <c r="U1269" s="218"/>
      <c r="V1269" s="218"/>
      <c r="W1269" s="322"/>
      <c r="Y1269" s="390"/>
      <c r="Z1269" s="390"/>
      <c r="AA1269" s="390"/>
      <c r="AB1269" s="390"/>
      <c r="AC1269" s="390"/>
      <c r="AD1269" s="390"/>
      <c r="AE1269" s="390"/>
      <c r="AF1269" s="390"/>
      <c r="AG1269" s="390"/>
      <c r="AH1269" s="390"/>
      <c r="AI1269" s="390"/>
      <c r="AJ1269" s="390"/>
      <c r="AK1269" s="390"/>
      <c r="AL1269" s="390"/>
      <c r="AM1269" s="390"/>
      <c r="AN1269" s="390"/>
      <c r="AO1269" s="390"/>
      <c r="AP1269" s="390"/>
      <c r="AQ1269" s="390"/>
      <c r="AR1269" s="390"/>
      <c r="AS1269" s="390"/>
    </row>
    <row r="1270" spans="2:45" x14ac:dyDescent="0.3">
      <c r="B1270" s="54" t="s">
        <v>56</v>
      </c>
      <c r="C1270" s="55"/>
      <c r="D1270" s="21"/>
      <c r="E1270" s="21"/>
      <c r="F1270" s="21"/>
      <c r="G1270" s="21"/>
      <c r="H1270" s="21"/>
      <c r="I1270" s="21"/>
      <c r="J1270" s="21"/>
      <c r="K1270" s="21"/>
      <c r="L1270" s="21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Y1270" s="390"/>
      <c r="Z1270" s="390"/>
      <c r="AA1270" s="390"/>
      <c r="AB1270" s="390"/>
      <c r="AC1270" s="390"/>
      <c r="AD1270" s="390"/>
      <c r="AE1270" s="390"/>
      <c r="AF1270" s="390"/>
      <c r="AG1270" s="390"/>
      <c r="AH1270" s="390"/>
      <c r="AI1270" s="390"/>
      <c r="AJ1270" s="390"/>
      <c r="AK1270" s="390"/>
      <c r="AL1270" s="390"/>
      <c r="AM1270" s="390"/>
      <c r="AN1270" s="390"/>
      <c r="AO1270" s="390"/>
      <c r="AP1270" s="390"/>
      <c r="AQ1270" s="390"/>
      <c r="AR1270" s="390"/>
      <c r="AS1270" s="390"/>
    </row>
    <row r="1271" spans="2:45" x14ac:dyDescent="0.3">
      <c r="B1271" s="177" t="s">
        <v>67</v>
      </c>
      <c r="C1271" s="178"/>
      <c r="D1271" s="323"/>
      <c r="E1271" s="323"/>
      <c r="F1271" s="323"/>
      <c r="G1271" s="323"/>
      <c r="H1271" s="323"/>
      <c r="I1271" s="323"/>
      <c r="J1271" s="323"/>
      <c r="K1271" s="323"/>
      <c r="L1271" s="323"/>
      <c r="M1271" s="323"/>
      <c r="N1271" s="323"/>
      <c r="O1271" s="323"/>
      <c r="P1271" s="323"/>
      <c r="Q1271" s="323"/>
      <c r="R1271" s="323"/>
      <c r="S1271" s="323"/>
      <c r="T1271" s="323"/>
      <c r="U1271" s="323"/>
      <c r="V1271" s="323"/>
      <c r="W1271" s="323"/>
      <c r="Y1271" s="390"/>
      <c r="Z1271" s="390"/>
      <c r="AA1271" s="390"/>
      <c r="AB1271" s="390"/>
      <c r="AC1271" s="390"/>
      <c r="AD1271" s="390"/>
      <c r="AE1271" s="390"/>
      <c r="AF1271" s="390"/>
      <c r="AG1271" s="390"/>
      <c r="AH1271" s="390"/>
      <c r="AI1271" s="390"/>
      <c r="AJ1271" s="390"/>
      <c r="AK1271" s="390"/>
      <c r="AL1271" s="390"/>
      <c r="AM1271" s="390"/>
      <c r="AN1271" s="390"/>
      <c r="AO1271" s="390"/>
      <c r="AP1271" s="390"/>
      <c r="AQ1271" s="390"/>
      <c r="AR1271" s="390"/>
      <c r="AS1271" s="390"/>
    </row>
    <row r="1272" spans="2:45" x14ac:dyDescent="0.3">
      <c r="B1272" s="54" t="s">
        <v>66</v>
      </c>
      <c r="C1272" s="56">
        <v>7.0000000000000007E-2</v>
      </c>
      <c r="D1272" s="24">
        <f>D1271*$C1272</f>
        <v>0</v>
      </c>
      <c r="E1272" s="24">
        <f t="shared" ref="E1272:W1272" si="954">E1271*$C1272</f>
        <v>0</v>
      </c>
      <c r="F1272" s="24">
        <f t="shared" si="954"/>
        <v>0</v>
      </c>
      <c r="G1272" s="24">
        <f t="shared" si="954"/>
        <v>0</v>
      </c>
      <c r="H1272" s="24">
        <f t="shared" si="954"/>
        <v>0</v>
      </c>
      <c r="I1272" s="24">
        <f t="shared" si="954"/>
        <v>0</v>
      </c>
      <c r="J1272" s="24">
        <f t="shared" si="954"/>
        <v>0</v>
      </c>
      <c r="K1272" s="24">
        <f t="shared" si="954"/>
        <v>0</v>
      </c>
      <c r="L1272" s="24">
        <f t="shared" si="954"/>
        <v>0</v>
      </c>
      <c r="M1272" s="24">
        <f t="shared" si="954"/>
        <v>0</v>
      </c>
      <c r="N1272" s="24">
        <f t="shared" si="954"/>
        <v>0</v>
      </c>
      <c r="O1272" s="24">
        <f t="shared" si="954"/>
        <v>0</v>
      </c>
      <c r="P1272" s="24">
        <f t="shared" si="954"/>
        <v>0</v>
      </c>
      <c r="Q1272" s="24">
        <f t="shared" si="954"/>
        <v>0</v>
      </c>
      <c r="R1272" s="24">
        <f t="shared" si="954"/>
        <v>0</v>
      </c>
      <c r="S1272" s="24">
        <f t="shared" si="954"/>
        <v>0</v>
      </c>
      <c r="T1272" s="24">
        <f t="shared" si="954"/>
        <v>0</v>
      </c>
      <c r="U1272" s="24">
        <f t="shared" si="954"/>
        <v>0</v>
      </c>
      <c r="V1272" s="24">
        <f t="shared" si="954"/>
        <v>0</v>
      </c>
      <c r="W1272" s="24">
        <f t="shared" si="954"/>
        <v>0</v>
      </c>
      <c r="Y1272" s="390"/>
      <c r="Z1272" s="390"/>
      <c r="AA1272" s="390"/>
      <c r="AB1272" s="390"/>
      <c r="AC1272" s="390"/>
      <c r="AD1272" s="390"/>
      <c r="AE1272" s="390"/>
      <c r="AF1272" s="390"/>
      <c r="AG1272" s="390"/>
      <c r="AH1272" s="390"/>
      <c r="AI1272" s="390"/>
      <c r="AJ1272" s="390"/>
      <c r="AK1272" s="390"/>
      <c r="AL1272" s="390"/>
      <c r="AM1272" s="390"/>
      <c r="AN1272" s="390"/>
      <c r="AO1272" s="390"/>
      <c r="AP1272" s="390"/>
      <c r="AQ1272" s="390"/>
      <c r="AR1272" s="390"/>
      <c r="AS1272" s="390"/>
    </row>
    <row r="1273" spans="2:45" x14ac:dyDescent="0.3">
      <c r="B1273" s="54" t="s">
        <v>68</v>
      </c>
      <c r="C1273" s="55"/>
      <c r="D1273" s="21">
        <f>D1271+D1272</f>
        <v>0</v>
      </c>
      <c r="E1273" s="21">
        <f t="shared" ref="E1273:W1273" si="955">E1271+E1272</f>
        <v>0</v>
      </c>
      <c r="F1273" s="21">
        <f t="shared" si="955"/>
        <v>0</v>
      </c>
      <c r="G1273" s="21">
        <f t="shared" si="955"/>
        <v>0</v>
      </c>
      <c r="H1273" s="21">
        <f t="shared" si="955"/>
        <v>0</v>
      </c>
      <c r="I1273" s="21">
        <f t="shared" si="955"/>
        <v>0</v>
      </c>
      <c r="J1273" s="21">
        <f t="shared" si="955"/>
        <v>0</v>
      </c>
      <c r="K1273" s="21">
        <f t="shared" si="955"/>
        <v>0</v>
      </c>
      <c r="L1273" s="21">
        <f t="shared" si="955"/>
        <v>0</v>
      </c>
      <c r="M1273" s="21">
        <f t="shared" si="955"/>
        <v>0</v>
      </c>
      <c r="N1273" s="21">
        <f t="shared" si="955"/>
        <v>0</v>
      </c>
      <c r="O1273" s="21">
        <f t="shared" si="955"/>
        <v>0</v>
      </c>
      <c r="P1273" s="21">
        <f t="shared" si="955"/>
        <v>0</v>
      </c>
      <c r="Q1273" s="21">
        <f t="shared" si="955"/>
        <v>0</v>
      </c>
      <c r="R1273" s="21">
        <f t="shared" si="955"/>
        <v>0</v>
      </c>
      <c r="S1273" s="21">
        <f t="shared" si="955"/>
        <v>0</v>
      </c>
      <c r="T1273" s="21">
        <f t="shared" si="955"/>
        <v>0</v>
      </c>
      <c r="U1273" s="21">
        <f t="shared" si="955"/>
        <v>0</v>
      </c>
      <c r="V1273" s="21">
        <f t="shared" si="955"/>
        <v>0</v>
      </c>
      <c r="W1273" s="21">
        <f t="shared" si="955"/>
        <v>0</v>
      </c>
      <c r="Y1273" s="390"/>
      <c r="Z1273" s="390"/>
      <c r="AA1273" s="390"/>
      <c r="AB1273" s="390"/>
      <c r="AC1273" s="390"/>
      <c r="AD1273" s="390"/>
      <c r="AE1273" s="390"/>
      <c r="AF1273" s="390"/>
      <c r="AG1273" s="390"/>
      <c r="AH1273" s="390"/>
      <c r="AI1273" s="390"/>
      <c r="AJ1273" s="390"/>
      <c r="AK1273" s="390"/>
      <c r="AL1273" s="390"/>
      <c r="AM1273" s="390"/>
      <c r="AN1273" s="390"/>
      <c r="AO1273" s="390"/>
      <c r="AP1273" s="390"/>
      <c r="AQ1273" s="390"/>
      <c r="AR1273" s="390"/>
      <c r="AS1273" s="390"/>
    </row>
    <row r="1274" spans="2:45" x14ac:dyDescent="0.3">
      <c r="B1274" s="54" t="s">
        <v>52</v>
      </c>
      <c r="C1274" s="55"/>
      <c r="D1274" s="20">
        <v>0.85000000000000009</v>
      </c>
      <c r="E1274" s="21">
        <v>1.7</v>
      </c>
      <c r="F1274" s="21">
        <v>2.0500000000000003</v>
      </c>
      <c r="G1274" s="21">
        <v>1.1499999999999999</v>
      </c>
      <c r="H1274" s="21">
        <v>0.98</v>
      </c>
      <c r="I1274" s="21">
        <v>0.98</v>
      </c>
      <c r="J1274" s="21">
        <v>1.5999999999999999</v>
      </c>
      <c r="K1274" s="21">
        <v>1.45</v>
      </c>
      <c r="L1274" s="21">
        <v>1.45</v>
      </c>
      <c r="M1274" s="21">
        <v>0.7</v>
      </c>
      <c r="N1274" s="21">
        <v>0.82000000000000006</v>
      </c>
      <c r="O1274" s="21">
        <v>0.98</v>
      </c>
      <c r="P1274" s="21">
        <v>0.59000000000000008</v>
      </c>
      <c r="Q1274" s="21">
        <v>0.59000000000000008</v>
      </c>
      <c r="R1274" s="21">
        <v>0.98</v>
      </c>
      <c r="S1274" s="21">
        <v>0.85000000000000009</v>
      </c>
      <c r="T1274" s="21">
        <v>6.7</v>
      </c>
      <c r="U1274" s="21">
        <v>11.2</v>
      </c>
      <c r="V1274" s="21">
        <v>6.7</v>
      </c>
      <c r="W1274" s="21">
        <v>0.59000000000000008</v>
      </c>
      <c r="Y1274" s="390"/>
      <c r="Z1274" s="390"/>
      <c r="AA1274" s="390"/>
      <c r="AB1274" s="390"/>
      <c r="AC1274" s="390"/>
      <c r="AD1274" s="390"/>
      <c r="AE1274" s="390"/>
      <c r="AF1274" s="390"/>
      <c r="AG1274" s="390"/>
      <c r="AH1274" s="390"/>
      <c r="AI1274" s="390"/>
      <c r="AJ1274" s="390"/>
      <c r="AK1274" s="390"/>
      <c r="AL1274" s="390"/>
      <c r="AM1274" s="390"/>
      <c r="AN1274" s="390"/>
      <c r="AO1274" s="390"/>
      <c r="AP1274" s="390"/>
      <c r="AQ1274" s="390"/>
      <c r="AR1274" s="390"/>
      <c r="AS1274" s="390"/>
    </row>
    <row r="1275" spans="2:45" x14ac:dyDescent="0.3">
      <c r="B1275" s="57" t="s">
        <v>53</v>
      </c>
      <c r="C1275" s="58"/>
      <c r="D1275" s="25">
        <f>SUM(D1273:D1274)</f>
        <v>0.85000000000000009</v>
      </c>
      <c r="E1275" s="26">
        <f t="shared" ref="E1275:W1275" si="956">SUM(E1273:E1274)</f>
        <v>1.7</v>
      </c>
      <c r="F1275" s="26">
        <f t="shared" si="956"/>
        <v>2.0500000000000003</v>
      </c>
      <c r="G1275" s="26">
        <f t="shared" si="956"/>
        <v>1.1499999999999999</v>
      </c>
      <c r="H1275" s="26">
        <f t="shared" si="956"/>
        <v>0.98</v>
      </c>
      <c r="I1275" s="26">
        <f t="shared" si="956"/>
        <v>0.98</v>
      </c>
      <c r="J1275" s="26">
        <f t="shared" si="956"/>
        <v>1.5999999999999999</v>
      </c>
      <c r="K1275" s="26">
        <f t="shared" si="956"/>
        <v>1.45</v>
      </c>
      <c r="L1275" s="26">
        <f t="shared" si="956"/>
        <v>1.45</v>
      </c>
      <c r="M1275" s="26">
        <f t="shared" si="956"/>
        <v>0.7</v>
      </c>
      <c r="N1275" s="26">
        <f t="shared" si="956"/>
        <v>0.82000000000000006</v>
      </c>
      <c r="O1275" s="26">
        <f t="shared" si="956"/>
        <v>0.98</v>
      </c>
      <c r="P1275" s="26">
        <f t="shared" si="956"/>
        <v>0.59000000000000008</v>
      </c>
      <c r="Q1275" s="26">
        <f t="shared" si="956"/>
        <v>0.59000000000000008</v>
      </c>
      <c r="R1275" s="26">
        <f t="shared" si="956"/>
        <v>0.98</v>
      </c>
      <c r="S1275" s="26">
        <f t="shared" si="956"/>
        <v>0.85000000000000009</v>
      </c>
      <c r="T1275" s="26">
        <f t="shared" si="956"/>
        <v>6.7</v>
      </c>
      <c r="U1275" s="26">
        <f t="shared" si="956"/>
        <v>11.2</v>
      </c>
      <c r="V1275" s="26">
        <f t="shared" si="956"/>
        <v>6.7</v>
      </c>
      <c r="W1275" s="26">
        <f t="shared" si="956"/>
        <v>0.59000000000000008</v>
      </c>
      <c r="Y1275" s="390"/>
      <c r="Z1275" s="390"/>
      <c r="AA1275" s="390"/>
      <c r="AB1275" s="390"/>
      <c r="AC1275" s="390"/>
      <c r="AD1275" s="390"/>
      <c r="AE1275" s="390"/>
      <c r="AF1275" s="390"/>
      <c r="AG1275" s="390"/>
      <c r="AH1275" s="390"/>
      <c r="AI1275" s="390"/>
      <c r="AJ1275" s="390"/>
      <c r="AK1275" s="390"/>
      <c r="AL1275" s="390"/>
      <c r="AM1275" s="390"/>
      <c r="AN1275" s="390"/>
      <c r="AO1275" s="390"/>
      <c r="AP1275" s="390"/>
      <c r="AQ1275" s="390"/>
      <c r="AR1275" s="390"/>
      <c r="AS1275" s="390"/>
    </row>
    <row r="1276" spans="2:45" x14ac:dyDescent="0.3">
      <c r="B1276" s="54" t="s">
        <v>54</v>
      </c>
      <c r="C1276" s="55"/>
      <c r="D1276" s="20"/>
      <c r="E1276" s="21"/>
      <c r="F1276" s="21"/>
      <c r="G1276" s="21"/>
      <c r="H1276" s="21"/>
      <c r="I1276" s="21"/>
      <c r="J1276" s="21"/>
      <c r="K1276" s="21"/>
      <c r="L1276" s="21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Y1276" s="390"/>
      <c r="Z1276" s="390"/>
      <c r="AA1276" s="390"/>
      <c r="AB1276" s="390"/>
      <c r="AC1276" s="390"/>
      <c r="AD1276" s="390"/>
      <c r="AE1276" s="390"/>
      <c r="AF1276" s="390"/>
      <c r="AG1276" s="390"/>
      <c r="AH1276" s="390"/>
      <c r="AI1276" s="390"/>
      <c r="AJ1276" s="390"/>
      <c r="AK1276" s="390"/>
      <c r="AL1276" s="390"/>
      <c r="AM1276" s="390"/>
      <c r="AN1276" s="390"/>
      <c r="AO1276" s="390"/>
      <c r="AP1276" s="390"/>
      <c r="AQ1276" s="390"/>
      <c r="AR1276" s="390"/>
      <c r="AS1276" s="390"/>
    </row>
    <row r="1277" spans="2:45" x14ac:dyDescent="0.3">
      <c r="B1277" s="59" t="s">
        <v>55</v>
      </c>
      <c r="C1277" s="60"/>
      <c r="D1277" s="27">
        <f>SUM(D1275:D1276)</f>
        <v>0.85000000000000009</v>
      </c>
      <c r="E1277" s="41">
        <f t="shared" ref="E1277:W1277" si="957">SUM(E1275:E1276)</f>
        <v>1.7</v>
      </c>
      <c r="F1277" s="41">
        <f t="shared" si="957"/>
        <v>2.0500000000000003</v>
      </c>
      <c r="G1277" s="41">
        <f t="shared" si="957"/>
        <v>1.1499999999999999</v>
      </c>
      <c r="H1277" s="41">
        <f t="shared" si="957"/>
        <v>0.98</v>
      </c>
      <c r="I1277" s="41">
        <f t="shared" si="957"/>
        <v>0.98</v>
      </c>
      <c r="J1277" s="41">
        <f t="shared" si="957"/>
        <v>1.5999999999999999</v>
      </c>
      <c r="K1277" s="41">
        <f t="shared" si="957"/>
        <v>1.45</v>
      </c>
      <c r="L1277" s="41">
        <f t="shared" si="957"/>
        <v>1.45</v>
      </c>
      <c r="M1277" s="41">
        <f t="shared" si="957"/>
        <v>0.7</v>
      </c>
      <c r="N1277" s="41">
        <f t="shared" si="957"/>
        <v>0.82000000000000006</v>
      </c>
      <c r="O1277" s="41">
        <f t="shared" si="957"/>
        <v>0.98</v>
      </c>
      <c r="P1277" s="41">
        <f t="shared" si="957"/>
        <v>0.59000000000000008</v>
      </c>
      <c r="Q1277" s="41">
        <f t="shared" si="957"/>
        <v>0.59000000000000008</v>
      </c>
      <c r="R1277" s="41">
        <f t="shared" si="957"/>
        <v>0.98</v>
      </c>
      <c r="S1277" s="41">
        <f t="shared" si="957"/>
        <v>0.85000000000000009</v>
      </c>
      <c r="T1277" s="41">
        <f t="shared" si="957"/>
        <v>6.7</v>
      </c>
      <c r="U1277" s="41">
        <f t="shared" si="957"/>
        <v>11.2</v>
      </c>
      <c r="V1277" s="41">
        <f t="shared" si="957"/>
        <v>6.7</v>
      </c>
      <c r="W1277" s="41">
        <f t="shared" si="957"/>
        <v>0.59000000000000008</v>
      </c>
      <c r="Y1277" s="390"/>
      <c r="Z1277" s="390"/>
      <c r="AA1277" s="390"/>
      <c r="AB1277" s="390"/>
      <c r="AC1277" s="390"/>
      <c r="AD1277" s="390"/>
      <c r="AE1277" s="390"/>
      <c r="AF1277" s="390"/>
      <c r="AG1277" s="390"/>
      <c r="AH1277" s="390"/>
      <c r="AI1277" s="390"/>
      <c r="AJ1277" s="390"/>
      <c r="AK1277" s="390"/>
      <c r="AL1277" s="390"/>
      <c r="AM1277" s="390"/>
      <c r="AN1277" s="390"/>
      <c r="AO1277" s="390"/>
      <c r="AP1277" s="390"/>
      <c r="AQ1277" s="390"/>
      <c r="AR1277" s="390"/>
      <c r="AS1277" s="390"/>
    </row>
    <row r="1278" spans="2:45" x14ac:dyDescent="0.3">
      <c r="B1278" s="61" t="s">
        <v>101</v>
      </c>
      <c r="C1278" s="55"/>
      <c r="D1278" s="228">
        <f>D1279-1</f>
        <v>3</v>
      </c>
      <c r="E1278" s="229">
        <f t="shared" ref="E1278:S1278" si="958">E1279-1</f>
        <v>4</v>
      </c>
      <c r="F1278" s="229">
        <f t="shared" si="958"/>
        <v>5</v>
      </c>
      <c r="G1278" s="229">
        <f t="shared" si="958"/>
        <v>4</v>
      </c>
      <c r="H1278" s="229">
        <f t="shared" si="958"/>
        <v>3</v>
      </c>
      <c r="I1278" s="229">
        <f t="shared" si="958"/>
        <v>3</v>
      </c>
      <c r="J1278" s="229">
        <f t="shared" si="958"/>
        <v>4</v>
      </c>
      <c r="K1278" s="229">
        <f t="shared" si="958"/>
        <v>4</v>
      </c>
      <c r="L1278" s="229">
        <f t="shared" si="958"/>
        <v>4</v>
      </c>
      <c r="M1278" s="229">
        <f t="shared" si="958"/>
        <v>3</v>
      </c>
      <c r="N1278" s="229">
        <f t="shared" si="958"/>
        <v>3</v>
      </c>
      <c r="O1278" s="229">
        <f t="shared" si="958"/>
        <v>3</v>
      </c>
      <c r="P1278" s="229">
        <f t="shared" si="958"/>
        <v>3</v>
      </c>
      <c r="Q1278" s="229">
        <f t="shared" si="958"/>
        <v>3</v>
      </c>
      <c r="R1278" s="229">
        <f t="shared" si="958"/>
        <v>3</v>
      </c>
      <c r="S1278" s="229">
        <f t="shared" si="958"/>
        <v>3</v>
      </c>
      <c r="T1278" s="21"/>
      <c r="U1278" s="21"/>
      <c r="V1278" s="21"/>
      <c r="W1278" s="229">
        <f>W1279-1</f>
        <v>3</v>
      </c>
      <c r="Y1278" s="390"/>
      <c r="Z1278" s="390"/>
      <c r="AA1278" s="390"/>
      <c r="AB1278" s="390"/>
      <c r="AC1278" s="390"/>
      <c r="AD1278" s="390"/>
      <c r="AE1278" s="390"/>
      <c r="AF1278" s="390"/>
      <c r="AG1278" s="390"/>
      <c r="AH1278" s="390"/>
      <c r="AI1278" s="390"/>
      <c r="AJ1278" s="390"/>
      <c r="AK1278" s="390"/>
      <c r="AL1278" s="390"/>
      <c r="AM1278" s="390"/>
      <c r="AN1278" s="390"/>
      <c r="AO1278" s="390"/>
      <c r="AP1278" s="390"/>
      <c r="AQ1278" s="390"/>
      <c r="AR1278" s="390"/>
      <c r="AS1278" s="390"/>
    </row>
    <row r="1279" spans="2:45" x14ac:dyDescent="0.3">
      <c r="B1279" s="61" t="s">
        <v>194</v>
      </c>
      <c r="C1279" s="62"/>
      <c r="D1279" s="28">
        <f>ROUNDUP((D1277+3),0)</f>
        <v>4</v>
      </c>
      <c r="E1279" s="28">
        <f t="shared" ref="E1279:S1279" si="959">ROUNDUP((E1277+3),0)</f>
        <v>5</v>
      </c>
      <c r="F1279" s="28">
        <f t="shared" si="959"/>
        <v>6</v>
      </c>
      <c r="G1279" s="28">
        <f t="shared" si="959"/>
        <v>5</v>
      </c>
      <c r="H1279" s="28">
        <f t="shared" si="959"/>
        <v>4</v>
      </c>
      <c r="I1279" s="28">
        <f t="shared" si="959"/>
        <v>4</v>
      </c>
      <c r="J1279" s="28">
        <f t="shared" si="959"/>
        <v>5</v>
      </c>
      <c r="K1279" s="28">
        <f t="shared" si="959"/>
        <v>5</v>
      </c>
      <c r="L1279" s="28">
        <f t="shared" si="959"/>
        <v>5</v>
      </c>
      <c r="M1279" s="28">
        <f t="shared" si="959"/>
        <v>4</v>
      </c>
      <c r="N1279" s="28">
        <f t="shared" si="959"/>
        <v>4</v>
      </c>
      <c r="O1279" s="28">
        <f t="shared" si="959"/>
        <v>4</v>
      </c>
      <c r="P1279" s="28">
        <f t="shared" si="959"/>
        <v>4</v>
      </c>
      <c r="Q1279" s="28">
        <f t="shared" si="959"/>
        <v>4</v>
      </c>
      <c r="R1279" s="28">
        <f t="shared" si="959"/>
        <v>4</v>
      </c>
      <c r="S1279" s="28">
        <f t="shared" si="959"/>
        <v>4</v>
      </c>
      <c r="T1279" s="29"/>
      <c r="U1279" s="29"/>
      <c r="V1279" s="29"/>
      <c r="W1279" s="28">
        <f>ROUNDUP((W1277+3),0)</f>
        <v>4</v>
      </c>
      <c r="Y1279" s="390"/>
      <c r="Z1279" s="390"/>
      <c r="AA1279" s="390"/>
      <c r="AB1279" s="390"/>
      <c r="AC1279" s="390"/>
      <c r="AD1279" s="390"/>
      <c r="AE1279" s="390"/>
      <c r="AF1279" s="390"/>
      <c r="AG1279" s="390"/>
      <c r="AH1279" s="390"/>
      <c r="AI1279" s="390"/>
      <c r="AJ1279" s="390"/>
      <c r="AK1279" s="390"/>
      <c r="AL1279" s="390"/>
      <c r="AM1279" s="390"/>
      <c r="AN1279" s="390"/>
      <c r="AO1279" s="390"/>
      <c r="AP1279" s="390"/>
      <c r="AQ1279" s="390"/>
      <c r="AR1279" s="390"/>
      <c r="AS1279" s="390"/>
    </row>
    <row r="1280" spans="2:45" x14ac:dyDescent="0.3">
      <c r="B1280" s="61" t="s">
        <v>195</v>
      </c>
      <c r="C1280" s="62"/>
      <c r="D1280" s="28">
        <f>ROUNDUP((D1277+4),0)</f>
        <v>5</v>
      </c>
      <c r="E1280" s="28">
        <f t="shared" ref="E1280:S1280" si="960">ROUNDUP((E1277+4),0)</f>
        <v>6</v>
      </c>
      <c r="F1280" s="28">
        <f t="shared" si="960"/>
        <v>7</v>
      </c>
      <c r="G1280" s="28">
        <f t="shared" si="960"/>
        <v>6</v>
      </c>
      <c r="H1280" s="28">
        <f t="shared" si="960"/>
        <v>5</v>
      </c>
      <c r="I1280" s="28">
        <f t="shared" si="960"/>
        <v>5</v>
      </c>
      <c r="J1280" s="28">
        <f t="shared" si="960"/>
        <v>6</v>
      </c>
      <c r="K1280" s="28">
        <f t="shared" si="960"/>
        <v>6</v>
      </c>
      <c r="L1280" s="28">
        <f t="shared" si="960"/>
        <v>6</v>
      </c>
      <c r="M1280" s="28">
        <f t="shared" si="960"/>
        <v>5</v>
      </c>
      <c r="N1280" s="28">
        <f t="shared" si="960"/>
        <v>5</v>
      </c>
      <c r="O1280" s="28">
        <f t="shared" si="960"/>
        <v>5</v>
      </c>
      <c r="P1280" s="28">
        <f t="shared" si="960"/>
        <v>5</v>
      </c>
      <c r="Q1280" s="28">
        <f t="shared" si="960"/>
        <v>5</v>
      </c>
      <c r="R1280" s="28">
        <f t="shared" si="960"/>
        <v>5</v>
      </c>
      <c r="S1280" s="28">
        <f t="shared" si="960"/>
        <v>5</v>
      </c>
      <c r="T1280" s="29"/>
      <c r="U1280" s="29"/>
      <c r="V1280" s="29"/>
      <c r="W1280" s="28">
        <f>ROUNDUP((W1277+4),0)</f>
        <v>5</v>
      </c>
      <c r="Y1280" s="390"/>
      <c r="Z1280" s="390"/>
      <c r="AA1280" s="390"/>
      <c r="AB1280" s="390"/>
      <c r="AC1280" s="390"/>
      <c r="AD1280" s="390"/>
      <c r="AE1280" s="390"/>
      <c r="AF1280" s="390"/>
      <c r="AG1280" s="390"/>
      <c r="AH1280" s="390"/>
      <c r="AI1280" s="390"/>
      <c r="AJ1280" s="390"/>
      <c r="AK1280" s="390"/>
      <c r="AL1280" s="390"/>
      <c r="AM1280" s="390"/>
      <c r="AN1280" s="390"/>
      <c r="AO1280" s="390"/>
      <c r="AP1280" s="390"/>
      <c r="AQ1280" s="390"/>
      <c r="AR1280" s="390"/>
      <c r="AS1280" s="390"/>
    </row>
    <row r="1281" spans="2:45" x14ac:dyDescent="0.3">
      <c r="B1281" s="61" t="s">
        <v>196</v>
      </c>
      <c r="C1281" s="62"/>
      <c r="D1281" s="28">
        <f>ROUNDUP((D1277+6),0)</f>
        <v>7</v>
      </c>
      <c r="E1281" s="28">
        <f t="shared" ref="E1281:S1281" si="961">ROUNDUP((E1277+6),0)</f>
        <v>8</v>
      </c>
      <c r="F1281" s="28">
        <f t="shared" si="961"/>
        <v>9</v>
      </c>
      <c r="G1281" s="28">
        <f t="shared" si="961"/>
        <v>8</v>
      </c>
      <c r="H1281" s="28">
        <f t="shared" si="961"/>
        <v>7</v>
      </c>
      <c r="I1281" s="28">
        <f t="shared" si="961"/>
        <v>7</v>
      </c>
      <c r="J1281" s="28">
        <f t="shared" si="961"/>
        <v>8</v>
      </c>
      <c r="K1281" s="28">
        <f t="shared" si="961"/>
        <v>8</v>
      </c>
      <c r="L1281" s="28">
        <f t="shared" si="961"/>
        <v>8</v>
      </c>
      <c r="M1281" s="28">
        <f t="shared" si="961"/>
        <v>7</v>
      </c>
      <c r="N1281" s="28">
        <f t="shared" si="961"/>
        <v>7</v>
      </c>
      <c r="O1281" s="28">
        <f t="shared" si="961"/>
        <v>7</v>
      </c>
      <c r="P1281" s="28">
        <f t="shared" si="961"/>
        <v>7</v>
      </c>
      <c r="Q1281" s="28">
        <f t="shared" si="961"/>
        <v>7</v>
      </c>
      <c r="R1281" s="28">
        <f t="shared" si="961"/>
        <v>7</v>
      </c>
      <c r="S1281" s="28">
        <f t="shared" si="961"/>
        <v>7</v>
      </c>
      <c r="T1281" s="29"/>
      <c r="U1281" s="29"/>
      <c r="V1281" s="29"/>
      <c r="W1281" s="28">
        <f>ROUNDUP((W1277+6),0)</f>
        <v>7</v>
      </c>
      <c r="Y1281" s="390"/>
      <c r="Z1281" s="390"/>
      <c r="AA1281" s="390"/>
      <c r="AB1281" s="390"/>
      <c r="AC1281" s="390"/>
      <c r="AD1281" s="390"/>
      <c r="AE1281" s="390"/>
      <c r="AF1281" s="390"/>
      <c r="AG1281" s="390"/>
      <c r="AH1281" s="390"/>
      <c r="AI1281" s="390"/>
      <c r="AJ1281" s="390"/>
      <c r="AK1281" s="390"/>
      <c r="AL1281" s="390"/>
      <c r="AM1281" s="390"/>
      <c r="AN1281" s="390"/>
      <c r="AO1281" s="390"/>
      <c r="AP1281" s="390"/>
      <c r="AQ1281" s="390"/>
      <c r="AR1281" s="390"/>
      <c r="AS1281" s="390"/>
    </row>
    <row r="1282" spans="2:45" x14ac:dyDescent="0.3">
      <c r="B1282" s="61" t="s">
        <v>197</v>
      </c>
      <c r="C1282" s="62"/>
      <c r="D1282" s="28">
        <f>ROUNDUP((D1277+10),0)</f>
        <v>11</v>
      </c>
      <c r="E1282" s="28">
        <f t="shared" ref="E1282:S1282" si="962">ROUNDUP((E1277+10),0)</f>
        <v>12</v>
      </c>
      <c r="F1282" s="28">
        <f t="shared" si="962"/>
        <v>13</v>
      </c>
      <c r="G1282" s="28">
        <f t="shared" si="962"/>
        <v>12</v>
      </c>
      <c r="H1282" s="28">
        <f t="shared" si="962"/>
        <v>11</v>
      </c>
      <c r="I1282" s="28">
        <f t="shared" si="962"/>
        <v>11</v>
      </c>
      <c r="J1282" s="28">
        <f t="shared" si="962"/>
        <v>12</v>
      </c>
      <c r="K1282" s="28">
        <f t="shared" si="962"/>
        <v>12</v>
      </c>
      <c r="L1282" s="28">
        <f t="shared" si="962"/>
        <v>12</v>
      </c>
      <c r="M1282" s="28">
        <f t="shared" si="962"/>
        <v>11</v>
      </c>
      <c r="N1282" s="28">
        <f t="shared" si="962"/>
        <v>11</v>
      </c>
      <c r="O1282" s="28">
        <f t="shared" si="962"/>
        <v>11</v>
      </c>
      <c r="P1282" s="28">
        <f t="shared" si="962"/>
        <v>11</v>
      </c>
      <c r="Q1282" s="28">
        <f t="shared" si="962"/>
        <v>11</v>
      </c>
      <c r="R1282" s="28">
        <f t="shared" si="962"/>
        <v>11</v>
      </c>
      <c r="S1282" s="28">
        <f t="shared" si="962"/>
        <v>11</v>
      </c>
      <c r="T1282" s="29"/>
      <c r="U1282" s="29"/>
      <c r="V1282" s="29"/>
      <c r="W1282" s="28">
        <f>ROUNDUP((W1277+10),0)</f>
        <v>11</v>
      </c>
      <c r="Y1282" s="390"/>
      <c r="Z1282" s="390"/>
      <c r="AA1282" s="390"/>
      <c r="AB1282" s="390"/>
      <c r="AC1282" s="390"/>
      <c r="AD1282" s="390"/>
      <c r="AE1282" s="390"/>
      <c r="AF1282" s="390"/>
      <c r="AG1282" s="390"/>
      <c r="AH1282" s="390"/>
      <c r="AI1282" s="390"/>
      <c r="AJ1282" s="390"/>
      <c r="AK1282" s="390"/>
      <c r="AL1282" s="390"/>
      <c r="AM1282" s="390"/>
      <c r="AN1282" s="390"/>
      <c r="AO1282" s="390"/>
      <c r="AP1282" s="390"/>
      <c r="AQ1282" s="390"/>
      <c r="AR1282" s="390"/>
      <c r="AS1282" s="390"/>
    </row>
    <row r="1283" spans="2:45" x14ac:dyDescent="0.3">
      <c r="B1283" s="63" t="s">
        <v>103</v>
      </c>
      <c r="C1283" s="62"/>
      <c r="D1283" s="31">
        <f>+D1278-D$833</f>
        <v>-382.62882580645157</v>
      </c>
      <c r="E1283" s="31">
        <f>+E1278-E$833</f>
        <v>-394.01592258064517</v>
      </c>
      <c r="F1283" s="31">
        <f t="shared" ref="F1283:S1283" si="963">+F1278-F$833</f>
        <v>-399.79011612903224</v>
      </c>
      <c r="G1283" s="31">
        <f t="shared" si="963"/>
        <v>-388.20947096774194</v>
      </c>
      <c r="H1283" s="31">
        <f t="shared" si="963"/>
        <v>-384.69334193548383</v>
      </c>
      <c r="I1283" s="31">
        <f t="shared" si="963"/>
        <v>-388.88689032258065</v>
      </c>
      <c r="J1283" s="31">
        <f t="shared" si="963"/>
        <v>-394.98366451612901</v>
      </c>
      <c r="K1283" s="31">
        <f t="shared" si="963"/>
        <v>-391.4352774193548</v>
      </c>
      <c r="L1283" s="31">
        <f t="shared" si="963"/>
        <v>-392.72559999999999</v>
      </c>
      <c r="M1283" s="31">
        <f t="shared" si="963"/>
        <v>-382.88689032258065</v>
      </c>
      <c r="N1283" s="31">
        <f t="shared" si="963"/>
        <v>-384.95140645161291</v>
      </c>
      <c r="O1283" s="31">
        <f t="shared" si="963"/>
        <v>-389.20947096774194</v>
      </c>
      <c r="P1283" s="31">
        <f t="shared" si="963"/>
        <v>-380.17721290322578</v>
      </c>
      <c r="Q1283" s="31">
        <f t="shared" si="963"/>
        <v>-380.17721290322578</v>
      </c>
      <c r="R1283" s="31">
        <f t="shared" si="963"/>
        <v>-386.62882580645157</v>
      </c>
      <c r="S1283" s="31">
        <f t="shared" si="963"/>
        <v>-384.8223741935484</v>
      </c>
      <c r="T1283" s="29"/>
      <c r="U1283" s="29"/>
      <c r="V1283" s="29"/>
      <c r="W1283" s="31">
        <f>+W1278-W$833</f>
        <v>-380.17721290322578</v>
      </c>
      <c r="Y1283" s="390"/>
      <c r="Z1283" s="390"/>
      <c r="AA1283" s="390"/>
      <c r="AB1283" s="390"/>
      <c r="AC1283" s="390"/>
      <c r="AD1283" s="390"/>
      <c r="AE1283" s="390"/>
      <c r="AF1283" s="390"/>
      <c r="AG1283" s="390"/>
      <c r="AH1283" s="390"/>
      <c r="AI1283" s="390"/>
      <c r="AJ1283" s="390"/>
      <c r="AK1283" s="390"/>
      <c r="AL1283" s="390"/>
      <c r="AM1283" s="390"/>
      <c r="AN1283" s="390"/>
      <c r="AO1283" s="390"/>
      <c r="AP1283" s="390"/>
      <c r="AQ1283" s="390"/>
      <c r="AR1283" s="390"/>
      <c r="AS1283" s="390"/>
    </row>
    <row r="1284" spans="2:45" x14ac:dyDescent="0.3">
      <c r="B1284" s="63" t="s">
        <v>104</v>
      </c>
      <c r="C1284" s="64"/>
      <c r="D1284" s="31">
        <f>+D1279-D$833</f>
        <v>-381.62882580645157</v>
      </c>
      <c r="E1284" s="32">
        <f t="shared" ref="E1284:S1284" si="964">+E1279-E$833</f>
        <v>-393.01592258064517</v>
      </c>
      <c r="F1284" s="32">
        <f t="shared" si="964"/>
        <v>-398.79011612903224</v>
      </c>
      <c r="G1284" s="32">
        <f t="shared" si="964"/>
        <v>-387.20947096774194</v>
      </c>
      <c r="H1284" s="32">
        <f t="shared" si="964"/>
        <v>-383.69334193548383</v>
      </c>
      <c r="I1284" s="32">
        <f t="shared" si="964"/>
        <v>-387.88689032258065</v>
      </c>
      <c r="J1284" s="32">
        <f t="shared" si="964"/>
        <v>-393.98366451612901</v>
      </c>
      <c r="K1284" s="32">
        <f t="shared" si="964"/>
        <v>-390.4352774193548</v>
      </c>
      <c r="L1284" s="32">
        <f t="shared" si="964"/>
        <v>-391.72559999999999</v>
      </c>
      <c r="M1284" s="32">
        <f t="shared" si="964"/>
        <v>-381.88689032258065</v>
      </c>
      <c r="N1284" s="32">
        <f t="shared" si="964"/>
        <v>-383.95140645161291</v>
      </c>
      <c r="O1284" s="32">
        <f t="shared" si="964"/>
        <v>-388.20947096774194</v>
      </c>
      <c r="P1284" s="32">
        <f t="shared" si="964"/>
        <v>-379.17721290322578</v>
      </c>
      <c r="Q1284" s="32">
        <f t="shared" si="964"/>
        <v>-379.17721290322578</v>
      </c>
      <c r="R1284" s="32">
        <f t="shared" si="964"/>
        <v>-385.62882580645157</v>
      </c>
      <c r="S1284" s="32">
        <f t="shared" si="964"/>
        <v>-383.8223741935484</v>
      </c>
      <c r="T1284" s="32"/>
      <c r="U1284" s="32"/>
      <c r="V1284" s="32"/>
      <c r="W1284" s="32">
        <f>+W1279-W$833</f>
        <v>-379.17721290322578</v>
      </c>
      <c r="Y1284" s="390"/>
      <c r="Z1284" s="390"/>
      <c r="AA1284" s="390"/>
      <c r="AB1284" s="390"/>
      <c r="AC1284" s="390"/>
      <c r="AD1284" s="390"/>
      <c r="AE1284" s="390"/>
      <c r="AF1284" s="390"/>
      <c r="AG1284" s="390"/>
      <c r="AH1284" s="390"/>
      <c r="AI1284" s="390"/>
      <c r="AJ1284" s="390"/>
      <c r="AK1284" s="390"/>
      <c r="AL1284" s="390"/>
      <c r="AM1284" s="390"/>
      <c r="AN1284" s="390"/>
      <c r="AO1284" s="390"/>
      <c r="AP1284" s="390"/>
      <c r="AQ1284" s="390"/>
      <c r="AR1284" s="390"/>
      <c r="AS1284" s="390"/>
    </row>
    <row r="1285" spans="2:45" x14ac:dyDescent="0.3">
      <c r="B1285" s="63" t="s">
        <v>105</v>
      </c>
      <c r="C1285" s="64"/>
      <c r="D1285" s="31">
        <f>+D1280-D$833</f>
        <v>-380.62882580645157</v>
      </c>
      <c r="E1285" s="32">
        <f t="shared" ref="E1285:S1285" si="965">+E1280-E$833</f>
        <v>-392.01592258064517</v>
      </c>
      <c r="F1285" s="32">
        <f t="shared" si="965"/>
        <v>-397.79011612903224</v>
      </c>
      <c r="G1285" s="32">
        <f t="shared" si="965"/>
        <v>-386.20947096774194</v>
      </c>
      <c r="H1285" s="32">
        <f t="shared" si="965"/>
        <v>-382.69334193548383</v>
      </c>
      <c r="I1285" s="32">
        <f t="shared" si="965"/>
        <v>-386.88689032258065</v>
      </c>
      <c r="J1285" s="32">
        <f t="shared" si="965"/>
        <v>-392.98366451612901</v>
      </c>
      <c r="K1285" s="32">
        <f t="shared" si="965"/>
        <v>-389.4352774193548</v>
      </c>
      <c r="L1285" s="32">
        <f t="shared" si="965"/>
        <v>-390.72559999999999</v>
      </c>
      <c r="M1285" s="32">
        <f t="shared" si="965"/>
        <v>-380.88689032258065</v>
      </c>
      <c r="N1285" s="32">
        <f t="shared" si="965"/>
        <v>-382.95140645161291</v>
      </c>
      <c r="O1285" s="32">
        <f t="shared" si="965"/>
        <v>-387.20947096774194</v>
      </c>
      <c r="P1285" s="32">
        <f t="shared" si="965"/>
        <v>-378.17721290322578</v>
      </c>
      <c r="Q1285" s="32">
        <f t="shared" si="965"/>
        <v>-378.17721290322578</v>
      </c>
      <c r="R1285" s="32">
        <f t="shared" si="965"/>
        <v>-384.62882580645157</v>
      </c>
      <c r="S1285" s="32">
        <f t="shared" si="965"/>
        <v>-382.8223741935484</v>
      </c>
      <c r="T1285" s="32"/>
      <c r="U1285" s="32"/>
      <c r="V1285" s="32"/>
      <c r="W1285" s="32">
        <f>+W1280-W$833</f>
        <v>-378.17721290322578</v>
      </c>
      <c r="Y1285" s="390"/>
      <c r="Z1285" s="390"/>
      <c r="AA1285" s="390"/>
      <c r="AB1285" s="390"/>
      <c r="AC1285" s="390"/>
      <c r="AD1285" s="390"/>
      <c r="AE1285" s="390"/>
      <c r="AF1285" s="390"/>
      <c r="AG1285" s="390"/>
      <c r="AH1285" s="390"/>
      <c r="AI1285" s="390"/>
      <c r="AJ1285" s="390"/>
      <c r="AK1285" s="390"/>
      <c r="AL1285" s="390"/>
      <c r="AM1285" s="390"/>
      <c r="AN1285" s="390"/>
      <c r="AO1285" s="390"/>
      <c r="AP1285" s="390"/>
      <c r="AQ1285" s="390"/>
      <c r="AR1285" s="390"/>
      <c r="AS1285" s="390"/>
    </row>
    <row r="1286" spans="2:45" x14ac:dyDescent="0.3">
      <c r="B1286" s="63" t="s">
        <v>75</v>
      </c>
      <c r="C1286" s="64"/>
      <c r="D1286" s="31">
        <f>+D1281-D$833</f>
        <v>-378.62882580645157</v>
      </c>
      <c r="E1286" s="32">
        <f t="shared" ref="E1286:S1286" si="966">+E1281-E$833</f>
        <v>-390.01592258064517</v>
      </c>
      <c r="F1286" s="32">
        <f t="shared" si="966"/>
        <v>-395.79011612903224</v>
      </c>
      <c r="G1286" s="32">
        <f t="shared" si="966"/>
        <v>-384.20947096774194</v>
      </c>
      <c r="H1286" s="32">
        <f t="shared" si="966"/>
        <v>-380.69334193548383</v>
      </c>
      <c r="I1286" s="32">
        <f t="shared" si="966"/>
        <v>-384.88689032258065</v>
      </c>
      <c r="J1286" s="32">
        <f t="shared" si="966"/>
        <v>-390.98366451612901</v>
      </c>
      <c r="K1286" s="32">
        <f t="shared" si="966"/>
        <v>-387.4352774193548</v>
      </c>
      <c r="L1286" s="32">
        <f t="shared" si="966"/>
        <v>-388.72559999999999</v>
      </c>
      <c r="M1286" s="32">
        <f t="shared" si="966"/>
        <v>-378.88689032258065</v>
      </c>
      <c r="N1286" s="32">
        <f t="shared" si="966"/>
        <v>-380.95140645161291</v>
      </c>
      <c r="O1286" s="32">
        <f t="shared" si="966"/>
        <v>-385.20947096774194</v>
      </c>
      <c r="P1286" s="32">
        <f t="shared" si="966"/>
        <v>-376.17721290322578</v>
      </c>
      <c r="Q1286" s="32">
        <f t="shared" si="966"/>
        <v>-376.17721290322578</v>
      </c>
      <c r="R1286" s="32">
        <f t="shared" si="966"/>
        <v>-382.62882580645157</v>
      </c>
      <c r="S1286" s="32">
        <f t="shared" si="966"/>
        <v>-380.8223741935484</v>
      </c>
      <c r="T1286" s="32"/>
      <c r="U1286" s="32"/>
      <c r="V1286" s="32"/>
      <c r="W1286" s="32">
        <f>+W1281-W$833</f>
        <v>-376.17721290322578</v>
      </c>
      <c r="Y1286" s="390"/>
      <c r="Z1286" s="390"/>
      <c r="AA1286" s="390"/>
      <c r="AB1286" s="390"/>
      <c r="AC1286" s="390"/>
      <c r="AD1286" s="390"/>
      <c r="AE1286" s="390"/>
      <c r="AF1286" s="390"/>
      <c r="AG1286" s="390"/>
      <c r="AH1286" s="390"/>
      <c r="AI1286" s="390"/>
      <c r="AJ1286" s="390"/>
      <c r="AK1286" s="390"/>
      <c r="AL1286" s="390"/>
      <c r="AM1286" s="390"/>
      <c r="AN1286" s="390"/>
      <c r="AO1286" s="390"/>
      <c r="AP1286" s="390"/>
      <c r="AQ1286" s="390"/>
      <c r="AR1286" s="390"/>
      <c r="AS1286" s="390"/>
    </row>
    <row r="1287" spans="2:45" x14ac:dyDescent="0.3">
      <c r="B1287" s="63" t="s">
        <v>76</v>
      </c>
      <c r="C1287" s="64"/>
      <c r="D1287" s="31">
        <f>+D1282-D$833</f>
        <v>-374.62882580645157</v>
      </c>
      <c r="E1287" s="34">
        <f t="shared" ref="E1287:S1287" si="967">+E1282-E$833</f>
        <v>-386.01592258064517</v>
      </c>
      <c r="F1287" s="34">
        <f t="shared" si="967"/>
        <v>-391.79011612903224</v>
      </c>
      <c r="G1287" s="34">
        <f t="shared" si="967"/>
        <v>-380.20947096774194</v>
      </c>
      <c r="H1287" s="34">
        <f t="shared" si="967"/>
        <v>-376.69334193548383</v>
      </c>
      <c r="I1287" s="34">
        <f t="shared" si="967"/>
        <v>-380.88689032258065</v>
      </c>
      <c r="J1287" s="34">
        <f t="shared" si="967"/>
        <v>-386.98366451612901</v>
      </c>
      <c r="K1287" s="34">
        <f t="shared" si="967"/>
        <v>-383.4352774193548</v>
      </c>
      <c r="L1287" s="34">
        <f t="shared" si="967"/>
        <v>-384.72559999999999</v>
      </c>
      <c r="M1287" s="34">
        <f t="shared" si="967"/>
        <v>-374.88689032258065</v>
      </c>
      <c r="N1287" s="34">
        <f t="shared" si="967"/>
        <v>-376.95140645161291</v>
      </c>
      <c r="O1287" s="34">
        <f t="shared" si="967"/>
        <v>-381.20947096774194</v>
      </c>
      <c r="P1287" s="34">
        <f t="shared" si="967"/>
        <v>-372.17721290322578</v>
      </c>
      <c r="Q1287" s="34">
        <f t="shared" si="967"/>
        <v>-372.17721290322578</v>
      </c>
      <c r="R1287" s="34">
        <f t="shared" si="967"/>
        <v>-378.62882580645157</v>
      </c>
      <c r="S1287" s="34">
        <f t="shared" si="967"/>
        <v>-376.8223741935484</v>
      </c>
      <c r="T1287" s="34"/>
      <c r="U1287" s="34"/>
      <c r="V1287" s="34"/>
      <c r="W1287" s="34">
        <f>+W1282-W$833</f>
        <v>-372.17721290322578</v>
      </c>
      <c r="Y1287" s="390"/>
      <c r="Z1287" s="390"/>
      <c r="AA1287" s="390"/>
      <c r="AB1287" s="390"/>
      <c r="AC1287" s="390"/>
      <c r="AD1287" s="390"/>
      <c r="AE1287" s="390"/>
      <c r="AF1287" s="390"/>
      <c r="AG1287" s="390"/>
      <c r="AH1287" s="390"/>
      <c r="AI1287" s="390"/>
      <c r="AJ1287" s="390"/>
      <c r="AK1287" s="390"/>
      <c r="AL1287" s="390"/>
      <c r="AM1287" s="390"/>
      <c r="AN1287" s="390"/>
      <c r="AO1287" s="390"/>
      <c r="AP1287" s="390"/>
      <c r="AQ1287" s="390"/>
      <c r="AR1287" s="390"/>
      <c r="AS1287" s="390"/>
    </row>
    <row r="1288" spans="2:45" x14ac:dyDescent="0.3">
      <c r="B1288" s="65" t="s">
        <v>108</v>
      </c>
      <c r="C1288" s="64"/>
      <c r="D1288" s="105">
        <f>+D1283/D$835</f>
        <v>-0.93097037909112301</v>
      </c>
      <c r="E1288" s="105">
        <f t="shared" ref="E1288:S1288" si="968">+E1283/E$835</f>
        <v>-0.92928283627510655</v>
      </c>
      <c r="F1288" s="105">
        <f t="shared" si="968"/>
        <v>-0.92974445611402845</v>
      </c>
      <c r="G1288" s="105">
        <f t="shared" si="968"/>
        <v>-0.92873079178885631</v>
      </c>
      <c r="H1288" s="105">
        <f t="shared" si="968"/>
        <v>-0.93146087635710373</v>
      </c>
      <c r="I1288" s="105">
        <f t="shared" si="968"/>
        <v>-0.93258247079755552</v>
      </c>
      <c r="J1288" s="105">
        <f t="shared" si="968"/>
        <v>-0.93156524650030426</v>
      </c>
      <c r="K1288" s="105">
        <f t="shared" si="968"/>
        <v>-0.92977500574668603</v>
      </c>
      <c r="L1288" s="105">
        <f t="shared" si="968"/>
        <v>-0.93062938388625593</v>
      </c>
      <c r="M1288" s="105">
        <f t="shared" si="968"/>
        <v>-0.93159827329095046</v>
      </c>
      <c r="N1288" s="105">
        <f t="shared" si="968"/>
        <v>-0.93208572990705307</v>
      </c>
      <c r="O1288" s="105">
        <f t="shared" si="968"/>
        <v>-0.93112313628646393</v>
      </c>
      <c r="P1288" s="105">
        <f t="shared" si="968"/>
        <v>-0.92952863790519746</v>
      </c>
      <c r="Q1288" s="105">
        <f t="shared" si="968"/>
        <v>-0.92952863790519746</v>
      </c>
      <c r="R1288" s="105">
        <f t="shared" si="968"/>
        <v>-0.93163572483482304</v>
      </c>
      <c r="S1288" s="105">
        <f t="shared" si="968"/>
        <v>-0.9317733031320784</v>
      </c>
      <c r="T1288" s="34"/>
      <c r="U1288" s="34"/>
      <c r="V1288" s="34"/>
      <c r="W1288" s="105">
        <f>+W1283/W$835</f>
        <v>-0.92952863790519746</v>
      </c>
      <c r="Y1288" s="390"/>
      <c r="Z1288" s="390"/>
      <c r="AA1288" s="390"/>
      <c r="AB1288" s="390"/>
      <c r="AC1288" s="390"/>
      <c r="AD1288" s="390"/>
      <c r="AE1288" s="390"/>
      <c r="AF1288" s="390"/>
      <c r="AG1288" s="390"/>
      <c r="AH1288" s="390"/>
      <c r="AI1288" s="390"/>
      <c r="AJ1288" s="390"/>
      <c r="AK1288" s="390"/>
      <c r="AL1288" s="390"/>
      <c r="AM1288" s="390"/>
      <c r="AN1288" s="390"/>
      <c r="AO1288" s="390"/>
      <c r="AP1288" s="390"/>
      <c r="AQ1288" s="390"/>
      <c r="AR1288" s="390"/>
      <c r="AS1288" s="390"/>
    </row>
    <row r="1289" spans="2:45" x14ac:dyDescent="0.3">
      <c r="B1289" s="65" t="s">
        <v>107</v>
      </c>
      <c r="C1289" s="66"/>
      <c r="D1289" s="35">
        <f>+D1284/D$836</f>
        <v>-0.91737698511166244</v>
      </c>
      <c r="E1289" s="35">
        <f t="shared" ref="E1289:S1289" si="969">+E1284/E$836</f>
        <v>-0.91612103165651559</v>
      </c>
      <c r="F1289" s="35">
        <f t="shared" si="969"/>
        <v>-0.91675888765294766</v>
      </c>
      <c r="G1289" s="35">
        <f t="shared" si="969"/>
        <v>-0.91538882025470902</v>
      </c>
      <c r="H1289" s="35">
        <f t="shared" si="969"/>
        <v>-0.9179266553480474</v>
      </c>
      <c r="I1289" s="35">
        <f t="shared" si="969"/>
        <v>-0.91916324720990672</v>
      </c>
      <c r="J1289" s="35">
        <f t="shared" si="969"/>
        <v>-0.91837684036393707</v>
      </c>
      <c r="K1289" s="35">
        <f t="shared" si="969"/>
        <v>-0.91651473572618503</v>
      </c>
      <c r="L1289" s="35">
        <f t="shared" si="969"/>
        <v>-0.91739016393442618</v>
      </c>
      <c r="M1289" s="35">
        <f t="shared" si="969"/>
        <v>-0.91799733250620352</v>
      </c>
      <c r="N1289" s="35">
        <f t="shared" si="969"/>
        <v>-0.91854403457323663</v>
      </c>
      <c r="O1289" s="35">
        <f t="shared" si="969"/>
        <v>-0.91775288644856245</v>
      </c>
      <c r="P1289" s="35">
        <f t="shared" si="969"/>
        <v>-0.91588698768895116</v>
      </c>
      <c r="Q1289" s="35">
        <f t="shared" si="969"/>
        <v>-0.91588698768895116</v>
      </c>
      <c r="R1289" s="35">
        <f t="shared" si="969"/>
        <v>-0.91816387096774188</v>
      </c>
      <c r="S1289" s="35">
        <f t="shared" si="969"/>
        <v>-0.91823534496064207</v>
      </c>
      <c r="T1289" s="35"/>
      <c r="U1289" s="35"/>
      <c r="V1289" s="35"/>
      <c r="W1289" s="35">
        <f>+W1284/W$836</f>
        <v>-0.91588698768895116</v>
      </c>
      <c r="Y1289" s="390"/>
      <c r="Z1289" s="390"/>
      <c r="AA1289" s="390"/>
      <c r="AB1289" s="390"/>
      <c r="AC1289" s="390"/>
      <c r="AD1289" s="390"/>
      <c r="AE1289" s="390"/>
      <c r="AF1289" s="390"/>
      <c r="AG1289" s="390"/>
      <c r="AH1289" s="390"/>
      <c r="AI1289" s="390"/>
      <c r="AJ1289" s="390"/>
      <c r="AK1289" s="390"/>
      <c r="AL1289" s="390"/>
      <c r="AM1289" s="390"/>
      <c r="AN1289" s="390"/>
      <c r="AO1289" s="390"/>
      <c r="AP1289" s="390"/>
      <c r="AQ1289" s="390"/>
      <c r="AR1289" s="390"/>
      <c r="AS1289" s="390"/>
    </row>
    <row r="1290" spans="2:45" x14ac:dyDescent="0.3">
      <c r="B1290" s="65" t="s">
        <v>106</v>
      </c>
      <c r="C1290" s="66"/>
      <c r="D1290" s="35">
        <f>+D1285/D$837</f>
        <v>-0.90410647459964744</v>
      </c>
      <c r="E1290" s="35">
        <f t="shared" ref="E1290:S1290" si="970">+E1285/E$837</f>
        <v>-0.9032624944254497</v>
      </c>
      <c r="F1290" s="35">
        <f t="shared" si="970"/>
        <v>-0.90406844574780054</v>
      </c>
      <c r="G1290" s="35">
        <f t="shared" si="970"/>
        <v>-0.90235857702743438</v>
      </c>
      <c r="H1290" s="35">
        <f t="shared" si="970"/>
        <v>-0.90471239228246769</v>
      </c>
      <c r="I1290" s="35">
        <f t="shared" si="970"/>
        <v>-0.90605829115358472</v>
      </c>
      <c r="J1290" s="35">
        <f t="shared" si="970"/>
        <v>-0.9054923145532926</v>
      </c>
      <c r="K1290" s="35">
        <f t="shared" si="970"/>
        <v>-0.90356212858318985</v>
      </c>
      <c r="L1290" s="35">
        <f t="shared" si="970"/>
        <v>-0.90445740740740732</v>
      </c>
      <c r="M1290" s="35">
        <f t="shared" si="970"/>
        <v>-0.904719454447935</v>
      </c>
      <c r="N1290" s="35">
        <f t="shared" si="970"/>
        <v>-0.90532247388088161</v>
      </c>
      <c r="O1290" s="35">
        <f t="shared" si="970"/>
        <v>-0.90469502562556525</v>
      </c>
      <c r="P1290" s="35">
        <f t="shared" si="970"/>
        <v>-0.90257091385018084</v>
      </c>
      <c r="Q1290" s="35">
        <f t="shared" si="970"/>
        <v>-0.90257091385018084</v>
      </c>
      <c r="R1290" s="35">
        <f t="shared" si="970"/>
        <v>-0.90500900189753308</v>
      </c>
      <c r="S1290" s="35">
        <f t="shared" si="970"/>
        <v>-0.9050174330816747</v>
      </c>
      <c r="T1290" s="35"/>
      <c r="U1290" s="35"/>
      <c r="V1290" s="35"/>
      <c r="W1290" s="35">
        <f>+W1285/W$837</f>
        <v>-0.90257091385018084</v>
      </c>
      <c r="Y1290" s="390"/>
      <c r="Z1290" s="390"/>
      <c r="AA1290" s="390"/>
      <c r="AB1290" s="390"/>
      <c r="AC1290" s="390"/>
      <c r="AD1290" s="390"/>
      <c r="AE1290" s="390"/>
      <c r="AF1290" s="390"/>
      <c r="AG1290" s="390"/>
      <c r="AH1290" s="390"/>
      <c r="AI1290" s="390"/>
      <c r="AJ1290" s="390"/>
      <c r="AK1290" s="390"/>
      <c r="AL1290" s="390"/>
      <c r="AM1290" s="390"/>
      <c r="AN1290" s="390"/>
      <c r="AO1290" s="390"/>
      <c r="AP1290" s="390"/>
      <c r="AQ1290" s="390"/>
      <c r="AR1290" s="390"/>
      <c r="AS1290" s="390"/>
    </row>
    <row r="1291" spans="2:45" x14ac:dyDescent="0.3">
      <c r="B1291" s="65" t="s">
        <v>77</v>
      </c>
      <c r="C1291" s="66"/>
      <c r="D1291" s="35">
        <f>+D1286/D$838</f>
        <v>-0.88880006057852479</v>
      </c>
      <c r="E1291" s="35">
        <f t="shared" ref="E1291:S1291" si="971">+E1286/E$838</f>
        <v>-0.88841895804247195</v>
      </c>
      <c r="F1291" s="35">
        <f t="shared" si="971"/>
        <v>-0.88941599130119608</v>
      </c>
      <c r="G1291" s="35">
        <f t="shared" si="971"/>
        <v>-0.88731979438277586</v>
      </c>
      <c r="H1291" s="35">
        <f t="shared" si="971"/>
        <v>-0.88947042508290619</v>
      </c>
      <c r="I1291" s="35">
        <f t="shared" si="971"/>
        <v>-0.89094187574671446</v>
      </c>
      <c r="J1291" s="35">
        <f t="shared" si="971"/>
        <v>-0.8906233815857153</v>
      </c>
      <c r="K1291" s="35">
        <f t="shared" si="971"/>
        <v>-0.88861302160402478</v>
      </c>
      <c r="L1291" s="35">
        <f t="shared" si="971"/>
        <v>-0.88953226544622421</v>
      </c>
      <c r="M1291" s="35">
        <f t="shared" si="971"/>
        <v>-0.88940584582765414</v>
      </c>
      <c r="N1291" s="35">
        <f t="shared" si="971"/>
        <v>-0.89007337955984323</v>
      </c>
      <c r="O1291" s="35">
        <f t="shared" si="971"/>
        <v>-0.88962926320494673</v>
      </c>
      <c r="P1291" s="35">
        <f t="shared" si="971"/>
        <v>-0.88721040779062688</v>
      </c>
      <c r="Q1291" s="35">
        <f t="shared" si="971"/>
        <v>-0.88721040779062688</v>
      </c>
      <c r="R1291" s="35">
        <f t="shared" si="971"/>
        <v>-0.88983447861965481</v>
      </c>
      <c r="S1291" s="35">
        <f t="shared" si="971"/>
        <v>-0.88977190232137471</v>
      </c>
      <c r="T1291" s="35"/>
      <c r="U1291" s="35"/>
      <c r="V1291" s="35"/>
      <c r="W1291" s="35">
        <f>+W1286/W$838</f>
        <v>-0.88721040779062688</v>
      </c>
      <c r="Y1291" s="390"/>
      <c r="Z1291" s="390"/>
      <c r="AA1291" s="390"/>
      <c r="AB1291" s="390"/>
      <c r="AC1291" s="390"/>
      <c r="AD1291" s="390"/>
      <c r="AE1291" s="390"/>
      <c r="AF1291" s="390"/>
      <c r="AG1291" s="390"/>
      <c r="AH1291" s="390"/>
      <c r="AI1291" s="390"/>
      <c r="AJ1291" s="390"/>
      <c r="AK1291" s="390"/>
      <c r="AL1291" s="390"/>
      <c r="AM1291" s="390"/>
      <c r="AN1291" s="390"/>
      <c r="AO1291" s="390"/>
      <c r="AP1291" s="390"/>
      <c r="AQ1291" s="390"/>
      <c r="AR1291" s="390"/>
      <c r="AS1291" s="390"/>
    </row>
    <row r="1292" spans="2:45" x14ac:dyDescent="0.3">
      <c r="B1292" s="65" t="s">
        <v>78</v>
      </c>
      <c r="C1292" s="66"/>
      <c r="D1292" s="35" t="e">
        <f>+D1287/#REF!</f>
        <v>#REF!</v>
      </c>
      <c r="E1292" s="35" t="e">
        <f>+E1287/#REF!</f>
        <v>#REF!</v>
      </c>
      <c r="F1292" s="35" t="e">
        <f>+F1287/#REF!</f>
        <v>#REF!</v>
      </c>
      <c r="G1292" s="35" t="e">
        <f>+G1287/#REF!</f>
        <v>#REF!</v>
      </c>
      <c r="H1292" s="35" t="e">
        <f>+H1287/#REF!</f>
        <v>#REF!</v>
      </c>
      <c r="I1292" s="35" t="e">
        <f>+I1287/#REF!</f>
        <v>#REF!</v>
      </c>
      <c r="J1292" s="35" t="e">
        <f>+J1287/#REF!</f>
        <v>#REF!</v>
      </c>
      <c r="K1292" s="35" t="e">
        <f>+K1287/#REF!</f>
        <v>#REF!</v>
      </c>
      <c r="L1292" s="35" t="e">
        <f>+L1287/#REF!</f>
        <v>#REF!</v>
      </c>
      <c r="M1292" s="35" t="e">
        <f>+M1287/#REF!</f>
        <v>#REF!</v>
      </c>
      <c r="N1292" s="35" t="e">
        <f>+N1287/#REF!</f>
        <v>#REF!</v>
      </c>
      <c r="O1292" s="35" t="e">
        <f>+O1287/#REF!</f>
        <v>#REF!</v>
      </c>
      <c r="P1292" s="35" t="e">
        <f>+P1287/#REF!</f>
        <v>#REF!</v>
      </c>
      <c r="Q1292" s="35" t="e">
        <f>+Q1287/#REF!</f>
        <v>#REF!</v>
      </c>
      <c r="R1292" s="35" t="e">
        <f>+R1287/#REF!</f>
        <v>#REF!</v>
      </c>
      <c r="S1292" s="35" t="e">
        <f>+S1287/#REF!</f>
        <v>#REF!</v>
      </c>
      <c r="T1292" s="35"/>
      <c r="U1292" s="35"/>
      <c r="V1292" s="35"/>
      <c r="W1292" s="35" t="e">
        <f>+W1287/#REF!</f>
        <v>#REF!</v>
      </c>
      <c r="Y1292" s="390"/>
      <c r="Z1292" s="390"/>
      <c r="AA1292" s="390"/>
      <c r="AB1292" s="390"/>
      <c r="AC1292" s="390"/>
      <c r="AD1292" s="390"/>
      <c r="AE1292" s="390"/>
      <c r="AF1292" s="390"/>
      <c r="AG1292" s="390"/>
      <c r="AH1292" s="390"/>
      <c r="AI1292" s="390"/>
      <c r="AJ1292" s="390"/>
      <c r="AK1292" s="390"/>
      <c r="AL1292" s="390"/>
      <c r="AM1292" s="390"/>
      <c r="AN1292" s="390"/>
      <c r="AO1292" s="390"/>
      <c r="AP1292" s="390"/>
      <c r="AQ1292" s="390"/>
      <c r="AR1292" s="390"/>
      <c r="AS1292" s="390"/>
    </row>
    <row r="1293" spans="2:45" ht="21" thickBot="1" x14ac:dyDescent="0.35">
      <c r="Y1293" s="390"/>
      <c r="Z1293" s="390"/>
      <c r="AA1293" s="390"/>
      <c r="AB1293" s="390"/>
      <c r="AC1293" s="390"/>
      <c r="AD1293" s="390"/>
      <c r="AE1293" s="390"/>
      <c r="AF1293" s="390"/>
      <c r="AG1293" s="390"/>
      <c r="AH1293" s="390"/>
      <c r="AI1293" s="390"/>
      <c r="AJ1293" s="390"/>
      <c r="AK1293" s="390"/>
      <c r="AL1293" s="390"/>
      <c r="AM1293" s="390"/>
      <c r="AN1293" s="390"/>
      <c r="AO1293" s="390"/>
      <c r="AP1293" s="390"/>
      <c r="AQ1293" s="390"/>
      <c r="AR1293" s="390"/>
      <c r="AS1293" s="390"/>
    </row>
    <row r="1294" spans="2:45" ht="21" thickBot="1" x14ac:dyDescent="0.35">
      <c r="B1294" s="223"/>
      <c r="C1294" s="68"/>
      <c r="D1294" s="17" t="s">
        <v>5</v>
      </c>
      <c r="E1294" s="18" t="s">
        <v>6</v>
      </c>
      <c r="F1294" s="18" t="s">
        <v>7</v>
      </c>
      <c r="G1294" s="18" t="s">
        <v>8</v>
      </c>
      <c r="H1294" s="18" t="s">
        <v>9</v>
      </c>
      <c r="I1294" s="18" t="s">
        <v>10</v>
      </c>
      <c r="J1294" s="18" t="s">
        <v>11</v>
      </c>
      <c r="K1294" s="18" t="s">
        <v>12</v>
      </c>
      <c r="L1294" s="18" t="s">
        <v>13</v>
      </c>
      <c r="M1294" s="18" t="s">
        <v>14</v>
      </c>
      <c r="N1294" s="18" t="s">
        <v>15</v>
      </c>
      <c r="O1294" s="18" t="s">
        <v>16</v>
      </c>
      <c r="P1294" s="18" t="s">
        <v>17</v>
      </c>
      <c r="Q1294" s="18" t="s">
        <v>18</v>
      </c>
      <c r="R1294" s="18" t="s">
        <v>19</v>
      </c>
      <c r="S1294" s="18" t="s">
        <v>20</v>
      </c>
      <c r="T1294" s="18" t="s">
        <v>21</v>
      </c>
      <c r="U1294" s="18" t="s">
        <v>22</v>
      </c>
      <c r="V1294" s="18" t="s">
        <v>23</v>
      </c>
      <c r="W1294" s="18" t="s">
        <v>166</v>
      </c>
      <c r="Y1294" s="390"/>
      <c r="Z1294" s="390"/>
      <c r="AA1294" s="390"/>
      <c r="AB1294" s="390"/>
      <c r="AC1294" s="390"/>
      <c r="AD1294" s="390"/>
      <c r="AE1294" s="390"/>
      <c r="AF1294" s="390"/>
      <c r="AG1294" s="390"/>
      <c r="AH1294" s="390"/>
      <c r="AI1294" s="390"/>
      <c r="AJ1294" s="390"/>
      <c r="AK1294" s="390"/>
      <c r="AL1294" s="390"/>
      <c r="AM1294" s="390"/>
      <c r="AN1294" s="390"/>
      <c r="AO1294" s="390"/>
      <c r="AP1294" s="390"/>
      <c r="AQ1294" s="390"/>
      <c r="AR1294" s="390"/>
      <c r="AS1294" s="390"/>
    </row>
    <row r="1295" spans="2:45" x14ac:dyDescent="0.3">
      <c r="B1295" s="222" t="s">
        <v>50</v>
      </c>
      <c r="C1295" s="70"/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Y1295" s="390"/>
      <c r="Z1295" s="390"/>
      <c r="AA1295" s="390"/>
      <c r="AB1295" s="390"/>
      <c r="AC1295" s="390"/>
      <c r="AD1295" s="390"/>
      <c r="AE1295" s="390"/>
      <c r="AF1295" s="390"/>
      <c r="AG1295" s="390"/>
      <c r="AH1295" s="390"/>
      <c r="AI1295" s="390"/>
      <c r="AJ1295" s="390"/>
      <c r="AK1295" s="390"/>
      <c r="AL1295" s="390"/>
      <c r="AM1295" s="390"/>
      <c r="AN1295" s="390"/>
      <c r="AO1295" s="390"/>
      <c r="AP1295" s="390"/>
      <c r="AQ1295" s="390"/>
      <c r="AR1295" s="390"/>
      <c r="AS1295" s="390"/>
    </row>
    <row r="1296" spans="2:45" x14ac:dyDescent="0.3">
      <c r="B1296" s="54" t="s">
        <v>51</v>
      </c>
      <c r="C1296" s="55"/>
      <c r="D1296" s="322"/>
      <c r="E1296" s="322"/>
      <c r="F1296" s="322"/>
      <c r="G1296" s="322"/>
      <c r="H1296" s="322"/>
      <c r="I1296" s="322"/>
      <c r="J1296" s="322"/>
      <c r="K1296" s="322"/>
      <c r="L1296" s="322"/>
      <c r="M1296" s="322"/>
      <c r="N1296" s="322"/>
      <c r="O1296" s="322"/>
      <c r="P1296" s="322"/>
      <c r="Q1296" s="322"/>
      <c r="R1296" s="322"/>
      <c r="S1296" s="322"/>
      <c r="T1296" s="218"/>
      <c r="U1296" s="218"/>
      <c r="V1296" s="218"/>
      <c r="W1296" s="322"/>
      <c r="Y1296" s="390"/>
      <c r="Z1296" s="390"/>
      <c r="AA1296" s="390"/>
      <c r="AB1296" s="390"/>
      <c r="AC1296" s="390"/>
      <c r="AD1296" s="390"/>
      <c r="AE1296" s="390"/>
      <c r="AF1296" s="390"/>
      <c r="AG1296" s="390"/>
      <c r="AH1296" s="390"/>
      <c r="AI1296" s="390"/>
      <c r="AJ1296" s="390"/>
      <c r="AK1296" s="390"/>
      <c r="AL1296" s="390"/>
      <c r="AM1296" s="390"/>
      <c r="AN1296" s="390"/>
      <c r="AO1296" s="390"/>
      <c r="AP1296" s="390"/>
      <c r="AQ1296" s="390"/>
      <c r="AR1296" s="390"/>
      <c r="AS1296" s="390"/>
    </row>
    <row r="1297" spans="2:45" x14ac:dyDescent="0.3">
      <c r="B1297" s="54" t="s">
        <v>56</v>
      </c>
      <c r="C1297" s="55"/>
      <c r="D1297" s="21"/>
      <c r="E1297" s="21"/>
      <c r="F1297" s="21"/>
      <c r="G1297" s="21"/>
      <c r="H1297" s="21"/>
      <c r="I1297" s="21"/>
      <c r="J1297" s="21"/>
      <c r="K1297" s="21"/>
      <c r="L1297" s="21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Y1297" s="390"/>
      <c r="Z1297" s="390"/>
      <c r="AA1297" s="390"/>
      <c r="AB1297" s="390"/>
      <c r="AC1297" s="390"/>
      <c r="AD1297" s="390"/>
      <c r="AE1297" s="390"/>
      <c r="AF1297" s="390"/>
      <c r="AG1297" s="390"/>
      <c r="AH1297" s="390"/>
      <c r="AI1297" s="390"/>
      <c r="AJ1297" s="390"/>
      <c r="AK1297" s="390"/>
      <c r="AL1297" s="390"/>
      <c r="AM1297" s="390"/>
      <c r="AN1297" s="390"/>
      <c r="AO1297" s="390"/>
      <c r="AP1297" s="390"/>
      <c r="AQ1297" s="390"/>
      <c r="AR1297" s="390"/>
      <c r="AS1297" s="390"/>
    </row>
    <row r="1298" spans="2:45" x14ac:dyDescent="0.3">
      <c r="B1298" s="177" t="s">
        <v>67</v>
      </c>
      <c r="C1298" s="178"/>
      <c r="D1298" s="323"/>
      <c r="E1298" s="323"/>
      <c r="F1298" s="323"/>
      <c r="G1298" s="323"/>
      <c r="H1298" s="323"/>
      <c r="I1298" s="323"/>
      <c r="J1298" s="323"/>
      <c r="K1298" s="323"/>
      <c r="L1298" s="323"/>
      <c r="M1298" s="323"/>
      <c r="N1298" s="323"/>
      <c r="O1298" s="323"/>
      <c r="P1298" s="323"/>
      <c r="Q1298" s="323"/>
      <c r="R1298" s="323"/>
      <c r="S1298" s="323"/>
      <c r="T1298" s="323"/>
      <c r="U1298" s="323"/>
      <c r="V1298" s="323"/>
      <c r="W1298" s="323"/>
      <c r="Y1298" s="390"/>
      <c r="Z1298" s="390"/>
      <c r="AA1298" s="390"/>
      <c r="AB1298" s="390"/>
      <c r="AC1298" s="390"/>
      <c r="AD1298" s="390"/>
      <c r="AE1298" s="390"/>
      <c r="AF1298" s="390"/>
      <c r="AG1298" s="390"/>
      <c r="AH1298" s="390"/>
      <c r="AI1298" s="390"/>
      <c r="AJ1298" s="390"/>
      <c r="AK1298" s="390"/>
      <c r="AL1298" s="390"/>
      <c r="AM1298" s="390"/>
      <c r="AN1298" s="390"/>
      <c r="AO1298" s="390"/>
      <c r="AP1298" s="390"/>
      <c r="AQ1298" s="390"/>
      <c r="AR1298" s="390"/>
      <c r="AS1298" s="390"/>
    </row>
    <row r="1299" spans="2:45" x14ac:dyDescent="0.3">
      <c r="B1299" s="54" t="s">
        <v>66</v>
      </c>
      <c r="C1299" s="56">
        <v>7.0000000000000007E-2</v>
      </c>
      <c r="D1299" s="24">
        <f>D1298*$C1299</f>
        <v>0</v>
      </c>
      <c r="E1299" s="24">
        <f t="shared" ref="E1299:W1299" si="972">E1298*$C1299</f>
        <v>0</v>
      </c>
      <c r="F1299" s="24">
        <f t="shared" si="972"/>
        <v>0</v>
      </c>
      <c r="G1299" s="24">
        <f t="shared" si="972"/>
        <v>0</v>
      </c>
      <c r="H1299" s="24">
        <f t="shared" si="972"/>
        <v>0</v>
      </c>
      <c r="I1299" s="24">
        <f t="shared" si="972"/>
        <v>0</v>
      </c>
      <c r="J1299" s="24">
        <f t="shared" si="972"/>
        <v>0</v>
      </c>
      <c r="K1299" s="24">
        <f t="shared" si="972"/>
        <v>0</v>
      </c>
      <c r="L1299" s="24">
        <f t="shared" si="972"/>
        <v>0</v>
      </c>
      <c r="M1299" s="24">
        <f t="shared" si="972"/>
        <v>0</v>
      </c>
      <c r="N1299" s="24">
        <f t="shared" si="972"/>
        <v>0</v>
      </c>
      <c r="O1299" s="24">
        <f t="shared" si="972"/>
        <v>0</v>
      </c>
      <c r="P1299" s="24">
        <f t="shared" si="972"/>
        <v>0</v>
      </c>
      <c r="Q1299" s="24">
        <f t="shared" si="972"/>
        <v>0</v>
      </c>
      <c r="R1299" s="24">
        <f t="shared" si="972"/>
        <v>0</v>
      </c>
      <c r="S1299" s="24">
        <f t="shared" si="972"/>
        <v>0</v>
      </c>
      <c r="T1299" s="24">
        <f t="shared" si="972"/>
        <v>0</v>
      </c>
      <c r="U1299" s="24">
        <f t="shared" si="972"/>
        <v>0</v>
      </c>
      <c r="V1299" s="24">
        <f t="shared" si="972"/>
        <v>0</v>
      </c>
      <c r="W1299" s="24">
        <f t="shared" si="972"/>
        <v>0</v>
      </c>
      <c r="Y1299" s="390"/>
      <c r="Z1299" s="390"/>
      <c r="AA1299" s="390"/>
      <c r="AB1299" s="390"/>
      <c r="AC1299" s="390"/>
      <c r="AD1299" s="390"/>
      <c r="AE1299" s="390"/>
      <c r="AF1299" s="390"/>
      <c r="AG1299" s="390"/>
      <c r="AH1299" s="390"/>
      <c r="AI1299" s="390"/>
      <c r="AJ1299" s="390"/>
      <c r="AK1299" s="390"/>
      <c r="AL1299" s="390"/>
      <c r="AM1299" s="390"/>
      <c r="AN1299" s="390"/>
      <c r="AO1299" s="390"/>
      <c r="AP1299" s="390"/>
      <c r="AQ1299" s="390"/>
      <c r="AR1299" s="390"/>
      <c r="AS1299" s="390"/>
    </row>
    <row r="1300" spans="2:45" x14ac:dyDescent="0.3">
      <c r="B1300" s="54" t="s">
        <v>68</v>
      </c>
      <c r="C1300" s="55"/>
      <c r="D1300" s="21">
        <f>D1298+D1299</f>
        <v>0</v>
      </c>
      <c r="E1300" s="21">
        <f t="shared" ref="E1300:W1300" si="973">E1298+E1299</f>
        <v>0</v>
      </c>
      <c r="F1300" s="21">
        <f t="shared" si="973"/>
        <v>0</v>
      </c>
      <c r="G1300" s="21">
        <f t="shared" si="973"/>
        <v>0</v>
      </c>
      <c r="H1300" s="21">
        <f t="shared" si="973"/>
        <v>0</v>
      </c>
      <c r="I1300" s="21">
        <f t="shared" si="973"/>
        <v>0</v>
      </c>
      <c r="J1300" s="21">
        <f t="shared" si="973"/>
        <v>0</v>
      </c>
      <c r="K1300" s="21">
        <f t="shared" si="973"/>
        <v>0</v>
      </c>
      <c r="L1300" s="21">
        <f t="shared" si="973"/>
        <v>0</v>
      </c>
      <c r="M1300" s="21">
        <f t="shared" si="973"/>
        <v>0</v>
      </c>
      <c r="N1300" s="21">
        <f t="shared" si="973"/>
        <v>0</v>
      </c>
      <c r="O1300" s="21">
        <f t="shared" si="973"/>
        <v>0</v>
      </c>
      <c r="P1300" s="21">
        <f t="shared" si="973"/>
        <v>0</v>
      </c>
      <c r="Q1300" s="21">
        <f t="shared" si="973"/>
        <v>0</v>
      </c>
      <c r="R1300" s="21">
        <f t="shared" si="973"/>
        <v>0</v>
      </c>
      <c r="S1300" s="21">
        <f t="shared" si="973"/>
        <v>0</v>
      </c>
      <c r="T1300" s="21">
        <f t="shared" si="973"/>
        <v>0</v>
      </c>
      <c r="U1300" s="21">
        <f t="shared" si="973"/>
        <v>0</v>
      </c>
      <c r="V1300" s="21">
        <f t="shared" si="973"/>
        <v>0</v>
      </c>
      <c r="W1300" s="21">
        <f t="shared" si="973"/>
        <v>0</v>
      </c>
      <c r="Y1300" s="390"/>
      <c r="Z1300" s="390"/>
      <c r="AA1300" s="390"/>
      <c r="AB1300" s="390"/>
      <c r="AC1300" s="390"/>
      <c r="AD1300" s="390"/>
      <c r="AE1300" s="390"/>
      <c r="AF1300" s="390"/>
      <c r="AG1300" s="390"/>
      <c r="AH1300" s="390"/>
      <c r="AI1300" s="390"/>
      <c r="AJ1300" s="390"/>
      <c r="AK1300" s="390"/>
      <c r="AL1300" s="390"/>
      <c r="AM1300" s="390"/>
      <c r="AN1300" s="390"/>
      <c r="AO1300" s="390"/>
      <c r="AP1300" s="390"/>
      <c r="AQ1300" s="390"/>
      <c r="AR1300" s="390"/>
      <c r="AS1300" s="390"/>
    </row>
    <row r="1301" spans="2:45" x14ac:dyDescent="0.3">
      <c r="B1301" s="54" t="s">
        <v>52</v>
      </c>
      <c r="C1301" s="55"/>
      <c r="D1301" s="20">
        <v>0.85000000000000009</v>
      </c>
      <c r="E1301" s="21">
        <v>1.7</v>
      </c>
      <c r="F1301" s="21">
        <v>2.0500000000000003</v>
      </c>
      <c r="G1301" s="21">
        <v>1.1499999999999999</v>
      </c>
      <c r="H1301" s="21">
        <v>0.98</v>
      </c>
      <c r="I1301" s="21">
        <v>0.98</v>
      </c>
      <c r="J1301" s="21">
        <v>1.5999999999999999</v>
      </c>
      <c r="K1301" s="21">
        <v>1.45</v>
      </c>
      <c r="L1301" s="21">
        <v>1.45</v>
      </c>
      <c r="M1301" s="21">
        <v>0.7</v>
      </c>
      <c r="N1301" s="21">
        <v>0.82000000000000006</v>
      </c>
      <c r="O1301" s="21">
        <v>0.98</v>
      </c>
      <c r="P1301" s="21">
        <v>0.59000000000000008</v>
      </c>
      <c r="Q1301" s="21">
        <v>0.59000000000000008</v>
      </c>
      <c r="R1301" s="21">
        <v>0.98</v>
      </c>
      <c r="S1301" s="21">
        <v>0.85000000000000009</v>
      </c>
      <c r="T1301" s="21">
        <v>6.7</v>
      </c>
      <c r="U1301" s="21">
        <v>11.2</v>
      </c>
      <c r="V1301" s="21">
        <v>6.7</v>
      </c>
      <c r="W1301" s="21">
        <v>0.59000000000000008</v>
      </c>
      <c r="Y1301" s="390"/>
      <c r="Z1301" s="390"/>
      <c r="AA1301" s="390"/>
      <c r="AB1301" s="390"/>
      <c r="AC1301" s="390"/>
      <c r="AD1301" s="390"/>
      <c r="AE1301" s="390"/>
      <c r="AF1301" s="390"/>
      <c r="AG1301" s="390"/>
      <c r="AH1301" s="390"/>
      <c r="AI1301" s="390"/>
      <c r="AJ1301" s="390"/>
      <c r="AK1301" s="390"/>
      <c r="AL1301" s="390"/>
      <c r="AM1301" s="390"/>
      <c r="AN1301" s="390"/>
      <c r="AO1301" s="390"/>
      <c r="AP1301" s="390"/>
      <c r="AQ1301" s="390"/>
      <c r="AR1301" s="390"/>
      <c r="AS1301" s="390"/>
    </row>
    <row r="1302" spans="2:45" x14ac:dyDescent="0.3">
      <c r="B1302" s="57" t="s">
        <v>53</v>
      </c>
      <c r="C1302" s="58"/>
      <c r="D1302" s="25">
        <f>SUM(D1300:D1301)</f>
        <v>0.85000000000000009</v>
      </c>
      <c r="E1302" s="26">
        <f t="shared" ref="E1302:W1302" si="974">SUM(E1300:E1301)</f>
        <v>1.7</v>
      </c>
      <c r="F1302" s="26">
        <f t="shared" si="974"/>
        <v>2.0500000000000003</v>
      </c>
      <c r="G1302" s="26">
        <f t="shared" si="974"/>
        <v>1.1499999999999999</v>
      </c>
      <c r="H1302" s="26">
        <f t="shared" si="974"/>
        <v>0.98</v>
      </c>
      <c r="I1302" s="26">
        <f t="shared" si="974"/>
        <v>0.98</v>
      </c>
      <c r="J1302" s="26">
        <f t="shared" si="974"/>
        <v>1.5999999999999999</v>
      </c>
      <c r="K1302" s="26">
        <f t="shared" si="974"/>
        <v>1.45</v>
      </c>
      <c r="L1302" s="26">
        <f t="shared" si="974"/>
        <v>1.45</v>
      </c>
      <c r="M1302" s="26">
        <f t="shared" si="974"/>
        <v>0.7</v>
      </c>
      <c r="N1302" s="26">
        <f t="shared" si="974"/>
        <v>0.82000000000000006</v>
      </c>
      <c r="O1302" s="26">
        <f t="shared" si="974"/>
        <v>0.98</v>
      </c>
      <c r="P1302" s="26">
        <f t="shared" si="974"/>
        <v>0.59000000000000008</v>
      </c>
      <c r="Q1302" s="26">
        <f t="shared" si="974"/>
        <v>0.59000000000000008</v>
      </c>
      <c r="R1302" s="26">
        <f t="shared" si="974"/>
        <v>0.98</v>
      </c>
      <c r="S1302" s="26">
        <f t="shared" si="974"/>
        <v>0.85000000000000009</v>
      </c>
      <c r="T1302" s="26">
        <f t="shared" si="974"/>
        <v>6.7</v>
      </c>
      <c r="U1302" s="26">
        <f t="shared" si="974"/>
        <v>11.2</v>
      </c>
      <c r="V1302" s="26">
        <f t="shared" si="974"/>
        <v>6.7</v>
      </c>
      <c r="W1302" s="26">
        <f t="shared" si="974"/>
        <v>0.59000000000000008</v>
      </c>
      <c r="Y1302" s="390"/>
      <c r="Z1302" s="390"/>
      <c r="AA1302" s="390"/>
      <c r="AB1302" s="390"/>
      <c r="AC1302" s="390"/>
      <c r="AD1302" s="390"/>
      <c r="AE1302" s="390"/>
      <c r="AF1302" s="390"/>
      <c r="AG1302" s="390"/>
      <c r="AH1302" s="390"/>
      <c r="AI1302" s="390"/>
      <c r="AJ1302" s="390"/>
      <c r="AK1302" s="390"/>
      <c r="AL1302" s="390"/>
      <c r="AM1302" s="390"/>
      <c r="AN1302" s="390"/>
      <c r="AO1302" s="390"/>
      <c r="AP1302" s="390"/>
      <c r="AQ1302" s="390"/>
      <c r="AR1302" s="390"/>
      <c r="AS1302" s="390"/>
    </row>
    <row r="1303" spans="2:45" x14ac:dyDescent="0.3">
      <c r="B1303" s="54" t="s">
        <v>54</v>
      </c>
      <c r="C1303" s="55"/>
      <c r="D1303" s="20"/>
      <c r="E1303" s="21"/>
      <c r="F1303" s="21"/>
      <c r="G1303" s="21"/>
      <c r="H1303" s="21"/>
      <c r="I1303" s="21"/>
      <c r="J1303" s="21"/>
      <c r="K1303" s="21"/>
      <c r="L1303" s="21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Y1303" s="390"/>
      <c r="Z1303" s="390"/>
      <c r="AA1303" s="390"/>
      <c r="AB1303" s="390"/>
      <c r="AC1303" s="390"/>
      <c r="AD1303" s="390"/>
      <c r="AE1303" s="390"/>
      <c r="AF1303" s="390"/>
      <c r="AG1303" s="390"/>
      <c r="AH1303" s="390"/>
      <c r="AI1303" s="390"/>
      <c r="AJ1303" s="390"/>
      <c r="AK1303" s="390"/>
      <c r="AL1303" s="390"/>
      <c r="AM1303" s="390"/>
      <c r="AN1303" s="390"/>
      <c r="AO1303" s="390"/>
      <c r="AP1303" s="390"/>
      <c r="AQ1303" s="390"/>
      <c r="AR1303" s="390"/>
      <c r="AS1303" s="390"/>
    </row>
    <row r="1304" spans="2:45" x14ac:dyDescent="0.3">
      <c r="B1304" s="59" t="s">
        <v>55</v>
      </c>
      <c r="C1304" s="60"/>
      <c r="D1304" s="27">
        <f>SUM(D1302:D1303)</f>
        <v>0.85000000000000009</v>
      </c>
      <c r="E1304" s="41">
        <f t="shared" ref="E1304:W1304" si="975">SUM(E1302:E1303)</f>
        <v>1.7</v>
      </c>
      <c r="F1304" s="41">
        <f t="shared" si="975"/>
        <v>2.0500000000000003</v>
      </c>
      <c r="G1304" s="41">
        <f t="shared" si="975"/>
        <v>1.1499999999999999</v>
      </c>
      <c r="H1304" s="41">
        <f t="shared" si="975"/>
        <v>0.98</v>
      </c>
      <c r="I1304" s="41">
        <f t="shared" si="975"/>
        <v>0.98</v>
      </c>
      <c r="J1304" s="41">
        <f t="shared" si="975"/>
        <v>1.5999999999999999</v>
      </c>
      <c r="K1304" s="41">
        <f t="shared" si="975"/>
        <v>1.45</v>
      </c>
      <c r="L1304" s="41">
        <f t="shared" si="975"/>
        <v>1.45</v>
      </c>
      <c r="M1304" s="41">
        <f t="shared" si="975"/>
        <v>0.7</v>
      </c>
      <c r="N1304" s="41">
        <f t="shared" si="975"/>
        <v>0.82000000000000006</v>
      </c>
      <c r="O1304" s="41">
        <f t="shared" si="975"/>
        <v>0.98</v>
      </c>
      <c r="P1304" s="41">
        <f t="shared" si="975"/>
        <v>0.59000000000000008</v>
      </c>
      <c r="Q1304" s="41">
        <f t="shared" si="975"/>
        <v>0.59000000000000008</v>
      </c>
      <c r="R1304" s="41">
        <f t="shared" si="975"/>
        <v>0.98</v>
      </c>
      <c r="S1304" s="41">
        <f t="shared" si="975"/>
        <v>0.85000000000000009</v>
      </c>
      <c r="T1304" s="41">
        <f t="shared" si="975"/>
        <v>6.7</v>
      </c>
      <c r="U1304" s="41">
        <f t="shared" si="975"/>
        <v>11.2</v>
      </c>
      <c r="V1304" s="41">
        <f t="shared" si="975"/>
        <v>6.7</v>
      </c>
      <c r="W1304" s="41">
        <f t="shared" si="975"/>
        <v>0.59000000000000008</v>
      </c>
      <c r="Y1304" s="390"/>
      <c r="Z1304" s="390"/>
      <c r="AA1304" s="390"/>
      <c r="AB1304" s="390"/>
      <c r="AC1304" s="390"/>
      <c r="AD1304" s="390"/>
      <c r="AE1304" s="390"/>
      <c r="AF1304" s="390"/>
      <c r="AG1304" s="390"/>
      <c r="AH1304" s="390"/>
      <c r="AI1304" s="390"/>
      <c r="AJ1304" s="390"/>
      <c r="AK1304" s="390"/>
      <c r="AL1304" s="390"/>
      <c r="AM1304" s="390"/>
      <c r="AN1304" s="390"/>
      <c r="AO1304" s="390"/>
      <c r="AP1304" s="390"/>
      <c r="AQ1304" s="390"/>
      <c r="AR1304" s="390"/>
      <c r="AS1304" s="390"/>
    </row>
    <row r="1305" spans="2:45" x14ac:dyDescent="0.3">
      <c r="B1305" s="61" t="s">
        <v>101</v>
      </c>
      <c r="C1305" s="55"/>
      <c r="D1305" s="228">
        <f>D1306-1</f>
        <v>3</v>
      </c>
      <c r="E1305" s="229">
        <f t="shared" ref="E1305:S1305" si="976">E1306-1</f>
        <v>4</v>
      </c>
      <c r="F1305" s="229">
        <f t="shared" si="976"/>
        <v>5</v>
      </c>
      <c r="G1305" s="229">
        <f t="shared" si="976"/>
        <v>4</v>
      </c>
      <c r="H1305" s="229">
        <f t="shared" si="976"/>
        <v>3</v>
      </c>
      <c r="I1305" s="229">
        <f t="shared" si="976"/>
        <v>3</v>
      </c>
      <c r="J1305" s="229">
        <f t="shared" si="976"/>
        <v>4</v>
      </c>
      <c r="K1305" s="229">
        <f t="shared" si="976"/>
        <v>4</v>
      </c>
      <c r="L1305" s="229">
        <f t="shared" si="976"/>
        <v>4</v>
      </c>
      <c r="M1305" s="229">
        <f t="shared" si="976"/>
        <v>3</v>
      </c>
      <c r="N1305" s="229">
        <f t="shared" si="976"/>
        <v>3</v>
      </c>
      <c r="O1305" s="229">
        <f t="shared" si="976"/>
        <v>3</v>
      </c>
      <c r="P1305" s="229">
        <f t="shared" si="976"/>
        <v>3</v>
      </c>
      <c r="Q1305" s="229">
        <f t="shared" si="976"/>
        <v>3</v>
      </c>
      <c r="R1305" s="229">
        <f t="shared" si="976"/>
        <v>3</v>
      </c>
      <c r="S1305" s="229">
        <f t="shared" si="976"/>
        <v>3</v>
      </c>
      <c r="T1305" s="21"/>
      <c r="U1305" s="21"/>
      <c r="V1305" s="21"/>
      <c r="W1305" s="229">
        <f>W1306-1</f>
        <v>3</v>
      </c>
      <c r="Y1305" s="390"/>
      <c r="Z1305" s="390"/>
      <c r="AA1305" s="390"/>
      <c r="AB1305" s="390"/>
      <c r="AC1305" s="390"/>
      <c r="AD1305" s="390"/>
      <c r="AE1305" s="390"/>
      <c r="AF1305" s="390"/>
      <c r="AG1305" s="390"/>
      <c r="AH1305" s="390"/>
      <c r="AI1305" s="390"/>
      <c r="AJ1305" s="390"/>
      <c r="AK1305" s="390"/>
      <c r="AL1305" s="390"/>
      <c r="AM1305" s="390"/>
      <c r="AN1305" s="390"/>
      <c r="AO1305" s="390"/>
      <c r="AP1305" s="390"/>
      <c r="AQ1305" s="390"/>
      <c r="AR1305" s="390"/>
      <c r="AS1305" s="390"/>
    </row>
    <row r="1306" spans="2:45" x14ac:dyDescent="0.3">
      <c r="B1306" s="61" t="s">
        <v>194</v>
      </c>
      <c r="C1306" s="62"/>
      <c r="D1306" s="28">
        <f>ROUNDUP((D1304+3),0)</f>
        <v>4</v>
      </c>
      <c r="E1306" s="28">
        <f t="shared" ref="E1306:S1306" si="977">ROUNDUP((E1304+3),0)</f>
        <v>5</v>
      </c>
      <c r="F1306" s="28">
        <f t="shared" si="977"/>
        <v>6</v>
      </c>
      <c r="G1306" s="28">
        <f t="shared" si="977"/>
        <v>5</v>
      </c>
      <c r="H1306" s="28">
        <f t="shared" si="977"/>
        <v>4</v>
      </c>
      <c r="I1306" s="28">
        <f t="shared" si="977"/>
        <v>4</v>
      </c>
      <c r="J1306" s="28">
        <f t="shared" si="977"/>
        <v>5</v>
      </c>
      <c r="K1306" s="28">
        <f t="shared" si="977"/>
        <v>5</v>
      </c>
      <c r="L1306" s="28">
        <f t="shared" si="977"/>
        <v>5</v>
      </c>
      <c r="M1306" s="28">
        <f t="shared" si="977"/>
        <v>4</v>
      </c>
      <c r="N1306" s="28">
        <f t="shared" si="977"/>
        <v>4</v>
      </c>
      <c r="O1306" s="28">
        <f t="shared" si="977"/>
        <v>4</v>
      </c>
      <c r="P1306" s="28">
        <f t="shared" si="977"/>
        <v>4</v>
      </c>
      <c r="Q1306" s="28">
        <f t="shared" si="977"/>
        <v>4</v>
      </c>
      <c r="R1306" s="28">
        <f t="shared" si="977"/>
        <v>4</v>
      </c>
      <c r="S1306" s="28">
        <f t="shared" si="977"/>
        <v>4</v>
      </c>
      <c r="T1306" s="29"/>
      <c r="U1306" s="29"/>
      <c r="V1306" s="29"/>
      <c r="W1306" s="28">
        <f>ROUNDUP((W1304+3),0)</f>
        <v>4</v>
      </c>
      <c r="Y1306" s="390"/>
      <c r="Z1306" s="390"/>
      <c r="AA1306" s="390"/>
      <c r="AB1306" s="390"/>
      <c r="AC1306" s="390"/>
      <c r="AD1306" s="390"/>
      <c r="AE1306" s="390"/>
      <c r="AF1306" s="390"/>
      <c r="AG1306" s="390"/>
      <c r="AH1306" s="390"/>
      <c r="AI1306" s="390"/>
      <c r="AJ1306" s="390"/>
      <c r="AK1306" s="390"/>
      <c r="AL1306" s="390"/>
      <c r="AM1306" s="390"/>
      <c r="AN1306" s="390"/>
      <c r="AO1306" s="390"/>
      <c r="AP1306" s="390"/>
      <c r="AQ1306" s="390"/>
      <c r="AR1306" s="390"/>
      <c r="AS1306" s="390"/>
    </row>
    <row r="1307" spans="2:45" x14ac:dyDescent="0.3">
      <c r="B1307" s="61" t="s">
        <v>195</v>
      </c>
      <c r="C1307" s="62"/>
      <c r="D1307" s="28">
        <f>ROUNDUP((D1304+4),0)</f>
        <v>5</v>
      </c>
      <c r="E1307" s="28">
        <f t="shared" ref="E1307:S1307" si="978">ROUNDUP((E1304+4),0)</f>
        <v>6</v>
      </c>
      <c r="F1307" s="28">
        <f t="shared" si="978"/>
        <v>7</v>
      </c>
      <c r="G1307" s="28">
        <f t="shared" si="978"/>
        <v>6</v>
      </c>
      <c r="H1307" s="28">
        <f t="shared" si="978"/>
        <v>5</v>
      </c>
      <c r="I1307" s="28">
        <f t="shared" si="978"/>
        <v>5</v>
      </c>
      <c r="J1307" s="28">
        <f t="shared" si="978"/>
        <v>6</v>
      </c>
      <c r="K1307" s="28">
        <f t="shared" si="978"/>
        <v>6</v>
      </c>
      <c r="L1307" s="28">
        <f t="shared" si="978"/>
        <v>6</v>
      </c>
      <c r="M1307" s="28">
        <f t="shared" si="978"/>
        <v>5</v>
      </c>
      <c r="N1307" s="28">
        <f t="shared" si="978"/>
        <v>5</v>
      </c>
      <c r="O1307" s="28">
        <f t="shared" si="978"/>
        <v>5</v>
      </c>
      <c r="P1307" s="28">
        <f t="shared" si="978"/>
        <v>5</v>
      </c>
      <c r="Q1307" s="28">
        <f t="shared" si="978"/>
        <v>5</v>
      </c>
      <c r="R1307" s="28">
        <f t="shared" si="978"/>
        <v>5</v>
      </c>
      <c r="S1307" s="28">
        <f t="shared" si="978"/>
        <v>5</v>
      </c>
      <c r="T1307" s="29"/>
      <c r="U1307" s="29"/>
      <c r="V1307" s="29"/>
      <c r="W1307" s="28">
        <f>ROUNDUP((W1304+4),0)</f>
        <v>5</v>
      </c>
      <c r="Y1307" s="390"/>
      <c r="Z1307" s="390"/>
      <c r="AA1307" s="390"/>
      <c r="AB1307" s="390"/>
      <c r="AC1307" s="390"/>
      <c r="AD1307" s="390"/>
      <c r="AE1307" s="390"/>
      <c r="AF1307" s="390"/>
      <c r="AG1307" s="390"/>
      <c r="AH1307" s="390"/>
      <c r="AI1307" s="390"/>
      <c r="AJ1307" s="390"/>
      <c r="AK1307" s="390"/>
      <c r="AL1307" s="390"/>
      <c r="AM1307" s="390"/>
      <c r="AN1307" s="390"/>
      <c r="AO1307" s="390"/>
      <c r="AP1307" s="390"/>
      <c r="AQ1307" s="390"/>
      <c r="AR1307" s="390"/>
      <c r="AS1307" s="390"/>
    </row>
    <row r="1308" spans="2:45" x14ac:dyDescent="0.3">
      <c r="B1308" s="61" t="s">
        <v>196</v>
      </c>
      <c r="C1308" s="62"/>
      <c r="D1308" s="28">
        <f>ROUNDUP((D1304+6),0)</f>
        <v>7</v>
      </c>
      <c r="E1308" s="28">
        <f t="shared" ref="E1308:S1308" si="979">ROUNDUP((E1304+6),0)</f>
        <v>8</v>
      </c>
      <c r="F1308" s="28">
        <f t="shared" si="979"/>
        <v>9</v>
      </c>
      <c r="G1308" s="28">
        <f t="shared" si="979"/>
        <v>8</v>
      </c>
      <c r="H1308" s="28">
        <f t="shared" si="979"/>
        <v>7</v>
      </c>
      <c r="I1308" s="28">
        <f t="shared" si="979"/>
        <v>7</v>
      </c>
      <c r="J1308" s="28">
        <f t="shared" si="979"/>
        <v>8</v>
      </c>
      <c r="K1308" s="28">
        <f t="shared" si="979"/>
        <v>8</v>
      </c>
      <c r="L1308" s="28">
        <f t="shared" si="979"/>
        <v>8</v>
      </c>
      <c r="M1308" s="28">
        <f t="shared" si="979"/>
        <v>7</v>
      </c>
      <c r="N1308" s="28">
        <f t="shared" si="979"/>
        <v>7</v>
      </c>
      <c r="O1308" s="28">
        <f t="shared" si="979"/>
        <v>7</v>
      </c>
      <c r="P1308" s="28">
        <f t="shared" si="979"/>
        <v>7</v>
      </c>
      <c r="Q1308" s="28">
        <f t="shared" si="979"/>
        <v>7</v>
      </c>
      <c r="R1308" s="28">
        <f t="shared" si="979"/>
        <v>7</v>
      </c>
      <c r="S1308" s="28">
        <f t="shared" si="979"/>
        <v>7</v>
      </c>
      <c r="T1308" s="29"/>
      <c r="U1308" s="29"/>
      <c r="V1308" s="29"/>
      <c r="W1308" s="28">
        <f>ROUNDUP((W1304+6),0)</f>
        <v>7</v>
      </c>
      <c r="Y1308" s="390"/>
      <c r="Z1308" s="390"/>
      <c r="AA1308" s="390"/>
      <c r="AB1308" s="390"/>
      <c r="AC1308" s="390"/>
      <c r="AD1308" s="390"/>
      <c r="AE1308" s="390"/>
      <c r="AF1308" s="390"/>
      <c r="AG1308" s="390"/>
      <c r="AH1308" s="390"/>
      <c r="AI1308" s="390"/>
      <c r="AJ1308" s="390"/>
      <c r="AK1308" s="390"/>
      <c r="AL1308" s="390"/>
      <c r="AM1308" s="390"/>
      <c r="AN1308" s="390"/>
      <c r="AO1308" s="390"/>
      <c r="AP1308" s="390"/>
      <c r="AQ1308" s="390"/>
      <c r="AR1308" s="390"/>
      <c r="AS1308" s="390"/>
    </row>
    <row r="1309" spans="2:45" x14ac:dyDescent="0.3">
      <c r="B1309" s="61" t="s">
        <v>197</v>
      </c>
      <c r="C1309" s="62"/>
      <c r="D1309" s="28">
        <f>ROUNDUP((D1304+10),0)</f>
        <v>11</v>
      </c>
      <c r="E1309" s="28">
        <f t="shared" ref="E1309:S1309" si="980">ROUNDUP((E1304+10),0)</f>
        <v>12</v>
      </c>
      <c r="F1309" s="28">
        <f t="shared" si="980"/>
        <v>13</v>
      </c>
      <c r="G1309" s="28">
        <f t="shared" si="980"/>
        <v>12</v>
      </c>
      <c r="H1309" s="28">
        <f t="shared" si="980"/>
        <v>11</v>
      </c>
      <c r="I1309" s="28">
        <f t="shared" si="980"/>
        <v>11</v>
      </c>
      <c r="J1309" s="28">
        <f t="shared" si="980"/>
        <v>12</v>
      </c>
      <c r="K1309" s="28">
        <f t="shared" si="980"/>
        <v>12</v>
      </c>
      <c r="L1309" s="28">
        <f t="shared" si="980"/>
        <v>12</v>
      </c>
      <c r="M1309" s="28">
        <f t="shared" si="980"/>
        <v>11</v>
      </c>
      <c r="N1309" s="28">
        <f t="shared" si="980"/>
        <v>11</v>
      </c>
      <c r="O1309" s="28">
        <f t="shared" si="980"/>
        <v>11</v>
      </c>
      <c r="P1309" s="28">
        <f t="shared" si="980"/>
        <v>11</v>
      </c>
      <c r="Q1309" s="28">
        <f t="shared" si="980"/>
        <v>11</v>
      </c>
      <c r="R1309" s="28">
        <f t="shared" si="980"/>
        <v>11</v>
      </c>
      <c r="S1309" s="28">
        <f t="shared" si="980"/>
        <v>11</v>
      </c>
      <c r="T1309" s="29"/>
      <c r="U1309" s="29"/>
      <c r="V1309" s="29"/>
      <c r="W1309" s="28">
        <f>ROUNDUP((W1304+10),0)</f>
        <v>11</v>
      </c>
      <c r="Y1309" s="390"/>
      <c r="Z1309" s="390"/>
      <c r="AA1309" s="390"/>
      <c r="AB1309" s="390"/>
      <c r="AC1309" s="390"/>
      <c r="AD1309" s="390"/>
      <c r="AE1309" s="390"/>
      <c r="AF1309" s="390"/>
      <c r="AG1309" s="390"/>
      <c r="AH1309" s="390"/>
      <c r="AI1309" s="390"/>
      <c r="AJ1309" s="390"/>
      <c r="AK1309" s="390"/>
      <c r="AL1309" s="390"/>
      <c r="AM1309" s="390"/>
      <c r="AN1309" s="390"/>
      <c r="AO1309" s="390"/>
      <c r="AP1309" s="390"/>
      <c r="AQ1309" s="390"/>
      <c r="AR1309" s="390"/>
      <c r="AS1309" s="390"/>
    </row>
    <row r="1310" spans="2:45" x14ac:dyDescent="0.3">
      <c r="B1310" s="63" t="s">
        <v>103</v>
      </c>
      <c r="C1310" s="62"/>
      <c r="D1310" s="31">
        <f>+D1305-D$833</f>
        <v>-382.62882580645157</v>
      </c>
      <c r="E1310" s="31">
        <f>+E1305-E$833</f>
        <v>-394.01592258064517</v>
      </c>
      <c r="F1310" s="31">
        <f t="shared" ref="F1310:S1310" si="981">+F1305-F$833</f>
        <v>-399.79011612903224</v>
      </c>
      <c r="G1310" s="31">
        <f t="shared" si="981"/>
        <v>-388.20947096774194</v>
      </c>
      <c r="H1310" s="31">
        <f t="shared" si="981"/>
        <v>-384.69334193548383</v>
      </c>
      <c r="I1310" s="31">
        <f t="shared" si="981"/>
        <v>-388.88689032258065</v>
      </c>
      <c r="J1310" s="31">
        <f t="shared" si="981"/>
        <v>-394.98366451612901</v>
      </c>
      <c r="K1310" s="31">
        <f t="shared" si="981"/>
        <v>-391.4352774193548</v>
      </c>
      <c r="L1310" s="31">
        <f t="shared" si="981"/>
        <v>-392.72559999999999</v>
      </c>
      <c r="M1310" s="31">
        <f t="shared" si="981"/>
        <v>-382.88689032258065</v>
      </c>
      <c r="N1310" s="31">
        <f t="shared" si="981"/>
        <v>-384.95140645161291</v>
      </c>
      <c r="O1310" s="31">
        <f t="shared" si="981"/>
        <v>-389.20947096774194</v>
      </c>
      <c r="P1310" s="31">
        <f t="shared" si="981"/>
        <v>-380.17721290322578</v>
      </c>
      <c r="Q1310" s="31">
        <f t="shared" si="981"/>
        <v>-380.17721290322578</v>
      </c>
      <c r="R1310" s="31">
        <f t="shared" si="981"/>
        <v>-386.62882580645157</v>
      </c>
      <c r="S1310" s="31">
        <f t="shared" si="981"/>
        <v>-384.8223741935484</v>
      </c>
      <c r="T1310" s="29"/>
      <c r="U1310" s="29"/>
      <c r="V1310" s="29"/>
      <c r="W1310" s="31">
        <f>+W1305-W$833</f>
        <v>-380.17721290322578</v>
      </c>
      <c r="Y1310" s="390"/>
      <c r="Z1310" s="390"/>
      <c r="AA1310" s="390"/>
      <c r="AB1310" s="390"/>
      <c r="AC1310" s="390"/>
      <c r="AD1310" s="390"/>
      <c r="AE1310" s="390"/>
      <c r="AF1310" s="390"/>
      <c r="AG1310" s="390"/>
      <c r="AH1310" s="390"/>
      <c r="AI1310" s="390"/>
      <c r="AJ1310" s="390"/>
      <c r="AK1310" s="390"/>
      <c r="AL1310" s="390"/>
      <c r="AM1310" s="390"/>
      <c r="AN1310" s="390"/>
      <c r="AO1310" s="390"/>
      <c r="AP1310" s="390"/>
      <c r="AQ1310" s="390"/>
      <c r="AR1310" s="390"/>
      <c r="AS1310" s="390"/>
    </row>
    <row r="1311" spans="2:45" x14ac:dyDescent="0.3">
      <c r="B1311" s="63" t="s">
        <v>104</v>
      </c>
      <c r="C1311" s="64"/>
      <c r="D1311" s="31">
        <f>+D1306-D$833</f>
        <v>-381.62882580645157</v>
      </c>
      <c r="E1311" s="32">
        <f t="shared" ref="E1311:S1311" si="982">+E1306-E$833</f>
        <v>-393.01592258064517</v>
      </c>
      <c r="F1311" s="32">
        <f t="shared" si="982"/>
        <v>-398.79011612903224</v>
      </c>
      <c r="G1311" s="32">
        <f t="shared" si="982"/>
        <v>-387.20947096774194</v>
      </c>
      <c r="H1311" s="32">
        <f t="shared" si="982"/>
        <v>-383.69334193548383</v>
      </c>
      <c r="I1311" s="32">
        <f t="shared" si="982"/>
        <v>-387.88689032258065</v>
      </c>
      <c r="J1311" s="32">
        <f t="shared" si="982"/>
        <v>-393.98366451612901</v>
      </c>
      <c r="K1311" s="32">
        <f t="shared" si="982"/>
        <v>-390.4352774193548</v>
      </c>
      <c r="L1311" s="32">
        <f t="shared" si="982"/>
        <v>-391.72559999999999</v>
      </c>
      <c r="M1311" s="32">
        <f t="shared" si="982"/>
        <v>-381.88689032258065</v>
      </c>
      <c r="N1311" s="32">
        <f t="shared" si="982"/>
        <v>-383.95140645161291</v>
      </c>
      <c r="O1311" s="32">
        <f t="shared" si="982"/>
        <v>-388.20947096774194</v>
      </c>
      <c r="P1311" s="32">
        <f t="shared" si="982"/>
        <v>-379.17721290322578</v>
      </c>
      <c r="Q1311" s="32">
        <f t="shared" si="982"/>
        <v>-379.17721290322578</v>
      </c>
      <c r="R1311" s="32">
        <f t="shared" si="982"/>
        <v>-385.62882580645157</v>
      </c>
      <c r="S1311" s="32">
        <f t="shared" si="982"/>
        <v>-383.8223741935484</v>
      </c>
      <c r="T1311" s="32"/>
      <c r="U1311" s="32"/>
      <c r="V1311" s="32"/>
      <c r="W1311" s="32">
        <f>+W1306-W$833</f>
        <v>-379.17721290322578</v>
      </c>
      <c r="Y1311" s="390"/>
      <c r="Z1311" s="390"/>
      <c r="AA1311" s="390"/>
      <c r="AB1311" s="390"/>
      <c r="AC1311" s="390"/>
      <c r="AD1311" s="390"/>
      <c r="AE1311" s="390"/>
      <c r="AF1311" s="390"/>
      <c r="AG1311" s="390"/>
      <c r="AH1311" s="390"/>
      <c r="AI1311" s="390"/>
      <c r="AJ1311" s="390"/>
      <c r="AK1311" s="390"/>
      <c r="AL1311" s="390"/>
      <c r="AM1311" s="390"/>
      <c r="AN1311" s="390"/>
      <c r="AO1311" s="390"/>
      <c r="AP1311" s="390"/>
      <c r="AQ1311" s="390"/>
      <c r="AR1311" s="390"/>
      <c r="AS1311" s="390"/>
    </row>
    <row r="1312" spans="2:45" x14ac:dyDescent="0.3">
      <c r="B1312" s="63" t="s">
        <v>105</v>
      </c>
      <c r="C1312" s="64"/>
      <c r="D1312" s="31">
        <f>+D1307-D$833</f>
        <v>-380.62882580645157</v>
      </c>
      <c r="E1312" s="32">
        <f t="shared" ref="E1312:S1312" si="983">+E1307-E$833</f>
        <v>-392.01592258064517</v>
      </c>
      <c r="F1312" s="32">
        <f t="shared" si="983"/>
        <v>-397.79011612903224</v>
      </c>
      <c r="G1312" s="32">
        <f t="shared" si="983"/>
        <v>-386.20947096774194</v>
      </c>
      <c r="H1312" s="32">
        <f t="shared" si="983"/>
        <v>-382.69334193548383</v>
      </c>
      <c r="I1312" s="32">
        <f t="shared" si="983"/>
        <v>-386.88689032258065</v>
      </c>
      <c r="J1312" s="32">
        <f t="shared" si="983"/>
        <v>-392.98366451612901</v>
      </c>
      <c r="K1312" s="32">
        <f t="shared" si="983"/>
        <v>-389.4352774193548</v>
      </c>
      <c r="L1312" s="32">
        <f t="shared" si="983"/>
        <v>-390.72559999999999</v>
      </c>
      <c r="M1312" s="32">
        <f t="shared" si="983"/>
        <v>-380.88689032258065</v>
      </c>
      <c r="N1312" s="32">
        <f t="shared" si="983"/>
        <v>-382.95140645161291</v>
      </c>
      <c r="O1312" s="32">
        <f t="shared" si="983"/>
        <v>-387.20947096774194</v>
      </c>
      <c r="P1312" s="32">
        <f t="shared" si="983"/>
        <v>-378.17721290322578</v>
      </c>
      <c r="Q1312" s="32">
        <f t="shared" si="983"/>
        <v>-378.17721290322578</v>
      </c>
      <c r="R1312" s="32">
        <f t="shared" si="983"/>
        <v>-384.62882580645157</v>
      </c>
      <c r="S1312" s="32">
        <f t="shared" si="983"/>
        <v>-382.8223741935484</v>
      </c>
      <c r="T1312" s="32"/>
      <c r="U1312" s="32"/>
      <c r="V1312" s="32"/>
      <c r="W1312" s="32">
        <f>+W1307-W$833</f>
        <v>-378.17721290322578</v>
      </c>
      <c r="Y1312" s="390"/>
      <c r="Z1312" s="390"/>
      <c r="AA1312" s="390"/>
      <c r="AB1312" s="390"/>
      <c r="AC1312" s="390"/>
      <c r="AD1312" s="390"/>
      <c r="AE1312" s="390"/>
      <c r="AF1312" s="390"/>
      <c r="AG1312" s="390"/>
      <c r="AH1312" s="390"/>
      <c r="AI1312" s="390"/>
      <c r="AJ1312" s="390"/>
      <c r="AK1312" s="390"/>
      <c r="AL1312" s="390"/>
      <c r="AM1312" s="390"/>
      <c r="AN1312" s="390"/>
      <c r="AO1312" s="390"/>
      <c r="AP1312" s="390"/>
      <c r="AQ1312" s="390"/>
      <c r="AR1312" s="390"/>
      <c r="AS1312" s="390"/>
    </row>
    <row r="1313" spans="2:45" x14ac:dyDescent="0.3">
      <c r="B1313" s="63" t="s">
        <v>75</v>
      </c>
      <c r="C1313" s="64"/>
      <c r="D1313" s="31">
        <f>+D1308-D$833</f>
        <v>-378.62882580645157</v>
      </c>
      <c r="E1313" s="32">
        <f t="shared" ref="E1313:S1313" si="984">+E1308-E$833</f>
        <v>-390.01592258064517</v>
      </c>
      <c r="F1313" s="32">
        <f t="shared" si="984"/>
        <v>-395.79011612903224</v>
      </c>
      <c r="G1313" s="32">
        <f t="shared" si="984"/>
        <v>-384.20947096774194</v>
      </c>
      <c r="H1313" s="32">
        <f t="shared" si="984"/>
        <v>-380.69334193548383</v>
      </c>
      <c r="I1313" s="32">
        <f t="shared" si="984"/>
        <v>-384.88689032258065</v>
      </c>
      <c r="J1313" s="32">
        <f t="shared" si="984"/>
        <v>-390.98366451612901</v>
      </c>
      <c r="K1313" s="32">
        <f t="shared" si="984"/>
        <v>-387.4352774193548</v>
      </c>
      <c r="L1313" s="32">
        <f t="shared" si="984"/>
        <v>-388.72559999999999</v>
      </c>
      <c r="M1313" s="32">
        <f t="shared" si="984"/>
        <v>-378.88689032258065</v>
      </c>
      <c r="N1313" s="32">
        <f t="shared" si="984"/>
        <v>-380.95140645161291</v>
      </c>
      <c r="O1313" s="32">
        <f t="shared" si="984"/>
        <v>-385.20947096774194</v>
      </c>
      <c r="P1313" s="32">
        <f t="shared" si="984"/>
        <v>-376.17721290322578</v>
      </c>
      <c r="Q1313" s="32">
        <f t="shared" si="984"/>
        <v>-376.17721290322578</v>
      </c>
      <c r="R1313" s="32">
        <f t="shared" si="984"/>
        <v>-382.62882580645157</v>
      </c>
      <c r="S1313" s="32">
        <f t="shared" si="984"/>
        <v>-380.8223741935484</v>
      </c>
      <c r="T1313" s="32"/>
      <c r="U1313" s="32"/>
      <c r="V1313" s="32"/>
      <c r="W1313" s="32">
        <f>+W1308-W$833</f>
        <v>-376.17721290322578</v>
      </c>
      <c r="Y1313" s="390"/>
      <c r="Z1313" s="390"/>
      <c r="AA1313" s="390"/>
      <c r="AB1313" s="390"/>
      <c r="AC1313" s="390"/>
      <c r="AD1313" s="390"/>
      <c r="AE1313" s="390"/>
      <c r="AF1313" s="390"/>
      <c r="AG1313" s="390"/>
      <c r="AH1313" s="390"/>
      <c r="AI1313" s="390"/>
      <c r="AJ1313" s="390"/>
      <c r="AK1313" s="390"/>
      <c r="AL1313" s="390"/>
      <c r="AM1313" s="390"/>
      <c r="AN1313" s="390"/>
      <c r="AO1313" s="390"/>
      <c r="AP1313" s="390"/>
      <c r="AQ1313" s="390"/>
      <c r="AR1313" s="390"/>
      <c r="AS1313" s="390"/>
    </row>
    <row r="1314" spans="2:45" x14ac:dyDescent="0.3">
      <c r="B1314" s="63" t="s">
        <v>76</v>
      </c>
      <c r="C1314" s="64"/>
      <c r="D1314" s="31">
        <f>+D1309-D$833</f>
        <v>-374.62882580645157</v>
      </c>
      <c r="E1314" s="34">
        <f t="shared" ref="E1314:S1314" si="985">+E1309-E$833</f>
        <v>-386.01592258064517</v>
      </c>
      <c r="F1314" s="34">
        <f t="shared" si="985"/>
        <v>-391.79011612903224</v>
      </c>
      <c r="G1314" s="34">
        <f t="shared" si="985"/>
        <v>-380.20947096774194</v>
      </c>
      <c r="H1314" s="34">
        <f t="shared" si="985"/>
        <v>-376.69334193548383</v>
      </c>
      <c r="I1314" s="34">
        <f t="shared" si="985"/>
        <v>-380.88689032258065</v>
      </c>
      <c r="J1314" s="34">
        <f t="shared" si="985"/>
        <v>-386.98366451612901</v>
      </c>
      <c r="K1314" s="34">
        <f t="shared" si="985"/>
        <v>-383.4352774193548</v>
      </c>
      <c r="L1314" s="34">
        <f t="shared" si="985"/>
        <v>-384.72559999999999</v>
      </c>
      <c r="M1314" s="34">
        <f t="shared" si="985"/>
        <v>-374.88689032258065</v>
      </c>
      <c r="N1314" s="34">
        <f t="shared" si="985"/>
        <v>-376.95140645161291</v>
      </c>
      <c r="O1314" s="34">
        <f t="shared" si="985"/>
        <v>-381.20947096774194</v>
      </c>
      <c r="P1314" s="34">
        <f t="shared" si="985"/>
        <v>-372.17721290322578</v>
      </c>
      <c r="Q1314" s="34">
        <f t="shared" si="985"/>
        <v>-372.17721290322578</v>
      </c>
      <c r="R1314" s="34">
        <f t="shared" si="985"/>
        <v>-378.62882580645157</v>
      </c>
      <c r="S1314" s="34">
        <f t="shared" si="985"/>
        <v>-376.8223741935484</v>
      </c>
      <c r="T1314" s="34"/>
      <c r="U1314" s="34"/>
      <c r="V1314" s="34"/>
      <c r="W1314" s="34">
        <f>+W1309-W$833</f>
        <v>-372.17721290322578</v>
      </c>
      <c r="Y1314" s="390"/>
      <c r="Z1314" s="390"/>
      <c r="AA1314" s="390"/>
      <c r="AB1314" s="390"/>
      <c r="AC1314" s="390"/>
      <c r="AD1314" s="390"/>
      <c r="AE1314" s="390"/>
      <c r="AF1314" s="390"/>
      <c r="AG1314" s="390"/>
      <c r="AH1314" s="390"/>
      <c r="AI1314" s="390"/>
      <c r="AJ1314" s="390"/>
      <c r="AK1314" s="390"/>
      <c r="AL1314" s="390"/>
      <c r="AM1314" s="390"/>
      <c r="AN1314" s="390"/>
      <c r="AO1314" s="390"/>
      <c r="AP1314" s="390"/>
      <c r="AQ1314" s="390"/>
      <c r="AR1314" s="390"/>
      <c r="AS1314" s="390"/>
    </row>
    <row r="1315" spans="2:45" x14ac:dyDescent="0.3">
      <c r="B1315" s="65" t="s">
        <v>108</v>
      </c>
      <c r="C1315" s="64"/>
      <c r="D1315" s="105">
        <f>+D1310/D$835</f>
        <v>-0.93097037909112301</v>
      </c>
      <c r="E1315" s="105">
        <f t="shared" ref="E1315:S1315" si="986">+E1310/E$835</f>
        <v>-0.92928283627510655</v>
      </c>
      <c r="F1315" s="105">
        <f t="shared" si="986"/>
        <v>-0.92974445611402845</v>
      </c>
      <c r="G1315" s="105">
        <f t="shared" si="986"/>
        <v>-0.92873079178885631</v>
      </c>
      <c r="H1315" s="105">
        <f t="shared" si="986"/>
        <v>-0.93146087635710373</v>
      </c>
      <c r="I1315" s="105">
        <f t="shared" si="986"/>
        <v>-0.93258247079755552</v>
      </c>
      <c r="J1315" s="105">
        <f t="shared" si="986"/>
        <v>-0.93156524650030426</v>
      </c>
      <c r="K1315" s="105">
        <f t="shared" si="986"/>
        <v>-0.92977500574668603</v>
      </c>
      <c r="L1315" s="105">
        <f t="shared" si="986"/>
        <v>-0.93062938388625593</v>
      </c>
      <c r="M1315" s="105">
        <f t="shared" si="986"/>
        <v>-0.93159827329095046</v>
      </c>
      <c r="N1315" s="105">
        <f t="shared" si="986"/>
        <v>-0.93208572990705307</v>
      </c>
      <c r="O1315" s="105">
        <f t="shared" si="986"/>
        <v>-0.93112313628646393</v>
      </c>
      <c r="P1315" s="105">
        <f t="shared" si="986"/>
        <v>-0.92952863790519746</v>
      </c>
      <c r="Q1315" s="105">
        <f t="shared" si="986"/>
        <v>-0.92952863790519746</v>
      </c>
      <c r="R1315" s="105">
        <f t="shared" si="986"/>
        <v>-0.93163572483482304</v>
      </c>
      <c r="S1315" s="105">
        <f t="shared" si="986"/>
        <v>-0.9317733031320784</v>
      </c>
      <c r="T1315" s="34"/>
      <c r="U1315" s="34"/>
      <c r="V1315" s="34"/>
      <c r="W1315" s="105">
        <f>+W1310/W$835</f>
        <v>-0.92952863790519746</v>
      </c>
      <c r="Y1315" s="390"/>
      <c r="Z1315" s="390"/>
      <c r="AA1315" s="390"/>
      <c r="AB1315" s="390"/>
      <c r="AC1315" s="390"/>
      <c r="AD1315" s="390"/>
      <c r="AE1315" s="390"/>
      <c r="AF1315" s="390"/>
      <c r="AG1315" s="390"/>
      <c r="AH1315" s="390"/>
      <c r="AI1315" s="390"/>
      <c r="AJ1315" s="390"/>
      <c r="AK1315" s="390"/>
      <c r="AL1315" s="390"/>
      <c r="AM1315" s="390"/>
      <c r="AN1315" s="390"/>
      <c r="AO1315" s="390"/>
      <c r="AP1315" s="390"/>
      <c r="AQ1315" s="390"/>
      <c r="AR1315" s="390"/>
      <c r="AS1315" s="390"/>
    </row>
    <row r="1316" spans="2:45" x14ac:dyDescent="0.3">
      <c r="B1316" s="65" t="s">
        <v>107</v>
      </c>
      <c r="C1316" s="66"/>
      <c r="D1316" s="35">
        <f>+D1311/D$836</f>
        <v>-0.91737698511166244</v>
      </c>
      <c r="E1316" s="35">
        <f t="shared" ref="E1316:S1316" si="987">+E1311/E$836</f>
        <v>-0.91612103165651559</v>
      </c>
      <c r="F1316" s="35">
        <f t="shared" si="987"/>
        <v>-0.91675888765294766</v>
      </c>
      <c r="G1316" s="35">
        <f t="shared" si="987"/>
        <v>-0.91538882025470902</v>
      </c>
      <c r="H1316" s="35">
        <f t="shared" si="987"/>
        <v>-0.9179266553480474</v>
      </c>
      <c r="I1316" s="35">
        <f t="shared" si="987"/>
        <v>-0.91916324720990672</v>
      </c>
      <c r="J1316" s="35">
        <f t="shared" si="987"/>
        <v>-0.91837684036393707</v>
      </c>
      <c r="K1316" s="35">
        <f t="shared" si="987"/>
        <v>-0.91651473572618503</v>
      </c>
      <c r="L1316" s="35">
        <f t="shared" si="987"/>
        <v>-0.91739016393442618</v>
      </c>
      <c r="M1316" s="35">
        <f t="shared" si="987"/>
        <v>-0.91799733250620352</v>
      </c>
      <c r="N1316" s="35">
        <f t="shared" si="987"/>
        <v>-0.91854403457323663</v>
      </c>
      <c r="O1316" s="35">
        <f t="shared" si="987"/>
        <v>-0.91775288644856245</v>
      </c>
      <c r="P1316" s="35">
        <f t="shared" si="987"/>
        <v>-0.91588698768895116</v>
      </c>
      <c r="Q1316" s="35">
        <f t="shared" si="987"/>
        <v>-0.91588698768895116</v>
      </c>
      <c r="R1316" s="35">
        <f t="shared" si="987"/>
        <v>-0.91816387096774188</v>
      </c>
      <c r="S1316" s="35">
        <f t="shared" si="987"/>
        <v>-0.91823534496064207</v>
      </c>
      <c r="T1316" s="35"/>
      <c r="U1316" s="35"/>
      <c r="V1316" s="35"/>
      <c r="W1316" s="35">
        <f>+W1311/W$836</f>
        <v>-0.91588698768895116</v>
      </c>
      <c r="Y1316" s="390"/>
      <c r="Z1316" s="390"/>
      <c r="AA1316" s="390"/>
      <c r="AB1316" s="390"/>
      <c r="AC1316" s="390"/>
      <c r="AD1316" s="390"/>
      <c r="AE1316" s="390"/>
      <c r="AF1316" s="390"/>
      <c r="AG1316" s="390"/>
      <c r="AH1316" s="390"/>
      <c r="AI1316" s="390"/>
      <c r="AJ1316" s="390"/>
      <c r="AK1316" s="390"/>
      <c r="AL1316" s="390"/>
      <c r="AM1316" s="390"/>
      <c r="AN1316" s="390"/>
      <c r="AO1316" s="390"/>
      <c r="AP1316" s="390"/>
      <c r="AQ1316" s="390"/>
      <c r="AR1316" s="390"/>
      <c r="AS1316" s="390"/>
    </row>
    <row r="1317" spans="2:45" x14ac:dyDescent="0.3">
      <c r="B1317" s="65" t="s">
        <v>106</v>
      </c>
      <c r="C1317" s="66"/>
      <c r="D1317" s="35">
        <f>+D1312/D$837</f>
        <v>-0.90410647459964744</v>
      </c>
      <c r="E1317" s="35">
        <f t="shared" ref="E1317:S1317" si="988">+E1312/E$837</f>
        <v>-0.9032624944254497</v>
      </c>
      <c r="F1317" s="35">
        <f t="shared" si="988"/>
        <v>-0.90406844574780054</v>
      </c>
      <c r="G1317" s="35">
        <f t="shared" si="988"/>
        <v>-0.90235857702743438</v>
      </c>
      <c r="H1317" s="35">
        <f t="shared" si="988"/>
        <v>-0.90471239228246769</v>
      </c>
      <c r="I1317" s="35">
        <f t="shared" si="988"/>
        <v>-0.90605829115358472</v>
      </c>
      <c r="J1317" s="35">
        <f t="shared" si="988"/>
        <v>-0.9054923145532926</v>
      </c>
      <c r="K1317" s="35">
        <f t="shared" si="988"/>
        <v>-0.90356212858318985</v>
      </c>
      <c r="L1317" s="35">
        <f t="shared" si="988"/>
        <v>-0.90445740740740732</v>
      </c>
      <c r="M1317" s="35">
        <f t="shared" si="988"/>
        <v>-0.904719454447935</v>
      </c>
      <c r="N1317" s="35">
        <f t="shared" si="988"/>
        <v>-0.90532247388088161</v>
      </c>
      <c r="O1317" s="35">
        <f t="shared" si="988"/>
        <v>-0.90469502562556525</v>
      </c>
      <c r="P1317" s="35">
        <f t="shared" si="988"/>
        <v>-0.90257091385018084</v>
      </c>
      <c r="Q1317" s="35">
        <f t="shared" si="988"/>
        <v>-0.90257091385018084</v>
      </c>
      <c r="R1317" s="35">
        <f t="shared" si="988"/>
        <v>-0.90500900189753308</v>
      </c>
      <c r="S1317" s="35">
        <f t="shared" si="988"/>
        <v>-0.9050174330816747</v>
      </c>
      <c r="T1317" s="35"/>
      <c r="U1317" s="35"/>
      <c r="V1317" s="35"/>
      <c r="W1317" s="35">
        <f>+W1312/W$837</f>
        <v>-0.90257091385018084</v>
      </c>
      <c r="Y1317" s="390"/>
      <c r="Z1317" s="390"/>
      <c r="AA1317" s="390"/>
      <c r="AB1317" s="390"/>
      <c r="AC1317" s="390"/>
      <c r="AD1317" s="390"/>
      <c r="AE1317" s="390"/>
      <c r="AF1317" s="390"/>
      <c r="AG1317" s="390"/>
      <c r="AH1317" s="390"/>
      <c r="AI1317" s="390"/>
      <c r="AJ1317" s="390"/>
      <c r="AK1317" s="390"/>
      <c r="AL1317" s="390"/>
      <c r="AM1317" s="390"/>
      <c r="AN1317" s="390"/>
      <c r="AO1317" s="390"/>
      <c r="AP1317" s="390"/>
      <c r="AQ1317" s="390"/>
      <c r="AR1317" s="390"/>
      <c r="AS1317" s="390"/>
    </row>
    <row r="1318" spans="2:45" x14ac:dyDescent="0.3">
      <c r="B1318" s="65" t="s">
        <v>77</v>
      </c>
      <c r="C1318" s="66"/>
      <c r="D1318" s="35">
        <f>+D1313/D$838</f>
        <v>-0.88880006057852479</v>
      </c>
      <c r="E1318" s="35">
        <f t="shared" ref="E1318:S1318" si="989">+E1313/E$838</f>
        <v>-0.88841895804247195</v>
      </c>
      <c r="F1318" s="35">
        <f t="shared" si="989"/>
        <v>-0.88941599130119608</v>
      </c>
      <c r="G1318" s="35">
        <f t="shared" si="989"/>
        <v>-0.88731979438277586</v>
      </c>
      <c r="H1318" s="35">
        <f t="shared" si="989"/>
        <v>-0.88947042508290619</v>
      </c>
      <c r="I1318" s="35">
        <f t="shared" si="989"/>
        <v>-0.89094187574671446</v>
      </c>
      <c r="J1318" s="35">
        <f t="shared" si="989"/>
        <v>-0.8906233815857153</v>
      </c>
      <c r="K1318" s="35">
        <f t="shared" si="989"/>
        <v>-0.88861302160402478</v>
      </c>
      <c r="L1318" s="35">
        <f t="shared" si="989"/>
        <v>-0.88953226544622421</v>
      </c>
      <c r="M1318" s="35">
        <f t="shared" si="989"/>
        <v>-0.88940584582765414</v>
      </c>
      <c r="N1318" s="35">
        <f t="shared" si="989"/>
        <v>-0.89007337955984323</v>
      </c>
      <c r="O1318" s="35">
        <f t="shared" si="989"/>
        <v>-0.88962926320494673</v>
      </c>
      <c r="P1318" s="35">
        <f t="shared" si="989"/>
        <v>-0.88721040779062688</v>
      </c>
      <c r="Q1318" s="35">
        <f t="shared" si="989"/>
        <v>-0.88721040779062688</v>
      </c>
      <c r="R1318" s="35">
        <f t="shared" si="989"/>
        <v>-0.88983447861965481</v>
      </c>
      <c r="S1318" s="35">
        <f t="shared" si="989"/>
        <v>-0.88977190232137471</v>
      </c>
      <c r="T1318" s="35"/>
      <c r="U1318" s="35"/>
      <c r="V1318" s="35"/>
      <c r="W1318" s="35">
        <f>+W1313/W$838</f>
        <v>-0.88721040779062688</v>
      </c>
      <c r="Y1318" s="390"/>
      <c r="Z1318" s="390"/>
      <c r="AA1318" s="390"/>
      <c r="AB1318" s="390"/>
      <c r="AC1318" s="390"/>
      <c r="AD1318" s="390"/>
      <c r="AE1318" s="390"/>
      <c r="AF1318" s="390"/>
      <c r="AG1318" s="390"/>
      <c r="AH1318" s="390"/>
      <c r="AI1318" s="390"/>
      <c r="AJ1318" s="390"/>
      <c r="AK1318" s="390"/>
      <c r="AL1318" s="390"/>
      <c r="AM1318" s="390"/>
      <c r="AN1318" s="390"/>
      <c r="AO1318" s="390"/>
      <c r="AP1318" s="390"/>
      <c r="AQ1318" s="390"/>
      <c r="AR1318" s="390"/>
      <c r="AS1318" s="390"/>
    </row>
    <row r="1319" spans="2:45" x14ac:dyDescent="0.3">
      <c r="B1319" s="65" t="s">
        <v>78</v>
      </c>
      <c r="C1319" s="66"/>
      <c r="D1319" s="35" t="e">
        <f>+D1314/#REF!</f>
        <v>#REF!</v>
      </c>
      <c r="E1319" s="35" t="e">
        <f>+E1314/#REF!</f>
        <v>#REF!</v>
      </c>
      <c r="F1319" s="35" t="e">
        <f>+F1314/#REF!</f>
        <v>#REF!</v>
      </c>
      <c r="G1319" s="35" t="e">
        <f>+G1314/#REF!</f>
        <v>#REF!</v>
      </c>
      <c r="H1319" s="35" t="e">
        <f>+H1314/#REF!</f>
        <v>#REF!</v>
      </c>
      <c r="I1319" s="35" t="e">
        <f>+I1314/#REF!</f>
        <v>#REF!</v>
      </c>
      <c r="J1319" s="35" t="e">
        <f>+J1314/#REF!</f>
        <v>#REF!</v>
      </c>
      <c r="K1319" s="35" t="e">
        <f>+K1314/#REF!</f>
        <v>#REF!</v>
      </c>
      <c r="L1319" s="35" t="e">
        <f>+L1314/#REF!</f>
        <v>#REF!</v>
      </c>
      <c r="M1319" s="35" t="e">
        <f>+M1314/#REF!</f>
        <v>#REF!</v>
      </c>
      <c r="N1319" s="35" t="e">
        <f>+N1314/#REF!</f>
        <v>#REF!</v>
      </c>
      <c r="O1319" s="35" t="e">
        <f>+O1314/#REF!</f>
        <v>#REF!</v>
      </c>
      <c r="P1319" s="35" t="e">
        <f>+P1314/#REF!</f>
        <v>#REF!</v>
      </c>
      <c r="Q1319" s="35" t="e">
        <f>+Q1314/#REF!</f>
        <v>#REF!</v>
      </c>
      <c r="R1319" s="35" t="e">
        <f>+R1314/#REF!</f>
        <v>#REF!</v>
      </c>
      <c r="S1319" s="35" t="e">
        <f>+S1314/#REF!</f>
        <v>#REF!</v>
      </c>
      <c r="T1319" s="35"/>
      <c r="U1319" s="35"/>
      <c r="V1319" s="35"/>
      <c r="W1319" s="35" t="e">
        <f>+W1314/#REF!</f>
        <v>#REF!</v>
      </c>
      <c r="Y1319" s="390"/>
      <c r="Z1319" s="390"/>
      <c r="AA1319" s="390"/>
      <c r="AB1319" s="390"/>
      <c r="AC1319" s="390"/>
      <c r="AD1319" s="390"/>
      <c r="AE1319" s="390"/>
      <c r="AF1319" s="390"/>
      <c r="AG1319" s="390"/>
      <c r="AH1319" s="390"/>
      <c r="AI1319" s="390"/>
      <c r="AJ1319" s="390"/>
      <c r="AK1319" s="390"/>
      <c r="AL1319" s="390"/>
      <c r="AM1319" s="390"/>
      <c r="AN1319" s="390"/>
      <c r="AO1319" s="390"/>
      <c r="AP1319" s="390"/>
      <c r="AQ1319" s="390"/>
      <c r="AR1319" s="390"/>
      <c r="AS1319" s="390"/>
    </row>
    <row r="1320" spans="2:45" ht="21" thickBot="1" x14ac:dyDescent="0.35">
      <c r="Y1320" s="390"/>
      <c r="Z1320" s="390"/>
      <c r="AA1320" s="390"/>
      <c r="AB1320" s="390"/>
      <c r="AC1320" s="390"/>
      <c r="AD1320" s="390"/>
      <c r="AE1320" s="390"/>
      <c r="AF1320" s="390"/>
      <c r="AG1320" s="390"/>
      <c r="AH1320" s="390"/>
      <c r="AI1320" s="390"/>
      <c r="AJ1320" s="390"/>
      <c r="AK1320" s="390"/>
      <c r="AL1320" s="390"/>
      <c r="AM1320" s="390"/>
      <c r="AN1320" s="390"/>
      <c r="AO1320" s="390"/>
      <c r="AP1320" s="390"/>
      <c r="AQ1320" s="390"/>
      <c r="AR1320" s="390"/>
      <c r="AS1320" s="390"/>
    </row>
    <row r="1321" spans="2:45" ht="21" thickBot="1" x14ac:dyDescent="0.35">
      <c r="B1321" s="223"/>
      <c r="C1321" s="68"/>
      <c r="D1321" s="17" t="s">
        <v>5</v>
      </c>
      <c r="E1321" s="18" t="s">
        <v>6</v>
      </c>
      <c r="F1321" s="18" t="s">
        <v>7</v>
      </c>
      <c r="G1321" s="18" t="s">
        <v>8</v>
      </c>
      <c r="H1321" s="18" t="s">
        <v>9</v>
      </c>
      <c r="I1321" s="18" t="s">
        <v>10</v>
      </c>
      <c r="J1321" s="18" t="s">
        <v>11</v>
      </c>
      <c r="K1321" s="18" t="s">
        <v>12</v>
      </c>
      <c r="L1321" s="18" t="s">
        <v>13</v>
      </c>
      <c r="M1321" s="18" t="s">
        <v>14</v>
      </c>
      <c r="N1321" s="18" t="s">
        <v>15</v>
      </c>
      <c r="O1321" s="18" t="s">
        <v>16</v>
      </c>
      <c r="P1321" s="18" t="s">
        <v>17</v>
      </c>
      <c r="Q1321" s="18" t="s">
        <v>18</v>
      </c>
      <c r="R1321" s="18" t="s">
        <v>19</v>
      </c>
      <c r="S1321" s="18" t="s">
        <v>20</v>
      </c>
      <c r="T1321" s="18" t="s">
        <v>21</v>
      </c>
      <c r="U1321" s="18" t="s">
        <v>22</v>
      </c>
      <c r="V1321" s="18" t="s">
        <v>23</v>
      </c>
      <c r="W1321" s="18" t="s">
        <v>166</v>
      </c>
      <c r="Y1321" s="390"/>
      <c r="Z1321" s="390"/>
      <c r="AA1321" s="390"/>
      <c r="AB1321" s="390"/>
      <c r="AC1321" s="390"/>
      <c r="AD1321" s="390"/>
      <c r="AE1321" s="390"/>
      <c r="AF1321" s="390"/>
      <c r="AG1321" s="390"/>
      <c r="AH1321" s="390"/>
      <c r="AI1321" s="390"/>
      <c r="AJ1321" s="390"/>
      <c r="AK1321" s="390"/>
      <c r="AL1321" s="390"/>
      <c r="AM1321" s="390"/>
      <c r="AN1321" s="390"/>
      <c r="AO1321" s="390"/>
      <c r="AP1321" s="390"/>
      <c r="AQ1321" s="390"/>
      <c r="AR1321" s="390"/>
      <c r="AS1321" s="390"/>
    </row>
    <row r="1322" spans="2:45" x14ac:dyDescent="0.3">
      <c r="B1322" s="222" t="s">
        <v>50</v>
      </c>
      <c r="C1322" s="70"/>
      <c r="D1322" s="20"/>
      <c r="E1322" s="20"/>
      <c r="F1322" s="20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Y1322" s="390"/>
      <c r="Z1322" s="390"/>
      <c r="AA1322" s="390"/>
      <c r="AB1322" s="390"/>
      <c r="AC1322" s="390"/>
      <c r="AD1322" s="390"/>
      <c r="AE1322" s="390"/>
      <c r="AF1322" s="390"/>
      <c r="AG1322" s="390"/>
      <c r="AH1322" s="390"/>
      <c r="AI1322" s="390"/>
      <c r="AJ1322" s="390"/>
      <c r="AK1322" s="390"/>
      <c r="AL1322" s="390"/>
      <c r="AM1322" s="390"/>
      <c r="AN1322" s="390"/>
      <c r="AO1322" s="390"/>
      <c r="AP1322" s="390"/>
      <c r="AQ1322" s="390"/>
      <c r="AR1322" s="390"/>
      <c r="AS1322" s="390"/>
    </row>
    <row r="1323" spans="2:45" x14ac:dyDescent="0.3">
      <c r="B1323" s="54" t="s">
        <v>51</v>
      </c>
      <c r="C1323" s="55"/>
      <c r="D1323" s="322"/>
      <c r="E1323" s="322"/>
      <c r="F1323" s="322"/>
      <c r="G1323" s="322"/>
      <c r="H1323" s="322"/>
      <c r="I1323" s="322"/>
      <c r="J1323" s="322"/>
      <c r="K1323" s="322"/>
      <c r="L1323" s="322"/>
      <c r="M1323" s="322"/>
      <c r="N1323" s="322"/>
      <c r="O1323" s="322"/>
      <c r="P1323" s="322"/>
      <c r="Q1323" s="322"/>
      <c r="R1323" s="322"/>
      <c r="S1323" s="322"/>
      <c r="T1323" s="218"/>
      <c r="U1323" s="218"/>
      <c r="V1323" s="218"/>
      <c r="W1323" s="322"/>
      <c r="Y1323" s="390"/>
      <c r="Z1323" s="390"/>
      <c r="AA1323" s="390"/>
      <c r="AB1323" s="390"/>
      <c r="AC1323" s="390"/>
      <c r="AD1323" s="390"/>
      <c r="AE1323" s="390"/>
      <c r="AF1323" s="390"/>
      <c r="AG1323" s="390"/>
      <c r="AH1323" s="390"/>
      <c r="AI1323" s="390"/>
      <c r="AJ1323" s="390"/>
      <c r="AK1323" s="390"/>
      <c r="AL1323" s="390"/>
      <c r="AM1323" s="390"/>
      <c r="AN1323" s="390"/>
      <c r="AO1323" s="390"/>
      <c r="AP1323" s="390"/>
      <c r="AQ1323" s="390"/>
      <c r="AR1323" s="390"/>
      <c r="AS1323" s="390"/>
    </row>
    <row r="1324" spans="2:45" x14ac:dyDescent="0.3">
      <c r="B1324" s="54" t="s">
        <v>56</v>
      </c>
      <c r="C1324" s="55"/>
      <c r="D1324" s="21"/>
      <c r="E1324" s="21"/>
      <c r="F1324" s="21"/>
      <c r="G1324" s="21"/>
      <c r="H1324" s="21"/>
      <c r="I1324" s="21"/>
      <c r="J1324" s="21"/>
      <c r="K1324" s="21"/>
      <c r="L1324" s="21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Y1324" s="390"/>
      <c r="Z1324" s="390"/>
      <c r="AA1324" s="390"/>
      <c r="AB1324" s="390"/>
      <c r="AC1324" s="390"/>
      <c r="AD1324" s="390"/>
      <c r="AE1324" s="390"/>
      <c r="AF1324" s="390"/>
      <c r="AG1324" s="390"/>
      <c r="AH1324" s="390"/>
      <c r="AI1324" s="390"/>
      <c r="AJ1324" s="390"/>
      <c r="AK1324" s="390"/>
      <c r="AL1324" s="390"/>
      <c r="AM1324" s="390"/>
      <c r="AN1324" s="390"/>
      <c r="AO1324" s="390"/>
      <c r="AP1324" s="390"/>
      <c r="AQ1324" s="390"/>
      <c r="AR1324" s="390"/>
      <c r="AS1324" s="390"/>
    </row>
    <row r="1325" spans="2:45" x14ac:dyDescent="0.3">
      <c r="B1325" s="177" t="s">
        <v>67</v>
      </c>
      <c r="C1325" s="178"/>
      <c r="D1325" s="323"/>
      <c r="E1325" s="323"/>
      <c r="F1325" s="323"/>
      <c r="G1325" s="323"/>
      <c r="H1325" s="323"/>
      <c r="I1325" s="323"/>
      <c r="J1325" s="323"/>
      <c r="K1325" s="323"/>
      <c r="L1325" s="323"/>
      <c r="M1325" s="323"/>
      <c r="N1325" s="323"/>
      <c r="O1325" s="323"/>
      <c r="P1325" s="323"/>
      <c r="Q1325" s="323"/>
      <c r="R1325" s="323"/>
      <c r="S1325" s="323"/>
      <c r="T1325" s="323"/>
      <c r="U1325" s="323"/>
      <c r="V1325" s="323"/>
      <c r="W1325" s="323"/>
      <c r="Y1325" s="390"/>
      <c r="Z1325" s="390"/>
      <c r="AA1325" s="390"/>
      <c r="AB1325" s="390"/>
      <c r="AC1325" s="390"/>
      <c r="AD1325" s="390"/>
      <c r="AE1325" s="390"/>
      <c r="AF1325" s="390"/>
      <c r="AG1325" s="390"/>
      <c r="AH1325" s="390"/>
      <c r="AI1325" s="390"/>
      <c r="AJ1325" s="390"/>
      <c r="AK1325" s="390"/>
      <c r="AL1325" s="390"/>
      <c r="AM1325" s="390"/>
      <c r="AN1325" s="390"/>
      <c r="AO1325" s="390"/>
      <c r="AP1325" s="390"/>
      <c r="AQ1325" s="390"/>
      <c r="AR1325" s="390"/>
      <c r="AS1325" s="390"/>
    </row>
    <row r="1326" spans="2:45" x14ac:dyDescent="0.3">
      <c r="B1326" s="54" t="s">
        <v>66</v>
      </c>
      <c r="C1326" s="56">
        <v>7.0000000000000007E-2</v>
      </c>
      <c r="D1326" s="24">
        <f>D1325*$C1326</f>
        <v>0</v>
      </c>
      <c r="E1326" s="24">
        <f t="shared" ref="E1326:W1326" si="990">E1325*$C1326</f>
        <v>0</v>
      </c>
      <c r="F1326" s="24">
        <f t="shared" si="990"/>
        <v>0</v>
      </c>
      <c r="G1326" s="24">
        <f t="shared" si="990"/>
        <v>0</v>
      </c>
      <c r="H1326" s="24">
        <f t="shared" si="990"/>
        <v>0</v>
      </c>
      <c r="I1326" s="24">
        <f t="shared" si="990"/>
        <v>0</v>
      </c>
      <c r="J1326" s="24">
        <f t="shared" si="990"/>
        <v>0</v>
      </c>
      <c r="K1326" s="24">
        <f t="shared" si="990"/>
        <v>0</v>
      </c>
      <c r="L1326" s="24">
        <f t="shared" si="990"/>
        <v>0</v>
      </c>
      <c r="M1326" s="24">
        <f t="shared" si="990"/>
        <v>0</v>
      </c>
      <c r="N1326" s="24">
        <f t="shared" si="990"/>
        <v>0</v>
      </c>
      <c r="O1326" s="24">
        <f t="shared" si="990"/>
        <v>0</v>
      </c>
      <c r="P1326" s="24">
        <f t="shared" si="990"/>
        <v>0</v>
      </c>
      <c r="Q1326" s="24">
        <f t="shared" si="990"/>
        <v>0</v>
      </c>
      <c r="R1326" s="24">
        <f t="shared" si="990"/>
        <v>0</v>
      </c>
      <c r="S1326" s="24">
        <f t="shared" si="990"/>
        <v>0</v>
      </c>
      <c r="T1326" s="24">
        <f t="shared" si="990"/>
        <v>0</v>
      </c>
      <c r="U1326" s="24">
        <f t="shared" si="990"/>
        <v>0</v>
      </c>
      <c r="V1326" s="24">
        <f t="shared" si="990"/>
        <v>0</v>
      </c>
      <c r="W1326" s="24">
        <f t="shared" si="990"/>
        <v>0</v>
      </c>
      <c r="Y1326" s="390"/>
      <c r="Z1326" s="390"/>
      <c r="AA1326" s="390"/>
      <c r="AB1326" s="390"/>
      <c r="AC1326" s="390"/>
      <c r="AD1326" s="390"/>
      <c r="AE1326" s="390"/>
      <c r="AF1326" s="390"/>
      <c r="AG1326" s="390"/>
      <c r="AH1326" s="390"/>
      <c r="AI1326" s="390"/>
      <c r="AJ1326" s="390"/>
      <c r="AK1326" s="390"/>
      <c r="AL1326" s="390"/>
      <c r="AM1326" s="390"/>
      <c r="AN1326" s="390"/>
      <c r="AO1326" s="390"/>
      <c r="AP1326" s="390"/>
      <c r="AQ1326" s="390"/>
      <c r="AR1326" s="390"/>
      <c r="AS1326" s="390"/>
    </row>
    <row r="1327" spans="2:45" x14ac:dyDescent="0.3">
      <c r="B1327" s="54" t="s">
        <v>68</v>
      </c>
      <c r="C1327" s="55"/>
      <c r="D1327" s="21">
        <f>D1325+D1326</f>
        <v>0</v>
      </c>
      <c r="E1327" s="21">
        <f t="shared" ref="E1327:W1327" si="991">E1325+E1326</f>
        <v>0</v>
      </c>
      <c r="F1327" s="21">
        <f t="shared" si="991"/>
        <v>0</v>
      </c>
      <c r="G1327" s="21">
        <f t="shared" si="991"/>
        <v>0</v>
      </c>
      <c r="H1327" s="21">
        <f t="shared" si="991"/>
        <v>0</v>
      </c>
      <c r="I1327" s="21">
        <f t="shared" si="991"/>
        <v>0</v>
      </c>
      <c r="J1327" s="21">
        <f t="shared" si="991"/>
        <v>0</v>
      </c>
      <c r="K1327" s="21">
        <f t="shared" si="991"/>
        <v>0</v>
      </c>
      <c r="L1327" s="21">
        <f t="shared" si="991"/>
        <v>0</v>
      </c>
      <c r="M1327" s="21">
        <f t="shared" si="991"/>
        <v>0</v>
      </c>
      <c r="N1327" s="21">
        <f t="shared" si="991"/>
        <v>0</v>
      </c>
      <c r="O1327" s="21">
        <f t="shared" si="991"/>
        <v>0</v>
      </c>
      <c r="P1327" s="21">
        <f t="shared" si="991"/>
        <v>0</v>
      </c>
      <c r="Q1327" s="21">
        <f t="shared" si="991"/>
        <v>0</v>
      </c>
      <c r="R1327" s="21">
        <f t="shared" si="991"/>
        <v>0</v>
      </c>
      <c r="S1327" s="21">
        <f t="shared" si="991"/>
        <v>0</v>
      </c>
      <c r="T1327" s="21">
        <f t="shared" si="991"/>
        <v>0</v>
      </c>
      <c r="U1327" s="21">
        <f t="shared" si="991"/>
        <v>0</v>
      </c>
      <c r="V1327" s="21">
        <f t="shared" si="991"/>
        <v>0</v>
      </c>
      <c r="W1327" s="21">
        <f t="shared" si="991"/>
        <v>0</v>
      </c>
      <c r="Y1327" s="390"/>
      <c r="Z1327" s="390"/>
      <c r="AA1327" s="390"/>
      <c r="AB1327" s="390"/>
      <c r="AC1327" s="390"/>
      <c r="AD1327" s="390"/>
      <c r="AE1327" s="390"/>
      <c r="AF1327" s="390"/>
      <c r="AG1327" s="390"/>
      <c r="AH1327" s="390"/>
      <c r="AI1327" s="390"/>
      <c r="AJ1327" s="390"/>
      <c r="AK1327" s="390"/>
      <c r="AL1327" s="390"/>
      <c r="AM1327" s="390"/>
      <c r="AN1327" s="390"/>
      <c r="AO1327" s="390"/>
      <c r="AP1327" s="390"/>
      <c r="AQ1327" s="390"/>
      <c r="AR1327" s="390"/>
      <c r="AS1327" s="390"/>
    </row>
    <row r="1328" spans="2:45" x14ac:dyDescent="0.3">
      <c r="B1328" s="54" t="s">
        <v>52</v>
      </c>
      <c r="C1328" s="55"/>
      <c r="D1328" s="20">
        <v>0.85000000000000009</v>
      </c>
      <c r="E1328" s="21">
        <v>1.7</v>
      </c>
      <c r="F1328" s="21">
        <v>2.0500000000000003</v>
      </c>
      <c r="G1328" s="21">
        <v>1.1499999999999999</v>
      </c>
      <c r="H1328" s="21">
        <v>0.98</v>
      </c>
      <c r="I1328" s="21">
        <v>0.98</v>
      </c>
      <c r="J1328" s="21">
        <v>1.5999999999999999</v>
      </c>
      <c r="K1328" s="21">
        <v>1.45</v>
      </c>
      <c r="L1328" s="21">
        <v>1.45</v>
      </c>
      <c r="M1328" s="21">
        <v>0.7</v>
      </c>
      <c r="N1328" s="21">
        <v>0.82000000000000006</v>
      </c>
      <c r="O1328" s="21">
        <v>0.98</v>
      </c>
      <c r="P1328" s="21">
        <v>0.59000000000000008</v>
      </c>
      <c r="Q1328" s="21">
        <v>0.59000000000000008</v>
      </c>
      <c r="R1328" s="21">
        <v>0.98</v>
      </c>
      <c r="S1328" s="21">
        <v>0.85000000000000009</v>
      </c>
      <c r="T1328" s="21">
        <v>6.7</v>
      </c>
      <c r="U1328" s="21">
        <v>11.2</v>
      </c>
      <c r="V1328" s="21">
        <v>6.7</v>
      </c>
      <c r="W1328" s="21">
        <v>0.59000000000000008</v>
      </c>
      <c r="Y1328" s="390"/>
      <c r="Z1328" s="390"/>
      <c r="AA1328" s="390"/>
      <c r="AB1328" s="390"/>
      <c r="AC1328" s="390"/>
      <c r="AD1328" s="390"/>
      <c r="AE1328" s="390"/>
      <c r="AF1328" s="390"/>
      <c r="AG1328" s="390"/>
      <c r="AH1328" s="390"/>
      <c r="AI1328" s="390"/>
      <c r="AJ1328" s="390"/>
      <c r="AK1328" s="390"/>
      <c r="AL1328" s="390"/>
      <c r="AM1328" s="390"/>
      <c r="AN1328" s="390"/>
      <c r="AO1328" s="390"/>
      <c r="AP1328" s="390"/>
      <c r="AQ1328" s="390"/>
      <c r="AR1328" s="390"/>
      <c r="AS1328" s="390"/>
    </row>
    <row r="1329" spans="2:45" x14ac:dyDescent="0.3">
      <c r="B1329" s="57" t="s">
        <v>53</v>
      </c>
      <c r="C1329" s="58"/>
      <c r="D1329" s="25">
        <f>SUM(D1327:D1328)</f>
        <v>0.85000000000000009</v>
      </c>
      <c r="E1329" s="26">
        <f t="shared" ref="E1329:W1329" si="992">SUM(E1327:E1328)</f>
        <v>1.7</v>
      </c>
      <c r="F1329" s="26">
        <f t="shared" si="992"/>
        <v>2.0500000000000003</v>
      </c>
      <c r="G1329" s="26">
        <f t="shared" si="992"/>
        <v>1.1499999999999999</v>
      </c>
      <c r="H1329" s="26">
        <f t="shared" si="992"/>
        <v>0.98</v>
      </c>
      <c r="I1329" s="26">
        <f t="shared" si="992"/>
        <v>0.98</v>
      </c>
      <c r="J1329" s="26">
        <f t="shared" si="992"/>
        <v>1.5999999999999999</v>
      </c>
      <c r="K1329" s="26">
        <f t="shared" si="992"/>
        <v>1.45</v>
      </c>
      <c r="L1329" s="26">
        <f t="shared" si="992"/>
        <v>1.45</v>
      </c>
      <c r="M1329" s="26">
        <f t="shared" si="992"/>
        <v>0.7</v>
      </c>
      <c r="N1329" s="26">
        <f t="shared" si="992"/>
        <v>0.82000000000000006</v>
      </c>
      <c r="O1329" s="26">
        <f t="shared" si="992"/>
        <v>0.98</v>
      </c>
      <c r="P1329" s="26">
        <f t="shared" si="992"/>
        <v>0.59000000000000008</v>
      </c>
      <c r="Q1329" s="26">
        <f t="shared" si="992"/>
        <v>0.59000000000000008</v>
      </c>
      <c r="R1329" s="26">
        <f t="shared" si="992"/>
        <v>0.98</v>
      </c>
      <c r="S1329" s="26">
        <f t="shared" si="992"/>
        <v>0.85000000000000009</v>
      </c>
      <c r="T1329" s="26">
        <f t="shared" si="992"/>
        <v>6.7</v>
      </c>
      <c r="U1329" s="26">
        <f t="shared" si="992"/>
        <v>11.2</v>
      </c>
      <c r="V1329" s="26">
        <f t="shared" si="992"/>
        <v>6.7</v>
      </c>
      <c r="W1329" s="26">
        <f t="shared" si="992"/>
        <v>0.59000000000000008</v>
      </c>
      <c r="Y1329" s="390"/>
      <c r="Z1329" s="390"/>
      <c r="AA1329" s="390"/>
      <c r="AB1329" s="390"/>
      <c r="AC1329" s="390"/>
      <c r="AD1329" s="390"/>
      <c r="AE1329" s="390"/>
      <c r="AF1329" s="390"/>
      <c r="AG1329" s="390"/>
      <c r="AH1329" s="390"/>
      <c r="AI1329" s="390"/>
      <c r="AJ1329" s="390"/>
      <c r="AK1329" s="390"/>
      <c r="AL1329" s="390"/>
      <c r="AM1329" s="390"/>
      <c r="AN1329" s="390"/>
      <c r="AO1329" s="390"/>
      <c r="AP1329" s="390"/>
      <c r="AQ1329" s="390"/>
      <c r="AR1329" s="390"/>
      <c r="AS1329" s="390"/>
    </row>
    <row r="1330" spans="2:45" x14ac:dyDescent="0.3">
      <c r="B1330" s="54" t="s">
        <v>54</v>
      </c>
      <c r="C1330" s="55"/>
      <c r="D1330" s="20"/>
      <c r="E1330" s="21"/>
      <c r="F1330" s="21"/>
      <c r="G1330" s="21"/>
      <c r="H1330" s="21"/>
      <c r="I1330" s="21"/>
      <c r="J1330" s="21"/>
      <c r="K1330" s="21"/>
      <c r="L1330" s="21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Y1330" s="390"/>
      <c r="Z1330" s="390"/>
      <c r="AA1330" s="390"/>
      <c r="AB1330" s="390"/>
      <c r="AC1330" s="390"/>
      <c r="AD1330" s="390"/>
      <c r="AE1330" s="390"/>
      <c r="AF1330" s="390"/>
      <c r="AG1330" s="390"/>
      <c r="AH1330" s="390"/>
      <c r="AI1330" s="390"/>
      <c r="AJ1330" s="390"/>
      <c r="AK1330" s="390"/>
      <c r="AL1330" s="390"/>
      <c r="AM1330" s="390"/>
      <c r="AN1330" s="390"/>
      <c r="AO1330" s="390"/>
      <c r="AP1330" s="390"/>
      <c r="AQ1330" s="390"/>
      <c r="AR1330" s="390"/>
      <c r="AS1330" s="390"/>
    </row>
    <row r="1331" spans="2:45" x14ac:dyDescent="0.3">
      <c r="B1331" s="59" t="s">
        <v>55</v>
      </c>
      <c r="C1331" s="60"/>
      <c r="D1331" s="27">
        <f>SUM(D1329:D1330)</f>
        <v>0.85000000000000009</v>
      </c>
      <c r="E1331" s="41">
        <f t="shared" ref="E1331:W1331" si="993">SUM(E1329:E1330)</f>
        <v>1.7</v>
      </c>
      <c r="F1331" s="41">
        <f t="shared" si="993"/>
        <v>2.0500000000000003</v>
      </c>
      <c r="G1331" s="41">
        <f t="shared" si="993"/>
        <v>1.1499999999999999</v>
      </c>
      <c r="H1331" s="41">
        <f t="shared" si="993"/>
        <v>0.98</v>
      </c>
      <c r="I1331" s="41">
        <f t="shared" si="993"/>
        <v>0.98</v>
      </c>
      <c r="J1331" s="41">
        <f t="shared" si="993"/>
        <v>1.5999999999999999</v>
      </c>
      <c r="K1331" s="41">
        <f t="shared" si="993"/>
        <v>1.45</v>
      </c>
      <c r="L1331" s="41">
        <f t="shared" si="993"/>
        <v>1.45</v>
      </c>
      <c r="M1331" s="41">
        <f t="shared" si="993"/>
        <v>0.7</v>
      </c>
      <c r="N1331" s="41">
        <f t="shared" si="993"/>
        <v>0.82000000000000006</v>
      </c>
      <c r="O1331" s="41">
        <f t="shared" si="993"/>
        <v>0.98</v>
      </c>
      <c r="P1331" s="41">
        <f t="shared" si="993"/>
        <v>0.59000000000000008</v>
      </c>
      <c r="Q1331" s="41">
        <f t="shared" si="993"/>
        <v>0.59000000000000008</v>
      </c>
      <c r="R1331" s="41">
        <f t="shared" si="993"/>
        <v>0.98</v>
      </c>
      <c r="S1331" s="41">
        <f t="shared" si="993"/>
        <v>0.85000000000000009</v>
      </c>
      <c r="T1331" s="41">
        <f t="shared" si="993"/>
        <v>6.7</v>
      </c>
      <c r="U1331" s="41">
        <f t="shared" si="993"/>
        <v>11.2</v>
      </c>
      <c r="V1331" s="41">
        <f t="shared" si="993"/>
        <v>6.7</v>
      </c>
      <c r="W1331" s="41">
        <f t="shared" si="993"/>
        <v>0.59000000000000008</v>
      </c>
      <c r="Y1331" s="390"/>
      <c r="Z1331" s="390"/>
      <c r="AA1331" s="390"/>
      <c r="AB1331" s="390"/>
      <c r="AC1331" s="390"/>
      <c r="AD1331" s="390"/>
      <c r="AE1331" s="390"/>
      <c r="AF1331" s="390"/>
      <c r="AG1331" s="390"/>
      <c r="AH1331" s="390"/>
      <c r="AI1331" s="390"/>
      <c r="AJ1331" s="390"/>
      <c r="AK1331" s="390"/>
      <c r="AL1331" s="390"/>
      <c r="AM1331" s="390"/>
      <c r="AN1331" s="390"/>
      <c r="AO1331" s="390"/>
      <c r="AP1331" s="390"/>
      <c r="AQ1331" s="390"/>
      <c r="AR1331" s="390"/>
      <c r="AS1331" s="390"/>
    </row>
    <row r="1332" spans="2:45" x14ac:dyDescent="0.3">
      <c r="B1332" s="61" t="s">
        <v>101</v>
      </c>
      <c r="C1332" s="55"/>
      <c r="D1332" s="228">
        <f>D1333-1</f>
        <v>3</v>
      </c>
      <c r="E1332" s="229">
        <f t="shared" ref="E1332:S1332" si="994">E1333-1</f>
        <v>4</v>
      </c>
      <c r="F1332" s="229">
        <f t="shared" si="994"/>
        <v>5</v>
      </c>
      <c r="G1332" s="229">
        <f t="shared" si="994"/>
        <v>4</v>
      </c>
      <c r="H1332" s="229">
        <f t="shared" si="994"/>
        <v>3</v>
      </c>
      <c r="I1332" s="229">
        <f t="shared" si="994"/>
        <v>3</v>
      </c>
      <c r="J1332" s="229">
        <f t="shared" si="994"/>
        <v>4</v>
      </c>
      <c r="K1332" s="229">
        <f t="shared" si="994"/>
        <v>4</v>
      </c>
      <c r="L1332" s="229">
        <f t="shared" si="994"/>
        <v>4</v>
      </c>
      <c r="M1332" s="229">
        <f t="shared" si="994"/>
        <v>3</v>
      </c>
      <c r="N1332" s="229">
        <f t="shared" si="994"/>
        <v>3</v>
      </c>
      <c r="O1332" s="229">
        <f t="shared" si="994"/>
        <v>3</v>
      </c>
      <c r="P1332" s="229">
        <f t="shared" si="994"/>
        <v>3</v>
      </c>
      <c r="Q1332" s="229">
        <f t="shared" si="994"/>
        <v>3</v>
      </c>
      <c r="R1332" s="229">
        <f t="shared" si="994"/>
        <v>3</v>
      </c>
      <c r="S1332" s="229">
        <f t="shared" si="994"/>
        <v>3</v>
      </c>
      <c r="T1332" s="21"/>
      <c r="U1332" s="21"/>
      <c r="V1332" s="21"/>
      <c r="W1332" s="229">
        <f>W1333-1</f>
        <v>3</v>
      </c>
      <c r="Y1332" s="390"/>
      <c r="Z1332" s="390"/>
      <c r="AA1332" s="390"/>
      <c r="AB1332" s="390"/>
      <c r="AC1332" s="390"/>
      <c r="AD1332" s="390"/>
      <c r="AE1332" s="390"/>
      <c r="AF1332" s="390"/>
      <c r="AG1332" s="390"/>
      <c r="AH1332" s="390"/>
      <c r="AI1332" s="390"/>
      <c r="AJ1332" s="390"/>
      <c r="AK1332" s="390"/>
      <c r="AL1332" s="390"/>
      <c r="AM1332" s="390"/>
      <c r="AN1332" s="390"/>
      <c r="AO1332" s="390"/>
      <c r="AP1332" s="390"/>
      <c r="AQ1332" s="390"/>
      <c r="AR1332" s="390"/>
      <c r="AS1332" s="390"/>
    </row>
    <row r="1333" spans="2:45" x14ac:dyDescent="0.3">
      <c r="B1333" s="61" t="s">
        <v>194</v>
      </c>
      <c r="C1333" s="62"/>
      <c r="D1333" s="28">
        <f>ROUNDUP((D1331+3),0)</f>
        <v>4</v>
      </c>
      <c r="E1333" s="28">
        <f t="shared" ref="E1333:S1333" si="995">ROUNDUP((E1331+3),0)</f>
        <v>5</v>
      </c>
      <c r="F1333" s="28">
        <f t="shared" si="995"/>
        <v>6</v>
      </c>
      <c r="G1333" s="28">
        <f t="shared" si="995"/>
        <v>5</v>
      </c>
      <c r="H1333" s="28">
        <f t="shared" si="995"/>
        <v>4</v>
      </c>
      <c r="I1333" s="28">
        <f t="shared" si="995"/>
        <v>4</v>
      </c>
      <c r="J1333" s="28">
        <f t="shared" si="995"/>
        <v>5</v>
      </c>
      <c r="K1333" s="28">
        <f t="shared" si="995"/>
        <v>5</v>
      </c>
      <c r="L1333" s="28">
        <f t="shared" si="995"/>
        <v>5</v>
      </c>
      <c r="M1333" s="28">
        <f t="shared" si="995"/>
        <v>4</v>
      </c>
      <c r="N1333" s="28">
        <f t="shared" si="995"/>
        <v>4</v>
      </c>
      <c r="O1333" s="28">
        <f t="shared" si="995"/>
        <v>4</v>
      </c>
      <c r="P1333" s="28">
        <f t="shared" si="995"/>
        <v>4</v>
      </c>
      <c r="Q1333" s="28">
        <f t="shared" si="995"/>
        <v>4</v>
      </c>
      <c r="R1333" s="28">
        <f t="shared" si="995"/>
        <v>4</v>
      </c>
      <c r="S1333" s="28">
        <f t="shared" si="995"/>
        <v>4</v>
      </c>
      <c r="T1333" s="29"/>
      <c r="U1333" s="29"/>
      <c r="V1333" s="29"/>
      <c r="W1333" s="28">
        <f>ROUNDUP((W1331+3),0)</f>
        <v>4</v>
      </c>
      <c r="Y1333" s="390"/>
      <c r="Z1333" s="390"/>
      <c r="AA1333" s="390"/>
      <c r="AB1333" s="390"/>
      <c r="AC1333" s="390"/>
      <c r="AD1333" s="390"/>
      <c r="AE1333" s="390"/>
      <c r="AF1333" s="390"/>
      <c r="AG1333" s="390"/>
      <c r="AH1333" s="390"/>
      <c r="AI1333" s="390"/>
      <c r="AJ1333" s="390"/>
      <c r="AK1333" s="390"/>
      <c r="AL1333" s="390"/>
      <c r="AM1333" s="390"/>
      <c r="AN1333" s="390"/>
      <c r="AO1333" s="390"/>
      <c r="AP1333" s="390"/>
      <c r="AQ1333" s="390"/>
      <c r="AR1333" s="390"/>
      <c r="AS1333" s="390"/>
    </row>
    <row r="1334" spans="2:45" x14ac:dyDescent="0.3">
      <c r="B1334" s="61" t="s">
        <v>195</v>
      </c>
      <c r="C1334" s="62"/>
      <c r="D1334" s="28">
        <f>ROUNDUP((D1331+4),0)</f>
        <v>5</v>
      </c>
      <c r="E1334" s="28">
        <f t="shared" ref="E1334:S1334" si="996">ROUNDUP((E1331+4),0)</f>
        <v>6</v>
      </c>
      <c r="F1334" s="28">
        <f t="shared" si="996"/>
        <v>7</v>
      </c>
      <c r="G1334" s="28">
        <f t="shared" si="996"/>
        <v>6</v>
      </c>
      <c r="H1334" s="28">
        <f t="shared" si="996"/>
        <v>5</v>
      </c>
      <c r="I1334" s="28">
        <f t="shared" si="996"/>
        <v>5</v>
      </c>
      <c r="J1334" s="28">
        <f t="shared" si="996"/>
        <v>6</v>
      </c>
      <c r="K1334" s="28">
        <f t="shared" si="996"/>
        <v>6</v>
      </c>
      <c r="L1334" s="28">
        <f t="shared" si="996"/>
        <v>6</v>
      </c>
      <c r="M1334" s="28">
        <f t="shared" si="996"/>
        <v>5</v>
      </c>
      <c r="N1334" s="28">
        <f t="shared" si="996"/>
        <v>5</v>
      </c>
      <c r="O1334" s="28">
        <f t="shared" si="996"/>
        <v>5</v>
      </c>
      <c r="P1334" s="28">
        <f t="shared" si="996"/>
        <v>5</v>
      </c>
      <c r="Q1334" s="28">
        <f t="shared" si="996"/>
        <v>5</v>
      </c>
      <c r="R1334" s="28">
        <f t="shared" si="996"/>
        <v>5</v>
      </c>
      <c r="S1334" s="28">
        <f t="shared" si="996"/>
        <v>5</v>
      </c>
      <c r="T1334" s="29"/>
      <c r="U1334" s="29"/>
      <c r="V1334" s="29"/>
      <c r="W1334" s="28">
        <f>ROUNDUP((W1331+4),0)</f>
        <v>5</v>
      </c>
      <c r="Y1334" s="390"/>
      <c r="Z1334" s="390"/>
      <c r="AA1334" s="390"/>
      <c r="AB1334" s="390"/>
      <c r="AC1334" s="390"/>
      <c r="AD1334" s="390"/>
      <c r="AE1334" s="390"/>
      <c r="AF1334" s="390"/>
      <c r="AG1334" s="390"/>
      <c r="AH1334" s="390"/>
      <c r="AI1334" s="390"/>
      <c r="AJ1334" s="390"/>
      <c r="AK1334" s="390"/>
      <c r="AL1334" s="390"/>
      <c r="AM1334" s="390"/>
      <c r="AN1334" s="390"/>
      <c r="AO1334" s="390"/>
      <c r="AP1334" s="390"/>
      <c r="AQ1334" s="390"/>
      <c r="AR1334" s="390"/>
      <c r="AS1334" s="390"/>
    </row>
    <row r="1335" spans="2:45" x14ac:dyDescent="0.3">
      <c r="B1335" s="61" t="s">
        <v>196</v>
      </c>
      <c r="C1335" s="62"/>
      <c r="D1335" s="28">
        <f>ROUNDUP((D1331+6),0)</f>
        <v>7</v>
      </c>
      <c r="E1335" s="28">
        <f t="shared" ref="E1335:S1335" si="997">ROUNDUP((E1331+6),0)</f>
        <v>8</v>
      </c>
      <c r="F1335" s="28">
        <f t="shared" si="997"/>
        <v>9</v>
      </c>
      <c r="G1335" s="28">
        <f t="shared" si="997"/>
        <v>8</v>
      </c>
      <c r="H1335" s="28">
        <f t="shared" si="997"/>
        <v>7</v>
      </c>
      <c r="I1335" s="28">
        <f t="shared" si="997"/>
        <v>7</v>
      </c>
      <c r="J1335" s="28">
        <f t="shared" si="997"/>
        <v>8</v>
      </c>
      <c r="K1335" s="28">
        <f t="shared" si="997"/>
        <v>8</v>
      </c>
      <c r="L1335" s="28">
        <f t="shared" si="997"/>
        <v>8</v>
      </c>
      <c r="M1335" s="28">
        <f t="shared" si="997"/>
        <v>7</v>
      </c>
      <c r="N1335" s="28">
        <f t="shared" si="997"/>
        <v>7</v>
      </c>
      <c r="O1335" s="28">
        <f t="shared" si="997"/>
        <v>7</v>
      </c>
      <c r="P1335" s="28">
        <f t="shared" si="997"/>
        <v>7</v>
      </c>
      <c r="Q1335" s="28">
        <f t="shared" si="997"/>
        <v>7</v>
      </c>
      <c r="R1335" s="28">
        <f t="shared" si="997"/>
        <v>7</v>
      </c>
      <c r="S1335" s="28">
        <f t="shared" si="997"/>
        <v>7</v>
      </c>
      <c r="T1335" s="29"/>
      <c r="U1335" s="29"/>
      <c r="V1335" s="29"/>
      <c r="W1335" s="28">
        <f>ROUNDUP((W1331+6),0)</f>
        <v>7</v>
      </c>
      <c r="Y1335" s="390"/>
      <c r="Z1335" s="390"/>
      <c r="AA1335" s="390"/>
      <c r="AB1335" s="390"/>
      <c r="AC1335" s="390"/>
      <c r="AD1335" s="390"/>
      <c r="AE1335" s="390"/>
      <c r="AF1335" s="390"/>
      <c r="AG1335" s="390"/>
      <c r="AH1335" s="390"/>
      <c r="AI1335" s="390"/>
      <c r="AJ1335" s="390"/>
      <c r="AK1335" s="390"/>
      <c r="AL1335" s="390"/>
      <c r="AM1335" s="390"/>
      <c r="AN1335" s="390"/>
      <c r="AO1335" s="390"/>
      <c r="AP1335" s="390"/>
      <c r="AQ1335" s="390"/>
      <c r="AR1335" s="390"/>
      <c r="AS1335" s="390"/>
    </row>
    <row r="1336" spans="2:45" x14ac:dyDescent="0.3">
      <c r="B1336" s="61" t="s">
        <v>197</v>
      </c>
      <c r="C1336" s="62"/>
      <c r="D1336" s="28">
        <f>ROUNDUP((D1331+10),0)</f>
        <v>11</v>
      </c>
      <c r="E1336" s="28">
        <f t="shared" ref="E1336:S1336" si="998">ROUNDUP((E1331+10),0)</f>
        <v>12</v>
      </c>
      <c r="F1336" s="28">
        <f t="shared" si="998"/>
        <v>13</v>
      </c>
      <c r="G1336" s="28">
        <f t="shared" si="998"/>
        <v>12</v>
      </c>
      <c r="H1336" s="28">
        <f t="shared" si="998"/>
        <v>11</v>
      </c>
      <c r="I1336" s="28">
        <f t="shared" si="998"/>
        <v>11</v>
      </c>
      <c r="J1336" s="28">
        <f t="shared" si="998"/>
        <v>12</v>
      </c>
      <c r="K1336" s="28">
        <f t="shared" si="998"/>
        <v>12</v>
      </c>
      <c r="L1336" s="28">
        <f t="shared" si="998"/>
        <v>12</v>
      </c>
      <c r="M1336" s="28">
        <f t="shared" si="998"/>
        <v>11</v>
      </c>
      <c r="N1336" s="28">
        <f t="shared" si="998"/>
        <v>11</v>
      </c>
      <c r="O1336" s="28">
        <f t="shared" si="998"/>
        <v>11</v>
      </c>
      <c r="P1336" s="28">
        <f t="shared" si="998"/>
        <v>11</v>
      </c>
      <c r="Q1336" s="28">
        <f t="shared" si="998"/>
        <v>11</v>
      </c>
      <c r="R1336" s="28">
        <f t="shared" si="998"/>
        <v>11</v>
      </c>
      <c r="S1336" s="28">
        <f t="shared" si="998"/>
        <v>11</v>
      </c>
      <c r="T1336" s="29"/>
      <c r="U1336" s="29"/>
      <c r="V1336" s="29"/>
      <c r="W1336" s="28">
        <f>ROUNDUP((W1331+10),0)</f>
        <v>11</v>
      </c>
      <c r="Y1336" s="390"/>
      <c r="Z1336" s="390"/>
      <c r="AA1336" s="390"/>
      <c r="AB1336" s="390"/>
      <c r="AC1336" s="390"/>
      <c r="AD1336" s="390"/>
      <c r="AE1336" s="390"/>
      <c r="AF1336" s="390"/>
      <c r="AG1336" s="390"/>
      <c r="AH1336" s="390"/>
      <c r="AI1336" s="390"/>
      <c r="AJ1336" s="390"/>
      <c r="AK1336" s="390"/>
      <c r="AL1336" s="390"/>
      <c r="AM1336" s="390"/>
      <c r="AN1336" s="390"/>
      <c r="AO1336" s="390"/>
      <c r="AP1336" s="390"/>
      <c r="AQ1336" s="390"/>
      <c r="AR1336" s="390"/>
      <c r="AS1336" s="390"/>
    </row>
    <row r="1337" spans="2:45" x14ac:dyDescent="0.3">
      <c r="B1337" s="63" t="s">
        <v>103</v>
      </c>
      <c r="C1337" s="62"/>
      <c r="D1337" s="31">
        <f>+D1332-D$833</f>
        <v>-382.62882580645157</v>
      </c>
      <c r="E1337" s="31">
        <f>+E1332-E$833</f>
        <v>-394.01592258064517</v>
      </c>
      <c r="F1337" s="31">
        <f t="shared" ref="F1337:S1337" si="999">+F1332-F$833</f>
        <v>-399.79011612903224</v>
      </c>
      <c r="G1337" s="31">
        <f t="shared" si="999"/>
        <v>-388.20947096774194</v>
      </c>
      <c r="H1337" s="31">
        <f t="shared" si="999"/>
        <v>-384.69334193548383</v>
      </c>
      <c r="I1337" s="31">
        <f t="shared" si="999"/>
        <v>-388.88689032258065</v>
      </c>
      <c r="J1337" s="31">
        <f t="shared" si="999"/>
        <v>-394.98366451612901</v>
      </c>
      <c r="K1337" s="31">
        <f t="shared" si="999"/>
        <v>-391.4352774193548</v>
      </c>
      <c r="L1337" s="31">
        <f t="shared" si="999"/>
        <v>-392.72559999999999</v>
      </c>
      <c r="M1337" s="31">
        <f t="shared" si="999"/>
        <v>-382.88689032258065</v>
      </c>
      <c r="N1337" s="31">
        <f t="shared" si="999"/>
        <v>-384.95140645161291</v>
      </c>
      <c r="O1337" s="31">
        <f t="shared" si="999"/>
        <v>-389.20947096774194</v>
      </c>
      <c r="P1337" s="31">
        <f t="shared" si="999"/>
        <v>-380.17721290322578</v>
      </c>
      <c r="Q1337" s="31">
        <f t="shared" si="999"/>
        <v>-380.17721290322578</v>
      </c>
      <c r="R1337" s="31">
        <f t="shared" si="999"/>
        <v>-386.62882580645157</v>
      </c>
      <c r="S1337" s="31">
        <f t="shared" si="999"/>
        <v>-384.8223741935484</v>
      </c>
      <c r="T1337" s="29"/>
      <c r="U1337" s="29"/>
      <c r="V1337" s="29"/>
      <c r="W1337" s="31">
        <f>+W1332-W$833</f>
        <v>-380.17721290322578</v>
      </c>
      <c r="Y1337" s="390"/>
      <c r="Z1337" s="390"/>
      <c r="AA1337" s="390"/>
      <c r="AB1337" s="390"/>
      <c r="AC1337" s="390"/>
      <c r="AD1337" s="390"/>
      <c r="AE1337" s="390"/>
      <c r="AF1337" s="390"/>
      <c r="AG1337" s="390"/>
      <c r="AH1337" s="390"/>
      <c r="AI1337" s="390"/>
      <c r="AJ1337" s="390"/>
      <c r="AK1337" s="390"/>
      <c r="AL1337" s="390"/>
      <c r="AM1337" s="390"/>
      <c r="AN1337" s="390"/>
      <c r="AO1337" s="390"/>
      <c r="AP1337" s="390"/>
      <c r="AQ1337" s="390"/>
      <c r="AR1337" s="390"/>
      <c r="AS1337" s="390"/>
    </row>
    <row r="1338" spans="2:45" x14ac:dyDescent="0.3">
      <c r="B1338" s="63" t="s">
        <v>104</v>
      </c>
      <c r="C1338" s="64"/>
      <c r="D1338" s="31">
        <f>+D1333-D$833</f>
        <v>-381.62882580645157</v>
      </c>
      <c r="E1338" s="32">
        <f t="shared" ref="E1338:S1338" si="1000">+E1333-E$833</f>
        <v>-393.01592258064517</v>
      </c>
      <c r="F1338" s="32">
        <f t="shared" si="1000"/>
        <v>-398.79011612903224</v>
      </c>
      <c r="G1338" s="32">
        <f t="shared" si="1000"/>
        <v>-387.20947096774194</v>
      </c>
      <c r="H1338" s="32">
        <f t="shared" si="1000"/>
        <v>-383.69334193548383</v>
      </c>
      <c r="I1338" s="32">
        <f t="shared" si="1000"/>
        <v>-387.88689032258065</v>
      </c>
      <c r="J1338" s="32">
        <f t="shared" si="1000"/>
        <v>-393.98366451612901</v>
      </c>
      <c r="K1338" s="32">
        <f t="shared" si="1000"/>
        <v>-390.4352774193548</v>
      </c>
      <c r="L1338" s="32">
        <f t="shared" si="1000"/>
        <v>-391.72559999999999</v>
      </c>
      <c r="M1338" s="32">
        <f t="shared" si="1000"/>
        <v>-381.88689032258065</v>
      </c>
      <c r="N1338" s="32">
        <f t="shared" si="1000"/>
        <v>-383.95140645161291</v>
      </c>
      <c r="O1338" s="32">
        <f t="shared" si="1000"/>
        <v>-388.20947096774194</v>
      </c>
      <c r="P1338" s="32">
        <f t="shared" si="1000"/>
        <v>-379.17721290322578</v>
      </c>
      <c r="Q1338" s="32">
        <f t="shared" si="1000"/>
        <v>-379.17721290322578</v>
      </c>
      <c r="R1338" s="32">
        <f t="shared" si="1000"/>
        <v>-385.62882580645157</v>
      </c>
      <c r="S1338" s="32">
        <f t="shared" si="1000"/>
        <v>-383.8223741935484</v>
      </c>
      <c r="T1338" s="32"/>
      <c r="U1338" s="32"/>
      <c r="V1338" s="32"/>
      <c r="W1338" s="32">
        <f>+W1333-W$833</f>
        <v>-379.17721290322578</v>
      </c>
      <c r="Y1338" s="390"/>
      <c r="Z1338" s="390"/>
      <c r="AA1338" s="390"/>
      <c r="AB1338" s="390"/>
      <c r="AC1338" s="390"/>
      <c r="AD1338" s="390"/>
      <c r="AE1338" s="390"/>
      <c r="AF1338" s="390"/>
      <c r="AG1338" s="390"/>
      <c r="AH1338" s="390"/>
      <c r="AI1338" s="390"/>
      <c r="AJ1338" s="390"/>
      <c r="AK1338" s="390"/>
      <c r="AL1338" s="390"/>
      <c r="AM1338" s="390"/>
      <c r="AN1338" s="390"/>
      <c r="AO1338" s="390"/>
      <c r="AP1338" s="390"/>
      <c r="AQ1338" s="390"/>
      <c r="AR1338" s="390"/>
      <c r="AS1338" s="390"/>
    </row>
    <row r="1339" spans="2:45" x14ac:dyDescent="0.3">
      <c r="B1339" s="63" t="s">
        <v>105</v>
      </c>
      <c r="C1339" s="64"/>
      <c r="D1339" s="31">
        <f>+D1334-D$833</f>
        <v>-380.62882580645157</v>
      </c>
      <c r="E1339" s="32">
        <f t="shared" ref="E1339:S1339" si="1001">+E1334-E$833</f>
        <v>-392.01592258064517</v>
      </c>
      <c r="F1339" s="32">
        <f t="shared" si="1001"/>
        <v>-397.79011612903224</v>
      </c>
      <c r="G1339" s="32">
        <f t="shared" si="1001"/>
        <v>-386.20947096774194</v>
      </c>
      <c r="H1339" s="32">
        <f t="shared" si="1001"/>
        <v>-382.69334193548383</v>
      </c>
      <c r="I1339" s="32">
        <f t="shared" si="1001"/>
        <v>-386.88689032258065</v>
      </c>
      <c r="J1339" s="32">
        <f t="shared" si="1001"/>
        <v>-392.98366451612901</v>
      </c>
      <c r="K1339" s="32">
        <f t="shared" si="1001"/>
        <v>-389.4352774193548</v>
      </c>
      <c r="L1339" s="32">
        <f t="shared" si="1001"/>
        <v>-390.72559999999999</v>
      </c>
      <c r="M1339" s="32">
        <f t="shared" si="1001"/>
        <v>-380.88689032258065</v>
      </c>
      <c r="N1339" s="32">
        <f t="shared" si="1001"/>
        <v>-382.95140645161291</v>
      </c>
      <c r="O1339" s="32">
        <f t="shared" si="1001"/>
        <v>-387.20947096774194</v>
      </c>
      <c r="P1339" s="32">
        <f t="shared" si="1001"/>
        <v>-378.17721290322578</v>
      </c>
      <c r="Q1339" s="32">
        <f t="shared" si="1001"/>
        <v>-378.17721290322578</v>
      </c>
      <c r="R1339" s="32">
        <f t="shared" si="1001"/>
        <v>-384.62882580645157</v>
      </c>
      <c r="S1339" s="32">
        <f t="shared" si="1001"/>
        <v>-382.8223741935484</v>
      </c>
      <c r="T1339" s="32"/>
      <c r="U1339" s="32"/>
      <c r="V1339" s="32"/>
      <c r="W1339" s="32">
        <f>+W1334-W$833</f>
        <v>-378.17721290322578</v>
      </c>
      <c r="Y1339" s="390"/>
      <c r="Z1339" s="390"/>
      <c r="AA1339" s="390"/>
      <c r="AB1339" s="390"/>
      <c r="AC1339" s="390"/>
      <c r="AD1339" s="390"/>
      <c r="AE1339" s="390"/>
      <c r="AF1339" s="390"/>
      <c r="AG1339" s="390"/>
      <c r="AH1339" s="390"/>
      <c r="AI1339" s="390"/>
      <c r="AJ1339" s="390"/>
      <c r="AK1339" s="390"/>
      <c r="AL1339" s="390"/>
      <c r="AM1339" s="390"/>
      <c r="AN1339" s="390"/>
      <c r="AO1339" s="390"/>
      <c r="AP1339" s="390"/>
      <c r="AQ1339" s="390"/>
      <c r="AR1339" s="390"/>
      <c r="AS1339" s="390"/>
    </row>
    <row r="1340" spans="2:45" x14ac:dyDescent="0.3">
      <c r="B1340" s="63" t="s">
        <v>75</v>
      </c>
      <c r="C1340" s="64"/>
      <c r="D1340" s="31">
        <f>+D1335-D$833</f>
        <v>-378.62882580645157</v>
      </c>
      <c r="E1340" s="32">
        <f t="shared" ref="E1340:S1340" si="1002">+E1335-E$833</f>
        <v>-390.01592258064517</v>
      </c>
      <c r="F1340" s="32">
        <f t="shared" si="1002"/>
        <v>-395.79011612903224</v>
      </c>
      <c r="G1340" s="32">
        <f t="shared" si="1002"/>
        <v>-384.20947096774194</v>
      </c>
      <c r="H1340" s="32">
        <f t="shared" si="1002"/>
        <v>-380.69334193548383</v>
      </c>
      <c r="I1340" s="32">
        <f t="shared" si="1002"/>
        <v>-384.88689032258065</v>
      </c>
      <c r="J1340" s="32">
        <f t="shared" si="1002"/>
        <v>-390.98366451612901</v>
      </c>
      <c r="K1340" s="32">
        <f t="shared" si="1002"/>
        <v>-387.4352774193548</v>
      </c>
      <c r="L1340" s="32">
        <f t="shared" si="1002"/>
        <v>-388.72559999999999</v>
      </c>
      <c r="M1340" s="32">
        <f t="shared" si="1002"/>
        <v>-378.88689032258065</v>
      </c>
      <c r="N1340" s="32">
        <f t="shared" si="1002"/>
        <v>-380.95140645161291</v>
      </c>
      <c r="O1340" s="32">
        <f t="shared" si="1002"/>
        <v>-385.20947096774194</v>
      </c>
      <c r="P1340" s="32">
        <f t="shared" si="1002"/>
        <v>-376.17721290322578</v>
      </c>
      <c r="Q1340" s="32">
        <f t="shared" si="1002"/>
        <v>-376.17721290322578</v>
      </c>
      <c r="R1340" s="32">
        <f t="shared" si="1002"/>
        <v>-382.62882580645157</v>
      </c>
      <c r="S1340" s="32">
        <f t="shared" si="1002"/>
        <v>-380.8223741935484</v>
      </c>
      <c r="T1340" s="32"/>
      <c r="U1340" s="32"/>
      <c r="V1340" s="32"/>
      <c r="W1340" s="32">
        <f>+W1335-W$833</f>
        <v>-376.17721290322578</v>
      </c>
      <c r="Y1340" s="390"/>
      <c r="Z1340" s="390"/>
      <c r="AA1340" s="390"/>
      <c r="AB1340" s="390"/>
      <c r="AC1340" s="390"/>
      <c r="AD1340" s="390"/>
      <c r="AE1340" s="390"/>
      <c r="AF1340" s="390"/>
      <c r="AG1340" s="390"/>
      <c r="AH1340" s="390"/>
      <c r="AI1340" s="390"/>
      <c r="AJ1340" s="390"/>
      <c r="AK1340" s="390"/>
      <c r="AL1340" s="390"/>
      <c r="AM1340" s="390"/>
      <c r="AN1340" s="390"/>
      <c r="AO1340" s="390"/>
      <c r="AP1340" s="390"/>
      <c r="AQ1340" s="390"/>
      <c r="AR1340" s="390"/>
      <c r="AS1340" s="390"/>
    </row>
    <row r="1341" spans="2:45" x14ac:dyDescent="0.3">
      <c r="B1341" s="63" t="s">
        <v>76</v>
      </c>
      <c r="C1341" s="64"/>
      <c r="D1341" s="31">
        <f>+D1336-D$833</f>
        <v>-374.62882580645157</v>
      </c>
      <c r="E1341" s="34">
        <f t="shared" ref="E1341:S1341" si="1003">+E1336-E$833</f>
        <v>-386.01592258064517</v>
      </c>
      <c r="F1341" s="34">
        <f t="shared" si="1003"/>
        <v>-391.79011612903224</v>
      </c>
      <c r="G1341" s="34">
        <f t="shared" si="1003"/>
        <v>-380.20947096774194</v>
      </c>
      <c r="H1341" s="34">
        <f t="shared" si="1003"/>
        <v>-376.69334193548383</v>
      </c>
      <c r="I1341" s="34">
        <f t="shared" si="1003"/>
        <v>-380.88689032258065</v>
      </c>
      <c r="J1341" s="34">
        <f t="shared" si="1003"/>
        <v>-386.98366451612901</v>
      </c>
      <c r="K1341" s="34">
        <f t="shared" si="1003"/>
        <v>-383.4352774193548</v>
      </c>
      <c r="L1341" s="34">
        <f t="shared" si="1003"/>
        <v>-384.72559999999999</v>
      </c>
      <c r="M1341" s="34">
        <f t="shared" si="1003"/>
        <v>-374.88689032258065</v>
      </c>
      <c r="N1341" s="34">
        <f t="shared" si="1003"/>
        <v>-376.95140645161291</v>
      </c>
      <c r="O1341" s="34">
        <f t="shared" si="1003"/>
        <v>-381.20947096774194</v>
      </c>
      <c r="P1341" s="34">
        <f t="shared" si="1003"/>
        <v>-372.17721290322578</v>
      </c>
      <c r="Q1341" s="34">
        <f t="shared" si="1003"/>
        <v>-372.17721290322578</v>
      </c>
      <c r="R1341" s="34">
        <f t="shared" si="1003"/>
        <v>-378.62882580645157</v>
      </c>
      <c r="S1341" s="34">
        <f t="shared" si="1003"/>
        <v>-376.8223741935484</v>
      </c>
      <c r="T1341" s="34"/>
      <c r="U1341" s="34"/>
      <c r="V1341" s="34"/>
      <c r="W1341" s="34">
        <f>+W1336-W$833</f>
        <v>-372.17721290322578</v>
      </c>
      <c r="Y1341" s="390"/>
      <c r="Z1341" s="390"/>
      <c r="AA1341" s="390"/>
      <c r="AB1341" s="390"/>
      <c r="AC1341" s="390"/>
      <c r="AD1341" s="390"/>
      <c r="AE1341" s="390"/>
      <c r="AF1341" s="390"/>
      <c r="AG1341" s="390"/>
      <c r="AH1341" s="390"/>
      <c r="AI1341" s="390"/>
      <c r="AJ1341" s="390"/>
      <c r="AK1341" s="390"/>
      <c r="AL1341" s="390"/>
      <c r="AM1341" s="390"/>
      <c r="AN1341" s="390"/>
      <c r="AO1341" s="390"/>
      <c r="AP1341" s="390"/>
      <c r="AQ1341" s="390"/>
      <c r="AR1341" s="390"/>
      <c r="AS1341" s="390"/>
    </row>
    <row r="1342" spans="2:45" x14ac:dyDescent="0.3">
      <c r="B1342" s="65" t="s">
        <v>108</v>
      </c>
      <c r="C1342" s="64"/>
      <c r="D1342" s="105">
        <f>+D1337/D$835</f>
        <v>-0.93097037909112301</v>
      </c>
      <c r="E1342" s="105">
        <f t="shared" ref="E1342:S1342" si="1004">+E1337/E$835</f>
        <v>-0.92928283627510655</v>
      </c>
      <c r="F1342" s="105">
        <f t="shared" si="1004"/>
        <v>-0.92974445611402845</v>
      </c>
      <c r="G1342" s="105">
        <f t="shared" si="1004"/>
        <v>-0.92873079178885631</v>
      </c>
      <c r="H1342" s="105">
        <f t="shared" si="1004"/>
        <v>-0.93146087635710373</v>
      </c>
      <c r="I1342" s="105">
        <f t="shared" si="1004"/>
        <v>-0.93258247079755552</v>
      </c>
      <c r="J1342" s="105">
        <f t="shared" si="1004"/>
        <v>-0.93156524650030426</v>
      </c>
      <c r="K1342" s="105">
        <f t="shared" si="1004"/>
        <v>-0.92977500574668603</v>
      </c>
      <c r="L1342" s="105">
        <f t="shared" si="1004"/>
        <v>-0.93062938388625593</v>
      </c>
      <c r="M1342" s="105">
        <f t="shared" si="1004"/>
        <v>-0.93159827329095046</v>
      </c>
      <c r="N1342" s="105">
        <f t="shared" si="1004"/>
        <v>-0.93208572990705307</v>
      </c>
      <c r="O1342" s="105">
        <f t="shared" si="1004"/>
        <v>-0.93112313628646393</v>
      </c>
      <c r="P1342" s="105">
        <f t="shared" si="1004"/>
        <v>-0.92952863790519746</v>
      </c>
      <c r="Q1342" s="105">
        <f t="shared" si="1004"/>
        <v>-0.92952863790519746</v>
      </c>
      <c r="R1342" s="105">
        <f t="shared" si="1004"/>
        <v>-0.93163572483482304</v>
      </c>
      <c r="S1342" s="105">
        <f t="shared" si="1004"/>
        <v>-0.9317733031320784</v>
      </c>
      <c r="T1342" s="34"/>
      <c r="U1342" s="34"/>
      <c r="V1342" s="34"/>
      <c r="W1342" s="105">
        <f>+W1337/W$835</f>
        <v>-0.92952863790519746</v>
      </c>
      <c r="Y1342" s="390"/>
      <c r="Z1342" s="390"/>
      <c r="AA1342" s="390"/>
      <c r="AB1342" s="390"/>
      <c r="AC1342" s="390"/>
      <c r="AD1342" s="390"/>
      <c r="AE1342" s="390"/>
      <c r="AF1342" s="390"/>
      <c r="AG1342" s="390"/>
      <c r="AH1342" s="390"/>
      <c r="AI1342" s="390"/>
      <c r="AJ1342" s="390"/>
      <c r="AK1342" s="390"/>
      <c r="AL1342" s="390"/>
      <c r="AM1342" s="390"/>
      <c r="AN1342" s="390"/>
      <c r="AO1342" s="390"/>
      <c r="AP1342" s="390"/>
      <c r="AQ1342" s="390"/>
      <c r="AR1342" s="390"/>
      <c r="AS1342" s="390"/>
    </row>
    <row r="1343" spans="2:45" x14ac:dyDescent="0.3">
      <c r="B1343" s="65" t="s">
        <v>107</v>
      </c>
      <c r="C1343" s="66"/>
      <c r="D1343" s="35">
        <f>+D1338/D$836</f>
        <v>-0.91737698511166244</v>
      </c>
      <c r="E1343" s="35">
        <f t="shared" ref="E1343:S1343" si="1005">+E1338/E$836</f>
        <v>-0.91612103165651559</v>
      </c>
      <c r="F1343" s="35">
        <f t="shared" si="1005"/>
        <v>-0.91675888765294766</v>
      </c>
      <c r="G1343" s="35">
        <f t="shared" si="1005"/>
        <v>-0.91538882025470902</v>
      </c>
      <c r="H1343" s="35">
        <f t="shared" si="1005"/>
        <v>-0.9179266553480474</v>
      </c>
      <c r="I1343" s="35">
        <f t="shared" si="1005"/>
        <v>-0.91916324720990672</v>
      </c>
      <c r="J1343" s="35">
        <f t="shared" si="1005"/>
        <v>-0.91837684036393707</v>
      </c>
      <c r="K1343" s="35">
        <f t="shared" si="1005"/>
        <v>-0.91651473572618503</v>
      </c>
      <c r="L1343" s="35">
        <f t="shared" si="1005"/>
        <v>-0.91739016393442618</v>
      </c>
      <c r="M1343" s="35">
        <f t="shared" si="1005"/>
        <v>-0.91799733250620352</v>
      </c>
      <c r="N1343" s="35">
        <f t="shared" si="1005"/>
        <v>-0.91854403457323663</v>
      </c>
      <c r="O1343" s="35">
        <f t="shared" si="1005"/>
        <v>-0.91775288644856245</v>
      </c>
      <c r="P1343" s="35">
        <f t="shared" si="1005"/>
        <v>-0.91588698768895116</v>
      </c>
      <c r="Q1343" s="35">
        <f t="shared" si="1005"/>
        <v>-0.91588698768895116</v>
      </c>
      <c r="R1343" s="35">
        <f t="shared" si="1005"/>
        <v>-0.91816387096774188</v>
      </c>
      <c r="S1343" s="35">
        <f t="shared" si="1005"/>
        <v>-0.91823534496064207</v>
      </c>
      <c r="T1343" s="35"/>
      <c r="U1343" s="35"/>
      <c r="V1343" s="35"/>
      <c r="W1343" s="35">
        <f>+W1338/W$836</f>
        <v>-0.91588698768895116</v>
      </c>
      <c r="Y1343" s="390"/>
      <c r="Z1343" s="390"/>
      <c r="AA1343" s="390"/>
      <c r="AB1343" s="390"/>
      <c r="AC1343" s="390"/>
      <c r="AD1343" s="390"/>
      <c r="AE1343" s="390"/>
      <c r="AF1343" s="390"/>
      <c r="AG1343" s="390"/>
      <c r="AH1343" s="390"/>
      <c r="AI1343" s="390"/>
      <c r="AJ1343" s="390"/>
      <c r="AK1343" s="390"/>
      <c r="AL1343" s="390"/>
      <c r="AM1343" s="390"/>
      <c r="AN1343" s="390"/>
      <c r="AO1343" s="390"/>
      <c r="AP1343" s="390"/>
      <c r="AQ1343" s="390"/>
      <c r="AR1343" s="390"/>
      <c r="AS1343" s="390"/>
    </row>
    <row r="1344" spans="2:45" x14ac:dyDescent="0.3">
      <c r="B1344" s="65" t="s">
        <v>106</v>
      </c>
      <c r="C1344" s="66"/>
      <c r="D1344" s="35">
        <f>+D1339/D$837</f>
        <v>-0.90410647459964744</v>
      </c>
      <c r="E1344" s="35">
        <f t="shared" ref="E1344:S1344" si="1006">+E1339/E$837</f>
        <v>-0.9032624944254497</v>
      </c>
      <c r="F1344" s="35">
        <f t="shared" si="1006"/>
        <v>-0.90406844574780054</v>
      </c>
      <c r="G1344" s="35">
        <f t="shared" si="1006"/>
        <v>-0.90235857702743438</v>
      </c>
      <c r="H1344" s="35">
        <f t="shared" si="1006"/>
        <v>-0.90471239228246769</v>
      </c>
      <c r="I1344" s="35">
        <f t="shared" si="1006"/>
        <v>-0.90605829115358472</v>
      </c>
      <c r="J1344" s="35">
        <f t="shared" si="1006"/>
        <v>-0.9054923145532926</v>
      </c>
      <c r="K1344" s="35">
        <f t="shared" si="1006"/>
        <v>-0.90356212858318985</v>
      </c>
      <c r="L1344" s="35">
        <f t="shared" si="1006"/>
        <v>-0.90445740740740732</v>
      </c>
      <c r="M1344" s="35">
        <f t="shared" si="1006"/>
        <v>-0.904719454447935</v>
      </c>
      <c r="N1344" s="35">
        <f t="shared" si="1006"/>
        <v>-0.90532247388088161</v>
      </c>
      <c r="O1344" s="35">
        <f t="shared" si="1006"/>
        <v>-0.90469502562556525</v>
      </c>
      <c r="P1344" s="35">
        <f t="shared" si="1006"/>
        <v>-0.90257091385018084</v>
      </c>
      <c r="Q1344" s="35">
        <f t="shared" si="1006"/>
        <v>-0.90257091385018084</v>
      </c>
      <c r="R1344" s="35">
        <f t="shared" si="1006"/>
        <v>-0.90500900189753308</v>
      </c>
      <c r="S1344" s="35">
        <f t="shared" si="1006"/>
        <v>-0.9050174330816747</v>
      </c>
      <c r="T1344" s="35"/>
      <c r="U1344" s="35"/>
      <c r="V1344" s="35"/>
      <c r="W1344" s="35">
        <f>+W1339/W$837</f>
        <v>-0.90257091385018084</v>
      </c>
      <c r="Y1344" s="390"/>
      <c r="Z1344" s="390"/>
      <c r="AA1344" s="390"/>
      <c r="AB1344" s="390"/>
      <c r="AC1344" s="390"/>
      <c r="AD1344" s="390"/>
      <c r="AE1344" s="390"/>
      <c r="AF1344" s="390"/>
      <c r="AG1344" s="390"/>
      <c r="AH1344" s="390"/>
      <c r="AI1344" s="390"/>
      <c r="AJ1344" s="390"/>
      <c r="AK1344" s="390"/>
      <c r="AL1344" s="390"/>
      <c r="AM1344" s="390"/>
      <c r="AN1344" s="390"/>
      <c r="AO1344" s="390"/>
      <c r="AP1344" s="390"/>
      <c r="AQ1344" s="390"/>
      <c r="AR1344" s="390"/>
      <c r="AS1344" s="390"/>
    </row>
    <row r="1345" spans="2:45" x14ac:dyDescent="0.3">
      <c r="B1345" s="65" t="s">
        <v>77</v>
      </c>
      <c r="C1345" s="66"/>
      <c r="D1345" s="35">
        <f>+D1340/D$838</f>
        <v>-0.88880006057852479</v>
      </c>
      <c r="E1345" s="35">
        <f t="shared" ref="E1345:S1345" si="1007">+E1340/E$838</f>
        <v>-0.88841895804247195</v>
      </c>
      <c r="F1345" s="35">
        <f t="shared" si="1007"/>
        <v>-0.88941599130119608</v>
      </c>
      <c r="G1345" s="35">
        <f t="shared" si="1007"/>
        <v>-0.88731979438277586</v>
      </c>
      <c r="H1345" s="35">
        <f t="shared" si="1007"/>
        <v>-0.88947042508290619</v>
      </c>
      <c r="I1345" s="35">
        <f t="shared" si="1007"/>
        <v>-0.89094187574671446</v>
      </c>
      <c r="J1345" s="35">
        <f t="shared" si="1007"/>
        <v>-0.8906233815857153</v>
      </c>
      <c r="K1345" s="35">
        <f t="shared" si="1007"/>
        <v>-0.88861302160402478</v>
      </c>
      <c r="L1345" s="35">
        <f t="shared" si="1007"/>
        <v>-0.88953226544622421</v>
      </c>
      <c r="M1345" s="35">
        <f t="shared" si="1007"/>
        <v>-0.88940584582765414</v>
      </c>
      <c r="N1345" s="35">
        <f t="shared" si="1007"/>
        <v>-0.89007337955984323</v>
      </c>
      <c r="O1345" s="35">
        <f t="shared" si="1007"/>
        <v>-0.88962926320494673</v>
      </c>
      <c r="P1345" s="35">
        <f t="shared" si="1007"/>
        <v>-0.88721040779062688</v>
      </c>
      <c r="Q1345" s="35">
        <f t="shared" si="1007"/>
        <v>-0.88721040779062688</v>
      </c>
      <c r="R1345" s="35">
        <f t="shared" si="1007"/>
        <v>-0.88983447861965481</v>
      </c>
      <c r="S1345" s="35">
        <f t="shared" si="1007"/>
        <v>-0.88977190232137471</v>
      </c>
      <c r="T1345" s="35"/>
      <c r="U1345" s="35"/>
      <c r="V1345" s="35"/>
      <c r="W1345" s="35">
        <f>+W1340/W$838</f>
        <v>-0.88721040779062688</v>
      </c>
      <c r="Y1345" s="390"/>
      <c r="Z1345" s="390"/>
      <c r="AA1345" s="390"/>
      <c r="AB1345" s="390"/>
      <c r="AC1345" s="390"/>
      <c r="AD1345" s="390"/>
      <c r="AE1345" s="390"/>
      <c r="AF1345" s="390"/>
      <c r="AG1345" s="390"/>
      <c r="AH1345" s="390"/>
      <c r="AI1345" s="390"/>
      <c r="AJ1345" s="390"/>
      <c r="AK1345" s="390"/>
      <c r="AL1345" s="390"/>
      <c r="AM1345" s="390"/>
      <c r="AN1345" s="390"/>
      <c r="AO1345" s="390"/>
      <c r="AP1345" s="390"/>
      <c r="AQ1345" s="390"/>
      <c r="AR1345" s="390"/>
      <c r="AS1345" s="390"/>
    </row>
    <row r="1346" spans="2:45" x14ac:dyDescent="0.3">
      <c r="B1346" s="65" t="s">
        <v>78</v>
      </c>
      <c r="C1346" s="66"/>
      <c r="D1346" s="35" t="e">
        <f>+D1341/#REF!</f>
        <v>#REF!</v>
      </c>
      <c r="E1346" s="35" t="e">
        <f>+E1341/#REF!</f>
        <v>#REF!</v>
      </c>
      <c r="F1346" s="35" t="e">
        <f>+F1341/#REF!</f>
        <v>#REF!</v>
      </c>
      <c r="G1346" s="35" t="e">
        <f>+G1341/#REF!</f>
        <v>#REF!</v>
      </c>
      <c r="H1346" s="35" t="e">
        <f>+H1341/#REF!</f>
        <v>#REF!</v>
      </c>
      <c r="I1346" s="35" t="e">
        <f>+I1341/#REF!</f>
        <v>#REF!</v>
      </c>
      <c r="J1346" s="35" t="e">
        <f>+J1341/#REF!</f>
        <v>#REF!</v>
      </c>
      <c r="K1346" s="35" t="e">
        <f>+K1341/#REF!</f>
        <v>#REF!</v>
      </c>
      <c r="L1346" s="35" t="e">
        <f>+L1341/#REF!</f>
        <v>#REF!</v>
      </c>
      <c r="M1346" s="35" t="e">
        <f>+M1341/#REF!</f>
        <v>#REF!</v>
      </c>
      <c r="N1346" s="35" t="e">
        <f>+N1341/#REF!</f>
        <v>#REF!</v>
      </c>
      <c r="O1346" s="35" t="e">
        <f>+O1341/#REF!</f>
        <v>#REF!</v>
      </c>
      <c r="P1346" s="35" t="e">
        <f>+P1341/#REF!</f>
        <v>#REF!</v>
      </c>
      <c r="Q1346" s="35" t="e">
        <f>+Q1341/#REF!</f>
        <v>#REF!</v>
      </c>
      <c r="R1346" s="35" t="e">
        <f>+R1341/#REF!</f>
        <v>#REF!</v>
      </c>
      <c r="S1346" s="35" t="e">
        <f>+S1341/#REF!</f>
        <v>#REF!</v>
      </c>
      <c r="T1346" s="35"/>
      <c r="U1346" s="35"/>
      <c r="V1346" s="35"/>
      <c r="W1346" s="35" t="e">
        <f>+W1341/#REF!</f>
        <v>#REF!</v>
      </c>
      <c r="Y1346" s="390"/>
      <c r="Z1346" s="390"/>
      <c r="AA1346" s="390"/>
      <c r="AB1346" s="390"/>
      <c r="AC1346" s="390"/>
      <c r="AD1346" s="390"/>
      <c r="AE1346" s="390"/>
      <c r="AF1346" s="390"/>
      <c r="AG1346" s="390"/>
      <c r="AH1346" s="390"/>
      <c r="AI1346" s="390"/>
      <c r="AJ1346" s="390"/>
      <c r="AK1346" s="390"/>
      <c r="AL1346" s="390"/>
      <c r="AM1346" s="390"/>
      <c r="AN1346" s="390"/>
      <c r="AO1346" s="390"/>
      <c r="AP1346" s="390"/>
      <c r="AQ1346" s="390"/>
      <c r="AR1346" s="390"/>
      <c r="AS1346" s="390"/>
    </row>
    <row r="1347" spans="2:45" ht="21" thickBot="1" x14ac:dyDescent="0.35">
      <c r="Y1347" s="390"/>
      <c r="Z1347" s="390"/>
      <c r="AA1347" s="390"/>
      <c r="AB1347" s="390"/>
      <c r="AC1347" s="390"/>
      <c r="AD1347" s="390"/>
      <c r="AE1347" s="390"/>
      <c r="AF1347" s="390"/>
      <c r="AG1347" s="390"/>
      <c r="AH1347" s="390"/>
      <c r="AI1347" s="390"/>
      <c r="AJ1347" s="390"/>
      <c r="AK1347" s="390"/>
      <c r="AL1347" s="390"/>
      <c r="AM1347" s="390"/>
      <c r="AN1347" s="390"/>
      <c r="AO1347" s="390"/>
      <c r="AP1347" s="390"/>
      <c r="AQ1347" s="390"/>
      <c r="AR1347" s="390"/>
      <c r="AS1347" s="390"/>
    </row>
    <row r="1348" spans="2:45" ht="21" thickBot="1" x14ac:dyDescent="0.35">
      <c r="B1348" s="223"/>
      <c r="C1348" s="68"/>
      <c r="D1348" s="17" t="s">
        <v>5</v>
      </c>
      <c r="E1348" s="18" t="s">
        <v>6</v>
      </c>
      <c r="F1348" s="18" t="s">
        <v>7</v>
      </c>
      <c r="G1348" s="18" t="s">
        <v>8</v>
      </c>
      <c r="H1348" s="18" t="s">
        <v>9</v>
      </c>
      <c r="I1348" s="18" t="s">
        <v>10</v>
      </c>
      <c r="J1348" s="18" t="s">
        <v>11</v>
      </c>
      <c r="K1348" s="18" t="s">
        <v>12</v>
      </c>
      <c r="L1348" s="18" t="s">
        <v>13</v>
      </c>
      <c r="M1348" s="18" t="s">
        <v>14</v>
      </c>
      <c r="N1348" s="18" t="s">
        <v>15</v>
      </c>
      <c r="O1348" s="18" t="s">
        <v>16</v>
      </c>
      <c r="P1348" s="18" t="s">
        <v>17</v>
      </c>
      <c r="Q1348" s="18" t="s">
        <v>18</v>
      </c>
      <c r="R1348" s="18" t="s">
        <v>19</v>
      </c>
      <c r="S1348" s="18" t="s">
        <v>20</v>
      </c>
      <c r="T1348" s="18" t="s">
        <v>21</v>
      </c>
      <c r="U1348" s="18" t="s">
        <v>22</v>
      </c>
      <c r="V1348" s="18" t="s">
        <v>23</v>
      </c>
      <c r="W1348" s="18" t="s">
        <v>166</v>
      </c>
      <c r="Y1348" s="390"/>
      <c r="Z1348" s="390"/>
      <c r="AA1348" s="390"/>
      <c r="AB1348" s="390"/>
      <c r="AC1348" s="390"/>
      <c r="AD1348" s="390"/>
      <c r="AE1348" s="390"/>
      <c r="AF1348" s="390"/>
      <c r="AG1348" s="390"/>
      <c r="AH1348" s="390"/>
      <c r="AI1348" s="390"/>
      <c r="AJ1348" s="390"/>
      <c r="AK1348" s="390"/>
      <c r="AL1348" s="390"/>
      <c r="AM1348" s="390"/>
      <c r="AN1348" s="390"/>
      <c r="AO1348" s="390"/>
      <c r="AP1348" s="390"/>
      <c r="AQ1348" s="390"/>
      <c r="AR1348" s="390"/>
      <c r="AS1348" s="390"/>
    </row>
    <row r="1349" spans="2:45" x14ac:dyDescent="0.3">
      <c r="B1349" s="222" t="s">
        <v>50</v>
      </c>
      <c r="C1349" s="70"/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Y1349" s="390"/>
      <c r="Z1349" s="390"/>
      <c r="AA1349" s="390"/>
      <c r="AB1349" s="390"/>
      <c r="AC1349" s="390"/>
      <c r="AD1349" s="390"/>
      <c r="AE1349" s="390"/>
      <c r="AF1349" s="390"/>
      <c r="AG1349" s="390"/>
      <c r="AH1349" s="390"/>
      <c r="AI1349" s="390"/>
      <c r="AJ1349" s="390"/>
      <c r="AK1349" s="390"/>
      <c r="AL1349" s="390"/>
      <c r="AM1349" s="390"/>
      <c r="AN1349" s="390"/>
      <c r="AO1349" s="390"/>
      <c r="AP1349" s="390"/>
      <c r="AQ1349" s="390"/>
      <c r="AR1349" s="390"/>
      <c r="AS1349" s="390"/>
    </row>
    <row r="1350" spans="2:45" x14ac:dyDescent="0.3">
      <c r="B1350" s="54" t="s">
        <v>51</v>
      </c>
      <c r="C1350" s="55"/>
      <c r="D1350" s="322"/>
      <c r="E1350" s="322"/>
      <c r="F1350" s="322"/>
      <c r="G1350" s="322"/>
      <c r="H1350" s="322"/>
      <c r="I1350" s="322"/>
      <c r="J1350" s="322"/>
      <c r="K1350" s="322"/>
      <c r="L1350" s="322"/>
      <c r="M1350" s="322"/>
      <c r="N1350" s="322"/>
      <c r="O1350" s="322"/>
      <c r="P1350" s="322"/>
      <c r="Q1350" s="322"/>
      <c r="R1350" s="322"/>
      <c r="S1350" s="322"/>
      <c r="T1350" s="218"/>
      <c r="U1350" s="218"/>
      <c r="V1350" s="218"/>
      <c r="W1350" s="322"/>
      <c r="Y1350" s="390"/>
      <c r="Z1350" s="390"/>
      <c r="AA1350" s="390"/>
      <c r="AB1350" s="390"/>
      <c r="AC1350" s="390"/>
      <c r="AD1350" s="390"/>
      <c r="AE1350" s="390"/>
      <c r="AF1350" s="390"/>
      <c r="AG1350" s="390"/>
      <c r="AH1350" s="390"/>
      <c r="AI1350" s="390"/>
      <c r="AJ1350" s="390"/>
      <c r="AK1350" s="390"/>
      <c r="AL1350" s="390"/>
      <c r="AM1350" s="390"/>
      <c r="AN1350" s="390"/>
      <c r="AO1350" s="390"/>
      <c r="AP1350" s="390"/>
      <c r="AQ1350" s="390"/>
      <c r="AR1350" s="390"/>
      <c r="AS1350" s="390"/>
    </row>
    <row r="1351" spans="2:45" x14ac:dyDescent="0.3">
      <c r="B1351" s="54" t="s">
        <v>56</v>
      </c>
      <c r="C1351" s="55"/>
      <c r="D1351" s="21"/>
      <c r="E1351" s="21"/>
      <c r="F1351" s="21"/>
      <c r="G1351" s="21"/>
      <c r="H1351" s="21"/>
      <c r="I1351" s="21"/>
      <c r="J1351" s="21"/>
      <c r="K1351" s="21"/>
      <c r="L1351" s="21"/>
      <c r="M1351" s="21"/>
      <c r="N1351" s="21"/>
      <c r="O1351" s="21"/>
      <c r="P1351" s="21"/>
      <c r="Q1351" s="21"/>
      <c r="R1351" s="21"/>
      <c r="S1351" s="21"/>
      <c r="T1351" s="21"/>
      <c r="U1351" s="21"/>
      <c r="V1351" s="21"/>
      <c r="W1351" s="21"/>
      <c r="Y1351" s="390"/>
      <c r="Z1351" s="390"/>
      <c r="AA1351" s="390"/>
      <c r="AB1351" s="390"/>
      <c r="AC1351" s="390"/>
      <c r="AD1351" s="390"/>
      <c r="AE1351" s="390"/>
      <c r="AF1351" s="390"/>
      <c r="AG1351" s="390"/>
      <c r="AH1351" s="390"/>
      <c r="AI1351" s="390"/>
      <c r="AJ1351" s="390"/>
      <c r="AK1351" s="390"/>
      <c r="AL1351" s="390"/>
      <c r="AM1351" s="390"/>
      <c r="AN1351" s="390"/>
      <c r="AO1351" s="390"/>
      <c r="AP1351" s="390"/>
      <c r="AQ1351" s="390"/>
      <c r="AR1351" s="390"/>
      <c r="AS1351" s="390"/>
    </row>
    <row r="1352" spans="2:45" x14ac:dyDescent="0.3">
      <c r="B1352" s="177" t="s">
        <v>67</v>
      </c>
      <c r="C1352" s="178"/>
      <c r="D1352" s="323"/>
      <c r="E1352" s="323"/>
      <c r="F1352" s="323"/>
      <c r="G1352" s="323"/>
      <c r="H1352" s="323"/>
      <c r="I1352" s="323"/>
      <c r="J1352" s="323"/>
      <c r="K1352" s="323"/>
      <c r="L1352" s="323"/>
      <c r="M1352" s="323"/>
      <c r="N1352" s="323"/>
      <c r="O1352" s="323"/>
      <c r="P1352" s="323"/>
      <c r="Q1352" s="323"/>
      <c r="R1352" s="323"/>
      <c r="S1352" s="323"/>
      <c r="T1352" s="323"/>
      <c r="U1352" s="323"/>
      <c r="V1352" s="323"/>
      <c r="W1352" s="323"/>
      <c r="Y1352" s="390"/>
      <c r="Z1352" s="390"/>
      <c r="AA1352" s="390"/>
      <c r="AB1352" s="390"/>
      <c r="AC1352" s="390"/>
      <c r="AD1352" s="390"/>
      <c r="AE1352" s="390"/>
      <c r="AF1352" s="390"/>
      <c r="AG1352" s="390"/>
      <c r="AH1352" s="390"/>
      <c r="AI1352" s="390"/>
      <c r="AJ1352" s="390"/>
      <c r="AK1352" s="390"/>
      <c r="AL1352" s="390"/>
      <c r="AM1352" s="390"/>
      <c r="AN1352" s="390"/>
      <c r="AO1352" s="390"/>
      <c r="AP1352" s="390"/>
      <c r="AQ1352" s="390"/>
      <c r="AR1352" s="390"/>
      <c r="AS1352" s="390"/>
    </row>
    <row r="1353" spans="2:45" x14ac:dyDescent="0.3">
      <c r="B1353" s="54" t="s">
        <v>66</v>
      </c>
      <c r="C1353" s="56">
        <v>7.0000000000000007E-2</v>
      </c>
      <c r="D1353" s="24">
        <f>D1352*$C1353</f>
        <v>0</v>
      </c>
      <c r="E1353" s="24">
        <f t="shared" ref="E1353:W1353" si="1008">E1352*$C1353</f>
        <v>0</v>
      </c>
      <c r="F1353" s="24">
        <f t="shared" si="1008"/>
        <v>0</v>
      </c>
      <c r="G1353" s="24">
        <f t="shared" si="1008"/>
        <v>0</v>
      </c>
      <c r="H1353" s="24">
        <f t="shared" si="1008"/>
        <v>0</v>
      </c>
      <c r="I1353" s="24">
        <f t="shared" si="1008"/>
        <v>0</v>
      </c>
      <c r="J1353" s="24">
        <f t="shared" si="1008"/>
        <v>0</v>
      </c>
      <c r="K1353" s="24">
        <f t="shared" si="1008"/>
        <v>0</v>
      </c>
      <c r="L1353" s="24">
        <f t="shared" si="1008"/>
        <v>0</v>
      </c>
      <c r="M1353" s="24">
        <f t="shared" si="1008"/>
        <v>0</v>
      </c>
      <c r="N1353" s="24">
        <f t="shared" si="1008"/>
        <v>0</v>
      </c>
      <c r="O1353" s="24">
        <f t="shared" si="1008"/>
        <v>0</v>
      </c>
      <c r="P1353" s="24">
        <f t="shared" si="1008"/>
        <v>0</v>
      </c>
      <c r="Q1353" s="24">
        <f t="shared" si="1008"/>
        <v>0</v>
      </c>
      <c r="R1353" s="24">
        <f t="shared" si="1008"/>
        <v>0</v>
      </c>
      <c r="S1353" s="24">
        <f t="shared" si="1008"/>
        <v>0</v>
      </c>
      <c r="T1353" s="24">
        <f t="shared" si="1008"/>
        <v>0</v>
      </c>
      <c r="U1353" s="24">
        <f t="shared" si="1008"/>
        <v>0</v>
      </c>
      <c r="V1353" s="24">
        <f t="shared" si="1008"/>
        <v>0</v>
      </c>
      <c r="W1353" s="24">
        <f t="shared" si="1008"/>
        <v>0</v>
      </c>
      <c r="Y1353" s="390"/>
      <c r="Z1353" s="390"/>
      <c r="AA1353" s="390"/>
      <c r="AB1353" s="390"/>
      <c r="AC1353" s="390"/>
      <c r="AD1353" s="390"/>
      <c r="AE1353" s="390"/>
      <c r="AF1353" s="390"/>
      <c r="AG1353" s="390"/>
      <c r="AH1353" s="390"/>
      <c r="AI1353" s="390"/>
      <c r="AJ1353" s="390"/>
      <c r="AK1353" s="390"/>
      <c r="AL1353" s="390"/>
      <c r="AM1353" s="390"/>
      <c r="AN1353" s="390"/>
      <c r="AO1353" s="390"/>
      <c r="AP1353" s="390"/>
      <c r="AQ1353" s="390"/>
      <c r="AR1353" s="390"/>
      <c r="AS1353" s="390"/>
    </row>
    <row r="1354" spans="2:45" x14ac:dyDescent="0.3">
      <c r="B1354" s="54" t="s">
        <v>68</v>
      </c>
      <c r="C1354" s="55"/>
      <c r="D1354" s="21">
        <f>D1352+D1353</f>
        <v>0</v>
      </c>
      <c r="E1354" s="21">
        <f t="shared" ref="E1354:W1354" si="1009">E1352+E1353</f>
        <v>0</v>
      </c>
      <c r="F1354" s="21">
        <f t="shared" si="1009"/>
        <v>0</v>
      </c>
      <c r="G1354" s="21">
        <f t="shared" si="1009"/>
        <v>0</v>
      </c>
      <c r="H1354" s="21">
        <f t="shared" si="1009"/>
        <v>0</v>
      </c>
      <c r="I1354" s="21">
        <f t="shared" si="1009"/>
        <v>0</v>
      </c>
      <c r="J1354" s="21">
        <f t="shared" si="1009"/>
        <v>0</v>
      </c>
      <c r="K1354" s="21">
        <f t="shared" si="1009"/>
        <v>0</v>
      </c>
      <c r="L1354" s="21">
        <f t="shared" si="1009"/>
        <v>0</v>
      </c>
      <c r="M1354" s="21">
        <f t="shared" si="1009"/>
        <v>0</v>
      </c>
      <c r="N1354" s="21">
        <f t="shared" si="1009"/>
        <v>0</v>
      </c>
      <c r="O1354" s="21">
        <f t="shared" si="1009"/>
        <v>0</v>
      </c>
      <c r="P1354" s="21">
        <f t="shared" si="1009"/>
        <v>0</v>
      </c>
      <c r="Q1354" s="21">
        <f t="shared" si="1009"/>
        <v>0</v>
      </c>
      <c r="R1354" s="21">
        <f t="shared" si="1009"/>
        <v>0</v>
      </c>
      <c r="S1354" s="21">
        <f t="shared" si="1009"/>
        <v>0</v>
      </c>
      <c r="T1354" s="21">
        <f t="shared" si="1009"/>
        <v>0</v>
      </c>
      <c r="U1354" s="21">
        <f t="shared" si="1009"/>
        <v>0</v>
      </c>
      <c r="V1354" s="21">
        <f t="shared" si="1009"/>
        <v>0</v>
      </c>
      <c r="W1354" s="21">
        <f t="shared" si="1009"/>
        <v>0</v>
      </c>
      <c r="Y1354" s="390"/>
      <c r="Z1354" s="390"/>
      <c r="AA1354" s="390"/>
      <c r="AB1354" s="390"/>
      <c r="AC1354" s="390"/>
      <c r="AD1354" s="390"/>
      <c r="AE1354" s="390"/>
      <c r="AF1354" s="390"/>
      <c r="AG1354" s="390"/>
      <c r="AH1354" s="390"/>
      <c r="AI1354" s="390"/>
      <c r="AJ1354" s="390"/>
      <c r="AK1354" s="390"/>
      <c r="AL1354" s="390"/>
      <c r="AM1354" s="390"/>
      <c r="AN1354" s="390"/>
      <c r="AO1354" s="390"/>
      <c r="AP1354" s="390"/>
      <c r="AQ1354" s="390"/>
      <c r="AR1354" s="390"/>
      <c r="AS1354" s="390"/>
    </row>
    <row r="1355" spans="2:45" x14ac:dyDescent="0.3">
      <c r="B1355" s="54" t="s">
        <v>52</v>
      </c>
      <c r="C1355" s="55"/>
      <c r="D1355" s="20">
        <v>0.85000000000000009</v>
      </c>
      <c r="E1355" s="21">
        <v>1.7</v>
      </c>
      <c r="F1355" s="21">
        <v>2.0500000000000003</v>
      </c>
      <c r="G1355" s="21">
        <v>1.1499999999999999</v>
      </c>
      <c r="H1355" s="21">
        <v>0.98</v>
      </c>
      <c r="I1355" s="21">
        <v>0.98</v>
      </c>
      <c r="J1355" s="21">
        <v>1.5999999999999999</v>
      </c>
      <c r="K1355" s="21">
        <v>1.45</v>
      </c>
      <c r="L1355" s="21">
        <v>1.45</v>
      </c>
      <c r="M1355" s="21">
        <v>0.7</v>
      </c>
      <c r="N1355" s="21">
        <v>0.82000000000000006</v>
      </c>
      <c r="O1355" s="21">
        <v>0.98</v>
      </c>
      <c r="P1355" s="21">
        <v>0.59000000000000008</v>
      </c>
      <c r="Q1355" s="21">
        <v>0.59000000000000008</v>
      </c>
      <c r="R1355" s="21">
        <v>0.98</v>
      </c>
      <c r="S1355" s="21">
        <v>0.85000000000000009</v>
      </c>
      <c r="T1355" s="21">
        <v>6.7</v>
      </c>
      <c r="U1355" s="21">
        <v>11.2</v>
      </c>
      <c r="V1355" s="21">
        <v>6.7</v>
      </c>
      <c r="W1355" s="21">
        <v>0.59000000000000008</v>
      </c>
      <c r="Y1355" s="390"/>
      <c r="Z1355" s="390"/>
      <c r="AA1355" s="390"/>
      <c r="AB1355" s="390"/>
      <c r="AC1355" s="390"/>
      <c r="AD1355" s="390"/>
      <c r="AE1355" s="390"/>
      <c r="AF1355" s="390"/>
      <c r="AG1355" s="390"/>
      <c r="AH1355" s="390"/>
      <c r="AI1355" s="390"/>
      <c r="AJ1355" s="390"/>
      <c r="AK1355" s="390"/>
      <c r="AL1355" s="390"/>
      <c r="AM1355" s="390"/>
      <c r="AN1355" s="390"/>
      <c r="AO1355" s="390"/>
      <c r="AP1355" s="390"/>
      <c r="AQ1355" s="390"/>
      <c r="AR1355" s="390"/>
      <c r="AS1355" s="390"/>
    </row>
    <row r="1356" spans="2:45" x14ac:dyDescent="0.3">
      <c r="B1356" s="57" t="s">
        <v>53</v>
      </c>
      <c r="C1356" s="58"/>
      <c r="D1356" s="25">
        <f>SUM(D1354:D1355)</f>
        <v>0.85000000000000009</v>
      </c>
      <c r="E1356" s="26">
        <f t="shared" ref="E1356:W1356" si="1010">SUM(E1354:E1355)</f>
        <v>1.7</v>
      </c>
      <c r="F1356" s="26">
        <f t="shared" si="1010"/>
        <v>2.0500000000000003</v>
      </c>
      <c r="G1356" s="26">
        <f t="shared" si="1010"/>
        <v>1.1499999999999999</v>
      </c>
      <c r="H1356" s="26">
        <f t="shared" si="1010"/>
        <v>0.98</v>
      </c>
      <c r="I1356" s="26">
        <f t="shared" si="1010"/>
        <v>0.98</v>
      </c>
      <c r="J1356" s="26">
        <f t="shared" si="1010"/>
        <v>1.5999999999999999</v>
      </c>
      <c r="K1356" s="26">
        <f t="shared" si="1010"/>
        <v>1.45</v>
      </c>
      <c r="L1356" s="26">
        <f t="shared" si="1010"/>
        <v>1.45</v>
      </c>
      <c r="M1356" s="26">
        <f t="shared" si="1010"/>
        <v>0.7</v>
      </c>
      <c r="N1356" s="26">
        <f t="shared" si="1010"/>
        <v>0.82000000000000006</v>
      </c>
      <c r="O1356" s="26">
        <f t="shared" si="1010"/>
        <v>0.98</v>
      </c>
      <c r="P1356" s="26">
        <f t="shared" si="1010"/>
        <v>0.59000000000000008</v>
      </c>
      <c r="Q1356" s="26">
        <f t="shared" si="1010"/>
        <v>0.59000000000000008</v>
      </c>
      <c r="R1356" s="26">
        <f t="shared" si="1010"/>
        <v>0.98</v>
      </c>
      <c r="S1356" s="26">
        <f t="shared" si="1010"/>
        <v>0.85000000000000009</v>
      </c>
      <c r="T1356" s="26">
        <f t="shared" si="1010"/>
        <v>6.7</v>
      </c>
      <c r="U1356" s="26">
        <f t="shared" si="1010"/>
        <v>11.2</v>
      </c>
      <c r="V1356" s="26">
        <f t="shared" si="1010"/>
        <v>6.7</v>
      </c>
      <c r="W1356" s="26">
        <f t="shared" si="1010"/>
        <v>0.59000000000000008</v>
      </c>
      <c r="Y1356" s="390"/>
      <c r="Z1356" s="390"/>
      <c r="AA1356" s="390"/>
      <c r="AB1356" s="390"/>
      <c r="AC1356" s="390"/>
      <c r="AD1356" s="390"/>
      <c r="AE1356" s="390"/>
      <c r="AF1356" s="390"/>
      <c r="AG1356" s="390"/>
      <c r="AH1356" s="390"/>
      <c r="AI1356" s="390"/>
      <c r="AJ1356" s="390"/>
      <c r="AK1356" s="390"/>
      <c r="AL1356" s="390"/>
      <c r="AM1356" s="390"/>
      <c r="AN1356" s="390"/>
      <c r="AO1356" s="390"/>
      <c r="AP1356" s="390"/>
      <c r="AQ1356" s="390"/>
      <c r="AR1356" s="390"/>
      <c r="AS1356" s="390"/>
    </row>
    <row r="1357" spans="2:45" x14ac:dyDescent="0.3">
      <c r="B1357" s="54" t="s">
        <v>54</v>
      </c>
      <c r="C1357" s="55"/>
      <c r="D1357" s="20"/>
      <c r="E1357" s="21"/>
      <c r="F1357" s="21"/>
      <c r="G1357" s="21"/>
      <c r="H1357" s="21"/>
      <c r="I1357" s="21"/>
      <c r="J1357" s="21"/>
      <c r="K1357" s="21"/>
      <c r="L1357" s="21"/>
      <c r="M1357" s="21"/>
      <c r="N1357" s="21"/>
      <c r="O1357" s="21"/>
      <c r="P1357" s="21"/>
      <c r="Q1357" s="21"/>
      <c r="R1357" s="21"/>
      <c r="S1357" s="21"/>
      <c r="T1357" s="21"/>
      <c r="U1357" s="21"/>
      <c r="V1357" s="21"/>
      <c r="W1357" s="21"/>
      <c r="Y1357" s="390"/>
      <c r="Z1357" s="390"/>
      <c r="AA1357" s="390"/>
      <c r="AB1357" s="390"/>
      <c r="AC1357" s="390"/>
      <c r="AD1357" s="390"/>
      <c r="AE1357" s="390"/>
      <c r="AF1357" s="390"/>
      <c r="AG1357" s="390"/>
      <c r="AH1357" s="390"/>
      <c r="AI1357" s="390"/>
      <c r="AJ1357" s="390"/>
      <c r="AK1357" s="390"/>
      <c r="AL1357" s="390"/>
      <c r="AM1357" s="390"/>
      <c r="AN1357" s="390"/>
      <c r="AO1357" s="390"/>
      <c r="AP1357" s="390"/>
      <c r="AQ1357" s="390"/>
      <c r="AR1357" s="390"/>
      <c r="AS1357" s="390"/>
    </row>
    <row r="1358" spans="2:45" x14ac:dyDescent="0.3">
      <c r="B1358" s="59" t="s">
        <v>55</v>
      </c>
      <c r="C1358" s="60"/>
      <c r="D1358" s="27">
        <f>SUM(D1356:D1357)</f>
        <v>0.85000000000000009</v>
      </c>
      <c r="E1358" s="41">
        <f t="shared" ref="E1358:W1358" si="1011">SUM(E1356:E1357)</f>
        <v>1.7</v>
      </c>
      <c r="F1358" s="41">
        <f t="shared" si="1011"/>
        <v>2.0500000000000003</v>
      </c>
      <c r="G1358" s="41">
        <f t="shared" si="1011"/>
        <v>1.1499999999999999</v>
      </c>
      <c r="H1358" s="41">
        <f t="shared" si="1011"/>
        <v>0.98</v>
      </c>
      <c r="I1358" s="41">
        <f t="shared" si="1011"/>
        <v>0.98</v>
      </c>
      <c r="J1358" s="41">
        <f t="shared" si="1011"/>
        <v>1.5999999999999999</v>
      </c>
      <c r="K1358" s="41">
        <f t="shared" si="1011"/>
        <v>1.45</v>
      </c>
      <c r="L1358" s="41">
        <f t="shared" si="1011"/>
        <v>1.45</v>
      </c>
      <c r="M1358" s="41">
        <f t="shared" si="1011"/>
        <v>0.7</v>
      </c>
      <c r="N1358" s="41">
        <f t="shared" si="1011"/>
        <v>0.82000000000000006</v>
      </c>
      <c r="O1358" s="41">
        <f t="shared" si="1011"/>
        <v>0.98</v>
      </c>
      <c r="P1358" s="41">
        <f t="shared" si="1011"/>
        <v>0.59000000000000008</v>
      </c>
      <c r="Q1358" s="41">
        <f t="shared" si="1011"/>
        <v>0.59000000000000008</v>
      </c>
      <c r="R1358" s="41">
        <f t="shared" si="1011"/>
        <v>0.98</v>
      </c>
      <c r="S1358" s="41">
        <f t="shared" si="1011"/>
        <v>0.85000000000000009</v>
      </c>
      <c r="T1358" s="41">
        <f t="shared" si="1011"/>
        <v>6.7</v>
      </c>
      <c r="U1358" s="41">
        <f t="shared" si="1011"/>
        <v>11.2</v>
      </c>
      <c r="V1358" s="41">
        <f t="shared" si="1011"/>
        <v>6.7</v>
      </c>
      <c r="W1358" s="41">
        <f t="shared" si="1011"/>
        <v>0.59000000000000008</v>
      </c>
      <c r="Y1358" s="390"/>
      <c r="Z1358" s="390"/>
      <c r="AA1358" s="390"/>
      <c r="AB1358" s="390"/>
      <c r="AC1358" s="390"/>
      <c r="AD1358" s="390"/>
      <c r="AE1358" s="390"/>
      <c r="AF1358" s="390"/>
      <c r="AG1358" s="390"/>
      <c r="AH1358" s="390"/>
      <c r="AI1358" s="390"/>
      <c r="AJ1358" s="390"/>
      <c r="AK1358" s="390"/>
      <c r="AL1358" s="390"/>
      <c r="AM1358" s="390"/>
      <c r="AN1358" s="390"/>
      <c r="AO1358" s="390"/>
      <c r="AP1358" s="390"/>
      <c r="AQ1358" s="390"/>
      <c r="AR1358" s="390"/>
      <c r="AS1358" s="390"/>
    </row>
    <row r="1359" spans="2:45" x14ac:dyDescent="0.3">
      <c r="B1359" s="61" t="s">
        <v>101</v>
      </c>
      <c r="C1359" s="55"/>
      <c r="D1359" s="228">
        <f>D1360-1</f>
        <v>3</v>
      </c>
      <c r="E1359" s="229">
        <f t="shared" ref="E1359:S1359" si="1012">E1360-1</f>
        <v>4</v>
      </c>
      <c r="F1359" s="229">
        <f t="shared" si="1012"/>
        <v>5</v>
      </c>
      <c r="G1359" s="229">
        <f t="shared" si="1012"/>
        <v>4</v>
      </c>
      <c r="H1359" s="229">
        <f t="shared" si="1012"/>
        <v>3</v>
      </c>
      <c r="I1359" s="229">
        <f t="shared" si="1012"/>
        <v>3</v>
      </c>
      <c r="J1359" s="229">
        <f t="shared" si="1012"/>
        <v>4</v>
      </c>
      <c r="K1359" s="229">
        <f t="shared" si="1012"/>
        <v>4</v>
      </c>
      <c r="L1359" s="229">
        <f t="shared" si="1012"/>
        <v>4</v>
      </c>
      <c r="M1359" s="229">
        <f t="shared" si="1012"/>
        <v>3</v>
      </c>
      <c r="N1359" s="229">
        <f t="shared" si="1012"/>
        <v>3</v>
      </c>
      <c r="O1359" s="229">
        <f t="shared" si="1012"/>
        <v>3</v>
      </c>
      <c r="P1359" s="229">
        <f t="shared" si="1012"/>
        <v>3</v>
      </c>
      <c r="Q1359" s="229">
        <f t="shared" si="1012"/>
        <v>3</v>
      </c>
      <c r="R1359" s="229">
        <f t="shared" si="1012"/>
        <v>3</v>
      </c>
      <c r="S1359" s="229">
        <f t="shared" si="1012"/>
        <v>3</v>
      </c>
      <c r="T1359" s="21"/>
      <c r="U1359" s="21"/>
      <c r="V1359" s="21"/>
      <c r="W1359" s="229">
        <f>W1360-1</f>
        <v>3</v>
      </c>
      <c r="Y1359" s="390"/>
      <c r="Z1359" s="390"/>
      <c r="AA1359" s="390"/>
      <c r="AB1359" s="390"/>
      <c r="AC1359" s="390"/>
      <c r="AD1359" s="390"/>
      <c r="AE1359" s="390"/>
      <c r="AF1359" s="390"/>
      <c r="AG1359" s="390"/>
      <c r="AH1359" s="390"/>
      <c r="AI1359" s="390"/>
      <c r="AJ1359" s="390"/>
      <c r="AK1359" s="390"/>
      <c r="AL1359" s="390"/>
      <c r="AM1359" s="390"/>
      <c r="AN1359" s="390"/>
      <c r="AO1359" s="390"/>
      <c r="AP1359" s="390"/>
      <c r="AQ1359" s="390"/>
      <c r="AR1359" s="390"/>
      <c r="AS1359" s="390"/>
    </row>
    <row r="1360" spans="2:45" x14ac:dyDescent="0.3">
      <c r="B1360" s="61" t="s">
        <v>194</v>
      </c>
      <c r="C1360" s="62"/>
      <c r="D1360" s="28">
        <f>ROUNDUP((D1358+3),0)</f>
        <v>4</v>
      </c>
      <c r="E1360" s="28">
        <f t="shared" ref="E1360:S1360" si="1013">ROUNDUP((E1358+3),0)</f>
        <v>5</v>
      </c>
      <c r="F1360" s="28">
        <f t="shared" si="1013"/>
        <v>6</v>
      </c>
      <c r="G1360" s="28">
        <f t="shared" si="1013"/>
        <v>5</v>
      </c>
      <c r="H1360" s="28">
        <f t="shared" si="1013"/>
        <v>4</v>
      </c>
      <c r="I1360" s="28">
        <f t="shared" si="1013"/>
        <v>4</v>
      </c>
      <c r="J1360" s="28">
        <f t="shared" si="1013"/>
        <v>5</v>
      </c>
      <c r="K1360" s="28">
        <f t="shared" si="1013"/>
        <v>5</v>
      </c>
      <c r="L1360" s="28">
        <f t="shared" si="1013"/>
        <v>5</v>
      </c>
      <c r="M1360" s="28">
        <f t="shared" si="1013"/>
        <v>4</v>
      </c>
      <c r="N1360" s="28">
        <f t="shared" si="1013"/>
        <v>4</v>
      </c>
      <c r="O1360" s="28">
        <f t="shared" si="1013"/>
        <v>4</v>
      </c>
      <c r="P1360" s="28">
        <f t="shared" si="1013"/>
        <v>4</v>
      </c>
      <c r="Q1360" s="28">
        <f t="shared" si="1013"/>
        <v>4</v>
      </c>
      <c r="R1360" s="28">
        <f t="shared" si="1013"/>
        <v>4</v>
      </c>
      <c r="S1360" s="28">
        <f t="shared" si="1013"/>
        <v>4</v>
      </c>
      <c r="T1360" s="29"/>
      <c r="U1360" s="29"/>
      <c r="V1360" s="29"/>
      <c r="W1360" s="28">
        <f>ROUNDUP((W1358+3),0)</f>
        <v>4</v>
      </c>
      <c r="Y1360" s="390"/>
      <c r="Z1360" s="390"/>
      <c r="AA1360" s="390"/>
      <c r="AB1360" s="390"/>
      <c r="AC1360" s="390"/>
      <c r="AD1360" s="390"/>
      <c r="AE1360" s="390"/>
      <c r="AF1360" s="390"/>
      <c r="AG1360" s="390"/>
      <c r="AH1360" s="390"/>
      <c r="AI1360" s="390"/>
      <c r="AJ1360" s="390"/>
      <c r="AK1360" s="390"/>
      <c r="AL1360" s="390"/>
      <c r="AM1360" s="390"/>
      <c r="AN1360" s="390"/>
      <c r="AO1360" s="390"/>
      <c r="AP1360" s="390"/>
      <c r="AQ1360" s="390"/>
      <c r="AR1360" s="390"/>
      <c r="AS1360" s="390"/>
    </row>
    <row r="1361" spans="2:45" x14ac:dyDescent="0.3">
      <c r="B1361" s="61" t="s">
        <v>195</v>
      </c>
      <c r="C1361" s="62"/>
      <c r="D1361" s="28">
        <f>ROUNDUP((D1358+4),0)</f>
        <v>5</v>
      </c>
      <c r="E1361" s="28">
        <f t="shared" ref="E1361:S1361" si="1014">ROUNDUP((E1358+4),0)</f>
        <v>6</v>
      </c>
      <c r="F1361" s="28">
        <f t="shared" si="1014"/>
        <v>7</v>
      </c>
      <c r="G1361" s="28">
        <f t="shared" si="1014"/>
        <v>6</v>
      </c>
      <c r="H1361" s="28">
        <f t="shared" si="1014"/>
        <v>5</v>
      </c>
      <c r="I1361" s="28">
        <f t="shared" si="1014"/>
        <v>5</v>
      </c>
      <c r="J1361" s="28">
        <f t="shared" si="1014"/>
        <v>6</v>
      </c>
      <c r="K1361" s="28">
        <f t="shared" si="1014"/>
        <v>6</v>
      </c>
      <c r="L1361" s="28">
        <f t="shared" si="1014"/>
        <v>6</v>
      </c>
      <c r="M1361" s="28">
        <f t="shared" si="1014"/>
        <v>5</v>
      </c>
      <c r="N1361" s="28">
        <f t="shared" si="1014"/>
        <v>5</v>
      </c>
      <c r="O1361" s="28">
        <f t="shared" si="1014"/>
        <v>5</v>
      </c>
      <c r="P1361" s="28">
        <f t="shared" si="1014"/>
        <v>5</v>
      </c>
      <c r="Q1361" s="28">
        <f t="shared" si="1014"/>
        <v>5</v>
      </c>
      <c r="R1361" s="28">
        <f t="shared" si="1014"/>
        <v>5</v>
      </c>
      <c r="S1361" s="28">
        <f t="shared" si="1014"/>
        <v>5</v>
      </c>
      <c r="T1361" s="29"/>
      <c r="U1361" s="29"/>
      <c r="V1361" s="29"/>
      <c r="W1361" s="28">
        <f>ROUNDUP((W1358+4),0)</f>
        <v>5</v>
      </c>
      <c r="Y1361" s="390"/>
      <c r="Z1361" s="390"/>
      <c r="AA1361" s="390"/>
      <c r="AB1361" s="390"/>
      <c r="AC1361" s="390"/>
      <c r="AD1361" s="390"/>
      <c r="AE1361" s="390"/>
      <c r="AF1361" s="390"/>
      <c r="AG1361" s="390"/>
      <c r="AH1361" s="390"/>
      <c r="AI1361" s="390"/>
      <c r="AJ1361" s="390"/>
      <c r="AK1361" s="390"/>
      <c r="AL1361" s="390"/>
      <c r="AM1361" s="390"/>
      <c r="AN1361" s="390"/>
      <c r="AO1361" s="390"/>
      <c r="AP1361" s="390"/>
      <c r="AQ1361" s="390"/>
      <c r="AR1361" s="390"/>
      <c r="AS1361" s="390"/>
    </row>
    <row r="1362" spans="2:45" x14ac:dyDescent="0.3">
      <c r="B1362" s="61" t="s">
        <v>196</v>
      </c>
      <c r="C1362" s="62"/>
      <c r="D1362" s="28">
        <f>ROUNDUP((D1358+6),0)</f>
        <v>7</v>
      </c>
      <c r="E1362" s="28">
        <f t="shared" ref="E1362:S1362" si="1015">ROUNDUP((E1358+6),0)</f>
        <v>8</v>
      </c>
      <c r="F1362" s="28">
        <f t="shared" si="1015"/>
        <v>9</v>
      </c>
      <c r="G1362" s="28">
        <f t="shared" si="1015"/>
        <v>8</v>
      </c>
      <c r="H1362" s="28">
        <f t="shared" si="1015"/>
        <v>7</v>
      </c>
      <c r="I1362" s="28">
        <f t="shared" si="1015"/>
        <v>7</v>
      </c>
      <c r="J1362" s="28">
        <f t="shared" si="1015"/>
        <v>8</v>
      </c>
      <c r="K1362" s="28">
        <f t="shared" si="1015"/>
        <v>8</v>
      </c>
      <c r="L1362" s="28">
        <f t="shared" si="1015"/>
        <v>8</v>
      </c>
      <c r="M1362" s="28">
        <f t="shared" si="1015"/>
        <v>7</v>
      </c>
      <c r="N1362" s="28">
        <f t="shared" si="1015"/>
        <v>7</v>
      </c>
      <c r="O1362" s="28">
        <f t="shared" si="1015"/>
        <v>7</v>
      </c>
      <c r="P1362" s="28">
        <f t="shared" si="1015"/>
        <v>7</v>
      </c>
      <c r="Q1362" s="28">
        <f t="shared" si="1015"/>
        <v>7</v>
      </c>
      <c r="R1362" s="28">
        <f t="shared" si="1015"/>
        <v>7</v>
      </c>
      <c r="S1362" s="28">
        <f t="shared" si="1015"/>
        <v>7</v>
      </c>
      <c r="T1362" s="29"/>
      <c r="U1362" s="29"/>
      <c r="V1362" s="29"/>
      <c r="W1362" s="28">
        <f>ROUNDUP((W1358+6),0)</f>
        <v>7</v>
      </c>
      <c r="Y1362" s="390"/>
      <c r="Z1362" s="390"/>
      <c r="AA1362" s="390"/>
      <c r="AB1362" s="390"/>
      <c r="AC1362" s="390"/>
      <c r="AD1362" s="390"/>
      <c r="AE1362" s="390"/>
      <c r="AF1362" s="390"/>
      <c r="AG1362" s="390"/>
      <c r="AH1362" s="390"/>
      <c r="AI1362" s="390"/>
      <c r="AJ1362" s="390"/>
      <c r="AK1362" s="390"/>
      <c r="AL1362" s="390"/>
      <c r="AM1362" s="390"/>
      <c r="AN1362" s="390"/>
      <c r="AO1362" s="390"/>
      <c r="AP1362" s="390"/>
      <c r="AQ1362" s="390"/>
      <c r="AR1362" s="390"/>
      <c r="AS1362" s="390"/>
    </row>
    <row r="1363" spans="2:45" x14ac:dyDescent="0.3">
      <c r="B1363" s="61" t="s">
        <v>197</v>
      </c>
      <c r="C1363" s="62"/>
      <c r="D1363" s="28">
        <f>ROUNDUP((D1358+10),0)</f>
        <v>11</v>
      </c>
      <c r="E1363" s="28">
        <f t="shared" ref="E1363:S1363" si="1016">ROUNDUP((E1358+10),0)</f>
        <v>12</v>
      </c>
      <c r="F1363" s="28">
        <f t="shared" si="1016"/>
        <v>13</v>
      </c>
      <c r="G1363" s="28">
        <f t="shared" si="1016"/>
        <v>12</v>
      </c>
      <c r="H1363" s="28">
        <f t="shared" si="1016"/>
        <v>11</v>
      </c>
      <c r="I1363" s="28">
        <f t="shared" si="1016"/>
        <v>11</v>
      </c>
      <c r="J1363" s="28">
        <f t="shared" si="1016"/>
        <v>12</v>
      </c>
      <c r="K1363" s="28">
        <f t="shared" si="1016"/>
        <v>12</v>
      </c>
      <c r="L1363" s="28">
        <f t="shared" si="1016"/>
        <v>12</v>
      </c>
      <c r="M1363" s="28">
        <f t="shared" si="1016"/>
        <v>11</v>
      </c>
      <c r="N1363" s="28">
        <f t="shared" si="1016"/>
        <v>11</v>
      </c>
      <c r="O1363" s="28">
        <f t="shared" si="1016"/>
        <v>11</v>
      </c>
      <c r="P1363" s="28">
        <f t="shared" si="1016"/>
        <v>11</v>
      </c>
      <c r="Q1363" s="28">
        <f t="shared" si="1016"/>
        <v>11</v>
      </c>
      <c r="R1363" s="28">
        <f t="shared" si="1016"/>
        <v>11</v>
      </c>
      <c r="S1363" s="28">
        <f t="shared" si="1016"/>
        <v>11</v>
      </c>
      <c r="T1363" s="29"/>
      <c r="U1363" s="29"/>
      <c r="V1363" s="29"/>
      <c r="W1363" s="28">
        <f>ROUNDUP((W1358+10),0)</f>
        <v>11</v>
      </c>
      <c r="Y1363" s="390"/>
      <c r="Z1363" s="390"/>
      <c r="AA1363" s="390"/>
      <c r="AB1363" s="390"/>
      <c r="AC1363" s="390"/>
      <c r="AD1363" s="390"/>
      <c r="AE1363" s="390"/>
      <c r="AF1363" s="390"/>
      <c r="AG1363" s="390"/>
      <c r="AH1363" s="390"/>
      <c r="AI1363" s="390"/>
      <c r="AJ1363" s="390"/>
      <c r="AK1363" s="390"/>
      <c r="AL1363" s="390"/>
      <c r="AM1363" s="390"/>
      <c r="AN1363" s="390"/>
      <c r="AO1363" s="390"/>
      <c r="AP1363" s="390"/>
      <c r="AQ1363" s="390"/>
      <c r="AR1363" s="390"/>
      <c r="AS1363" s="390"/>
    </row>
    <row r="1364" spans="2:45" x14ac:dyDescent="0.3">
      <c r="B1364" s="63" t="s">
        <v>103</v>
      </c>
      <c r="C1364" s="62"/>
      <c r="D1364" s="31">
        <f>+D1359-D$833</f>
        <v>-382.62882580645157</v>
      </c>
      <c r="E1364" s="31">
        <f>+E1359-E$833</f>
        <v>-394.01592258064517</v>
      </c>
      <c r="F1364" s="31">
        <f t="shared" ref="F1364:S1364" si="1017">+F1359-F$833</f>
        <v>-399.79011612903224</v>
      </c>
      <c r="G1364" s="31">
        <f t="shared" si="1017"/>
        <v>-388.20947096774194</v>
      </c>
      <c r="H1364" s="31">
        <f t="shared" si="1017"/>
        <v>-384.69334193548383</v>
      </c>
      <c r="I1364" s="31">
        <f t="shared" si="1017"/>
        <v>-388.88689032258065</v>
      </c>
      <c r="J1364" s="31">
        <f t="shared" si="1017"/>
        <v>-394.98366451612901</v>
      </c>
      <c r="K1364" s="31">
        <f t="shared" si="1017"/>
        <v>-391.4352774193548</v>
      </c>
      <c r="L1364" s="31">
        <f t="shared" si="1017"/>
        <v>-392.72559999999999</v>
      </c>
      <c r="M1364" s="31">
        <f t="shared" si="1017"/>
        <v>-382.88689032258065</v>
      </c>
      <c r="N1364" s="31">
        <f t="shared" si="1017"/>
        <v>-384.95140645161291</v>
      </c>
      <c r="O1364" s="31">
        <f t="shared" si="1017"/>
        <v>-389.20947096774194</v>
      </c>
      <c r="P1364" s="31">
        <f t="shared" si="1017"/>
        <v>-380.17721290322578</v>
      </c>
      <c r="Q1364" s="31">
        <f t="shared" si="1017"/>
        <v>-380.17721290322578</v>
      </c>
      <c r="R1364" s="31">
        <f t="shared" si="1017"/>
        <v>-386.62882580645157</v>
      </c>
      <c r="S1364" s="31">
        <f t="shared" si="1017"/>
        <v>-384.8223741935484</v>
      </c>
      <c r="T1364" s="29"/>
      <c r="U1364" s="29"/>
      <c r="V1364" s="29"/>
      <c r="W1364" s="31">
        <f>+W1359-W$833</f>
        <v>-380.17721290322578</v>
      </c>
      <c r="Y1364" s="390"/>
      <c r="Z1364" s="390"/>
      <c r="AA1364" s="390"/>
      <c r="AB1364" s="390"/>
      <c r="AC1364" s="390"/>
      <c r="AD1364" s="390"/>
      <c r="AE1364" s="390"/>
      <c r="AF1364" s="390"/>
      <c r="AG1364" s="390"/>
      <c r="AH1364" s="390"/>
      <c r="AI1364" s="390"/>
      <c r="AJ1364" s="390"/>
      <c r="AK1364" s="390"/>
      <c r="AL1364" s="390"/>
      <c r="AM1364" s="390"/>
      <c r="AN1364" s="390"/>
      <c r="AO1364" s="390"/>
      <c r="AP1364" s="390"/>
      <c r="AQ1364" s="390"/>
      <c r="AR1364" s="390"/>
      <c r="AS1364" s="390"/>
    </row>
    <row r="1365" spans="2:45" x14ac:dyDescent="0.3">
      <c r="B1365" s="63" t="s">
        <v>104</v>
      </c>
      <c r="C1365" s="64"/>
      <c r="D1365" s="31">
        <f>+D1360-D$833</f>
        <v>-381.62882580645157</v>
      </c>
      <c r="E1365" s="32">
        <f t="shared" ref="E1365:S1365" si="1018">+E1360-E$833</f>
        <v>-393.01592258064517</v>
      </c>
      <c r="F1365" s="32">
        <f t="shared" si="1018"/>
        <v>-398.79011612903224</v>
      </c>
      <c r="G1365" s="32">
        <f t="shared" si="1018"/>
        <v>-387.20947096774194</v>
      </c>
      <c r="H1365" s="32">
        <f t="shared" si="1018"/>
        <v>-383.69334193548383</v>
      </c>
      <c r="I1365" s="32">
        <f t="shared" si="1018"/>
        <v>-387.88689032258065</v>
      </c>
      <c r="J1365" s="32">
        <f t="shared" si="1018"/>
        <v>-393.98366451612901</v>
      </c>
      <c r="K1365" s="32">
        <f t="shared" si="1018"/>
        <v>-390.4352774193548</v>
      </c>
      <c r="L1365" s="32">
        <f t="shared" si="1018"/>
        <v>-391.72559999999999</v>
      </c>
      <c r="M1365" s="32">
        <f t="shared" si="1018"/>
        <v>-381.88689032258065</v>
      </c>
      <c r="N1365" s="32">
        <f t="shared" si="1018"/>
        <v>-383.95140645161291</v>
      </c>
      <c r="O1365" s="32">
        <f t="shared" si="1018"/>
        <v>-388.20947096774194</v>
      </c>
      <c r="P1365" s="32">
        <f t="shared" si="1018"/>
        <v>-379.17721290322578</v>
      </c>
      <c r="Q1365" s="32">
        <f t="shared" si="1018"/>
        <v>-379.17721290322578</v>
      </c>
      <c r="R1365" s="32">
        <f t="shared" si="1018"/>
        <v>-385.62882580645157</v>
      </c>
      <c r="S1365" s="32">
        <f t="shared" si="1018"/>
        <v>-383.8223741935484</v>
      </c>
      <c r="T1365" s="32"/>
      <c r="U1365" s="32"/>
      <c r="V1365" s="32"/>
      <c r="W1365" s="32">
        <f>+W1360-W$833</f>
        <v>-379.17721290322578</v>
      </c>
      <c r="Y1365" s="390"/>
      <c r="Z1365" s="390"/>
      <c r="AA1365" s="390"/>
      <c r="AB1365" s="390"/>
      <c r="AC1365" s="390"/>
      <c r="AD1365" s="390"/>
      <c r="AE1365" s="390"/>
      <c r="AF1365" s="390"/>
      <c r="AG1365" s="390"/>
      <c r="AH1365" s="390"/>
      <c r="AI1365" s="390"/>
      <c r="AJ1365" s="390"/>
      <c r="AK1365" s="390"/>
      <c r="AL1365" s="390"/>
      <c r="AM1365" s="390"/>
      <c r="AN1365" s="390"/>
      <c r="AO1365" s="390"/>
      <c r="AP1365" s="390"/>
      <c r="AQ1365" s="390"/>
      <c r="AR1365" s="390"/>
      <c r="AS1365" s="390"/>
    </row>
    <row r="1366" spans="2:45" x14ac:dyDescent="0.3">
      <c r="B1366" s="63" t="s">
        <v>105</v>
      </c>
      <c r="C1366" s="64"/>
      <c r="D1366" s="31">
        <f>+D1361-D$833</f>
        <v>-380.62882580645157</v>
      </c>
      <c r="E1366" s="32">
        <f t="shared" ref="E1366:S1366" si="1019">+E1361-E$833</f>
        <v>-392.01592258064517</v>
      </c>
      <c r="F1366" s="32">
        <f t="shared" si="1019"/>
        <v>-397.79011612903224</v>
      </c>
      <c r="G1366" s="32">
        <f t="shared" si="1019"/>
        <v>-386.20947096774194</v>
      </c>
      <c r="H1366" s="32">
        <f t="shared" si="1019"/>
        <v>-382.69334193548383</v>
      </c>
      <c r="I1366" s="32">
        <f t="shared" si="1019"/>
        <v>-386.88689032258065</v>
      </c>
      <c r="J1366" s="32">
        <f t="shared" si="1019"/>
        <v>-392.98366451612901</v>
      </c>
      <c r="K1366" s="32">
        <f t="shared" si="1019"/>
        <v>-389.4352774193548</v>
      </c>
      <c r="L1366" s="32">
        <f t="shared" si="1019"/>
        <v>-390.72559999999999</v>
      </c>
      <c r="M1366" s="32">
        <f t="shared" si="1019"/>
        <v>-380.88689032258065</v>
      </c>
      <c r="N1366" s="32">
        <f t="shared" si="1019"/>
        <v>-382.95140645161291</v>
      </c>
      <c r="O1366" s="32">
        <f t="shared" si="1019"/>
        <v>-387.20947096774194</v>
      </c>
      <c r="P1366" s="32">
        <f t="shared" si="1019"/>
        <v>-378.17721290322578</v>
      </c>
      <c r="Q1366" s="32">
        <f t="shared" si="1019"/>
        <v>-378.17721290322578</v>
      </c>
      <c r="R1366" s="32">
        <f t="shared" si="1019"/>
        <v>-384.62882580645157</v>
      </c>
      <c r="S1366" s="32">
        <f t="shared" si="1019"/>
        <v>-382.8223741935484</v>
      </c>
      <c r="T1366" s="32"/>
      <c r="U1366" s="32"/>
      <c r="V1366" s="32"/>
      <c r="W1366" s="32">
        <f>+W1361-W$833</f>
        <v>-378.17721290322578</v>
      </c>
      <c r="Y1366" s="390"/>
      <c r="Z1366" s="390"/>
      <c r="AA1366" s="390"/>
      <c r="AB1366" s="390"/>
      <c r="AC1366" s="390"/>
      <c r="AD1366" s="390"/>
      <c r="AE1366" s="390"/>
      <c r="AF1366" s="390"/>
      <c r="AG1366" s="390"/>
      <c r="AH1366" s="390"/>
      <c r="AI1366" s="390"/>
      <c r="AJ1366" s="390"/>
      <c r="AK1366" s="390"/>
      <c r="AL1366" s="390"/>
      <c r="AM1366" s="390"/>
      <c r="AN1366" s="390"/>
      <c r="AO1366" s="390"/>
      <c r="AP1366" s="390"/>
      <c r="AQ1366" s="390"/>
      <c r="AR1366" s="390"/>
      <c r="AS1366" s="390"/>
    </row>
    <row r="1367" spans="2:45" x14ac:dyDescent="0.3">
      <c r="B1367" s="63" t="s">
        <v>75</v>
      </c>
      <c r="C1367" s="64"/>
      <c r="D1367" s="31">
        <f>+D1362-D$833</f>
        <v>-378.62882580645157</v>
      </c>
      <c r="E1367" s="32">
        <f t="shared" ref="E1367:S1367" si="1020">+E1362-E$833</f>
        <v>-390.01592258064517</v>
      </c>
      <c r="F1367" s="32">
        <f t="shared" si="1020"/>
        <v>-395.79011612903224</v>
      </c>
      <c r="G1367" s="32">
        <f t="shared" si="1020"/>
        <v>-384.20947096774194</v>
      </c>
      <c r="H1367" s="32">
        <f t="shared" si="1020"/>
        <v>-380.69334193548383</v>
      </c>
      <c r="I1367" s="32">
        <f t="shared" si="1020"/>
        <v>-384.88689032258065</v>
      </c>
      <c r="J1367" s="32">
        <f t="shared" si="1020"/>
        <v>-390.98366451612901</v>
      </c>
      <c r="K1367" s="32">
        <f t="shared" si="1020"/>
        <v>-387.4352774193548</v>
      </c>
      <c r="L1367" s="32">
        <f t="shared" si="1020"/>
        <v>-388.72559999999999</v>
      </c>
      <c r="M1367" s="32">
        <f t="shared" si="1020"/>
        <v>-378.88689032258065</v>
      </c>
      <c r="N1367" s="32">
        <f t="shared" si="1020"/>
        <v>-380.95140645161291</v>
      </c>
      <c r="O1367" s="32">
        <f t="shared" si="1020"/>
        <v>-385.20947096774194</v>
      </c>
      <c r="P1367" s="32">
        <f t="shared" si="1020"/>
        <v>-376.17721290322578</v>
      </c>
      <c r="Q1367" s="32">
        <f t="shared" si="1020"/>
        <v>-376.17721290322578</v>
      </c>
      <c r="R1367" s="32">
        <f t="shared" si="1020"/>
        <v>-382.62882580645157</v>
      </c>
      <c r="S1367" s="32">
        <f t="shared" si="1020"/>
        <v>-380.8223741935484</v>
      </c>
      <c r="T1367" s="32"/>
      <c r="U1367" s="32"/>
      <c r="V1367" s="32"/>
      <c r="W1367" s="32">
        <f>+W1362-W$833</f>
        <v>-376.17721290322578</v>
      </c>
      <c r="Y1367" s="390"/>
      <c r="Z1367" s="390"/>
      <c r="AA1367" s="390"/>
      <c r="AB1367" s="390"/>
      <c r="AC1367" s="390"/>
      <c r="AD1367" s="390"/>
      <c r="AE1367" s="390"/>
      <c r="AF1367" s="390"/>
      <c r="AG1367" s="390"/>
      <c r="AH1367" s="390"/>
      <c r="AI1367" s="390"/>
      <c r="AJ1367" s="390"/>
      <c r="AK1367" s="390"/>
      <c r="AL1367" s="390"/>
      <c r="AM1367" s="390"/>
      <c r="AN1367" s="390"/>
      <c r="AO1367" s="390"/>
      <c r="AP1367" s="390"/>
      <c r="AQ1367" s="390"/>
      <c r="AR1367" s="390"/>
      <c r="AS1367" s="390"/>
    </row>
    <row r="1368" spans="2:45" x14ac:dyDescent="0.3">
      <c r="B1368" s="63" t="s">
        <v>76</v>
      </c>
      <c r="C1368" s="64"/>
      <c r="D1368" s="31">
        <f>+D1363-D$833</f>
        <v>-374.62882580645157</v>
      </c>
      <c r="E1368" s="34">
        <f t="shared" ref="E1368:S1368" si="1021">+E1363-E$833</f>
        <v>-386.01592258064517</v>
      </c>
      <c r="F1368" s="34">
        <f t="shared" si="1021"/>
        <v>-391.79011612903224</v>
      </c>
      <c r="G1368" s="34">
        <f t="shared" si="1021"/>
        <v>-380.20947096774194</v>
      </c>
      <c r="H1368" s="34">
        <f t="shared" si="1021"/>
        <v>-376.69334193548383</v>
      </c>
      <c r="I1368" s="34">
        <f t="shared" si="1021"/>
        <v>-380.88689032258065</v>
      </c>
      <c r="J1368" s="34">
        <f t="shared" si="1021"/>
        <v>-386.98366451612901</v>
      </c>
      <c r="K1368" s="34">
        <f t="shared" si="1021"/>
        <v>-383.4352774193548</v>
      </c>
      <c r="L1368" s="34">
        <f t="shared" si="1021"/>
        <v>-384.72559999999999</v>
      </c>
      <c r="M1368" s="34">
        <f t="shared" si="1021"/>
        <v>-374.88689032258065</v>
      </c>
      <c r="N1368" s="34">
        <f t="shared" si="1021"/>
        <v>-376.95140645161291</v>
      </c>
      <c r="O1368" s="34">
        <f t="shared" si="1021"/>
        <v>-381.20947096774194</v>
      </c>
      <c r="P1368" s="34">
        <f t="shared" si="1021"/>
        <v>-372.17721290322578</v>
      </c>
      <c r="Q1368" s="34">
        <f t="shared" si="1021"/>
        <v>-372.17721290322578</v>
      </c>
      <c r="R1368" s="34">
        <f t="shared" si="1021"/>
        <v>-378.62882580645157</v>
      </c>
      <c r="S1368" s="34">
        <f t="shared" si="1021"/>
        <v>-376.8223741935484</v>
      </c>
      <c r="T1368" s="34"/>
      <c r="U1368" s="34"/>
      <c r="V1368" s="34"/>
      <c r="W1368" s="34">
        <f>+W1363-W$833</f>
        <v>-372.17721290322578</v>
      </c>
      <c r="Y1368" s="390"/>
      <c r="Z1368" s="390"/>
      <c r="AA1368" s="390"/>
      <c r="AB1368" s="390"/>
      <c r="AC1368" s="390"/>
      <c r="AD1368" s="390"/>
      <c r="AE1368" s="390"/>
      <c r="AF1368" s="390"/>
      <c r="AG1368" s="390"/>
      <c r="AH1368" s="390"/>
      <c r="AI1368" s="390"/>
      <c r="AJ1368" s="390"/>
      <c r="AK1368" s="390"/>
      <c r="AL1368" s="390"/>
      <c r="AM1368" s="390"/>
      <c r="AN1368" s="390"/>
      <c r="AO1368" s="390"/>
      <c r="AP1368" s="390"/>
      <c r="AQ1368" s="390"/>
      <c r="AR1368" s="390"/>
      <c r="AS1368" s="390"/>
    </row>
    <row r="1369" spans="2:45" x14ac:dyDescent="0.3">
      <c r="B1369" s="65" t="s">
        <v>108</v>
      </c>
      <c r="C1369" s="64"/>
      <c r="D1369" s="105">
        <f>+D1364/D$835</f>
        <v>-0.93097037909112301</v>
      </c>
      <c r="E1369" s="105">
        <f t="shared" ref="E1369:S1369" si="1022">+E1364/E$835</f>
        <v>-0.92928283627510655</v>
      </c>
      <c r="F1369" s="105">
        <f t="shared" si="1022"/>
        <v>-0.92974445611402845</v>
      </c>
      <c r="G1369" s="105">
        <f t="shared" si="1022"/>
        <v>-0.92873079178885631</v>
      </c>
      <c r="H1369" s="105">
        <f t="shared" si="1022"/>
        <v>-0.93146087635710373</v>
      </c>
      <c r="I1369" s="105">
        <f t="shared" si="1022"/>
        <v>-0.93258247079755552</v>
      </c>
      <c r="J1369" s="105">
        <f t="shared" si="1022"/>
        <v>-0.93156524650030426</v>
      </c>
      <c r="K1369" s="105">
        <f t="shared" si="1022"/>
        <v>-0.92977500574668603</v>
      </c>
      <c r="L1369" s="105">
        <f t="shared" si="1022"/>
        <v>-0.93062938388625593</v>
      </c>
      <c r="M1369" s="105">
        <f t="shared" si="1022"/>
        <v>-0.93159827329095046</v>
      </c>
      <c r="N1369" s="105">
        <f t="shared" si="1022"/>
        <v>-0.93208572990705307</v>
      </c>
      <c r="O1369" s="105">
        <f t="shared" si="1022"/>
        <v>-0.93112313628646393</v>
      </c>
      <c r="P1369" s="105">
        <f t="shared" si="1022"/>
        <v>-0.92952863790519746</v>
      </c>
      <c r="Q1369" s="105">
        <f t="shared" si="1022"/>
        <v>-0.92952863790519746</v>
      </c>
      <c r="R1369" s="105">
        <f t="shared" si="1022"/>
        <v>-0.93163572483482304</v>
      </c>
      <c r="S1369" s="105">
        <f t="shared" si="1022"/>
        <v>-0.9317733031320784</v>
      </c>
      <c r="T1369" s="34"/>
      <c r="U1369" s="34"/>
      <c r="V1369" s="34"/>
      <c r="W1369" s="105">
        <f>+W1364/W$835</f>
        <v>-0.92952863790519746</v>
      </c>
      <c r="Y1369" s="390"/>
      <c r="Z1369" s="390"/>
      <c r="AA1369" s="390"/>
      <c r="AB1369" s="390"/>
      <c r="AC1369" s="390"/>
      <c r="AD1369" s="390"/>
      <c r="AE1369" s="390"/>
      <c r="AF1369" s="390"/>
      <c r="AG1369" s="390"/>
      <c r="AH1369" s="390"/>
      <c r="AI1369" s="390"/>
      <c r="AJ1369" s="390"/>
      <c r="AK1369" s="390"/>
      <c r="AL1369" s="390"/>
      <c r="AM1369" s="390"/>
      <c r="AN1369" s="390"/>
      <c r="AO1369" s="390"/>
      <c r="AP1369" s="390"/>
      <c r="AQ1369" s="390"/>
      <c r="AR1369" s="390"/>
      <c r="AS1369" s="390"/>
    </row>
    <row r="1370" spans="2:45" x14ac:dyDescent="0.3">
      <c r="B1370" s="65" t="s">
        <v>107</v>
      </c>
      <c r="C1370" s="66"/>
      <c r="D1370" s="35">
        <f>+D1365/D$836</f>
        <v>-0.91737698511166244</v>
      </c>
      <c r="E1370" s="35">
        <f t="shared" ref="E1370:S1370" si="1023">+E1365/E$836</f>
        <v>-0.91612103165651559</v>
      </c>
      <c r="F1370" s="35">
        <f t="shared" si="1023"/>
        <v>-0.91675888765294766</v>
      </c>
      <c r="G1370" s="35">
        <f t="shared" si="1023"/>
        <v>-0.91538882025470902</v>
      </c>
      <c r="H1370" s="35">
        <f t="shared" si="1023"/>
        <v>-0.9179266553480474</v>
      </c>
      <c r="I1370" s="35">
        <f t="shared" si="1023"/>
        <v>-0.91916324720990672</v>
      </c>
      <c r="J1370" s="35">
        <f t="shared" si="1023"/>
        <v>-0.91837684036393707</v>
      </c>
      <c r="K1370" s="35">
        <f t="shared" si="1023"/>
        <v>-0.91651473572618503</v>
      </c>
      <c r="L1370" s="35">
        <f t="shared" si="1023"/>
        <v>-0.91739016393442618</v>
      </c>
      <c r="M1370" s="35">
        <f t="shared" si="1023"/>
        <v>-0.91799733250620352</v>
      </c>
      <c r="N1370" s="35">
        <f t="shared" si="1023"/>
        <v>-0.91854403457323663</v>
      </c>
      <c r="O1370" s="35">
        <f t="shared" si="1023"/>
        <v>-0.91775288644856245</v>
      </c>
      <c r="P1370" s="35">
        <f t="shared" si="1023"/>
        <v>-0.91588698768895116</v>
      </c>
      <c r="Q1370" s="35">
        <f t="shared" si="1023"/>
        <v>-0.91588698768895116</v>
      </c>
      <c r="R1370" s="35">
        <f t="shared" si="1023"/>
        <v>-0.91816387096774188</v>
      </c>
      <c r="S1370" s="35">
        <f t="shared" si="1023"/>
        <v>-0.91823534496064207</v>
      </c>
      <c r="T1370" s="35"/>
      <c r="U1370" s="35"/>
      <c r="V1370" s="35"/>
      <c r="W1370" s="35">
        <f>+W1365/W$836</f>
        <v>-0.91588698768895116</v>
      </c>
      <c r="Y1370" s="390"/>
      <c r="Z1370" s="390"/>
      <c r="AA1370" s="390"/>
      <c r="AB1370" s="390"/>
      <c r="AC1370" s="390"/>
      <c r="AD1370" s="390"/>
      <c r="AE1370" s="390"/>
      <c r="AF1370" s="390"/>
      <c r="AG1370" s="390"/>
      <c r="AH1370" s="390"/>
      <c r="AI1370" s="390"/>
      <c r="AJ1370" s="390"/>
      <c r="AK1370" s="390"/>
      <c r="AL1370" s="390"/>
      <c r="AM1370" s="390"/>
      <c r="AN1370" s="390"/>
      <c r="AO1370" s="390"/>
      <c r="AP1370" s="390"/>
      <c r="AQ1370" s="390"/>
      <c r="AR1370" s="390"/>
      <c r="AS1370" s="390"/>
    </row>
    <row r="1371" spans="2:45" x14ac:dyDescent="0.3">
      <c r="B1371" s="65" t="s">
        <v>106</v>
      </c>
      <c r="C1371" s="66"/>
      <c r="D1371" s="35">
        <f>+D1366/D$837</f>
        <v>-0.90410647459964744</v>
      </c>
      <c r="E1371" s="35">
        <f t="shared" ref="E1371:S1371" si="1024">+E1366/E$837</f>
        <v>-0.9032624944254497</v>
      </c>
      <c r="F1371" s="35">
        <f t="shared" si="1024"/>
        <v>-0.90406844574780054</v>
      </c>
      <c r="G1371" s="35">
        <f t="shared" si="1024"/>
        <v>-0.90235857702743438</v>
      </c>
      <c r="H1371" s="35">
        <f t="shared" si="1024"/>
        <v>-0.90471239228246769</v>
      </c>
      <c r="I1371" s="35">
        <f t="shared" si="1024"/>
        <v>-0.90605829115358472</v>
      </c>
      <c r="J1371" s="35">
        <f t="shared" si="1024"/>
        <v>-0.9054923145532926</v>
      </c>
      <c r="K1371" s="35">
        <f t="shared" si="1024"/>
        <v>-0.90356212858318985</v>
      </c>
      <c r="L1371" s="35">
        <f t="shared" si="1024"/>
        <v>-0.90445740740740732</v>
      </c>
      <c r="M1371" s="35">
        <f t="shared" si="1024"/>
        <v>-0.904719454447935</v>
      </c>
      <c r="N1371" s="35">
        <f t="shared" si="1024"/>
        <v>-0.90532247388088161</v>
      </c>
      <c r="O1371" s="35">
        <f t="shared" si="1024"/>
        <v>-0.90469502562556525</v>
      </c>
      <c r="P1371" s="35">
        <f t="shared" si="1024"/>
        <v>-0.90257091385018084</v>
      </c>
      <c r="Q1371" s="35">
        <f t="shared" si="1024"/>
        <v>-0.90257091385018084</v>
      </c>
      <c r="R1371" s="35">
        <f t="shared" si="1024"/>
        <v>-0.90500900189753308</v>
      </c>
      <c r="S1371" s="35">
        <f t="shared" si="1024"/>
        <v>-0.9050174330816747</v>
      </c>
      <c r="T1371" s="35"/>
      <c r="U1371" s="35"/>
      <c r="V1371" s="35"/>
      <c r="W1371" s="35">
        <f>+W1366/W$837</f>
        <v>-0.90257091385018084</v>
      </c>
      <c r="Y1371" s="390"/>
      <c r="Z1371" s="390"/>
      <c r="AA1371" s="390"/>
      <c r="AB1371" s="390"/>
      <c r="AC1371" s="390"/>
      <c r="AD1371" s="390"/>
      <c r="AE1371" s="390"/>
      <c r="AF1371" s="390"/>
      <c r="AG1371" s="390"/>
      <c r="AH1371" s="390"/>
      <c r="AI1371" s="390"/>
      <c r="AJ1371" s="390"/>
      <c r="AK1371" s="390"/>
      <c r="AL1371" s="390"/>
      <c r="AM1371" s="390"/>
      <c r="AN1371" s="390"/>
      <c r="AO1371" s="390"/>
      <c r="AP1371" s="390"/>
      <c r="AQ1371" s="390"/>
      <c r="AR1371" s="390"/>
      <c r="AS1371" s="390"/>
    </row>
    <row r="1372" spans="2:45" x14ac:dyDescent="0.3">
      <c r="B1372" s="65" t="s">
        <v>77</v>
      </c>
      <c r="C1372" s="66"/>
      <c r="D1372" s="35">
        <f>+D1367/D$838</f>
        <v>-0.88880006057852479</v>
      </c>
      <c r="E1372" s="35">
        <f t="shared" ref="E1372:S1372" si="1025">+E1367/E$838</f>
        <v>-0.88841895804247195</v>
      </c>
      <c r="F1372" s="35">
        <f t="shared" si="1025"/>
        <v>-0.88941599130119608</v>
      </c>
      <c r="G1372" s="35">
        <f t="shared" si="1025"/>
        <v>-0.88731979438277586</v>
      </c>
      <c r="H1372" s="35">
        <f t="shared" si="1025"/>
        <v>-0.88947042508290619</v>
      </c>
      <c r="I1372" s="35">
        <f t="shared" si="1025"/>
        <v>-0.89094187574671446</v>
      </c>
      <c r="J1372" s="35">
        <f t="shared" si="1025"/>
        <v>-0.8906233815857153</v>
      </c>
      <c r="K1372" s="35">
        <f t="shared" si="1025"/>
        <v>-0.88861302160402478</v>
      </c>
      <c r="L1372" s="35">
        <f t="shared" si="1025"/>
        <v>-0.88953226544622421</v>
      </c>
      <c r="M1372" s="35">
        <f t="shared" si="1025"/>
        <v>-0.88940584582765414</v>
      </c>
      <c r="N1372" s="35">
        <f t="shared" si="1025"/>
        <v>-0.89007337955984323</v>
      </c>
      <c r="O1372" s="35">
        <f t="shared" si="1025"/>
        <v>-0.88962926320494673</v>
      </c>
      <c r="P1372" s="35">
        <f t="shared" si="1025"/>
        <v>-0.88721040779062688</v>
      </c>
      <c r="Q1372" s="35">
        <f t="shared" si="1025"/>
        <v>-0.88721040779062688</v>
      </c>
      <c r="R1372" s="35">
        <f t="shared" si="1025"/>
        <v>-0.88983447861965481</v>
      </c>
      <c r="S1372" s="35">
        <f t="shared" si="1025"/>
        <v>-0.88977190232137471</v>
      </c>
      <c r="T1372" s="35"/>
      <c r="U1372" s="35"/>
      <c r="V1372" s="35"/>
      <c r="W1372" s="35">
        <f>+W1367/W$838</f>
        <v>-0.88721040779062688</v>
      </c>
      <c r="Y1372" s="390"/>
      <c r="Z1372" s="390"/>
      <c r="AA1372" s="390"/>
      <c r="AB1372" s="390"/>
      <c r="AC1372" s="390"/>
      <c r="AD1372" s="390"/>
      <c r="AE1372" s="390"/>
      <c r="AF1372" s="390"/>
      <c r="AG1372" s="390"/>
      <c r="AH1372" s="390"/>
      <c r="AI1372" s="390"/>
      <c r="AJ1372" s="390"/>
      <c r="AK1372" s="390"/>
      <c r="AL1372" s="390"/>
      <c r="AM1372" s="390"/>
      <c r="AN1372" s="390"/>
      <c r="AO1372" s="390"/>
      <c r="AP1372" s="390"/>
      <c r="AQ1372" s="390"/>
      <c r="AR1372" s="390"/>
      <c r="AS1372" s="390"/>
    </row>
    <row r="1373" spans="2:45" x14ac:dyDescent="0.3">
      <c r="B1373" s="65" t="s">
        <v>78</v>
      </c>
      <c r="C1373" s="66"/>
      <c r="D1373" s="35" t="e">
        <f>+D1368/#REF!</f>
        <v>#REF!</v>
      </c>
      <c r="E1373" s="35" t="e">
        <f>+E1368/#REF!</f>
        <v>#REF!</v>
      </c>
      <c r="F1373" s="35" t="e">
        <f>+F1368/#REF!</f>
        <v>#REF!</v>
      </c>
      <c r="G1373" s="35" t="e">
        <f>+G1368/#REF!</f>
        <v>#REF!</v>
      </c>
      <c r="H1373" s="35" t="e">
        <f>+H1368/#REF!</f>
        <v>#REF!</v>
      </c>
      <c r="I1373" s="35" t="e">
        <f>+I1368/#REF!</f>
        <v>#REF!</v>
      </c>
      <c r="J1373" s="35" t="e">
        <f>+J1368/#REF!</f>
        <v>#REF!</v>
      </c>
      <c r="K1373" s="35" t="e">
        <f>+K1368/#REF!</f>
        <v>#REF!</v>
      </c>
      <c r="L1373" s="35" t="e">
        <f>+L1368/#REF!</f>
        <v>#REF!</v>
      </c>
      <c r="M1373" s="35" t="e">
        <f>+M1368/#REF!</f>
        <v>#REF!</v>
      </c>
      <c r="N1373" s="35" t="e">
        <f>+N1368/#REF!</f>
        <v>#REF!</v>
      </c>
      <c r="O1373" s="35" t="e">
        <f>+O1368/#REF!</f>
        <v>#REF!</v>
      </c>
      <c r="P1373" s="35" t="e">
        <f>+P1368/#REF!</f>
        <v>#REF!</v>
      </c>
      <c r="Q1373" s="35" t="e">
        <f>+Q1368/#REF!</f>
        <v>#REF!</v>
      </c>
      <c r="R1373" s="35" t="e">
        <f>+R1368/#REF!</f>
        <v>#REF!</v>
      </c>
      <c r="S1373" s="35" t="e">
        <f>+S1368/#REF!</f>
        <v>#REF!</v>
      </c>
      <c r="T1373" s="35"/>
      <c r="U1373" s="35"/>
      <c r="V1373" s="35"/>
      <c r="W1373" s="35" t="e">
        <f>+W1368/#REF!</f>
        <v>#REF!</v>
      </c>
      <c r="Y1373" s="390"/>
      <c r="Z1373" s="390"/>
      <c r="AA1373" s="390"/>
      <c r="AB1373" s="390"/>
      <c r="AC1373" s="390"/>
      <c r="AD1373" s="390"/>
      <c r="AE1373" s="390"/>
      <c r="AF1373" s="390"/>
      <c r="AG1373" s="390"/>
      <c r="AH1373" s="390"/>
      <c r="AI1373" s="390"/>
      <c r="AJ1373" s="390"/>
      <c r="AK1373" s="390"/>
      <c r="AL1373" s="390"/>
      <c r="AM1373" s="390"/>
      <c r="AN1373" s="390"/>
      <c r="AO1373" s="390"/>
      <c r="AP1373" s="390"/>
      <c r="AQ1373" s="390"/>
      <c r="AR1373" s="390"/>
      <c r="AS1373" s="390"/>
    </row>
    <row r="1374" spans="2:45" ht="21" thickBot="1" x14ac:dyDescent="0.35">
      <c r="Y1374" s="390"/>
      <c r="Z1374" s="390"/>
      <c r="AA1374" s="390"/>
      <c r="AB1374" s="390"/>
      <c r="AC1374" s="390"/>
      <c r="AD1374" s="390"/>
      <c r="AE1374" s="390"/>
      <c r="AF1374" s="390"/>
      <c r="AG1374" s="390"/>
      <c r="AH1374" s="390"/>
      <c r="AI1374" s="390"/>
      <c r="AJ1374" s="390"/>
      <c r="AK1374" s="390"/>
      <c r="AL1374" s="390"/>
      <c r="AM1374" s="390"/>
      <c r="AN1374" s="390"/>
      <c r="AO1374" s="390"/>
      <c r="AP1374" s="390"/>
      <c r="AQ1374" s="390"/>
      <c r="AR1374" s="390"/>
      <c r="AS1374" s="390"/>
    </row>
    <row r="1375" spans="2:45" ht="21" thickBot="1" x14ac:dyDescent="0.35">
      <c r="B1375" s="223"/>
      <c r="C1375" s="68"/>
      <c r="D1375" s="17" t="s">
        <v>5</v>
      </c>
      <c r="E1375" s="18" t="s">
        <v>6</v>
      </c>
      <c r="F1375" s="18" t="s">
        <v>7</v>
      </c>
      <c r="G1375" s="18" t="s">
        <v>8</v>
      </c>
      <c r="H1375" s="18" t="s">
        <v>9</v>
      </c>
      <c r="I1375" s="18" t="s">
        <v>10</v>
      </c>
      <c r="J1375" s="18" t="s">
        <v>11</v>
      </c>
      <c r="K1375" s="18" t="s">
        <v>12</v>
      </c>
      <c r="L1375" s="18" t="s">
        <v>13</v>
      </c>
      <c r="M1375" s="18" t="s">
        <v>14</v>
      </c>
      <c r="N1375" s="18" t="s">
        <v>15</v>
      </c>
      <c r="O1375" s="18" t="s">
        <v>16</v>
      </c>
      <c r="P1375" s="18" t="s">
        <v>17</v>
      </c>
      <c r="Q1375" s="18" t="s">
        <v>18</v>
      </c>
      <c r="R1375" s="18" t="s">
        <v>19</v>
      </c>
      <c r="S1375" s="18" t="s">
        <v>20</v>
      </c>
      <c r="T1375" s="18" t="s">
        <v>21</v>
      </c>
      <c r="U1375" s="18" t="s">
        <v>22</v>
      </c>
      <c r="V1375" s="18" t="s">
        <v>23</v>
      </c>
      <c r="W1375" s="18" t="s">
        <v>166</v>
      </c>
      <c r="Y1375" s="390"/>
      <c r="Z1375" s="390"/>
      <c r="AA1375" s="390"/>
      <c r="AB1375" s="390"/>
      <c r="AC1375" s="390"/>
      <c r="AD1375" s="390"/>
      <c r="AE1375" s="390"/>
      <c r="AF1375" s="390"/>
      <c r="AG1375" s="390"/>
      <c r="AH1375" s="390"/>
      <c r="AI1375" s="390"/>
      <c r="AJ1375" s="390"/>
      <c r="AK1375" s="390"/>
      <c r="AL1375" s="390"/>
      <c r="AM1375" s="390"/>
      <c r="AN1375" s="390"/>
      <c r="AO1375" s="390"/>
      <c r="AP1375" s="390"/>
      <c r="AQ1375" s="390"/>
      <c r="AR1375" s="390"/>
      <c r="AS1375" s="390"/>
    </row>
    <row r="1376" spans="2:45" x14ac:dyDescent="0.3">
      <c r="B1376" s="222" t="s">
        <v>50</v>
      </c>
      <c r="C1376" s="70"/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Y1376" s="390"/>
      <c r="Z1376" s="390"/>
      <c r="AA1376" s="390"/>
      <c r="AB1376" s="390"/>
      <c r="AC1376" s="390"/>
      <c r="AD1376" s="390"/>
      <c r="AE1376" s="390"/>
      <c r="AF1376" s="390"/>
      <c r="AG1376" s="390"/>
      <c r="AH1376" s="390"/>
      <c r="AI1376" s="390"/>
      <c r="AJ1376" s="390"/>
      <c r="AK1376" s="390"/>
      <c r="AL1376" s="390"/>
      <c r="AM1376" s="390"/>
      <c r="AN1376" s="390"/>
      <c r="AO1376" s="390"/>
      <c r="AP1376" s="390"/>
      <c r="AQ1376" s="390"/>
      <c r="AR1376" s="390"/>
      <c r="AS1376" s="390"/>
    </row>
    <row r="1377" spans="2:45" x14ac:dyDescent="0.3">
      <c r="B1377" s="54" t="s">
        <v>51</v>
      </c>
      <c r="C1377" s="55"/>
      <c r="D1377" s="322"/>
      <c r="E1377" s="322"/>
      <c r="F1377" s="322"/>
      <c r="G1377" s="322"/>
      <c r="H1377" s="322"/>
      <c r="I1377" s="322"/>
      <c r="J1377" s="322"/>
      <c r="K1377" s="322"/>
      <c r="L1377" s="322"/>
      <c r="M1377" s="322"/>
      <c r="N1377" s="322"/>
      <c r="O1377" s="322"/>
      <c r="P1377" s="322"/>
      <c r="Q1377" s="322"/>
      <c r="R1377" s="322"/>
      <c r="S1377" s="322"/>
      <c r="T1377" s="218"/>
      <c r="U1377" s="218"/>
      <c r="V1377" s="218"/>
      <c r="W1377" s="322"/>
      <c r="Y1377" s="390"/>
      <c r="Z1377" s="390"/>
      <c r="AA1377" s="390"/>
      <c r="AB1377" s="390"/>
      <c r="AC1377" s="390"/>
      <c r="AD1377" s="390"/>
      <c r="AE1377" s="390"/>
      <c r="AF1377" s="390"/>
      <c r="AG1377" s="390"/>
      <c r="AH1377" s="390"/>
      <c r="AI1377" s="390"/>
      <c r="AJ1377" s="390"/>
      <c r="AK1377" s="390"/>
      <c r="AL1377" s="390"/>
      <c r="AM1377" s="390"/>
      <c r="AN1377" s="390"/>
      <c r="AO1377" s="390"/>
      <c r="AP1377" s="390"/>
      <c r="AQ1377" s="390"/>
      <c r="AR1377" s="390"/>
      <c r="AS1377" s="390"/>
    </row>
    <row r="1378" spans="2:45" x14ac:dyDescent="0.3">
      <c r="B1378" s="54" t="s">
        <v>56</v>
      </c>
      <c r="C1378" s="55"/>
      <c r="D1378" s="21"/>
      <c r="E1378" s="21"/>
      <c r="F1378" s="21"/>
      <c r="G1378" s="21"/>
      <c r="H1378" s="21"/>
      <c r="I1378" s="21"/>
      <c r="J1378" s="21"/>
      <c r="K1378" s="21"/>
      <c r="L1378" s="21"/>
      <c r="M1378" s="21"/>
      <c r="N1378" s="21"/>
      <c r="O1378" s="21"/>
      <c r="P1378" s="21"/>
      <c r="Q1378" s="21"/>
      <c r="R1378" s="21"/>
      <c r="S1378" s="21"/>
      <c r="T1378" s="21"/>
      <c r="U1378" s="21"/>
      <c r="V1378" s="21"/>
      <c r="W1378" s="21"/>
      <c r="Y1378" s="390"/>
      <c r="Z1378" s="390"/>
      <c r="AA1378" s="390"/>
      <c r="AB1378" s="390"/>
      <c r="AC1378" s="390"/>
      <c r="AD1378" s="390"/>
      <c r="AE1378" s="390"/>
      <c r="AF1378" s="390"/>
      <c r="AG1378" s="390"/>
      <c r="AH1378" s="390"/>
      <c r="AI1378" s="390"/>
      <c r="AJ1378" s="390"/>
      <c r="AK1378" s="390"/>
      <c r="AL1378" s="390"/>
      <c r="AM1378" s="390"/>
      <c r="AN1378" s="390"/>
      <c r="AO1378" s="390"/>
      <c r="AP1378" s="390"/>
      <c r="AQ1378" s="390"/>
      <c r="AR1378" s="390"/>
      <c r="AS1378" s="390"/>
    </row>
    <row r="1379" spans="2:45" x14ac:dyDescent="0.3">
      <c r="B1379" s="177" t="s">
        <v>67</v>
      </c>
      <c r="C1379" s="178"/>
      <c r="D1379" s="323"/>
      <c r="E1379" s="323"/>
      <c r="F1379" s="323"/>
      <c r="G1379" s="323"/>
      <c r="H1379" s="323"/>
      <c r="I1379" s="323"/>
      <c r="J1379" s="323"/>
      <c r="K1379" s="323"/>
      <c r="L1379" s="323"/>
      <c r="M1379" s="323"/>
      <c r="N1379" s="323"/>
      <c r="O1379" s="323"/>
      <c r="P1379" s="323"/>
      <c r="Q1379" s="323"/>
      <c r="R1379" s="323"/>
      <c r="S1379" s="323"/>
      <c r="T1379" s="323"/>
      <c r="U1379" s="323"/>
      <c r="V1379" s="323"/>
      <c r="W1379" s="323"/>
      <c r="Y1379" s="390"/>
      <c r="Z1379" s="390"/>
      <c r="AA1379" s="390"/>
      <c r="AB1379" s="390"/>
      <c r="AC1379" s="390"/>
      <c r="AD1379" s="390"/>
      <c r="AE1379" s="390"/>
      <c r="AF1379" s="390"/>
      <c r="AG1379" s="390"/>
      <c r="AH1379" s="390"/>
      <c r="AI1379" s="390"/>
      <c r="AJ1379" s="390"/>
      <c r="AK1379" s="390"/>
      <c r="AL1379" s="390"/>
      <c r="AM1379" s="390"/>
      <c r="AN1379" s="390"/>
      <c r="AO1379" s="390"/>
      <c r="AP1379" s="390"/>
      <c r="AQ1379" s="390"/>
      <c r="AR1379" s="390"/>
      <c r="AS1379" s="390"/>
    </row>
    <row r="1380" spans="2:45" x14ac:dyDescent="0.3">
      <c r="B1380" s="54" t="s">
        <v>66</v>
      </c>
      <c r="C1380" s="56">
        <v>7.0000000000000007E-2</v>
      </c>
      <c r="D1380" s="24">
        <f>D1379*$C1380</f>
        <v>0</v>
      </c>
      <c r="E1380" s="24">
        <f t="shared" ref="E1380:W1380" si="1026">E1379*$C1380</f>
        <v>0</v>
      </c>
      <c r="F1380" s="24">
        <f t="shared" si="1026"/>
        <v>0</v>
      </c>
      <c r="G1380" s="24">
        <f t="shared" si="1026"/>
        <v>0</v>
      </c>
      <c r="H1380" s="24">
        <f t="shared" si="1026"/>
        <v>0</v>
      </c>
      <c r="I1380" s="24">
        <f t="shared" si="1026"/>
        <v>0</v>
      </c>
      <c r="J1380" s="24">
        <f t="shared" si="1026"/>
        <v>0</v>
      </c>
      <c r="K1380" s="24">
        <f t="shared" si="1026"/>
        <v>0</v>
      </c>
      <c r="L1380" s="24">
        <f t="shared" si="1026"/>
        <v>0</v>
      </c>
      <c r="M1380" s="24">
        <f t="shared" si="1026"/>
        <v>0</v>
      </c>
      <c r="N1380" s="24">
        <f t="shared" si="1026"/>
        <v>0</v>
      </c>
      <c r="O1380" s="24">
        <f t="shared" si="1026"/>
        <v>0</v>
      </c>
      <c r="P1380" s="24">
        <f t="shared" si="1026"/>
        <v>0</v>
      </c>
      <c r="Q1380" s="24">
        <f t="shared" si="1026"/>
        <v>0</v>
      </c>
      <c r="R1380" s="24">
        <f t="shared" si="1026"/>
        <v>0</v>
      </c>
      <c r="S1380" s="24">
        <f t="shared" si="1026"/>
        <v>0</v>
      </c>
      <c r="T1380" s="24">
        <f t="shared" si="1026"/>
        <v>0</v>
      </c>
      <c r="U1380" s="24">
        <f t="shared" si="1026"/>
        <v>0</v>
      </c>
      <c r="V1380" s="24">
        <f t="shared" si="1026"/>
        <v>0</v>
      </c>
      <c r="W1380" s="24">
        <f t="shared" si="1026"/>
        <v>0</v>
      </c>
      <c r="Y1380" s="390"/>
      <c r="Z1380" s="390"/>
      <c r="AA1380" s="390"/>
      <c r="AB1380" s="390"/>
      <c r="AC1380" s="390"/>
      <c r="AD1380" s="390"/>
      <c r="AE1380" s="390"/>
      <c r="AF1380" s="390"/>
      <c r="AG1380" s="390"/>
      <c r="AH1380" s="390"/>
      <c r="AI1380" s="390"/>
      <c r="AJ1380" s="390"/>
      <c r="AK1380" s="390"/>
      <c r="AL1380" s="390"/>
      <c r="AM1380" s="390"/>
      <c r="AN1380" s="390"/>
      <c r="AO1380" s="390"/>
      <c r="AP1380" s="390"/>
      <c r="AQ1380" s="390"/>
      <c r="AR1380" s="390"/>
      <c r="AS1380" s="390"/>
    </row>
    <row r="1381" spans="2:45" x14ac:dyDescent="0.3">
      <c r="B1381" s="54" t="s">
        <v>68</v>
      </c>
      <c r="C1381" s="55"/>
      <c r="D1381" s="21">
        <f>D1379+D1380</f>
        <v>0</v>
      </c>
      <c r="E1381" s="21">
        <f t="shared" ref="E1381:W1381" si="1027">E1379+E1380</f>
        <v>0</v>
      </c>
      <c r="F1381" s="21">
        <f t="shared" si="1027"/>
        <v>0</v>
      </c>
      <c r="G1381" s="21">
        <f t="shared" si="1027"/>
        <v>0</v>
      </c>
      <c r="H1381" s="21">
        <f t="shared" si="1027"/>
        <v>0</v>
      </c>
      <c r="I1381" s="21">
        <f t="shared" si="1027"/>
        <v>0</v>
      </c>
      <c r="J1381" s="21">
        <f t="shared" si="1027"/>
        <v>0</v>
      </c>
      <c r="K1381" s="21">
        <f t="shared" si="1027"/>
        <v>0</v>
      </c>
      <c r="L1381" s="21">
        <f t="shared" si="1027"/>
        <v>0</v>
      </c>
      <c r="M1381" s="21">
        <f t="shared" si="1027"/>
        <v>0</v>
      </c>
      <c r="N1381" s="21">
        <f t="shared" si="1027"/>
        <v>0</v>
      </c>
      <c r="O1381" s="21">
        <f t="shared" si="1027"/>
        <v>0</v>
      </c>
      <c r="P1381" s="21">
        <f t="shared" si="1027"/>
        <v>0</v>
      </c>
      <c r="Q1381" s="21">
        <f t="shared" si="1027"/>
        <v>0</v>
      </c>
      <c r="R1381" s="21">
        <f t="shared" si="1027"/>
        <v>0</v>
      </c>
      <c r="S1381" s="21">
        <f t="shared" si="1027"/>
        <v>0</v>
      </c>
      <c r="T1381" s="21">
        <f t="shared" si="1027"/>
        <v>0</v>
      </c>
      <c r="U1381" s="21">
        <f t="shared" si="1027"/>
        <v>0</v>
      </c>
      <c r="V1381" s="21">
        <f t="shared" si="1027"/>
        <v>0</v>
      </c>
      <c r="W1381" s="21">
        <f t="shared" si="1027"/>
        <v>0</v>
      </c>
      <c r="Y1381" s="390"/>
      <c r="Z1381" s="390"/>
      <c r="AA1381" s="390"/>
      <c r="AB1381" s="390"/>
      <c r="AC1381" s="390"/>
      <c r="AD1381" s="390"/>
      <c r="AE1381" s="390"/>
      <c r="AF1381" s="390"/>
      <c r="AG1381" s="390"/>
      <c r="AH1381" s="390"/>
      <c r="AI1381" s="390"/>
      <c r="AJ1381" s="390"/>
      <c r="AK1381" s="390"/>
      <c r="AL1381" s="390"/>
      <c r="AM1381" s="390"/>
      <c r="AN1381" s="390"/>
      <c r="AO1381" s="390"/>
      <c r="AP1381" s="390"/>
      <c r="AQ1381" s="390"/>
      <c r="AR1381" s="390"/>
      <c r="AS1381" s="390"/>
    </row>
    <row r="1382" spans="2:45" x14ac:dyDescent="0.3">
      <c r="B1382" s="54" t="s">
        <v>52</v>
      </c>
      <c r="C1382" s="55"/>
      <c r="D1382" s="20">
        <v>0.85000000000000009</v>
      </c>
      <c r="E1382" s="21">
        <v>1.7</v>
      </c>
      <c r="F1382" s="21">
        <v>2.0500000000000003</v>
      </c>
      <c r="G1382" s="21">
        <v>1.1499999999999999</v>
      </c>
      <c r="H1382" s="21">
        <v>0.98</v>
      </c>
      <c r="I1382" s="21">
        <v>0.98</v>
      </c>
      <c r="J1382" s="21">
        <v>1.5999999999999999</v>
      </c>
      <c r="K1382" s="21">
        <v>1.45</v>
      </c>
      <c r="L1382" s="21">
        <v>1.45</v>
      </c>
      <c r="M1382" s="21">
        <v>0.7</v>
      </c>
      <c r="N1382" s="21">
        <v>0.82000000000000006</v>
      </c>
      <c r="O1382" s="21">
        <v>0.98</v>
      </c>
      <c r="P1382" s="21">
        <v>0.59000000000000008</v>
      </c>
      <c r="Q1382" s="21">
        <v>0.59000000000000008</v>
      </c>
      <c r="R1382" s="21">
        <v>0.98</v>
      </c>
      <c r="S1382" s="21">
        <v>0.85000000000000009</v>
      </c>
      <c r="T1382" s="21">
        <v>6.7</v>
      </c>
      <c r="U1382" s="21">
        <v>11.2</v>
      </c>
      <c r="V1382" s="21">
        <v>6.7</v>
      </c>
      <c r="W1382" s="21">
        <v>0.59000000000000008</v>
      </c>
      <c r="Y1382" s="390"/>
      <c r="Z1382" s="390"/>
      <c r="AA1382" s="390"/>
      <c r="AB1382" s="390"/>
      <c r="AC1382" s="390"/>
      <c r="AD1382" s="390"/>
      <c r="AE1382" s="390"/>
      <c r="AF1382" s="390"/>
      <c r="AG1382" s="390"/>
      <c r="AH1382" s="390"/>
      <c r="AI1382" s="390"/>
      <c r="AJ1382" s="390"/>
      <c r="AK1382" s="390"/>
      <c r="AL1382" s="390"/>
      <c r="AM1382" s="390"/>
      <c r="AN1382" s="390"/>
      <c r="AO1382" s="390"/>
      <c r="AP1382" s="390"/>
      <c r="AQ1382" s="390"/>
      <c r="AR1382" s="390"/>
      <c r="AS1382" s="390"/>
    </row>
    <row r="1383" spans="2:45" x14ac:dyDescent="0.3">
      <c r="B1383" s="57" t="s">
        <v>53</v>
      </c>
      <c r="C1383" s="58"/>
      <c r="D1383" s="25">
        <f>SUM(D1381:D1382)</f>
        <v>0.85000000000000009</v>
      </c>
      <c r="E1383" s="26">
        <f t="shared" ref="E1383:W1383" si="1028">SUM(E1381:E1382)</f>
        <v>1.7</v>
      </c>
      <c r="F1383" s="26">
        <f t="shared" si="1028"/>
        <v>2.0500000000000003</v>
      </c>
      <c r="G1383" s="26">
        <f t="shared" si="1028"/>
        <v>1.1499999999999999</v>
      </c>
      <c r="H1383" s="26">
        <f t="shared" si="1028"/>
        <v>0.98</v>
      </c>
      <c r="I1383" s="26">
        <f t="shared" si="1028"/>
        <v>0.98</v>
      </c>
      <c r="J1383" s="26">
        <f t="shared" si="1028"/>
        <v>1.5999999999999999</v>
      </c>
      <c r="K1383" s="26">
        <f t="shared" si="1028"/>
        <v>1.45</v>
      </c>
      <c r="L1383" s="26">
        <f t="shared" si="1028"/>
        <v>1.45</v>
      </c>
      <c r="M1383" s="26">
        <f t="shared" si="1028"/>
        <v>0.7</v>
      </c>
      <c r="N1383" s="26">
        <f t="shared" si="1028"/>
        <v>0.82000000000000006</v>
      </c>
      <c r="O1383" s="26">
        <f t="shared" si="1028"/>
        <v>0.98</v>
      </c>
      <c r="P1383" s="26">
        <f t="shared" si="1028"/>
        <v>0.59000000000000008</v>
      </c>
      <c r="Q1383" s="26">
        <f t="shared" si="1028"/>
        <v>0.59000000000000008</v>
      </c>
      <c r="R1383" s="26">
        <f t="shared" si="1028"/>
        <v>0.98</v>
      </c>
      <c r="S1383" s="26">
        <f t="shared" si="1028"/>
        <v>0.85000000000000009</v>
      </c>
      <c r="T1383" s="26">
        <f t="shared" si="1028"/>
        <v>6.7</v>
      </c>
      <c r="U1383" s="26">
        <f t="shared" si="1028"/>
        <v>11.2</v>
      </c>
      <c r="V1383" s="26">
        <f t="shared" si="1028"/>
        <v>6.7</v>
      </c>
      <c r="W1383" s="26">
        <f t="shared" si="1028"/>
        <v>0.59000000000000008</v>
      </c>
      <c r="Y1383" s="390"/>
      <c r="Z1383" s="390"/>
      <c r="AA1383" s="390"/>
      <c r="AB1383" s="390"/>
      <c r="AC1383" s="390"/>
      <c r="AD1383" s="390"/>
      <c r="AE1383" s="390"/>
      <c r="AF1383" s="390"/>
      <c r="AG1383" s="390"/>
      <c r="AH1383" s="390"/>
      <c r="AI1383" s="390"/>
      <c r="AJ1383" s="390"/>
      <c r="AK1383" s="390"/>
      <c r="AL1383" s="390"/>
      <c r="AM1383" s="390"/>
      <c r="AN1383" s="390"/>
      <c r="AO1383" s="390"/>
      <c r="AP1383" s="390"/>
      <c r="AQ1383" s="390"/>
      <c r="AR1383" s="390"/>
      <c r="AS1383" s="390"/>
    </row>
    <row r="1384" spans="2:45" x14ac:dyDescent="0.3">
      <c r="B1384" s="54" t="s">
        <v>54</v>
      </c>
      <c r="C1384" s="55"/>
      <c r="D1384" s="20"/>
      <c r="E1384" s="21"/>
      <c r="F1384" s="21"/>
      <c r="G1384" s="21"/>
      <c r="H1384" s="21"/>
      <c r="I1384" s="21"/>
      <c r="J1384" s="21"/>
      <c r="K1384" s="21"/>
      <c r="L1384" s="21"/>
      <c r="M1384" s="21"/>
      <c r="N1384" s="21"/>
      <c r="O1384" s="21"/>
      <c r="P1384" s="21"/>
      <c r="Q1384" s="21"/>
      <c r="R1384" s="21"/>
      <c r="S1384" s="21"/>
      <c r="T1384" s="21"/>
      <c r="U1384" s="21"/>
      <c r="V1384" s="21"/>
      <c r="W1384" s="21"/>
      <c r="Y1384" s="390"/>
      <c r="Z1384" s="390"/>
      <c r="AA1384" s="390"/>
      <c r="AB1384" s="390"/>
      <c r="AC1384" s="390"/>
      <c r="AD1384" s="390"/>
      <c r="AE1384" s="390"/>
      <c r="AF1384" s="390"/>
      <c r="AG1384" s="390"/>
      <c r="AH1384" s="390"/>
      <c r="AI1384" s="390"/>
      <c r="AJ1384" s="390"/>
      <c r="AK1384" s="390"/>
      <c r="AL1384" s="390"/>
      <c r="AM1384" s="390"/>
      <c r="AN1384" s="390"/>
      <c r="AO1384" s="390"/>
      <c r="AP1384" s="390"/>
      <c r="AQ1384" s="390"/>
      <c r="AR1384" s="390"/>
      <c r="AS1384" s="390"/>
    </row>
    <row r="1385" spans="2:45" x14ac:dyDescent="0.3">
      <c r="B1385" s="59" t="s">
        <v>55</v>
      </c>
      <c r="C1385" s="60"/>
      <c r="D1385" s="27">
        <f>SUM(D1383:D1384)</f>
        <v>0.85000000000000009</v>
      </c>
      <c r="E1385" s="41">
        <f t="shared" ref="E1385:W1385" si="1029">SUM(E1383:E1384)</f>
        <v>1.7</v>
      </c>
      <c r="F1385" s="41">
        <f t="shared" si="1029"/>
        <v>2.0500000000000003</v>
      </c>
      <c r="G1385" s="41">
        <f t="shared" si="1029"/>
        <v>1.1499999999999999</v>
      </c>
      <c r="H1385" s="41">
        <f t="shared" si="1029"/>
        <v>0.98</v>
      </c>
      <c r="I1385" s="41">
        <f t="shared" si="1029"/>
        <v>0.98</v>
      </c>
      <c r="J1385" s="41">
        <f t="shared" si="1029"/>
        <v>1.5999999999999999</v>
      </c>
      <c r="K1385" s="41">
        <f t="shared" si="1029"/>
        <v>1.45</v>
      </c>
      <c r="L1385" s="41">
        <f t="shared" si="1029"/>
        <v>1.45</v>
      </c>
      <c r="M1385" s="41">
        <f t="shared" si="1029"/>
        <v>0.7</v>
      </c>
      <c r="N1385" s="41">
        <f t="shared" si="1029"/>
        <v>0.82000000000000006</v>
      </c>
      <c r="O1385" s="41">
        <f t="shared" si="1029"/>
        <v>0.98</v>
      </c>
      <c r="P1385" s="41">
        <f t="shared" si="1029"/>
        <v>0.59000000000000008</v>
      </c>
      <c r="Q1385" s="41">
        <f t="shared" si="1029"/>
        <v>0.59000000000000008</v>
      </c>
      <c r="R1385" s="41">
        <f t="shared" si="1029"/>
        <v>0.98</v>
      </c>
      <c r="S1385" s="41">
        <f t="shared" si="1029"/>
        <v>0.85000000000000009</v>
      </c>
      <c r="T1385" s="41">
        <f t="shared" si="1029"/>
        <v>6.7</v>
      </c>
      <c r="U1385" s="41">
        <f t="shared" si="1029"/>
        <v>11.2</v>
      </c>
      <c r="V1385" s="41">
        <f t="shared" si="1029"/>
        <v>6.7</v>
      </c>
      <c r="W1385" s="41">
        <f t="shared" si="1029"/>
        <v>0.59000000000000008</v>
      </c>
      <c r="Y1385" s="390"/>
      <c r="Z1385" s="390"/>
      <c r="AA1385" s="390"/>
      <c r="AB1385" s="390"/>
      <c r="AC1385" s="390"/>
      <c r="AD1385" s="390"/>
      <c r="AE1385" s="390"/>
      <c r="AF1385" s="390"/>
      <c r="AG1385" s="390"/>
      <c r="AH1385" s="390"/>
      <c r="AI1385" s="390"/>
      <c r="AJ1385" s="390"/>
      <c r="AK1385" s="390"/>
      <c r="AL1385" s="390"/>
      <c r="AM1385" s="390"/>
      <c r="AN1385" s="390"/>
      <c r="AO1385" s="390"/>
      <c r="AP1385" s="390"/>
      <c r="AQ1385" s="390"/>
      <c r="AR1385" s="390"/>
      <c r="AS1385" s="390"/>
    </row>
    <row r="1386" spans="2:45" x14ac:dyDescent="0.3">
      <c r="B1386" s="61" t="s">
        <v>101</v>
      </c>
      <c r="C1386" s="55"/>
      <c r="D1386" s="228">
        <f>D1387-1</f>
        <v>3</v>
      </c>
      <c r="E1386" s="229">
        <f t="shared" ref="E1386:S1386" si="1030">E1387-1</f>
        <v>4</v>
      </c>
      <c r="F1386" s="229">
        <f t="shared" si="1030"/>
        <v>5</v>
      </c>
      <c r="G1386" s="229">
        <f t="shared" si="1030"/>
        <v>4</v>
      </c>
      <c r="H1386" s="229">
        <f t="shared" si="1030"/>
        <v>3</v>
      </c>
      <c r="I1386" s="229">
        <f t="shared" si="1030"/>
        <v>3</v>
      </c>
      <c r="J1386" s="229">
        <f t="shared" si="1030"/>
        <v>4</v>
      </c>
      <c r="K1386" s="229">
        <f t="shared" si="1030"/>
        <v>4</v>
      </c>
      <c r="L1386" s="229">
        <f t="shared" si="1030"/>
        <v>4</v>
      </c>
      <c r="M1386" s="229">
        <f t="shared" si="1030"/>
        <v>3</v>
      </c>
      <c r="N1386" s="229">
        <f t="shared" si="1030"/>
        <v>3</v>
      </c>
      <c r="O1386" s="229">
        <f t="shared" si="1030"/>
        <v>3</v>
      </c>
      <c r="P1386" s="229">
        <f t="shared" si="1030"/>
        <v>3</v>
      </c>
      <c r="Q1386" s="229">
        <f t="shared" si="1030"/>
        <v>3</v>
      </c>
      <c r="R1386" s="229">
        <f t="shared" si="1030"/>
        <v>3</v>
      </c>
      <c r="S1386" s="229">
        <f t="shared" si="1030"/>
        <v>3</v>
      </c>
      <c r="T1386" s="21"/>
      <c r="U1386" s="21"/>
      <c r="V1386" s="21"/>
      <c r="W1386" s="229">
        <f>W1387-1</f>
        <v>3</v>
      </c>
      <c r="Y1386" s="390"/>
      <c r="Z1386" s="390"/>
      <c r="AA1386" s="390"/>
      <c r="AB1386" s="390"/>
      <c r="AC1386" s="390"/>
      <c r="AD1386" s="390"/>
      <c r="AE1386" s="390"/>
      <c r="AF1386" s="390"/>
      <c r="AG1386" s="390"/>
      <c r="AH1386" s="390"/>
      <c r="AI1386" s="390"/>
      <c r="AJ1386" s="390"/>
      <c r="AK1386" s="390"/>
      <c r="AL1386" s="390"/>
      <c r="AM1386" s="390"/>
      <c r="AN1386" s="390"/>
      <c r="AO1386" s="390"/>
      <c r="AP1386" s="390"/>
      <c r="AQ1386" s="390"/>
      <c r="AR1386" s="390"/>
      <c r="AS1386" s="390"/>
    </row>
    <row r="1387" spans="2:45" x14ac:dyDescent="0.3">
      <c r="B1387" s="61" t="s">
        <v>194</v>
      </c>
      <c r="C1387" s="62"/>
      <c r="D1387" s="28">
        <f>ROUNDUP((D1385+3),0)</f>
        <v>4</v>
      </c>
      <c r="E1387" s="28">
        <f t="shared" ref="E1387:S1387" si="1031">ROUNDUP((E1385+3),0)</f>
        <v>5</v>
      </c>
      <c r="F1387" s="28">
        <f t="shared" si="1031"/>
        <v>6</v>
      </c>
      <c r="G1387" s="28">
        <f t="shared" si="1031"/>
        <v>5</v>
      </c>
      <c r="H1387" s="28">
        <f t="shared" si="1031"/>
        <v>4</v>
      </c>
      <c r="I1387" s="28">
        <f t="shared" si="1031"/>
        <v>4</v>
      </c>
      <c r="J1387" s="28">
        <f t="shared" si="1031"/>
        <v>5</v>
      </c>
      <c r="K1387" s="28">
        <f t="shared" si="1031"/>
        <v>5</v>
      </c>
      <c r="L1387" s="28">
        <f t="shared" si="1031"/>
        <v>5</v>
      </c>
      <c r="M1387" s="28">
        <f t="shared" si="1031"/>
        <v>4</v>
      </c>
      <c r="N1387" s="28">
        <f t="shared" si="1031"/>
        <v>4</v>
      </c>
      <c r="O1387" s="28">
        <f t="shared" si="1031"/>
        <v>4</v>
      </c>
      <c r="P1387" s="28">
        <f t="shared" si="1031"/>
        <v>4</v>
      </c>
      <c r="Q1387" s="28">
        <f t="shared" si="1031"/>
        <v>4</v>
      </c>
      <c r="R1387" s="28">
        <f t="shared" si="1031"/>
        <v>4</v>
      </c>
      <c r="S1387" s="28">
        <f t="shared" si="1031"/>
        <v>4</v>
      </c>
      <c r="T1387" s="29"/>
      <c r="U1387" s="29"/>
      <c r="V1387" s="29"/>
      <c r="W1387" s="28">
        <f>ROUNDUP((W1385+3),0)</f>
        <v>4</v>
      </c>
      <c r="Y1387" s="390"/>
      <c r="Z1387" s="390"/>
      <c r="AA1387" s="390"/>
      <c r="AB1387" s="390"/>
      <c r="AC1387" s="390"/>
      <c r="AD1387" s="390"/>
      <c r="AE1387" s="390"/>
      <c r="AF1387" s="390"/>
      <c r="AG1387" s="390"/>
      <c r="AH1387" s="390"/>
      <c r="AI1387" s="390"/>
      <c r="AJ1387" s="390"/>
      <c r="AK1387" s="390"/>
      <c r="AL1387" s="390"/>
      <c r="AM1387" s="390"/>
      <c r="AN1387" s="390"/>
      <c r="AO1387" s="390"/>
      <c r="AP1387" s="390"/>
      <c r="AQ1387" s="390"/>
      <c r="AR1387" s="390"/>
      <c r="AS1387" s="390"/>
    </row>
    <row r="1388" spans="2:45" x14ac:dyDescent="0.3">
      <c r="B1388" s="61" t="s">
        <v>195</v>
      </c>
      <c r="C1388" s="62"/>
      <c r="D1388" s="28">
        <f>ROUNDUP((D1385+4),0)</f>
        <v>5</v>
      </c>
      <c r="E1388" s="28">
        <f t="shared" ref="E1388:S1388" si="1032">ROUNDUP((E1385+4),0)</f>
        <v>6</v>
      </c>
      <c r="F1388" s="28">
        <f t="shared" si="1032"/>
        <v>7</v>
      </c>
      <c r="G1388" s="28">
        <f t="shared" si="1032"/>
        <v>6</v>
      </c>
      <c r="H1388" s="28">
        <f t="shared" si="1032"/>
        <v>5</v>
      </c>
      <c r="I1388" s="28">
        <f t="shared" si="1032"/>
        <v>5</v>
      </c>
      <c r="J1388" s="28">
        <f t="shared" si="1032"/>
        <v>6</v>
      </c>
      <c r="K1388" s="28">
        <f t="shared" si="1032"/>
        <v>6</v>
      </c>
      <c r="L1388" s="28">
        <f t="shared" si="1032"/>
        <v>6</v>
      </c>
      <c r="M1388" s="28">
        <f t="shared" si="1032"/>
        <v>5</v>
      </c>
      <c r="N1388" s="28">
        <f t="shared" si="1032"/>
        <v>5</v>
      </c>
      <c r="O1388" s="28">
        <f t="shared" si="1032"/>
        <v>5</v>
      </c>
      <c r="P1388" s="28">
        <f t="shared" si="1032"/>
        <v>5</v>
      </c>
      <c r="Q1388" s="28">
        <f t="shared" si="1032"/>
        <v>5</v>
      </c>
      <c r="R1388" s="28">
        <f t="shared" si="1032"/>
        <v>5</v>
      </c>
      <c r="S1388" s="28">
        <f t="shared" si="1032"/>
        <v>5</v>
      </c>
      <c r="T1388" s="29"/>
      <c r="U1388" s="29"/>
      <c r="V1388" s="29"/>
      <c r="W1388" s="28">
        <f>ROUNDUP((W1385+4),0)</f>
        <v>5</v>
      </c>
      <c r="Y1388" s="390"/>
      <c r="Z1388" s="390"/>
      <c r="AA1388" s="390"/>
      <c r="AB1388" s="390"/>
      <c r="AC1388" s="390"/>
      <c r="AD1388" s="390"/>
      <c r="AE1388" s="390"/>
      <c r="AF1388" s="390"/>
      <c r="AG1388" s="390"/>
      <c r="AH1388" s="390"/>
      <c r="AI1388" s="390"/>
      <c r="AJ1388" s="390"/>
      <c r="AK1388" s="390"/>
      <c r="AL1388" s="390"/>
      <c r="AM1388" s="390"/>
      <c r="AN1388" s="390"/>
      <c r="AO1388" s="390"/>
      <c r="AP1388" s="390"/>
      <c r="AQ1388" s="390"/>
      <c r="AR1388" s="390"/>
      <c r="AS1388" s="390"/>
    </row>
    <row r="1389" spans="2:45" x14ac:dyDescent="0.3">
      <c r="B1389" s="61" t="s">
        <v>196</v>
      </c>
      <c r="C1389" s="62"/>
      <c r="D1389" s="28">
        <f>ROUNDUP((D1385+6),0)</f>
        <v>7</v>
      </c>
      <c r="E1389" s="28">
        <f t="shared" ref="E1389:S1389" si="1033">ROUNDUP((E1385+6),0)</f>
        <v>8</v>
      </c>
      <c r="F1389" s="28">
        <f t="shared" si="1033"/>
        <v>9</v>
      </c>
      <c r="G1389" s="28">
        <f t="shared" si="1033"/>
        <v>8</v>
      </c>
      <c r="H1389" s="28">
        <f t="shared" si="1033"/>
        <v>7</v>
      </c>
      <c r="I1389" s="28">
        <f t="shared" si="1033"/>
        <v>7</v>
      </c>
      <c r="J1389" s="28">
        <f t="shared" si="1033"/>
        <v>8</v>
      </c>
      <c r="K1389" s="28">
        <f t="shared" si="1033"/>
        <v>8</v>
      </c>
      <c r="L1389" s="28">
        <f t="shared" si="1033"/>
        <v>8</v>
      </c>
      <c r="M1389" s="28">
        <f t="shared" si="1033"/>
        <v>7</v>
      </c>
      <c r="N1389" s="28">
        <f t="shared" si="1033"/>
        <v>7</v>
      </c>
      <c r="O1389" s="28">
        <f t="shared" si="1033"/>
        <v>7</v>
      </c>
      <c r="P1389" s="28">
        <f t="shared" si="1033"/>
        <v>7</v>
      </c>
      <c r="Q1389" s="28">
        <f t="shared" si="1033"/>
        <v>7</v>
      </c>
      <c r="R1389" s="28">
        <f t="shared" si="1033"/>
        <v>7</v>
      </c>
      <c r="S1389" s="28">
        <f t="shared" si="1033"/>
        <v>7</v>
      </c>
      <c r="T1389" s="29"/>
      <c r="U1389" s="29"/>
      <c r="V1389" s="29"/>
      <c r="W1389" s="28">
        <f>ROUNDUP((W1385+6),0)</f>
        <v>7</v>
      </c>
      <c r="Y1389" s="390"/>
      <c r="Z1389" s="390"/>
      <c r="AA1389" s="390"/>
      <c r="AB1389" s="390"/>
      <c r="AC1389" s="390"/>
      <c r="AD1389" s="390"/>
      <c r="AE1389" s="390"/>
      <c r="AF1389" s="390"/>
      <c r="AG1389" s="390"/>
      <c r="AH1389" s="390"/>
      <c r="AI1389" s="390"/>
      <c r="AJ1389" s="390"/>
      <c r="AK1389" s="390"/>
      <c r="AL1389" s="390"/>
      <c r="AM1389" s="390"/>
      <c r="AN1389" s="390"/>
      <c r="AO1389" s="390"/>
      <c r="AP1389" s="390"/>
      <c r="AQ1389" s="390"/>
      <c r="AR1389" s="390"/>
      <c r="AS1389" s="390"/>
    </row>
    <row r="1390" spans="2:45" x14ac:dyDescent="0.3">
      <c r="B1390" s="61" t="s">
        <v>197</v>
      </c>
      <c r="C1390" s="62"/>
      <c r="D1390" s="28">
        <f>ROUNDUP((D1385+10),0)</f>
        <v>11</v>
      </c>
      <c r="E1390" s="28">
        <f t="shared" ref="E1390:S1390" si="1034">ROUNDUP((E1385+10),0)</f>
        <v>12</v>
      </c>
      <c r="F1390" s="28">
        <f t="shared" si="1034"/>
        <v>13</v>
      </c>
      <c r="G1390" s="28">
        <f t="shared" si="1034"/>
        <v>12</v>
      </c>
      <c r="H1390" s="28">
        <f t="shared" si="1034"/>
        <v>11</v>
      </c>
      <c r="I1390" s="28">
        <f t="shared" si="1034"/>
        <v>11</v>
      </c>
      <c r="J1390" s="28">
        <f t="shared" si="1034"/>
        <v>12</v>
      </c>
      <c r="K1390" s="28">
        <f t="shared" si="1034"/>
        <v>12</v>
      </c>
      <c r="L1390" s="28">
        <f t="shared" si="1034"/>
        <v>12</v>
      </c>
      <c r="M1390" s="28">
        <f t="shared" si="1034"/>
        <v>11</v>
      </c>
      <c r="N1390" s="28">
        <f t="shared" si="1034"/>
        <v>11</v>
      </c>
      <c r="O1390" s="28">
        <f t="shared" si="1034"/>
        <v>11</v>
      </c>
      <c r="P1390" s="28">
        <f t="shared" si="1034"/>
        <v>11</v>
      </c>
      <c r="Q1390" s="28">
        <f t="shared" si="1034"/>
        <v>11</v>
      </c>
      <c r="R1390" s="28">
        <f t="shared" si="1034"/>
        <v>11</v>
      </c>
      <c r="S1390" s="28">
        <f t="shared" si="1034"/>
        <v>11</v>
      </c>
      <c r="T1390" s="29"/>
      <c r="U1390" s="29"/>
      <c r="V1390" s="29"/>
      <c r="W1390" s="28">
        <f>ROUNDUP((W1385+10),0)</f>
        <v>11</v>
      </c>
      <c r="Y1390" s="390"/>
      <c r="Z1390" s="390"/>
      <c r="AA1390" s="390"/>
      <c r="AB1390" s="390"/>
      <c r="AC1390" s="390"/>
      <c r="AD1390" s="390"/>
      <c r="AE1390" s="390"/>
      <c r="AF1390" s="390"/>
      <c r="AG1390" s="390"/>
      <c r="AH1390" s="390"/>
      <c r="AI1390" s="390"/>
      <c r="AJ1390" s="390"/>
      <c r="AK1390" s="390"/>
      <c r="AL1390" s="390"/>
      <c r="AM1390" s="390"/>
      <c r="AN1390" s="390"/>
      <c r="AO1390" s="390"/>
      <c r="AP1390" s="390"/>
      <c r="AQ1390" s="390"/>
      <c r="AR1390" s="390"/>
      <c r="AS1390" s="390"/>
    </row>
    <row r="1391" spans="2:45" x14ac:dyDescent="0.3">
      <c r="B1391" s="63" t="s">
        <v>103</v>
      </c>
      <c r="C1391" s="62"/>
      <c r="D1391" s="31">
        <f>+D1386-D$833</f>
        <v>-382.62882580645157</v>
      </c>
      <c r="E1391" s="31">
        <f>+E1386-E$833</f>
        <v>-394.01592258064517</v>
      </c>
      <c r="F1391" s="31">
        <f t="shared" ref="F1391:S1391" si="1035">+F1386-F$833</f>
        <v>-399.79011612903224</v>
      </c>
      <c r="G1391" s="31">
        <f t="shared" si="1035"/>
        <v>-388.20947096774194</v>
      </c>
      <c r="H1391" s="31">
        <f t="shared" si="1035"/>
        <v>-384.69334193548383</v>
      </c>
      <c r="I1391" s="31">
        <f t="shared" si="1035"/>
        <v>-388.88689032258065</v>
      </c>
      <c r="J1391" s="31">
        <f t="shared" si="1035"/>
        <v>-394.98366451612901</v>
      </c>
      <c r="K1391" s="31">
        <f t="shared" si="1035"/>
        <v>-391.4352774193548</v>
      </c>
      <c r="L1391" s="31">
        <f t="shared" si="1035"/>
        <v>-392.72559999999999</v>
      </c>
      <c r="M1391" s="31">
        <f t="shared" si="1035"/>
        <v>-382.88689032258065</v>
      </c>
      <c r="N1391" s="31">
        <f t="shared" si="1035"/>
        <v>-384.95140645161291</v>
      </c>
      <c r="O1391" s="31">
        <f t="shared" si="1035"/>
        <v>-389.20947096774194</v>
      </c>
      <c r="P1391" s="31">
        <f t="shared" si="1035"/>
        <v>-380.17721290322578</v>
      </c>
      <c r="Q1391" s="31">
        <f t="shared" si="1035"/>
        <v>-380.17721290322578</v>
      </c>
      <c r="R1391" s="31">
        <f t="shared" si="1035"/>
        <v>-386.62882580645157</v>
      </c>
      <c r="S1391" s="31">
        <f t="shared" si="1035"/>
        <v>-384.8223741935484</v>
      </c>
      <c r="T1391" s="29"/>
      <c r="U1391" s="29"/>
      <c r="V1391" s="29"/>
      <c r="W1391" s="31">
        <f>+W1386-W$833</f>
        <v>-380.17721290322578</v>
      </c>
      <c r="Y1391" s="390"/>
      <c r="Z1391" s="390"/>
      <c r="AA1391" s="390"/>
      <c r="AB1391" s="390"/>
      <c r="AC1391" s="390"/>
      <c r="AD1391" s="390"/>
      <c r="AE1391" s="390"/>
      <c r="AF1391" s="390"/>
      <c r="AG1391" s="390"/>
      <c r="AH1391" s="390"/>
      <c r="AI1391" s="390"/>
      <c r="AJ1391" s="390"/>
      <c r="AK1391" s="390"/>
      <c r="AL1391" s="390"/>
      <c r="AM1391" s="390"/>
      <c r="AN1391" s="390"/>
      <c r="AO1391" s="390"/>
      <c r="AP1391" s="390"/>
      <c r="AQ1391" s="390"/>
      <c r="AR1391" s="390"/>
      <c r="AS1391" s="390"/>
    </row>
    <row r="1392" spans="2:45" x14ac:dyDescent="0.3">
      <c r="B1392" s="63" t="s">
        <v>104</v>
      </c>
      <c r="C1392" s="64"/>
      <c r="D1392" s="31">
        <f>+D1387-D$833</f>
        <v>-381.62882580645157</v>
      </c>
      <c r="E1392" s="32">
        <f t="shared" ref="E1392:S1392" si="1036">+E1387-E$833</f>
        <v>-393.01592258064517</v>
      </c>
      <c r="F1392" s="32">
        <f t="shared" si="1036"/>
        <v>-398.79011612903224</v>
      </c>
      <c r="G1392" s="32">
        <f t="shared" si="1036"/>
        <v>-387.20947096774194</v>
      </c>
      <c r="H1392" s="32">
        <f t="shared" si="1036"/>
        <v>-383.69334193548383</v>
      </c>
      <c r="I1392" s="32">
        <f t="shared" si="1036"/>
        <v>-387.88689032258065</v>
      </c>
      <c r="J1392" s="32">
        <f t="shared" si="1036"/>
        <v>-393.98366451612901</v>
      </c>
      <c r="K1392" s="32">
        <f t="shared" si="1036"/>
        <v>-390.4352774193548</v>
      </c>
      <c r="L1392" s="32">
        <f t="shared" si="1036"/>
        <v>-391.72559999999999</v>
      </c>
      <c r="M1392" s="32">
        <f t="shared" si="1036"/>
        <v>-381.88689032258065</v>
      </c>
      <c r="N1392" s="32">
        <f t="shared" si="1036"/>
        <v>-383.95140645161291</v>
      </c>
      <c r="O1392" s="32">
        <f t="shared" si="1036"/>
        <v>-388.20947096774194</v>
      </c>
      <c r="P1392" s="32">
        <f t="shared" si="1036"/>
        <v>-379.17721290322578</v>
      </c>
      <c r="Q1392" s="32">
        <f t="shared" si="1036"/>
        <v>-379.17721290322578</v>
      </c>
      <c r="R1392" s="32">
        <f t="shared" si="1036"/>
        <v>-385.62882580645157</v>
      </c>
      <c r="S1392" s="32">
        <f t="shared" si="1036"/>
        <v>-383.8223741935484</v>
      </c>
      <c r="T1392" s="32"/>
      <c r="U1392" s="32"/>
      <c r="V1392" s="32"/>
      <c r="W1392" s="32">
        <f>+W1387-W$833</f>
        <v>-379.17721290322578</v>
      </c>
      <c r="Y1392" s="390"/>
      <c r="Z1392" s="390"/>
      <c r="AA1392" s="390"/>
      <c r="AB1392" s="390"/>
      <c r="AC1392" s="390"/>
      <c r="AD1392" s="390"/>
      <c r="AE1392" s="390"/>
      <c r="AF1392" s="390"/>
      <c r="AG1392" s="390"/>
      <c r="AH1392" s="390"/>
      <c r="AI1392" s="390"/>
      <c r="AJ1392" s="390"/>
      <c r="AK1392" s="390"/>
      <c r="AL1392" s="390"/>
      <c r="AM1392" s="390"/>
      <c r="AN1392" s="390"/>
      <c r="AO1392" s="390"/>
      <c r="AP1392" s="390"/>
      <c r="AQ1392" s="390"/>
      <c r="AR1392" s="390"/>
      <c r="AS1392" s="390"/>
    </row>
    <row r="1393" spans="2:45" x14ac:dyDescent="0.3">
      <c r="B1393" s="63" t="s">
        <v>105</v>
      </c>
      <c r="C1393" s="64"/>
      <c r="D1393" s="31">
        <f>+D1388-D$833</f>
        <v>-380.62882580645157</v>
      </c>
      <c r="E1393" s="32">
        <f t="shared" ref="E1393:S1393" si="1037">+E1388-E$833</f>
        <v>-392.01592258064517</v>
      </c>
      <c r="F1393" s="32">
        <f t="shared" si="1037"/>
        <v>-397.79011612903224</v>
      </c>
      <c r="G1393" s="32">
        <f t="shared" si="1037"/>
        <v>-386.20947096774194</v>
      </c>
      <c r="H1393" s="32">
        <f t="shared" si="1037"/>
        <v>-382.69334193548383</v>
      </c>
      <c r="I1393" s="32">
        <f t="shared" si="1037"/>
        <v>-386.88689032258065</v>
      </c>
      <c r="J1393" s="32">
        <f t="shared" si="1037"/>
        <v>-392.98366451612901</v>
      </c>
      <c r="K1393" s="32">
        <f t="shared" si="1037"/>
        <v>-389.4352774193548</v>
      </c>
      <c r="L1393" s="32">
        <f t="shared" si="1037"/>
        <v>-390.72559999999999</v>
      </c>
      <c r="M1393" s="32">
        <f t="shared" si="1037"/>
        <v>-380.88689032258065</v>
      </c>
      <c r="N1393" s="32">
        <f t="shared" si="1037"/>
        <v>-382.95140645161291</v>
      </c>
      <c r="O1393" s="32">
        <f t="shared" si="1037"/>
        <v>-387.20947096774194</v>
      </c>
      <c r="P1393" s="32">
        <f t="shared" si="1037"/>
        <v>-378.17721290322578</v>
      </c>
      <c r="Q1393" s="32">
        <f t="shared" si="1037"/>
        <v>-378.17721290322578</v>
      </c>
      <c r="R1393" s="32">
        <f t="shared" si="1037"/>
        <v>-384.62882580645157</v>
      </c>
      <c r="S1393" s="32">
        <f t="shared" si="1037"/>
        <v>-382.8223741935484</v>
      </c>
      <c r="T1393" s="32"/>
      <c r="U1393" s="32"/>
      <c r="V1393" s="32"/>
      <c r="W1393" s="32">
        <f>+W1388-W$833</f>
        <v>-378.17721290322578</v>
      </c>
      <c r="Y1393" s="390"/>
      <c r="Z1393" s="390"/>
      <c r="AA1393" s="390"/>
      <c r="AB1393" s="390"/>
      <c r="AC1393" s="390"/>
      <c r="AD1393" s="390"/>
      <c r="AE1393" s="390"/>
      <c r="AF1393" s="390"/>
      <c r="AG1393" s="390"/>
      <c r="AH1393" s="390"/>
      <c r="AI1393" s="390"/>
      <c r="AJ1393" s="390"/>
      <c r="AK1393" s="390"/>
      <c r="AL1393" s="390"/>
      <c r="AM1393" s="390"/>
      <c r="AN1393" s="390"/>
      <c r="AO1393" s="390"/>
      <c r="AP1393" s="390"/>
      <c r="AQ1393" s="390"/>
      <c r="AR1393" s="390"/>
      <c r="AS1393" s="390"/>
    </row>
    <row r="1394" spans="2:45" x14ac:dyDescent="0.3">
      <c r="B1394" s="63" t="s">
        <v>75</v>
      </c>
      <c r="C1394" s="64"/>
      <c r="D1394" s="31">
        <f>+D1389-D$833</f>
        <v>-378.62882580645157</v>
      </c>
      <c r="E1394" s="32">
        <f t="shared" ref="E1394:S1394" si="1038">+E1389-E$833</f>
        <v>-390.01592258064517</v>
      </c>
      <c r="F1394" s="32">
        <f t="shared" si="1038"/>
        <v>-395.79011612903224</v>
      </c>
      <c r="G1394" s="32">
        <f t="shared" si="1038"/>
        <v>-384.20947096774194</v>
      </c>
      <c r="H1394" s="32">
        <f t="shared" si="1038"/>
        <v>-380.69334193548383</v>
      </c>
      <c r="I1394" s="32">
        <f t="shared" si="1038"/>
        <v>-384.88689032258065</v>
      </c>
      <c r="J1394" s="32">
        <f t="shared" si="1038"/>
        <v>-390.98366451612901</v>
      </c>
      <c r="K1394" s="32">
        <f t="shared" si="1038"/>
        <v>-387.4352774193548</v>
      </c>
      <c r="L1394" s="32">
        <f t="shared" si="1038"/>
        <v>-388.72559999999999</v>
      </c>
      <c r="M1394" s="32">
        <f t="shared" si="1038"/>
        <v>-378.88689032258065</v>
      </c>
      <c r="N1394" s="32">
        <f t="shared" si="1038"/>
        <v>-380.95140645161291</v>
      </c>
      <c r="O1394" s="32">
        <f t="shared" si="1038"/>
        <v>-385.20947096774194</v>
      </c>
      <c r="P1394" s="32">
        <f t="shared" si="1038"/>
        <v>-376.17721290322578</v>
      </c>
      <c r="Q1394" s="32">
        <f t="shared" si="1038"/>
        <v>-376.17721290322578</v>
      </c>
      <c r="R1394" s="32">
        <f t="shared" si="1038"/>
        <v>-382.62882580645157</v>
      </c>
      <c r="S1394" s="32">
        <f t="shared" si="1038"/>
        <v>-380.8223741935484</v>
      </c>
      <c r="T1394" s="32"/>
      <c r="U1394" s="32"/>
      <c r="V1394" s="32"/>
      <c r="W1394" s="32">
        <f>+W1389-W$833</f>
        <v>-376.17721290322578</v>
      </c>
      <c r="Y1394" s="390"/>
      <c r="Z1394" s="390"/>
      <c r="AA1394" s="390"/>
      <c r="AB1394" s="390"/>
      <c r="AC1394" s="390"/>
      <c r="AD1394" s="390"/>
      <c r="AE1394" s="390"/>
      <c r="AF1394" s="390"/>
      <c r="AG1394" s="390"/>
      <c r="AH1394" s="390"/>
      <c r="AI1394" s="390"/>
      <c r="AJ1394" s="390"/>
      <c r="AK1394" s="390"/>
      <c r="AL1394" s="390"/>
      <c r="AM1394" s="390"/>
      <c r="AN1394" s="390"/>
      <c r="AO1394" s="390"/>
      <c r="AP1394" s="390"/>
      <c r="AQ1394" s="390"/>
      <c r="AR1394" s="390"/>
      <c r="AS1394" s="390"/>
    </row>
    <row r="1395" spans="2:45" x14ac:dyDescent="0.3">
      <c r="B1395" s="63" t="s">
        <v>76</v>
      </c>
      <c r="C1395" s="64"/>
      <c r="D1395" s="31">
        <f>+D1390-D$833</f>
        <v>-374.62882580645157</v>
      </c>
      <c r="E1395" s="34">
        <f t="shared" ref="E1395:S1395" si="1039">+E1390-E$833</f>
        <v>-386.01592258064517</v>
      </c>
      <c r="F1395" s="34">
        <f t="shared" si="1039"/>
        <v>-391.79011612903224</v>
      </c>
      <c r="G1395" s="34">
        <f t="shared" si="1039"/>
        <v>-380.20947096774194</v>
      </c>
      <c r="H1395" s="34">
        <f t="shared" si="1039"/>
        <v>-376.69334193548383</v>
      </c>
      <c r="I1395" s="34">
        <f t="shared" si="1039"/>
        <v>-380.88689032258065</v>
      </c>
      <c r="J1395" s="34">
        <f t="shared" si="1039"/>
        <v>-386.98366451612901</v>
      </c>
      <c r="K1395" s="34">
        <f t="shared" si="1039"/>
        <v>-383.4352774193548</v>
      </c>
      <c r="L1395" s="34">
        <f t="shared" si="1039"/>
        <v>-384.72559999999999</v>
      </c>
      <c r="M1395" s="34">
        <f t="shared" si="1039"/>
        <v>-374.88689032258065</v>
      </c>
      <c r="N1395" s="34">
        <f t="shared" si="1039"/>
        <v>-376.95140645161291</v>
      </c>
      <c r="O1395" s="34">
        <f t="shared" si="1039"/>
        <v>-381.20947096774194</v>
      </c>
      <c r="P1395" s="34">
        <f t="shared" si="1039"/>
        <v>-372.17721290322578</v>
      </c>
      <c r="Q1395" s="34">
        <f t="shared" si="1039"/>
        <v>-372.17721290322578</v>
      </c>
      <c r="R1395" s="34">
        <f t="shared" si="1039"/>
        <v>-378.62882580645157</v>
      </c>
      <c r="S1395" s="34">
        <f t="shared" si="1039"/>
        <v>-376.8223741935484</v>
      </c>
      <c r="T1395" s="34"/>
      <c r="U1395" s="34"/>
      <c r="V1395" s="34"/>
      <c r="W1395" s="34">
        <f>+W1390-W$833</f>
        <v>-372.17721290322578</v>
      </c>
      <c r="Y1395" s="390"/>
      <c r="Z1395" s="390"/>
      <c r="AA1395" s="390"/>
      <c r="AB1395" s="390"/>
      <c r="AC1395" s="390"/>
      <c r="AD1395" s="390"/>
      <c r="AE1395" s="390"/>
      <c r="AF1395" s="390"/>
      <c r="AG1395" s="390"/>
      <c r="AH1395" s="390"/>
      <c r="AI1395" s="390"/>
      <c r="AJ1395" s="390"/>
      <c r="AK1395" s="390"/>
      <c r="AL1395" s="390"/>
      <c r="AM1395" s="390"/>
      <c r="AN1395" s="390"/>
      <c r="AO1395" s="390"/>
      <c r="AP1395" s="390"/>
      <c r="AQ1395" s="390"/>
      <c r="AR1395" s="390"/>
      <c r="AS1395" s="390"/>
    </row>
    <row r="1396" spans="2:45" x14ac:dyDescent="0.3">
      <c r="B1396" s="65" t="s">
        <v>108</v>
      </c>
      <c r="C1396" s="64"/>
      <c r="D1396" s="105">
        <f>+D1391/D$835</f>
        <v>-0.93097037909112301</v>
      </c>
      <c r="E1396" s="105">
        <f t="shared" ref="E1396:S1396" si="1040">+E1391/E$835</f>
        <v>-0.92928283627510655</v>
      </c>
      <c r="F1396" s="105">
        <f t="shared" si="1040"/>
        <v>-0.92974445611402845</v>
      </c>
      <c r="G1396" s="105">
        <f t="shared" si="1040"/>
        <v>-0.92873079178885631</v>
      </c>
      <c r="H1396" s="105">
        <f t="shared" si="1040"/>
        <v>-0.93146087635710373</v>
      </c>
      <c r="I1396" s="105">
        <f t="shared" si="1040"/>
        <v>-0.93258247079755552</v>
      </c>
      <c r="J1396" s="105">
        <f t="shared" si="1040"/>
        <v>-0.93156524650030426</v>
      </c>
      <c r="K1396" s="105">
        <f t="shared" si="1040"/>
        <v>-0.92977500574668603</v>
      </c>
      <c r="L1396" s="105">
        <f t="shared" si="1040"/>
        <v>-0.93062938388625593</v>
      </c>
      <c r="M1396" s="105">
        <f t="shared" si="1040"/>
        <v>-0.93159827329095046</v>
      </c>
      <c r="N1396" s="105">
        <f t="shared" si="1040"/>
        <v>-0.93208572990705307</v>
      </c>
      <c r="O1396" s="105">
        <f t="shared" si="1040"/>
        <v>-0.93112313628646393</v>
      </c>
      <c r="P1396" s="105">
        <f t="shared" si="1040"/>
        <v>-0.92952863790519746</v>
      </c>
      <c r="Q1396" s="105">
        <f t="shared" si="1040"/>
        <v>-0.92952863790519746</v>
      </c>
      <c r="R1396" s="105">
        <f t="shared" si="1040"/>
        <v>-0.93163572483482304</v>
      </c>
      <c r="S1396" s="105">
        <f t="shared" si="1040"/>
        <v>-0.9317733031320784</v>
      </c>
      <c r="T1396" s="34"/>
      <c r="U1396" s="34"/>
      <c r="V1396" s="34"/>
      <c r="W1396" s="105">
        <f>+W1391/W$835</f>
        <v>-0.92952863790519746</v>
      </c>
      <c r="Y1396" s="390"/>
      <c r="Z1396" s="390"/>
      <c r="AA1396" s="390"/>
      <c r="AB1396" s="390"/>
      <c r="AC1396" s="390"/>
      <c r="AD1396" s="390"/>
      <c r="AE1396" s="390"/>
      <c r="AF1396" s="390"/>
      <c r="AG1396" s="390"/>
      <c r="AH1396" s="390"/>
      <c r="AI1396" s="390"/>
      <c r="AJ1396" s="390"/>
      <c r="AK1396" s="390"/>
      <c r="AL1396" s="390"/>
      <c r="AM1396" s="390"/>
      <c r="AN1396" s="390"/>
      <c r="AO1396" s="390"/>
      <c r="AP1396" s="390"/>
      <c r="AQ1396" s="390"/>
      <c r="AR1396" s="390"/>
      <c r="AS1396" s="390"/>
    </row>
    <row r="1397" spans="2:45" x14ac:dyDescent="0.3">
      <c r="B1397" s="65" t="s">
        <v>107</v>
      </c>
      <c r="C1397" s="66"/>
      <c r="D1397" s="35">
        <f>+D1392/D$836</f>
        <v>-0.91737698511166244</v>
      </c>
      <c r="E1397" s="35">
        <f t="shared" ref="E1397:S1397" si="1041">+E1392/E$836</f>
        <v>-0.91612103165651559</v>
      </c>
      <c r="F1397" s="35">
        <f t="shared" si="1041"/>
        <v>-0.91675888765294766</v>
      </c>
      <c r="G1397" s="35">
        <f t="shared" si="1041"/>
        <v>-0.91538882025470902</v>
      </c>
      <c r="H1397" s="35">
        <f t="shared" si="1041"/>
        <v>-0.9179266553480474</v>
      </c>
      <c r="I1397" s="35">
        <f t="shared" si="1041"/>
        <v>-0.91916324720990672</v>
      </c>
      <c r="J1397" s="35">
        <f t="shared" si="1041"/>
        <v>-0.91837684036393707</v>
      </c>
      <c r="K1397" s="35">
        <f t="shared" si="1041"/>
        <v>-0.91651473572618503</v>
      </c>
      <c r="L1397" s="35">
        <f t="shared" si="1041"/>
        <v>-0.91739016393442618</v>
      </c>
      <c r="M1397" s="35">
        <f t="shared" si="1041"/>
        <v>-0.91799733250620352</v>
      </c>
      <c r="N1397" s="35">
        <f t="shared" si="1041"/>
        <v>-0.91854403457323663</v>
      </c>
      <c r="O1397" s="35">
        <f t="shared" si="1041"/>
        <v>-0.91775288644856245</v>
      </c>
      <c r="P1397" s="35">
        <f t="shared" si="1041"/>
        <v>-0.91588698768895116</v>
      </c>
      <c r="Q1397" s="35">
        <f t="shared" si="1041"/>
        <v>-0.91588698768895116</v>
      </c>
      <c r="R1397" s="35">
        <f t="shared" si="1041"/>
        <v>-0.91816387096774188</v>
      </c>
      <c r="S1397" s="35">
        <f t="shared" si="1041"/>
        <v>-0.91823534496064207</v>
      </c>
      <c r="T1397" s="35"/>
      <c r="U1397" s="35"/>
      <c r="V1397" s="35"/>
      <c r="W1397" s="35">
        <f>+W1392/W$836</f>
        <v>-0.91588698768895116</v>
      </c>
      <c r="Y1397" s="390"/>
      <c r="Z1397" s="390"/>
      <c r="AA1397" s="390"/>
      <c r="AB1397" s="390"/>
      <c r="AC1397" s="390"/>
      <c r="AD1397" s="390"/>
      <c r="AE1397" s="390"/>
      <c r="AF1397" s="390"/>
      <c r="AG1397" s="390"/>
      <c r="AH1397" s="390"/>
      <c r="AI1397" s="390"/>
      <c r="AJ1397" s="390"/>
      <c r="AK1397" s="390"/>
      <c r="AL1397" s="390"/>
      <c r="AM1397" s="390"/>
      <c r="AN1397" s="390"/>
      <c r="AO1397" s="390"/>
      <c r="AP1397" s="390"/>
      <c r="AQ1397" s="390"/>
      <c r="AR1397" s="390"/>
      <c r="AS1397" s="390"/>
    </row>
    <row r="1398" spans="2:45" x14ac:dyDescent="0.3">
      <c r="B1398" s="65" t="s">
        <v>106</v>
      </c>
      <c r="C1398" s="66"/>
      <c r="D1398" s="35">
        <f>+D1393/D$837</f>
        <v>-0.90410647459964744</v>
      </c>
      <c r="E1398" s="35">
        <f t="shared" ref="E1398:S1398" si="1042">+E1393/E$837</f>
        <v>-0.9032624944254497</v>
      </c>
      <c r="F1398" s="35">
        <f t="shared" si="1042"/>
        <v>-0.90406844574780054</v>
      </c>
      <c r="G1398" s="35">
        <f t="shared" si="1042"/>
        <v>-0.90235857702743438</v>
      </c>
      <c r="H1398" s="35">
        <f t="shared" si="1042"/>
        <v>-0.90471239228246769</v>
      </c>
      <c r="I1398" s="35">
        <f t="shared" si="1042"/>
        <v>-0.90605829115358472</v>
      </c>
      <c r="J1398" s="35">
        <f t="shared" si="1042"/>
        <v>-0.9054923145532926</v>
      </c>
      <c r="K1398" s="35">
        <f t="shared" si="1042"/>
        <v>-0.90356212858318985</v>
      </c>
      <c r="L1398" s="35">
        <f t="shared" si="1042"/>
        <v>-0.90445740740740732</v>
      </c>
      <c r="M1398" s="35">
        <f t="shared" si="1042"/>
        <v>-0.904719454447935</v>
      </c>
      <c r="N1398" s="35">
        <f t="shared" si="1042"/>
        <v>-0.90532247388088161</v>
      </c>
      <c r="O1398" s="35">
        <f t="shared" si="1042"/>
        <v>-0.90469502562556525</v>
      </c>
      <c r="P1398" s="35">
        <f t="shared" si="1042"/>
        <v>-0.90257091385018084</v>
      </c>
      <c r="Q1398" s="35">
        <f t="shared" si="1042"/>
        <v>-0.90257091385018084</v>
      </c>
      <c r="R1398" s="35">
        <f t="shared" si="1042"/>
        <v>-0.90500900189753308</v>
      </c>
      <c r="S1398" s="35">
        <f t="shared" si="1042"/>
        <v>-0.9050174330816747</v>
      </c>
      <c r="T1398" s="35"/>
      <c r="U1398" s="35"/>
      <c r="V1398" s="35"/>
      <c r="W1398" s="35">
        <f>+W1393/W$837</f>
        <v>-0.90257091385018084</v>
      </c>
      <c r="Y1398" s="390"/>
      <c r="Z1398" s="390"/>
      <c r="AA1398" s="390"/>
      <c r="AB1398" s="390"/>
      <c r="AC1398" s="390"/>
      <c r="AD1398" s="390"/>
      <c r="AE1398" s="390"/>
      <c r="AF1398" s="390"/>
      <c r="AG1398" s="390"/>
      <c r="AH1398" s="390"/>
      <c r="AI1398" s="390"/>
      <c r="AJ1398" s="390"/>
      <c r="AK1398" s="390"/>
      <c r="AL1398" s="390"/>
      <c r="AM1398" s="390"/>
      <c r="AN1398" s="390"/>
      <c r="AO1398" s="390"/>
      <c r="AP1398" s="390"/>
      <c r="AQ1398" s="390"/>
      <c r="AR1398" s="390"/>
      <c r="AS1398" s="390"/>
    </row>
    <row r="1399" spans="2:45" x14ac:dyDescent="0.3">
      <c r="B1399" s="65" t="s">
        <v>77</v>
      </c>
      <c r="C1399" s="66"/>
      <c r="D1399" s="35">
        <f>+D1394/D$838</f>
        <v>-0.88880006057852479</v>
      </c>
      <c r="E1399" s="35">
        <f t="shared" ref="E1399:S1399" si="1043">+E1394/E$838</f>
        <v>-0.88841895804247195</v>
      </c>
      <c r="F1399" s="35">
        <f t="shared" si="1043"/>
        <v>-0.88941599130119608</v>
      </c>
      <c r="G1399" s="35">
        <f t="shared" si="1043"/>
        <v>-0.88731979438277586</v>
      </c>
      <c r="H1399" s="35">
        <f t="shared" si="1043"/>
        <v>-0.88947042508290619</v>
      </c>
      <c r="I1399" s="35">
        <f t="shared" si="1043"/>
        <v>-0.89094187574671446</v>
      </c>
      <c r="J1399" s="35">
        <f t="shared" si="1043"/>
        <v>-0.8906233815857153</v>
      </c>
      <c r="K1399" s="35">
        <f t="shared" si="1043"/>
        <v>-0.88861302160402478</v>
      </c>
      <c r="L1399" s="35">
        <f t="shared" si="1043"/>
        <v>-0.88953226544622421</v>
      </c>
      <c r="M1399" s="35">
        <f t="shared" si="1043"/>
        <v>-0.88940584582765414</v>
      </c>
      <c r="N1399" s="35">
        <f t="shared" si="1043"/>
        <v>-0.89007337955984323</v>
      </c>
      <c r="O1399" s="35">
        <f t="shared" si="1043"/>
        <v>-0.88962926320494673</v>
      </c>
      <c r="P1399" s="35">
        <f t="shared" si="1043"/>
        <v>-0.88721040779062688</v>
      </c>
      <c r="Q1399" s="35">
        <f t="shared" si="1043"/>
        <v>-0.88721040779062688</v>
      </c>
      <c r="R1399" s="35">
        <f t="shared" si="1043"/>
        <v>-0.88983447861965481</v>
      </c>
      <c r="S1399" s="35">
        <f t="shared" si="1043"/>
        <v>-0.88977190232137471</v>
      </c>
      <c r="T1399" s="35"/>
      <c r="U1399" s="35"/>
      <c r="V1399" s="35"/>
      <c r="W1399" s="35">
        <f>+W1394/W$838</f>
        <v>-0.88721040779062688</v>
      </c>
      <c r="Y1399" s="390"/>
      <c r="Z1399" s="390"/>
      <c r="AA1399" s="390"/>
      <c r="AB1399" s="390"/>
      <c r="AC1399" s="390"/>
      <c r="AD1399" s="390"/>
      <c r="AE1399" s="390"/>
      <c r="AF1399" s="390"/>
      <c r="AG1399" s="390"/>
      <c r="AH1399" s="390"/>
      <c r="AI1399" s="390"/>
      <c r="AJ1399" s="390"/>
      <c r="AK1399" s="390"/>
      <c r="AL1399" s="390"/>
      <c r="AM1399" s="390"/>
      <c r="AN1399" s="390"/>
      <c r="AO1399" s="390"/>
      <c r="AP1399" s="390"/>
      <c r="AQ1399" s="390"/>
      <c r="AR1399" s="390"/>
      <c r="AS1399" s="390"/>
    </row>
    <row r="1400" spans="2:45" x14ac:dyDescent="0.3">
      <c r="B1400" s="65" t="s">
        <v>78</v>
      </c>
      <c r="C1400" s="66"/>
      <c r="D1400" s="35" t="e">
        <f>+D1395/#REF!</f>
        <v>#REF!</v>
      </c>
      <c r="E1400" s="35" t="e">
        <f>+E1395/#REF!</f>
        <v>#REF!</v>
      </c>
      <c r="F1400" s="35" t="e">
        <f>+F1395/#REF!</f>
        <v>#REF!</v>
      </c>
      <c r="G1400" s="35" t="e">
        <f>+G1395/#REF!</f>
        <v>#REF!</v>
      </c>
      <c r="H1400" s="35" t="e">
        <f>+H1395/#REF!</f>
        <v>#REF!</v>
      </c>
      <c r="I1400" s="35" t="e">
        <f>+I1395/#REF!</f>
        <v>#REF!</v>
      </c>
      <c r="J1400" s="35" t="e">
        <f>+J1395/#REF!</f>
        <v>#REF!</v>
      </c>
      <c r="K1400" s="35" t="e">
        <f>+K1395/#REF!</f>
        <v>#REF!</v>
      </c>
      <c r="L1400" s="35" t="e">
        <f>+L1395/#REF!</f>
        <v>#REF!</v>
      </c>
      <c r="M1400" s="35" t="e">
        <f>+M1395/#REF!</f>
        <v>#REF!</v>
      </c>
      <c r="N1400" s="35" t="e">
        <f>+N1395/#REF!</f>
        <v>#REF!</v>
      </c>
      <c r="O1400" s="35" t="e">
        <f>+O1395/#REF!</f>
        <v>#REF!</v>
      </c>
      <c r="P1400" s="35" t="e">
        <f>+P1395/#REF!</f>
        <v>#REF!</v>
      </c>
      <c r="Q1400" s="35" t="e">
        <f>+Q1395/#REF!</f>
        <v>#REF!</v>
      </c>
      <c r="R1400" s="35" t="e">
        <f>+R1395/#REF!</f>
        <v>#REF!</v>
      </c>
      <c r="S1400" s="35" t="e">
        <f>+S1395/#REF!</f>
        <v>#REF!</v>
      </c>
      <c r="T1400" s="35"/>
      <c r="U1400" s="35"/>
      <c r="V1400" s="35"/>
      <c r="W1400" s="35" t="e">
        <f>+W1395/#REF!</f>
        <v>#REF!</v>
      </c>
      <c r="Y1400" s="390"/>
      <c r="Z1400" s="390"/>
      <c r="AA1400" s="390"/>
      <c r="AB1400" s="390"/>
      <c r="AC1400" s="390"/>
      <c r="AD1400" s="390"/>
      <c r="AE1400" s="390"/>
      <c r="AF1400" s="390"/>
      <c r="AG1400" s="390"/>
      <c r="AH1400" s="390"/>
      <c r="AI1400" s="390"/>
      <c r="AJ1400" s="390"/>
      <c r="AK1400" s="390"/>
      <c r="AL1400" s="390"/>
      <c r="AM1400" s="390"/>
      <c r="AN1400" s="390"/>
      <c r="AO1400" s="390"/>
      <c r="AP1400" s="390"/>
      <c r="AQ1400" s="390"/>
      <c r="AR1400" s="390"/>
      <c r="AS1400" s="390"/>
    </row>
    <row r="1401" spans="2:45" ht="21" thickBot="1" x14ac:dyDescent="0.35">
      <c r="Y1401" s="390"/>
      <c r="Z1401" s="390"/>
      <c r="AA1401" s="390"/>
      <c r="AB1401" s="390"/>
      <c r="AC1401" s="390"/>
      <c r="AD1401" s="390"/>
      <c r="AE1401" s="390"/>
      <c r="AF1401" s="390"/>
      <c r="AG1401" s="390"/>
      <c r="AH1401" s="390"/>
      <c r="AI1401" s="390"/>
      <c r="AJ1401" s="390"/>
      <c r="AK1401" s="390"/>
      <c r="AL1401" s="390"/>
      <c r="AM1401" s="390"/>
      <c r="AN1401" s="390"/>
      <c r="AO1401" s="390"/>
      <c r="AP1401" s="390"/>
      <c r="AQ1401" s="390"/>
      <c r="AR1401" s="390"/>
      <c r="AS1401" s="390"/>
    </row>
    <row r="1402" spans="2:45" ht="21" thickBot="1" x14ac:dyDescent="0.35">
      <c r="B1402" s="223"/>
      <c r="C1402" s="68"/>
      <c r="D1402" s="17" t="s">
        <v>5</v>
      </c>
      <c r="E1402" s="18" t="s">
        <v>6</v>
      </c>
      <c r="F1402" s="18" t="s">
        <v>7</v>
      </c>
      <c r="G1402" s="18" t="s">
        <v>8</v>
      </c>
      <c r="H1402" s="18" t="s">
        <v>9</v>
      </c>
      <c r="I1402" s="18" t="s">
        <v>10</v>
      </c>
      <c r="J1402" s="18" t="s">
        <v>11</v>
      </c>
      <c r="K1402" s="18" t="s">
        <v>12</v>
      </c>
      <c r="L1402" s="18" t="s">
        <v>13</v>
      </c>
      <c r="M1402" s="18" t="s">
        <v>14</v>
      </c>
      <c r="N1402" s="18" t="s">
        <v>15</v>
      </c>
      <c r="O1402" s="18" t="s">
        <v>16</v>
      </c>
      <c r="P1402" s="18" t="s">
        <v>17</v>
      </c>
      <c r="Q1402" s="18" t="s">
        <v>18</v>
      </c>
      <c r="R1402" s="18" t="s">
        <v>19</v>
      </c>
      <c r="S1402" s="18" t="s">
        <v>20</v>
      </c>
      <c r="T1402" s="18" t="s">
        <v>21</v>
      </c>
      <c r="U1402" s="18" t="s">
        <v>22</v>
      </c>
      <c r="V1402" s="18" t="s">
        <v>23</v>
      </c>
      <c r="W1402" s="18" t="s">
        <v>166</v>
      </c>
      <c r="Y1402" s="390"/>
      <c r="Z1402" s="390"/>
      <c r="AA1402" s="390"/>
      <c r="AB1402" s="390"/>
      <c r="AC1402" s="390"/>
      <c r="AD1402" s="390"/>
      <c r="AE1402" s="390"/>
      <c r="AF1402" s="390"/>
      <c r="AG1402" s="390"/>
      <c r="AH1402" s="390"/>
      <c r="AI1402" s="390"/>
      <c r="AJ1402" s="390"/>
      <c r="AK1402" s="390"/>
      <c r="AL1402" s="390"/>
      <c r="AM1402" s="390"/>
      <c r="AN1402" s="390"/>
      <c r="AO1402" s="390"/>
      <c r="AP1402" s="390"/>
      <c r="AQ1402" s="390"/>
      <c r="AR1402" s="390"/>
      <c r="AS1402" s="390"/>
    </row>
    <row r="1403" spans="2:45" x14ac:dyDescent="0.3">
      <c r="B1403" s="222" t="s">
        <v>50</v>
      </c>
      <c r="C1403" s="70"/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Y1403" s="390"/>
      <c r="Z1403" s="390"/>
      <c r="AA1403" s="390"/>
      <c r="AB1403" s="390"/>
      <c r="AC1403" s="390"/>
      <c r="AD1403" s="390"/>
      <c r="AE1403" s="390"/>
      <c r="AF1403" s="390"/>
      <c r="AG1403" s="390"/>
      <c r="AH1403" s="390"/>
      <c r="AI1403" s="390"/>
      <c r="AJ1403" s="390"/>
      <c r="AK1403" s="390"/>
      <c r="AL1403" s="390"/>
      <c r="AM1403" s="390"/>
      <c r="AN1403" s="390"/>
      <c r="AO1403" s="390"/>
      <c r="AP1403" s="390"/>
      <c r="AQ1403" s="390"/>
      <c r="AR1403" s="390"/>
      <c r="AS1403" s="390"/>
    </row>
    <row r="1404" spans="2:45" x14ac:dyDescent="0.3">
      <c r="B1404" s="54" t="s">
        <v>51</v>
      </c>
      <c r="C1404" s="55"/>
      <c r="D1404" s="322"/>
      <c r="E1404" s="322"/>
      <c r="F1404" s="322"/>
      <c r="G1404" s="322"/>
      <c r="H1404" s="322"/>
      <c r="I1404" s="322"/>
      <c r="J1404" s="322"/>
      <c r="K1404" s="322"/>
      <c r="L1404" s="322"/>
      <c r="M1404" s="322"/>
      <c r="N1404" s="322"/>
      <c r="O1404" s="322"/>
      <c r="P1404" s="322"/>
      <c r="Q1404" s="322"/>
      <c r="R1404" s="322"/>
      <c r="S1404" s="322"/>
      <c r="T1404" s="218"/>
      <c r="U1404" s="218"/>
      <c r="V1404" s="218"/>
      <c r="W1404" s="322"/>
      <c r="Y1404" s="390"/>
      <c r="Z1404" s="390"/>
      <c r="AA1404" s="390"/>
      <c r="AB1404" s="390"/>
      <c r="AC1404" s="390"/>
      <c r="AD1404" s="390"/>
      <c r="AE1404" s="390"/>
      <c r="AF1404" s="390"/>
      <c r="AG1404" s="390"/>
      <c r="AH1404" s="390"/>
      <c r="AI1404" s="390"/>
      <c r="AJ1404" s="390"/>
      <c r="AK1404" s="390"/>
      <c r="AL1404" s="390"/>
      <c r="AM1404" s="390"/>
      <c r="AN1404" s="390"/>
      <c r="AO1404" s="390"/>
      <c r="AP1404" s="390"/>
      <c r="AQ1404" s="390"/>
      <c r="AR1404" s="390"/>
      <c r="AS1404" s="390"/>
    </row>
    <row r="1405" spans="2:45" x14ac:dyDescent="0.3">
      <c r="B1405" s="54" t="s">
        <v>56</v>
      </c>
      <c r="C1405" s="55"/>
      <c r="D1405" s="21"/>
      <c r="E1405" s="21"/>
      <c r="F1405" s="21"/>
      <c r="G1405" s="21"/>
      <c r="H1405" s="21"/>
      <c r="I1405" s="21"/>
      <c r="J1405" s="21"/>
      <c r="K1405" s="21"/>
      <c r="L1405" s="21"/>
      <c r="M1405" s="21"/>
      <c r="N1405" s="21"/>
      <c r="O1405" s="21"/>
      <c r="P1405" s="21"/>
      <c r="Q1405" s="21"/>
      <c r="R1405" s="21"/>
      <c r="S1405" s="21"/>
      <c r="T1405" s="21"/>
      <c r="U1405" s="21"/>
      <c r="V1405" s="21"/>
      <c r="W1405" s="21"/>
      <c r="Y1405" s="390"/>
      <c r="Z1405" s="390"/>
      <c r="AA1405" s="390"/>
      <c r="AB1405" s="390"/>
      <c r="AC1405" s="390"/>
      <c r="AD1405" s="390"/>
      <c r="AE1405" s="390"/>
      <c r="AF1405" s="390"/>
      <c r="AG1405" s="390"/>
      <c r="AH1405" s="390"/>
      <c r="AI1405" s="390"/>
      <c r="AJ1405" s="390"/>
      <c r="AK1405" s="390"/>
      <c r="AL1405" s="390"/>
      <c r="AM1405" s="390"/>
      <c r="AN1405" s="390"/>
      <c r="AO1405" s="390"/>
      <c r="AP1405" s="390"/>
      <c r="AQ1405" s="390"/>
      <c r="AR1405" s="390"/>
      <c r="AS1405" s="390"/>
    </row>
    <row r="1406" spans="2:45" x14ac:dyDescent="0.3">
      <c r="B1406" s="177" t="s">
        <v>67</v>
      </c>
      <c r="C1406" s="178"/>
      <c r="D1406" s="323"/>
      <c r="E1406" s="323"/>
      <c r="F1406" s="323"/>
      <c r="G1406" s="323"/>
      <c r="H1406" s="323"/>
      <c r="I1406" s="323"/>
      <c r="J1406" s="323"/>
      <c r="K1406" s="323"/>
      <c r="L1406" s="323"/>
      <c r="M1406" s="323"/>
      <c r="N1406" s="323"/>
      <c r="O1406" s="323"/>
      <c r="P1406" s="323"/>
      <c r="Q1406" s="323"/>
      <c r="R1406" s="323"/>
      <c r="S1406" s="323"/>
      <c r="T1406" s="323"/>
      <c r="U1406" s="323"/>
      <c r="V1406" s="323"/>
      <c r="W1406" s="323"/>
      <c r="Y1406" s="390"/>
      <c r="Z1406" s="390"/>
      <c r="AA1406" s="390"/>
      <c r="AB1406" s="390"/>
      <c r="AC1406" s="390"/>
      <c r="AD1406" s="390"/>
      <c r="AE1406" s="390"/>
      <c r="AF1406" s="390"/>
      <c r="AG1406" s="390"/>
      <c r="AH1406" s="390"/>
      <c r="AI1406" s="390"/>
      <c r="AJ1406" s="390"/>
      <c r="AK1406" s="390"/>
      <c r="AL1406" s="390"/>
      <c r="AM1406" s="390"/>
      <c r="AN1406" s="390"/>
      <c r="AO1406" s="390"/>
      <c r="AP1406" s="390"/>
      <c r="AQ1406" s="390"/>
      <c r="AR1406" s="390"/>
      <c r="AS1406" s="390"/>
    </row>
    <row r="1407" spans="2:45" x14ac:dyDescent="0.3">
      <c r="B1407" s="54" t="s">
        <v>66</v>
      </c>
      <c r="C1407" s="56">
        <v>7.0000000000000007E-2</v>
      </c>
      <c r="D1407" s="24">
        <f>D1406*$C1407</f>
        <v>0</v>
      </c>
      <c r="E1407" s="24">
        <f t="shared" ref="E1407:W1407" si="1044">E1406*$C1407</f>
        <v>0</v>
      </c>
      <c r="F1407" s="24">
        <f t="shared" si="1044"/>
        <v>0</v>
      </c>
      <c r="G1407" s="24">
        <f t="shared" si="1044"/>
        <v>0</v>
      </c>
      <c r="H1407" s="24">
        <f t="shared" si="1044"/>
        <v>0</v>
      </c>
      <c r="I1407" s="24">
        <f t="shared" si="1044"/>
        <v>0</v>
      </c>
      <c r="J1407" s="24">
        <f t="shared" si="1044"/>
        <v>0</v>
      </c>
      <c r="K1407" s="24">
        <f t="shared" si="1044"/>
        <v>0</v>
      </c>
      <c r="L1407" s="24">
        <f t="shared" si="1044"/>
        <v>0</v>
      </c>
      <c r="M1407" s="24">
        <f t="shared" si="1044"/>
        <v>0</v>
      </c>
      <c r="N1407" s="24">
        <f t="shared" si="1044"/>
        <v>0</v>
      </c>
      <c r="O1407" s="24">
        <f t="shared" si="1044"/>
        <v>0</v>
      </c>
      <c r="P1407" s="24">
        <f t="shared" si="1044"/>
        <v>0</v>
      </c>
      <c r="Q1407" s="24">
        <f t="shared" si="1044"/>
        <v>0</v>
      </c>
      <c r="R1407" s="24">
        <f t="shared" si="1044"/>
        <v>0</v>
      </c>
      <c r="S1407" s="24">
        <f t="shared" si="1044"/>
        <v>0</v>
      </c>
      <c r="T1407" s="24">
        <f t="shared" si="1044"/>
        <v>0</v>
      </c>
      <c r="U1407" s="24">
        <f t="shared" si="1044"/>
        <v>0</v>
      </c>
      <c r="V1407" s="24">
        <f t="shared" si="1044"/>
        <v>0</v>
      </c>
      <c r="W1407" s="24">
        <f t="shared" si="1044"/>
        <v>0</v>
      </c>
      <c r="Y1407" s="390"/>
      <c r="Z1407" s="390"/>
      <c r="AA1407" s="390"/>
      <c r="AB1407" s="390"/>
      <c r="AC1407" s="390"/>
      <c r="AD1407" s="390"/>
      <c r="AE1407" s="390"/>
      <c r="AF1407" s="390"/>
      <c r="AG1407" s="390"/>
      <c r="AH1407" s="390"/>
      <c r="AI1407" s="390"/>
      <c r="AJ1407" s="390"/>
      <c r="AK1407" s="390"/>
      <c r="AL1407" s="390"/>
      <c r="AM1407" s="390"/>
      <c r="AN1407" s="390"/>
      <c r="AO1407" s="390"/>
      <c r="AP1407" s="390"/>
      <c r="AQ1407" s="390"/>
      <c r="AR1407" s="390"/>
      <c r="AS1407" s="390"/>
    </row>
    <row r="1408" spans="2:45" x14ac:dyDescent="0.3">
      <c r="B1408" s="54" t="s">
        <v>68</v>
      </c>
      <c r="C1408" s="55"/>
      <c r="D1408" s="21">
        <f>D1406+D1407</f>
        <v>0</v>
      </c>
      <c r="E1408" s="21">
        <f t="shared" ref="E1408:W1408" si="1045">E1406+E1407</f>
        <v>0</v>
      </c>
      <c r="F1408" s="21">
        <f t="shared" si="1045"/>
        <v>0</v>
      </c>
      <c r="G1408" s="21">
        <f t="shared" si="1045"/>
        <v>0</v>
      </c>
      <c r="H1408" s="21">
        <f t="shared" si="1045"/>
        <v>0</v>
      </c>
      <c r="I1408" s="21">
        <f t="shared" si="1045"/>
        <v>0</v>
      </c>
      <c r="J1408" s="21">
        <f t="shared" si="1045"/>
        <v>0</v>
      </c>
      <c r="K1408" s="21">
        <f t="shared" si="1045"/>
        <v>0</v>
      </c>
      <c r="L1408" s="21">
        <f t="shared" si="1045"/>
        <v>0</v>
      </c>
      <c r="M1408" s="21">
        <f t="shared" si="1045"/>
        <v>0</v>
      </c>
      <c r="N1408" s="21">
        <f t="shared" si="1045"/>
        <v>0</v>
      </c>
      <c r="O1408" s="21">
        <f t="shared" si="1045"/>
        <v>0</v>
      </c>
      <c r="P1408" s="21">
        <f t="shared" si="1045"/>
        <v>0</v>
      </c>
      <c r="Q1408" s="21">
        <f t="shared" si="1045"/>
        <v>0</v>
      </c>
      <c r="R1408" s="21">
        <f t="shared" si="1045"/>
        <v>0</v>
      </c>
      <c r="S1408" s="21">
        <f t="shared" si="1045"/>
        <v>0</v>
      </c>
      <c r="T1408" s="21">
        <f t="shared" si="1045"/>
        <v>0</v>
      </c>
      <c r="U1408" s="21">
        <f t="shared" si="1045"/>
        <v>0</v>
      </c>
      <c r="V1408" s="21">
        <f t="shared" si="1045"/>
        <v>0</v>
      </c>
      <c r="W1408" s="21">
        <f t="shared" si="1045"/>
        <v>0</v>
      </c>
      <c r="Y1408" s="390"/>
      <c r="Z1408" s="390"/>
      <c r="AA1408" s="390"/>
      <c r="AB1408" s="390"/>
      <c r="AC1408" s="390"/>
      <c r="AD1408" s="390"/>
      <c r="AE1408" s="390"/>
      <c r="AF1408" s="390"/>
      <c r="AG1408" s="390"/>
      <c r="AH1408" s="390"/>
      <c r="AI1408" s="390"/>
      <c r="AJ1408" s="390"/>
      <c r="AK1408" s="390"/>
      <c r="AL1408" s="390"/>
      <c r="AM1408" s="390"/>
      <c r="AN1408" s="390"/>
      <c r="AO1408" s="390"/>
      <c r="AP1408" s="390"/>
      <c r="AQ1408" s="390"/>
      <c r="AR1408" s="390"/>
      <c r="AS1408" s="390"/>
    </row>
    <row r="1409" spans="2:45" x14ac:dyDescent="0.3">
      <c r="B1409" s="54" t="s">
        <v>52</v>
      </c>
      <c r="C1409" s="55"/>
      <c r="D1409" s="20">
        <v>0.85000000000000009</v>
      </c>
      <c r="E1409" s="21">
        <v>1.7</v>
      </c>
      <c r="F1409" s="21">
        <v>2.0500000000000003</v>
      </c>
      <c r="G1409" s="21">
        <v>1.1499999999999999</v>
      </c>
      <c r="H1409" s="21">
        <v>0.98</v>
      </c>
      <c r="I1409" s="21">
        <v>0.98</v>
      </c>
      <c r="J1409" s="21">
        <v>1.5999999999999999</v>
      </c>
      <c r="K1409" s="21">
        <v>1.45</v>
      </c>
      <c r="L1409" s="21">
        <v>1.45</v>
      </c>
      <c r="M1409" s="21">
        <v>0.7</v>
      </c>
      <c r="N1409" s="21">
        <v>0.82000000000000006</v>
      </c>
      <c r="O1409" s="21">
        <v>0.98</v>
      </c>
      <c r="P1409" s="21">
        <v>0.59000000000000008</v>
      </c>
      <c r="Q1409" s="21">
        <v>0.59000000000000008</v>
      </c>
      <c r="R1409" s="21">
        <v>0.98</v>
      </c>
      <c r="S1409" s="21">
        <v>0.85000000000000009</v>
      </c>
      <c r="T1409" s="21">
        <v>6.7</v>
      </c>
      <c r="U1409" s="21">
        <v>11.2</v>
      </c>
      <c r="V1409" s="21">
        <v>6.7</v>
      </c>
      <c r="W1409" s="21">
        <v>0.59000000000000008</v>
      </c>
      <c r="Y1409" s="390"/>
      <c r="Z1409" s="390"/>
      <c r="AA1409" s="390"/>
      <c r="AB1409" s="390"/>
      <c r="AC1409" s="390"/>
      <c r="AD1409" s="390"/>
      <c r="AE1409" s="390"/>
      <c r="AF1409" s="390"/>
      <c r="AG1409" s="390"/>
      <c r="AH1409" s="390"/>
      <c r="AI1409" s="390"/>
      <c r="AJ1409" s="390"/>
      <c r="AK1409" s="390"/>
      <c r="AL1409" s="390"/>
      <c r="AM1409" s="390"/>
      <c r="AN1409" s="390"/>
      <c r="AO1409" s="390"/>
      <c r="AP1409" s="390"/>
      <c r="AQ1409" s="390"/>
      <c r="AR1409" s="390"/>
      <c r="AS1409" s="390"/>
    </row>
    <row r="1410" spans="2:45" x14ac:dyDescent="0.3">
      <c r="B1410" s="57" t="s">
        <v>53</v>
      </c>
      <c r="C1410" s="58"/>
      <c r="D1410" s="25">
        <f>SUM(D1408:D1409)</f>
        <v>0.85000000000000009</v>
      </c>
      <c r="E1410" s="26">
        <f t="shared" ref="E1410:W1410" si="1046">SUM(E1408:E1409)</f>
        <v>1.7</v>
      </c>
      <c r="F1410" s="26">
        <f t="shared" si="1046"/>
        <v>2.0500000000000003</v>
      </c>
      <c r="G1410" s="26">
        <f t="shared" si="1046"/>
        <v>1.1499999999999999</v>
      </c>
      <c r="H1410" s="26">
        <f t="shared" si="1046"/>
        <v>0.98</v>
      </c>
      <c r="I1410" s="26">
        <f t="shared" si="1046"/>
        <v>0.98</v>
      </c>
      <c r="J1410" s="26">
        <f t="shared" si="1046"/>
        <v>1.5999999999999999</v>
      </c>
      <c r="K1410" s="26">
        <f t="shared" si="1046"/>
        <v>1.45</v>
      </c>
      <c r="L1410" s="26">
        <f t="shared" si="1046"/>
        <v>1.45</v>
      </c>
      <c r="M1410" s="26">
        <f t="shared" si="1046"/>
        <v>0.7</v>
      </c>
      <c r="N1410" s="26">
        <f t="shared" si="1046"/>
        <v>0.82000000000000006</v>
      </c>
      <c r="O1410" s="26">
        <f t="shared" si="1046"/>
        <v>0.98</v>
      </c>
      <c r="P1410" s="26">
        <f t="shared" si="1046"/>
        <v>0.59000000000000008</v>
      </c>
      <c r="Q1410" s="26">
        <f t="shared" si="1046"/>
        <v>0.59000000000000008</v>
      </c>
      <c r="R1410" s="26">
        <f t="shared" si="1046"/>
        <v>0.98</v>
      </c>
      <c r="S1410" s="26">
        <f t="shared" si="1046"/>
        <v>0.85000000000000009</v>
      </c>
      <c r="T1410" s="26">
        <f t="shared" si="1046"/>
        <v>6.7</v>
      </c>
      <c r="U1410" s="26">
        <f t="shared" si="1046"/>
        <v>11.2</v>
      </c>
      <c r="V1410" s="26">
        <f t="shared" si="1046"/>
        <v>6.7</v>
      </c>
      <c r="W1410" s="26">
        <f t="shared" si="1046"/>
        <v>0.59000000000000008</v>
      </c>
      <c r="Y1410" s="390"/>
      <c r="Z1410" s="390"/>
      <c r="AA1410" s="390"/>
      <c r="AB1410" s="390"/>
      <c r="AC1410" s="390"/>
      <c r="AD1410" s="390"/>
      <c r="AE1410" s="390"/>
      <c r="AF1410" s="390"/>
      <c r="AG1410" s="390"/>
      <c r="AH1410" s="390"/>
      <c r="AI1410" s="390"/>
      <c r="AJ1410" s="390"/>
      <c r="AK1410" s="390"/>
      <c r="AL1410" s="390"/>
      <c r="AM1410" s="390"/>
      <c r="AN1410" s="390"/>
      <c r="AO1410" s="390"/>
      <c r="AP1410" s="390"/>
      <c r="AQ1410" s="390"/>
      <c r="AR1410" s="390"/>
      <c r="AS1410" s="390"/>
    </row>
    <row r="1411" spans="2:45" x14ac:dyDescent="0.3">
      <c r="B1411" s="54" t="s">
        <v>54</v>
      </c>
      <c r="C1411" s="55"/>
      <c r="D1411" s="20"/>
      <c r="E1411" s="21"/>
      <c r="F1411" s="21"/>
      <c r="G1411" s="21"/>
      <c r="H1411" s="21"/>
      <c r="I1411" s="21"/>
      <c r="J1411" s="21"/>
      <c r="K1411" s="21"/>
      <c r="L1411" s="21"/>
      <c r="M1411" s="21"/>
      <c r="N1411" s="21"/>
      <c r="O1411" s="21"/>
      <c r="P1411" s="21"/>
      <c r="Q1411" s="21"/>
      <c r="R1411" s="21"/>
      <c r="S1411" s="21"/>
      <c r="T1411" s="21"/>
      <c r="U1411" s="21"/>
      <c r="V1411" s="21"/>
      <c r="W1411" s="21"/>
      <c r="Y1411" s="390"/>
      <c r="Z1411" s="390"/>
      <c r="AA1411" s="390"/>
      <c r="AB1411" s="390"/>
      <c r="AC1411" s="390"/>
      <c r="AD1411" s="390"/>
      <c r="AE1411" s="390"/>
      <c r="AF1411" s="390"/>
      <c r="AG1411" s="390"/>
      <c r="AH1411" s="390"/>
      <c r="AI1411" s="390"/>
      <c r="AJ1411" s="390"/>
      <c r="AK1411" s="390"/>
      <c r="AL1411" s="390"/>
      <c r="AM1411" s="390"/>
      <c r="AN1411" s="390"/>
      <c r="AO1411" s="390"/>
      <c r="AP1411" s="390"/>
      <c r="AQ1411" s="390"/>
      <c r="AR1411" s="390"/>
      <c r="AS1411" s="390"/>
    </row>
    <row r="1412" spans="2:45" x14ac:dyDescent="0.3">
      <c r="B1412" s="59" t="s">
        <v>55</v>
      </c>
      <c r="C1412" s="60"/>
      <c r="D1412" s="27">
        <f>SUM(D1410:D1411)</f>
        <v>0.85000000000000009</v>
      </c>
      <c r="E1412" s="41">
        <f t="shared" ref="E1412:W1412" si="1047">SUM(E1410:E1411)</f>
        <v>1.7</v>
      </c>
      <c r="F1412" s="41">
        <f t="shared" si="1047"/>
        <v>2.0500000000000003</v>
      </c>
      <c r="G1412" s="41">
        <f t="shared" si="1047"/>
        <v>1.1499999999999999</v>
      </c>
      <c r="H1412" s="41">
        <f t="shared" si="1047"/>
        <v>0.98</v>
      </c>
      <c r="I1412" s="41">
        <f t="shared" si="1047"/>
        <v>0.98</v>
      </c>
      <c r="J1412" s="41">
        <f t="shared" si="1047"/>
        <v>1.5999999999999999</v>
      </c>
      <c r="K1412" s="41">
        <f t="shared" si="1047"/>
        <v>1.45</v>
      </c>
      <c r="L1412" s="41">
        <f t="shared" si="1047"/>
        <v>1.45</v>
      </c>
      <c r="M1412" s="41">
        <f t="shared" si="1047"/>
        <v>0.7</v>
      </c>
      <c r="N1412" s="41">
        <f t="shared" si="1047"/>
        <v>0.82000000000000006</v>
      </c>
      <c r="O1412" s="41">
        <f t="shared" si="1047"/>
        <v>0.98</v>
      </c>
      <c r="P1412" s="41">
        <f t="shared" si="1047"/>
        <v>0.59000000000000008</v>
      </c>
      <c r="Q1412" s="41">
        <f t="shared" si="1047"/>
        <v>0.59000000000000008</v>
      </c>
      <c r="R1412" s="41">
        <f t="shared" si="1047"/>
        <v>0.98</v>
      </c>
      <c r="S1412" s="41">
        <f t="shared" si="1047"/>
        <v>0.85000000000000009</v>
      </c>
      <c r="T1412" s="41">
        <f t="shared" si="1047"/>
        <v>6.7</v>
      </c>
      <c r="U1412" s="41">
        <f t="shared" si="1047"/>
        <v>11.2</v>
      </c>
      <c r="V1412" s="41">
        <f t="shared" si="1047"/>
        <v>6.7</v>
      </c>
      <c r="W1412" s="41">
        <f t="shared" si="1047"/>
        <v>0.59000000000000008</v>
      </c>
      <c r="Y1412" s="390"/>
      <c r="Z1412" s="390"/>
      <c r="AA1412" s="390"/>
      <c r="AB1412" s="390"/>
      <c r="AC1412" s="390"/>
      <c r="AD1412" s="390"/>
      <c r="AE1412" s="390"/>
      <c r="AF1412" s="390"/>
      <c r="AG1412" s="390"/>
      <c r="AH1412" s="390"/>
      <c r="AI1412" s="390"/>
      <c r="AJ1412" s="390"/>
      <c r="AK1412" s="390"/>
      <c r="AL1412" s="390"/>
      <c r="AM1412" s="390"/>
      <c r="AN1412" s="390"/>
      <c r="AO1412" s="390"/>
      <c r="AP1412" s="390"/>
      <c r="AQ1412" s="390"/>
      <c r="AR1412" s="390"/>
      <c r="AS1412" s="390"/>
    </row>
    <row r="1413" spans="2:45" x14ac:dyDescent="0.3">
      <c r="B1413" s="61" t="s">
        <v>101</v>
      </c>
      <c r="C1413" s="55"/>
      <c r="D1413" s="228">
        <f>D1414-1</f>
        <v>3</v>
      </c>
      <c r="E1413" s="229">
        <f t="shared" ref="E1413:S1413" si="1048">E1414-1</f>
        <v>4</v>
      </c>
      <c r="F1413" s="229">
        <f t="shared" si="1048"/>
        <v>5</v>
      </c>
      <c r="G1413" s="229">
        <f t="shared" si="1048"/>
        <v>4</v>
      </c>
      <c r="H1413" s="229">
        <f t="shared" si="1048"/>
        <v>3</v>
      </c>
      <c r="I1413" s="229">
        <f t="shared" si="1048"/>
        <v>3</v>
      </c>
      <c r="J1413" s="229">
        <f t="shared" si="1048"/>
        <v>4</v>
      </c>
      <c r="K1413" s="229">
        <f t="shared" si="1048"/>
        <v>4</v>
      </c>
      <c r="L1413" s="229">
        <f t="shared" si="1048"/>
        <v>4</v>
      </c>
      <c r="M1413" s="229">
        <f t="shared" si="1048"/>
        <v>3</v>
      </c>
      <c r="N1413" s="229">
        <f t="shared" si="1048"/>
        <v>3</v>
      </c>
      <c r="O1413" s="229">
        <f t="shared" si="1048"/>
        <v>3</v>
      </c>
      <c r="P1413" s="229">
        <f t="shared" si="1048"/>
        <v>3</v>
      </c>
      <c r="Q1413" s="229">
        <f t="shared" si="1048"/>
        <v>3</v>
      </c>
      <c r="R1413" s="229">
        <f t="shared" si="1048"/>
        <v>3</v>
      </c>
      <c r="S1413" s="229">
        <f t="shared" si="1048"/>
        <v>3</v>
      </c>
      <c r="T1413" s="21"/>
      <c r="U1413" s="21"/>
      <c r="V1413" s="21"/>
      <c r="W1413" s="229">
        <f>W1414-1</f>
        <v>3</v>
      </c>
      <c r="Y1413" s="390"/>
      <c r="Z1413" s="390"/>
      <c r="AA1413" s="390"/>
      <c r="AB1413" s="390"/>
      <c r="AC1413" s="390"/>
      <c r="AD1413" s="390"/>
      <c r="AE1413" s="390"/>
      <c r="AF1413" s="390"/>
      <c r="AG1413" s="390"/>
      <c r="AH1413" s="390"/>
      <c r="AI1413" s="390"/>
      <c r="AJ1413" s="390"/>
      <c r="AK1413" s="390"/>
      <c r="AL1413" s="390"/>
      <c r="AM1413" s="390"/>
      <c r="AN1413" s="390"/>
      <c r="AO1413" s="390"/>
      <c r="AP1413" s="390"/>
      <c r="AQ1413" s="390"/>
      <c r="AR1413" s="390"/>
      <c r="AS1413" s="390"/>
    </row>
    <row r="1414" spans="2:45" x14ac:dyDescent="0.3">
      <c r="B1414" s="61" t="s">
        <v>194</v>
      </c>
      <c r="C1414" s="62"/>
      <c r="D1414" s="28">
        <f>ROUNDUP((D1412+3),0)</f>
        <v>4</v>
      </c>
      <c r="E1414" s="28">
        <f t="shared" ref="E1414:S1414" si="1049">ROUNDUP((E1412+3),0)</f>
        <v>5</v>
      </c>
      <c r="F1414" s="28">
        <f t="shared" si="1049"/>
        <v>6</v>
      </c>
      <c r="G1414" s="28">
        <f t="shared" si="1049"/>
        <v>5</v>
      </c>
      <c r="H1414" s="28">
        <f t="shared" si="1049"/>
        <v>4</v>
      </c>
      <c r="I1414" s="28">
        <f t="shared" si="1049"/>
        <v>4</v>
      </c>
      <c r="J1414" s="28">
        <f t="shared" si="1049"/>
        <v>5</v>
      </c>
      <c r="K1414" s="28">
        <f t="shared" si="1049"/>
        <v>5</v>
      </c>
      <c r="L1414" s="28">
        <f t="shared" si="1049"/>
        <v>5</v>
      </c>
      <c r="M1414" s="28">
        <f t="shared" si="1049"/>
        <v>4</v>
      </c>
      <c r="N1414" s="28">
        <f t="shared" si="1049"/>
        <v>4</v>
      </c>
      <c r="O1414" s="28">
        <f t="shared" si="1049"/>
        <v>4</v>
      </c>
      <c r="P1414" s="28">
        <f t="shared" si="1049"/>
        <v>4</v>
      </c>
      <c r="Q1414" s="28">
        <f t="shared" si="1049"/>
        <v>4</v>
      </c>
      <c r="R1414" s="28">
        <f t="shared" si="1049"/>
        <v>4</v>
      </c>
      <c r="S1414" s="28">
        <f t="shared" si="1049"/>
        <v>4</v>
      </c>
      <c r="T1414" s="29"/>
      <c r="U1414" s="29"/>
      <c r="V1414" s="29"/>
      <c r="W1414" s="28">
        <f>ROUNDUP((W1412+3),0)</f>
        <v>4</v>
      </c>
      <c r="Y1414" s="390"/>
      <c r="Z1414" s="390"/>
      <c r="AA1414" s="390"/>
      <c r="AB1414" s="390"/>
      <c r="AC1414" s="390"/>
      <c r="AD1414" s="390"/>
      <c r="AE1414" s="390"/>
      <c r="AF1414" s="390"/>
      <c r="AG1414" s="390"/>
      <c r="AH1414" s="390"/>
      <c r="AI1414" s="390"/>
      <c r="AJ1414" s="390"/>
      <c r="AK1414" s="390"/>
      <c r="AL1414" s="390"/>
      <c r="AM1414" s="390"/>
      <c r="AN1414" s="390"/>
      <c r="AO1414" s="390"/>
      <c r="AP1414" s="390"/>
      <c r="AQ1414" s="390"/>
      <c r="AR1414" s="390"/>
      <c r="AS1414" s="390"/>
    </row>
    <row r="1415" spans="2:45" x14ac:dyDescent="0.3">
      <c r="B1415" s="61" t="s">
        <v>195</v>
      </c>
      <c r="C1415" s="62"/>
      <c r="D1415" s="28">
        <f>ROUNDUP((D1412+4),0)</f>
        <v>5</v>
      </c>
      <c r="E1415" s="28">
        <f t="shared" ref="E1415:S1415" si="1050">ROUNDUP((E1412+4),0)</f>
        <v>6</v>
      </c>
      <c r="F1415" s="28">
        <f t="shared" si="1050"/>
        <v>7</v>
      </c>
      <c r="G1415" s="28">
        <f t="shared" si="1050"/>
        <v>6</v>
      </c>
      <c r="H1415" s="28">
        <f t="shared" si="1050"/>
        <v>5</v>
      </c>
      <c r="I1415" s="28">
        <f t="shared" si="1050"/>
        <v>5</v>
      </c>
      <c r="J1415" s="28">
        <f t="shared" si="1050"/>
        <v>6</v>
      </c>
      <c r="K1415" s="28">
        <f t="shared" si="1050"/>
        <v>6</v>
      </c>
      <c r="L1415" s="28">
        <f t="shared" si="1050"/>
        <v>6</v>
      </c>
      <c r="M1415" s="28">
        <f t="shared" si="1050"/>
        <v>5</v>
      </c>
      <c r="N1415" s="28">
        <f t="shared" si="1050"/>
        <v>5</v>
      </c>
      <c r="O1415" s="28">
        <f t="shared" si="1050"/>
        <v>5</v>
      </c>
      <c r="P1415" s="28">
        <f t="shared" si="1050"/>
        <v>5</v>
      </c>
      <c r="Q1415" s="28">
        <f t="shared" si="1050"/>
        <v>5</v>
      </c>
      <c r="R1415" s="28">
        <f t="shared" si="1050"/>
        <v>5</v>
      </c>
      <c r="S1415" s="28">
        <f t="shared" si="1050"/>
        <v>5</v>
      </c>
      <c r="T1415" s="29"/>
      <c r="U1415" s="29"/>
      <c r="V1415" s="29"/>
      <c r="W1415" s="28">
        <f>ROUNDUP((W1412+4),0)</f>
        <v>5</v>
      </c>
      <c r="Y1415" s="390"/>
      <c r="Z1415" s="390"/>
      <c r="AA1415" s="390"/>
      <c r="AB1415" s="390"/>
      <c r="AC1415" s="390"/>
      <c r="AD1415" s="390"/>
      <c r="AE1415" s="390"/>
      <c r="AF1415" s="390"/>
      <c r="AG1415" s="390"/>
      <c r="AH1415" s="390"/>
      <c r="AI1415" s="390"/>
      <c r="AJ1415" s="390"/>
      <c r="AK1415" s="390"/>
      <c r="AL1415" s="390"/>
      <c r="AM1415" s="390"/>
      <c r="AN1415" s="390"/>
      <c r="AO1415" s="390"/>
      <c r="AP1415" s="390"/>
      <c r="AQ1415" s="390"/>
      <c r="AR1415" s="390"/>
      <c r="AS1415" s="390"/>
    </row>
    <row r="1416" spans="2:45" x14ac:dyDescent="0.3">
      <c r="B1416" s="61" t="s">
        <v>196</v>
      </c>
      <c r="C1416" s="62"/>
      <c r="D1416" s="28">
        <f>ROUNDUP((D1412+6),0)</f>
        <v>7</v>
      </c>
      <c r="E1416" s="28">
        <f t="shared" ref="E1416:S1416" si="1051">ROUNDUP((E1412+6),0)</f>
        <v>8</v>
      </c>
      <c r="F1416" s="28">
        <f t="shared" si="1051"/>
        <v>9</v>
      </c>
      <c r="G1416" s="28">
        <f t="shared" si="1051"/>
        <v>8</v>
      </c>
      <c r="H1416" s="28">
        <f t="shared" si="1051"/>
        <v>7</v>
      </c>
      <c r="I1416" s="28">
        <f t="shared" si="1051"/>
        <v>7</v>
      </c>
      <c r="J1416" s="28">
        <f t="shared" si="1051"/>
        <v>8</v>
      </c>
      <c r="K1416" s="28">
        <f t="shared" si="1051"/>
        <v>8</v>
      </c>
      <c r="L1416" s="28">
        <f t="shared" si="1051"/>
        <v>8</v>
      </c>
      <c r="M1416" s="28">
        <f t="shared" si="1051"/>
        <v>7</v>
      </c>
      <c r="N1416" s="28">
        <f t="shared" si="1051"/>
        <v>7</v>
      </c>
      <c r="O1416" s="28">
        <f t="shared" si="1051"/>
        <v>7</v>
      </c>
      <c r="P1416" s="28">
        <f t="shared" si="1051"/>
        <v>7</v>
      </c>
      <c r="Q1416" s="28">
        <f t="shared" si="1051"/>
        <v>7</v>
      </c>
      <c r="R1416" s="28">
        <f t="shared" si="1051"/>
        <v>7</v>
      </c>
      <c r="S1416" s="28">
        <f t="shared" si="1051"/>
        <v>7</v>
      </c>
      <c r="T1416" s="29"/>
      <c r="U1416" s="29"/>
      <c r="V1416" s="29"/>
      <c r="W1416" s="28">
        <f>ROUNDUP((W1412+6),0)</f>
        <v>7</v>
      </c>
      <c r="Y1416" s="390"/>
      <c r="Z1416" s="390"/>
      <c r="AA1416" s="390"/>
      <c r="AB1416" s="390"/>
      <c r="AC1416" s="390"/>
      <c r="AD1416" s="390"/>
      <c r="AE1416" s="390"/>
      <c r="AF1416" s="390"/>
      <c r="AG1416" s="390"/>
      <c r="AH1416" s="390"/>
      <c r="AI1416" s="390"/>
      <c r="AJ1416" s="390"/>
      <c r="AK1416" s="390"/>
      <c r="AL1416" s="390"/>
      <c r="AM1416" s="390"/>
      <c r="AN1416" s="390"/>
      <c r="AO1416" s="390"/>
      <c r="AP1416" s="390"/>
      <c r="AQ1416" s="390"/>
      <c r="AR1416" s="390"/>
      <c r="AS1416" s="390"/>
    </row>
    <row r="1417" spans="2:45" x14ac:dyDescent="0.3">
      <c r="B1417" s="61" t="s">
        <v>197</v>
      </c>
      <c r="C1417" s="62"/>
      <c r="D1417" s="28">
        <f>ROUNDUP((D1412+10),0)</f>
        <v>11</v>
      </c>
      <c r="E1417" s="28">
        <f t="shared" ref="E1417:S1417" si="1052">ROUNDUP((E1412+10),0)</f>
        <v>12</v>
      </c>
      <c r="F1417" s="28">
        <f t="shared" si="1052"/>
        <v>13</v>
      </c>
      <c r="G1417" s="28">
        <f t="shared" si="1052"/>
        <v>12</v>
      </c>
      <c r="H1417" s="28">
        <f t="shared" si="1052"/>
        <v>11</v>
      </c>
      <c r="I1417" s="28">
        <f t="shared" si="1052"/>
        <v>11</v>
      </c>
      <c r="J1417" s="28">
        <f t="shared" si="1052"/>
        <v>12</v>
      </c>
      <c r="K1417" s="28">
        <f t="shared" si="1052"/>
        <v>12</v>
      </c>
      <c r="L1417" s="28">
        <f t="shared" si="1052"/>
        <v>12</v>
      </c>
      <c r="M1417" s="28">
        <f t="shared" si="1052"/>
        <v>11</v>
      </c>
      <c r="N1417" s="28">
        <f t="shared" si="1052"/>
        <v>11</v>
      </c>
      <c r="O1417" s="28">
        <f t="shared" si="1052"/>
        <v>11</v>
      </c>
      <c r="P1417" s="28">
        <f t="shared" si="1052"/>
        <v>11</v>
      </c>
      <c r="Q1417" s="28">
        <f t="shared" si="1052"/>
        <v>11</v>
      </c>
      <c r="R1417" s="28">
        <f t="shared" si="1052"/>
        <v>11</v>
      </c>
      <c r="S1417" s="28">
        <f t="shared" si="1052"/>
        <v>11</v>
      </c>
      <c r="T1417" s="29"/>
      <c r="U1417" s="29"/>
      <c r="V1417" s="29"/>
      <c r="W1417" s="28">
        <f>ROUNDUP((W1412+10),0)</f>
        <v>11</v>
      </c>
      <c r="Y1417" s="390"/>
      <c r="Z1417" s="390"/>
      <c r="AA1417" s="390"/>
      <c r="AB1417" s="390"/>
      <c r="AC1417" s="390"/>
      <c r="AD1417" s="390"/>
      <c r="AE1417" s="390"/>
      <c r="AF1417" s="390"/>
      <c r="AG1417" s="390"/>
      <c r="AH1417" s="390"/>
      <c r="AI1417" s="390"/>
      <c r="AJ1417" s="390"/>
      <c r="AK1417" s="390"/>
      <c r="AL1417" s="390"/>
      <c r="AM1417" s="390"/>
      <c r="AN1417" s="390"/>
      <c r="AO1417" s="390"/>
      <c r="AP1417" s="390"/>
      <c r="AQ1417" s="390"/>
      <c r="AR1417" s="390"/>
      <c r="AS1417" s="390"/>
    </row>
    <row r="1418" spans="2:45" x14ac:dyDescent="0.3">
      <c r="B1418" s="63" t="s">
        <v>103</v>
      </c>
      <c r="C1418" s="62"/>
      <c r="D1418" s="31">
        <f>+D1413-D$833</f>
        <v>-382.62882580645157</v>
      </c>
      <c r="E1418" s="31">
        <f>+E1413-E$833</f>
        <v>-394.01592258064517</v>
      </c>
      <c r="F1418" s="31">
        <f t="shared" ref="F1418:S1418" si="1053">+F1413-F$833</f>
        <v>-399.79011612903224</v>
      </c>
      <c r="G1418" s="31">
        <f t="shared" si="1053"/>
        <v>-388.20947096774194</v>
      </c>
      <c r="H1418" s="31">
        <f t="shared" si="1053"/>
        <v>-384.69334193548383</v>
      </c>
      <c r="I1418" s="31">
        <f t="shared" si="1053"/>
        <v>-388.88689032258065</v>
      </c>
      <c r="J1418" s="31">
        <f t="shared" si="1053"/>
        <v>-394.98366451612901</v>
      </c>
      <c r="K1418" s="31">
        <f t="shared" si="1053"/>
        <v>-391.4352774193548</v>
      </c>
      <c r="L1418" s="31">
        <f t="shared" si="1053"/>
        <v>-392.72559999999999</v>
      </c>
      <c r="M1418" s="31">
        <f t="shared" si="1053"/>
        <v>-382.88689032258065</v>
      </c>
      <c r="N1418" s="31">
        <f t="shared" si="1053"/>
        <v>-384.95140645161291</v>
      </c>
      <c r="O1418" s="31">
        <f t="shared" si="1053"/>
        <v>-389.20947096774194</v>
      </c>
      <c r="P1418" s="31">
        <f t="shared" si="1053"/>
        <v>-380.17721290322578</v>
      </c>
      <c r="Q1418" s="31">
        <f t="shared" si="1053"/>
        <v>-380.17721290322578</v>
      </c>
      <c r="R1418" s="31">
        <f t="shared" si="1053"/>
        <v>-386.62882580645157</v>
      </c>
      <c r="S1418" s="31">
        <f t="shared" si="1053"/>
        <v>-384.8223741935484</v>
      </c>
      <c r="T1418" s="29"/>
      <c r="U1418" s="29"/>
      <c r="V1418" s="29"/>
      <c r="W1418" s="31">
        <f>+W1413-W$833</f>
        <v>-380.17721290322578</v>
      </c>
      <c r="Y1418" s="390"/>
      <c r="Z1418" s="390"/>
      <c r="AA1418" s="390"/>
      <c r="AB1418" s="390"/>
      <c r="AC1418" s="390"/>
      <c r="AD1418" s="390"/>
      <c r="AE1418" s="390"/>
      <c r="AF1418" s="390"/>
      <c r="AG1418" s="390"/>
      <c r="AH1418" s="390"/>
      <c r="AI1418" s="390"/>
      <c r="AJ1418" s="390"/>
      <c r="AK1418" s="390"/>
      <c r="AL1418" s="390"/>
      <c r="AM1418" s="390"/>
      <c r="AN1418" s="390"/>
      <c r="AO1418" s="390"/>
      <c r="AP1418" s="390"/>
      <c r="AQ1418" s="390"/>
      <c r="AR1418" s="390"/>
      <c r="AS1418" s="390"/>
    </row>
    <row r="1419" spans="2:45" x14ac:dyDescent="0.3">
      <c r="B1419" s="63" t="s">
        <v>104</v>
      </c>
      <c r="C1419" s="64"/>
      <c r="D1419" s="31">
        <f>+D1414-D$833</f>
        <v>-381.62882580645157</v>
      </c>
      <c r="E1419" s="32">
        <f t="shared" ref="E1419:S1419" si="1054">+E1414-E$833</f>
        <v>-393.01592258064517</v>
      </c>
      <c r="F1419" s="32">
        <f t="shared" si="1054"/>
        <v>-398.79011612903224</v>
      </c>
      <c r="G1419" s="32">
        <f t="shared" si="1054"/>
        <v>-387.20947096774194</v>
      </c>
      <c r="H1419" s="32">
        <f t="shared" si="1054"/>
        <v>-383.69334193548383</v>
      </c>
      <c r="I1419" s="32">
        <f t="shared" si="1054"/>
        <v>-387.88689032258065</v>
      </c>
      <c r="J1419" s="32">
        <f t="shared" si="1054"/>
        <v>-393.98366451612901</v>
      </c>
      <c r="K1419" s="32">
        <f t="shared" si="1054"/>
        <v>-390.4352774193548</v>
      </c>
      <c r="L1419" s="32">
        <f t="shared" si="1054"/>
        <v>-391.72559999999999</v>
      </c>
      <c r="M1419" s="32">
        <f t="shared" si="1054"/>
        <v>-381.88689032258065</v>
      </c>
      <c r="N1419" s="32">
        <f t="shared" si="1054"/>
        <v>-383.95140645161291</v>
      </c>
      <c r="O1419" s="32">
        <f t="shared" si="1054"/>
        <v>-388.20947096774194</v>
      </c>
      <c r="P1419" s="32">
        <f t="shared" si="1054"/>
        <v>-379.17721290322578</v>
      </c>
      <c r="Q1419" s="32">
        <f t="shared" si="1054"/>
        <v>-379.17721290322578</v>
      </c>
      <c r="R1419" s="32">
        <f t="shared" si="1054"/>
        <v>-385.62882580645157</v>
      </c>
      <c r="S1419" s="32">
        <f t="shared" si="1054"/>
        <v>-383.8223741935484</v>
      </c>
      <c r="T1419" s="32"/>
      <c r="U1419" s="32"/>
      <c r="V1419" s="32"/>
      <c r="W1419" s="32">
        <f>+W1414-W$833</f>
        <v>-379.17721290322578</v>
      </c>
      <c r="Y1419" s="390"/>
      <c r="Z1419" s="390"/>
      <c r="AA1419" s="390"/>
      <c r="AB1419" s="390"/>
      <c r="AC1419" s="390"/>
      <c r="AD1419" s="390"/>
      <c r="AE1419" s="390"/>
      <c r="AF1419" s="390"/>
      <c r="AG1419" s="390"/>
      <c r="AH1419" s="390"/>
      <c r="AI1419" s="390"/>
      <c r="AJ1419" s="390"/>
      <c r="AK1419" s="390"/>
      <c r="AL1419" s="390"/>
      <c r="AM1419" s="390"/>
      <c r="AN1419" s="390"/>
      <c r="AO1419" s="390"/>
      <c r="AP1419" s="390"/>
      <c r="AQ1419" s="390"/>
      <c r="AR1419" s="390"/>
      <c r="AS1419" s="390"/>
    </row>
    <row r="1420" spans="2:45" x14ac:dyDescent="0.3">
      <c r="B1420" s="63" t="s">
        <v>105</v>
      </c>
      <c r="C1420" s="64"/>
      <c r="D1420" s="31">
        <f>+D1415-D$833</f>
        <v>-380.62882580645157</v>
      </c>
      <c r="E1420" s="32">
        <f t="shared" ref="E1420:S1420" si="1055">+E1415-E$833</f>
        <v>-392.01592258064517</v>
      </c>
      <c r="F1420" s="32">
        <f t="shared" si="1055"/>
        <v>-397.79011612903224</v>
      </c>
      <c r="G1420" s="32">
        <f t="shared" si="1055"/>
        <v>-386.20947096774194</v>
      </c>
      <c r="H1420" s="32">
        <f t="shared" si="1055"/>
        <v>-382.69334193548383</v>
      </c>
      <c r="I1420" s="32">
        <f t="shared" si="1055"/>
        <v>-386.88689032258065</v>
      </c>
      <c r="J1420" s="32">
        <f t="shared" si="1055"/>
        <v>-392.98366451612901</v>
      </c>
      <c r="K1420" s="32">
        <f t="shared" si="1055"/>
        <v>-389.4352774193548</v>
      </c>
      <c r="L1420" s="32">
        <f t="shared" si="1055"/>
        <v>-390.72559999999999</v>
      </c>
      <c r="M1420" s="32">
        <f t="shared" si="1055"/>
        <v>-380.88689032258065</v>
      </c>
      <c r="N1420" s="32">
        <f t="shared" si="1055"/>
        <v>-382.95140645161291</v>
      </c>
      <c r="O1420" s="32">
        <f t="shared" si="1055"/>
        <v>-387.20947096774194</v>
      </c>
      <c r="P1420" s="32">
        <f t="shared" si="1055"/>
        <v>-378.17721290322578</v>
      </c>
      <c r="Q1420" s="32">
        <f t="shared" si="1055"/>
        <v>-378.17721290322578</v>
      </c>
      <c r="R1420" s="32">
        <f t="shared" si="1055"/>
        <v>-384.62882580645157</v>
      </c>
      <c r="S1420" s="32">
        <f t="shared" si="1055"/>
        <v>-382.8223741935484</v>
      </c>
      <c r="T1420" s="32"/>
      <c r="U1420" s="32"/>
      <c r="V1420" s="32"/>
      <c r="W1420" s="32">
        <f>+W1415-W$833</f>
        <v>-378.17721290322578</v>
      </c>
      <c r="Y1420" s="390"/>
      <c r="Z1420" s="390"/>
      <c r="AA1420" s="390"/>
      <c r="AB1420" s="390"/>
      <c r="AC1420" s="390"/>
      <c r="AD1420" s="390"/>
      <c r="AE1420" s="390"/>
      <c r="AF1420" s="390"/>
      <c r="AG1420" s="390"/>
      <c r="AH1420" s="390"/>
      <c r="AI1420" s="390"/>
      <c r="AJ1420" s="390"/>
      <c r="AK1420" s="390"/>
      <c r="AL1420" s="390"/>
      <c r="AM1420" s="390"/>
      <c r="AN1420" s="390"/>
      <c r="AO1420" s="390"/>
      <c r="AP1420" s="390"/>
      <c r="AQ1420" s="390"/>
      <c r="AR1420" s="390"/>
      <c r="AS1420" s="390"/>
    </row>
    <row r="1421" spans="2:45" x14ac:dyDescent="0.3">
      <c r="B1421" s="63" t="s">
        <v>75</v>
      </c>
      <c r="C1421" s="64"/>
      <c r="D1421" s="31">
        <f>+D1416-D$833</f>
        <v>-378.62882580645157</v>
      </c>
      <c r="E1421" s="32">
        <f t="shared" ref="E1421:S1421" si="1056">+E1416-E$833</f>
        <v>-390.01592258064517</v>
      </c>
      <c r="F1421" s="32">
        <f t="shared" si="1056"/>
        <v>-395.79011612903224</v>
      </c>
      <c r="G1421" s="32">
        <f t="shared" si="1056"/>
        <v>-384.20947096774194</v>
      </c>
      <c r="H1421" s="32">
        <f t="shared" si="1056"/>
        <v>-380.69334193548383</v>
      </c>
      <c r="I1421" s="32">
        <f t="shared" si="1056"/>
        <v>-384.88689032258065</v>
      </c>
      <c r="J1421" s="32">
        <f t="shared" si="1056"/>
        <v>-390.98366451612901</v>
      </c>
      <c r="K1421" s="32">
        <f t="shared" si="1056"/>
        <v>-387.4352774193548</v>
      </c>
      <c r="L1421" s="32">
        <f t="shared" si="1056"/>
        <v>-388.72559999999999</v>
      </c>
      <c r="M1421" s="32">
        <f t="shared" si="1056"/>
        <v>-378.88689032258065</v>
      </c>
      <c r="N1421" s="32">
        <f t="shared" si="1056"/>
        <v>-380.95140645161291</v>
      </c>
      <c r="O1421" s="32">
        <f t="shared" si="1056"/>
        <v>-385.20947096774194</v>
      </c>
      <c r="P1421" s="32">
        <f t="shared" si="1056"/>
        <v>-376.17721290322578</v>
      </c>
      <c r="Q1421" s="32">
        <f t="shared" si="1056"/>
        <v>-376.17721290322578</v>
      </c>
      <c r="R1421" s="32">
        <f t="shared" si="1056"/>
        <v>-382.62882580645157</v>
      </c>
      <c r="S1421" s="32">
        <f t="shared" si="1056"/>
        <v>-380.8223741935484</v>
      </c>
      <c r="T1421" s="32"/>
      <c r="U1421" s="32"/>
      <c r="V1421" s="32"/>
      <c r="W1421" s="32">
        <f>+W1416-W$833</f>
        <v>-376.17721290322578</v>
      </c>
      <c r="Y1421" s="390"/>
      <c r="Z1421" s="390"/>
      <c r="AA1421" s="390"/>
      <c r="AB1421" s="390"/>
      <c r="AC1421" s="390"/>
      <c r="AD1421" s="390"/>
      <c r="AE1421" s="390"/>
      <c r="AF1421" s="390"/>
      <c r="AG1421" s="390"/>
      <c r="AH1421" s="390"/>
      <c r="AI1421" s="390"/>
      <c r="AJ1421" s="390"/>
      <c r="AK1421" s="390"/>
      <c r="AL1421" s="390"/>
      <c r="AM1421" s="390"/>
      <c r="AN1421" s="390"/>
      <c r="AO1421" s="390"/>
      <c r="AP1421" s="390"/>
      <c r="AQ1421" s="390"/>
      <c r="AR1421" s="390"/>
      <c r="AS1421" s="390"/>
    </row>
    <row r="1422" spans="2:45" x14ac:dyDescent="0.3">
      <c r="B1422" s="63" t="s">
        <v>76</v>
      </c>
      <c r="C1422" s="64"/>
      <c r="D1422" s="31">
        <f>+D1417-D$833</f>
        <v>-374.62882580645157</v>
      </c>
      <c r="E1422" s="34">
        <f t="shared" ref="E1422:S1422" si="1057">+E1417-E$833</f>
        <v>-386.01592258064517</v>
      </c>
      <c r="F1422" s="34">
        <f t="shared" si="1057"/>
        <v>-391.79011612903224</v>
      </c>
      <c r="G1422" s="34">
        <f t="shared" si="1057"/>
        <v>-380.20947096774194</v>
      </c>
      <c r="H1422" s="34">
        <f t="shared" si="1057"/>
        <v>-376.69334193548383</v>
      </c>
      <c r="I1422" s="34">
        <f t="shared" si="1057"/>
        <v>-380.88689032258065</v>
      </c>
      <c r="J1422" s="34">
        <f t="shared" si="1057"/>
        <v>-386.98366451612901</v>
      </c>
      <c r="K1422" s="34">
        <f t="shared" si="1057"/>
        <v>-383.4352774193548</v>
      </c>
      <c r="L1422" s="34">
        <f t="shared" si="1057"/>
        <v>-384.72559999999999</v>
      </c>
      <c r="M1422" s="34">
        <f t="shared" si="1057"/>
        <v>-374.88689032258065</v>
      </c>
      <c r="N1422" s="34">
        <f t="shared" si="1057"/>
        <v>-376.95140645161291</v>
      </c>
      <c r="O1422" s="34">
        <f t="shared" si="1057"/>
        <v>-381.20947096774194</v>
      </c>
      <c r="P1422" s="34">
        <f t="shared" si="1057"/>
        <v>-372.17721290322578</v>
      </c>
      <c r="Q1422" s="34">
        <f t="shared" si="1057"/>
        <v>-372.17721290322578</v>
      </c>
      <c r="R1422" s="34">
        <f t="shared" si="1057"/>
        <v>-378.62882580645157</v>
      </c>
      <c r="S1422" s="34">
        <f t="shared" si="1057"/>
        <v>-376.8223741935484</v>
      </c>
      <c r="T1422" s="34"/>
      <c r="U1422" s="34"/>
      <c r="V1422" s="34"/>
      <c r="W1422" s="34">
        <f>+W1417-W$833</f>
        <v>-372.17721290322578</v>
      </c>
      <c r="Y1422" s="390"/>
      <c r="Z1422" s="390"/>
      <c r="AA1422" s="390"/>
      <c r="AB1422" s="390"/>
      <c r="AC1422" s="390"/>
      <c r="AD1422" s="390"/>
      <c r="AE1422" s="390"/>
      <c r="AF1422" s="390"/>
      <c r="AG1422" s="390"/>
      <c r="AH1422" s="390"/>
      <c r="AI1422" s="390"/>
      <c r="AJ1422" s="390"/>
      <c r="AK1422" s="390"/>
      <c r="AL1422" s="390"/>
      <c r="AM1422" s="390"/>
      <c r="AN1422" s="390"/>
      <c r="AO1422" s="390"/>
      <c r="AP1422" s="390"/>
      <c r="AQ1422" s="390"/>
      <c r="AR1422" s="390"/>
      <c r="AS1422" s="390"/>
    </row>
    <row r="1423" spans="2:45" x14ac:dyDescent="0.3">
      <c r="B1423" s="65" t="s">
        <v>108</v>
      </c>
      <c r="C1423" s="64"/>
      <c r="D1423" s="105">
        <f>+D1418/D$835</f>
        <v>-0.93097037909112301</v>
      </c>
      <c r="E1423" s="105">
        <f t="shared" ref="E1423:S1423" si="1058">+E1418/E$835</f>
        <v>-0.92928283627510655</v>
      </c>
      <c r="F1423" s="105">
        <f t="shared" si="1058"/>
        <v>-0.92974445611402845</v>
      </c>
      <c r="G1423" s="105">
        <f t="shared" si="1058"/>
        <v>-0.92873079178885631</v>
      </c>
      <c r="H1423" s="105">
        <f t="shared" si="1058"/>
        <v>-0.93146087635710373</v>
      </c>
      <c r="I1423" s="105">
        <f t="shared" si="1058"/>
        <v>-0.93258247079755552</v>
      </c>
      <c r="J1423" s="105">
        <f t="shared" si="1058"/>
        <v>-0.93156524650030426</v>
      </c>
      <c r="K1423" s="105">
        <f t="shared" si="1058"/>
        <v>-0.92977500574668603</v>
      </c>
      <c r="L1423" s="105">
        <f t="shared" si="1058"/>
        <v>-0.93062938388625593</v>
      </c>
      <c r="M1423" s="105">
        <f t="shared" si="1058"/>
        <v>-0.93159827329095046</v>
      </c>
      <c r="N1423" s="105">
        <f t="shared" si="1058"/>
        <v>-0.93208572990705307</v>
      </c>
      <c r="O1423" s="105">
        <f t="shared" si="1058"/>
        <v>-0.93112313628646393</v>
      </c>
      <c r="P1423" s="105">
        <f t="shared" si="1058"/>
        <v>-0.92952863790519746</v>
      </c>
      <c r="Q1423" s="105">
        <f t="shared" si="1058"/>
        <v>-0.92952863790519746</v>
      </c>
      <c r="R1423" s="105">
        <f t="shared" si="1058"/>
        <v>-0.93163572483482304</v>
      </c>
      <c r="S1423" s="105">
        <f t="shared" si="1058"/>
        <v>-0.9317733031320784</v>
      </c>
      <c r="T1423" s="34"/>
      <c r="U1423" s="34"/>
      <c r="V1423" s="34"/>
      <c r="W1423" s="105">
        <f>+W1418/W$835</f>
        <v>-0.92952863790519746</v>
      </c>
      <c r="Y1423" s="390"/>
      <c r="Z1423" s="390"/>
      <c r="AA1423" s="390"/>
      <c r="AB1423" s="390"/>
      <c r="AC1423" s="390"/>
      <c r="AD1423" s="390"/>
      <c r="AE1423" s="390"/>
      <c r="AF1423" s="390"/>
      <c r="AG1423" s="390"/>
      <c r="AH1423" s="390"/>
      <c r="AI1423" s="390"/>
      <c r="AJ1423" s="390"/>
      <c r="AK1423" s="390"/>
      <c r="AL1423" s="390"/>
      <c r="AM1423" s="390"/>
      <c r="AN1423" s="390"/>
      <c r="AO1423" s="390"/>
      <c r="AP1423" s="390"/>
      <c r="AQ1423" s="390"/>
      <c r="AR1423" s="390"/>
      <c r="AS1423" s="390"/>
    </row>
    <row r="1424" spans="2:45" x14ac:dyDescent="0.3">
      <c r="B1424" s="65" t="s">
        <v>107</v>
      </c>
      <c r="C1424" s="66"/>
      <c r="D1424" s="35">
        <f>+D1419/D$836</f>
        <v>-0.91737698511166244</v>
      </c>
      <c r="E1424" s="35">
        <f t="shared" ref="E1424:S1424" si="1059">+E1419/E$836</f>
        <v>-0.91612103165651559</v>
      </c>
      <c r="F1424" s="35">
        <f t="shared" si="1059"/>
        <v>-0.91675888765294766</v>
      </c>
      <c r="G1424" s="35">
        <f t="shared" si="1059"/>
        <v>-0.91538882025470902</v>
      </c>
      <c r="H1424" s="35">
        <f t="shared" si="1059"/>
        <v>-0.9179266553480474</v>
      </c>
      <c r="I1424" s="35">
        <f t="shared" si="1059"/>
        <v>-0.91916324720990672</v>
      </c>
      <c r="J1424" s="35">
        <f t="shared" si="1059"/>
        <v>-0.91837684036393707</v>
      </c>
      <c r="K1424" s="35">
        <f t="shared" si="1059"/>
        <v>-0.91651473572618503</v>
      </c>
      <c r="L1424" s="35">
        <f t="shared" si="1059"/>
        <v>-0.91739016393442618</v>
      </c>
      <c r="M1424" s="35">
        <f t="shared" si="1059"/>
        <v>-0.91799733250620352</v>
      </c>
      <c r="N1424" s="35">
        <f t="shared" si="1059"/>
        <v>-0.91854403457323663</v>
      </c>
      <c r="O1424" s="35">
        <f t="shared" si="1059"/>
        <v>-0.91775288644856245</v>
      </c>
      <c r="P1424" s="35">
        <f t="shared" si="1059"/>
        <v>-0.91588698768895116</v>
      </c>
      <c r="Q1424" s="35">
        <f t="shared" si="1059"/>
        <v>-0.91588698768895116</v>
      </c>
      <c r="R1424" s="35">
        <f t="shared" si="1059"/>
        <v>-0.91816387096774188</v>
      </c>
      <c r="S1424" s="35">
        <f t="shared" si="1059"/>
        <v>-0.91823534496064207</v>
      </c>
      <c r="T1424" s="35"/>
      <c r="U1424" s="35"/>
      <c r="V1424" s="35"/>
      <c r="W1424" s="35">
        <f>+W1419/W$836</f>
        <v>-0.91588698768895116</v>
      </c>
      <c r="Y1424" s="390"/>
      <c r="Z1424" s="390"/>
      <c r="AA1424" s="390"/>
      <c r="AB1424" s="390"/>
      <c r="AC1424" s="390"/>
      <c r="AD1424" s="390"/>
      <c r="AE1424" s="390"/>
      <c r="AF1424" s="390"/>
      <c r="AG1424" s="390"/>
      <c r="AH1424" s="390"/>
      <c r="AI1424" s="390"/>
      <c r="AJ1424" s="390"/>
      <c r="AK1424" s="390"/>
      <c r="AL1424" s="390"/>
      <c r="AM1424" s="390"/>
      <c r="AN1424" s="390"/>
      <c r="AO1424" s="390"/>
      <c r="AP1424" s="390"/>
      <c r="AQ1424" s="390"/>
      <c r="AR1424" s="390"/>
      <c r="AS1424" s="390"/>
    </row>
    <row r="1425" spans="2:45" x14ac:dyDescent="0.3">
      <c r="B1425" s="65" t="s">
        <v>106</v>
      </c>
      <c r="C1425" s="66"/>
      <c r="D1425" s="35">
        <f>+D1420/D$837</f>
        <v>-0.90410647459964744</v>
      </c>
      <c r="E1425" s="35">
        <f t="shared" ref="E1425:S1425" si="1060">+E1420/E$837</f>
        <v>-0.9032624944254497</v>
      </c>
      <c r="F1425" s="35">
        <f t="shared" si="1060"/>
        <v>-0.90406844574780054</v>
      </c>
      <c r="G1425" s="35">
        <f t="shared" si="1060"/>
        <v>-0.90235857702743438</v>
      </c>
      <c r="H1425" s="35">
        <f t="shared" si="1060"/>
        <v>-0.90471239228246769</v>
      </c>
      <c r="I1425" s="35">
        <f t="shared" si="1060"/>
        <v>-0.90605829115358472</v>
      </c>
      <c r="J1425" s="35">
        <f t="shared" si="1060"/>
        <v>-0.9054923145532926</v>
      </c>
      <c r="K1425" s="35">
        <f t="shared" si="1060"/>
        <v>-0.90356212858318985</v>
      </c>
      <c r="L1425" s="35">
        <f t="shared" si="1060"/>
        <v>-0.90445740740740732</v>
      </c>
      <c r="M1425" s="35">
        <f t="shared" si="1060"/>
        <v>-0.904719454447935</v>
      </c>
      <c r="N1425" s="35">
        <f t="shared" si="1060"/>
        <v>-0.90532247388088161</v>
      </c>
      <c r="O1425" s="35">
        <f t="shared" si="1060"/>
        <v>-0.90469502562556525</v>
      </c>
      <c r="P1425" s="35">
        <f t="shared" si="1060"/>
        <v>-0.90257091385018084</v>
      </c>
      <c r="Q1425" s="35">
        <f t="shared" si="1060"/>
        <v>-0.90257091385018084</v>
      </c>
      <c r="R1425" s="35">
        <f t="shared" si="1060"/>
        <v>-0.90500900189753308</v>
      </c>
      <c r="S1425" s="35">
        <f t="shared" si="1060"/>
        <v>-0.9050174330816747</v>
      </c>
      <c r="T1425" s="35"/>
      <c r="U1425" s="35"/>
      <c r="V1425" s="35"/>
      <c r="W1425" s="35">
        <f>+W1420/W$837</f>
        <v>-0.90257091385018084</v>
      </c>
      <c r="Y1425" s="390"/>
      <c r="Z1425" s="390"/>
      <c r="AA1425" s="390"/>
      <c r="AB1425" s="390"/>
      <c r="AC1425" s="390"/>
      <c r="AD1425" s="390"/>
      <c r="AE1425" s="390"/>
      <c r="AF1425" s="390"/>
      <c r="AG1425" s="390"/>
      <c r="AH1425" s="390"/>
      <c r="AI1425" s="390"/>
      <c r="AJ1425" s="390"/>
      <c r="AK1425" s="390"/>
      <c r="AL1425" s="390"/>
      <c r="AM1425" s="390"/>
      <c r="AN1425" s="390"/>
      <c r="AO1425" s="390"/>
      <c r="AP1425" s="390"/>
      <c r="AQ1425" s="390"/>
      <c r="AR1425" s="390"/>
      <c r="AS1425" s="390"/>
    </row>
    <row r="1426" spans="2:45" x14ac:dyDescent="0.3">
      <c r="B1426" s="65" t="s">
        <v>77</v>
      </c>
      <c r="C1426" s="66"/>
      <c r="D1426" s="35">
        <f>+D1421/D$838</f>
        <v>-0.88880006057852479</v>
      </c>
      <c r="E1426" s="35">
        <f t="shared" ref="E1426:S1426" si="1061">+E1421/E$838</f>
        <v>-0.88841895804247195</v>
      </c>
      <c r="F1426" s="35">
        <f t="shared" si="1061"/>
        <v>-0.88941599130119608</v>
      </c>
      <c r="G1426" s="35">
        <f t="shared" si="1061"/>
        <v>-0.88731979438277586</v>
      </c>
      <c r="H1426" s="35">
        <f t="shared" si="1061"/>
        <v>-0.88947042508290619</v>
      </c>
      <c r="I1426" s="35">
        <f t="shared" si="1061"/>
        <v>-0.89094187574671446</v>
      </c>
      <c r="J1426" s="35">
        <f t="shared" si="1061"/>
        <v>-0.8906233815857153</v>
      </c>
      <c r="K1426" s="35">
        <f t="shared" si="1061"/>
        <v>-0.88861302160402478</v>
      </c>
      <c r="L1426" s="35">
        <f t="shared" si="1061"/>
        <v>-0.88953226544622421</v>
      </c>
      <c r="M1426" s="35">
        <f t="shared" si="1061"/>
        <v>-0.88940584582765414</v>
      </c>
      <c r="N1426" s="35">
        <f t="shared" si="1061"/>
        <v>-0.89007337955984323</v>
      </c>
      <c r="O1426" s="35">
        <f t="shared" si="1061"/>
        <v>-0.88962926320494673</v>
      </c>
      <c r="P1426" s="35">
        <f t="shared" si="1061"/>
        <v>-0.88721040779062688</v>
      </c>
      <c r="Q1426" s="35">
        <f t="shared" si="1061"/>
        <v>-0.88721040779062688</v>
      </c>
      <c r="R1426" s="35">
        <f t="shared" si="1061"/>
        <v>-0.88983447861965481</v>
      </c>
      <c r="S1426" s="35">
        <f t="shared" si="1061"/>
        <v>-0.88977190232137471</v>
      </c>
      <c r="T1426" s="35"/>
      <c r="U1426" s="35"/>
      <c r="V1426" s="35"/>
      <c r="W1426" s="35">
        <f>+W1421/W$838</f>
        <v>-0.88721040779062688</v>
      </c>
      <c r="Y1426" s="390"/>
      <c r="Z1426" s="390"/>
      <c r="AA1426" s="390"/>
      <c r="AB1426" s="390"/>
      <c r="AC1426" s="390"/>
      <c r="AD1426" s="390"/>
      <c r="AE1426" s="390"/>
      <c r="AF1426" s="390"/>
      <c r="AG1426" s="390"/>
      <c r="AH1426" s="390"/>
      <c r="AI1426" s="390"/>
      <c r="AJ1426" s="390"/>
      <c r="AK1426" s="390"/>
      <c r="AL1426" s="390"/>
      <c r="AM1426" s="390"/>
      <c r="AN1426" s="390"/>
      <c r="AO1426" s="390"/>
      <c r="AP1426" s="390"/>
      <c r="AQ1426" s="390"/>
      <c r="AR1426" s="390"/>
      <c r="AS1426" s="390"/>
    </row>
    <row r="1427" spans="2:45" x14ac:dyDescent="0.3">
      <c r="B1427" s="65" t="s">
        <v>78</v>
      </c>
      <c r="C1427" s="66"/>
      <c r="D1427" s="35" t="e">
        <f>+D1422/#REF!</f>
        <v>#REF!</v>
      </c>
      <c r="E1427" s="35" t="e">
        <f>+E1422/#REF!</f>
        <v>#REF!</v>
      </c>
      <c r="F1427" s="35" t="e">
        <f>+F1422/#REF!</f>
        <v>#REF!</v>
      </c>
      <c r="G1427" s="35" t="e">
        <f>+G1422/#REF!</f>
        <v>#REF!</v>
      </c>
      <c r="H1427" s="35" t="e">
        <f>+H1422/#REF!</f>
        <v>#REF!</v>
      </c>
      <c r="I1427" s="35" t="e">
        <f>+I1422/#REF!</f>
        <v>#REF!</v>
      </c>
      <c r="J1427" s="35" t="e">
        <f>+J1422/#REF!</f>
        <v>#REF!</v>
      </c>
      <c r="K1427" s="35" t="e">
        <f>+K1422/#REF!</f>
        <v>#REF!</v>
      </c>
      <c r="L1427" s="35" t="e">
        <f>+L1422/#REF!</f>
        <v>#REF!</v>
      </c>
      <c r="M1427" s="35" t="e">
        <f>+M1422/#REF!</f>
        <v>#REF!</v>
      </c>
      <c r="N1427" s="35" t="e">
        <f>+N1422/#REF!</f>
        <v>#REF!</v>
      </c>
      <c r="O1427" s="35" t="e">
        <f>+O1422/#REF!</f>
        <v>#REF!</v>
      </c>
      <c r="P1427" s="35" t="e">
        <f>+P1422/#REF!</f>
        <v>#REF!</v>
      </c>
      <c r="Q1427" s="35" t="e">
        <f>+Q1422/#REF!</f>
        <v>#REF!</v>
      </c>
      <c r="R1427" s="35" t="e">
        <f>+R1422/#REF!</f>
        <v>#REF!</v>
      </c>
      <c r="S1427" s="35" t="e">
        <f>+S1422/#REF!</f>
        <v>#REF!</v>
      </c>
      <c r="T1427" s="35"/>
      <c r="U1427" s="35"/>
      <c r="V1427" s="35"/>
      <c r="W1427" s="35" t="e">
        <f>+W1422/#REF!</f>
        <v>#REF!</v>
      </c>
      <c r="Y1427" s="390"/>
      <c r="Z1427" s="390"/>
      <c r="AA1427" s="390"/>
      <c r="AB1427" s="390"/>
      <c r="AC1427" s="390"/>
      <c r="AD1427" s="390"/>
      <c r="AE1427" s="390"/>
      <c r="AF1427" s="390"/>
      <c r="AG1427" s="390"/>
      <c r="AH1427" s="390"/>
      <c r="AI1427" s="390"/>
      <c r="AJ1427" s="390"/>
      <c r="AK1427" s="390"/>
      <c r="AL1427" s="390"/>
      <c r="AM1427" s="390"/>
      <c r="AN1427" s="390"/>
      <c r="AO1427" s="390"/>
      <c r="AP1427" s="390"/>
      <c r="AQ1427" s="390"/>
      <c r="AR1427" s="390"/>
      <c r="AS1427" s="390"/>
    </row>
    <row r="1428" spans="2:45" ht="21" thickBot="1" x14ac:dyDescent="0.35">
      <c r="Y1428" s="390"/>
      <c r="Z1428" s="390"/>
      <c r="AA1428" s="390"/>
      <c r="AB1428" s="390"/>
      <c r="AC1428" s="390"/>
      <c r="AD1428" s="390"/>
      <c r="AE1428" s="390"/>
      <c r="AF1428" s="390"/>
      <c r="AG1428" s="390"/>
      <c r="AH1428" s="390"/>
      <c r="AI1428" s="390"/>
      <c r="AJ1428" s="390"/>
      <c r="AK1428" s="390"/>
      <c r="AL1428" s="390"/>
      <c r="AM1428" s="390"/>
      <c r="AN1428" s="390"/>
      <c r="AO1428" s="390"/>
      <c r="AP1428" s="390"/>
      <c r="AQ1428" s="390"/>
      <c r="AR1428" s="390"/>
      <c r="AS1428" s="390"/>
    </row>
    <row r="1429" spans="2:45" ht="21" thickBot="1" x14ac:dyDescent="0.35">
      <c r="B1429" s="223"/>
      <c r="C1429" s="68"/>
      <c r="D1429" s="17" t="s">
        <v>5</v>
      </c>
      <c r="E1429" s="18" t="s">
        <v>6</v>
      </c>
      <c r="F1429" s="18" t="s">
        <v>7</v>
      </c>
      <c r="G1429" s="18" t="s">
        <v>8</v>
      </c>
      <c r="H1429" s="18" t="s">
        <v>9</v>
      </c>
      <c r="I1429" s="18" t="s">
        <v>10</v>
      </c>
      <c r="J1429" s="18" t="s">
        <v>11</v>
      </c>
      <c r="K1429" s="18" t="s">
        <v>12</v>
      </c>
      <c r="L1429" s="18" t="s">
        <v>13</v>
      </c>
      <c r="M1429" s="18" t="s">
        <v>14</v>
      </c>
      <c r="N1429" s="18" t="s">
        <v>15</v>
      </c>
      <c r="O1429" s="18" t="s">
        <v>16</v>
      </c>
      <c r="P1429" s="18" t="s">
        <v>17</v>
      </c>
      <c r="Q1429" s="18" t="s">
        <v>18</v>
      </c>
      <c r="R1429" s="18" t="s">
        <v>19</v>
      </c>
      <c r="S1429" s="18" t="s">
        <v>20</v>
      </c>
      <c r="T1429" s="18" t="s">
        <v>21</v>
      </c>
      <c r="U1429" s="18" t="s">
        <v>22</v>
      </c>
      <c r="V1429" s="18" t="s">
        <v>23</v>
      </c>
      <c r="W1429" s="18" t="s">
        <v>166</v>
      </c>
      <c r="Y1429" s="390"/>
      <c r="Z1429" s="390"/>
      <c r="AA1429" s="390"/>
      <c r="AB1429" s="390"/>
      <c r="AC1429" s="390"/>
      <c r="AD1429" s="390"/>
      <c r="AE1429" s="390"/>
      <c r="AF1429" s="390"/>
      <c r="AG1429" s="390"/>
      <c r="AH1429" s="390"/>
      <c r="AI1429" s="390"/>
      <c r="AJ1429" s="390"/>
      <c r="AK1429" s="390"/>
      <c r="AL1429" s="390"/>
      <c r="AM1429" s="390"/>
      <c r="AN1429" s="390"/>
      <c r="AO1429" s="390"/>
      <c r="AP1429" s="390"/>
      <c r="AQ1429" s="390"/>
      <c r="AR1429" s="390"/>
      <c r="AS1429" s="390"/>
    </row>
    <row r="1430" spans="2:45" x14ac:dyDescent="0.3">
      <c r="B1430" s="222" t="s">
        <v>50</v>
      </c>
      <c r="C1430" s="70"/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Y1430" s="390"/>
      <c r="Z1430" s="390"/>
      <c r="AA1430" s="390"/>
      <c r="AB1430" s="390"/>
      <c r="AC1430" s="390"/>
      <c r="AD1430" s="390"/>
      <c r="AE1430" s="390"/>
      <c r="AF1430" s="390"/>
      <c r="AG1430" s="390"/>
      <c r="AH1430" s="390"/>
      <c r="AI1430" s="390"/>
      <c r="AJ1430" s="390"/>
      <c r="AK1430" s="390"/>
      <c r="AL1430" s="390"/>
      <c r="AM1430" s="390"/>
      <c r="AN1430" s="390"/>
      <c r="AO1430" s="390"/>
      <c r="AP1430" s="390"/>
      <c r="AQ1430" s="390"/>
      <c r="AR1430" s="390"/>
      <c r="AS1430" s="390"/>
    </row>
    <row r="1431" spans="2:45" x14ac:dyDescent="0.3">
      <c r="B1431" s="54" t="s">
        <v>51</v>
      </c>
      <c r="C1431" s="55"/>
      <c r="D1431" s="322"/>
      <c r="E1431" s="322"/>
      <c r="F1431" s="322"/>
      <c r="G1431" s="322"/>
      <c r="H1431" s="322"/>
      <c r="I1431" s="322"/>
      <c r="J1431" s="322"/>
      <c r="K1431" s="322"/>
      <c r="L1431" s="322"/>
      <c r="M1431" s="322"/>
      <c r="N1431" s="322"/>
      <c r="O1431" s="322"/>
      <c r="P1431" s="322"/>
      <c r="Q1431" s="322"/>
      <c r="R1431" s="322"/>
      <c r="S1431" s="322"/>
      <c r="T1431" s="218"/>
      <c r="U1431" s="218"/>
      <c r="V1431" s="218"/>
      <c r="W1431" s="322"/>
      <c r="Y1431" s="390"/>
      <c r="Z1431" s="390"/>
      <c r="AA1431" s="390"/>
      <c r="AB1431" s="390"/>
      <c r="AC1431" s="390"/>
      <c r="AD1431" s="390"/>
      <c r="AE1431" s="390"/>
      <c r="AF1431" s="390"/>
      <c r="AG1431" s="390"/>
      <c r="AH1431" s="390"/>
      <c r="AI1431" s="390"/>
      <c r="AJ1431" s="390"/>
      <c r="AK1431" s="390"/>
      <c r="AL1431" s="390"/>
      <c r="AM1431" s="390"/>
      <c r="AN1431" s="390"/>
      <c r="AO1431" s="390"/>
      <c r="AP1431" s="390"/>
      <c r="AQ1431" s="390"/>
      <c r="AR1431" s="390"/>
      <c r="AS1431" s="390"/>
    </row>
    <row r="1432" spans="2:45" x14ac:dyDescent="0.3">
      <c r="B1432" s="54" t="s">
        <v>56</v>
      </c>
      <c r="C1432" s="55"/>
      <c r="D1432" s="21"/>
      <c r="E1432" s="21"/>
      <c r="F1432" s="21"/>
      <c r="G1432" s="21"/>
      <c r="H1432" s="21"/>
      <c r="I1432" s="21"/>
      <c r="J1432" s="21"/>
      <c r="K1432" s="21"/>
      <c r="L1432" s="21"/>
      <c r="M1432" s="21"/>
      <c r="N1432" s="21"/>
      <c r="O1432" s="21"/>
      <c r="P1432" s="21"/>
      <c r="Q1432" s="21"/>
      <c r="R1432" s="21"/>
      <c r="S1432" s="21"/>
      <c r="T1432" s="21"/>
      <c r="U1432" s="21"/>
      <c r="V1432" s="21"/>
      <c r="W1432" s="21"/>
      <c r="Y1432" s="390"/>
      <c r="Z1432" s="390"/>
      <c r="AA1432" s="390"/>
      <c r="AB1432" s="390"/>
      <c r="AC1432" s="390"/>
      <c r="AD1432" s="390"/>
      <c r="AE1432" s="390"/>
      <c r="AF1432" s="390"/>
      <c r="AG1432" s="390"/>
      <c r="AH1432" s="390"/>
      <c r="AI1432" s="390"/>
      <c r="AJ1432" s="390"/>
      <c r="AK1432" s="390"/>
      <c r="AL1432" s="390"/>
      <c r="AM1432" s="390"/>
      <c r="AN1432" s="390"/>
      <c r="AO1432" s="390"/>
      <c r="AP1432" s="390"/>
      <c r="AQ1432" s="390"/>
      <c r="AR1432" s="390"/>
      <c r="AS1432" s="390"/>
    </row>
    <row r="1433" spans="2:45" x14ac:dyDescent="0.3">
      <c r="B1433" s="177" t="s">
        <v>67</v>
      </c>
      <c r="C1433" s="178"/>
      <c r="D1433" s="323"/>
      <c r="E1433" s="323"/>
      <c r="F1433" s="323"/>
      <c r="G1433" s="323"/>
      <c r="H1433" s="323"/>
      <c r="I1433" s="323"/>
      <c r="J1433" s="323"/>
      <c r="K1433" s="323"/>
      <c r="L1433" s="323"/>
      <c r="M1433" s="323"/>
      <c r="N1433" s="323"/>
      <c r="O1433" s="323"/>
      <c r="P1433" s="323"/>
      <c r="Q1433" s="323"/>
      <c r="R1433" s="323"/>
      <c r="S1433" s="323"/>
      <c r="T1433" s="323"/>
      <c r="U1433" s="323"/>
      <c r="V1433" s="323"/>
      <c r="W1433" s="323"/>
      <c r="Y1433" s="390"/>
      <c r="Z1433" s="390"/>
      <c r="AA1433" s="390"/>
      <c r="AB1433" s="390"/>
      <c r="AC1433" s="390"/>
      <c r="AD1433" s="390"/>
      <c r="AE1433" s="390"/>
      <c r="AF1433" s="390"/>
      <c r="AG1433" s="390"/>
      <c r="AH1433" s="390"/>
      <c r="AI1433" s="390"/>
      <c r="AJ1433" s="390"/>
      <c r="AK1433" s="390"/>
      <c r="AL1433" s="390"/>
      <c r="AM1433" s="390"/>
      <c r="AN1433" s="390"/>
      <c r="AO1433" s="390"/>
      <c r="AP1433" s="390"/>
      <c r="AQ1433" s="390"/>
      <c r="AR1433" s="390"/>
      <c r="AS1433" s="390"/>
    </row>
    <row r="1434" spans="2:45" x14ac:dyDescent="0.3">
      <c r="B1434" s="54" t="s">
        <v>66</v>
      </c>
      <c r="C1434" s="56">
        <v>7.0000000000000007E-2</v>
      </c>
      <c r="D1434" s="24">
        <f>D1433*$C1434</f>
        <v>0</v>
      </c>
      <c r="E1434" s="24">
        <f t="shared" ref="E1434:W1434" si="1062">E1433*$C1434</f>
        <v>0</v>
      </c>
      <c r="F1434" s="24">
        <f t="shared" si="1062"/>
        <v>0</v>
      </c>
      <c r="G1434" s="24">
        <f t="shared" si="1062"/>
        <v>0</v>
      </c>
      <c r="H1434" s="24">
        <f t="shared" si="1062"/>
        <v>0</v>
      </c>
      <c r="I1434" s="24">
        <f t="shared" si="1062"/>
        <v>0</v>
      </c>
      <c r="J1434" s="24">
        <f t="shared" si="1062"/>
        <v>0</v>
      </c>
      <c r="K1434" s="24">
        <f t="shared" si="1062"/>
        <v>0</v>
      </c>
      <c r="L1434" s="24">
        <f t="shared" si="1062"/>
        <v>0</v>
      </c>
      <c r="M1434" s="24">
        <f t="shared" si="1062"/>
        <v>0</v>
      </c>
      <c r="N1434" s="24">
        <f t="shared" si="1062"/>
        <v>0</v>
      </c>
      <c r="O1434" s="24">
        <f t="shared" si="1062"/>
        <v>0</v>
      </c>
      <c r="P1434" s="24">
        <f t="shared" si="1062"/>
        <v>0</v>
      </c>
      <c r="Q1434" s="24">
        <f t="shared" si="1062"/>
        <v>0</v>
      </c>
      <c r="R1434" s="24">
        <f t="shared" si="1062"/>
        <v>0</v>
      </c>
      <c r="S1434" s="24">
        <f t="shared" si="1062"/>
        <v>0</v>
      </c>
      <c r="T1434" s="24">
        <f t="shared" si="1062"/>
        <v>0</v>
      </c>
      <c r="U1434" s="24">
        <f t="shared" si="1062"/>
        <v>0</v>
      </c>
      <c r="V1434" s="24">
        <f t="shared" si="1062"/>
        <v>0</v>
      </c>
      <c r="W1434" s="24">
        <f t="shared" si="1062"/>
        <v>0</v>
      </c>
      <c r="Y1434" s="390"/>
      <c r="Z1434" s="390"/>
      <c r="AA1434" s="390"/>
      <c r="AB1434" s="390"/>
      <c r="AC1434" s="390"/>
      <c r="AD1434" s="390"/>
      <c r="AE1434" s="390"/>
      <c r="AF1434" s="390"/>
      <c r="AG1434" s="390"/>
      <c r="AH1434" s="390"/>
      <c r="AI1434" s="390"/>
      <c r="AJ1434" s="390"/>
      <c r="AK1434" s="390"/>
      <c r="AL1434" s="390"/>
      <c r="AM1434" s="390"/>
      <c r="AN1434" s="390"/>
      <c r="AO1434" s="390"/>
      <c r="AP1434" s="390"/>
      <c r="AQ1434" s="390"/>
      <c r="AR1434" s="390"/>
      <c r="AS1434" s="390"/>
    </row>
    <row r="1435" spans="2:45" x14ac:dyDescent="0.3">
      <c r="B1435" s="54" t="s">
        <v>68</v>
      </c>
      <c r="C1435" s="55"/>
      <c r="D1435" s="21">
        <f>D1433+D1434</f>
        <v>0</v>
      </c>
      <c r="E1435" s="21">
        <f t="shared" ref="E1435:W1435" si="1063">E1433+E1434</f>
        <v>0</v>
      </c>
      <c r="F1435" s="21">
        <f t="shared" si="1063"/>
        <v>0</v>
      </c>
      <c r="G1435" s="21">
        <f t="shared" si="1063"/>
        <v>0</v>
      </c>
      <c r="H1435" s="21">
        <f t="shared" si="1063"/>
        <v>0</v>
      </c>
      <c r="I1435" s="21">
        <f t="shared" si="1063"/>
        <v>0</v>
      </c>
      <c r="J1435" s="21">
        <f t="shared" si="1063"/>
        <v>0</v>
      </c>
      <c r="K1435" s="21">
        <f t="shared" si="1063"/>
        <v>0</v>
      </c>
      <c r="L1435" s="21">
        <f t="shared" si="1063"/>
        <v>0</v>
      </c>
      <c r="M1435" s="21">
        <f t="shared" si="1063"/>
        <v>0</v>
      </c>
      <c r="N1435" s="21">
        <f t="shared" si="1063"/>
        <v>0</v>
      </c>
      <c r="O1435" s="21">
        <f t="shared" si="1063"/>
        <v>0</v>
      </c>
      <c r="P1435" s="21">
        <f t="shared" si="1063"/>
        <v>0</v>
      </c>
      <c r="Q1435" s="21">
        <f t="shared" si="1063"/>
        <v>0</v>
      </c>
      <c r="R1435" s="21">
        <f t="shared" si="1063"/>
        <v>0</v>
      </c>
      <c r="S1435" s="21">
        <f t="shared" si="1063"/>
        <v>0</v>
      </c>
      <c r="T1435" s="21">
        <f t="shared" si="1063"/>
        <v>0</v>
      </c>
      <c r="U1435" s="21">
        <f t="shared" si="1063"/>
        <v>0</v>
      </c>
      <c r="V1435" s="21">
        <f t="shared" si="1063"/>
        <v>0</v>
      </c>
      <c r="W1435" s="21">
        <f t="shared" si="1063"/>
        <v>0</v>
      </c>
      <c r="Y1435" s="390"/>
      <c r="Z1435" s="390"/>
      <c r="AA1435" s="390"/>
      <c r="AB1435" s="390"/>
      <c r="AC1435" s="390"/>
      <c r="AD1435" s="390"/>
      <c r="AE1435" s="390"/>
      <c r="AF1435" s="390"/>
      <c r="AG1435" s="390"/>
      <c r="AH1435" s="390"/>
      <c r="AI1435" s="390"/>
      <c r="AJ1435" s="390"/>
      <c r="AK1435" s="390"/>
      <c r="AL1435" s="390"/>
      <c r="AM1435" s="390"/>
      <c r="AN1435" s="390"/>
      <c r="AO1435" s="390"/>
      <c r="AP1435" s="390"/>
      <c r="AQ1435" s="390"/>
      <c r="AR1435" s="390"/>
      <c r="AS1435" s="390"/>
    </row>
    <row r="1436" spans="2:45" x14ac:dyDescent="0.3">
      <c r="B1436" s="54" t="s">
        <v>52</v>
      </c>
      <c r="C1436" s="55"/>
      <c r="D1436" s="20">
        <v>0.85000000000000009</v>
      </c>
      <c r="E1436" s="21">
        <v>1.7</v>
      </c>
      <c r="F1436" s="21">
        <v>2.0500000000000003</v>
      </c>
      <c r="G1436" s="21">
        <v>1.1499999999999999</v>
      </c>
      <c r="H1436" s="21">
        <v>0.98</v>
      </c>
      <c r="I1436" s="21">
        <v>0.98</v>
      </c>
      <c r="J1436" s="21">
        <v>1.5999999999999999</v>
      </c>
      <c r="K1436" s="21">
        <v>1.45</v>
      </c>
      <c r="L1436" s="21">
        <v>1.45</v>
      </c>
      <c r="M1436" s="21">
        <v>0.7</v>
      </c>
      <c r="N1436" s="21">
        <v>0.82000000000000006</v>
      </c>
      <c r="O1436" s="21">
        <v>0.98</v>
      </c>
      <c r="P1436" s="21">
        <v>0.59000000000000008</v>
      </c>
      <c r="Q1436" s="21">
        <v>0.59000000000000008</v>
      </c>
      <c r="R1436" s="21">
        <v>0.98</v>
      </c>
      <c r="S1436" s="21">
        <v>0.85000000000000009</v>
      </c>
      <c r="T1436" s="21">
        <v>6.7</v>
      </c>
      <c r="U1436" s="21">
        <v>11.2</v>
      </c>
      <c r="V1436" s="21">
        <v>6.7</v>
      </c>
      <c r="W1436" s="21">
        <v>0.59000000000000008</v>
      </c>
      <c r="Y1436" s="390"/>
      <c r="Z1436" s="390"/>
      <c r="AA1436" s="390"/>
      <c r="AB1436" s="390"/>
      <c r="AC1436" s="390"/>
      <c r="AD1436" s="390"/>
      <c r="AE1436" s="390"/>
      <c r="AF1436" s="390"/>
      <c r="AG1436" s="390"/>
      <c r="AH1436" s="390"/>
      <c r="AI1436" s="390"/>
      <c r="AJ1436" s="390"/>
      <c r="AK1436" s="390"/>
      <c r="AL1436" s="390"/>
      <c r="AM1436" s="390"/>
      <c r="AN1436" s="390"/>
      <c r="AO1436" s="390"/>
      <c r="AP1436" s="390"/>
      <c r="AQ1436" s="390"/>
      <c r="AR1436" s="390"/>
      <c r="AS1436" s="390"/>
    </row>
    <row r="1437" spans="2:45" x14ac:dyDescent="0.3">
      <c r="B1437" s="57" t="s">
        <v>53</v>
      </c>
      <c r="C1437" s="58"/>
      <c r="D1437" s="25">
        <f>SUM(D1435:D1436)</f>
        <v>0.85000000000000009</v>
      </c>
      <c r="E1437" s="26">
        <f t="shared" ref="E1437:W1437" si="1064">SUM(E1435:E1436)</f>
        <v>1.7</v>
      </c>
      <c r="F1437" s="26">
        <f t="shared" si="1064"/>
        <v>2.0500000000000003</v>
      </c>
      <c r="G1437" s="26">
        <f t="shared" si="1064"/>
        <v>1.1499999999999999</v>
      </c>
      <c r="H1437" s="26">
        <f t="shared" si="1064"/>
        <v>0.98</v>
      </c>
      <c r="I1437" s="26">
        <f t="shared" si="1064"/>
        <v>0.98</v>
      </c>
      <c r="J1437" s="26">
        <f t="shared" si="1064"/>
        <v>1.5999999999999999</v>
      </c>
      <c r="K1437" s="26">
        <f t="shared" si="1064"/>
        <v>1.45</v>
      </c>
      <c r="L1437" s="26">
        <f t="shared" si="1064"/>
        <v>1.45</v>
      </c>
      <c r="M1437" s="26">
        <f t="shared" si="1064"/>
        <v>0.7</v>
      </c>
      <c r="N1437" s="26">
        <f t="shared" si="1064"/>
        <v>0.82000000000000006</v>
      </c>
      <c r="O1437" s="26">
        <f t="shared" si="1064"/>
        <v>0.98</v>
      </c>
      <c r="P1437" s="26">
        <f t="shared" si="1064"/>
        <v>0.59000000000000008</v>
      </c>
      <c r="Q1437" s="26">
        <f t="shared" si="1064"/>
        <v>0.59000000000000008</v>
      </c>
      <c r="R1437" s="26">
        <f t="shared" si="1064"/>
        <v>0.98</v>
      </c>
      <c r="S1437" s="26">
        <f t="shared" si="1064"/>
        <v>0.85000000000000009</v>
      </c>
      <c r="T1437" s="26">
        <f t="shared" si="1064"/>
        <v>6.7</v>
      </c>
      <c r="U1437" s="26">
        <f t="shared" si="1064"/>
        <v>11.2</v>
      </c>
      <c r="V1437" s="26">
        <f t="shared" si="1064"/>
        <v>6.7</v>
      </c>
      <c r="W1437" s="26">
        <f t="shared" si="1064"/>
        <v>0.59000000000000008</v>
      </c>
      <c r="Y1437" s="390"/>
      <c r="Z1437" s="390"/>
      <c r="AA1437" s="390"/>
      <c r="AB1437" s="390"/>
      <c r="AC1437" s="390"/>
      <c r="AD1437" s="390"/>
      <c r="AE1437" s="390"/>
      <c r="AF1437" s="390"/>
      <c r="AG1437" s="390"/>
      <c r="AH1437" s="390"/>
      <c r="AI1437" s="390"/>
      <c r="AJ1437" s="390"/>
      <c r="AK1437" s="390"/>
      <c r="AL1437" s="390"/>
      <c r="AM1437" s="390"/>
      <c r="AN1437" s="390"/>
      <c r="AO1437" s="390"/>
      <c r="AP1437" s="390"/>
      <c r="AQ1437" s="390"/>
      <c r="AR1437" s="390"/>
      <c r="AS1437" s="390"/>
    </row>
    <row r="1438" spans="2:45" x14ac:dyDescent="0.3">
      <c r="B1438" s="54" t="s">
        <v>54</v>
      </c>
      <c r="C1438" s="55"/>
      <c r="D1438" s="20"/>
      <c r="E1438" s="21"/>
      <c r="F1438" s="21"/>
      <c r="G1438" s="21"/>
      <c r="H1438" s="21"/>
      <c r="I1438" s="21"/>
      <c r="J1438" s="21"/>
      <c r="K1438" s="21"/>
      <c r="L1438" s="21"/>
      <c r="M1438" s="21"/>
      <c r="N1438" s="21"/>
      <c r="O1438" s="21"/>
      <c r="P1438" s="21"/>
      <c r="Q1438" s="21"/>
      <c r="R1438" s="21"/>
      <c r="S1438" s="21"/>
      <c r="T1438" s="21"/>
      <c r="U1438" s="21"/>
      <c r="V1438" s="21"/>
      <c r="W1438" s="21"/>
      <c r="Y1438" s="390"/>
      <c r="Z1438" s="390"/>
      <c r="AA1438" s="390"/>
      <c r="AB1438" s="390"/>
      <c r="AC1438" s="390"/>
      <c r="AD1438" s="390"/>
      <c r="AE1438" s="390"/>
      <c r="AF1438" s="390"/>
      <c r="AG1438" s="390"/>
      <c r="AH1438" s="390"/>
      <c r="AI1438" s="390"/>
      <c r="AJ1438" s="390"/>
      <c r="AK1438" s="390"/>
      <c r="AL1438" s="390"/>
      <c r="AM1438" s="390"/>
      <c r="AN1438" s="390"/>
      <c r="AO1438" s="390"/>
      <c r="AP1438" s="390"/>
      <c r="AQ1438" s="390"/>
      <c r="AR1438" s="390"/>
      <c r="AS1438" s="390"/>
    </row>
    <row r="1439" spans="2:45" x14ac:dyDescent="0.3">
      <c r="B1439" s="59" t="s">
        <v>55</v>
      </c>
      <c r="C1439" s="60"/>
      <c r="D1439" s="27">
        <f>SUM(D1437:D1438)</f>
        <v>0.85000000000000009</v>
      </c>
      <c r="E1439" s="41">
        <f t="shared" ref="E1439:W1439" si="1065">SUM(E1437:E1438)</f>
        <v>1.7</v>
      </c>
      <c r="F1439" s="41">
        <f t="shared" si="1065"/>
        <v>2.0500000000000003</v>
      </c>
      <c r="G1439" s="41">
        <f t="shared" si="1065"/>
        <v>1.1499999999999999</v>
      </c>
      <c r="H1439" s="41">
        <f t="shared" si="1065"/>
        <v>0.98</v>
      </c>
      <c r="I1439" s="41">
        <f t="shared" si="1065"/>
        <v>0.98</v>
      </c>
      <c r="J1439" s="41">
        <f t="shared" si="1065"/>
        <v>1.5999999999999999</v>
      </c>
      <c r="K1439" s="41">
        <f t="shared" si="1065"/>
        <v>1.45</v>
      </c>
      <c r="L1439" s="41">
        <f t="shared" si="1065"/>
        <v>1.45</v>
      </c>
      <c r="M1439" s="41">
        <f t="shared" si="1065"/>
        <v>0.7</v>
      </c>
      <c r="N1439" s="41">
        <f t="shared" si="1065"/>
        <v>0.82000000000000006</v>
      </c>
      <c r="O1439" s="41">
        <f t="shared" si="1065"/>
        <v>0.98</v>
      </c>
      <c r="P1439" s="41">
        <f t="shared" si="1065"/>
        <v>0.59000000000000008</v>
      </c>
      <c r="Q1439" s="41">
        <f t="shared" si="1065"/>
        <v>0.59000000000000008</v>
      </c>
      <c r="R1439" s="41">
        <f t="shared" si="1065"/>
        <v>0.98</v>
      </c>
      <c r="S1439" s="41">
        <f t="shared" si="1065"/>
        <v>0.85000000000000009</v>
      </c>
      <c r="T1439" s="41">
        <f t="shared" si="1065"/>
        <v>6.7</v>
      </c>
      <c r="U1439" s="41">
        <f t="shared" si="1065"/>
        <v>11.2</v>
      </c>
      <c r="V1439" s="41">
        <f t="shared" si="1065"/>
        <v>6.7</v>
      </c>
      <c r="W1439" s="41">
        <f t="shared" si="1065"/>
        <v>0.59000000000000008</v>
      </c>
      <c r="Y1439" s="390"/>
      <c r="Z1439" s="390"/>
      <c r="AA1439" s="390"/>
      <c r="AB1439" s="390"/>
      <c r="AC1439" s="390"/>
      <c r="AD1439" s="390"/>
      <c r="AE1439" s="390"/>
      <c r="AF1439" s="390"/>
      <c r="AG1439" s="390"/>
      <c r="AH1439" s="390"/>
      <c r="AI1439" s="390"/>
      <c r="AJ1439" s="390"/>
      <c r="AK1439" s="390"/>
      <c r="AL1439" s="390"/>
      <c r="AM1439" s="390"/>
      <c r="AN1439" s="390"/>
      <c r="AO1439" s="390"/>
      <c r="AP1439" s="390"/>
      <c r="AQ1439" s="390"/>
      <c r="AR1439" s="390"/>
      <c r="AS1439" s="390"/>
    </row>
    <row r="1440" spans="2:45" x14ac:dyDescent="0.3">
      <c r="B1440" s="61" t="s">
        <v>101</v>
      </c>
      <c r="C1440" s="55"/>
      <c r="D1440" s="228">
        <f>D1441-1</f>
        <v>3</v>
      </c>
      <c r="E1440" s="229">
        <f t="shared" ref="E1440:S1440" si="1066">E1441-1</f>
        <v>4</v>
      </c>
      <c r="F1440" s="229">
        <f t="shared" si="1066"/>
        <v>5</v>
      </c>
      <c r="G1440" s="229">
        <f t="shared" si="1066"/>
        <v>4</v>
      </c>
      <c r="H1440" s="229">
        <f t="shared" si="1066"/>
        <v>3</v>
      </c>
      <c r="I1440" s="229">
        <f t="shared" si="1066"/>
        <v>3</v>
      </c>
      <c r="J1440" s="229">
        <f t="shared" si="1066"/>
        <v>4</v>
      </c>
      <c r="K1440" s="229">
        <f t="shared" si="1066"/>
        <v>4</v>
      </c>
      <c r="L1440" s="229">
        <f t="shared" si="1066"/>
        <v>4</v>
      </c>
      <c r="M1440" s="229">
        <f t="shared" si="1066"/>
        <v>3</v>
      </c>
      <c r="N1440" s="229">
        <f t="shared" si="1066"/>
        <v>3</v>
      </c>
      <c r="O1440" s="229">
        <f t="shared" si="1066"/>
        <v>3</v>
      </c>
      <c r="P1440" s="229">
        <f t="shared" si="1066"/>
        <v>3</v>
      </c>
      <c r="Q1440" s="229">
        <f t="shared" si="1066"/>
        <v>3</v>
      </c>
      <c r="R1440" s="229">
        <f t="shared" si="1066"/>
        <v>3</v>
      </c>
      <c r="S1440" s="229">
        <f t="shared" si="1066"/>
        <v>3</v>
      </c>
      <c r="T1440" s="21"/>
      <c r="U1440" s="21"/>
      <c r="V1440" s="21"/>
      <c r="W1440" s="229">
        <f>W1441-1</f>
        <v>3</v>
      </c>
      <c r="Y1440" s="390"/>
      <c r="Z1440" s="390"/>
      <c r="AA1440" s="390"/>
      <c r="AB1440" s="390"/>
      <c r="AC1440" s="390"/>
      <c r="AD1440" s="390"/>
      <c r="AE1440" s="390"/>
      <c r="AF1440" s="390"/>
      <c r="AG1440" s="390"/>
      <c r="AH1440" s="390"/>
      <c r="AI1440" s="390"/>
      <c r="AJ1440" s="390"/>
      <c r="AK1440" s="390"/>
      <c r="AL1440" s="390"/>
      <c r="AM1440" s="390"/>
      <c r="AN1440" s="390"/>
      <c r="AO1440" s="390"/>
      <c r="AP1440" s="390"/>
      <c r="AQ1440" s="390"/>
      <c r="AR1440" s="390"/>
      <c r="AS1440" s="390"/>
    </row>
    <row r="1441" spans="2:45" x14ac:dyDescent="0.3">
      <c r="B1441" s="61" t="s">
        <v>194</v>
      </c>
      <c r="C1441" s="62"/>
      <c r="D1441" s="28">
        <f>ROUNDUP((D1439+3),0)</f>
        <v>4</v>
      </c>
      <c r="E1441" s="28">
        <f t="shared" ref="E1441:S1441" si="1067">ROUNDUP((E1439+3),0)</f>
        <v>5</v>
      </c>
      <c r="F1441" s="28">
        <f t="shared" si="1067"/>
        <v>6</v>
      </c>
      <c r="G1441" s="28">
        <f t="shared" si="1067"/>
        <v>5</v>
      </c>
      <c r="H1441" s="28">
        <f t="shared" si="1067"/>
        <v>4</v>
      </c>
      <c r="I1441" s="28">
        <f t="shared" si="1067"/>
        <v>4</v>
      </c>
      <c r="J1441" s="28">
        <f t="shared" si="1067"/>
        <v>5</v>
      </c>
      <c r="K1441" s="28">
        <f t="shared" si="1067"/>
        <v>5</v>
      </c>
      <c r="L1441" s="28">
        <f t="shared" si="1067"/>
        <v>5</v>
      </c>
      <c r="M1441" s="28">
        <f t="shared" si="1067"/>
        <v>4</v>
      </c>
      <c r="N1441" s="28">
        <f t="shared" si="1067"/>
        <v>4</v>
      </c>
      <c r="O1441" s="28">
        <f t="shared" si="1067"/>
        <v>4</v>
      </c>
      <c r="P1441" s="28">
        <f t="shared" si="1067"/>
        <v>4</v>
      </c>
      <c r="Q1441" s="28">
        <f t="shared" si="1067"/>
        <v>4</v>
      </c>
      <c r="R1441" s="28">
        <f t="shared" si="1067"/>
        <v>4</v>
      </c>
      <c r="S1441" s="28">
        <f t="shared" si="1067"/>
        <v>4</v>
      </c>
      <c r="T1441" s="29"/>
      <c r="U1441" s="29"/>
      <c r="V1441" s="29"/>
      <c r="W1441" s="28">
        <f>ROUNDUP((W1439+3),0)</f>
        <v>4</v>
      </c>
      <c r="Y1441" s="390"/>
      <c r="Z1441" s="390"/>
      <c r="AA1441" s="390"/>
      <c r="AB1441" s="390"/>
      <c r="AC1441" s="390"/>
      <c r="AD1441" s="390"/>
      <c r="AE1441" s="390"/>
      <c r="AF1441" s="390"/>
      <c r="AG1441" s="390"/>
      <c r="AH1441" s="390"/>
      <c r="AI1441" s="390"/>
      <c r="AJ1441" s="390"/>
      <c r="AK1441" s="390"/>
      <c r="AL1441" s="390"/>
      <c r="AM1441" s="390"/>
      <c r="AN1441" s="390"/>
      <c r="AO1441" s="390"/>
      <c r="AP1441" s="390"/>
      <c r="AQ1441" s="390"/>
      <c r="AR1441" s="390"/>
      <c r="AS1441" s="390"/>
    </row>
    <row r="1442" spans="2:45" x14ac:dyDescent="0.3">
      <c r="B1442" s="61" t="s">
        <v>195</v>
      </c>
      <c r="C1442" s="62"/>
      <c r="D1442" s="28">
        <f>ROUNDUP((D1439+4),0)</f>
        <v>5</v>
      </c>
      <c r="E1442" s="28">
        <f t="shared" ref="E1442:S1442" si="1068">ROUNDUP((E1439+4),0)</f>
        <v>6</v>
      </c>
      <c r="F1442" s="28">
        <f t="shared" si="1068"/>
        <v>7</v>
      </c>
      <c r="G1442" s="28">
        <f t="shared" si="1068"/>
        <v>6</v>
      </c>
      <c r="H1442" s="28">
        <f t="shared" si="1068"/>
        <v>5</v>
      </c>
      <c r="I1442" s="28">
        <f t="shared" si="1068"/>
        <v>5</v>
      </c>
      <c r="J1442" s="28">
        <f t="shared" si="1068"/>
        <v>6</v>
      </c>
      <c r="K1442" s="28">
        <f t="shared" si="1068"/>
        <v>6</v>
      </c>
      <c r="L1442" s="28">
        <f t="shared" si="1068"/>
        <v>6</v>
      </c>
      <c r="M1442" s="28">
        <f t="shared" si="1068"/>
        <v>5</v>
      </c>
      <c r="N1442" s="28">
        <f t="shared" si="1068"/>
        <v>5</v>
      </c>
      <c r="O1442" s="28">
        <f t="shared" si="1068"/>
        <v>5</v>
      </c>
      <c r="P1442" s="28">
        <f t="shared" si="1068"/>
        <v>5</v>
      </c>
      <c r="Q1442" s="28">
        <f t="shared" si="1068"/>
        <v>5</v>
      </c>
      <c r="R1442" s="28">
        <f t="shared" si="1068"/>
        <v>5</v>
      </c>
      <c r="S1442" s="28">
        <f t="shared" si="1068"/>
        <v>5</v>
      </c>
      <c r="T1442" s="29"/>
      <c r="U1442" s="29"/>
      <c r="V1442" s="29"/>
      <c r="W1442" s="28">
        <f>ROUNDUP((W1439+4),0)</f>
        <v>5</v>
      </c>
      <c r="Y1442" s="390"/>
      <c r="Z1442" s="390"/>
      <c r="AA1442" s="390"/>
      <c r="AB1442" s="390"/>
      <c r="AC1442" s="390"/>
      <c r="AD1442" s="390"/>
      <c r="AE1442" s="390"/>
      <c r="AF1442" s="390"/>
      <c r="AG1442" s="390"/>
      <c r="AH1442" s="390"/>
      <c r="AI1442" s="390"/>
      <c r="AJ1442" s="390"/>
      <c r="AK1442" s="390"/>
      <c r="AL1442" s="390"/>
      <c r="AM1442" s="390"/>
      <c r="AN1442" s="390"/>
      <c r="AO1442" s="390"/>
      <c r="AP1442" s="390"/>
      <c r="AQ1442" s="390"/>
      <c r="AR1442" s="390"/>
      <c r="AS1442" s="390"/>
    </row>
    <row r="1443" spans="2:45" x14ac:dyDescent="0.3">
      <c r="B1443" s="61" t="s">
        <v>196</v>
      </c>
      <c r="C1443" s="62"/>
      <c r="D1443" s="28">
        <f>ROUNDUP((D1439+6),0)</f>
        <v>7</v>
      </c>
      <c r="E1443" s="28">
        <f t="shared" ref="E1443:S1443" si="1069">ROUNDUP((E1439+6),0)</f>
        <v>8</v>
      </c>
      <c r="F1443" s="28">
        <f t="shared" si="1069"/>
        <v>9</v>
      </c>
      <c r="G1443" s="28">
        <f t="shared" si="1069"/>
        <v>8</v>
      </c>
      <c r="H1443" s="28">
        <f t="shared" si="1069"/>
        <v>7</v>
      </c>
      <c r="I1443" s="28">
        <f t="shared" si="1069"/>
        <v>7</v>
      </c>
      <c r="J1443" s="28">
        <f t="shared" si="1069"/>
        <v>8</v>
      </c>
      <c r="K1443" s="28">
        <f t="shared" si="1069"/>
        <v>8</v>
      </c>
      <c r="L1443" s="28">
        <f t="shared" si="1069"/>
        <v>8</v>
      </c>
      <c r="M1443" s="28">
        <f t="shared" si="1069"/>
        <v>7</v>
      </c>
      <c r="N1443" s="28">
        <f t="shared" si="1069"/>
        <v>7</v>
      </c>
      <c r="O1443" s="28">
        <f t="shared" si="1069"/>
        <v>7</v>
      </c>
      <c r="P1443" s="28">
        <f t="shared" si="1069"/>
        <v>7</v>
      </c>
      <c r="Q1443" s="28">
        <f t="shared" si="1069"/>
        <v>7</v>
      </c>
      <c r="R1443" s="28">
        <f t="shared" si="1069"/>
        <v>7</v>
      </c>
      <c r="S1443" s="28">
        <f t="shared" si="1069"/>
        <v>7</v>
      </c>
      <c r="T1443" s="29"/>
      <c r="U1443" s="29"/>
      <c r="V1443" s="29"/>
      <c r="W1443" s="28">
        <f>ROUNDUP((W1439+6),0)</f>
        <v>7</v>
      </c>
      <c r="Y1443" s="390"/>
      <c r="Z1443" s="390"/>
      <c r="AA1443" s="390"/>
      <c r="AB1443" s="390"/>
      <c r="AC1443" s="390"/>
      <c r="AD1443" s="390"/>
      <c r="AE1443" s="390"/>
      <c r="AF1443" s="390"/>
      <c r="AG1443" s="390"/>
      <c r="AH1443" s="390"/>
      <c r="AI1443" s="390"/>
      <c r="AJ1443" s="390"/>
      <c r="AK1443" s="390"/>
      <c r="AL1443" s="390"/>
      <c r="AM1443" s="390"/>
      <c r="AN1443" s="390"/>
      <c r="AO1443" s="390"/>
      <c r="AP1443" s="390"/>
      <c r="AQ1443" s="390"/>
      <c r="AR1443" s="390"/>
      <c r="AS1443" s="390"/>
    </row>
    <row r="1444" spans="2:45" x14ac:dyDescent="0.3">
      <c r="B1444" s="61" t="s">
        <v>197</v>
      </c>
      <c r="C1444" s="62"/>
      <c r="D1444" s="28">
        <f>ROUNDUP((D1439+10),0)</f>
        <v>11</v>
      </c>
      <c r="E1444" s="28">
        <f t="shared" ref="E1444:S1444" si="1070">ROUNDUP((E1439+10),0)</f>
        <v>12</v>
      </c>
      <c r="F1444" s="28">
        <f t="shared" si="1070"/>
        <v>13</v>
      </c>
      <c r="G1444" s="28">
        <f t="shared" si="1070"/>
        <v>12</v>
      </c>
      <c r="H1444" s="28">
        <f t="shared" si="1070"/>
        <v>11</v>
      </c>
      <c r="I1444" s="28">
        <f t="shared" si="1070"/>
        <v>11</v>
      </c>
      <c r="J1444" s="28">
        <f t="shared" si="1070"/>
        <v>12</v>
      </c>
      <c r="K1444" s="28">
        <f t="shared" si="1070"/>
        <v>12</v>
      </c>
      <c r="L1444" s="28">
        <f t="shared" si="1070"/>
        <v>12</v>
      </c>
      <c r="M1444" s="28">
        <f t="shared" si="1070"/>
        <v>11</v>
      </c>
      <c r="N1444" s="28">
        <f t="shared" si="1070"/>
        <v>11</v>
      </c>
      <c r="O1444" s="28">
        <f t="shared" si="1070"/>
        <v>11</v>
      </c>
      <c r="P1444" s="28">
        <f t="shared" si="1070"/>
        <v>11</v>
      </c>
      <c r="Q1444" s="28">
        <f t="shared" si="1070"/>
        <v>11</v>
      </c>
      <c r="R1444" s="28">
        <f t="shared" si="1070"/>
        <v>11</v>
      </c>
      <c r="S1444" s="28">
        <f t="shared" si="1070"/>
        <v>11</v>
      </c>
      <c r="T1444" s="29"/>
      <c r="U1444" s="29"/>
      <c r="V1444" s="29"/>
      <c r="W1444" s="28">
        <f>ROUNDUP((W1439+10),0)</f>
        <v>11</v>
      </c>
      <c r="Y1444" s="390"/>
      <c r="Z1444" s="390"/>
      <c r="AA1444" s="390"/>
      <c r="AB1444" s="390"/>
      <c r="AC1444" s="390"/>
      <c r="AD1444" s="390"/>
      <c r="AE1444" s="390"/>
      <c r="AF1444" s="390"/>
      <c r="AG1444" s="390"/>
      <c r="AH1444" s="390"/>
      <c r="AI1444" s="390"/>
      <c r="AJ1444" s="390"/>
      <c r="AK1444" s="390"/>
      <c r="AL1444" s="390"/>
      <c r="AM1444" s="390"/>
      <c r="AN1444" s="390"/>
      <c r="AO1444" s="390"/>
      <c r="AP1444" s="390"/>
      <c r="AQ1444" s="390"/>
      <c r="AR1444" s="390"/>
      <c r="AS1444" s="390"/>
    </row>
    <row r="1445" spans="2:45" x14ac:dyDescent="0.3">
      <c r="B1445" s="63" t="s">
        <v>103</v>
      </c>
      <c r="C1445" s="62"/>
      <c r="D1445" s="31">
        <f>+D1440-D$833</f>
        <v>-382.62882580645157</v>
      </c>
      <c r="E1445" s="31">
        <f>+E1440-E$833</f>
        <v>-394.01592258064517</v>
      </c>
      <c r="F1445" s="31">
        <f t="shared" ref="F1445:S1445" si="1071">+F1440-F$833</f>
        <v>-399.79011612903224</v>
      </c>
      <c r="G1445" s="31">
        <f t="shared" si="1071"/>
        <v>-388.20947096774194</v>
      </c>
      <c r="H1445" s="31">
        <f t="shared" si="1071"/>
        <v>-384.69334193548383</v>
      </c>
      <c r="I1445" s="31">
        <f t="shared" si="1071"/>
        <v>-388.88689032258065</v>
      </c>
      <c r="J1445" s="31">
        <f t="shared" si="1071"/>
        <v>-394.98366451612901</v>
      </c>
      <c r="K1445" s="31">
        <f t="shared" si="1071"/>
        <v>-391.4352774193548</v>
      </c>
      <c r="L1445" s="31">
        <f t="shared" si="1071"/>
        <v>-392.72559999999999</v>
      </c>
      <c r="M1445" s="31">
        <f t="shared" si="1071"/>
        <v>-382.88689032258065</v>
      </c>
      <c r="N1445" s="31">
        <f t="shared" si="1071"/>
        <v>-384.95140645161291</v>
      </c>
      <c r="O1445" s="31">
        <f t="shared" si="1071"/>
        <v>-389.20947096774194</v>
      </c>
      <c r="P1445" s="31">
        <f t="shared" si="1071"/>
        <v>-380.17721290322578</v>
      </c>
      <c r="Q1445" s="31">
        <f t="shared" si="1071"/>
        <v>-380.17721290322578</v>
      </c>
      <c r="R1445" s="31">
        <f t="shared" si="1071"/>
        <v>-386.62882580645157</v>
      </c>
      <c r="S1445" s="31">
        <f t="shared" si="1071"/>
        <v>-384.8223741935484</v>
      </c>
      <c r="T1445" s="29"/>
      <c r="U1445" s="29"/>
      <c r="V1445" s="29"/>
      <c r="W1445" s="31">
        <f>+W1440-W$833</f>
        <v>-380.17721290322578</v>
      </c>
      <c r="Y1445" s="390"/>
      <c r="Z1445" s="390"/>
      <c r="AA1445" s="390"/>
      <c r="AB1445" s="390"/>
      <c r="AC1445" s="390"/>
      <c r="AD1445" s="390"/>
      <c r="AE1445" s="390"/>
      <c r="AF1445" s="390"/>
      <c r="AG1445" s="390"/>
      <c r="AH1445" s="390"/>
      <c r="AI1445" s="390"/>
      <c r="AJ1445" s="390"/>
      <c r="AK1445" s="390"/>
      <c r="AL1445" s="390"/>
      <c r="AM1445" s="390"/>
      <c r="AN1445" s="390"/>
      <c r="AO1445" s="390"/>
      <c r="AP1445" s="390"/>
      <c r="AQ1445" s="390"/>
      <c r="AR1445" s="390"/>
      <c r="AS1445" s="390"/>
    </row>
    <row r="1446" spans="2:45" x14ac:dyDescent="0.3">
      <c r="B1446" s="63" t="s">
        <v>104</v>
      </c>
      <c r="C1446" s="64"/>
      <c r="D1446" s="31">
        <f>+D1441-D$833</f>
        <v>-381.62882580645157</v>
      </c>
      <c r="E1446" s="32">
        <f t="shared" ref="E1446:S1446" si="1072">+E1441-E$833</f>
        <v>-393.01592258064517</v>
      </c>
      <c r="F1446" s="32">
        <f t="shared" si="1072"/>
        <v>-398.79011612903224</v>
      </c>
      <c r="G1446" s="32">
        <f t="shared" si="1072"/>
        <v>-387.20947096774194</v>
      </c>
      <c r="H1446" s="32">
        <f t="shared" si="1072"/>
        <v>-383.69334193548383</v>
      </c>
      <c r="I1446" s="32">
        <f t="shared" si="1072"/>
        <v>-387.88689032258065</v>
      </c>
      <c r="J1446" s="32">
        <f t="shared" si="1072"/>
        <v>-393.98366451612901</v>
      </c>
      <c r="K1446" s="32">
        <f t="shared" si="1072"/>
        <v>-390.4352774193548</v>
      </c>
      <c r="L1446" s="32">
        <f t="shared" si="1072"/>
        <v>-391.72559999999999</v>
      </c>
      <c r="M1446" s="32">
        <f t="shared" si="1072"/>
        <v>-381.88689032258065</v>
      </c>
      <c r="N1446" s="32">
        <f t="shared" si="1072"/>
        <v>-383.95140645161291</v>
      </c>
      <c r="O1446" s="32">
        <f t="shared" si="1072"/>
        <v>-388.20947096774194</v>
      </c>
      <c r="P1446" s="32">
        <f t="shared" si="1072"/>
        <v>-379.17721290322578</v>
      </c>
      <c r="Q1446" s="32">
        <f t="shared" si="1072"/>
        <v>-379.17721290322578</v>
      </c>
      <c r="R1446" s="32">
        <f t="shared" si="1072"/>
        <v>-385.62882580645157</v>
      </c>
      <c r="S1446" s="32">
        <f t="shared" si="1072"/>
        <v>-383.8223741935484</v>
      </c>
      <c r="T1446" s="32"/>
      <c r="U1446" s="32"/>
      <c r="V1446" s="32"/>
      <c r="W1446" s="32">
        <f>+W1441-W$833</f>
        <v>-379.17721290322578</v>
      </c>
      <c r="Y1446" s="390"/>
      <c r="Z1446" s="390"/>
      <c r="AA1446" s="390"/>
      <c r="AB1446" s="390"/>
      <c r="AC1446" s="390"/>
      <c r="AD1446" s="390"/>
      <c r="AE1446" s="390"/>
      <c r="AF1446" s="390"/>
      <c r="AG1446" s="390"/>
      <c r="AH1446" s="390"/>
      <c r="AI1446" s="390"/>
      <c r="AJ1446" s="390"/>
      <c r="AK1446" s="390"/>
      <c r="AL1446" s="390"/>
      <c r="AM1446" s="390"/>
      <c r="AN1446" s="390"/>
      <c r="AO1446" s="390"/>
      <c r="AP1446" s="390"/>
      <c r="AQ1446" s="390"/>
      <c r="AR1446" s="390"/>
      <c r="AS1446" s="390"/>
    </row>
    <row r="1447" spans="2:45" x14ac:dyDescent="0.3">
      <c r="B1447" s="63" t="s">
        <v>105</v>
      </c>
      <c r="C1447" s="64"/>
      <c r="D1447" s="31">
        <f>+D1442-D$833</f>
        <v>-380.62882580645157</v>
      </c>
      <c r="E1447" s="32">
        <f t="shared" ref="E1447:S1447" si="1073">+E1442-E$833</f>
        <v>-392.01592258064517</v>
      </c>
      <c r="F1447" s="32">
        <f t="shared" si="1073"/>
        <v>-397.79011612903224</v>
      </c>
      <c r="G1447" s="32">
        <f t="shared" si="1073"/>
        <v>-386.20947096774194</v>
      </c>
      <c r="H1447" s="32">
        <f t="shared" si="1073"/>
        <v>-382.69334193548383</v>
      </c>
      <c r="I1447" s="32">
        <f t="shared" si="1073"/>
        <v>-386.88689032258065</v>
      </c>
      <c r="J1447" s="32">
        <f t="shared" si="1073"/>
        <v>-392.98366451612901</v>
      </c>
      <c r="K1447" s="32">
        <f t="shared" si="1073"/>
        <v>-389.4352774193548</v>
      </c>
      <c r="L1447" s="32">
        <f t="shared" si="1073"/>
        <v>-390.72559999999999</v>
      </c>
      <c r="M1447" s="32">
        <f t="shared" si="1073"/>
        <v>-380.88689032258065</v>
      </c>
      <c r="N1447" s="32">
        <f t="shared" si="1073"/>
        <v>-382.95140645161291</v>
      </c>
      <c r="O1447" s="32">
        <f t="shared" si="1073"/>
        <v>-387.20947096774194</v>
      </c>
      <c r="P1447" s="32">
        <f t="shared" si="1073"/>
        <v>-378.17721290322578</v>
      </c>
      <c r="Q1447" s="32">
        <f t="shared" si="1073"/>
        <v>-378.17721290322578</v>
      </c>
      <c r="R1447" s="32">
        <f t="shared" si="1073"/>
        <v>-384.62882580645157</v>
      </c>
      <c r="S1447" s="32">
        <f t="shared" si="1073"/>
        <v>-382.8223741935484</v>
      </c>
      <c r="T1447" s="32"/>
      <c r="U1447" s="32"/>
      <c r="V1447" s="32"/>
      <c r="W1447" s="32">
        <f>+W1442-W$833</f>
        <v>-378.17721290322578</v>
      </c>
      <c r="Y1447" s="390"/>
      <c r="Z1447" s="390"/>
      <c r="AA1447" s="390"/>
      <c r="AB1447" s="390"/>
      <c r="AC1447" s="390"/>
      <c r="AD1447" s="390"/>
      <c r="AE1447" s="390"/>
      <c r="AF1447" s="390"/>
      <c r="AG1447" s="390"/>
      <c r="AH1447" s="390"/>
      <c r="AI1447" s="390"/>
      <c r="AJ1447" s="390"/>
      <c r="AK1447" s="390"/>
      <c r="AL1447" s="390"/>
      <c r="AM1447" s="390"/>
      <c r="AN1447" s="390"/>
      <c r="AO1447" s="390"/>
      <c r="AP1447" s="390"/>
      <c r="AQ1447" s="390"/>
      <c r="AR1447" s="390"/>
      <c r="AS1447" s="390"/>
    </row>
    <row r="1448" spans="2:45" x14ac:dyDescent="0.3">
      <c r="B1448" s="63" t="s">
        <v>75</v>
      </c>
      <c r="C1448" s="64"/>
      <c r="D1448" s="31">
        <f>+D1443-D$833</f>
        <v>-378.62882580645157</v>
      </c>
      <c r="E1448" s="32">
        <f t="shared" ref="E1448:S1448" si="1074">+E1443-E$833</f>
        <v>-390.01592258064517</v>
      </c>
      <c r="F1448" s="32">
        <f t="shared" si="1074"/>
        <v>-395.79011612903224</v>
      </c>
      <c r="G1448" s="32">
        <f t="shared" si="1074"/>
        <v>-384.20947096774194</v>
      </c>
      <c r="H1448" s="32">
        <f t="shared" si="1074"/>
        <v>-380.69334193548383</v>
      </c>
      <c r="I1448" s="32">
        <f t="shared" si="1074"/>
        <v>-384.88689032258065</v>
      </c>
      <c r="J1448" s="32">
        <f t="shared" si="1074"/>
        <v>-390.98366451612901</v>
      </c>
      <c r="K1448" s="32">
        <f t="shared" si="1074"/>
        <v>-387.4352774193548</v>
      </c>
      <c r="L1448" s="32">
        <f t="shared" si="1074"/>
        <v>-388.72559999999999</v>
      </c>
      <c r="M1448" s="32">
        <f t="shared" si="1074"/>
        <v>-378.88689032258065</v>
      </c>
      <c r="N1448" s="32">
        <f t="shared" si="1074"/>
        <v>-380.95140645161291</v>
      </c>
      <c r="O1448" s="32">
        <f t="shared" si="1074"/>
        <v>-385.20947096774194</v>
      </c>
      <c r="P1448" s="32">
        <f t="shared" si="1074"/>
        <v>-376.17721290322578</v>
      </c>
      <c r="Q1448" s="32">
        <f t="shared" si="1074"/>
        <v>-376.17721290322578</v>
      </c>
      <c r="R1448" s="32">
        <f t="shared" si="1074"/>
        <v>-382.62882580645157</v>
      </c>
      <c r="S1448" s="32">
        <f t="shared" si="1074"/>
        <v>-380.8223741935484</v>
      </c>
      <c r="T1448" s="32"/>
      <c r="U1448" s="32"/>
      <c r="V1448" s="32"/>
      <c r="W1448" s="32">
        <f>+W1443-W$833</f>
        <v>-376.17721290322578</v>
      </c>
      <c r="Y1448" s="390"/>
      <c r="Z1448" s="390"/>
      <c r="AA1448" s="390"/>
      <c r="AB1448" s="390"/>
      <c r="AC1448" s="390"/>
      <c r="AD1448" s="390"/>
      <c r="AE1448" s="390"/>
      <c r="AF1448" s="390"/>
      <c r="AG1448" s="390"/>
      <c r="AH1448" s="390"/>
      <c r="AI1448" s="390"/>
      <c r="AJ1448" s="390"/>
      <c r="AK1448" s="390"/>
      <c r="AL1448" s="390"/>
      <c r="AM1448" s="390"/>
      <c r="AN1448" s="390"/>
      <c r="AO1448" s="390"/>
      <c r="AP1448" s="390"/>
      <c r="AQ1448" s="390"/>
      <c r="AR1448" s="390"/>
      <c r="AS1448" s="390"/>
    </row>
    <row r="1449" spans="2:45" x14ac:dyDescent="0.3">
      <c r="B1449" s="63" t="s">
        <v>76</v>
      </c>
      <c r="C1449" s="64"/>
      <c r="D1449" s="31">
        <f>+D1444-D$833</f>
        <v>-374.62882580645157</v>
      </c>
      <c r="E1449" s="34">
        <f t="shared" ref="E1449:S1449" si="1075">+E1444-E$833</f>
        <v>-386.01592258064517</v>
      </c>
      <c r="F1449" s="34">
        <f t="shared" si="1075"/>
        <v>-391.79011612903224</v>
      </c>
      <c r="G1449" s="34">
        <f t="shared" si="1075"/>
        <v>-380.20947096774194</v>
      </c>
      <c r="H1449" s="34">
        <f t="shared" si="1075"/>
        <v>-376.69334193548383</v>
      </c>
      <c r="I1449" s="34">
        <f t="shared" si="1075"/>
        <v>-380.88689032258065</v>
      </c>
      <c r="J1449" s="34">
        <f t="shared" si="1075"/>
        <v>-386.98366451612901</v>
      </c>
      <c r="K1449" s="34">
        <f t="shared" si="1075"/>
        <v>-383.4352774193548</v>
      </c>
      <c r="L1449" s="34">
        <f t="shared" si="1075"/>
        <v>-384.72559999999999</v>
      </c>
      <c r="M1449" s="34">
        <f t="shared" si="1075"/>
        <v>-374.88689032258065</v>
      </c>
      <c r="N1449" s="34">
        <f t="shared" si="1075"/>
        <v>-376.95140645161291</v>
      </c>
      <c r="O1449" s="34">
        <f t="shared" si="1075"/>
        <v>-381.20947096774194</v>
      </c>
      <c r="P1449" s="34">
        <f t="shared" si="1075"/>
        <v>-372.17721290322578</v>
      </c>
      <c r="Q1449" s="34">
        <f t="shared" si="1075"/>
        <v>-372.17721290322578</v>
      </c>
      <c r="R1449" s="34">
        <f t="shared" si="1075"/>
        <v>-378.62882580645157</v>
      </c>
      <c r="S1449" s="34">
        <f t="shared" si="1075"/>
        <v>-376.8223741935484</v>
      </c>
      <c r="T1449" s="34"/>
      <c r="U1449" s="34"/>
      <c r="V1449" s="34"/>
      <c r="W1449" s="34">
        <f>+W1444-W$833</f>
        <v>-372.17721290322578</v>
      </c>
      <c r="Y1449" s="390"/>
      <c r="Z1449" s="390"/>
      <c r="AA1449" s="390"/>
      <c r="AB1449" s="390"/>
      <c r="AC1449" s="390"/>
      <c r="AD1449" s="390"/>
      <c r="AE1449" s="390"/>
      <c r="AF1449" s="390"/>
      <c r="AG1449" s="390"/>
      <c r="AH1449" s="390"/>
      <c r="AI1449" s="390"/>
      <c r="AJ1449" s="390"/>
      <c r="AK1449" s="390"/>
      <c r="AL1449" s="390"/>
      <c r="AM1449" s="390"/>
      <c r="AN1449" s="390"/>
      <c r="AO1449" s="390"/>
      <c r="AP1449" s="390"/>
      <c r="AQ1449" s="390"/>
      <c r="AR1449" s="390"/>
      <c r="AS1449" s="390"/>
    </row>
    <row r="1450" spans="2:45" x14ac:dyDescent="0.3">
      <c r="B1450" s="65" t="s">
        <v>108</v>
      </c>
      <c r="C1450" s="64"/>
      <c r="D1450" s="105">
        <f>+D1445/D$835</f>
        <v>-0.93097037909112301</v>
      </c>
      <c r="E1450" s="105">
        <f t="shared" ref="E1450:S1450" si="1076">+E1445/E$835</f>
        <v>-0.92928283627510655</v>
      </c>
      <c r="F1450" s="105">
        <f t="shared" si="1076"/>
        <v>-0.92974445611402845</v>
      </c>
      <c r="G1450" s="105">
        <f t="shared" si="1076"/>
        <v>-0.92873079178885631</v>
      </c>
      <c r="H1450" s="105">
        <f t="shared" si="1076"/>
        <v>-0.93146087635710373</v>
      </c>
      <c r="I1450" s="105">
        <f t="shared" si="1076"/>
        <v>-0.93258247079755552</v>
      </c>
      <c r="J1450" s="105">
        <f t="shared" si="1076"/>
        <v>-0.93156524650030426</v>
      </c>
      <c r="K1450" s="105">
        <f t="shared" si="1076"/>
        <v>-0.92977500574668603</v>
      </c>
      <c r="L1450" s="105">
        <f t="shared" si="1076"/>
        <v>-0.93062938388625593</v>
      </c>
      <c r="M1450" s="105">
        <f t="shared" si="1076"/>
        <v>-0.93159827329095046</v>
      </c>
      <c r="N1450" s="105">
        <f t="shared" si="1076"/>
        <v>-0.93208572990705307</v>
      </c>
      <c r="O1450" s="105">
        <f t="shared" si="1076"/>
        <v>-0.93112313628646393</v>
      </c>
      <c r="P1450" s="105">
        <f t="shared" si="1076"/>
        <v>-0.92952863790519746</v>
      </c>
      <c r="Q1450" s="105">
        <f t="shared" si="1076"/>
        <v>-0.92952863790519746</v>
      </c>
      <c r="R1450" s="105">
        <f t="shared" si="1076"/>
        <v>-0.93163572483482304</v>
      </c>
      <c r="S1450" s="105">
        <f t="shared" si="1076"/>
        <v>-0.9317733031320784</v>
      </c>
      <c r="T1450" s="34"/>
      <c r="U1450" s="34"/>
      <c r="V1450" s="34"/>
      <c r="W1450" s="105">
        <f>+W1445/W$835</f>
        <v>-0.92952863790519746</v>
      </c>
      <c r="Y1450" s="390"/>
      <c r="Z1450" s="390"/>
      <c r="AA1450" s="390"/>
      <c r="AB1450" s="390"/>
      <c r="AC1450" s="390"/>
      <c r="AD1450" s="390"/>
      <c r="AE1450" s="390"/>
      <c r="AF1450" s="390"/>
      <c r="AG1450" s="390"/>
      <c r="AH1450" s="390"/>
      <c r="AI1450" s="390"/>
      <c r="AJ1450" s="390"/>
      <c r="AK1450" s="390"/>
      <c r="AL1450" s="390"/>
      <c r="AM1450" s="390"/>
      <c r="AN1450" s="390"/>
      <c r="AO1450" s="390"/>
      <c r="AP1450" s="390"/>
      <c r="AQ1450" s="390"/>
      <c r="AR1450" s="390"/>
      <c r="AS1450" s="390"/>
    </row>
    <row r="1451" spans="2:45" x14ac:dyDescent="0.3">
      <c r="B1451" s="65" t="s">
        <v>107</v>
      </c>
      <c r="C1451" s="66"/>
      <c r="D1451" s="35">
        <f>+D1446/D$836</f>
        <v>-0.91737698511166244</v>
      </c>
      <c r="E1451" s="35">
        <f t="shared" ref="E1451:S1451" si="1077">+E1446/E$836</f>
        <v>-0.91612103165651559</v>
      </c>
      <c r="F1451" s="35">
        <f t="shared" si="1077"/>
        <v>-0.91675888765294766</v>
      </c>
      <c r="G1451" s="35">
        <f t="shared" si="1077"/>
        <v>-0.91538882025470902</v>
      </c>
      <c r="H1451" s="35">
        <f t="shared" si="1077"/>
        <v>-0.9179266553480474</v>
      </c>
      <c r="I1451" s="35">
        <f t="shared" si="1077"/>
        <v>-0.91916324720990672</v>
      </c>
      <c r="J1451" s="35">
        <f t="shared" si="1077"/>
        <v>-0.91837684036393707</v>
      </c>
      <c r="K1451" s="35">
        <f t="shared" si="1077"/>
        <v>-0.91651473572618503</v>
      </c>
      <c r="L1451" s="35">
        <f t="shared" si="1077"/>
        <v>-0.91739016393442618</v>
      </c>
      <c r="M1451" s="35">
        <f t="shared" si="1077"/>
        <v>-0.91799733250620352</v>
      </c>
      <c r="N1451" s="35">
        <f t="shared" si="1077"/>
        <v>-0.91854403457323663</v>
      </c>
      <c r="O1451" s="35">
        <f t="shared" si="1077"/>
        <v>-0.91775288644856245</v>
      </c>
      <c r="P1451" s="35">
        <f t="shared" si="1077"/>
        <v>-0.91588698768895116</v>
      </c>
      <c r="Q1451" s="35">
        <f t="shared" si="1077"/>
        <v>-0.91588698768895116</v>
      </c>
      <c r="R1451" s="35">
        <f t="shared" si="1077"/>
        <v>-0.91816387096774188</v>
      </c>
      <c r="S1451" s="35">
        <f t="shared" si="1077"/>
        <v>-0.91823534496064207</v>
      </c>
      <c r="T1451" s="35"/>
      <c r="U1451" s="35"/>
      <c r="V1451" s="35"/>
      <c r="W1451" s="35">
        <f>+W1446/W$836</f>
        <v>-0.91588698768895116</v>
      </c>
      <c r="Y1451" s="390"/>
      <c r="Z1451" s="390"/>
      <c r="AA1451" s="390"/>
      <c r="AB1451" s="390"/>
      <c r="AC1451" s="390"/>
      <c r="AD1451" s="390"/>
      <c r="AE1451" s="390"/>
      <c r="AF1451" s="390"/>
      <c r="AG1451" s="390"/>
      <c r="AH1451" s="390"/>
      <c r="AI1451" s="390"/>
      <c r="AJ1451" s="390"/>
      <c r="AK1451" s="390"/>
      <c r="AL1451" s="390"/>
      <c r="AM1451" s="390"/>
      <c r="AN1451" s="390"/>
      <c r="AO1451" s="390"/>
      <c r="AP1451" s="390"/>
      <c r="AQ1451" s="390"/>
      <c r="AR1451" s="390"/>
      <c r="AS1451" s="390"/>
    </row>
    <row r="1452" spans="2:45" x14ac:dyDescent="0.3">
      <c r="B1452" s="65" t="s">
        <v>106</v>
      </c>
      <c r="C1452" s="66"/>
      <c r="D1452" s="35">
        <f>+D1447/D$837</f>
        <v>-0.90410647459964744</v>
      </c>
      <c r="E1452" s="35">
        <f t="shared" ref="E1452:S1452" si="1078">+E1447/E$837</f>
        <v>-0.9032624944254497</v>
      </c>
      <c r="F1452" s="35">
        <f t="shared" si="1078"/>
        <v>-0.90406844574780054</v>
      </c>
      <c r="G1452" s="35">
        <f t="shared" si="1078"/>
        <v>-0.90235857702743438</v>
      </c>
      <c r="H1452" s="35">
        <f t="shared" si="1078"/>
        <v>-0.90471239228246769</v>
      </c>
      <c r="I1452" s="35">
        <f t="shared" si="1078"/>
        <v>-0.90605829115358472</v>
      </c>
      <c r="J1452" s="35">
        <f t="shared" si="1078"/>
        <v>-0.9054923145532926</v>
      </c>
      <c r="K1452" s="35">
        <f t="shared" si="1078"/>
        <v>-0.90356212858318985</v>
      </c>
      <c r="L1452" s="35">
        <f t="shared" si="1078"/>
        <v>-0.90445740740740732</v>
      </c>
      <c r="M1452" s="35">
        <f t="shared" si="1078"/>
        <v>-0.904719454447935</v>
      </c>
      <c r="N1452" s="35">
        <f t="shared" si="1078"/>
        <v>-0.90532247388088161</v>
      </c>
      <c r="O1452" s="35">
        <f t="shared" si="1078"/>
        <v>-0.90469502562556525</v>
      </c>
      <c r="P1452" s="35">
        <f t="shared" si="1078"/>
        <v>-0.90257091385018084</v>
      </c>
      <c r="Q1452" s="35">
        <f t="shared" si="1078"/>
        <v>-0.90257091385018084</v>
      </c>
      <c r="R1452" s="35">
        <f t="shared" si="1078"/>
        <v>-0.90500900189753308</v>
      </c>
      <c r="S1452" s="35">
        <f t="shared" si="1078"/>
        <v>-0.9050174330816747</v>
      </c>
      <c r="T1452" s="35"/>
      <c r="U1452" s="35"/>
      <c r="V1452" s="35"/>
      <c r="W1452" s="35">
        <f>+W1447/W$837</f>
        <v>-0.90257091385018084</v>
      </c>
      <c r="Y1452" s="390"/>
      <c r="Z1452" s="390"/>
      <c r="AA1452" s="390"/>
      <c r="AB1452" s="390"/>
      <c r="AC1452" s="390"/>
      <c r="AD1452" s="390"/>
      <c r="AE1452" s="390"/>
      <c r="AF1452" s="390"/>
      <c r="AG1452" s="390"/>
      <c r="AH1452" s="390"/>
      <c r="AI1452" s="390"/>
      <c r="AJ1452" s="390"/>
      <c r="AK1452" s="390"/>
      <c r="AL1452" s="390"/>
      <c r="AM1452" s="390"/>
      <c r="AN1452" s="390"/>
      <c r="AO1452" s="390"/>
      <c r="AP1452" s="390"/>
      <c r="AQ1452" s="390"/>
      <c r="AR1452" s="390"/>
      <c r="AS1452" s="390"/>
    </row>
    <row r="1453" spans="2:45" x14ac:dyDescent="0.3">
      <c r="B1453" s="65" t="s">
        <v>77</v>
      </c>
      <c r="C1453" s="66"/>
      <c r="D1453" s="35">
        <f>+D1448/D$838</f>
        <v>-0.88880006057852479</v>
      </c>
      <c r="E1453" s="35">
        <f t="shared" ref="E1453:S1453" si="1079">+E1448/E$838</f>
        <v>-0.88841895804247195</v>
      </c>
      <c r="F1453" s="35">
        <f t="shared" si="1079"/>
        <v>-0.88941599130119608</v>
      </c>
      <c r="G1453" s="35">
        <f t="shared" si="1079"/>
        <v>-0.88731979438277586</v>
      </c>
      <c r="H1453" s="35">
        <f t="shared" si="1079"/>
        <v>-0.88947042508290619</v>
      </c>
      <c r="I1453" s="35">
        <f t="shared" si="1079"/>
        <v>-0.89094187574671446</v>
      </c>
      <c r="J1453" s="35">
        <f t="shared" si="1079"/>
        <v>-0.8906233815857153</v>
      </c>
      <c r="K1453" s="35">
        <f t="shared" si="1079"/>
        <v>-0.88861302160402478</v>
      </c>
      <c r="L1453" s="35">
        <f t="shared" si="1079"/>
        <v>-0.88953226544622421</v>
      </c>
      <c r="M1453" s="35">
        <f t="shared" si="1079"/>
        <v>-0.88940584582765414</v>
      </c>
      <c r="N1453" s="35">
        <f t="shared" si="1079"/>
        <v>-0.89007337955984323</v>
      </c>
      <c r="O1453" s="35">
        <f t="shared" si="1079"/>
        <v>-0.88962926320494673</v>
      </c>
      <c r="P1453" s="35">
        <f t="shared" si="1079"/>
        <v>-0.88721040779062688</v>
      </c>
      <c r="Q1453" s="35">
        <f t="shared" si="1079"/>
        <v>-0.88721040779062688</v>
      </c>
      <c r="R1453" s="35">
        <f t="shared" si="1079"/>
        <v>-0.88983447861965481</v>
      </c>
      <c r="S1453" s="35">
        <f t="shared" si="1079"/>
        <v>-0.88977190232137471</v>
      </c>
      <c r="T1453" s="35"/>
      <c r="U1453" s="35"/>
      <c r="V1453" s="35"/>
      <c r="W1453" s="35">
        <f>+W1448/W$838</f>
        <v>-0.88721040779062688</v>
      </c>
      <c r="Y1453" s="390"/>
      <c r="Z1453" s="390"/>
      <c r="AA1453" s="390"/>
      <c r="AB1453" s="390"/>
      <c r="AC1453" s="390"/>
      <c r="AD1453" s="390"/>
      <c r="AE1453" s="390"/>
      <c r="AF1453" s="390"/>
      <c r="AG1453" s="390"/>
      <c r="AH1453" s="390"/>
      <c r="AI1453" s="390"/>
      <c r="AJ1453" s="390"/>
      <c r="AK1453" s="390"/>
      <c r="AL1453" s="390"/>
      <c r="AM1453" s="390"/>
      <c r="AN1453" s="390"/>
      <c r="AO1453" s="390"/>
      <c r="AP1453" s="390"/>
      <c r="AQ1453" s="390"/>
      <c r="AR1453" s="390"/>
      <c r="AS1453" s="390"/>
    </row>
    <row r="1454" spans="2:45" x14ac:dyDescent="0.3">
      <c r="B1454" s="65" t="s">
        <v>78</v>
      </c>
      <c r="C1454" s="66"/>
      <c r="D1454" s="35" t="e">
        <f>+D1449/#REF!</f>
        <v>#REF!</v>
      </c>
      <c r="E1454" s="35" t="e">
        <f>+E1449/#REF!</f>
        <v>#REF!</v>
      </c>
      <c r="F1454" s="35" t="e">
        <f>+F1449/#REF!</f>
        <v>#REF!</v>
      </c>
      <c r="G1454" s="35" t="e">
        <f>+G1449/#REF!</f>
        <v>#REF!</v>
      </c>
      <c r="H1454" s="35" t="e">
        <f>+H1449/#REF!</f>
        <v>#REF!</v>
      </c>
      <c r="I1454" s="35" t="e">
        <f>+I1449/#REF!</f>
        <v>#REF!</v>
      </c>
      <c r="J1454" s="35" t="e">
        <f>+J1449/#REF!</f>
        <v>#REF!</v>
      </c>
      <c r="K1454" s="35" t="e">
        <f>+K1449/#REF!</f>
        <v>#REF!</v>
      </c>
      <c r="L1454" s="35" t="e">
        <f>+L1449/#REF!</f>
        <v>#REF!</v>
      </c>
      <c r="M1454" s="35" t="e">
        <f>+M1449/#REF!</f>
        <v>#REF!</v>
      </c>
      <c r="N1454" s="35" t="e">
        <f>+N1449/#REF!</f>
        <v>#REF!</v>
      </c>
      <c r="O1454" s="35" t="e">
        <f>+O1449/#REF!</f>
        <v>#REF!</v>
      </c>
      <c r="P1454" s="35" t="e">
        <f>+P1449/#REF!</f>
        <v>#REF!</v>
      </c>
      <c r="Q1454" s="35" t="e">
        <f>+Q1449/#REF!</f>
        <v>#REF!</v>
      </c>
      <c r="R1454" s="35" t="e">
        <f>+R1449/#REF!</f>
        <v>#REF!</v>
      </c>
      <c r="S1454" s="35" t="e">
        <f>+S1449/#REF!</f>
        <v>#REF!</v>
      </c>
      <c r="T1454" s="35"/>
      <c r="U1454" s="35"/>
      <c r="V1454" s="35"/>
      <c r="W1454" s="35" t="e">
        <f>+W1449/#REF!</f>
        <v>#REF!</v>
      </c>
      <c r="Y1454" s="390"/>
      <c r="Z1454" s="390"/>
      <c r="AA1454" s="390"/>
      <c r="AB1454" s="390"/>
      <c r="AC1454" s="390"/>
      <c r="AD1454" s="390"/>
      <c r="AE1454" s="390"/>
      <c r="AF1454" s="390"/>
      <c r="AG1454" s="390"/>
      <c r="AH1454" s="390"/>
      <c r="AI1454" s="390"/>
      <c r="AJ1454" s="390"/>
      <c r="AK1454" s="390"/>
      <c r="AL1454" s="390"/>
      <c r="AM1454" s="390"/>
      <c r="AN1454" s="390"/>
      <c r="AO1454" s="390"/>
      <c r="AP1454" s="390"/>
      <c r="AQ1454" s="390"/>
      <c r="AR1454" s="390"/>
      <c r="AS1454" s="390"/>
    </row>
    <row r="1455" spans="2:45" ht="21" thickBot="1" x14ac:dyDescent="0.35">
      <c r="Y1455" s="390"/>
      <c r="Z1455" s="390"/>
      <c r="AA1455" s="390"/>
      <c r="AB1455" s="390"/>
      <c r="AC1455" s="390"/>
      <c r="AD1455" s="390"/>
      <c r="AE1455" s="390"/>
      <c r="AF1455" s="390"/>
      <c r="AG1455" s="390"/>
      <c r="AH1455" s="390"/>
      <c r="AI1455" s="390"/>
      <c r="AJ1455" s="390"/>
      <c r="AK1455" s="390"/>
      <c r="AL1455" s="390"/>
      <c r="AM1455" s="390"/>
      <c r="AN1455" s="390"/>
      <c r="AO1455" s="390"/>
      <c r="AP1455" s="390"/>
      <c r="AQ1455" s="390"/>
      <c r="AR1455" s="390"/>
      <c r="AS1455" s="390"/>
    </row>
    <row r="1456" spans="2:45" ht="21" thickBot="1" x14ac:dyDescent="0.35">
      <c r="B1456" s="223"/>
      <c r="C1456" s="68"/>
      <c r="D1456" s="17" t="s">
        <v>5</v>
      </c>
      <c r="E1456" s="18" t="s">
        <v>6</v>
      </c>
      <c r="F1456" s="18" t="s">
        <v>7</v>
      </c>
      <c r="G1456" s="18" t="s">
        <v>8</v>
      </c>
      <c r="H1456" s="18" t="s">
        <v>9</v>
      </c>
      <c r="I1456" s="18" t="s">
        <v>10</v>
      </c>
      <c r="J1456" s="18" t="s">
        <v>11</v>
      </c>
      <c r="K1456" s="18" t="s">
        <v>12</v>
      </c>
      <c r="L1456" s="18" t="s">
        <v>13</v>
      </c>
      <c r="M1456" s="18" t="s">
        <v>14</v>
      </c>
      <c r="N1456" s="18" t="s">
        <v>15</v>
      </c>
      <c r="O1456" s="18" t="s">
        <v>16</v>
      </c>
      <c r="P1456" s="18" t="s">
        <v>17</v>
      </c>
      <c r="Q1456" s="18" t="s">
        <v>18</v>
      </c>
      <c r="R1456" s="18" t="s">
        <v>19</v>
      </c>
      <c r="S1456" s="18" t="s">
        <v>20</v>
      </c>
      <c r="T1456" s="18" t="s">
        <v>21</v>
      </c>
      <c r="U1456" s="18" t="s">
        <v>22</v>
      </c>
      <c r="V1456" s="18" t="s">
        <v>23</v>
      </c>
      <c r="W1456" s="18" t="s">
        <v>166</v>
      </c>
      <c r="Y1456" s="390"/>
      <c r="Z1456" s="390"/>
      <c r="AA1456" s="390"/>
      <c r="AB1456" s="390"/>
      <c r="AC1456" s="390"/>
      <c r="AD1456" s="390"/>
      <c r="AE1456" s="390"/>
      <c r="AF1456" s="390"/>
      <c r="AG1456" s="390"/>
      <c r="AH1456" s="390"/>
      <c r="AI1456" s="390"/>
      <c r="AJ1456" s="390"/>
      <c r="AK1456" s="390"/>
      <c r="AL1456" s="390"/>
      <c r="AM1456" s="390"/>
      <c r="AN1456" s="390"/>
      <c r="AO1456" s="390"/>
      <c r="AP1456" s="390"/>
      <c r="AQ1456" s="390"/>
      <c r="AR1456" s="390"/>
      <c r="AS1456" s="390"/>
    </row>
    <row r="1457" spans="2:45" x14ac:dyDescent="0.3">
      <c r="B1457" s="222" t="s">
        <v>50</v>
      </c>
      <c r="C1457" s="7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Y1457" s="390"/>
      <c r="Z1457" s="390"/>
      <c r="AA1457" s="390"/>
      <c r="AB1457" s="390"/>
      <c r="AC1457" s="390"/>
      <c r="AD1457" s="390"/>
      <c r="AE1457" s="390"/>
      <c r="AF1457" s="390"/>
      <c r="AG1457" s="390"/>
      <c r="AH1457" s="390"/>
      <c r="AI1457" s="390"/>
      <c r="AJ1457" s="390"/>
      <c r="AK1457" s="390"/>
      <c r="AL1457" s="390"/>
      <c r="AM1457" s="390"/>
      <c r="AN1457" s="390"/>
      <c r="AO1457" s="390"/>
      <c r="AP1457" s="390"/>
      <c r="AQ1457" s="390"/>
      <c r="AR1457" s="390"/>
      <c r="AS1457" s="390"/>
    </row>
    <row r="1458" spans="2:45" x14ac:dyDescent="0.3">
      <c r="B1458" s="54" t="s">
        <v>51</v>
      </c>
      <c r="C1458" s="55"/>
      <c r="D1458" s="322"/>
      <c r="E1458" s="322"/>
      <c r="F1458" s="322"/>
      <c r="G1458" s="322"/>
      <c r="H1458" s="322"/>
      <c r="I1458" s="322"/>
      <c r="J1458" s="322"/>
      <c r="K1458" s="322"/>
      <c r="L1458" s="322"/>
      <c r="M1458" s="322"/>
      <c r="N1458" s="322"/>
      <c r="O1458" s="322"/>
      <c r="P1458" s="322"/>
      <c r="Q1458" s="322"/>
      <c r="R1458" s="322"/>
      <c r="S1458" s="322"/>
      <c r="T1458" s="218"/>
      <c r="U1458" s="218"/>
      <c r="V1458" s="218"/>
      <c r="W1458" s="322"/>
      <c r="Y1458" s="390"/>
      <c r="Z1458" s="390"/>
      <c r="AA1458" s="390"/>
      <c r="AB1458" s="390"/>
      <c r="AC1458" s="390"/>
      <c r="AD1458" s="390"/>
      <c r="AE1458" s="390"/>
      <c r="AF1458" s="390"/>
      <c r="AG1458" s="390"/>
      <c r="AH1458" s="390"/>
      <c r="AI1458" s="390"/>
      <c r="AJ1458" s="390"/>
      <c r="AK1458" s="390"/>
      <c r="AL1458" s="390"/>
      <c r="AM1458" s="390"/>
      <c r="AN1458" s="390"/>
      <c r="AO1458" s="390"/>
      <c r="AP1458" s="390"/>
      <c r="AQ1458" s="390"/>
      <c r="AR1458" s="390"/>
      <c r="AS1458" s="390"/>
    </row>
    <row r="1459" spans="2:45" x14ac:dyDescent="0.3">
      <c r="B1459" s="54" t="s">
        <v>56</v>
      </c>
      <c r="C1459" s="55"/>
      <c r="D1459" s="21"/>
      <c r="E1459" s="21"/>
      <c r="F1459" s="21"/>
      <c r="G1459" s="21"/>
      <c r="H1459" s="21"/>
      <c r="I1459" s="21"/>
      <c r="J1459" s="21"/>
      <c r="K1459" s="21"/>
      <c r="L1459" s="21"/>
      <c r="M1459" s="21"/>
      <c r="N1459" s="21"/>
      <c r="O1459" s="21"/>
      <c r="P1459" s="21"/>
      <c r="Q1459" s="21"/>
      <c r="R1459" s="21"/>
      <c r="S1459" s="21"/>
      <c r="T1459" s="21"/>
      <c r="U1459" s="21"/>
      <c r="V1459" s="21"/>
      <c r="W1459" s="21"/>
      <c r="Y1459" s="390"/>
      <c r="Z1459" s="390"/>
      <c r="AA1459" s="390"/>
      <c r="AB1459" s="390"/>
      <c r="AC1459" s="390"/>
      <c r="AD1459" s="390"/>
      <c r="AE1459" s="390"/>
      <c r="AF1459" s="390"/>
      <c r="AG1459" s="390"/>
      <c r="AH1459" s="390"/>
      <c r="AI1459" s="390"/>
      <c r="AJ1459" s="390"/>
      <c r="AK1459" s="390"/>
      <c r="AL1459" s="390"/>
      <c r="AM1459" s="390"/>
      <c r="AN1459" s="390"/>
      <c r="AO1459" s="390"/>
      <c r="AP1459" s="390"/>
      <c r="AQ1459" s="390"/>
      <c r="AR1459" s="390"/>
      <c r="AS1459" s="390"/>
    </row>
    <row r="1460" spans="2:45" x14ac:dyDescent="0.3">
      <c r="B1460" s="177" t="s">
        <v>67</v>
      </c>
      <c r="C1460" s="178"/>
      <c r="D1460" s="323"/>
      <c r="E1460" s="323"/>
      <c r="F1460" s="323"/>
      <c r="G1460" s="323"/>
      <c r="H1460" s="323"/>
      <c r="I1460" s="323"/>
      <c r="J1460" s="323"/>
      <c r="K1460" s="323"/>
      <c r="L1460" s="323"/>
      <c r="M1460" s="323"/>
      <c r="N1460" s="323"/>
      <c r="O1460" s="323"/>
      <c r="P1460" s="323"/>
      <c r="Q1460" s="323"/>
      <c r="R1460" s="323"/>
      <c r="S1460" s="323"/>
      <c r="T1460" s="323"/>
      <c r="U1460" s="323"/>
      <c r="V1460" s="323"/>
      <c r="W1460" s="323"/>
      <c r="Y1460" s="390"/>
      <c r="Z1460" s="390"/>
      <c r="AA1460" s="390"/>
      <c r="AB1460" s="390"/>
      <c r="AC1460" s="390"/>
      <c r="AD1460" s="390"/>
      <c r="AE1460" s="390"/>
      <c r="AF1460" s="390"/>
      <c r="AG1460" s="390"/>
      <c r="AH1460" s="390"/>
      <c r="AI1460" s="390"/>
      <c r="AJ1460" s="390"/>
      <c r="AK1460" s="390"/>
      <c r="AL1460" s="390"/>
      <c r="AM1460" s="390"/>
      <c r="AN1460" s="390"/>
      <c r="AO1460" s="390"/>
      <c r="AP1460" s="390"/>
      <c r="AQ1460" s="390"/>
      <c r="AR1460" s="390"/>
      <c r="AS1460" s="390"/>
    </row>
    <row r="1461" spans="2:45" x14ac:dyDescent="0.3">
      <c r="B1461" s="54" t="s">
        <v>66</v>
      </c>
      <c r="C1461" s="56">
        <v>7.0000000000000007E-2</v>
      </c>
      <c r="D1461" s="24">
        <f>D1460*$C1461</f>
        <v>0</v>
      </c>
      <c r="E1461" s="24">
        <f t="shared" ref="E1461:W1461" si="1080">E1460*$C1461</f>
        <v>0</v>
      </c>
      <c r="F1461" s="24">
        <f t="shared" si="1080"/>
        <v>0</v>
      </c>
      <c r="G1461" s="24">
        <f t="shared" si="1080"/>
        <v>0</v>
      </c>
      <c r="H1461" s="24">
        <f t="shared" si="1080"/>
        <v>0</v>
      </c>
      <c r="I1461" s="24">
        <f t="shared" si="1080"/>
        <v>0</v>
      </c>
      <c r="J1461" s="24">
        <f t="shared" si="1080"/>
        <v>0</v>
      </c>
      <c r="K1461" s="24">
        <f t="shared" si="1080"/>
        <v>0</v>
      </c>
      <c r="L1461" s="24">
        <f t="shared" si="1080"/>
        <v>0</v>
      </c>
      <c r="M1461" s="24">
        <f t="shared" si="1080"/>
        <v>0</v>
      </c>
      <c r="N1461" s="24">
        <f t="shared" si="1080"/>
        <v>0</v>
      </c>
      <c r="O1461" s="24">
        <f t="shared" si="1080"/>
        <v>0</v>
      </c>
      <c r="P1461" s="24">
        <f t="shared" si="1080"/>
        <v>0</v>
      </c>
      <c r="Q1461" s="24">
        <f t="shared" si="1080"/>
        <v>0</v>
      </c>
      <c r="R1461" s="24">
        <f t="shared" si="1080"/>
        <v>0</v>
      </c>
      <c r="S1461" s="24">
        <f t="shared" si="1080"/>
        <v>0</v>
      </c>
      <c r="T1461" s="24">
        <f t="shared" si="1080"/>
        <v>0</v>
      </c>
      <c r="U1461" s="24">
        <f t="shared" si="1080"/>
        <v>0</v>
      </c>
      <c r="V1461" s="24">
        <f t="shared" si="1080"/>
        <v>0</v>
      </c>
      <c r="W1461" s="24">
        <f t="shared" si="1080"/>
        <v>0</v>
      </c>
      <c r="Y1461" s="390"/>
      <c r="Z1461" s="390"/>
      <c r="AA1461" s="390"/>
      <c r="AB1461" s="390"/>
      <c r="AC1461" s="390"/>
      <c r="AD1461" s="390"/>
      <c r="AE1461" s="390"/>
      <c r="AF1461" s="390"/>
      <c r="AG1461" s="390"/>
      <c r="AH1461" s="390"/>
      <c r="AI1461" s="390"/>
      <c r="AJ1461" s="390"/>
      <c r="AK1461" s="390"/>
      <c r="AL1461" s="390"/>
      <c r="AM1461" s="390"/>
      <c r="AN1461" s="390"/>
      <c r="AO1461" s="390"/>
      <c r="AP1461" s="390"/>
      <c r="AQ1461" s="390"/>
      <c r="AR1461" s="390"/>
      <c r="AS1461" s="390"/>
    </row>
    <row r="1462" spans="2:45" x14ac:dyDescent="0.3">
      <c r="B1462" s="54" t="s">
        <v>68</v>
      </c>
      <c r="C1462" s="55"/>
      <c r="D1462" s="21">
        <f>D1460+D1461</f>
        <v>0</v>
      </c>
      <c r="E1462" s="21">
        <f t="shared" ref="E1462:W1462" si="1081">E1460+E1461</f>
        <v>0</v>
      </c>
      <c r="F1462" s="21">
        <f t="shared" si="1081"/>
        <v>0</v>
      </c>
      <c r="G1462" s="21">
        <f t="shared" si="1081"/>
        <v>0</v>
      </c>
      <c r="H1462" s="21">
        <f t="shared" si="1081"/>
        <v>0</v>
      </c>
      <c r="I1462" s="21">
        <f t="shared" si="1081"/>
        <v>0</v>
      </c>
      <c r="J1462" s="21">
        <f t="shared" si="1081"/>
        <v>0</v>
      </c>
      <c r="K1462" s="21">
        <f t="shared" si="1081"/>
        <v>0</v>
      </c>
      <c r="L1462" s="21">
        <f t="shared" si="1081"/>
        <v>0</v>
      </c>
      <c r="M1462" s="21">
        <f t="shared" si="1081"/>
        <v>0</v>
      </c>
      <c r="N1462" s="21">
        <f t="shared" si="1081"/>
        <v>0</v>
      </c>
      <c r="O1462" s="21">
        <f t="shared" si="1081"/>
        <v>0</v>
      </c>
      <c r="P1462" s="21">
        <f t="shared" si="1081"/>
        <v>0</v>
      </c>
      <c r="Q1462" s="21">
        <f t="shared" si="1081"/>
        <v>0</v>
      </c>
      <c r="R1462" s="21">
        <f t="shared" si="1081"/>
        <v>0</v>
      </c>
      <c r="S1462" s="21">
        <f t="shared" si="1081"/>
        <v>0</v>
      </c>
      <c r="T1462" s="21">
        <f t="shared" si="1081"/>
        <v>0</v>
      </c>
      <c r="U1462" s="21">
        <f t="shared" si="1081"/>
        <v>0</v>
      </c>
      <c r="V1462" s="21">
        <f t="shared" si="1081"/>
        <v>0</v>
      </c>
      <c r="W1462" s="21">
        <f t="shared" si="1081"/>
        <v>0</v>
      </c>
      <c r="Y1462" s="390"/>
      <c r="Z1462" s="390"/>
      <c r="AA1462" s="390"/>
      <c r="AB1462" s="390"/>
      <c r="AC1462" s="390"/>
      <c r="AD1462" s="390"/>
      <c r="AE1462" s="390"/>
      <c r="AF1462" s="390"/>
      <c r="AG1462" s="390"/>
      <c r="AH1462" s="390"/>
      <c r="AI1462" s="390"/>
      <c r="AJ1462" s="390"/>
      <c r="AK1462" s="390"/>
      <c r="AL1462" s="390"/>
      <c r="AM1462" s="390"/>
      <c r="AN1462" s="390"/>
      <c r="AO1462" s="390"/>
      <c r="AP1462" s="390"/>
      <c r="AQ1462" s="390"/>
      <c r="AR1462" s="390"/>
      <c r="AS1462" s="390"/>
    </row>
    <row r="1463" spans="2:45" x14ac:dyDescent="0.3">
      <c r="B1463" s="54" t="s">
        <v>52</v>
      </c>
      <c r="C1463" s="55"/>
      <c r="D1463" s="20">
        <v>0.85000000000000009</v>
      </c>
      <c r="E1463" s="21">
        <v>1.7</v>
      </c>
      <c r="F1463" s="21">
        <v>2.0500000000000003</v>
      </c>
      <c r="G1463" s="21">
        <v>1.1499999999999999</v>
      </c>
      <c r="H1463" s="21">
        <v>0.98</v>
      </c>
      <c r="I1463" s="21">
        <v>0.98</v>
      </c>
      <c r="J1463" s="21">
        <v>1.5999999999999999</v>
      </c>
      <c r="K1463" s="21">
        <v>1.45</v>
      </c>
      <c r="L1463" s="21">
        <v>1.45</v>
      </c>
      <c r="M1463" s="21">
        <v>0.7</v>
      </c>
      <c r="N1463" s="21">
        <v>0.82000000000000006</v>
      </c>
      <c r="O1463" s="21">
        <v>0.98</v>
      </c>
      <c r="P1463" s="21">
        <v>0.59000000000000008</v>
      </c>
      <c r="Q1463" s="21">
        <v>0.59000000000000008</v>
      </c>
      <c r="R1463" s="21">
        <v>0.98</v>
      </c>
      <c r="S1463" s="21">
        <v>0.85000000000000009</v>
      </c>
      <c r="T1463" s="21">
        <v>6.7</v>
      </c>
      <c r="U1463" s="21">
        <v>11.2</v>
      </c>
      <c r="V1463" s="21">
        <v>6.7</v>
      </c>
      <c r="W1463" s="21">
        <v>0.59000000000000008</v>
      </c>
      <c r="Y1463" s="390"/>
      <c r="Z1463" s="390"/>
      <c r="AA1463" s="390"/>
      <c r="AB1463" s="390"/>
      <c r="AC1463" s="390"/>
      <c r="AD1463" s="390"/>
      <c r="AE1463" s="390"/>
      <c r="AF1463" s="390"/>
      <c r="AG1463" s="390"/>
      <c r="AH1463" s="390"/>
      <c r="AI1463" s="390"/>
      <c r="AJ1463" s="390"/>
      <c r="AK1463" s="390"/>
      <c r="AL1463" s="390"/>
      <c r="AM1463" s="390"/>
      <c r="AN1463" s="390"/>
      <c r="AO1463" s="390"/>
      <c r="AP1463" s="390"/>
      <c r="AQ1463" s="390"/>
      <c r="AR1463" s="390"/>
      <c r="AS1463" s="390"/>
    </row>
    <row r="1464" spans="2:45" x14ac:dyDescent="0.3">
      <c r="B1464" s="57" t="s">
        <v>53</v>
      </c>
      <c r="C1464" s="58"/>
      <c r="D1464" s="25">
        <f>SUM(D1462:D1463)</f>
        <v>0.85000000000000009</v>
      </c>
      <c r="E1464" s="26">
        <f t="shared" ref="E1464:W1464" si="1082">SUM(E1462:E1463)</f>
        <v>1.7</v>
      </c>
      <c r="F1464" s="26">
        <f t="shared" si="1082"/>
        <v>2.0500000000000003</v>
      </c>
      <c r="G1464" s="26">
        <f t="shared" si="1082"/>
        <v>1.1499999999999999</v>
      </c>
      <c r="H1464" s="26">
        <f t="shared" si="1082"/>
        <v>0.98</v>
      </c>
      <c r="I1464" s="26">
        <f t="shared" si="1082"/>
        <v>0.98</v>
      </c>
      <c r="J1464" s="26">
        <f t="shared" si="1082"/>
        <v>1.5999999999999999</v>
      </c>
      <c r="K1464" s="26">
        <f t="shared" si="1082"/>
        <v>1.45</v>
      </c>
      <c r="L1464" s="26">
        <f t="shared" si="1082"/>
        <v>1.45</v>
      </c>
      <c r="M1464" s="26">
        <f t="shared" si="1082"/>
        <v>0.7</v>
      </c>
      <c r="N1464" s="26">
        <f t="shared" si="1082"/>
        <v>0.82000000000000006</v>
      </c>
      <c r="O1464" s="26">
        <f t="shared" si="1082"/>
        <v>0.98</v>
      </c>
      <c r="P1464" s="26">
        <f t="shared" si="1082"/>
        <v>0.59000000000000008</v>
      </c>
      <c r="Q1464" s="26">
        <f t="shared" si="1082"/>
        <v>0.59000000000000008</v>
      </c>
      <c r="R1464" s="26">
        <f t="shared" si="1082"/>
        <v>0.98</v>
      </c>
      <c r="S1464" s="26">
        <f t="shared" si="1082"/>
        <v>0.85000000000000009</v>
      </c>
      <c r="T1464" s="26">
        <f t="shared" si="1082"/>
        <v>6.7</v>
      </c>
      <c r="U1464" s="26">
        <f t="shared" si="1082"/>
        <v>11.2</v>
      </c>
      <c r="V1464" s="26">
        <f t="shared" si="1082"/>
        <v>6.7</v>
      </c>
      <c r="W1464" s="26">
        <f t="shared" si="1082"/>
        <v>0.59000000000000008</v>
      </c>
      <c r="Y1464" s="390"/>
      <c r="Z1464" s="390"/>
      <c r="AA1464" s="390"/>
      <c r="AB1464" s="390"/>
      <c r="AC1464" s="390"/>
      <c r="AD1464" s="390"/>
      <c r="AE1464" s="390"/>
      <c r="AF1464" s="390"/>
      <c r="AG1464" s="390"/>
      <c r="AH1464" s="390"/>
      <c r="AI1464" s="390"/>
      <c r="AJ1464" s="390"/>
      <c r="AK1464" s="390"/>
      <c r="AL1464" s="390"/>
      <c r="AM1464" s="390"/>
      <c r="AN1464" s="390"/>
      <c r="AO1464" s="390"/>
      <c r="AP1464" s="390"/>
      <c r="AQ1464" s="390"/>
      <c r="AR1464" s="390"/>
      <c r="AS1464" s="390"/>
    </row>
    <row r="1465" spans="2:45" x14ac:dyDescent="0.3">
      <c r="B1465" s="54" t="s">
        <v>54</v>
      </c>
      <c r="C1465" s="55"/>
      <c r="D1465" s="20"/>
      <c r="E1465" s="21"/>
      <c r="F1465" s="21"/>
      <c r="G1465" s="21"/>
      <c r="H1465" s="21"/>
      <c r="I1465" s="21"/>
      <c r="J1465" s="21"/>
      <c r="K1465" s="21"/>
      <c r="L1465" s="21"/>
      <c r="M1465" s="21"/>
      <c r="N1465" s="21"/>
      <c r="O1465" s="21"/>
      <c r="P1465" s="21"/>
      <c r="Q1465" s="21"/>
      <c r="R1465" s="21"/>
      <c r="S1465" s="21"/>
      <c r="T1465" s="21"/>
      <c r="U1465" s="21"/>
      <c r="V1465" s="21"/>
      <c r="W1465" s="21"/>
      <c r="Y1465" s="390"/>
      <c r="Z1465" s="390"/>
      <c r="AA1465" s="390"/>
      <c r="AB1465" s="390"/>
      <c r="AC1465" s="390"/>
      <c r="AD1465" s="390"/>
      <c r="AE1465" s="390"/>
      <c r="AF1465" s="390"/>
      <c r="AG1465" s="390"/>
      <c r="AH1465" s="390"/>
      <c r="AI1465" s="390"/>
      <c r="AJ1465" s="390"/>
      <c r="AK1465" s="390"/>
      <c r="AL1465" s="390"/>
      <c r="AM1465" s="390"/>
      <c r="AN1465" s="390"/>
      <c r="AO1465" s="390"/>
      <c r="AP1465" s="390"/>
      <c r="AQ1465" s="390"/>
      <c r="AR1465" s="390"/>
      <c r="AS1465" s="390"/>
    </row>
    <row r="1466" spans="2:45" x14ac:dyDescent="0.3">
      <c r="B1466" s="59" t="s">
        <v>55</v>
      </c>
      <c r="C1466" s="60"/>
      <c r="D1466" s="27">
        <f>SUM(D1464:D1465)</f>
        <v>0.85000000000000009</v>
      </c>
      <c r="E1466" s="41">
        <f t="shared" ref="E1466:W1466" si="1083">SUM(E1464:E1465)</f>
        <v>1.7</v>
      </c>
      <c r="F1466" s="41">
        <f t="shared" si="1083"/>
        <v>2.0500000000000003</v>
      </c>
      <c r="G1466" s="41">
        <f t="shared" si="1083"/>
        <v>1.1499999999999999</v>
      </c>
      <c r="H1466" s="41">
        <f t="shared" si="1083"/>
        <v>0.98</v>
      </c>
      <c r="I1466" s="41">
        <f t="shared" si="1083"/>
        <v>0.98</v>
      </c>
      <c r="J1466" s="41">
        <f t="shared" si="1083"/>
        <v>1.5999999999999999</v>
      </c>
      <c r="K1466" s="41">
        <f t="shared" si="1083"/>
        <v>1.45</v>
      </c>
      <c r="L1466" s="41">
        <f t="shared" si="1083"/>
        <v>1.45</v>
      </c>
      <c r="M1466" s="41">
        <f t="shared" si="1083"/>
        <v>0.7</v>
      </c>
      <c r="N1466" s="41">
        <f t="shared" si="1083"/>
        <v>0.82000000000000006</v>
      </c>
      <c r="O1466" s="41">
        <f t="shared" si="1083"/>
        <v>0.98</v>
      </c>
      <c r="P1466" s="41">
        <f t="shared" si="1083"/>
        <v>0.59000000000000008</v>
      </c>
      <c r="Q1466" s="41">
        <f t="shared" si="1083"/>
        <v>0.59000000000000008</v>
      </c>
      <c r="R1466" s="41">
        <f t="shared" si="1083"/>
        <v>0.98</v>
      </c>
      <c r="S1466" s="41">
        <f t="shared" si="1083"/>
        <v>0.85000000000000009</v>
      </c>
      <c r="T1466" s="41">
        <f t="shared" si="1083"/>
        <v>6.7</v>
      </c>
      <c r="U1466" s="41">
        <f t="shared" si="1083"/>
        <v>11.2</v>
      </c>
      <c r="V1466" s="41">
        <f t="shared" si="1083"/>
        <v>6.7</v>
      </c>
      <c r="W1466" s="41">
        <f t="shared" si="1083"/>
        <v>0.59000000000000008</v>
      </c>
      <c r="Y1466" s="390"/>
      <c r="Z1466" s="390"/>
      <c r="AA1466" s="390"/>
      <c r="AB1466" s="390"/>
      <c r="AC1466" s="390"/>
      <c r="AD1466" s="390"/>
      <c r="AE1466" s="390"/>
      <c r="AF1466" s="390"/>
      <c r="AG1466" s="390"/>
      <c r="AH1466" s="390"/>
      <c r="AI1466" s="390"/>
      <c r="AJ1466" s="390"/>
      <c r="AK1466" s="390"/>
      <c r="AL1466" s="390"/>
      <c r="AM1466" s="390"/>
      <c r="AN1466" s="390"/>
      <c r="AO1466" s="390"/>
      <c r="AP1466" s="390"/>
      <c r="AQ1466" s="390"/>
      <c r="AR1466" s="390"/>
      <c r="AS1466" s="390"/>
    </row>
    <row r="1467" spans="2:45" x14ac:dyDescent="0.3">
      <c r="B1467" s="61" t="s">
        <v>101</v>
      </c>
      <c r="C1467" s="55"/>
      <c r="D1467" s="228">
        <f>D1468-1</f>
        <v>3</v>
      </c>
      <c r="E1467" s="229">
        <f t="shared" ref="E1467:S1467" si="1084">E1468-1</f>
        <v>4</v>
      </c>
      <c r="F1467" s="229">
        <f t="shared" si="1084"/>
        <v>5</v>
      </c>
      <c r="G1467" s="229">
        <f t="shared" si="1084"/>
        <v>4</v>
      </c>
      <c r="H1467" s="229">
        <f t="shared" si="1084"/>
        <v>3</v>
      </c>
      <c r="I1467" s="229">
        <f t="shared" si="1084"/>
        <v>3</v>
      </c>
      <c r="J1467" s="229">
        <f t="shared" si="1084"/>
        <v>4</v>
      </c>
      <c r="K1467" s="229">
        <f t="shared" si="1084"/>
        <v>4</v>
      </c>
      <c r="L1467" s="229">
        <f t="shared" si="1084"/>
        <v>4</v>
      </c>
      <c r="M1467" s="229">
        <f t="shared" si="1084"/>
        <v>3</v>
      </c>
      <c r="N1467" s="229">
        <f t="shared" si="1084"/>
        <v>3</v>
      </c>
      <c r="O1467" s="229">
        <f t="shared" si="1084"/>
        <v>3</v>
      </c>
      <c r="P1467" s="229">
        <f t="shared" si="1084"/>
        <v>3</v>
      </c>
      <c r="Q1467" s="229">
        <f t="shared" si="1084"/>
        <v>3</v>
      </c>
      <c r="R1467" s="229">
        <f t="shared" si="1084"/>
        <v>3</v>
      </c>
      <c r="S1467" s="229">
        <f t="shared" si="1084"/>
        <v>3</v>
      </c>
      <c r="T1467" s="21"/>
      <c r="U1467" s="21"/>
      <c r="V1467" s="21"/>
      <c r="W1467" s="229">
        <f>W1468-1</f>
        <v>3</v>
      </c>
      <c r="Y1467" s="390"/>
      <c r="Z1467" s="390"/>
      <c r="AA1467" s="390"/>
      <c r="AB1467" s="390"/>
      <c r="AC1467" s="390"/>
      <c r="AD1467" s="390"/>
      <c r="AE1467" s="390"/>
      <c r="AF1467" s="390"/>
      <c r="AG1467" s="390"/>
      <c r="AH1467" s="390"/>
      <c r="AI1467" s="390"/>
      <c r="AJ1467" s="390"/>
      <c r="AK1467" s="390"/>
      <c r="AL1467" s="390"/>
      <c r="AM1467" s="390"/>
      <c r="AN1467" s="390"/>
      <c r="AO1467" s="390"/>
      <c r="AP1467" s="390"/>
      <c r="AQ1467" s="390"/>
      <c r="AR1467" s="390"/>
      <c r="AS1467" s="390"/>
    </row>
    <row r="1468" spans="2:45" x14ac:dyDescent="0.3">
      <c r="B1468" s="61" t="s">
        <v>194</v>
      </c>
      <c r="C1468" s="62"/>
      <c r="D1468" s="28">
        <f>ROUNDUP((D1466+3),0)</f>
        <v>4</v>
      </c>
      <c r="E1468" s="28">
        <f t="shared" ref="E1468:S1468" si="1085">ROUNDUP((E1466+3),0)</f>
        <v>5</v>
      </c>
      <c r="F1468" s="28">
        <f t="shared" si="1085"/>
        <v>6</v>
      </c>
      <c r="G1468" s="28">
        <f t="shared" si="1085"/>
        <v>5</v>
      </c>
      <c r="H1468" s="28">
        <f t="shared" si="1085"/>
        <v>4</v>
      </c>
      <c r="I1468" s="28">
        <f t="shared" si="1085"/>
        <v>4</v>
      </c>
      <c r="J1468" s="28">
        <f t="shared" si="1085"/>
        <v>5</v>
      </c>
      <c r="K1468" s="28">
        <f t="shared" si="1085"/>
        <v>5</v>
      </c>
      <c r="L1468" s="28">
        <f t="shared" si="1085"/>
        <v>5</v>
      </c>
      <c r="M1468" s="28">
        <f t="shared" si="1085"/>
        <v>4</v>
      </c>
      <c r="N1468" s="28">
        <f t="shared" si="1085"/>
        <v>4</v>
      </c>
      <c r="O1468" s="28">
        <f t="shared" si="1085"/>
        <v>4</v>
      </c>
      <c r="P1468" s="28">
        <f t="shared" si="1085"/>
        <v>4</v>
      </c>
      <c r="Q1468" s="28">
        <f t="shared" si="1085"/>
        <v>4</v>
      </c>
      <c r="R1468" s="28">
        <f t="shared" si="1085"/>
        <v>4</v>
      </c>
      <c r="S1468" s="28">
        <f t="shared" si="1085"/>
        <v>4</v>
      </c>
      <c r="T1468" s="29"/>
      <c r="U1468" s="29"/>
      <c r="V1468" s="29"/>
      <c r="W1468" s="28">
        <f>ROUNDUP((W1466+3),0)</f>
        <v>4</v>
      </c>
      <c r="Y1468" s="390"/>
      <c r="Z1468" s="390"/>
      <c r="AA1468" s="390"/>
      <c r="AB1468" s="390"/>
      <c r="AC1468" s="390"/>
      <c r="AD1468" s="390"/>
      <c r="AE1468" s="390"/>
      <c r="AF1468" s="390"/>
      <c r="AG1468" s="390"/>
      <c r="AH1468" s="390"/>
      <c r="AI1468" s="390"/>
      <c r="AJ1468" s="390"/>
      <c r="AK1468" s="390"/>
      <c r="AL1468" s="390"/>
      <c r="AM1468" s="390"/>
      <c r="AN1468" s="390"/>
      <c r="AO1468" s="390"/>
      <c r="AP1468" s="390"/>
      <c r="AQ1468" s="390"/>
      <c r="AR1468" s="390"/>
      <c r="AS1468" s="390"/>
    </row>
    <row r="1469" spans="2:45" x14ac:dyDescent="0.3">
      <c r="B1469" s="61" t="s">
        <v>195</v>
      </c>
      <c r="C1469" s="62"/>
      <c r="D1469" s="28">
        <f>ROUNDUP((D1466+4),0)</f>
        <v>5</v>
      </c>
      <c r="E1469" s="28">
        <f t="shared" ref="E1469:S1469" si="1086">ROUNDUP((E1466+4),0)</f>
        <v>6</v>
      </c>
      <c r="F1469" s="28">
        <f t="shared" si="1086"/>
        <v>7</v>
      </c>
      <c r="G1469" s="28">
        <f t="shared" si="1086"/>
        <v>6</v>
      </c>
      <c r="H1469" s="28">
        <f t="shared" si="1086"/>
        <v>5</v>
      </c>
      <c r="I1469" s="28">
        <f t="shared" si="1086"/>
        <v>5</v>
      </c>
      <c r="J1469" s="28">
        <f t="shared" si="1086"/>
        <v>6</v>
      </c>
      <c r="K1469" s="28">
        <f t="shared" si="1086"/>
        <v>6</v>
      </c>
      <c r="L1469" s="28">
        <f t="shared" si="1086"/>
        <v>6</v>
      </c>
      <c r="M1469" s="28">
        <f t="shared" si="1086"/>
        <v>5</v>
      </c>
      <c r="N1469" s="28">
        <f t="shared" si="1086"/>
        <v>5</v>
      </c>
      <c r="O1469" s="28">
        <f t="shared" si="1086"/>
        <v>5</v>
      </c>
      <c r="P1469" s="28">
        <f t="shared" si="1086"/>
        <v>5</v>
      </c>
      <c r="Q1469" s="28">
        <f t="shared" si="1086"/>
        <v>5</v>
      </c>
      <c r="R1469" s="28">
        <f t="shared" si="1086"/>
        <v>5</v>
      </c>
      <c r="S1469" s="28">
        <f t="shared" si="1086"/>
        <v>5</v>
      </c>
      <c r="T1469" s="29"/>
      <c r="U1469" s="29"/>
      <c r="V1469" s="29"/>
      <c r="W1469" s="28">
        <f>ROUNDUP((W1466+4),0)</f>
        <v>5</v>
      </c>
      <c r="Y1469" s="390"/>
      <c r="Z1469" s="390"/>
      <c r="AA1469" s="390"/>
      <c r="AB1469" s="390"/>
      <c r="AC1469" s="390"/>
      <c r="AD1469" s="390"/>
      <c r="AE1469" s="390"/>
      <c r="AF1469" s="390"/>
      <c r="AG1469" s="390"/>
      <c r="AH1469" s="390"/>
      <c r="AI1469" s="390"/>
      <c r="AJ1469" s="390"/>
      <c r="AK1469" s="390"/>
      <c r="AL1469" s="390"/>
      <c r="AM1469" s="390"/>
      <c r="AN1469" s="390"/>
      <c r="AO1469" s="390"/>
      <c r="AP1469" s="390"/>
      <c r="AQ1469" s="390"/>
      <c r="AR1469" s="390"/>
      <c r="AS1469" s="390"/>
    </row>
    <row r="1470" spans="2:45" x14ac:dyDescent="0.3">
      <c r="B1470" s="61" t="s">
        <v>196</v>
      </c>
      <c r="C1470" s="62"/>
      <c r="D1470" s="28">
        <f>ROUNDUP((D1466+6),0)</f>
        <v>7</v>
      </c>
      <c r="E1470" s="28">
        <f t="shared" ref="E1470:S1470" si="1087">ROUNDUP((E1466+6),0)</f>
        <v>8</v>
      </c>
      <c r="F1470" s="28">
        <f t="shared" si="1087"/>
        <v>9</v>
      </c>
      <c r="G1470" s="28">
        <f t="shared" si="1087"/>
        <v>8</v>
      </c>
      <c r="H1470" s="28">
        <f t="shared" si="1087"/>
        <v>7</v>
      </c>
      <c r="I1470" s="28">
        <f t="shared" si="1087"/>
        <v>7</v>
      </c>
      <c r="J1470" s="28">
        <f t="shared" si="1087"/>
        <v>8</v>
      </c>
      <c r="K1470" s="28">
        <f t="shared" si="1087"/>
        <v>8</v>
      </c>
      <c r="L1470" s="28">
        <f t="shared" si="1087"/>
        <v>8</v>
      </c>
      <c r="M1470" s="28">
        <f t="shared" si="1087"/>
        <v>7</v>
      </c>
      <c r="N1470" s="28">
        <f t="shared" si="1087"/>
        <v>7</v>
      </c>
      <c r="O1470" s="28">
        <f t="shared" si="1087"/>
        <v>7</v>
      </c>
      <c r="P1470" s="28">
        <f t="shared" si="1087"/>
        <v>7</v>
      </c>
      <c r="Q1470" s="28">
        <f t="shared" si="1087"/>
        <v>7</v>
      </c>
      <c r="R1470" s="28">
        <f t="shared" si="1087"/>
        <v>7</v>
      </c>
      <c r="S1470" s="28">
        <f t="shared" si="1087"/>
        <v>7</v>
      </c>
      <c r="T1470" s="29"/>
      <c r="U1470" s="29"/>
      <c r="V1470" s="29"/>
      <c r="W1470" s="28">
        <f>ROUNDUP((W1466+6),0)</f>
        <v>7</v>
      </c>
      <c r="Y1470" s="390"/>
      <c r="Z1470" s="390"/>
      <c r="AA1470" s="390"/>
      <c r="AB1470" s="390"/>
      <c r="AC1470" s="390"/>
      <c r="AD1470" s="390"/>
      <c r="AE1470" s="390"/>
      <c r="AF1470" s="390"/>
      <c r="AG1470" s="390"/>
      <c r="AH1470" s="390"/>
      <c r="AI1470" s="390"/>
      <c r="AJ1470" s="390"/>
      <c r="AK1470" s="390"/>
      <c r="AL1470" s="390"/>
      <c r="AM1470" s="390"/>
      <c r="AN1470" s="390"/>
      <c r="AO1470" s="390"/>
      <c r="AP1470" s="390"/>
      <c r="AQ1470" s="390"/>
      <c r="AR1470" s="390"/>
      <c r="AS1470" s="390"/>
    </row>
    <row r="1471" spans="2:45" x14ac:dyDescent="0.3">
      <c r="B1471" s="61" t="s">
        <v>197</v>
      </c>
      <c r="C1471" s="62"/>
      <c r="D1471" s="28">
        <f>ROUNDUP((D1466+10),0)</f>
        <v>11</v>
      </c>
      <c r="E1471" s="28">
        <f t="shared" ref="E1471:S1471" si="1088">ROUNDUP((E1466+10),0)</f>
        <v>12</v>
      </c>
      <c r="F1471" s="28">
        <f t="shared" si="1088"/>
        <v>13</v>
      </c>
      <c r="G1471" s="28">
        <f t="shared" si="1088"/>
        <v>12</v>
      </c>
      <c r="H1471" s="28">
        <f t="shared" si="1088"/>
        <v>11</v>
      </c>
      <c r="I1471" s="28">
        <f t="shared" si="1088"/>
        <v>11</v>
      </c>
      <c r="J1471" s="28">
        <f t="shared" si="1088"/>
        <v>12</v>
      </c>
      <c r="K1471" s="28">
        <f t="shared" si="1088"/>
        <v>12</v>
      </c>
      <c r="L1471" s="28">
        <f t="shared" si="1088"/>
        <v>12</v>
      </c>
      <c r="M1471" s="28">
        <f t="shared" si="1088"/>
        <v>11</v>
      </c>
      <c r="N1471" s="28">
        <f t="shared" si="1088"/>
        <v>11</v>
      </c>
      <c r="O1471" s="28">
        <f t="shared" si="1088"/>
        <v>11</v>
      </c>
      <c r="P1471" s="28">
        <f t="shared" si="1088"/>
        <v>11</v>
      </c>
      <c r="Q1471" s="28">
        <f t="shared" si="1088"/>
        <v>11</v>
      </c>
      <c r="R1471" s="28">
        <f t="shared" si="1088"/>
        <v>11</v>
      </c>
      <c r="S1471" s="28">
        <f t="shared" si="1088"/>
        <v>11</v>
      </c>
      <c r="T1471" s="29"/>
      <c r="U1471" s="29"/>
      <c r="V1471" s="29"/>
      <c r="W1471" s="28">
        <f>ROUNDUP((W1466+10),0)</f>
        <v>11</v>
      </c>
      <c r="Y1471" s="390"/>
      <c r="Z1471" s="390"/>
      <c r="AA1471" s="390"/>
      <c r="AB1471" s="390"/>
      <c r="AC1471" s="390"/>
      <c r="AD1471" s="390"/>
      <c r="AE1471" s="390"/>
      <c r="AF1471" s="390"/>
      <c r="AG1471" s="390"/>
      <c r="AH1471" s="390"/>
      <c r="AI1471" s="390"/>
      <c r="AJ1471" s="390"/>
      <c r="AK1471" s="390"/>
      <c r="AL1471" s="390"/>
      <c r="AM1471" s="390"/>
      <c r="AN1471" s="390"/>
      <c r="AO1471" s="390"/>
      <c r="AP1471" s="390"/>
      <c r="AQ1471" s="390"/>
      <c r="AR1471" s="390"/>
      <c r="AS1471" s="390"/>
    </row>
    <row r="1472" spans="2:45" x14ac:dyDescent="0.3">
      <c r="B1472" s="63" t="s">
        <v>103</v>
      </c>
      <c r="C1472" s="62"/>
      <c r="D1472" s="31">
        <f>+D1467-D$833</f>
        <v>-382.62882580645157</v>
      </c>
      <c r="E1472" s="31">
        <f>+E1467-E$833</f>
        <v>-394.01592258064517</v>
      </c>
      <c r="F1472" s="31">
        <f t="shared" ref="F1472:S1472" si="1089">+F1467-F$833</f>
        <v>-399.79011612903224</v>
      </c>
      <c r="G1472" s="31">
        <f t="shared" si="1089"/>
        <v>-388.20947096774194</v>
      </c>
      <c r="H1472" s="31">
        <f t="shared" si="1089"/>
        <v>-384.69334193548383</v>
      </c>
      <c r="I1472" s="31">
        <f t="shared" si="1089"/>
        <v>-388.88689032258065</v>
      </c>
      <c r="J1472" s="31">
        <f t="shared" si="1089"/>
        <v>-394.98366451612901</v>
      </c>
      <c r="K1472" s="31">
        <f t="shared" si="1089"/>
        <v>-391.4352774193548</v>
      </c>
      <c r="L1472" s="31">
        <f t="shared" si="1089"/>
        <v>-392.72559999999999</v>
      </c>
      <c r="M1472" s="31">
        <f t="shared" si="1089"/>
        <v>-382.88689032258065</v>
      </c>
      <c r="N1472" s="31">
        <f t="shared" si="1089"/>
        <v>-384.95140645161291</v>
      </c>
      <c r="O1472" s="31">
        <f t="shared" si="1089"/>
        <v>-389.20947096774194</v>
      </c>
      <c r="P1472" s="31">
        <f t="shared" si="1089"/>
        <v>-380.17721290322578</v>
      </c>
      <c r="Q1472" s="31">
        <f t="shared" si="1089"/>
        <v>-380.17721290322578</v>
      </c>
      <c r="R1472" s="31">
        <f t="shared" si="1089"/>
        <v>-386.62882580645157</v>
      </c>
      <c r="S1472" s="31">
        <f t="shared" si="1089"/>
        <v>-384.8223741935484</v>
      </c>
      <c r="T1472" s="29"/>
      <c r="U1472" s="29"/>
      <c r="V1472" s="29"/>
      <c r="W1472" s="31">
        <f>+W1467-W$833</f>
        <v>-380.17721290322578</v>
      </c>
      <c r="Y1472" s="390"/>
      <c r="Z1472" s="390"/>
      <c r="AA1472" s="390"/>
      <c r="AB1472" s="390"/>
      <c r="AC1472" s="390"/>
      <c r="AD1472" s="390"/>
      <c r="AE1472" s="390"/>
      <c r="AF1472" s="390"/>
      <c r="AG1472" s="390"/>
      <c r="AH1472" s="390"/>
      <c r="AI1472" s="390"/>
      <c r="AJ1472" s="390"/>
      <c r="AK1472" s="390"/>
      <c r="AL1472" s="390"/>
      <c r="AM1472" s="390"/>
      <c r="AN1472" s="390"/>
      <c r="AO1472" s="390"/>
      <c r="AP1472" s="390"/>
      <c r="AQ1472" s="390"/>
      <c r="AR1472" s="390"/>
      <c r="AS1472" s="390"/>
    </row>
    <row r="1473" spans="2:45" x14ac:dyDescent="0.3">
      <c r="B1473" s="63" t="s">
        <v>104</v>
      </c>
      <c r="C1473" s="64"/>
      <c r="D1473" s="31">
        <f>+D1468-D$833</f>
        <v>-381.62882580645157</v>
      </c>
      <c r="E1473" s="32">
        <f t="shared" ref="E1473:S1473" si="1090">+E1468-E$833</f>
        <v>-393.01592258064517</v>
      </c>
      <c r="F1473" s="32">
        <f t="shared" si="1090"/>
        <v>-398.79011612903224</v>
      </c>
      <c r="G1473" s="32">
        <f t="shared" si="1090"/>
        <v>-387.20947096774194</v>
      </c>
      <c r="H1473" s="32">
        <f t="shared" si="1090"/>
        <v>-383.69334193548383</v>
      </c>
      <c r="I1473" s="32">
        <f t="shared" si="1090"/>
        <v>-387.88689032258065</v>
      </c>
      <c r="J1473" s="32">
        <f t="shared" si="1090"/>
        <v>-393.98366451612901</v>
      </c>
      <c r="K1473" s="32">
        <f t="shared" si="1090"/>
        <v>-390.4352774193548</v>
      </c>
      <c r="L1473" s="32">
        <f t="shared" si="1090"/>
        <v>-391.72559999999999</v>
      </c>
      <c r="M1473" s="32">
        <f t="shared" si="1090"/>
        <v>-381.88689032258065</v>
      </c>
      <c r="N1473" s="32">
        <f t="shared" si="1090"/>
        <v>-383.95140645161291</v>
      </c>
      <c r="O1473" s="32">
        <f t="shared" si="1090"/>
        <v>-388.20947096774194</v>
      </c>
      <c r="P1473" s="32">
        <f t="shared" si="1090"/>
        <v>-379.17721290322578</v>
      </c>
      <c r="Q1473" s="32">
        <f t="shared" si="1090"/>
        <v>-379.17721290322578</v>
      </c>
      <c r="R1473" s="32">
        <f t="shared" si="1090"/>
        <v>-385.62882580645157</v>
      </c>
      <c r="S1473" s="32">
        <f t="shared" si="1090"/>
        <v>-383.8223741935484</v>
      </c>
      <c r="T1473" s="32"/>
      <c r="U1473" s="32"/>
      <c r="V1473" s="32"/>
      <c r="W1473" s="32">
        <f>+W1468-W$833</f>
        <v>-379.17721290322578</v>
      </c>
      <c r="Y1473" s="390"/>
      <c r="Z1473" s="390"/>
      <c r="AA1473" s="390"/>
      <c r="AB1473" s="390"/>
      <c r="AC1473" s="390"/>
      <c r="AD1473" s="390"/>
      <c r="AE1473" s="390"/>
      <c r="AF1473" s="390"/>
      <c r="AG1473" s="390"/>
      <c r="AH1473" s="390"/>
      <c r="AI1473" s="390"/>
      <c r="AJ1473" s="390"/>
      <c r="AK1473" s="390"/>
      <c r="AL1473" s="390"/>
      <c r="AM1473" s="390"/>
      <c r="AN1473" s="390"/>
      <c r="AO1473" s="390"/>
      <c r="AP1473" s="390"/>
      <c r="AQ1473" s="390"/>
      <c r="AR1473" s="390"/>
      <c r="AS1473" s="390"/>
    </row>
    <row r="1474" spans="2:45" x14ac:dyDescent="0.3">
      <c r="B1474" s="63" t="s">
        <v>105</v>
      </c>
      <c r="C1474" s="64"/>
      <c r="D1474" s="31">
        <f>+D1469-D$833</f>
        <v>-380.62882580645157</v>
      </c>
      <c r="E1474" s="32">
        <f t="shared" ref="E1474:S1474" si="1091">+E1469-E$833</f>
        <v>-392.01592258064517</v>
      </c>
      <c r="F1474" s="32">
        <f t="shared" si="1091"/>
        <v>-397.79011612903224</v>
      </c>
      <c r="G1474" s="32">
        <f t="shared" si="1091"/>
        <v>-386.20947096774194</v>
      </c>
      <c r="H1474" s="32">
        <f t="shared" si="1091"/>
        <v>-382.69334193548383</v>
      </c>
      <c r="I1474" s="32">
        <f t="shared" si="1091"/>
        <v>-386.88689032258065</v>
      </c>
      <c r="J1474" s="32">
        <f t="shared" si="1091"/>
        <v>-392.98366451612901</v>
      </c>
      <c r="K1474" s="32">
        <f t="shared" si="1091"/>
        <v>-389.4352774193548</v>
      </c>
      <c r="L1474" s="32">
        <f t="shared" si="1091"/>
        <v>-390.72559999999999</v>
      </c>
      <c r="M1474" s="32">
        <f t="shared" si="1091"/>
        <v>-380.88689032258065</v>
      </c>
      <c r="N1474" s="32">
        <f t="shared" si="1091"/>
        <v>-382.95140645161291</v>
      </c>
      <c r="O1474" s="32">
        <f t="shared" si="1091"/>
        <v>-387.20947096774194</v>
      </c>
      <c r="P1474" s="32">
        <f t="shared" si="1091"/>
        <v>-378.17721290322578</v>
      </c>
      <c r="Q1474" s="32">
        <f t="shared" si="1091"/>
        <v>-378.17721290322578</v>
      </c>
      <c r="R1474" s="32">
        <f t="shared" si="1091"/>
        <v>-384.62882580645157</v>
      </c>
      <c r="S1474" s="32">
        <f t="shared" si="1091"/>
        <v>-382.8223741935484</v>
      </c>
      <c r="T1474" s="32"/>
      <c r="U1474" s="32"/>
      <c r="V1474" s="32"/>
      <c r="W1474" s="32">
        <f>+W1469-W$833</f>
        <v>-378.17721290322578</v>
      </c>
      <c r="Y1474" s="390"/>
      <c r="Z1474" s="390"/>
      <c r="AA1474" s="390"/>
      <c r="AB1474" s="390"/>
      <c r="AC1474" s="390"/>
      <c r="AD1474" s="390"/>
      <c r="AE1474" s="390"/>
      <c r="AF1474" s="390"/>
      <c r="AG1474" s="390"/>
      <c r="AH1474" s="390"/>
      <c r="AI1474" s="390"/>
      <c r="AJ1474" s="390"/>
      <c r="AK1474" s="390"/>
      <c r="AL1474" s="390"/>
      <c r="AM1474" s="390"/>
      <c r="AN1474" s="390"/>
      <c r="AO1474" s="390"/>
      <c r="AP1474" s="390"/>
      <c r="AQ1474" s="390"/>
      <c r="AR1474" s="390"/>
      <c r="AS1474" s="390"/>
    </row>
    <row r="1475" spans="2:45" x14ac:dyDescent="0.3">
      <c r="B1475" s="63" t="s">
        <v>75</v>
      </c>
      <c r="C1475" s="64"/>
      <c r="D1475" s="31">
        <f>+D1470-D$833</f>
        <v>-378.62882580645157</v>
      </c>
      <c r="E1475" s="32">
        <f t="shared" ref="E1475:S1475" si="1092">+E1470-E$833</f>
        <v>-390.01592258064517</v>
      </c>
      <c r="F1475" s="32">
        <f t="shared" si="1092"/>
        <v>-395.79011612903224</v>
      </c>
      <c r="G1475" s="32">
        <f t="shared" si="1092"/>
        <v>-384.20947096774194</v>
      </c>
      <c r="H1475" s="32">
        <f t="shared" si="1092"/>
        <v>-380.69334193548383</v>
      </c>
      <c r="I1475" s="32">
        <f t="shared" si="1092"/>
        <v>-384.88689032258065</v>
      </c>
      <c r="J1475" s="32">
        <f t="shared" si="1092"/>
        <v>-390.98366451612901</v>
      </c>
      <c r="K1475" s="32">
        <f t="shared" si="1092"/>
        <v>-387.4352774193548</v>
      </c>
      <c r="L1475" s="32">
        <f t="shared" si="1092"/>
        <v>-388.72559999999999</v>
      </c>
      <c r="M1475" s="32">
        <f t="shared" si="1092"/>
        <v>-378.88689032258065</v>
      </c>
      <c r="N1475" s="32">
        <f t="shared" si="1092"/>
        <v>-380.95140645161291</v>
      </c>
      <c r="O1475" s="32">
        <f t="shared" si="1092"/>
        <v>-385.20947096774194</v>
      </c>
      <c r="P1475" s="32">
        <f t="shared" si="1092"/>
        <v>-376.17721290322578</v>
      </c>
      <c r="Q1475" s="32">
        <f t="shared" si="1092"/>
        <v>-376.17721290322578</v>
      </c>
      <c r="R1475" s="32">
        <f t="shared" si="1092"/>
        <v>-382.62882580645157</v>
      </c>
      <c r="S1475" s="32">
        <f t="shared" si="1092"/>
        <v>-380.8223741935484</v>
      </c>
      <c r="T1475" s="32"/>
      <c r="U1475" s="32"/>
      <c r="V1475" s="32"/>
      <c r="W1475" s="32">
        <f>+W1470-W$833</f>
        <v>-376.17721290322578</v>
      </c>
      <c r="Y1475" s="390"/>
      <c r="Z1475" s="390"/>
      <c r="AA1475" s="390"/>
      <c r="AB1475" s="390"/>
      <c r="AC1475" s="390"/>
      <c r="AD1475" s="390"/>
      <c r="AE1475" s="390"/>
      <c r="AF1475" s="390"/>
      <c r="AG1475" s="390"/>
      <c r="AH1475" s="390"/>
      <c r="AI1475" s="390"/>
      <c r="AJ1475" s="390"/>
      <c r="AK1475" s="390"/>
      <c r="AL1475" s="390"/>
      <c r="AM1475" s="390"/>
      <c r="AN1475" s="390"/>
      <c r="AO1475" s="390"/>
      <c r="AP1475" s="390"/>
      <c r="AQ1475" s="390"/>
      <c r="AR1475" s="390"/>
      <c r="AS1475" s="390"/>
    </row>
    <row r="1476" spans="2:45" x14ac:dyDescent="0.3">
      <c r="B1476" s="63" t="s">
        <v>76</v>
      </c>
      <c r="C1476" s="64"/>
      <c r="D1476" s="31">
        <f>+D1471-D$833</f>
        <v>-374.62882580645157</v>
      </c>
      <c r="E1476" s="34">
        <f t="shared" ref="E1476:S1476" si="1093">+E1471-E$833</f>
        <v>-386.01592258064517</v>
      </c>
      <c r="F1476" s="34">
        <f t="shared" si="1093"/>
        <v>-391.79011612903224</v>
      </c>
      <c r="G1476" s="34">
        <f t="shared" si="1093"/>
        <v>-380.20947096774194</v>
      </c>
      <c r="H1476" s="34">
        <f t="shared" si="1093"/>
        <v>-376.69334193548383</v>
      </c>
      <c r="I1476" s="34">
        <f t="shared" si="1093"/>
        <v>-380.88689032258065</v>
      </c>
      <c r="J1476" s="34">
        <f t="shared" si="1093"/>
        <v>-386.98366451612901</v>
      </c>
      <c r="K1476" s="34">
        <f t="shared" si="1093"/>
        <v>-383.4352774193548</v>
      </c>
      <c r="L1476" s="34">
        <f t="shared" si="1093"/>
        <v>-384.72559999999999</v>
      </c>
      <c r="M1476" s="34">
        <f t="shared" si="1093"/>
        <v>-374.88689032258065</v>
      </c>
      <c r="N1476" s="34">
        <f t="shared" si="1093"/>
        <v>-376.95140645161291</v>
      </c>
      <c r="O1476" s="34">
        <f t="shared" si="1093"/>
        <v>-381.20947096774194</v>
      </c>
      <c r="P1476" s="34">
        <f t="shared" si="1093"/>
        <v>-372.17721290322578</v>
      </c>
      <c r="Q1476" s="34">
        <f t="shared" si="1093"/>
        <v>-372.17721290322578</v>
      </c>
      <c r="R1476" s="34">
        <f t="shared" si="1093"/>
        <v>-378.62882580645157</v>
      </c>
      <c r="S1476" s="34">
        <f t="shared" si="1093"/>
        <v>-376.8223741935484</v>
      </c>
      <c r="T1476" s="34"/>
      <c r="U1476" s="34"/>
      <c r="V1476" s="34"/>
      <c r="W1476" s="34">
        <f>+W1471-W$833</f>
        <v>-372.17721290322578</v>
      </c>
      <c r="Y1476" s="390"/>
      <c r="Z1476" s="390"/>
      <c r="AA1476" s="390"/>
      <c r="AB1476" s="390"/>
      <c r="AC1476" s="390"/>
      <c r="AD1476" s="390"/>
      <c r="AE1476" s="390"/>
      <c r="AF1476" s="390"/>
      <c r="AG1476" s="390"/>
      <c r="AH1476" s="390"/>
      <c r="AI1476" s="390"/>
      <c r="AJ1476" s="390"/>
      <c r="AK1476" s="390"/>
      <c r="AL1476" s="390"/>
      <c r="AM1476" s="390"/>
      <c r="AN1476" s="390"/>
      <c r="AO1476" s="390"/>
      <c r="AP1476" s="390"/>
      <c r="AQ1476" s="390"/>
      <c r="AR1476" s="390"/>
      <c r="AS1476" s="390"/>
    </row>
    <row r="1477" spans="2:45" x14ac:dyDescent="0.3">
      <c r="B1477" s="65" t="s">
        <v>108</v>
      </c>
      <c r="C1477" s="64"/>
      <c r="D1477" s="105">
        <f>+D1472/D$835</f>
        <v>-0.93097037909112301</v>
      </c>
      <c r="E1477" s="105">
        <f t="shared" ref="E1477:S1477" si="1094">+E1472/E$835</f>
        <v>-0.92928283627510655</v>
      </c>
      <c r="F1477" s="105">
        <f t="shared" si="1094"/>
        <v>-0.92974445611402845</v>
      </c>
      <c r="G1477" s="105">
        <f t="shared" si="1094"/>
        <v>-0.92873079178885631</v>
      </c>
      <c r="H1477" s="105">
        <f t="shared" si="1094"/>
        <v>-0.93146087635710373</v>
      </c>
      <c r="I1477" s="105">
        <f t="shared" si="1094"/>
        <v>-0.93258247079755552</v>
      </c>
      <c r="J1477" s="105">
        <f t="shared" si="1094"/>
        <v>-0.93156524650030426</v>
      </c>
      <c r="K1477" s="105">
        <f t="shared" si="1094"/>
        <v>-0.92977500574668603</v>
      </c>
      <c r="L1477" s="105">
        <f t="shared" si="1094"/>
        <v>-0.93062938388625593</v>
      </c>
      <c r="M1477" s="105">
        <f t="shared" si="1094"/>
        <v>-0.93159827329095046</v>
      </c>
      <c r="N1477" s="105">
        <f t="shared" si="1094"/>
        <v>-0.93208572990705307</v>
      </c>
      <c r="O1477" s="105">
        <f t="shared" si="1094"/>
        <v>-0.93112313628646393</v>
      </c>
      <c r="P1477" s="105">
        <f t="shared" si="1094"/>
        <v>-0.92952863790519746</v>
      </c>
      <c r="Q1477" s="105">
        <f t="shared" si="1094"/>
        <v>-0.92952863790519746</v>
      </c>
      <c r="R1477" s="105">
        <f t="shared" si="1094"/>
        <v>-0.93163572483482304</v>
      </c>
      <c r="S1477" s="105">
        <f t="shared" si="1094"/>
        <v>-0.9317733031320784</v>
      </c>
      <c r="T1477" s="34"/>
      <c r="U1477" s="34"/>
      <c r="V1477" s="34"/>
      <c r="W1477" s="105">
        <f>+W1472/W$835</f>
        <v>-0.92952863790519746</v>
      </c>
      <c r="Y1477" s="390"/>
      <c r="Z1477" s="390"/>
      <c r="AA1477" s="390"/>
      <c r="AB1477" s="390"/>
      <c r="AC1477" s="390"/>
      <c r="AD1477" s="390"/>
      <c r="AE1477" s="390"/>
      <c r="AF1477" s="390"/>
      <c r="AG1477" s="390"/>
      <c r="AH1477" s="390"/>
      <c r="AI1477" s="390"/>
      <c r="AJ1477" s="390"/>
      <c r="AK1477" s="390"/>
      <c r="AL1477" s="390"/>
      <c r="AM1477" s="390"/>
      <c r="AN1477" s="390"/>
      <c r="AO1477" s="390"/>
      <c r="AP1477" s="390"/>
      <c r="AQ1477" s="390"/>
      <c r="AR1477" s="390"/>
      <c r="AS1477" s="390"/>
    </row>
    <row r="1478" spans="2:45" x14ac:dyDescent="0.3">
      <c r="B1478" s="65" t="s">
        <v>107</v>
      </c>
      <c r="C1478" s="66"/>
      <c r="D1478" s="35">
        <f>+D1473/D$836</f>
        <v>-0.91737698511166244</v>
      </c>
      <c r="E1478" s="35">
        <f t="shared" ref="E1478:S1478" si="1095">+E1473/E$836</f>
        <v>-0.91612103165651559</v>
      </c>
      <c r="F1478" s="35">
        <f t="shared" si="1095"/>
        <v>-0.91675888765294766</v>
      </c>
      <c r="G1478" s="35">
        <f t="shared" si="1095"/>
        <v>-0.91538882025470902</v>
      </c>
      <c r="H1478" s="35">
        <f t="shared" si="1095"/>
        <v>-0.9179266553480474</v>
      </c>
      <c r="I1478" s="35">
        <f t="shared" si="1095"/>
        <v>-0.91916324720990672</v>
      </c>
      <c r="J1478" s="35">
        <f t="shared" si="1095"/>
        <v>-0.91837684036393707</v>
      </c>
      <c r="K1478" s="35">
        <f t="shared" si="1095"/>
        <v>-0.91651473572618503</v>
      </c>
      <c r="L1478" s="35">
        <f t="shared" si="1095"/>
        <v>-0.91739016393442618</v>
      </c>
      <c r="M1478" s="35">
        <f t="shared" si="1095"/>
        <v>-0.91799733250620352</v>
      </c>
      <c r="N1478" s="35">
        <f t="shared" si="1095"/>
        <v>-0.91854403457323663</v>
      </c>
      <c r="O1478" s="35">
        <f t="shared" si="1095"/>
        <v>-0.91775288644856245</v>
      </c>
      <c r="P1478" s="35">
        <f t="shared" si="1095"/>
        <v>-0.91588698768895116</v>
      </c>
      <c r="Q1478" s="35">
        <f t="shared" si="1095"/>
        <v>-0.91588698768895116</v>
      </c>
      <c r="R1478" s="35">
        <f t="shared" si="1095"/>
        <v>-0.91816387096774188</v>
      </c>
      <c r="S1478" s="35">
        <f t="shared" si="1095"/>
        <v>-0.91823534496064207</v>
      </c>
      <c r="T1478" s="35"/>
      <c r="U1478" s="35"/>
      <c r="V1478" s="35"/>
      <c r="W1478" s="35">
        <f>+W1473/W$836</f>
        <v>-0.91588698768895116</v>
      </c>
      <c r="Y1478" s="390"/>
      <c r="Z1478" s="390"/>
      <c r="AA1478" s="390"/>
      <c r="AB1478" s="390"/>
      <c r="AC1478" s="390"/>
      <c r="AD1478" s="390"/>
      <c r="AE1478" s="390"/>
      <c r="AF1478" s="390"/>
      <c r="AG1478" s="390"/>
      <c r="AH1478" s="390"/>
      <c r="AI1478" s="390"/>
      <c r="AJ1478" s="390"/>
      <c r="AK1478" s="390"/>
      <c r="AL1478" s="390"/>
      <c r="AM1478" s="390"/>
      <c r="AN1478" s="390"/>
      <c r="AO1478" s="390"/>
      <c r="AP1478" s="390"/>
      <c r="AQ1478" s="390"/>
      <c r="AR1478" s="390"/>
      <c r="AS1478" s="390"/>
    </row>
    <row r="1479" spans="2:45" x14ac:dyDescent="0.3">
      <c r="B1479" s="65" t="s">
        <v>106</v>
      </c>
      <c r="C1479" s="66"/>
      <c r="D1479" s="35">
        <f>+D1474/D$837</f>
        <v>-0.90410647459964744</v>
      </c>
      <c r="E1479" s="35">
        <f t="shared" ref="E1479:S1479" si="1096">+E1474/E$837</f>
        <v>-0.9032624944254497</v>
      </c>
      <c r="F1479" s="35">
        <f t="shared" si="1096"/>
        <v>-0.90406844574780054</v>
      </c>
      <c r="G1479" s="35">
        <f t="shared" si="1096"/>
        <v>-0.90235857702743438</v>
      </c>
      <c r="H1479" s="35">
        <f t="shared" si="1096"/>
        <v>-0.90471239228246769</v>
      </c>
      <c r="I1479" s="35">
        <f t="shared" si="1096"/>
        <v>-0.90605829115358472</v>
      </c>
      <c r="J1479" s="35">
        <f t="shared" si="1096"/>
        <v>-0.9054923145532926</v>
      </c>
      <c r="K1479" s="35">
        <f t="shared" si="1096"/>
        <v>-0.90356212858318985</v>
      </c>
      <c r="L1479" s="35">
        <f t="shared" si="1096"/>
        <v>-0.90445740740740732</v>
      </c>
      <c r="M1479" s="35">
        <f t="shared" si="1096"/>
        <v>-0.904719454447935</v>
      </c>
      <c r="N1479" s="35">
        <f t="shared" si="1096"/>
        <v>-0.90532247388088161</v>
      </c>
      <c r="O1479" s="35">
        <f t="shared" si="1096"/>
        <v>-0.90469502562556525</v>
      </c>
      <c r="P1479" s="35">
        <f t="shared" si="1096"/>
        <v>-0.90257091385018084</v>
      </c>
      <c r="Q1479" s="35">
        <f t="shared" si="1096"/>
        <v>-0.90257091385018084</v>
      </c>
      <c r="R1479" s="35">
        <f t="shared" si="1096"/>
        <v>-0.90500900189753308</v>
      </c>
      <c r="S1479" s="35">
        <f t="shared" si="1096"/>
        <v>-0.9050174330816747</v>
      </c>
      <c r="T1479" s="35"/>
      <c r="U1479" s="35"/>
      <c r="V1479" s="35"/>
      <c r="W1479" s="35">
        <f>+W1474/W$837</f>
        <v>-0.90257091385018084</v>
      </c>
      <c r="Y1479" s="390"/>
      <c r="Z1479" s="390"/>
      <c r="AA1479" s="390"/>
      <c r="AB1479" s="390"/>
      <c r="AC1479" s="390"/>
      <c r="AD1479" s="390"/>
      <c r="AE1479" s="390"/>
      <c r="AF1479" s="390"/>
      <c r="AG1479" s="390"/>
      <c r="AH1479" s="390"/>
      <c r="AI1479" s="390"/>
      <c r="AJ1479" s="390"/>
      <c r="AK1479" s="390"/>
      <c r="AL1479" s="390"/>
      <c r="AM1479" s="390"/>
      <c r="AN1479" s="390"/>
      <c r="AO1479" s="390"/>
      <c r="AP1479" s="390"/>
      <c r="AQ1479" s="390"/>
      <c r="AR1479" s="390"/>
      <c r="AS1479" s="390"/>
    </row>
    <row r="1480" spans="2:45" x14ac:dyDescent="0.3">
      <c r="B1480" s="65" t="s">
        <v>77</v>
      </c>
      <c r="C1480" s="66"/>
      <c r="D1480" s="35">
        <f>+D1475/D$838</f>
        <v>-0.88880006057852479</v>
      </c>
      <c r="E1480" s="35">
        <f t="shared" ref="E1480:S1480" si="1097">+E1475/E$838</f>
        <v>-0.88841895804247195</v>
      </c>
      <c r="F1480" s="35">
        <f t="shared" si="1097"/>
        <v>-0.88941599130119608</v>
      </c>
      <c r="G1480" s="35">
        <f t="shared" si="1097"/>
        <v>-0.88731979438277586</v>
      </c>
      <c r="H1480" s="35">
        <f t="shared" si="1097"/>
        <v>-0.88947042508290619</v>
      </c>
      <c r="I1480" s="35">
        <f t="shared" si="1097"/>
        <v>-0.89094187574671446</v>
      </c>
      <c r="J1480" s="35">
        <f t="shared" si="1097"/>
        <v>-0.8906233815857153</v>
      </c>
      <c r="K1480" s="35">
        <f t="shared" si="1097"/>
        <v>-0.88861302160402478</v>
      </c>
      <c r="L1480" s="35">
        <f t="shared" si="1097"/>
        <v>-0.88953226544622421</v>
      </c>
      <c r="M1480" s="35">
        <f t="shared" si="1097"/>
        <v>-0.88940584582765414</v>
      </c>
      <c r="N1480" s="35">
        <f t="shared" si="1097"/>
        <v>-0.89007337955984323</v>
      </c>
      <c r="O1480" s="35">
        <f t="shared" si="1097"/>
        <v>-0.88962926320494673</v>
      </c>
      <c r="P1480" s="35">
        <f t="shared" si="1097"/>
        <v>-0.88721040779062688</v>
      </c>
      <c r="Q1480" s="35">
        <f t="shared" si="1097"/>
        <v>-0.88721040779062688</v>
      </c>
      <c r="R1480" s="35">
        <f t="shared" si="1097"/>
        <v>-0.88983447861965481</v>
      </c>
      <c r="S1480" s="35">
        <f t="shared" si="1097"/>
        <v>-0.88977190232137471</v>
      </c>
      <c r="T1480" s="35"/>
      <c r="U1480" s="35"/>
      <c r="V1480" s="35"/>
      <c r="W1480" s="35">
        <f>+W1475/W$838</f>
        <v>-0.88721040779062688</v>
      </c>
      <c r="Y1480" s="390"/>
      <c r="Z1480" s="390"/>
      <c r="AA1480" s="390"/>
      <c r="AB1480" s="390"/>
      <c r="AC1480" s="390"/>
      <c r="AD1480" s="390"/>
      <c r="AE1480" s="390"/>
      <c r="AF1480" s="390"/>
      <c r="AG1480" s="390"/>
      <c r="AH1480" s="390"/>
      <c r="AI1480" s="390"/>
      <c r="AJ1480" s="390"/>
      <c r="AK1480" s="390"/>
      <c r="AL1480" s="390"/>
      <c r="AM1480" s="390"/>
      <c r="AN1480" s="390"/>
      <c r="AO1480" s="390"/>
      <c r="AP1480" s="390"/>
      <c r="AQ1480" s="390"/>
      <c r="AR1480" s="390"/>
      <c r="AS1480" s="390"/>
    </row>
    <row r="1481" spans="2:45" x14ac:dyDescent="0.3">
      <c r="B1481" s="65" t="s">
        <v>78</v>
      </c>
      <c r="C1481" s="66"/>
      <c r="D1481" s="35" t="e">
        <f>+D1476/#REF!</f>
        <v>#REF!</v>
      </c>
      <c r="E1481" s="35" t="e">
        <f>+E1476/#REF!</f>
        <v>#REF!</v>
      </c>
      <c r="F1481" s="35" t="e">
        <f>+F1476/#REF!</f>
        <v>#REF!</v>
      </c>
      <c r="G1481" s="35" t="e">
        <f>+G1476/#REF!</f>
        <v>#REF!</v>
      </c>
      <c r="H1481" s="35" t="e">
        <f>+H1476/#REF!</f>
        <v>#REF!</v>
      </c>
      <c r="I1481" s="35" t="e">
        <f>+I1476/#REF!</f>
        <v>#REF!</v>
      </c>
      <c r="J1481" s="35" t="e">
        <f>+J1476/#REF!</f>
        <v>#REF!</v>
      </c>
      <c r="K1481" s="35" t="e">
        <f>+K1476/#REF!</f>
        <v>#REF!</v>
      </c>
      <c r="L1481" s="35" t="e">
        <f>+L1476/#REF!</f>
        <v>#REF!</v>
      </c>
      <c r="M1481" s="35" t="e">
        <f>+M1476/#REF!</f>
        <v>#REF!</v>
      </c>
      <c r="N1481" s="35" t="e">
        <f>+N1476/#REF!</f>
        <v>#REF!</v>
      </c>
      <c r="O1481" s="35" t="e">
        <f>+O1476/#REF!</f>
        <v>#REF!</v>
      </c>
      <c r="P1481" s="35" t="e">
        <f>+P1476/#REF!</f>
        <v>#REF!</v>
      </c>
      <c r="Q1481" s="35" t="e">
        <f>+Q1476/#REF!</f>
        <v>#REF!</v>
      </c>
      <c r="R1481" s="35" t="e">
        <f>+R1476/#REF!</f>
        <v>#REF!</v>
      </c>
      <c r="S1481" s="35" t="e">
        <f>+S1476/#REF!</f>
        <v>#REF!</v>
      </c>
      <c r="T1481" s="35"/>
      <c r="U1481" s="35"/>
      <c r="V1481" s="35"/>
      <c r="W1481" s="35" t="e">
        <f>+W1476/#REF!</f>
        <v>#REF!</v>
      </c>
      <c r="Y1481" s="390"/>
      <c r="Z1481" s="390"/>
      <c r="AA1481" s="390"/>
      <c r="AB1481" s="390"/>
      <c r="AC1481" s="390"/>
      <c r="AD1481" s="390"/>
      <c r="AE1481" s="390"/>
      <c r="AF1481" s="390"/>
      <c r="AG1481" s="390"/>
      <c r="AH1481" s="390"/>
      <c r="AI1481" s="390"/>
      <c r="AJ1481" s="390"/>
      <c r="AK1481" s="390"/>
      <c r="AL1481" s="390"/>
      <c r="AM1481" s="390"/>
      <c r="AN1481" s="390"/>
      <c r="AO1481" s="390"/>
      <c r="AP1481" s="390"/>
      <c r="AQ1481" s="390"/>
      <c r="AR1481" s="390"/>
      <c r="AS1481" s="390"/>
    </row>
    <row r="1482" spans="2:45" ht="21" thickBot="1" x14ac:dyDescent="0.35">
      <c r="Y1482" s="390"/>
      <c r="Z1482" s="390"/>
      <c r="AA1482" s="390"/>
      <c r="AB1482" s="390"/>
      <c r="AC1482" s="390"/>
      <c r="AD1482" s="390"/>
      <c r="AE1482" s="390"/>
      <c r="AF1482" s="390"/>
      <c r="AG1482" s="390"/>
      <c r="AH1482" s="390"/>
      <c r="AI1482" s="390"/>
      <c r="AJ1482" s="390"/>
      <c r="AK1482" s="390"/>
      <c r="AL1482" s="390"/>
      <c r="AM1482" s="390"/>
      <c r="AN1482" s="390"/>
      <c r="AO1482" s="390"/>
      <c r="AP1482" s="390"/>
      <c r="AQ1482" s="390"/>
      <c r="AR1482" s="390"/>
      <c r="AS1482" s="390"/>
    </row>
    <row r="1483" spans="2:45" ht="21" thickBot="1" x14ac:dyDescent="0.35">
      <c r="B1483" s="223"/>
      <c r="C1483" s="68"/>
      <c r="D1483" s="17" t="s">
        <v>5</v>
      </c>
      <c r="E1483" s="18" t="s">
        <v>6</v>
      </c>
      <c r="F1483" s="18" t="s">
        <v>7</v>
      </c>
      <c r="G1483" s="18" t="s">
        <v>8</v>
      </c>
      <c r="H1483" s="18" t="s">
        <v>9</v>
      </c>
      <c r="I1483" s="18" t="s">
        <v>10</v>
      </c>
      <c r="J1483" s="18" t="s">
        <v>11</v>
      </c>
      <c r="K1483" s="18" t="s">
        <v>12</v>
      </c>
      <c r="L1483" s="18" t="s">
        <v>13</v>
      </c>
      <c r="M1483" s="18" t="s">
        <v>14</v>
      </c>
      <c r="N1483" s="18" t="s">
        <v>15</v>
      </c>
      <c r="O1483" s="18" t="s">
        <v>16</v>
      </c>
      <c r="P1483" s="18" t="s">
        <v>17</v>
      </c>
      <c r="Q1483" s="18" t="s">
        <v>18</v>
      </c>
      <c r="R1483" s="18" t="s">
        <v>19</v>
      </c>
      <c r="S1483" s="18" t="s">
        <v>20</v>
      </c>
      <c r="T1483" s="18" t="s">
        <v>21</v>
      </c>
      <c r="U1483" s="18" t="s">
        <v>22</v>
      </c>
      <c r="V1483" s="18" t="s">
        <v>23</v>
      </c>
      <c r="W1483" s="18" t="s">
        <v>166</v>
      </c>
      <c r="Y1483" s="390"/>
      <c r="Z1483" s="390"/>
      <c r="AA1483" s="390"/>
      <c r="AB1483" s="390"/>
      <c r="AC1483" s="390"/>
      <c r="AD1483" s="390"/>
      <c r="AE1483" s="390"/>
      <c r="AF1483" s="390"/>
      <c r="AG1483" s="390"/>
      <c r="AH1483" s="390"/>
      <c r="AI1483" s="390"/>
      <c r="AJ1483" s="390"/>
      <c r="AK1483" s="390"/>
      <c r="AL1483" s="390"/>
      <c r="AM1483" s="390"/>
      <c r="AN1483" s="390"/>
      <c r="AO1483" s="390"/>
      <c r="AP1483" s="390"/>
      <c r="AQ1483" s="390"/>
      <c r="AR1483" s="390"/>
      <c r="AS1483" s="390"/>
    </row>
    <row r="1484" spans="2:45" x14ac:dyDescent="0.3">
      <c r="B1484" s="222" t="s">
        <v>50</v>
      </c>
      <c r="C1484" s="70"/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0"/>
      <c r="W1484" s="20"/>
      <c r="Y1484" s="390"/>
      <c r="Z1484" s="390"/>
      <c r="AA1484" s="390"/>
      <c r="AB1484" s="390"/>
      <c r="AC1484" s="390"/>
      <c r="AD1484" s="390"/>
      <c r="AE1484" s="390"/>
      <c r="AF1484" s="390"/>
      <c r="AG1484" s="390"/>
      <c r="AH1484" s="390"/>
      <c r="AI1484" s="390"/>
      <c r="AJ1484" s="390"/>
      <c r="AK1484" s="390"/>
      <c r="AL1484" s="390"/>
      <c r="AM1484" s="390"/>
      <c r="AN1484" s="390"/>
      <c r="AO1484" s="390"/>
      <c r="AP1484" s="390"/>
      <c r="AQ1484" s="390"/>
      <c r="AR1484" s="390"/>
      <c r="AS1484" s="390"/>
    </row>
    <row r="1485" spans="2:45" x14ac:dyDescent="0.3">
      <c r="B1485" s="54" t="s">
        <v>51</v>
      </c>
      <c r="C1485" s="55"/>
      <c r="D1485" s="322"/>
      <c r="E1485" s="322"/>
      <c r="F1485" s="322"/>
      <c r="G1485" s="322"/>
      <c r="H1485" s="322"/>
      <c r="I1485" s="322"/>
      <c r="J1485" s="322"/>
      <c r="K1485" s="322"/>
      <c r="L1485" s="322"/>
      <c r="M1485" s="322"/>
      <c r="N1485" s="322"/>
      <c r="O1485" s="322"/>
      <c r="P1485" s="322"/>
      <c r="Q1485" s="322"/>
      <c r="R1485" s="322"/>
      <c r="S1485" s="322"/>
      <c r="T1485" s="218"/>
      <c r="U1485" s="218"/>
      <c r="V1485" s="218"/>
      <c r="W1485" s="322"/>
      <c r="Y1485" s="390"/>
      <c r="Z1485" s="390"/>
      <c r="AA1485" s="390"/>
      <c r="AB1485" s="390"/>
      <c r="AC1485" s="390"/>
      <c r="AD1485" s="390"/>
      <c r="AE1485" s="390"/>
      <c r="AF1485" s="390"/>
      <c r="AG1485" s="390"/>
      <c r="AH1485" s="390"/>
      <c r="AI1485" s="390"/>
      <c r="AJ1485" s="390"/>
      <c r="AK1485" s="390"/>
      <c r="AL1485" s="390"/>
      <c r="AM1485" s="390"/>
      <c r="AN1485" s="390"/>
      <c r="AO1485" s="390"/>
      <c r="AP1485" s="390"/>
      <c r="AQ1485" s="390"/>
      <c r="AR1485" s="390"/>
      <c r="AS1485" s="390"/>
    </row>
    <row r="1486" spans="2:45" x14ac:dyDescent="0.3">
      <c r="B1486" s="54" t="s">
        <v>56</v>
      </c>
      <c r="C1486" s="55"/>
      <c r="D1486" s="21"/>
      <c r="E1486" s="21"/>
      <c r="F1486" s="21"/>
      <c r="G1486" s="21"/>
      <c r="H1486" s="21"/>
      <c r="I1486" s="21"/>
      <c r="J1486" s="21"/>
      <c r="K1486" s="21"/>
      <c r="L1486" s="21"/>
      <c r="M1486" s="21"/>
      <c r="N1486" s="21"/>
      <c r="O1486" s="21"/>
      <c r="P1486" s="21"/>
      <c r="Q1486" s="21"/>
      <c r="R1486" s="21"/>
      <c r="S1486" s="21"/>
      <c r="T1486" s="21"/>
      <c r="U1486" s="21"/>
      <c r="V1486" s="21"/>
      <c r="W1486" s="21"/>
      <c r="Y1486" s="390"/>
      <c r="Z1486" s="390"/>
      <c r="AA1486" s="390"/>
      <c r="AB1486" s="390"/>
      <c r="AC1486" s="390"/>
      <c r="AD1486" s="390"/>
      <c r="AE1486" s="390"/>
      <c r="AF1486" s="390"/>
      <c r="AG1486" s="390"/>
      <c r="AH1486" s="390"/>
      <c r="AI1486" s="390"/>
      <c r="AJ1486" s="390"/>
      <c r="AK1486" s="390"/>
      <c r="AL1486" s="390"/>
      <c r="AM1486" s="390"/>
      <c r="AN1486" s="390"/>
      <c r="AO1486" s="390"/>
      <c r="AP1486" s="390"/>
      <c r="AQ1486" s="390"/>
      <c r="AR1486" s="390"/>
      <c r="AS1486" s="390"/>
    </row>
    <row r="1487" spans="2:45" x14ac:dyDescent="0.3">
      <c r="B1487" s="177" t="s">
        <v>67</v>
      </c>
      <c r="C1487" s="178"/>
      <c r="D1487" s="323"/>
      <c r="E1487" s="323"/>
      <c r="F1487" s="323"/>
      <c r="G1487" s="323"/>
      <c r="H1487" s="323"/>
      <c r="I1487" s="323"/>
      <c r="J1487" s="323"/>
      <c r="K1487" s="323"/>
      <c r="L1487" s="323"/>
      <c r="M1487" s="323"/>
      <c r="N1487" s="323"/>
      <c r="O1487" s="323"/>
      <c r="P1487" s="323"/>
      <c r="Q1487" s="323"/>
      <c r="R1487" s="323"/>
      <c r="S1487" s="323"/>
      <c r="T1487" s="323"/>
      <c r="U1487" s="323"/>
      <c r="V1487" s="323"/>
      <c r="W1487" s="323"/>
      <c r="Y1487" s="390"/>
      <c r="Z1487" s="390"/>
      <c r="AA1487" s="390"/>
      <c r="AB1487" s="390"/>
      <c r="AC1487" s="390"/>
      <c r="AD1487" s="390"/>
      <c r="AE1487" s="390"/>
      <c r="AF1487" s="390"/>
      <c r="AG1487" s="390"/>
      <c r="AH1487" s="390"/>
      <c r="AI1487" s="390"/>
      <c r="AJ1487" s="390"/>
      <c r="AK1487" s="390"/>
      <c r="AL1487" s="390"/>
      <c r="AM1487" s="390"/>
      <c r="AN1487" s="390"/>
      <c r="AO1487" s="390"/>
      <c r="AP1487" s="390"/>
      <c r="AQ1487" s="390"/>
      <c r="AR1487" s="390"/>
      <c r="AS1487" s="390"/>
    </row>
    <row r="1488" spans="2:45" x14ac:dyDescent="0.3">
      <c r="B1488" s="54" t="s">
        <v>66</v>
      </c>
      <c r="C1488" s="56">
        <v>7.0000000000000007E-2</v>
      </c>
      <c r="D1488" s="24">
        <f>D1487*$C1488</f>
        <v>0</v>
      </c>
      <c r="E1488" s="24">
        <f t="shared" ref="E1488:W1488" si="1098">E1487*$C1488</f>
        <v>0</v>
      </c>
      <c r="F1488" s="24">
        <f t="shared" si="1098"/>
        <v>0</v>
      </c>
      <c r="G1488" s="24">
        <f t="shared" si="1098"/>
        <v>0</v>
      </c>
      <c r="H1488" s="24">
        <f t="shared" si="1098"/>
        <v>0</v>
      </c>
      <c r="I1488" s="24">
        <f t="shared" si="1098"/>
        <v>0</v>
      </c>
      <c r="J1488" s="24">
        <f t="shared" si="1098"/>
        <v>0</v>
      </c>
      <c r="K1488" s="24">
        <f t="shared" si="1098"/>
        <v>0</v>
      </c>
      <c r="L1488" s="24">
        <f t="shared" si="1098"/>
        <v>0</v>
      </c>
      <c r="M1488" s="24">
        <f t="shared" si="1098"/>
        <v>0</v>
      </c>
      <c r="N1488" s="24">
        <f t="shared" si="1098"/>
        <v>0</v>
      </c>
      <c r="O1488" s="24">
        <f t="shared" si="1098"/>
        <v>0</v>
      </c>
      <c r="P1488" s="24">
        <f t="shared" si="1098"/>
        <v>0</v>
      </c>
      <c r="Q1488" s="24">
        <f t="shared" si="1098"/>
        <v>0</v>
      </c>
      <c r="R1488" s="24">
        <f t="shared" si="1098"/>
        <v>0</v>
      </c>
      <c r="S1488" s="24">
        <f t="shared" si="1098"/>
        <v>0</v>
      </c>
      <c r="T1488" s="24">
        <f t="shared" si="1098"/>
        <v>0</v>
      </c>
      <c r="U1488" s="24">
        <f t="shared" si="1098"/>
        <v>0</v>
      </c>
      <c r="V1488" s="24">
        <f t="shared" si="1098"/>
        <v>0</v>
      </c>
      <c r="W1488" s="24">
        <f t="shared" si="1098"/>
        <v>0</v>
      </c>
      <c r="Y1488" s="390"/>
      <c r="Z1488" s="390"/>
      <c r="AA1488" s="390"/>
      <c r="AB1488" s="390"/>
      <c r="AC1488" s="390"/>
      <c r="AD1488" s="390"/>
      <c r="AE1488" s="390"/>
      <c r="AF1488" s="390"/>
      <c r="AG1488" s="390"/>
      <c r="AH1488" s="390"/>
      <c r="AI1488" s="390"/>
      <c r="AJ1488" s="390"/>
      <c r="AK1488" s="390"/>
      <c r="AL1488" s="390"/>
      <c r="AM1488" s="390"/>
      <c r="AN1488" s="390"/>
      <c r="AO1488" s="390"/>
      <c r="AP1488" s="390"/>
      <c r="AQ1488" s="390"/>
      <c r="AR1488" s="390"/>
      <c r="AS1488" s="390"/>
    </row>
    <row r="1489" spans="2:45" x14ac:dyDescent="0.3">
      <c r="B1489" s="54" t="s">
        <v>68</v>
      </c>
      <c r="C1489" s="55"/>
      <c r="D1489" s="21">
        <f>D1487+D1488</f>
        <v>0</v>
      </c>
      <c r="E1489" s="21">
        <f t="shared" ref="E1489:W1489" si="1099">E1487+E1488</f>
        <v>0</v>
      </c>
      <c r="F1489" s="21">
        <f t="shared" si="1099"/>
        <v>0</v>
      </c>
      <c r="G1489" s="21">
        <f t="shared" si="1099"/>
        <v>0</v>
      </c>
      <c r="H1489" s="21">
        <f t="shared" si="1099"/>
        <v>0</v>
      </c>
      <c r="I1489" s="21">
        <f t="shared" si="1099"/>
        <v>0</v>
      </c>
      <c r="J1489" s="21">
        <f t="shared" si="1099"/>
        <v>0</v>
      </c>
      <c r="K1489" s="21">
        <f t="shared" si="1099"/>
        <v>0</v>
      </c>
      <c r="L1489" s="21">
        <f t="shared" si="1099"/>
        <v>0</v>
      </c>
      <c r="M1489" s="21">
        <f t="shared" si="1099"/>
        <v>0</v>
      </c>
      <c r="N1489" s="21">
        <f t="shared" si="1099"/>
        <v>0</v>
      </c>
      <c r="O1489" s="21">
        <f t="shared" si="1099"/>
        <v>0</v>
      </c>
      <c r="P1489" s="21">
        <f t="shared" si="1099"/>
        <v>0</v>
      </c>
      <c r="Q1489" s="21">
        <f t="shared" si="1099"/>
        <v>0</v>
      </c>
      <c r="R1489" s="21">
        <f t="shared" si="1099"/>
        <v>0</v>
      </c>
      <c r="S1489" s="21">
        <f t="shared" si="1099"/>
        <v>0</v>
      </c>
      <c r="T1489" s="21">
        <f t="shared" si="1099"/>
        <v>0</v>
      </c>
      <c r="U1489" s="21">
        <f t="shared" si="1099"/>
        <v>0</v>
      </c>
      <c r="V1489" s="21">
        <f t="shared" si="1099"/>
        <v>0</v>
      </c>
      <c r="W1489" s="21">
        <f t="shared" si="1099"/>
        <v>0</v>
      </c>
      <c r="Y1489" s="390"/>
      <c r="Z1489" s="390"/>
      <c r="AA1489" s="390"/>
      <c r="AB1489" s="390"/>
      <c r="AC1489" s="390"/>
      <c r="AD1489" s="390"/>
      <c r="AE1489" s="390"/>
      <c r="AF1489" s="390"/>
      <c r="AG1489" s="390"/>
      <c r="AH1489" s="390"/>
      <c r="AI1489" s="390"/>
      <c r="AJ1489" s="390"/>
      <c r="AK1489" s="390"/>
      <c r="AL1489" s="390"/>
      <c r="AM1489" s="390"/>
      <c r="AN1489" s="390"/>
      <c r="AO1489" s="390"/>
      <c r="AP1489" s="390"/>
      <c r="AQ1489" s="390"/>
      <c r="AR1489" s="390"/>
      <c r="AS1489" s="390"/>
    </row>
    <row r="1490" spans="2:45" x14ac:dyDescent="0.3">
      <c r="B1490" s="54" t="s">
        <v>52</v>
      </c>
      <c r="C1490" s="55"/>
      <c r="D1490" s="20">
        <v>0.85000000000000009</v>
      </c>
      <c r="E1490" s="21">
        <v>1.7</v>
      </c>
      <c r="F1490" s="21">
        <v>2.0500000000000003</v>
      </c>
      <c r="G1490" s="21">
        <v>1.1499999999999999</v>
      </c>
      <c r="H1490" s="21">
        <v>0.98</v>
      </c>
      <c r="I1490" s="21">
        <v>0.98</v>
      </c>
      <c r="J1490" s="21">
        <v>1.5999999999999999</v>
      </c>
      <c r="K1490" s="21">
        <v>1.45</v>
      </c>
      <c r="L1490" s="21">
        <v>1.45</v>
      </c>
      <c r="M1490" s="21">
        <v>0.7</v>
      </c>
      <c r="N1490" s="21">
        <v>0.82000000000000006</v>
      </c>
      <c r="O1490" s="21">
        <v>0.98</v>
      </c>
      <c r="P1490" s="21">
        <v>0.59000000000000008</v>
      </c>
      <c r="Q1490" s="21">
        <v>0.59000000000000008</v>
      </c>
      <c r="R1490" s="21">
        <v>0.98</v>
      </c>
      <c r="S1490" s="21">
        <v>0.85000000000000009</v>
      </c>
      <c r="T1490" s="21">
        <v>6.7</v>
      </c>
      <c r="U1490" s="21">
        <v>11.2</v>
      </c>
      <c r="V1490" s="21">
        <v>6.7</v>
      </c>
      <c r="W1490" s="21">
        <v>0.59000000000000008</v>
      </c>
      <c r="Y1490" s="390"/>
      <c r="Z1490" s="390"/>
      <c r="AA1490" s="390"/>
      <c r="AB1490" s="390"/>
      <c r="AC1490" s="390"/>
      <c r="AD1490" s="390"/>
      <c r="AE1490" s="390"/>
      <c r="AF1490" s="390"/>
      <c r="AG1490" s="390"/>
      <c r="AH1490" s="390"/>
      <c r="AI1490" s="390"/>
      <c r="AJ1490" s="390"/>
      <c r="AK1490" s="390"/>
      <c r="AL1490" s="390"/>
      <c r="AM1490" s="390"/>
      <c r="AN1490" s="390"/>
      <c r="AO1490" s="390"/>
      <c r="AP1490" s="390"/>
      <c r="AQ1490" s="390"/>
      <c r="AR1490" s="390"/>
      <c r="AS1490" s="390"/>
    </row>
    <row r="1491" spans="2:45" x14ac:dyDescent="0.3">
      <c r="B1491" s="57" t="s">
        <v>53</v>
      </c>
      <c r="C1491" s="58"/>
      <c r="D1491" s="25">
        <f>SUM(D1489:D1490)</f>
        <v>0.85000000000000009</v>
      </c>
      <c r="E1491" s="26">
        <f t="shared" ref="E1491:W1491" si="1100">SUM(E1489:E1490)</f>
        <v>1.7</v>
      </c>
      <c r="F1491" s="26">
        <f t="shared" si="1100"/>
        <v>2.0500000000000003</v>
      </c>
      <c r="G1491" s="26">
        <f t="shared" si="1100"/>
        <v>1.1499999999999999</v>
      </c>
      <c r="H1491" s="26">
        <f t="shared" si="1100"/>
        <v>0.98</v>
      </c>
      <c r="I1491" s="26">
        <f t="shared" si="1100"/>
        <v>0.98</v>
      </c>
      <c r="J1491" s="26">
        <f t="shared" si="1100"/>
        <v>1.5999999999999999</v>
      </c>
      <c r="K1491" s="26">
        <f t="shared" si="1100"/>
        <v>1.45</v>
      </c>
      <c r="L1491" s="26">
        <f t="shared" si="1100"/>
        <v>1.45</v>
      </c>
      <c r="M1491" s="26">
        <f t="shared" si="1100"/>
        <v>0.7</v>
      </c>
      <c r="N1491" s="26">
        <f t="shared" si="1100"/>
        <v>0.82000000000000006</v>
      </c>
      <c r="O1491" s="26">
        <f t="shared" si="1100"/>
        <v>0.98</v>
      </c>
      <c r="P1491" s="26">
        <f t="shared" si="1100"/>
        <v>0.59000000000000008</v>
      </c>
      <c r="Q1491" s="26">
        <f t="shared" si="1100"/>
        <v>0.59000000000000008</v>
      </c>
      <c r="R1491" s="26">
        <f t="shared" si="1100"/>
        <v>0.98</v>
      </c>
      <c r="S1491" s="26">
        <f t="shared" si="1100"/>
        <v>0.85000000000000009</v>
      </c>
      <c r="T1491" s="26">
        <f t="shared" si="1100"/>
        <v>6.7</v>
      </c>
      <c r="U1491" s="26">
        <f t="shared" si="1100"/>
        <v>11.2</v>
      </c>
      <c r="V1491" s="26">
        <f t="shared" si="1100"/>
        <v>6.7</v>
      </c>
      <c r="W1491" s="26">
        <f t="shared" si="1100"/>
        <v>0.59000000000000008</v>
      </c>
      <c r="Y1491" s="390"/>
      <c r="Z1491" s="390"/>
      <c r="AA1491" s="390"/>
      <c r="AB1491" s="390"/>
      <c r="AC1491" s="390"/>
      <c r="AD1491" s="390"/>
      <c r="AE1491" s="390"/>
      <c r="AF1491" s="390"/>
      <c r="AG1491" s="390"/>
      <c r="AH1491" s="390"/>
      <c r="AI1491" s="390"/>
      <c r="AJ1491" s="390"/>
      <c r="AK1491" s="390"/>
      <c r="AL1491" s="390"/>
      <c r="AM1491" s="390"/>
      <c r="AN1491" s="390"/>
      <c r="AO1491" s="390"/>
      <c r="AP1491" s="390"/>
      <c r="AQ1491" s="390"/>
      <c r="AR1491" s="390"/>
      <c r="AS1491" s="390"/>
    </row>
    <row r="1492" spans="2:45" x14ac:dyDescent="0.3">
      <c r="B1492" s="54" t="s">
        <v>54</v>
      </c>
      <c r="C1492" s="55"/>
      <c r="D1492" s="20"/>
      <c r="E1492" s="21"/>
      <c r="F1492" s="21"/>
      <c r="G1492" s="21"/>
      <c r="H1492" s="21"/>
      <c r="I1492" s="21"/>
      <c r="J1492" s="21"/>
      <c r="K1492" s="21"/>
      <c r="L1492" s="21"/>
      <c r="M1492" s="21"/>
      <c r="N1492" s="21"/>
      <c r="O1492" s="21"/>
      <c r="P1492" s="21"/>
      <c r="Q1492" s="21"/>
      <c r="R1492" s="21"/>
      <c r="S1492" s="21"/>
      <c r="T1492" s="21"/>
      <c r="U1492" s="21"/>
      <c r="V1492" s="21"/>
      <c r="W1492" s="21"/>
      <c r="Y1492" s="390"/>
      <c r="Z1492" s="390"/>
      <c r="AA1492" s="390"/>
      <c r="AB1492" s="390"/>
      <c r="AC1492" s="390"/>
      <c r="AD1492" s="390"/>
      <c r="AE1492" s="390"/>
      <c r="AF1492" s="390"/>
      <c r="AG1492" s="390"/>
      <c r="AH1492" s="390"/>
      <c r="AI1492" s="390"/>
      <c r="AJ1492" s="390"/>
      <c r="AK1492" s="390"/>
      <c r="AL1492" s="390"/>
      <c r="AM1492" s="390"/>
      <c r="AN1492" s="390"/>
      <c r="AO1492" s="390"/>
      <c r="AP1492" s="390"/>
      <c r="AQ1492" s="390"/>
      <c r="AR1492" s="390"/>
      <c r="AS1492" s="390"/>
    </row>
    <row r="1493" spans="2:45" x14ac:dyDescent="0.3">
      <c r="B1493" s="59" t="s">
        <v>55</v>
      </c>
      <c r="C1493" s="60"/>
      <c r="D1493" s="27">
        <f>SUM(D1491:D1492)</f>
        <v>0.85000000000000009</v>
      </c>
      <c r="E1493" s="41">
        <f t="shared" ref="E1493:W1493" si="1101">SUM(E1491:E1492)</f>
        <v>1.7</v>
      </c>
      <c r="F1493" s="41">
        <f t="shared" si="1101"/>
        <v>2.0500000000000003</v>
      </c>
      <c r="G1493" s="41">
        <f t="shared" si="1101"/>
        <v>1.1499999999999999</v>
      </c>
      <c r="H1493" s="41">
        <f t="shared" si="1101"/>
        <v>0.98</v>
      </c>
      <c r="I1493" s="41">
        <f t="shared" si="1101"/>
        <v>0.98</v>
      </c>
      <c r="J1493" s="41">
        <f t="shared" si="1101"/>
        <v>1.5999999999999999</v>
      </c>
      <c r="K1493" s="41">
        <f t="shared" si="1101"/>
        <v>1.45</v>
      </c>
      <c r="L1493" s="41">
        <f t="shared" si="1101"/>
        <v>1.45</v>
      </c>
      <c r="M1493" s="41">
        <f t="shared" si="1101"/>
        <v>0.7</v>
      </c>
      <c r="N1493" s="41">
        <f t="shared" si="1101"/>
        <v>0.82000000000000006</v>
      </c>
      <c r="O1493" s="41">
        <f t="shared" si="1101"/>
        <v>0.98</v>
      </c>
      <c r="P1493" s="41">
        <f t="shared" si="1101"/>
        <v>0.59000000000000008</v>
      </c>
      <c r="Q1493" s="41">
        <f t="shared" si="1101"/>
        <v>0.59000000000000008</v>
      </c>
      <c r="R1493" s="41">
        <f t="shared" si="1101"/>
        <v>0.98</v>
      </c>
      <c r="S1493" s="41">
        <f t="shared" si="1101"/>
        <v>0.85000000000000009</v>
      </c>
      <c r="T1493" s="41">
        <f t="shared" si="1101"/>
        <v>6.7</v>
      </c>
      <c r="U1493" s="41">
        <f t="shared" si="1101"/>
        <v>11.2</v>
      </c>
      <c r="V1493" s="41">
        <f t="shared" si="1101"/>
        <v>6.7</v>
      </c>
      <c r="W1493" s="41">
        <f t="shared" si="1101"/>
        <v>0.59000000000000008</v>
      </c>
      <c r="Y1493" s="390"/>
      <c r="Z1493" s="390"/>
      <c r="AA1493" s="390"/>
      <c r="AB1493" s="390"/>
      <c r="AC1493" s="390"/>
      <c r="AD1493" s="390"/>
      <c r="AE1493" s="390"/>
      <c r="AF1493" s="390"/>
      <c r="AG1493" s="390"/>
      <c r="AH1493" s="390"/>
      <c r="AI1493" s="390"/>
      <c r="AJ1493" s="390"/>
      <c r="AK1493" s="390"/>
      <c r="AL1493" s="390"/>
      <c r="AM1493" s="390"/>
      <c r="AN1493" s="390"/>
      <c r="AO1493" s="390"/>
      <c r="AP1493" s="390"/>
      <c r="AQ1493" s="390"/>
      <c r="AR1493" s="390"/>
      <c r="AS1493" s="390"/>
    </row>
    <row r="1494" spans="2:45" x14ac:dyDescent="0.3">
      <c r="B1494" s="61" t="s">
        <v>101</v>
      </c>
      <c r="C1494" s="55"/>
      <c r="D1494" s="228">
        <f>D1495-1</f>
        <v>3</v>
      </c>
      <c r="E1494" s="229">
        <f t="shared" ref="E1494:S1494" si="1102">E1495-1</f>
        <v>4</v>
      </c>
      <c r="F1494" s="229">
        <f t="shared" si="1102"/>
        <v>5</v>
      </c>
      <c r="G1494" s="229">
        <f t="shared" si="1102"/>
        <v>4</v>
      </c>
      <c r="H1494" s="229">
        <f t="shared" si="1102"/>
        <v>3</v>
      </c>
      <c r="I1494" s="229">
        <f t="shared" si="1102"/>
        <v>3</v>
      </c>
      <c r="J1494" s="229">
        <f t="shared" si="1102"/>
        <v>4</v>
      </c>
      <c r="K1494" s="229">
        <f t="shared" si="1102"/>
        <v>4</v>
      </c>
      <c r="L1494" s="229">
        <f t="shared" si="1102"/>
        <v>4</v>
      </c>
      <c r="M1494" s="229">
        <f t="shared" si="1102"/>
        <v>3</v>
      </c>
      <c r="N1494" s="229">
        <f t="shared" si="1102"/>
        <v>3</v>
      </c>
      <c r="O1494" s="229">
        <f t="shared" si="1102"/>
        <v>3</v>
      </c>
      <c r="P1494" s="229">
        <f t="shared" si="1102"/>
        <v>3</v>
      </c>
      <c r="Q1494" s="229">
        <f t="shared" si="1102"/>
        <v>3</v>
      </c>
      <c r="R1494" s="229">
        <f t="shared" si="1102"/>
        <v>3</v>
      </c>
      <c r="S1494" s="229">
        <f t="shared" si="1102"/>
        <v>3</v>
      </c>
      <c r="T1494" s="21"/>
      <c r="U1494" s="21"/>
      <c r="V1494" s="21"/>
      <c r="W1494" s="229">
        <f>W1495-1</f>
        <v>3</v>
      </c>
      <c r="Y1494" s="390"/>
      <c r="Z1494" s="390"/>
      <c r="AA1494" s="390"/>
      <c r="AB1494" s="390"/>
      <c r="AC1494" s="390"/>
      <c r="AD1494" s="390"/>
      <c r="AE1494" s="390"/>
      <c r="AF1494" s="390"/>
      <c r="AG1494" s="390"/>
      <c r="AH1494" s="390"/>
      <c r="AI1494" s="390"/>
      <c r="AJ1494" s="390"/>
      <c r="AK1494" s="390"/>
      <c r="AL1494" s="390"/>
      <c r="AM1494" s="390"/>
      <c r="AN1494" s="390"/>
      <c r="AO1494" s="390"/>
      <c r="AP1494" s="390"/>
      <c r="AQ1494" s="390"/>
      <c r="AR1494" s="390"/>
      <c r="AS1494" s="390"/>
    </row>
    <row r="1495" spans="2:45" x14ac:dyDescent="0.3">
      <c r="B1495" s="61" t="s">
        <v>194</v>
      </c>
      <c r="C1495" s="62"/>
      <c r="D1495" s="28">
        <f>ROUNDUP((D1493+3),0)</f>
        <v>4</v>
      </c>
      <c r="E1495" s="28">
        <f t="shared" ref="E1495:S1495" si="1103">ROUNDUP((E1493+3),0)</f>
        <v>5</v>
      </c>
      <c r="F1495" s="28">
        <f t="shared" si="1103"/>
        <v>6</v>
      </c>
      <c r="G1495" s="28">
        <f t="shared" si="1103"/>
        <v>5</v>
      </c>
      <c r="H1495" s="28">
        <f t="shared" si="1103"/>
        <v>4</v>
      </c>
      <c r="I1495" s="28">
        <f t="shared" si="1103"/>
        <v>4</v>
      </c>
      <c r="J1495" s="28">
        <f t="shared" si="1103"/>
        <v>5</v>
      </c>
      <c r="K1495" s="28">
        <f t="shared" si="1103"/>
        <v>5</v>
      </c>
      <c r="L1495" s="28">
        <f t="shared" si="1103"/>
        <v>5</v>
      </c>
      <c r="M1495" s="28">
        <f t="shared" si="1103"/>
        <v>4</v>
      </c>
      <c r="N1495" s="28">
        <f t="shared" si="1103"/>
        <v>4</v>
      </c>
      <c r="O1495" s="28">
        <f t="shared" si="1103"/>
        <v>4</v>
      </c>
      <c r="P1495" s="28">
        <f t="shared" si="1103"/>
        <v>4</v>
      </c>
      <c r="Q1495" s="28">
        <f t="shared" si="1103"/>
        <v>4</v>
      </c>
      <c r="R1495" s="28">
        <f t="shared" si="1103"/>
        <v>4</v>
      </c>
      <c r="S1495" s="28">
        <f t="shared" si="1103"/>
        <v>4</v>
      </c>
      <c r="T1495" s="29"/>
      <c r="U1495" s="29"/>
      <c r="V1495" s="29"/>
      <c r="W1495" s="28">
        <f>ROUNDUP((W1493+3),0)</f>
        <v>4</v>
      </c>
      <c r="Y1495" s="390"/>
      <c r="Z1495" s="390"/>
      <c r="AA1495" s="390"/>
      <c r="AB1495" s="390"/>
      <c r="AC1495" s="390"/>
      <c r="AD1495" s="390"/>
      <c r="AE1495" s="390"/>
      <c r="AF1495" s="390"/>
      <c r="AG1495" s="390"/>
      <c r="AH1495" s="390"/>
      <c r="AI1495" s="390"/>
      <c r="AJ1495" s="390"/>
      <c r="AK1495" s="390"/>
      <c r="AL1495" s="390"/>
      <c r="AM1495" s="390"/>
      <c r="AN1495" s="390"/>
      <c r="AO1495" s="390"/>
      <c r="AP1495" s="390"/>
      <c r="AQ1495" s="390"/>
      <c r="AR1495" s="390"/>
      <c r="AS1495" s="390"/>
    </row>
    <row r="1496" spans="2:45" x14ac:dyDescent="0.3">
      <c r="B1496" s="61" t="s">
        <v>195</v>
      </c>
      <c r="C1496" s="62"/>
      <c r="D1496" s="28">
        <f>ROUNDUP((D1493+4),0)</f>
        <v>5</v>
      </c>
      <c r="E1496" s="28">
        <f t="shared" ref="E1496:S1496" si="1104">ROUNDUP((E1493+4),0)</f>
        <v>6</v>
      </c>
      <c r="F1496" s="28">
        <f t="shared" si="1104"/>
        <v>7</v>
      </c>
      <c r="G1496" s="28">
        <f t="shared" si="1104"/>
        <v>6</v>
      </c>
      <c r="H1496" s="28">
        <f t="shared" si="1104"/>
        <v>5</v>
      </c>
      <c r="I1496" s="28">
        <f t="shared" si="1104"/>
        <v>5</v>
      </c>
      <c r="J1496" s="28">
        <f t="shared" si="1104"/>
        <v>6</v>
      </c>
      <c r="K1496" s="28">
        <f t="shared" si="1104"/>
        <v>6</v>
      </c>
      <c r="L1496" s="28">
        <f t="shared" si="1104"/>
        <v>6</v>
      </c>
      <c r="M1496" s="28">
        <f t="shared" si="1104"/>
        <v>5</v>
      </c>
      <c r="N1496" s="28">
        <f t="shared" si="1104"/>
        <v>5</v>
      </c>
      <c r="O1496" s="28">
        <f t="shared" si="1104"/>
        <v>5</v>
      </c>
      <c r="P1496" s="28">
        <f t="shared" si="1104"/>
        <v>5</v>
      </c>
      <c r="Q1496" s="28">
        <f t="shared" si="1104"/>
        <v>5</v>
      </c>
      <c r="R1496" s="28">
        <f t="shared" si="1104"/>
        <v>5</v>
      </c>
      <c r="S1496" s="28">
        <f t="shared" si="1104"/>
        <v>5</v>
      </c>
      <c r="T1496" s="29"/>
      <c r="U1496" s="29"/>
      <c r="V1496" s="29"/>
      <c r="W1496" s="28">
        <f>ROUNDUP((W1493+4),0)</f>
        <v>5</v>
      </c>
      <c r="Y1496" s="390"/>
      <c r="Z1496" s="390"/>
      <c r="AA1496" s="390"/>
      <c r="AB1496" s="390"/>
      <c r="AC1496" s="390"/>
      <c r="AD1496" s="390"/>
      <c r="AE1496" s="390"/>
      <c r="AF1496" s="390"/>
      <c r="AG1496" s="390"/>
      <c r="AH1496" s="390"/>
      <c r="AI1496" s="390"/>
      <c r="AJ1496" s="390"/>
      <c r="AK1496" s="390"/>
      <c r="AL1496" s="390"/>
      <c r="AM1496" s="390"/>
      <c r="AN1496" s="390"/>
      <c r="AO1496" s="390"/>
      <c r="AP1496" s="390"/>
      <c r="AQ1496" s="390"/>
      <c r="AR1496" s="390"/>
      <c r="AS1496" s="390"/>
    </row>
    <row r="1497" spans="2:45" x14ac:dyDescent="0.3">
      <c r="B1497" s="61" t="s">
        <v>196</v>
      </c>
      <c r="C1497" s="62"/>
      <c r="D1497" s="28">
        <f>ROUNDUP((D1493+6),0)</f>
        <v>7</v>
      </c>
      <c r="E1497" s="28">
        <f t="shared" ref="E1497:S1497" si="1105">ROUNDUP((E1493+6),0)</f>
        <v>8</v>
      </c>
      <c r="F1497" s="28">
        <f t="shared" si="1105"/>
        <v>9</v>
      </c>
      <c r="G1497" s="28">
        <f t="shared" si="1105"/>
        <v>8</v>
      </c>
      <c r="H1497" s="28">
        <f t="shared" si="1105"/>
        <v>7</v>
      </c>
      <c r="I1497" s="28">
        <f t="shared" si="1105"/>
        <v>7</v>
      </c>
      <c r="J1497" s="28">
        <f t="shared" si="1105"/>
        <v>8</v>
      </c>
      <c r="K1497" s="28">
        <f t="shared" si="1105"/>
        <v>8</v>
      </c>
      <c r="L1497" s="28">
        <f t="shared" si="1105"/>
        <v>8</v>
      </c>
      <c r="M1497" s="28">
        <f t="shared" si="1105"/>
        <v>7</v>
      </c>
      <c r="N1497" s="28">
        <f t="shared" si="1105"/>
        <v>7</v>
      </c>
      <c r="O1497" s="28">
        <f t="shared" si="1105"/>
        <v>7</v>
      </c>
      <c r="P1497" s="28">
        <f t="shared" si="1105"/>
        <v>7</v>
      </c>
      <c r="Q1497" s="28">
        <f t="shared" si="1105"/>
        <v>7</v>
      </c>
      <c r="R1497" s="28">
        <f t="shared" si="1105"/>
        <v>7</v>
      </c>
      <c r="S1497" s="28">
        <f t="shared" si="1105"/>
        <v>7</v>
      </c>
      <c r="T1497" s="29"/>
      <c r="U1497" s="29"/>
      <c r="V1497" s="29"/>
      <c r="W1497" s="28">
        <f>ROUNDUP((W1493+6),0)</f>
        <v>7</v>
      </c>
      <c r="Y1497" s="390"/>
      <c r="Z1497" s="390"/>
      <c r="AA1497" s="390"/>
      <c r="AB1497" s="390"/>
      <c r="AC1497" s="390"/>
      <c r="AD1497" s="390"/>
      <c r="AE1497" s="390"/>
      <c r="AF1497" s="390"/>
      <c r="AG1497" s="390"/>
      <c r="AH1497" s="390"/>
      <c r="AI1497" s="390"/>
      <c r="AJ1497" s="390"/>
      <c r="AK1497" s="390"/>
      <c r="AL1497" s="390"/>
      <c r="AM1497" s="390"/>
      <c r="AN1497" s="390"/>
      <c r="AO1497" s="390"/>
      <c r="AP1497" s="390"/>
      <c r="AQ1497" s="390"/>
      <c r="AR1497" s="390"/>
      <c r="AS1497" s="390"/>
    </row>
    <row r="1498" spans="2:45" x14ac:dyDescent="0.3">
      <c r="B1498" s="61" t="s">
        <v>197</v>
      </c>
      <c r="C1498" s="62"/>
      <c r="D1498" s="28">
        <f>ROUNDUP((D1493+10),0)</f>
        <v>11</v>
      </c>
      <c r="E1498" s="28">
        <f t="shared" ref="E1498:S1498" si="1106">ROUNDUP((E1493+10),0)</f>
        <v>12</v>
      </c>
      <c r="F1498" s="28">
        <f t="shared" si="1106"/>
        <v>13</v>
      </c>
      <c r="G1498" s="28">
        <f t="shared" si="1106"/>
        <v>12</v>
      </c>
      <c r="H1498" s="28">
        <f t="shared" si="1106"/>
        <v>11</v>
      </c>
      <c r="I1498" s="28">
        <f t="shared" si="1106"/>
        <v>11</v>
      </c>
      <c r="J1498" s="28">
        <f t="shared" si="1106"/>
        <v>12</v>
      </c>
      <c r="K1498" s="28">
        <f t="shared" si="1106"/>
        <v>12</v>
      </c>
      <c r="L1498" s="28">
        <f t="shared" si="1106"/>
        <v>12</v>
      </c>
      <c r="M1498" s="28">
        <f t="shared" si="1106"/>
        <v>11</v>
      </c>
      <c r="N1498" s="28">
        <f t="shared" si="1106"/>
        <v>11</v>
      </c>
      <c r="O1498" s="28">
        <f t="shared" si="1106"/>
        <v>11</v>
      </c>
      <c r="P1498" s="28">
        <f t="shared" si="1106"/>
        <v>11</v>
      </c>
      <c r="Q1498" s="28">
        <f t="shared" si="1106"/>
        <v>11</v>
      </c>
      <c r="R1498" s="28">
        <f t="shared" si="1106"/>
        <v>11</v>
      </c>
      <c r="S1498" s="28">
        <f t="shared" si="1106"/>
        <v>11</v>
      </c>
      <c r="T1498" s="29"/>
      <c r="U1498" s="29"/>
      <c r="V1498" s="29"/>
      <c r="W1498" s="28">
        <f>ROUNDUP((W1493+10),0)</f>
        <v>11</v>
      </c>
      <c r="Y1498" s="390"/>
      <c r="Z1498" s="390"/>
      <c r="AA1498" s="390"/>
      <c r="AB1498" s="390"/>
      <c r="AC1498" s="390"/>
      <c r="AD1498" s="390"/>
      <c r="AE1498" s="390"/>
      <c r="AF1498" s="390"/>
      <c r="AG1498" s="390"/>
      <c r="AH1498" s="390"/>
      <c r="AI1498" s="390"/>
      <c r="AJ1498" s="390"/>
      <c r="AK1498" s="390"/>
      <c r="AL1498" s="390"/>
      <c r="AM1498" s="390"/>
      <c r="AN1498" s="390"/>
      <c r="AO1498" s="390"/>
      <c r="AP1498" s="390"/>
      <c r="AQ1498" s="390"/>
      <c r="AR1498" s="390"/>
      <c r="AS1498" s="390"/>
    </row>
    <row r="1499" spans="2:45" x14ac:dyDescent="0.3">
      <c r="B1499" s="63" t="s">
        <v>103</v>
      </c>
      <c r="C1499" s="62"/>
      <c r="D1499" s="31">
        <f>+D1494-D$833</f>
        <v>-382.62882580645157</v>
      </c>
      <c r="E1499" s="31">
        <f>+E1494-E$833</f>
        <v>-394.01592258064517</v>
      </c>
      <c r="F1499" s="31">
        <f t="shared" ref="F1499:S1499" si="1107">+F1494-F$833</f>
        <v>-399.79011612903224</v>
      </c>
      <c r="G1499" s="31">
        <f t="shared" si="1107"/>
        <v>-388.20947096774194</v>
      </c>
      <c r="H1499" s="31">
        <f t="shared" si="1107"/>
        <v>-384.69334193548383</v>
      </c>
      <c r="I1499" s="31">
        <f t="shared" si="1107"/>
        <v>-388.88689032258065</v>
      </c>
      <c r="J1499" s="31">
        <f t="shared" si="1107"/>
        <v>-394.98366451612901</v>
      </c>
      <c r="K1499" s="31">
        <f t="shared" si="1107"/>
        <v>-391.4352774193548</v>
      </c>
      <c r="L1499" s="31">
        <f t="shared" si="1107"/>
        <v>-392.72559999999999</v>
      </c>
      <c r="M1499" s="31">
        <f t="shared" si="1107"/>
        <v>-382.88689032258065</v>
      </c>
      <c r="N1499" s="31">
        <f t="shared" si="1107"/>
        <v>-384.95140645161291</v>
      </c>
      <c r="O1499" s="31">
        <f t="shared" si="1107"/>
        <v>-389.20947096774194</v>
      </c>
      <c r="P1499" s="31">
        <f t="shared" si="1107"/>
        <v>-380.17721290322578</v>
      </c>
      <c r="Q1499" s="31">
        <f t="shared" si="1107"/>
        <v>-380.17721290322578</v>
      </c>
      <c r="R1499" s="31">
        <f t="shared" si="1107"/>
        <v>-386.62882580645157</v>
      </c>
      <c r="S1499" s="31">
        <f t="shared" si="1107"/>
        <v>-384.8223741935484</v>
      </c>
      <c r="T1499" s="29"/>
      <c r="U1499" s="29"/>
      <c r="V1499" s="29"/>
      <c r="W1499" s="31">
        <f>+W1494-W$833</f>
        <v>-380.17721290322578</v>
      </c>
      <c r="Y1499" s="390"/>
      <c r="Z1499" s="390"/>
      <c r="AA1499" s="390"/>
      <c r="AB1499" s="390"/>
      <c r="AC1499" s="390"/>
      <c r="AD1499" s="390"/>
      <c r="AE1499" s="390"/>
      <c r="AF1499" s="390"/>
      <c r="AG1499" s="390"/>
      <c r="AH1499" s="390"/>
      <c r="AI1499" s="390"/>
      <c r="AJ1499" s="390"/>
      <c r="AK1499" s="390"/>
      <c r="AL1499" s="390"/>
      <c r="AM1499" s="390"/>
      <c r="AN1499" s="390"/>
      <c r="AO1499" s="390"/>
      <c r="AP1499" s="390"/>
      <c r="AQ1499" s="390"/>
      <c r="AR1499" s="390"/>
      <c r="AS1499" s="390"/>
    </row>
    <row r="1500" spans="2:45" x14ac:dyDescent="0.3">
      <c r="B1500" s="63" t="s">
        <v>104</v>
      </c>
      <c r="C1500" s="64"/>
      <c r="D1500" s="31">
        <f>+D1495-D$833</f>
        <v>-381.62882580645157</v>
      </c>
      <c r="E1500" s="32">
        <f t="shared" ref="E1500:S1500" si="1108">+E1495-E$833</f>
        <v>-393.01592258064517</v>
      </c>
      <c r="F1500" s="32">
        <f t="shared" si="1108"/>
        <v>-398.79011612903224</v>
      </c>
      <c r="G1500" s="32">
        <f t="shared" si="1108"/>
        <v>-387.20947096774194</v>
      </c>
      <c r="H1500" s="32">
        <f t="shared" si="1108"/>
        <v>-383.69334193548383</v>
      </c>
      <c r="I1500" s="32">
        <f t="shared" si="1108"/>
        <v>-387.88689032258065</v>
      </c>
      <c r="J1500" s="32">
        <f t="shared" si="1108"/>
        <v>-393.98366451612901</v>
      </c>
      <c r="K1500" s="32">
        <f t="shared" si="1108"/>
        <v>-390.4352774193548</v>
      </c>
      <c r="L1500" s="32">
        <f t="shared" si="1108"/>
        <v>-391.72559999999999</v>
      </c>
      <c r="M1500" s="32">
        <f t="shared" si="1108"/>
        <v>-381.88689032258065</v>
      </c>
      <c r="N1500" s="32">
        <f t="shared" si="1108"/>
        <v>-383.95140645161291</v>
      </c>
      <c r="O1500" s="32">
        <f t="shared" si="1108"/>
        <v>-388.20947096774194</v>
      </c>
      <c r="P1500" s="32">
        <f t="shared" si="1108"/>
        <v>-379.17721290322578</v>
      </c>
      <c r="Q1500" s="32">
        <f t="shared" si="1108"/>
        <v>-379.17721290322578</v>
      </c>
      <c r="R1500" s="32">
        <f t="shared" si="1108"/>
        <v>-385.62882580645157</v>
      </c>
      <c r="S1500" s="32">
        <f t="shared" si="1108"/>
        <v>-383.8223741935484</v>
      </c>
      <c r="T1500" s="32"/>
      <c r="U1500" s="32"/>
      <c r="V1500" s="32"/>
      <c r="W1500" s="32">
        <f>+W1495-W$833</f>
        <v>-379.17721290322578</v>
      </c>
      <c r="Y1500" s="390"/>
      <c r="Z1500" s="390"/>
      <c r="AA1500" s="390"/>
      <c r="AB1500" s="390"/>
      <c r="AC1500" s="390"/>
      <c r="AD1500" s="390"/>
      <c r="AE1500" s="390"/>
      <c r="AF1500" s="390"/>
      <c r="AG1500" s="390"/>
      <c r="AH1500" s="390"/>
      <c r="AI1500" s="390"/>
      <c r="AJ1500" s="390"/>
      <c r="AK1500" s="390"/>
      <c r="AL1500" s="390"/>
      <c r="AM1500" s="390"/>
      <c r="AN1500" s="390"/>
      <c r="AO1500" s="390"/>
      <c r="AP1500" s="390"/>
      <c r="AQ1500" s="390"/>
      <c r="AR1500" s="390"/>
      <c r="AS1500" s="390"/>
    </row>
    <row r="1501" spans="2:45" x14ac:dyDescent="0.3">
      <c r="B1501" s="63" t="s">
        <v>105</v>
      </c>
      <c r="C1501" s="64"/>
      <c r="D1501" s="31">
        <f>+D1496-D$833</f>
        <v>-380.62882580645157</v>
      </c>
      <c r="E1501" s="32">
        <f t="shared" ref="E1501:S1501" si="1109">+E1496-E$833</f>
        <v>-392.01592258064517</v>
      </c>
      <c r="F1501" s="32">
        <f t="shared" si="1109"/>
        <v>-397.79011612903224</v>
      </c>
      <c r="G1501" s="32">
        <f t="shared" si="1109"/>
        <v>-386.20947096774194</v>
      </c>
      <c r="H1501" s="32">
        <f t="shared" si="1109"/>
        <v>-382.69334193548383</v>
      </c>
      <c r="I1501" s="32">
        <f t="shared" si="1109"/>
        <v>-386.88689032258065</v>
      </c>
      <c r="J1501" s="32">
        <f t="shared" si="1109"/>
        <v>-392.98366451612901</v>
      </c>
      <c r="K1501" s="32">
        <f t="shared" si="1109"/>
        <v>-389.4352774193548</v>
      </c>
      <c r="L1501" s="32">
        <f t="shared" si="1109"/>
        <v>-390.72559999999999</v>
      </c>
      <c r="M1501" s="32">
        <f t="shared" si="1109"/>
        <v>-380.88689032258065</v>
      </c>
      <c r="N1501" s="32">
        <f t="shared" si="1109"/>
        <v>-382.95140645161291</v>
      </c>
      <c r="O1501" s="32">
        <f t="shared" si="1109"/>
        <v>-387.20947096774194</v>
      </c>
      <c r="P1501" s="32">
        <f t="shared" si="1109"/>
        <v>-378.17721290322578</v>
      </c>
      <c r="Q1501" s="32">
        <f t="shared" si="1109"/>
        <v>-378.17721290322578</v>
      </c>
      <c r="R1501" s="32">
        <f t="shared" si="1109"/>
        <v>-384.62882580645157</v>
      </c>
      <c r="S1501" s="32">
        <f t="shared" si="1109"/>
        <v>-382.8223741935484</v>
      </c>
      <c r="T1501" s="32"/>
      <c r="U1501" s="32"/>
      <c r="V1501" s="32"/>
      <c r="W1501" s="32">
        <f>+W1496-W$833</f>
        <v>-378.17721290322578</v>
      </c>
      <c r="Y1501" s="390"/>
      <c r="Z1501" s="390"/>
      <c r="AA1501" s="390"/>
      <c r="AB1501" s="390"/>
      <c r="AC1501" s="390"/>
      <c r="AD1501" s="390"/>
      <c r="AE1501" s="390"/>
      <c r="AF1501" s="390"/>
      <c r="AG1501" s="390"/>
      <c r="AH1501" s="390"/>
      <c r="AI1501" s="390"/>
      <c r="AJ1501" s="390"/>
      <c r="AK1501" s="390"/>
      <c r="AL1501" s="390"/>
      <c r="AM1501" s="390"/>
      <c r="AN1501" s="390"/>
      <c r="AO1501" s="390"/>
      <c r="AP1501" s="390"/>
      <c r="AQ1501" s="390"/>
      <c r="AR1501" s="390"/>
      <c r="AS1501" s="390"/>
    </row>
    <row r="1502" spans="2:45" x14ac:dyDescent="0.3">
      <c r="B1502" s="63" t="s">
        <v>75</v>
      </c>
      <c r="C1502" s="64"/>
      <c r="D1502" s="31">
        <f>+D1497-D$833</f>
        <v>-378.62882580645157</v>
      </c>
      <c r="E1502" s="32">
        <f t="shared" ref="E1502:S1502" si="1110">+E1497-E$833</f>
        <v>-390.01592258064517</v>
      </c>
      <c r="F1502" s="32">
        <f t="shared" si="1110"/>
        <v>-395.79011612903224</v>
      </c>
      <c r="G1502" s="32">
        <f t="shared" si="1110"/>
        <v>-384.20947096774194</v>
      </c>
      <c r="H1502" s="32">
        <f t="shared" si="1110"/>
        <v>-380.69334193548383</v>
      </c>
      <c r="I1502" s="32">
        <f t="shared" si="1110"/>
        <v>-384.88689032258065</v>
      </c>
      <c r="J1502" s="32">
        <f t="shared" si="1110"/>
        <v>-390.98366451612901</v>
      </c>
      <c r="K1502" s="32">
        <f t="shared" si="1110"/>
        <v>-387.4352774193548</v>
      </c>
      <c r="L1502" s="32">
        <f t="shared" si="1110"/>
        <v>-388.72559999999999</v>
      </c>
      <c r="M1502" s="32">
        <f t="shared" si="1110"/>
        <v>-378.88689032258065</v>
      </c>
      <c r="N1502" s="32">
        <f t="shared" si="1110"/>
        <v>-380.95140645161291</v>
      </c>
      <c r="O1502" s="32">
        <f t="shared" si="1110"/>
        <v>-385.20947096774194</v>
      </c>
      <c r="P1502" s="32">
        <f t="shared" si="1110"/>
        <v>-376.17721290322578</v>
      </c>
      <c r="Q1502" s="32">
        <f t="shared" si="1110"/>
        <v>-376.17721290322578</v>
      </c>
      <c r="R1502" s="32">
        <f t="shared" si="1110"/>
        <v>-382.62882580645157</v>
      </c>
      <c r="S1502" s="32">
        <f t="shared" si="1110"/>
        <v>-380.8223741935484</v>
      </c>
      <c r="T1502" s="32"/>
      <c r="U1502" s="32"/>
      <c r="V1502" s="32"/>
      <c r="W1502" s="32">
        <f>+W1497-W$833</f>
        <v>-376.17721290322578</v>
      </c>
      <c r="Y1502" s="390"/>
      <c r="Z1502" s="390"/>
      <c r="AA1502" s="390"/>
      <c r="AB1502" s="390"/>
      <c r="AC1502" s="390"/>
      <c r="AD1502" s="390"/>
      <c r="AE1502" s="390"/>
      <c r="AF1502" s="390"/>
      <c r="AG1502" s="390"/>
      <c r="AH1502" s="390"/>
      <c r="AI1502" s="390"/>
      <c r="AJ1502" s="390"/>
      <c r="AK1502" s="390"/>
      <c r="AL1502" s="390"/>
      <c r="AM1502" s="390"/>
      <c r="AN1502" s="390"/>
      <c r="AO1502" s="390"/>
      <c r="AP1502" s="390"/>
      <c r="AQ1502" s="390"/>
      <c r="AR1502" s="390"/>
      <c r="AS1502" s="390"/>
    </row>
    <row r="1503" spans="2:45" x14ac:dyDescent="0.3">
      <c r="B1503" s="63" t="s">
        <v>76</v>
      </c>
      <c r="C1503" s="64"/>
      <c r="D1503" s="31">
        <f>+D1498-D$833</f>
        <v>-374.62882580645157</v>
      </c>
      <c r="E1503" s="34">
        <f t="shared" ref="E1503:S1503" si="1111">+E1498-E$833</f>
        <v>-386.01592258064517</v>
      </c>
      <c r="F1503" s="34">
        <f t="shared" si="1111"/>
        <v>-391.79011612903224</v>
      </c>
      <c r="G1503" s="34">
        <f t="shared" si="1111"/>
        <v>-380.20947096774194</v>
      </c>
      <c r="H1503" s="34">
        <f t="shared" si="1111"/>
        <v>-376.69334193548383</v>
      </c>
      <c r="I1503" s="34">
        <f t="shared" si="1111"/>
        <v>-380.88689032258065</v>
      </c>
      <c r="J1503" s="34">
        <f t="shared" si="1111"/>
        <v>-386.98366451612901</v>
      </c>
      <c r="K1503" s="34">
        <f t="shared" si="1111"/>
        <v>-383.4352774193548</v>
      </c>
      <c r="L1503" s="34">
        <f t="shared" si="1111"/>
        <v>-384.72559999999999</v>
      </c>
      <c r="M1503" s="34">
        <f t="shared" si="1111"/>
        <v>-374.88689032258065</v>
      </c>
      <c r="N1503" s="34">
        <f t="shared" si="1111"/>
        <v>-376.95140645161291</v>
      </c>
      <c r="O1503" s="34">
        <f t="shared" si="1111"/>
        <v>-381.20947096774194</v>
      </c>
      <c r="P1503" s="34">
        <f t="shared" si="1111"/>
        <v>-372.17721290322578</v>
      </c>
      <c r="Q1503" s="34">
        <f t="shared" si="1111"/>
        <v>-372.17721290322578</v>
      </c>
      <c r="R1503" s="34">
        <f t="shared" si="1111"/>
        <v>-378.62882580645157</v>
      </c>
      <c r="S1503" s="34">
        <f t="shared" si="1111"/>
        <v>-376.8223741935484</v>
      </c>
      <c r="T1503" s="34"/>
      <c r="U1503" s="34"/>
      <c r="V1503" s="34"/>
      <c r="W1503" s="34">
        <f>+W1498-W$833</f>
        <v>-372.17721290322578</v>
      </c>
      <c r="Y1503" s="390"/>
      <c r="Z1503" s="390"/>
      <c r="AA1503" s="390"/>
      <c r="AB1503" s="390"/>
      <c r="AC1503" s="390"/>
      <c r="AD1503" s="390"/>
      <c r="AE1503" s="390"/>
      <c r="AF1503" s="390"/>
      <c r="AG1503" s="390"/>
      <c r="AH1503" s="390"/>
      <c r="AI1503" s="390"/>
      <c r="AJ1503" s="390"/>
      <c r="AK1503" s="390"/>
      <c r="AL1503" s="390"/>
      <c r="AM1503" s="390"/>
      <c r="AN1503" s="390"/>
      <c r="AO1503" s="390"/>
      <c r="AP1503" s="390"/>
      <c r="AQ1503" s="390"/>
      <c r="AR1503" s="390"/>
      <c r="AS1503" s="390"/>
    </row>
    <row r="1504" spans="2:45" x14ac:dyDescent="0.3">
      <c r="B1504" s="65" t="s">
        <v>108</v>
      </c>
      <c r="C1504" s="64"/>
      <c r="D1504" s="105">
        <f>+D1499/D$835</f>
        <v>-0.93097037909112301</v>
      </c>
      <c r="E1504" s="105">
        <f t="shared" ref="E1504:S1504" si="1112">+E1499/E$835</f>
        <v>-0.92928283627510655</v>
      </c>
      <c r="F1504" s="105">
        <f t="shared" si="1112"/>
        <v>-0.92974445611402845</v>
      </c>
      <c r="G1504" s="105">
        <f t="shared" si="1112"/>
        <v>-0.92873079178885631</v>
      </c>
      <c r="H1504" s="105">
        <f t="shared" si="1112"/>
        <v>-0.93146087635710373</v>
      </c>
      <c r="I1504" s="105">
        <f t="shared" si="1112"/>
        <v>-0.93258247079755552</v>
      </c>
      <c r="J1504" s="105">
        <f t="shared" si="1112"/>
        <v>-0.93156524650030426</v>
      </c>
      <c r="K1504" s="105">
        <f t="shared" si="1112"/>
        <v>-0.92977500574668603</v>
      </c>
      <c r="L1504" s="105">
        <f t="shared" si="1112"/>
        <v>-0.93062938388625593</v>
      </c>
      <c r="M1504" s="105">
        <f t="shared" si="1112"/>
        <v>-0.93159827329095046</v>
      </c>
      <c r="N1504" s="105">
        <f t="shared" si="1112"/>
        <v>-0.93208572990705307</v>
      </c>
      <c r="O1504" s="105">
        <f t="shared" si="1112"/>
        <v>-0.93112313628646393</v>
      </c>
      <c r="P1504" s="105">
        <f t="shared" si="1112"/>
        <v>-0.92952863790519746</v>
      </c>
      <c r="Q1504" s="105">
        <f t="shared" si="1112"/>
        <v>-0.92952863790519746</v>
      </c>
      <c r="R1504" s="105">
        <f t="shared" si="1112"/>
        <v>-0.93163572483482304</v>
      </c>
      <c r="S1504" s="105">
        <f t="shared" si="1112"/>
        <v>-0.9317733031320784</v>
      </c>
      <c r="T1504" s="34"/>
      <c r="U1504" s="34"/>
      <c r="V1504" s="34"/>
      <c r="W1504" s="105">
        <f>+W1499/W$835</f>
        <v>-0.92952863790519746</v>
      </c>
      <c r="Y1504" s="390"/>
      <c r="Z1504" s="390"/>
      <c r="AA1504" s="390"/>
      <c r="AB1504" s="390"/>
      <c r="AC1504" s="390"/>
      <c r="AD1504" s="390"/>
      <c r="AE1504" s="390"/>
      <c r="AF1504" s="390"/>
      <c r="AG1504" s="390"/>
      <c r="AH1504" s="390"/>
      <c r="AI1504" s="390"/>
      <c r="AJ1504" s="390"/>
      <c r="AK1504" s="390"/>
      <c r="AL1504" s="390"/>
      <c r="AM1504" s="390"/>
      <c r="AN1504" s="390"/>
      <c r="AO1504" s="390"/>
      <c r="AP1504" s="390"/>
      <c r="AQ1504" s="390"/>
      <c r="AR1504" s="390"/>
      <c r="AS1504" s="390"/>
    </row>
    <row r="1505" spans="2:45" x14ac:dyDescent="0.3">
      <c r="B1505" s="65" t="s">
        <v>107</v>
      </c>
      <c r="C1505" s="66"/>
      <c r="D1505" s="35">
        <f>+D1500/D$836</f>
        <v>-0.91737698511166244</v>
      </c>
      <c r="E1505" s="35">
        <f t="shared" ref="E1505:S1505" si="1113">+E1500/E$836</f>
        <v>-0.91612103165651559</v>
      </c>
      <c r="F1505" s="35">
        <f t="shared" si="1113"/>
        <v>-0.91675888765294766</v>
      </c>
      <c r="G1505" s="35">
        <f t="shared" si="1113"/>
        <v>-0.91538882025470902</v>
      </c>
      <c r="H1505" s="35">
        <f t="shared" si="1113"/>
        <v>-0.9179266553480474</v>
      </c>
      <c r="I1505" s="35">
        <f t="shared" si="1113"/>
        <v>-0.91916324720990672</v>
      </c>
      <c r="J1505" s="35">
        <f t="shared" si="1113"/>
        <v>-0.91837684036393707</v>
      </c>
      <c r="K1505" s="35">
        <f t="shared" si="1113"/>
        <v>-0.91651473572618503</v>
      </c>
      <c r="L1505" s="35">
        <f t="shared" si="1113"/>
        <v>-0.91739016393442618</v>
      </c>
      <c r="M1505" s="35">
        <f t="shared" si="1113"/>
        <v>-0.91799733250620352</v>
      </c>
      <c r="N1505" s="35">
        <f t="shared" si="1113"/>
        <v>-0.91854403457323663</v>
      </c>
      <c r="O1505" s="35">
        <f t="shared" si="1113"/>
        <v>-0.91775288644856245</v>
      </c>
      <c r="P1505" s="35">
        <f t="shared" si="1113"/>
        <v>-0.91588698768895116</v>
      </c>
      <c r="Q1505" s="35">
        <f t="shared" si="1113"/>
        <v>-0.91588698768895116</v>
      </c>
      <c r="R1505" s="35">
        <f t="shared" si="1113"/>
        <v>-0.91816387096774188</v>
      </c>
      <c r="S1505" s="35">
        <f t="shared" si="1113"/>
        <v>-0.91823534496064207</v>
      </c>
      <c r="T1505" s="35"/>
      <c r="U1505" s="35"/>
      <c r="V1505" s="35"/>
      <c r="W1505" s="35">
        <f>+W1500/W$836</f>
        <v>-0.91588698768895116</v>
      </c>
      <c r="Y1505" s="390"/>
      <c r="Z1505" s="390"/>
      <c r="AA1505" s="390"/>
      <c r="AB1505" s="390"/>
      <c r="AC1505" s="390"/>
      <c r="AD1505" s="390"/>
      <c r="AE1505" s="390"/>
      <c r="AF1505" s="390"/>
      <c r="AG1505" s="390"/>
      <c r="AH1505" s="390"/>
      <c r="AI1505" s="390"/>
      <c r="AJ1505" s="390"/>
      <c r="AK1505" s="390"/>
      <c r="AL1505" s="390"/>
      <c r="AM1505" s="390"/>
      <c r="AN1505" s="390"/>
      <c r="AO1505" s="390"/>
      <c r="AP1505" s="390"/>
      <c r="AQ1505" s="390"/>
      <c r="AR1505" s="390"/>
      <c r="AS1505" s="390"/>
    </row>
    <row r="1506" spans="2:45" x14ac:dyDescent="0.3">
      <c r="B1506" s="65" t="s">
        <v>106</v>
      </c>
      <c r="C1506" s="66"/>
      <c r="D1506" s="35">
        <f>+D1501/D$837</f>
        <v>-0.90410647459964744</v>
      </c>
      <c r="E1506" s="35">
        <f t="shared" ref="E1506:S1506" si="1114">+E1501/E$837</f>
        <v>-0.9032624944254497</v>
      </c>
      <c r="F1506" s="35">
        <f t="shared" si="1114"/>
        <v>-0.90406844574780054</v>
      </c>
      <c r="G1506" s="35">
        <f t="shared" si="1114"/>
        <v>-0.90235857702743438</v>
      </c>
      <c r="H1506" s="35">
        <f t="shared" si="1114"/>
        <v>-0.90471239228246769</v>
      </c>
      <c r="I1506" s="35">
        <f t="shared" si="1114"/>
        <v>-0.90605829115358472</v>
      </c>
      <c r="J1506" s="35">
        <f t="shared" si="1114"/>
        <v>-0.9054923145532926</v>
      </c>
      <c r="K1506" s="35">
        <f t="shared" si="1114"/>
        <v>-0.90356212858318985</v>
      </c>
      <c r="L1506" s="35">
        <f t="shared" si="1114"/>
        <v>-0.90445740740740732</v>
      </c>
      <c r="M1506" s="35">
        <f t="shared" si="1114"/>
        <v>-0.904719454447935</v>
      </c>
      <c r="N1506" s="35">
        <f t="shared" si="1114"/>
        <v>-0.90532247388088161</v>
      </c>
      <c r="O1506" s="35">
        <f t="shared" si="1114"/>
        <v>-0.90469502562556525</v>
      </c>
      <c r="P1506" s="35">
        <f t="shared" si="1114"/>
        <v>-0.90257091385018084</v>
      </c>
      <c r="Q1506" s="35">
        <f t="shared" si="1114"/>
        <v>-0.90257091385018084</v>
      </c>
      <c r="R1506" s="35">
        <f t="shared" si="1114"/>
        <v>-0.90500900189753308</v>
      </c>
      <c r="S1506" s="35">
        <f t="shared" si="1114"/>
        <v>-0.9050174330816747</v>
      </c>
      <c r="T1506" s="35"/>
      <c r="U1506" s="35"/>
      <c r="V1506" s="35"/>
      <c r="W1506" s="35">
        <f>+W1501/W$837</f>
        <v>-0.90257091385018084</v>
      </c>
      <c r="Y1506" s="390"/>
      <c r="Z1506" s="390"/>
      <c r="AA1506" s="390"/>
      <c r="AB1506" s="390"/>
      <c r="AC1506" s="390"/>
      <c r="AD1506" s="390"/>
      <c r="AE1506" s="390"/>
      <c r="AF1506" s="390"/>
      <c r="AG1506" s="390"/>
      <c r="AH1506" s="390"/>
      <c r="AI1506" s="390"/>
      <c r="AJ1506" s="390"/>
      <c r="AK1506" s="390"/>
      <c r="AL1506" s="390"/>
      <c r="AM1506" s="390"/>
      <c r="AN1506" s="390"/>
      <c r="AO1506" s="390"/>
      <c r="AP1506" s="390"/>
      <c r="AQ1506" s="390"/>
      <c r="AR1506" s="390"/>
      <c r="AS1506" s="390"/>
    </row>
    <row r="1507" spans="2:45" x14ac:dyDescent="0.3">
      <c r="B1507" s="65" t="s">
        <v>77</v>
      </c>
      <c r="C1507" s="66"/>
      <c r="D1507" s="35">
        <f>+D1502/D$838</f>
        <v>-0.88880006057852479</v>
      </c>
      <c r="E1507" s="35">
        <f t="shared" ref="E1507:S1507" si="1115">+E1502/E$838</f>
        <v>-0.88841895804247195</v>
      </c>
      <c r="F1507" s="35">
        <f t="shared" si="1115"/>
        <v>-0.88941599130119608</v>
      </c>
      <c r="G1507" s="35">
        <f t="shared" si="1115"/>
        <v>-0.88731979438277586</v>
      </c>
      <c r="H1507" s="35">
        <f t="shared" si="1115"/>
        <v>-0.88947042508290619</v>
      </c>
      <c r="I1507" s="35">
        <f t="shared" si="1115"/>
        <v>-0.89094187574671446</v>
      </c>
      <c r="J1507" s="35">
        <f t="shared" si="1115"/>
        <v>-0.8906233815857153</v>
      </c>
      <c r="K1507" s="35">
        <f t="shared" si="1115"/>
        <v>-0.88861302160402478</v>
      </c>
      <c r="L1507" s="35">
        <f t="shared" si="1115"/>
        <v>-0.88953226544622421</v>
      </c>
      <c r="M1507" s="35">
        <f t="shared" si="1115"/>
        <v>-0.88940584582765414</v>
      </c>
      <c r="N1507" s="35">
        <f t="shared" si="1115"/>
        <v>-0.89007337955984323</v>
      </c>
      <c r="O1507" s="35">
        <f t="shared" si="1115"/>
        <v>-0.88962926320494673</v>
      </c>
      <c r="P1507" s="35">
        <f t="shared" si="1115"/>
        <v>-0.88721040779062688</v>
      </c>
      <c r="Q1507" s="35">
        <f t="shared" si="1115"/>
        <v>-0.88721040779062688</v>
      </c>
      <c r="R1507" s="35">
        <f t="shared" si="1115"/>
        <v>-0.88983447861965481</v>
      </c>
      <c r="S1507" s="35">
        <f t="shared" si="1115"/>
        <v>-0.88977190232137471</v>
      </c>
      <c r="T1507" s="35"/>
      <c r="U1507" s="35"/>
      <c r="V1507" s="35"/>
      <c r="W1507" s="35">
        <f>+W1502/W$838</f>
        <v>-0.88721040779062688</v>
      </c>
      <c r="Y1507" s="390"/>
      <c r="Z1507" s="390"/>
      <c r="AA1507" s="390"/>
      <c r="AB1507" s="390"/>
      <c r="AC1507" s="390"/>
      <c r="AD1507" s="390"/>
      <c r="AE1507" s="390"/>
      <c r="AF1507" s="390"/>
      <c r="AG1507" s="390"/>
      <c r="AH1507" s="390"/>
      <c r="AI1507" s="390"/>
      <c r="AJ1507" s="390"/>
      <c r="AK1507" s="390"/>
      <c r="AL1507" s="390"/>
      <c r="AM1507" s="390"/>
      <c r="AN1507" s="390"/>
      <c r="AO1507" s="390"/>
      <c r="AP1507" s="390"/>
      <c r="AQ1507" s="390"/>
      <c r="AR1507" s="390"/>
      <c r="AS1507" s="390"/>
    </row>
    <row r="1508" spans="2:45" x14ac:dyDescent="0.3">
      <c r="B1508" s="65" t="s">
        <v>78</v>
      </c>
      <c r="C1508" s="66"/>
      <c r="D1508" s="35" t="e">
        <f>+D1503/#REF!</f>
        <v>#REF!</v>
      </c>
      <c r="E1508" s="35" t="e">
        <f>+E1503/#REF!</f>
        <v>#REF!</v>
      </c>
      <c r="F1508" s="35" t="e">
        <f>+F1503/#REF!</f>
        <v>#REF!</v>
      </c>
      <c r="G1508" s="35" t="e">
        <f>+G1503/#REF!</f>
        <v>#REF!</v>
      </c>
      <c r="H1508" s="35" t="e">
        <f>+H1503/#REF!</f>
        <v>#REF!</v>
      </c>
      <c r="I1508" s="35" t="e">
        <f>+I1503/#REF!</f>
        <v>#REF!</v>
      </c>
      <c r="J1508" s="35" t="e">
        <f>+J1503/#REF!</f>
        <v>#REF!</v>
      </c>
      <c r="K1508" s="35" t="e">
        <f>+K1503/#REF!</f>
        <v>#REF!</v>
      </c>
      <c r="L1508" s="35" t="e">
        <f>+L1503/#REF!</f>
        <v>#REF!</v>
      </c>
      <c r="M1508" s="35" t="e">
        <f>+M1503/#REF!</f>
        <v>#REF!</v>
      </c>
      <c r="N1508" s="35" t="e">
        <f>+N1503/#REF!</f>
        <v>#REF!</v>
      </c>
      <c r="O1508" s="35" t="e">
        <f>+O1503/#REF!</f>
        <v>#REF!</v>
      </c>
      <c r="P1508" s="35" t="e">
        <f>+P1503/#REF!</f>
        <v>#REF!</v>
      </c>
      <c r="Q1508" s="35" t="e">
        <f>+Q1503/#REF!</f>
        <v>#REF!</v>
      </c>
      <c r="R1508" s="35" t="e">
        <f>+R1503/#REF!</f>
        <v>#REF!</v>
      </c>
      <c r="S1508" s="35" t="e">
        <f>+S1503/#REF!</f>
        <v>#REF!</v>
      </c>
      <c r="T1508" s="35"/>
      <c r="U1508" s="35"/>
      <c r="V1508" s="35"/>
      <c r="W1508" s="35" t="e">
        <f>+W1503/#REF!</f>
        <v>#REF!</v>
      </c>
      <c r="Y1508" s="390"/>
      <c r="Z1508" s="390"/>
      <c r="AA1508" s="390"/>
      <c r="AB1508" s="390"/>
      <c r="AC1508" s="390"/>
      <c r="AD1508" s="390"/>
      <c r="AE1508" s="390"/>
      <c r="AF1508" s="390"/>
      <c r="AG1508" s="390"/>
      <c r="AH1508" s="390"/>
      <c r="AI1508" s="390"/>
      <c r="AJ1508" s="390"/>
      <c r="AK1508" s="390"/>
      <c r="AL1508" s="390"/>
      <c r="AM1508" s="390"/>
      <c r="AN1508" s="390"/>
      <c r="AO1508" s="390"/>
      <c r="AP1508" s="390"/>
      <c r="AQ1508" s="390"/>
      <c r="AR1508" s="390"/>
      <c r="AS1508" s="390"/>
    </row>
    <row r="1509" spans="2:45" x14ac:dyDescent="0.3">
      <c r="Y1509" s="390"/>
      <c r="Z1509" s="390"/>
      <c r="AA1509" s="390"/>
      <c r="AB1509" s="390"/>
      <c r="AC1509" s="390"/>
      <c r="AD1509" s="390"/>
      <c r="AE1509" s="390"/>
      <c r="AF1509" s="390"/>
      <c r="AG1509" s="390"/>
      <c r="AH1509" s="390"/>
      <c r="AI1509" s="390"/>
      <c r="AJ1509" s="390"/>
      <c r="AK1509" s="390"/>
      <c r="AL1509" s="390"/>
      <c r="AM1509" s="390"/>
      <c r="AN1509" s="390"/>
      <c r="AO1509" s="390"/>
      <c r="AP1509" s="390"/>
      <c r="AQ1509" s="390"/>
      <c r="AR1509" s="390"/>
      <c r="AS1509" s="390"/>
    </row>
  </sheetData>
  <mergeCells count="1">
    <mergeCell ref="Z1125:AB1125"/>
  </mergeCells>
  <phoneticPr fontId="4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00B050"/>
  </sheetPr>
  <dimension ref="A1:X143"/>
  <sheetViews>
    <sheetView zoomScale="90" zoomScaleNormal="90" workbookViewId="0">
      <pane xSplit="3" ySplit="1" topLeftCell="D13" activePane="bottomRight" state="frozen"/>
      <selection activeCell="W2" sqref="W2"/>
      <selection pane="topRight" activeCell="W2" sqref="W2"/>
      <selection pane="bottomLeft" activeCell="W2" sqref="W2"/>
      <selection pane="bottomRight" activeCell="B1" sqref="B1"/>
    </sheetView>
  </sheetViews>
  <sheetFormatPr baseColWidth="10" defaultColWidth="9" defaultRowHeight="19" x14ac:dyDescent="0.25"/>
  <cols>
    <col min="1" max="1" width="21.796875" customWidth="1"/>
    <col min="2" max="2" width="18.59765625" customWidth="1"/>
    <col min="20" max="20" width="9" customWidth="1"/>
  </cols>
  <sheetData>
    <row r="1" spans="1:23" ht="21" thickBot="1" x14ac:dyDescent="0.35">
      <c r="A1" s="15" t="s">
        <v>350</v>
      </c>
      <c r="B1" s="16" t="s">
        <v>118</v>
      </c>
      <c r="C1" s="16"/>
      <c r="D1" s="17" t="s">
        <v>5</v>
      </c>
      <c r="E1" s="18" t="s">
        <v>6</v>
      </c>
      <c r="F1" s="18" t="s">
        <v>7</v>
      </c>
      <c r="G1" s="18" t="s">
        <v>8</v>
      </c>
      <c r="H1" s="18" t="s">
        <v>9</v>
      </c>
      <c r="I1" s="18" t="s">
        <v>10</v>
      </c>
      <c r="J1" s="18" t="s">
        <v>11</v>
      </c>
      <c r="K1" s="18" t="s">
        <v>12</v>
      </c>
      <c r="L1" s="18" t="s">
        <v>13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8" t="s">
        <v>22</v>
      </c>
      <c r="V1" s="18" t="s">
        <v>23</v>
      </c>
      <c r="W1" s="18" t="s">
        <v>166</v>
      </c>
    </row>
    <row r="2" spans="1:23" ht="20" x14ac:dyDescent="0.3">
      <c r="B2" s="52" t="s">
        <v>50</v>
      </c>
      <c r="C2" s="53"/>
      <c r="D2" s="20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ht="20" x14ac:dyDescent="0.3">
      <c r="B3" s="177" t="s">
        <v>51</v>
      </c>
      <c r="C3" s="178"/>
      <c r="D3" s="179"/>
      <c r="E3" s="179"/>
      <c r="F3" s="179"/>
      <c r="G3" s="179"/>
      <c r="H3" s="179"/>
      <c r="I3" s="182"/>
      <c r="J3" s="182"/>
      <c r="K3" s="182"/>
      <c r="L3" s="182"/>
      <c r="M3" s="182"/>
      <c r="N3" s="179"/>
      <c r="O3" s="179"/>
      <c r="P3" s="179"/>
      <c r="Q3" s="179"/>
      <c r="R3" s="182"/>
      <c r="S3" s="182"/>
      <c r="T3" s="182"/>
      <c r="U3" s="182"/>
      <c r="V3" s="182"/>
      <c r="W3" s="182"/>
    </row>
    <row r="4" spans="1:23" ht="20" x14ac:dyDescent="0.3">
      <c r="B4" s="54"/>
      <c r="C4" s="55"/>
      <c r="D4" s="20">
        <f t="shared" ref="D4:V4" si="0">D2*(1-D3)</f>
        <v>0</v>
      </c>
      <c r="E4" s="20">
        <f t="shared" si="0"/>
        <v>0</v>
      </c>
      <c r="F4" s="20">
        <f t="shared" si="0"/>
        <v>0</v>
      </c>
      <c r="G4" s="20">
        <f t="shared" si="0"/>
        <v>0</v>
      </c>
      <c r="H4" s="20">
        <f t="shared" si="0"/>
        <v>0</v>
      </c>
      <c r="I4" s="20">
        <f t="shared" si="0"/>
        <v>0</v>
      </c>
      <c r="J4" s="20">
        <f>J2*(1-J3)</f>
        <v>0</v>
      </c>
      <c r="K4" s="20">
        <f t="shared" si="0"/>
        <v>0</v>
      </c>
      <c r="L4" s="20">
        <f t="shared" si="0"/>
        <v>0</v>
      </c>
      <c r="M4" s="20">
        <f t="shared" si="0"/>
        <v>0</v>
      </c>
      <c r="N4" s="20">
        <f t="shared" si="0"/>
        <v>0</v>
      </c>
      <c r="O4" s="20">
        <f t="shared" si="0"/>
        <v>0</v>
      </c>
      <c r="P4" s="20">
        <f t="shared" si="0"/>
        <v>0</v>
      </c>
      <c r="Q4" s="20">
        <f t="shared" si="0"/>
        <v>0</v>
      </c>
      <c r="R4" s="20">
        <f t="shared" si="0"/>
        <v>0</v>
      </c>
      <c r="S4" s="20">
        <f t="shared" si="0"/>
        <v>0</v>
      </c>
      <c r="T4" s="20">
        <f t="shared" si="0"/>
        <v>0</v>
      </c>
      <c r="U4" s="20">
        <f t="shared" si="0"/>
        <v>0</v>
      </c>
      <c r="V4" s="20">
        <f t="shared" si="0"/>
        <v>0</v>
      </c>
      <c r="W4" s="20">
        <f>W2*(1-W3)</f>
        <v>0</v>
      </c>
    </row>
    <row r="5" spans="1:23" ht="20" x14ac:dyDescent="0.3">
      <c r="B5" s="54" t="s">
        <v>51</v>
      </c>
      <c r="C5" s="56">
        <v>0.02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23" ht="20" x14ac:dyDescent="0.3">
      <c r="B6" s="54" t="s">
        <v>67</v>
      </c>
      <c r="C6" s="55"/>
      <c r="D6" s="20">
        <f>D4-D5</f>
        <v>0</v>
      </c>
      <c r="E6" s="20">
        <f t="shared" ref="E6:V6" si="1">E4-E5</f>
        <v>0</v>
      </c>
      <c r="F6" s="20">
        <f t="shared" si="1"/>
        <v>0</v>
      </c>
      <c r="G6" s="20">
        <f t="shared" si="1"/>
        <v>0</v>
      </c>
      <c r="H6" s="20">
        <f t="shared" si="1"/>
        <v>0</v>
      </c>
      <c r="I6" s="20">
        <f t="shared" si="1"/>
        <v>0</v>
      </c>
      <c r="J6" s="20">
        <f t="shared" si="1"/>
        <v>0</v>
      </c>
      <c r="K6" s="20">
        <f t="shared" si="1"/>
        <v>0</v>
      </c>
      <c r="L6" s="20">
        <f t="shared" si="1"/>
        <v>0</v>
      </c>
      <c r="M6" s="20">
        <f t="shared" si="1"/>
        <v>0</v>
      </c>
      <c r="N6" s="20">
        <f t="shared" si="1"/>
        <v>0</v>
      </c>
      <c r="O6" s="20">
        <f t="shared" si="1"/>
        <v>0</v>
      </c>
      <c r="P6" s="20">
        <f t="shared" si="1"/>
        <v>0</v>
      </c>
      <c r="Q6" s="20">
        <f t="shared" si="1"/>
        <v>0</v>
      </c>
      <c r="R6" s="20">
        <f t="shared" si="1"/>
        <v>0</v>
      </c>
      <c r="S6" s="20">
        <f>S4-S5</f>
        <v>0</v>
      </c>
      <c r="T6" s="20">
        <f t="shared" si="1"/>
        <v>0</v>
      </c>
      <c r="U6" s="20">
        <f t="shared" si="1"/>
        <v>0</v>
      </c>
      <c r="V6" s="20">
        <f t="shared" si="1"/>
        <v>0</v>
      </c>
      <c r="W6" s="20">
        <f>W4-W5</f>
        <v>0</v>
      </c>
    </row>
    <row r="7" spans="1:23" ht="20" x14ac:dyDescent="0.3">
      <c r="B7" s="54" t="s">
        <v>66</v>
      </c>
      <c r="C7" s="56">
        <v>7.0000000000000007E-2</v>
      </c>
      <c r="D7" s="20">
        <f>D6*$C7</f>
        <v>0</v>
      </c>
      <c r="E7" s="20">
        <f t="shared" ref="E7:V7" si="2">E6*$C7</f>
        <v>0</v>
      </c>
      <c r="F7" s="20">
        <f t="shared" si="2"/>
        <v>0</v>
      </c>
      <c r="G7" s="20">
        <f t="shared" si="2"/>
        <v>0</v>
      </c>
      <c r="H7" s="20">
        <f t="shared" si="2"/>
        <v>0</v>
      </c>
      <c r="I7" s="20">
        <f t="shared" si="2"/>
        <v>0</v>
      </c>
      <c r="J7" s="20">
        <f t="shared" si="2"/>
        <v>0</v>
      </c>
      <c r="K7" s="20">
        <f t="shared" si="2"/>
        <v>0</v>
      </c>
      <c r="L7" s="20">
        <f t="shared" si="2"/>
        <v>0</v>
      </c>
      <c r="M7" s="20">
        <f t="shared" si="2"/>
        <v>0</v>
      </c>
      <c r="N7" s="20">
        <f t="shared" si="2"/>
        <v>0</v>
      </c>
      <c r="O7" s="20">
        <f t="shared" si="2"/>
        <v>0</v>
      </c>
      <c r="P7" s="20">
        <f t="shared" si="2"/>
        <v>0</v>
      </c>
      <c r="Q7" s="20">
        <f t="shared" si="2"/>
        <v>0</v>
      </c>
      <c r="R7" s="20">
        <f t="shared" si="2"/>
        <v>0</v>
      </c>
      <c r="S7" s="20">
        <f t="shared" si="2"/>
        <v>0</v>
      </c>
      <c r="T7" s="20">
        <f t="shared" si="2"/>
        <v>0</v>
      </c>
      <c r="U7" s="20">
        <f t="shared" si="2"/>
        <v>0</v>
      </c>
      <c r="V7" s="20">
        <f t="shared" si="2"/>
        <v>0</v>
      </c>
      <c r="W7" s="20">
        <f>W6*$C7</f>
        <v>0</v>
      </c>
    </row>
    <row r="8" spans="1:23" ht="20" x14ac:dyDescent="0.3">
      <c r="B8" s="54" t="s">
        <v>68</v>
      </c>
      <c r="C8" s="55"/>
      <c r="D8" s="20">
        <f>D6+D7</f>
        <v>0</v>
      </c>
      <c r="E8" s="20">
        <f t="shared" ref="E8:V8" si="3">E6+E7</f>
        <v>0</v>
      </c>
      <c r="F8" s="20">
        <f t="shared" si="3"/>
        <v>0</v>
      </c>
      <c r="G8" s="20">
        <f t="shared" si="3"/>
        <v>0</v>
      </c>
      <c r="H8" s="20">
        <f t="shared" si="3"/>
        <v>0</v>
      </c>
      <c r="I8" s="20">
        <f t="shared" si="3"/>
        <v>0</v>
      </c>
      <c r="J8" s="20">
        <f t="shared" si="3"/>
        <v>0</v>
      </c>
      <c r="K8" s="20">
        <f t="shared" si="3"/>
        <v>0</v>
      </c>
      <c r="L8" s="20">
        <f t="shared" si="3"/>
        <v>0</v>
      </c>
      <c r="M8" s="20">
        <f t="shared" si="3"/>
        <v>0</v>
      </c>
      <c r="N8" s="20">
        <f t="shared" si="3"/>
        <v>0</v>
      </c>
      <c r="O8" s="20">
        <f t="shared" si="3"/>
        <v>0</v>
      </c>
      <c r="P8" s="20">
        <f t="shared" si="3"/>
        <v>0</v>
      </c>
      <c r="Q8" s="20">
        <f t="shared" si="3"/>
        <v>0</v>
      </c>
      <c r="R8" s="20">
        <f t="shared" si="3"/>
        <v>0</v>
      </c>
      <c r="S8" s="20">
        <f t="shared" si="3"/>
        <v>0</v>
      </c>
      <c r="T8" s="20">
        <f t="shared" si="3"/>
        <v>0</v>
      </c>
      <c r="U8" s="20">
        <f t="shared" si="3"/>
        <v>0</v>
      </c>
      <c r="V8" s="20">
        <f t="shared" si="3"/>
        <v>0</v>
      </c>
      <c r="W8" s="20">
        <f>W6+W7</f>
        <v>0</v>
      </c>
    </row>
    <row r="9" spans="1:23" ht="20" x14ac:dyDescent="0.3">
      <c r="B9" s="54" t="s">
        <v>52</v>
      </c>
      <c r="C9" s="55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</row>
    <row r="10" spans="1:23" ht="20" x14ac:dyDescent="0.3">
      <c r="B10" s="57" t="s">
        <v>53</v>
      </c>
      <c r="C10" s="58"/>
      <c r="D10" s="25">
        <f t="shared" ref="D10:V10" si="4">SUM(D8:D9)</f>
        <v>0</v>
      </c>
      <c r="E10" s="26">
        <f t="shared" si="4"/>
        <v>0</v>
      </c>
      <c r="F10" s="26">
        <f t="shared" si="4"/>
        <v>0</v>
      </c>
      <c r="G10" s="26">
        <f t="shared" si="4"/>
        <v>0</v>
      </c>
      <c r="H10" s="26">
        <f t="shared" si="4"/>
        <v>0</v>
      </c>
      <c r="I10" s="26">
        <f t="shared" si="4"/>
        <v>0</v>
      </c>
      <c r="J10" s="26">
        <f t="shared" si="4"/>
        <v>0</v>
      </c>
      <c r="K10" s="26">
        <f t="shared" si="4"/>
        <v>0</v>
      </c>
      <c r="L10" s="26">
        <f t="shared" si="4"/>
        <v>0</v>
      </c>
      <c r="M10" s="26">
        <f t="shared" si="4"/>
        <v>0</v>
      </c>
      <c r="N10" s="26">
        <f t="shared" si="4"/>
        <v>0</v>
      </c>
      <c r="O10" s="26">
        <f t="shared" si="4"/>
        <v>0</v>
      </c>
      <c r="P10" s="26">
        <f t="shared" si="4"/>
        <v>0</v>
      </c>
      <c r="Q10" s="26">
        <f t="shared" si="4"/>
        <v>0</v>
      </c>
      <c r="R10" s="26">
        <f t="shared" si="4"/>
        <v>0</v>
      </c>
      <c r="S10" s="26">
        <f t="shared" si="4"/>
        <v>0</v>
      </c>
      <c r="T10" s="26">
        <f t="shared" si="4"/>
        <v>0</v>
      </c>
      <c r="U10" s="26">
        <f t="shared" si="4"/>
        <v>0</v>
      </c>
      <c r="V10" s="26">
        <f t="shared" si="4"/>
        <v>0</v>
      </c>
      <c r="W10" s="26">
        <f>SUM(W8:W9)</f>
        <v>0</v>
      </c>
    </row>
    <row r="11" spans="1:23" ht="20" x14ac:dyDescent="0.3">
      <c r="B11" s="177" t="s">
        <v>54</v>
      </c>
      <c r="C11" s="178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</row>
    <row r="12" spans="1:23" ht="20" x14ac:dyDescent="0.3">
      <c r="B12" s="59" t="s">
        <v>55</v>
      </c>
      <c r="C12" s="60"/>
      <c r="D12" s="27">
        <f>SUM(D10:D11)</f>
        <v>0</v>
      </c>
      <c r="E12" s="41">
        <f>SUM(E10:E11)</f>
        <v>0</v>
      </c>
      <c r="F12" s="41">
        <f t="shared" ref="F12:V12" si="5">SUM(F10:F11)</f>
        <v>0</v>
      </c>
      <c r="G12" s="41">
        <f t="shared" si="5"/>
        <v>0</v>
      </c>
      <c r="H12" s="41">
        <f t="shared" si="5"/>
        <v>0</v>
      </c>
      <c r="I12" s="41">
        <f t="shared" si="5"/>
        <v>0</v>
      </c>
      <c r="J12" s="41">
        <f t="shared" si="5"/>
        <v>0</v>
      </c>
      <c r="K12" s="41">
        <f t="shared" si="5"/>
        <v>0</v>
      </c>
      <c r="L12" s="41">
        <f t="shared" si="5"/>
        <v>0</v>
      </c>
      <c r="M12" s="41">
        <f t="shared" si="5"/>
        <v>0</v>
      </c>
      <c r="N12" s="41">
        <f t="shared" si="5"/>
        <v>0</v>
      </c>
      <c r="O12" s="41">
        <f t="shared" si="5"/>
        <v>0</v>
      </c>
      <c r="P12" s="41">
        <f t="shared" si="5"/>
        <v>0</v>
      </c>
      <c r="Q12" s="41">
        <f t="shared" si="5"/>
        <v>0</v>
      </c>
      <c r="R12" s="41">
        <f t="shared" si="5"/>
        <v>0</v>
      </c>
      <c r="S12" s="41">
        <f t="shared" si="5"/>
        <v>0</v>
      </c>
      <c r="T12" s="41">
        <f t="shared" si="5"/>
        <v>0</v>
      </c>
      <c r="U12" s="41">
        <f t="shared" si="5"/>
        <v>0</v>
      </c>
      <c r="V12" s="41">
        <f t="shared" si="5"/>
        <v>0</v>
      </c>
      <c r="W12" s="41">
        <f>SUM(W10:W11)</f>
        <v>0</v>
      </c>
    </row>
    <row r="13" spans="1:23" ht="20" x14ac:dyDescent="0.3">
      <c r="B13" s="171" t="s">
        <v>101</v>
      </c>
      <c r="C13" s="55"/>
      <c r="D13" s="412">
        <v>0</v>
      </c>
      <c r="E13" s="21">
        <v>0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</row>
    <row r="14" spans="1:23" ht="20" x14ac:dyDescent="0.3">
      <c r="B14" s="171" t="s">
        <v>194</v>
      </c>
      <c r="C14" s="55"/>
      <c r="D14" s="43">
        <v>308.96250000000003</v>
      </c>
      <c r="E14" s="43">
        <v>338.36250000000001</v>
      </c>
      <c r="F14" s="21">
        <v>0</v>
      </c>
      <c r="G14" s="43">
        <v>335.35950000000003</v>
      </c>
      <c r="H14" s="43">
        <v>324.6705</v>
      </c>
      <c r="I14" s="43">
        <v>330.9495</v>
      </c>
      <c r="J14" s="43">
        <v>338.36250000000001</v>
      </c>
      <c r="K14" s="21">
        <v>0</v>
      </c>
      <c r="L14" s="21">
        <v>0</v>
      </c>
      <c r="M14" s="21">
        <v>0</v>
      </c>
      <c r="N14" s="43">
        <v>319.51500000000004</v>
      </c>
      <c r="O14" s="43">
        <v>331.04399999999998</v>
      </c>
      <c r="P14" s="43">
        <v>308.96250000000003</v>
      </c>
      <c r="Q14" s="43">
        <v>317.36250000000001</v>
      </c>
      <c r="R14" s="43">
        <v>308.96250000000003</v>
      </c>
      <c r="S14" s="43">
        <v>308.96250000000003</v>
      </c>
      <c r="T14" s="21">
        <v>0</v>
      </c>
      <c r="U14" s="43">
        <v>359.44650000000001</v>
      </c>
      <c r="V14" s="21">
        <v>0</v>
      </c>
      <c r="W14" s="43">
        <v>317.36250000000001</v>
      </c>
    </row>
    <row r="15" spans="1:23" ht="20" x14ac:dyDescent="0.3">
      <c r="B15" s="61" t="s">
        <v>195</v>
      </c>
      <c r="C15" s="62"/>
      <c r="D15" s="48">
        <v>323.67500000000001</v>
      </c>
      <c r="E15" s="29">
        <v>354.47500000000002</v>
      </c>
      <c r="F15" s="21">
        <v>0</v>
      </c>
      <c r="G15" s="29">
        <v>351.32900000000001</v>
      </c>
      <c r="H15" s="29">
        <v>340.13100000000003</v>
      </c>
      <c r="I15" s="29">
        <v>346.709</v>
      </c>
      <c r="J15" s="29">
        <v>354.47500000000002</v>
      </c>
      <c r="K15" s="21">
        <v>0</v>
      </c>
      <c r="L15" s="21">
        <v>0</v>
      </c>
      <c r="M15" s="21">
        <v>0</v>
      </c>
      <c r="N15" s="29">
        <v>334.73</v>
      </c>
      <c r="O15" s="29">
        <v>346.80799999999999</v>
      </c>
      <c r="P15" s="29">
        <v>323.67500000000001</v>
      </c>
      <c r="Q15" s="29">
        <v>332.47500000000002</v>
      </c>
      <c r="R15" s="29">
        <v>323.67500000000001</v>
      </c>
      <c r="S15" s="29">
        <v>323.67500000000001</v>
      </c>
      <c r="T15" s="21">
        <v>0</v>
      </c>
      <c r="U15" s="29">
        <v>376.56299999999999</v>
      </c>
      <c r="V15" s="21">
        <v>0</v>
      </c>
      <c r="W15" s="29">
        <v>332.47500000000002</v>
      </c>
    </row>
    <row r="16" spans="1:23" ht="20" x14ac:dyDescent="0.3">
      <c r="B16" s="61" t="s">
        <v>196</v>
      </c>
      <c r="C16" s="62"/>
      <c r="D16" s="48">
        <v>338.38749999999999</v>
      </c>
      <c r="E16" s="29">
        <v>370.58749999999998</v>
      </c>
      <c r="F16" s="21">
        <v>0</v>
      </c>
      <c r="G16" s="29">
        <v>367.29849999999993</v>
      </c>
      <c r="H16" s="29">
        <v>349.40729999999996</v>
      </c>
      <c r="I16" s="29">
        <v>356.16469999999998</v>
      </c>
      <c r="J16" s="29">
        <v>370.58749999999998</v>
      </c>
      <c r="K16" s="21">
        <v>0</v>
      </c>
      <c r="L16" s="21">
        <v>0</v>
      </c>
      <c r="M16" s="21">
        <v>0</v>
      </c>
      <c r="N16" s="29">
        <v>349.94499999999999</v>
      </c>
      <c r="O16" s="29">
        <v>362.57199999999995</v>
      </c>
      <c r="P16" s="29">
        <v>338.38749999999999</v>
      </c>
      <c r="Q16" s="29">
        <v>347.58749999999998</v>
      </c>
      <c r="R16" s="29">
        <v>338.38749999999999</v>
      </c>
      <c r="S16" s="29">
        <v>338.38749999999999</v>
      </c>
      <c r="T16" s="21">
        <v>0</v>
      </c>
      <c r="U16" s="29">
        <v>393.67949999999996</v>
      </c>
      <c r="V16" s="21">
        <v>0</v>
      </c>
      <c r="W16" s="29">
        <v>347.58749999999998</v>
      </c>
    </row>
    <row r="17" spans="1:23" ht="20" x14ac:dyDescent="0.3">
      <c r="B17" s="61" t="s">
        <v>197</v>
      </c>
      <c r="C17" s="62"/>
      <c r="D17" s="48">
        <v>353.09999999999997</v>
      </c>
      <c r="E17" s="29">
        <v>386.7</v>
      </c>
      <c r="F17" s="21">
        <v>0</v>
      </c>
      <c r="G17" s="29">
        <v>383.26799999999997</v>
      </c>
      <c r="H17" s="29">
        <v>355.59149999999994</v>
      </c>
      <c r="I17" s="29">
        <v>362.46849999999995</v>
      </c>
      <c r="J17" s="29">
        <v>386.7</v>
      </c>
      <c r="K17" s="21">
        <v>0</v>
      </c>
      <c r="L17" s="21">
        <v>0</v>
      </c>
      <c r="M17" s="21">
        <v>0</v>
      </c>
      <c r="N17" s="29">
        <v>365.16</v>
      </c>
      <c r="O17" s="29">
        <v>378.33599999999996</v>
      </c>
      <c r="P17" s="29">
        <v>353.09999999999997</v>
      </c>
      <c r="Q17" s="29">
        <v>362.7</v>
      </c>
      <c r="R17" s="29">
        <v>353.09999999999997</v>
      </c>
      <c r="S17" s="29">
        <v>353.09999999999997</v>
      </c>
      <c r="T17" s="21">
        <v>0</v>
      </c>
      <c r="U17" s="29">
        <v>410.79599999999999</v>
      </c>
      <c r="V17" s="21">
        <v>0</v>
      </c>
      <c r="W17" s="29">
        <v>362.7</v>
      </c>
    </row>
    <row r="18" spans="1:23" s="133" customFormat="1" ht="20" x14ac:dyDescent="0.3">
      <c r="B18" s="413" t="s">
        <v>103</v>
      </c>
      <c r="C18" s="414"/>
      <c r="D18" s="415">
        <v>0</v>
      </c>
      <c r="E18" s="416">
        <v>0</v>
      </c>
      <c r="F18" s="416">
        <v>0</v>
      </c>
      <c r="G18" s="416">
        <v>0</v>
      </c>
      <c r="H18" s="416">
        <v>0</v>
      </c>
      <c r="I18" s="416">
        <v>0</v>
      </c>
      <c r="J18" s="416">
        <v>0</v>
      </c>
      <c r="K18" s="416">
        <v>0</v>
      </c>
      <c r="L18" s="416">
        <v>0</v>
      </c>
      <c r="M18" s="416">
        <v>0</v>
      </c>
      <c r="N18" s="416">
        <v>0</v>
      </c>
      <c r="O18" s="416">
        <v>0</v>
      </c>
      <c r="P18" s="416">
        <v>0</v>
      </c>
      <c r="Q18" s="416">
        <v>0</v>
      </c>
      <c r="R18" s="416">
        <v>0</v>
      </c>
      <c r="S18" s="416">
        <v>0</v>
      </c>
      <c r="T18" s="416">
        <v>0</v>
      </c>
      <c r="U18" s="416">
        <v>0</v>
      </c>
      <c r="V18" s="416">
        <v>0</v>
      </c>
      <c r="W18" s="416">
        <v>0</v>
      </c>
    </row>
    <row r="19" spans="1:23" ht="20" x14ac:dyDescent="0.3">
      <c r="B19" s="63" t="s">
        <v>198</v>
      </c>
      <c r="C19" s="62"/>
      <c r="D19" s="31">
        <f t="shared" ref="D19:W19" si="6">D14-D12</f>
        <v>308.96250000000003</v>
      </c>
      <c r="E19" s="31">
        <f t="shared" si="6"/>
        <v>338.36250000000001</v>
      </c>
      <c r="F19" s="374">
        <f t="shared" si="6"/>
        <v>0</v>
      </c>
      <c r="G19" s="31">
        <f t="shared" si="6"/>
        <v>335.35950000000003</v>
      </c>
      <c r="H19" s="31">
        <f t="shared" si="6"/>
        <v>324.6705</v>
      </c>
      <c r="I19" s="31">
        <f t="shared" si="6"/>
        <v>330.9495</v>
      </c>
      <c r="J19" s="31">
        <f t="shared" si="6"/>
        <v>338.36250000000001</v>
      </c>
      <c r="K19" s="374">
        <f t="shared" si="6"/>
        <v>0</v>
      </c>
      <c r="L19" s="374">
        <f t="shared" si="6"/>
        <v>0</v>
      </c>
      <c r="M19" s="374">
        <f t="shared" si="6"/>
        <v>0</v>
      </c>
      <c r="N19" s="31">
        <f t="shared" si="6"/>
        <v>319.51500000000004</v>
      </c>
      <c r="O19" s="31">
        <f t="shared" si="6"/>
        <v>331.04399999999998</v>
      </c>
      <c r="P19" s="31">
        <f t="shared" si="6"/>
        <v>308.96250000000003</v>
      </c>
      <c r="Q19" s="31">
        <f t="shared" si="6"/>
        <v>317.36250000000001</v>
      </c>
      <c r="R19" s="31">
        <f t="shared" si="6"/>
        <v>308.96250000000003</v>
      </c>
      <c r="S19" s="31">
        <f t="shared" si="6"/>
        <v>308.96250000000003</v>
      </c>
      <c r="T19" s="374">
        <f t="shared" si="6"/>
        <v>0</v>
      </c>
      <c r="U19" s="31">
        <f t="shared" si="6"/>
        <v>359.44650000000001</v>
      </c>
      <c r="V19" s="374">
        <f t="shared" si="6"/>
        <v>0</v>
      </c>
      <c r="W19" s="31">
        <f t="shared" si="6"/>
        <v>317.36250000000001</v>
      </c>
    </row>
    <row r="20" spans="1:23" ht="20" x14ac:dyDescent="0.3">
      <c r="B20" s="63" t="s">
        <v>199</v>
      </c>
      <c r="C20" s="64"/>
      <c r="D20" s="31">
        <f>+D15-D$12</f>
        <v>323.67500000000001</v>
      </c>
      <c r="E20" s="32">
        <f t="shared" ref="E20:P20" si="7">+E15-E12</f>
        <v>354.47500000000002</v>
      </c>
      <c r="F20" s="375">
        <f t="shared" si="7"/>
        <v>0</v>
      </c>
      <c r="G20" s="32">
        <f t="shared" si="7"/>
        <v>351.32900000000001</v>
      </c>
      <c r="H20" s="32">
        <f t="shared" si="7"/>
        <v>340.13100000000003</v>
      </c>
      <c r="I20" s="32">
        <f t="shared" si="7"/>
        <v>346.709</v>
      </c>
      <c r="J20" s="32">
        <f t="shared" si="7"/>
        <v>354.47500000000002</v>
      </c>
      <c r="K20" s="375">
        <f t="shared" si="7"/>
        <v>0</v>
      </c>
      <c r="L20" s="375">
        <f t="shared" si="7"/>
        <v>0</v>
      </c>
      <c r="M20" s="375">
        <f t="shared" si="7"/>
        <v>0</v>
      </c>
      <c r="N20" s="32">
        <f t="shared" si="7"/>
        <v>334.73</v>
      </c>
      <c r="O20" s="32">
        <f t="shared" si="7"/>
        <v>346.80799999999999</v>
      </c>
      <c r="P20" s="32">
        <f t="shared" si="7"/>
        <v>323.67500000000001</v>
      </c>
      <c r="Q20" s="32">
        <f>+Q15-Q$12</f>
        <v>332.47500000000002</v>
      </c>
      <c r="R20" s="32">
        <f t="shared" ref="R20:W20" si="8">+R15-R12</f>
        <v>323.67500000000001</v>
      </c>
      <c r="S20" s="32">
        <f t="shared" si="8"/>
        <v>323.67500000000001</v>
      </c>
      <c r="T20" s="375">
        <f t="shared" si="8"/>
        <v>0</v>
      </c>
      <c r="U20" s="32">
        <f t="shared" si="8"/>
        <v>376.56299999999999</v>
      </c>
      <c r="V20" s="375">
        <f t="shared" si="8"/>
        <v>0</v>
      </c>
      <c r="W20" s="32">
        <f t="shared" si="8"/>
        <v>332.47500000000002</v>
      </c>
    </row>
    <row r="21" spans="1:23" ht="20" x14ac:dyDescent="0.3">
      <c r="B21" s="63" t="s">
        <v>200</v>
      </c>
      <c r="C21" s="64"/>
      <c r="D21" s="31">
        <f>+D16-D$12</f>
        <v>338.38749999999999</v>
      </c>
      <c r="E21" s="32">
        <f t="shared" ref="E21:P21" si="9">+E16-E12</f>
        <v>370.58749999999998</v>
      </c>
      <c r="F21" s="375">
        <f t="shared" si="9"/>
        <v>0</v>
      </c>
      <c r="G21" s="32">
        <f t="shared" si="9"/>
        <v>367.29849999999993</v>
      </c>
      <c r="H21" s="32">
        <f t="shared" si="9"/>
        <v>349.40729999999996</v>
      </c>
      <c r="I21" s="32">
        <f t="shared" si="9"/>
        <v>356.16469999999998</v>
      </c>
      <c r="J21" s="32">
        <f t="shared" si="9"/>
        <v>370.58749999999998</v>
      </c>
      <c r="K21" s="375">
        <f t="shared" si="9"/>
        <v>0</v>
      </c>
      <c r="L21" s="375">
        <f t="shared" si="9"/>
        <v>0</v>
      </c>
      <c r="M21" s="375">
        <f t="shared" si="9"/>
        <v>0</v>
      </c>
      <c r="N21" s="32">
        <f t="shared" si="9"/>
        <v>349.94499999999999</v>
      </c>
      <c r="O21" s="32">
        <f t="shared" si="9"/>
        <v>362.57199999999995</v>
      </c>
      <c r="P21" s="32">
        <f t="shared" si="9"/>
        <v>338.38749999999999</v>
      </c>
      <c r="Q21" s="32">
        <f>+Q16-Q$12</f>
        <v>347.58749999999998</v>
      </c>
      <c r="R21" s="32">
        <f t="shared" ref="R21:W21" si="10">+R16-R12</f>
        <v>338.38749999999999</v>
      </c>
      <c r="S21" s="32">
        <f t="shared" si="10"/>
        <v>338.38749999999999</v>
      </c>
      <c r="T21" s="375">
        <f t="shared" si="10"/>
        <v>0</v>
      </c>
      <c r="U21" s="32">
        <f t="shared" si="10"/>
        <v>393.67949999999996</v>
      </c>
      <c r="V21" s="375">
        <f t="shared" si="10"/>
        <v>0</v>
      </c>
      <c r="W21" s="32">
        <f t="shared" si="10"/>
        <v>347.58749999999998</v>
      </c>
    </row>
    <row r="22" spans="1:23" ht="20" x14ac:dyDescent="0.3">
      <c r="B22" s="63" t="s">
        <v>201</v>
      </c>
      <c r="C22" s="64"/>
      <c r="D22" s="31">
        <f>+D17-D$12</f>
        <v>353.09999999999997</v>
      </c>
      <c r="E22" s="32">
        <f t="shared" ref="E22:P22" si="11">+E17-E12</f>
        <v>386.7</v>
      </c>
      <c r="F22" s="375">
        <f t="shared" si="11"/>
        <v>0</v>
      </c>
      <c r="G22" s="32">
        <f t="shared" si="11"/>
        <v>383.26799999999997</v>
      </c>
      <c r="H22" s="32">
        <f t="shared" si="11"/>
        <v>355.59149999999994</v>
      </c>
      <c r="I22" s="32">
        <f t="shared" si="11"/>
        <v>362.46849999999995</v>
      </c>
      <c r="J22" s="32">
        <f t="shared" si="11"/>
        <v>386.7</v>
      </c>
      <c r="K22" s="375">
        <f t="shared" si="11"/>
        <v>0</v>
      </c>
      <c r="L22" s="375">
        <f t="shared" si="11"/>
        <v>0</v>
      </c>
      <c r="M22" s="375">
        <f t="shared" si="11"/>
        <v>0</v>
      </c>
      <c r="N22" s="32">
        <f t="shared" si="11"/>
        <v>365.16</v>
      </c>
      <c r="O22" s="32">
        <f t="shared" si="11"/>
        <v>378.33599999999996</v>
      </c>
      <c r="P22" s="32">
        <f t="shared" si="11"/>
        <v>353.09999999999997</v>
      </c>
      <c r="Q22" s="32">
        <f>+Q17-Q$12</f>
        <v>362.7</v>
      </c>
      <c r="R22" s="32">
        <f t="shared" ref="R22:W22" si="12">+R17-R12</f>
        <v>353.09999999999997</v>
      </c>
      <c r="S22" s="32">
        <f t="shared" si="12"/>
        <v>353.09999999999997</v>
      </c>
      <c r="T22" s="375">
        <f t="shared" si="12"/>
        <v>0</v>
      </c>
      <c r="U22" s="32">
        <f t="shared" si="12"/>
        <v>410.79599999999999</v>
      </c>
      <c r="V22" s="375">
        <f t="shared" si="12"/>
        <v>0</v>
      </c>
      <c r="W22" s="32">
        <f t="shared" si="12"/>
        <v>362.7</v>
      </c>
    </row>
    <row r="23" spans="1:23" s="421" customFormat="1" ht="20" x14ac:dyDescent="0.3">
      <c r="B23" s="417" t="s">
        <v>108</v>
      </c>
      <c r="C23" s="418"/>
      <c r="D23" s="419">
        <v>0</v>
      </c>
      <c r="E23" s="420">
        <v>0</v>
      </c>
      <c r="F23" s="420">
        <v>0</v>
      </c>
      <c r="G23" s="420">
        <v>0</v>
      </c>
      <c r="H23" s="420">
        <v>0</v>
      </c>
      <c r="I23" s="420">
        <v>0</v>
      </c>
      <c r="J23" s="420">
        <v>0</v>
      </c>
      <c r="K23" s="420">
        <v>0</v>
      </c>
      <c r="L23" s="420">
        <v>0</v>
      </c>
      <c r="M23" s="420">
        <v>0</v>
      </c>
      <c r="N23" s="420">
        <v>0</v>
      </c>
      <c r="O23" s="420">
        <v>0</v>
      </c>
      <c r="P23" s="420">
        <v>0</v>
      </c>
      <c r="Q23" s="420">
        <v>0</v>
      </c>
      <c r="R23" s="420">
        <v>0</v>
      </c>
      <c r="S23" s="420">
        <v>0</v>
      </c>
      <c r="T23" s="420">
        <v>0</v>
      </c>
      <c r="U23" s="420">
        <v>0</v>
      </c>
      <c r="V23" s="420">
        <v>0</v>
      </c>
      <c r="W23" s="420">
        <v>0</v>
      </c>
    </row>
    <row r="24" spans="1:23" ht="20" x14ac:dyDescent="0.3">
      <c r="B24" s="97" t="s">
        <v>202</v>
      </c>
      <c r="C24" s="98"/>
      <c r="D24" s="99" t="e">
        <f t="shared" ref="D24:W24" si="13">+D19/D12</f>
        <v>#DIV/0!</v>
      </c>
      <c r="E24" s="99" t="e">
        <f t="shared" si="13"/>
        <v>#DIV/0!</v>
      </c>
      <c r="F24" s="376" t="e">
        <f t="shared" si="13"/>
        <v>#DIV/0!</v>
      </c>
      <c r="G24" s="99" t="e">
        <f t="shared" si="13"/>
        <v>#DIV/0!</v>
      </c>
      <c r="H24" s="99" t="e">
        <f t="shared" si="13"/>
        <v>#DIV/0!</v>
      </c>
      <c r="I24" s="99" t="e">
        <f t="shared" si="13"/>
        <v>#DIV/0!</v>
      </c>
      <c r="J24" s="99" t="e">
        <f t="shared" si="13"/>
        <v>#DIV/0!</v>
      </c>
      <c r="K24" s="376" t="e">
        <f t="shared" si="13"/>
        <v>#DIV/0!</v>
      </c>
      <c r="L24" s="376" t="e">
        <f t="shared" si="13"/>
        <v>#DIV/0!</v>
      </c>
      <c r="M24" s="376" t="e">
        <f t="shared" si="13"/>
        <v>#DIV/0!</v>
      </c>
      <c r="N24" s="99" t="e">
        <f t="shared" si="13"/>
        <v>#DIV/0!</v>
      </c>
      <c r="O24" s="99" t="e">
        <f t="shared" si="13"/>
        <v>#DIV/0!</v>
      </c>
      <c r="P24" s="99" t="e">
        <f t="shared" si="13"/>
        <v>#DIV/0!</v>
      </c>
      <c r="Q24" s="99" t="e">
        <f t="shared" si="13"/>
        <v>#DIV/0!</v>
      </c>
      <c r="R24" s="99" t="e">
        <f t="shared" si="13"/>
        <v>#DIV/0!</v>
      </c>
      <c r="S24" s="99" t="e">
        <f t="shared" si="13"/>
        <v>#DIV/0!</v>
      </c>
      <c r="T24" s="376" t="e">
        <f t="shared" si="13"/>
        <v>#DIV/0!</v>
      </c>
      <c r="U24" s="99" t="e">
        <f t="shared" si="13"/>
        <v>#DIV/0!</v>
      </c>
      <c r="V24" s="376" t="e">
        <f t="shared" si="13"/>
        <v>#DIV/0!</v>
      </c>
      <c r="W24" s="99" t="e">
        <f t="shared" si="13"/>
        <v>#DIV/0!</v>
      </c>
    </row>
    <row r="25" spans="1:23" ht="20" x14ac:dyDescent="0.3">
      <c r="B25" s="97" t="s">
        <v>203</v>
      </c>
      <c r="C25" s="98"/>
      <c r="D25" s="100" t="e">
        <f t="shared" ref="D25:W25" si="14">+D20/D12</f>
        <v>#DIV/0!</v>
      </c>
      <c r="E25" s="100" t="e">
        <f t="shared" si="14"/>
        <v>#DIV/0!</v>
      </c>
      <c r="F25" s="377" t="e">
        <f t="shared" si="14"/>
        <v>#DIV/0!</v>
      </c>
      <c r="G25" s="100" t="e">
        <f t="shared" si="14"/>
        <v>#DIV/0!</v>
      </c>
      <c r="H25" s="100" t="e">
        <f t="shared" si="14"/>
        <v>#DIV/0!</v>
      </c>
      <c r="I25" s="100" t="e">
        <f t="shared" si="14"/>
        <v>#DIV/0!</v>
      </c>
      <c r="J25" s="100" t="e">
        <f t="shared" si="14"/>
        <v>#DIV/0!</v>
      </c>
      <c r="K25" s="377" t="e">
        <f t="shared" si="14"/>
        <v>#DIV/0!</v>
      </c>
      <c r="L25" s="377" t="e">
        <f t="shared" si="14"/>
        <v>#DIV/0!</v>
      </c>
      <c r="M25" s="377" t="e">
        <f t="shared" si="14"/>
        <v>#DIV/0!</v>
      </c>
      <c r="N25" s="100" t="e">
        <f t="shared" si="14"/>
        <v>#DIV/0!</v>
      </c>
      <c r="O25" s="100" t="e">
        <f t="shared" si="14"/>
        <v>#DIV/0!</v>
      </c>
      <c r="P25" s="100" t="e">
        <f t="shared" si="14"/>
        <v>#DIV/0!</v>
      </c>
      <c r="Q25" s="100" t="e">
        <f t="shared" si="14"/>
        <v>#DIV/0!</v>
      </c>
      <c r="R25" s="100" t="e">
        <f t="shared" si="14"/>
        <v>#DIV/0!</v>
      </c>
      <c r="S25" s="100" t="e">
        <f t="shared" si="14"/>
        <v>#DIV/0!</v>
      </c>
      <c r="T25" s="377" t="e">
        <f t="shared" si="14"/>
        <v>#DIV/0!</v>
      </c>
      <c r="U25" s="100" t="e">
        <f t="shared" si="14"/>
        <v>#DIV/0!</v>
      </c>
      <c r="V25" s="377" t="e">
        <f t="shared" si="14"/>
        <v>#DIV/0!</v>
      </c>
      <c r="W25" s="100" t="e">
        <f t="shared" si="14"/>
        <v>#DIV/0!</v>
      </c>
    </row>
    <row r="26" spans="1:23" ht="20" x14ac:dyDescent="0.3">
      <c r="B26" s="97" t="s">
        <v>204</v>
      </c>
      <c r="C26" s="98"/>
      <c r="D26" s="100" t="e">
        <f t="shared" ref="D26:W26" si="15">+D21/D12</f>
        <v>#DIV/0!</v>
      </c>
      <c r="E26" s="100" t="e">
        <f t="shared" si="15"/>
        <v>#DIV/0!</v>
      </c>
      <c r="F26" s="377" t="e">
        <f t="shared" si="15"/>
        <v>#DIV/0!</v>
      </c>
      <c r="G26" s="100" t="e">
        <f t="shared" si="15"/>
        <v>#DIV/0!</v>
      </c>
      <c r="H26" s="100" t="e">
        <f t="shared" si="15"/>
        <v>#DIV/0!</v>
      </c>
      <c r="I26" s="100" t="e">
        <f t="shared" si="15"/>
        <v>#DIV/0!</v>
      </c>
      <c r="J26" s="100" t="e">
        <f t="shared" si="15"/>
        <v>#DIV/0!</v>
      </c>
      <c r="K26" s="377" t="e">
        <f t="shared" si="15"/>
        <v>#DIV/0!</v>
      </c>
      <c r="L26" s="377" t="e">
        <f t="shared" si="15"/>
        <v>#DIV/0!</v>
      </c>
      <c r="M26" s="377" t="e">
        <f t="shared" si="15"/>
        <v>#DIV/0!</v>
      </c>
      <c r="N26" s="100" t="e">
        <f t="shared" si="15"/>
        <v>#DIV/0!</v>
      </c>
      <c r="O26" s="100" t="e">
        <f t="shared" si="15"/>
        <v>#DIV/0!</v>
      </c>
      <c r="P26" s="100" t="e">
        <f t="shared" si="15"/>
        <v>#DIV/0!</v>
      </c>
      <c r="Q26" s="100" t="e">
        <f t="shared" si="15"/>
        <v>#DIV/0!</v>
      </c>
      <c r="R26" s="100" t="e">
        <f t="shared" si="15"/>
        <v>#DIV/0!</v>
      </c>
      <c r="S26" s="100" t="e">
        <f t="shared" si="15"/>
        <v>#DIV/0!</v>
      </c>
      <c r="T26" s="377" t="e">
        <f t="shared" si="15"/>
        <v>#DIV/0!</v>
      </c>
      <c r="U26" s="100" t="e">
        <f t="shared" si="15"/>
        <v>#DIV/0!</v>
      </c>
      <c r="V26" s="377" t="e">
        <f t="shared" si="15"/>
        <v>#DIV/0!</v>
      </c>
      <c r="W26" s="100" t="e">
        <f t="shared" si="15"/>
        <v>#DIV/0!</v>
      </c>
    </row>
    <row r="27" spans="1:23" ht="20" x14ac:dyDescent="0.3">
      <c r="B27" s="97" t="s">
        <v>205</v>
      </c>
      <c r="C27" s="98"/>
      <c r="D27" s="100" t="e">
        <f t="shared" ref="D27:W27" si="16">+D22/D12</f>
        <v>#DIV/0!</v>
      </c>
      <c r="E27" s="100" t="e">
        <f t="shared" si="16"/>
        <v>#DIV/0!</v>
      </c>
      <c r="F27" s="377" t="e">
        <f t="shared" si="16"/>
        <v>#DIV/0!</v>
      </c>
      <c r="G27" s="100" t="e">
        <f t="shared" si="16"/>
        <v>#DIV/0!</v>
      </c>
      <c r="H27" s="100" t="e">
        <f t="shared" si="16"/>
        <v>#DIV/0!</v>
      </c>
      <c r="I27" s="100" t="e">
        <f t="shared" si="16"/>
        <v>#DIV/0!</v>
      </c>
      <c r="J27" s="100" t="e">
        <f t="shared" si="16"/>
        <v>#DIV/0!</v>
      </c>
      <c r="K27" s="377" t="e">
        <f t="shared" si="16"/>
        <v>#DIV/0!</v>
      </c>
      <c r="L27" s="377" t="e">
        <f t="shared" si="16"/>
        <v>#DIV/0!</v>
      </c>
      <c r="M27" s="377" t="e">
        <f t="shared" si="16"/>
        <v>#DIV/0!</v>
      </c>
      <c r="N27" s="100" t="e">
        <f t="shared" si="16"/>
        <v>#DIV/0!</v>
      </c>
      <c r="O27" s="100" t="e">
        <f t="shared" si="16"/>
        <v>#DIV/0!</v>
      </c>
      <c r="P27" s="100" t="e">
        <f t="shared" si="16"/>
        <v>#DIV/0!</v>
      </c>
      <c r="Q27" s="100" t="e">
        <f t="shared" si="16"/>
        <v>#DIV/0!</v>
      </c>
      <c r="R27" s="100" t="e">
        <f t="shared" si="16"/>
        <v>#DIV/0!</v>
      </c>
      <c r="S27" s="100" t="e">
        <f t="shared" si="16"/>
        <v>#DIV/0!</v>
      </c>
      <c r="T27" s="377" t="e">
        <f t="shared" si="16"/>
        <v>#DIV/0!</v>
      </c>
      <c r="U27" s="100" t="e">
        <f t="shared" si="16"/>
        <v>#DIV/0!</v>
      </c>
      <c r="V27" s="377" t="e">
        <f t="shared" si="16"/>
        <v>#DIV/0!</v>
      </c>
      <c r="W27" s="100" t="e">
        <f t="shared" si="16"/>
        <v>#DIV/0!</v>
      </c>
    </row>
    <row r="28" spans="1:23" ht="20" thickBot="1" x14ac:dyDescent="0.3"/>
    <row r="29" spans="1:23" ht="21" thickBot="1" x14ac:dyDescent="0.35">
      <c r="A29" s="15" t="s">
        <v>351</v>
      </c>
      <c r="B29" s="373" t="s">
        <v>122</v>
      </c>
      <c r="C29" s="16"/>
      <c r="D29" s="17" t="s">
        <v>5</v>
      </c>
      <c r="E29" s="18" t="s">
        <v>6</v>
      </c>
      <c r="F29" s="18" t="s">
        <v>7</v>
      </c>
      <c r="G29" s="18" t="s">
        <v>8</v>
      </c>
      <c r="H29" s="18" t="s">
        <v>9</v>
      </c>
      <c r="I29" s="18" t="s">
        <v>10</v>
      </c>
      <c r="J29" s="18" t="s">
        <v>11</v>
      </c>
      <c r="K29" s="18" t="s">
        <v>12</v>
      </c>
      <c r="L29" s="18" t="s">
        <v>13</v>
      </c>
      <c r="M29" s="18" t="s">
        <v>14</v>
      </c>
      <c r="N29" s="18" t="s">
        <v>15</v>
      </c>
      <c r="O29" s="18" t="s">
        <v>16</v>
      </c>
      <c r="P29" s="18" t="s">
        <v>17</v>
      </c>
      <c r="Q29" s="18" t="s">
        <v>18</v>
      </c>
      <c r="R29" s="18" t="s">
        <v>19</v>
      </c>
      <c r="S29" s="18" t="s">
        <v>20</v>
      </c>
      <c r="T29" s="18" t="s">
        <v>21</v>
      </c>
      <c r="U29" s="18" t="s">
        <v>22</v>
      </c>
      <c r="V29" s="18" t="s">
        <v>23</v>
      </c>
      <c r="W29" s="18" t="s">
        <v>166</v>
      </c>
    </row>
    <row r="30" spans="1:23" ht="20" x14ac:dyDescent="0.3">
      <c r="B30" s="52" t="s">
        <v>50</v>
      </c>
      <c r="C30" s="53"/>
      <c r="D30" s="20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</row>
    <row r="31" spans="1:23" ht="20" x14ac:dyDescent="0.3">
      <c r="B31" s="177" t="s">
        <v>51</v>
      </c>
      <c r="C31" s="178"/>
      <c r="D31" s="179"/>
      <c r="E31" s="179"/>
      <c r="F31" s="179"/>
      <c r="G31" s="179"/>
      <c r="H31" s="179"/>
      <c r="I31" s="182"/>
      <c r="J31" s="182"/>
      <c r="K31" s="182"/>
      <c r="L31" s="182"/>
      <c r="M31" s="182"/>
      <c r="N31" s="179"/>
      <c r="O31" s="179"/>
      <c r="P31" s="179"/>
      <c r="Q31" s="179"/>
      <c r="R31" s="182"/>
      <c r="S31" s="182"/>
      <c r="T31" s="182"/>
      <c r="U31" s="182"/>
      <c r="V31" s="182"/>
      <c r="W31" s="182"/>
    </row>
    <row r="32" spans="1:23" ht="20" x14ac:dyDescent="0.3">
      <c r="B32" s="54"/>
      <c r="C32" s="55"/>
      <c r="D32" s="20">
        <f t="shared" ref="D32:I32" si="17">D30*(1-D31)</f>
        <v>0</v>
      </c>
      <c r="E32" s="20">
        <f t="shared" si="17"/>
        <v>0</v>
      </c>
      <c r="F32" s="20">
        <f t="shared" si="17"/>
        <v>0</v>
      </c>
      <c r="G32" s="20">
        <f t="shared" si="17"/>
        <v>0</v>
      </c>
      <c r="H32" s="20">
        <f t="shared" si="17"/>
        <v>0</v>
      </c>
      <c r="I32" s="20">
        <f t="shared" si="17"/>
        <v>0</v>
      </c>
      <c r="J32" s="20">
        <f>J30*(1-J31)</f>
        <v>0</v>
      </c>
      <c r="K32" s="20">
        <f t="shared" ref="K32:V32" si="18">K30*(1-K31)</f>
        <v>0</v>
      </c>
      <c r="L32" s="20">
        <f t="shared" si="18"/>
        <v>0</v>
      </c>
      <c r="M32" s="20">
        <f t="shared" si="18"/>
        <v>0</v>
      </c>
      <c r="N32" s="20">
        <f t="shared" si="18"/>
        <v>0</v>
      </c>
      <c r="O32" s="20">
        <f t="shared" si="18"/>
        <v>0</v>
      </c>
      <c r="P32" s="20">
        <f t="shared" si="18"/>
        <v>0</v>
      </c>
      <c r="Q32" s="20">
        <f t="shared" si="18"/>
        <v>0</v>
      </c>
      <c r="R32" s="20">
        <f t="shared" si="18"/>
        <v>0</v>
      </c>
      <c r="S32" s="20">
        <f t="shared" si="18"/>
        <v>0</v>
      </c>
      <c r="T32" s="20">
        <f t="shared" si="18"/>
        <v>0</v>
      </c>
      <c r="U32" s="20">
        <f t="shared" si="18"/>
        <v>0</v>
      </c>
      <c r="V32" s="20">
        <f t="shared" si="18"/>
        <v>0</v>
      </c>
      <c r="W32" s="20">
        <f>W30*(1-W31)</f>
        <v>0</v>
      </c>
    </row>
    <row r="33" spans="2:23" ht="20" x14ac:dyDescent="0.3">
      <c r="B33" s="54" t="s">
        <v>51</v>
      </c>
      <c r="C33" s="56">
        <v>0.02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2:23" ht="20" x14ac:dyDescent="0.3">
      <c r="B34" s="54" t="s">
        <v>67</v>
      </c>
      <c r="C34" s="55"/>
      <c r="D34" s="20">
        <f>D32-D33</f>
        <v>0</v>
      </c>
      <c r="E34" s="20">
        <f t="shared" ref="E34:V34" si="19">E32-E33</f>
        <v>0</v>
      </c>
      <c r="F34" s="20">
        <f t="shared" si="19"/>
        <v>0</v>
      </c>
      <c r="G34" s="20">
        <f t="shared" si="19"/>
        <v>0</v>
      </c>
      <c r="H34" s="20">
        <f t="shared" si="19"/>
        <v>0</v>
      </c>
      <c r="I34" s="20">
        <f t="shared" si="19"/>
        <v>0</v>
      </c>
      <c r="J34" s="20">
        <f t="shared" si="19"/>
        <v>0</v>
      </c>
      <c r="K34" s="20">
        <f t="shared" si="19"/>
        <v>0</v>
      </c>
      <c r="L34" s="20">
        <f t="shared" si="19"/>
        <v>0</v>
      </c>
      <c r="M34" s="20">
        <f t="shared" si="19"/>
        <v>0</v>
      </c>
      <c r="N34" s="20">
        <f t="shared" si="19"/>
        <v>0</v>
      </c>
      <c r="O34" s="20">
        <f t="shared" si="19"/>
        <v>0</v>
      </c>
      <c r="P34" s="20">
        <f t="shared" si="19"/>
        <v>0</v>
      </c>
      <c r="Q34" s="20">
        <f t="shared" si="19"/>
        <v>0</v>
      </c>
      <c r="R34" s="20">
        <f t="shared" si="19"/>
        <v>0</v>
      </c>
      <c r="S34" s="20">
        <f t="shared" si="19"/>
        <v>0</v>
      </c>
      <c r="T34" s="20">
        <f t="shared" si="19"/>
        <v>0</v>
      </c>
      <c r="U34" s="20">
        <f t="shared" si="19"/>
        <v>0</v>
      </c>
      <c r="V34" s="20">
        <f t="shared" si="19"/>
        <v>0</v>
      </c>
      <c r="W34" s="20">
        <f>W32-W33</f>
        <v>0</v>
      </c>
    </row>
    <row r="35" spans="2:23" ht="20" x14ac:dyDescent="0.3">
      <c r="B35" s="54" t="s">
        <v>66</v>
      </c>
      <c r="C35" s="56">
        <v>7.0000000000000007E-2</v>
      </c>
      <c r="D35" s="20">
        <f>D34*$C35</f>
        <v>0</v>
      </c>
      <c r="E35" s="20">
        <f t="shared" ref="E35:V35" si="20">E34*$C35</f>
        <v>0</v>
      </c>
      <c r="F35" s="20">
        <f t="shared" si="20"/>
        <v>0</v>
      </c>
      <c r="G35" s="20">
        <f t="shared" si="20"/>
        <v>0</v>
      </c>
      <c r="H35" s="20">
        <f t="shared" si="20"/>
        <v>0</v>
      </c>
      <c r="I35" s="20">
        <f t="shared" si="20"/>
        <v>0</v>
      </c>
      <c r="J35" s="20">
        <f t="shared" si="20"/>
        <v>0</v>
      </c>
      <c r="K35" s="20">
        <f t="shared" si="20"/>
        <v>0</v>
      </c>
      <c r="L35" s="20">
        <f t="shared" si="20"/>
        <v>0</v>
      </c>
      <c r="M35" s="20">
        <f>M34*$C35</f>
        <v>0</v>
      </c>
      <c r="N35" s="20">
        <f t="shared" si="20"/>
        <v>0</v>
      </c>
      <c r="O35" s="20">
        <f t="shared" si="20"/>
        <v>0</v>
      </c>
      <c r="P35" s="20">
        <f t="shared" si="20"/>
        <v>0</v>
      </c>
      <c r="Q35" s="20">
        <f t="shared" si="20"/>
        <v>0</v>
      </c>
      <c r="R35" s="20">
        <f t="shared" si="20"/>
        <v>0</v>
      </c>
      <c r="S35" s="20">
        <f t="shared" si="20"/>
        <v>0</v>
      </c>
      <c r="T35" s="20">
        <f t="shared" si="20"/>
        <v>0</v>
      </c>
      <c r="U35" s="20">
        <f t="shared" si="20"/>
        <v>0</v>
      </c>
      <c r="V35" s="20">
        <f t="shared" si="20"/>
        <v>0</v>
      </c>
      <c r="W35" s="20">
        <f>W34*$C35</f>
        <v>0</v>
      </c>
    </row>
    <row r="36" spans="2:23" ht="20" x14ac:dyDescent="0.3">
      <c r="B36" s="54" t="s">
        <v>68</v>
      </c>
      <c r="C36" s="55"/>
      <c r="D36" s="20">
        <f>D34+D35</f>
        <v>0</v>
      </c>
      <c r="E36" s="20">
        <f t="shared" ref="E36:V36" si="21">E34+E35</f>
        <v>0</v>
      </c>
      <c r="F36" s="20">
        <f t="shared" si="21"/>
        <v>0</v>
      </c>
      <c r="G36" s="20">
        <f t="shared" si="21"/>
        <v>0</v>
      </c>
      <c r="H36" s="20">
        <f t="shared" si="21"/>
        <v>0</v>
      </c>
      <c r="I36" s="20">
        <f t="shared" si="21"/>
        <v>0</v>
      </c>
      <c r="J36" s="20">
        <f t="shared" si="21"/>
        <v>0</v>
      </c>
      <c r="K36" s="20">
        <f t="shared" si="21"/>
        <v>0</v>
      </c>
      <c r="L36" s="20">
        <f t="shared" si="21"/>
        <v>0</v>
      </c>
      <c r="M36" s="20">
        <f t="shared" si="21"/>
        <v>0</v>
      </c>
      <c r="N36" s="20">
        <f t="shared" si="21"/>
        <v>0</v>
      </c>
      <c r="O36" s="20">
        <f t="shared" si="21"/>
        <v>0</v>
      </c>
      <c r="P36" s="20">
        <f t="shared" si="21"/>
        <v>0</v>
      </c>
      <c r="Q36" s="20">
        <f t="shared" si="21"/>
        <v>0</v>
      </c>
      <c r="R36" s="20">
        <f t="shared" si="21"/>
        <v>0</v>
      </c>
      <c r="S36" s="20">
        <f t="shared" si="21"/>
        <v>0</v>
      </c>
      <c r="T36" s="20">
        <f t="shared" si="21"/>
        <v>0</v>
      </c>
      <c r="U36" s="20">
        <f t="shared" si="21"/>
        <v>0</v>
      </c>
      <c r="V36" s="20">
        <f t="shared" si="21"/>
        <v>0</v>
      </c>
      <c r="W36" s="20">
        <f>W34+W35</f>
        <v>0</v>
      </c>
    </row>
    <row r="37" spans="2:23" ht="20" x14ac:dyDescent="0.3">
      <c r="B37" s="54" t="s">
        <v>52</v>
      </c>
      <c r="C37" s="55"/>
      <c r="D37" s="21"/>
      <c r="E37" s="21">
        <v>4.5</v>
      </c>
      <c r="F37" s="21"/>
      <c r="G37" s="21">
        <v>11.67</v>
      </c>
      <c r="H37" s="21">
        <v>6.94</v>
      </c>
      <c r="I37" s="21">
        <v>9.7200000000000006</v>
      </c>
      <c r="J37" s="21"/>
      <c r="K37" s="21"/>
      <c r="L37" s="21"/>
      <c r="M37" s="21"/>
      <c r="N37" s="21">
        <v>4.67</v>
      </c>
      <c r="O37" s="21">
        <v>9.76</v>
      </c>
      <c r="P37" s="21">
        <v>0</v>
      </c>
      <c r="Q37" s="21">
        <v>2.87</v>
      </c>
      <c r="R37" s="21"/>
      <c r="S37" s="21"/>
      <c r="T37" s="21"/>
      <c r="U37" s="21">
        <v>22.32</v>
      </c>
      <c r="V37" s="21"/>
      <c r="W37" s="21">
        <v>3.71</v>
      </c>
    </row>
    <row r="38" spans="2:23" ht="20" x14ac:dyDescent="0.3">
      <c r="B38" s="57" t="s">
        <v>53</v>
      </c>
      <c r="C38" s="58"/>
      <c r="D38" s="25">
        <f t="shared" ref="D38:V38" si="22">SUM(D36:D37)</f>
        <v>0</v>
      </c>
      <c r="E38" s="26">
        <f t="shared" si="22"/>
        <v>4.5</v>
      </c>
      <c r="F38" s="26">
        <f t="shared" si="22"/>
        <v>0</v>
      </c>
      <c r="G38" s="26">
        <f t="shared" si="22"/>
        <v>11.67</v>
      </c>
      <c r="H38" s="26">
        <f t="shared" si="22"/>
        <v>6.94</v>
      </c>
      <c r="I38" s="26">
        <f>SUM(I36:I37)</f>
        <v>9.7200000000000006</v>
      </c>
      <c r="J38" s="26">
        <f t="shared" si="22"/>
        <v>0</v>
      </c>
      <c r="K38" s="26">
        <f t="shared" si="22"/>
        <v>0</v>
      </c>
      <c r="L38" s="26">
        <f t="shared" si="22"/>
        <v>0</v>
      </c>
      <c r="M38" s="26">
        <f t="shared" si="22"/>
        <v>0</v>
      </c>
      <c r="N38" s="26">
        <f t="shared" si="22"/>
        <v>4.67</v>
      </c>
      <c r="O38" s="26">
        <f t="shared" si="22"/>
        <v>9.76</v>
      </c>
      <c r="P38" s="26">
        <f t="shared" si="22"/>
        <v>0</v>
      </c>
      <c r="Q38" s="26">
        <f t="shared" si="22"/>
        <v>2.87</v>
      </c>
      <c r="R38" s="26">
        <f t="shared" si="22"/>
        <v>0</v>
      </c>
      <c r="S38" s="26">
        <f t="shared" si="22"/>
        <v>0</v>
      </c>
      <c r="T38" s="26">
        <f t="shared" si="22"/>
        <v>0</v>
      </c>
      <c r="U38" s="26">
        <f t="shared" si="22"/>
        <v>22.32</v>
      </c>
      <c r="V38" s="26">
        <f t="shared" si="22"/>
        <v>0</v>
      </c>
      <c r="W38" s="26">
        <f>SUM(W36:W37)</f>
        <v>3.71</v>
      </c>
    </row>
    <row r="39" spans="2:23" ht="20" x14ac:dyDescent="0.3">
      <c r="B39" s="177" t="s">
        <v>54</v>
      </c>
      <c r="C39" s="178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</row>
    <row r="40" spans="2:23" ht="20" x14ac:dyDescent="0.3">
      <c r="B40" s="59" t="s">
        <v>55</v>
      </c>
      <c r="C40" s="60"/>
      <c r="D40" s="27">
        <f>SUM(D38:D39)</f>
        <v>0</v>
      </c>
      <c r="E40" s="41">
        <f t="shared" ref="E40:V40" si="23">SUM(E38:E39)</f>
        <v>4.5</v>
      </c>
      <c r="F40" s="41">
        <f t="shared" si="23"/>
        <v>0</v>
      </c>
      <c r="G40" s="41">
        <f t="shared" si="23"/>
        <v>11.67</v>
      </c>
      <c r="H40" s="41">
        <f t="shared" si="23"/>
        <v>6.94</v>
      </c>
      <c r="I40" s="41">
        <f t="shared" si="23"/>
        <v>9.7200000000000006</v>
      </c>
      <c r="J40" s="41">
        <f t="shared" si="23"/>
        <v>0</v>
      </c>
      <c r="K40" s="41">
        <f t="shared" si="23"/>
        <v>0</v>
      </c>
      <c r="L40" s="41">
        <f t="shared" si="23"/>
        <v>0</v>
      </c>
      <c r="M40" s="41">
        <f t="shared" si="23"/>
        <v>0</v>
      </c>
      <c r="N40" s="41">
        <f t="shared" si="23"/>
        <v>4.67</v>
      </c>
      <c r="O40" s="41">
        <f t="shared" si="23"/>
        <v>9.76</v>
      </c>
      <c r="P40" s="41">
        <f t="shared" si="23"/>
        <v>0</v>
      </c>
      <c r="Q40" s="41">
        <f t="shared" si="23"/>
        <v>2.87</v>
      </c>
      <c r="R40" s="41">
        <f t="shared" si="23"/>
        <v>0</v>
      </c>
      <c r="S40" s="41">
        <f t="shared" si="23"/>
        <v>0</v>
      </c>
      <c r="T40" s="41">
        <f t="shared" si="23"/>
        <v>0</v>
      </c>
      <c r="U40" s="41">
        <f t="shared" si="23"/>
        <v>22.32</v>
      </c>
      <c r="V40" s="41">
        <f t="shared" si="23"/>
        <v>0</v>
      </c>
      <c r="W40" s="41">
        <f>SUM(W38:W39)</f>
        <v>3.71</v>
      </c>
    </row>
    <row r="41" spans="2:23" ht="20" x14ac:dyDescent="0.3">
      <c r="B41" s="171" t="s">
        <v>101</v>
      </c>
      <c r="C41" s="55"/>
      <c r="D41" s="412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</row>
    <row r="42" spans="2:23" ht="20" x14ac:dyDescent="0.3">
      <c r="B42" s="171" t="s">
        <v>194</v>
      </c>
      <c r="C42" s="55"/>
      <c r="D42" s="43">
        <v>84.936599999999999</v>
      </c>
      <c r="E42" s="43">
        <v>81.167940000000002</v>
      </c>
      <c r="F42" s="21">
        <v>0</v>
      </c>
      <c r="G42" s="43">
        <v>88.69644000000001</v>
      </c>
      <c r="H42" s="43">
        <v>83.729939999999999</v>
      </c>
      <c r="I42" s="43">
        <v>86.64894000000001</v>
      </c>
      <c r="J42" s="21">
        <v>0</v>
      </c>
      <c r="K42" s="21">
        <v>0</v>
      </c>
      <c r="L42" s="21">
        <v>0</v>
      </c>
      <c r="M42" s="21">
        <v>0</v>
      </c>
      <c r="N42" s="43">
        <v>81.346440000000015</v>
      </c>
      <c r="O42" s="43">
        <v>86.690940000000012</v>
      </c>
      <c r="P42" s="43">
        <v>76.442940000000007</v>
      </c>
      <c r="Q42" s="43">
        <v>87.950100000000006</v>
      </c>
      <c r="R42" s="43">
        <v>84.936599999999999</v>
      </c>
      <c r="S42" s="43">
        <v>84.936599999999999</v>
      </c>
      <c r="T42" s="21">
        <v>0</v>
      </c>
      <c r="U42" s="43">
        <v>99.878940000000014</v>
      </c>
      <c r="V42" s="21">
        <v>0</v>
      </c>
      <c r="W42" s="43">
        <v>80.338440000000006</v>
      </c>
    </row>
    <row r="43" spans="2:23" ht="20" x14ac:dyDescent="0.3">
      <c r="B43" s="61" t="s">
        <v>195</v>
      </c>
      <c r="C43" s="62"/>
      <c r="D43" s="48">
        <v>86.55444</v>
      </c>
      <c r="E43" s="29">
        <v>82.713996000000009</v>
      </c>
      <c r="F43" s="21">
        <v>0</v>
      </c>
      <c r="G43" s="29">
        <v>90.385896000000017</v>
      </c>
      <c r="H43" s="29">
        <v>85.324796000000006</v>
      </c>
      <c r="I43" s="29">
        <v>88.299396000000016</v>
      </c>
      <c r="J43" s="21">
        <v>0</v>
      </c>
      <c r="K43" s="21">
        <v>0</v>
      </c>
      <c r="L43" s="21">
        <v>0</v>
      </c>
      <c r="M43" s="21">
        <v>0</v>
      </c>
      <c r="N43" s="29">
        <v>82.895896000000008</v>
      </c>
      <c r="O43" s="29">
        <v>88.342196000000015</v>
      </c>
      <c r="P43" s="29">
        <v>77.898996000000011</v>
      </c>
      <c r="Q43" s="29">
        <v>89.625340000000008</v>
      </c>
      <c r="R43" s="29">
        <v>86.55444</v>
      </c>
      <c r="S43" s="29">
        <v>86.55444</v>
      </c>
      <c r="T43" s="21">
        <v>0</v>
      </c>
      <c r="U43" s="29">
        <v>101.78139600000002</v>
      </c>
      <c r="V43" s="21">
        <v>0</v>
      </c>
      <c r="W43" s="29">
        <v>81.868696</v>
      </c>
    </row>
    <row r="44" spans="2:23" ht="20" x14ac:dyDescent="0.3">
      <c r="B44" s="61" t="s">
        <v>196</v>
      </c>
      <c r="C44" s="62"/>
      <c r="D44" s="48">
        <v>88.981200000000001</v>
      </c>
      <c r="E44" s="29">
        <v>85.033080000000012</v>
      </c>
      <c r="F44" s="21">
        <v>0</v>
      </c>
      <c r="G44" s="29">
        <v>92.920080000000013</v>
      </c>
      <c r="H44" s="29">
        <v>87.71708000000001</v>
      </c>
      <c r="I44" s="29">
        <v>90.775080000000017</v>
      </c>
      <c r="J44" s="21">
        <v>0</v>
      </c>
      <c r="K44" s="21">
        <v>0</v>
      </c>
      <c r="L44" s="21">
        <v>0</v>
      </c>
      <c r="M44" s="21">
        <v>0</v>
      </c>
      <c r="N44" s="29">
        <v>85.22008000000001</v>
      </c>
      <c r="O44" s="29">
        <v>90.819080000000014</v>
      </c>
      <c r="P44" s="29">
        <v>80.08308000000001</v>
      </c>
      <c r="Q44" s="29">
        <v>92.138200000000012</v>
      </c>
      <c r="R44" s="29">
        <v>88.981200000000001</v>
      </c>
      <c r="S44" s="29">
        <v>88.981200000000001</v>
      </c>
      <c r="T44" s="21">
        <v>0</v>
      </c>
      <c r="U44" s="29">
        <v>104.63508000000002</v>
      </c>
      <c r="V44" s="21">
        <v>0</v>
      </c>
      <c r="W44" s="29">
        <v>84.164079999999998</v>
      </c>
    </row>
    <row r="45" spans="2:23" ht="20" x14ac:dyDescent="0.3">
      <c r="B45" s="61" t="s">
        <v>197</v>
      </c>
      <c r="C45" s="62"/>
      <c r="D45" s="48">
        <v>93.02579999999999</v>
      </c>
      <c r="E45" s="29">
        <v>88.898219999999995</v>
      </c>
      <c r="F45" s="21">
        <v>0</v>
      </c>
      <c r="G45" s="29">
        <v>97.143720000000002</v>
      </c>
      <c r="H45" s="29">
        <v>91.704219999999992</v>
      </c>
      <c r="I45" s="29">
        <v>94.901219999999995</v>
      </c>
      <c r="J45" s="21">
        <v>0</v>
      </c>
      <c r="K45" s="21">
        <v>0</v>
      </c>
      <c r="L45" s="21">
        <v>0</v>
      </c>
      <c r="M45" s="21">
        <v>0</v>
      </c>
      <c r="N45" s="29">
        <v>89.093720000000005</v>
      </c>
      <c r="O45" s="29">
        <v>94.947220000000002</v>
      </c>
      <c r="P45" s="29">
        <v>83.723219999999998</v>
      </c>
      <c r="Q45" s="29">
        <v>96.326299999999989</v>
      </c>
      <c r="R45" s="29">
        <v>93.02579999999999</v>
      </c>
      <c r="S45" s="29">
        <v>93.02579999999999</v>
      </c>
      <c r="T45" s="21">
        <v>0</v>
      </c>
      <c r="U45" s="29">
        <v>109.39122</v>
      </c>
      <c r="V45" s="21">
        <v>0</v>
      </c>
      <c r="W45" s="29">
        <v>87.989719999999991</v>
      </c>
    </row>
    <row r="46" spans="2:23" s="133" customFormat="1" ht="20" x14ac:dyDescent="0.3">
      <c r="B46" s="413" t="s">
        <v>103</v>
      </c>
      <c r="C46" s="414"/>
      <c r="D46" s="415">
        <v>0</v>
      </c>
      <c r="E46" s="416">
        <v>0</v>
      </c>
      <c r="F46" s="416">
        <v>0</v>
      </c>
      <c r="G46" s="416">
        <v>0</v>
      </c>
      <c r="H46" s="416">
        <v>0</v>
      </c>
      <c r="I46" s="416">
        <v>0</v>
      </c>
      <c r="J46" s="416">
        <v>0</v>
      </c>
      <c r="K46" s="416">
        <v>0</v>
      </c>
      <c r="L46" s="416">
        <v>0</v>
      </c>
      <c r="M46" s="416">
        <v>0</v>
      </c>
      <c r="N46" s="416">
        <v>0</v>
      </c>
      <c r="O46" s="416">
        <v>0</v>
      </c>
      <c r="P46" s="416">
        <v>0</v>
      </c>
      <c r="Q46" s="416">
        <v>0</v>
      </c>
      <c r="R46" s="416">
        <v>0</v>
      </c>
      <c r="S46" s="416">
        <v>0</v>
      </c>
      <c r="T46" s="416">
        <v>0</v>
      </c>
      <c r="U46" s="416">
        <v>0</v>
      </c>
      <c r="V46" s="416">
        <v>0</v>
      </c>
      <c r="W46" s="416">
        <v>0</v>
      </c>
    </row>
    <row r="47" spans="2:23" ht="20" x14ac:dyDescent="0.3">
      <c r="B47" s="63" t="s">
        <v>198</v>
      </c>
      <c r="C47" s="62"/>
      <c r="D47" s="31">
        <f>D42-D40</f>
        <v>84.936599999999999</v>
      </c>
      <c r="E47" s="31">
        <f t="shared" ref="E47:V47" si="24">E42-E40</f>
        <v>76.667940000000002</v>
      </c>
      <c r="F47" s="31">
        <f t="shared" si="24"/>
        <v>0</v>
      </c>
      <c r="G47" s="31">
        <f t="shared" si="24"/>
        <v>77.026440000000008</v>
      </c>
      <c r="H47" s="31">
        <f t="shared" si="24"/>
        <v>76.789940000000001</v>
      </c>
      <c r="I47" s="31">
        <f t="shared" si="24"/>
        <v>76.928940000000011</v>
      </c>
      <c r="J47" s="31">
        <f t="shared" si="24"/>
        <v>0</v>
      </c>
      <c r="K47" s="31">
        <f t="shared" si="24"/>
        <v>0</v>
      </c>
      <c r="L47" s="31">
        <f t="shared" si="24"/>
        <v>0</v>
      </c>
      <c r="M47" s="31">
        <f>M42-M40</f>
        <v>0</v>
      </c>
      <c r="N47" s="31">
        <f t="shared" si="24"/>
        <v>76.676440000000014</v>
      </c>
      <c r="O47" s="31">
        <f t="shared" si="24"/>
        <v>76.930940000000007</v>
      </c>
      <c r="P47" s="31">
        <f t="shared" si="24"/>
        <v>76.442940000000007</v>
      </c>
      <c r="Q47" s="31">
        <f>Q42-Q40</f>
        <v>85.080100000000002</v>
      </c>
      <c r="R47" s="31">
        <f t="shared" si="24"/>
        <v>84.936599999999999</v>
      </c>
      <c r="S47" s="31">
        <f t="shared" si="24"/>
        <v>84.936599999999999</v>
      </c>
      <c r="T47" s="31">
        <f t="shared" si="24"/>
        <v>0</v>
      </c>
      <c r="U47" s="31">
        <f t="shared" si="24"/>
        <v>77.558940000000007</v>
      </c>
      <c r="V47" s="31">
        <f t="shared" si="24"/>
        <v>0</v>
      </c>
      <c r="W47" s="31">
        <f>W42-W40</f>
        <v>76.628440000000012</v>
      </c>
    </row>
    <row r="48" spans="2:23" ht="20" x14ac:dyDescent="0.3">
      <c r="B48" s="63" t="s">
        <v>199</v>
      </c>
      <c r="C48" s="64"/>
      <c r="D48" s="31">
        <f>+D43-D40</f>
        <v>86.55444</v>
      </c>
      <c r="E48" s="32">
        <f>+E43-E$14</f>
        <v>-255.648504</v>
      </c>
      <c r="F48" s="32">
        <f t="shared" ref="F48:V48" si="25">+F43-F$14</f>
        <v>0</v>
      </c>
      <c r="G48" s="32">
        <f t="shared" si="25"/>
        <v>-244.97360400000002</v>
      </c>
      <c r="H48" s="32">
        <f t="shared" si="25"/>
        <v>-239.34570400000001</v>
      </c>
      <c r="I48" s="32">
        <f t="shared" si="25"/>
        <v>-242.650104</v>
      </c>
      <c r="J48" s="32">
        <f t="shared" si="25"/>
        <v>-338.36250000000001</v>
      </c>
      <c r="K48" s="32">
        <f t="shared" si="25"/>
        <v>0</v>
      </c>
      <c r="L48" s="32">
        <f t="shared" si="25"/>
        <v>0</v>
      </c>
      <c r="M48" s="32">
        <f>+M43-M$40</f>
        <v>0</v>
      </c>
      <c r="N48" s="32">
        <f t="shared" si="25"/>
        <v>-236.61910400000005</v>
      </c>
      <c r="O48" s="32">
        <f t="shared" si="25"/>
        <v>-242.70180399999998</v>
      </c>
      <c r="P48" s="32">
        <f t="shared" si="25"/>
        <v>-231.06350400000002</v>
      </c>
      <c r="Q48" s="32">
        <f>+Q43-Q40</f>
        <v>86.755340000000004</v>
      </c>
      <c r="R48" s="32">
        <f t="shared" si="25"/>
        <v>-222.40806000000003</v>
      </c>
      <c r="S48" s="32">
        <f t="shared" si="25"/>
        <v>-222.40806000000003</v>
      </c>
      <c r="T48" s="32">
        <f t="shared" si="25"/>
        <v>0</v>
      </c>
      <c r="U48" s="32">
        <f t="shared" si="25"/>
        <v>-257.66510399999999</v>
      </c>
      <c r="V48" s="32">
        <f t="shared" si="25"/>
        <v>0</v>
      </c>
      <c r="W48" s="32">
        <f>+W43-W$14</f>
        <v>-235.49380400000001</v>
      </c>
    </row>
    <row r="49" spans="1:23" ht="20" x14ac:dyDescent="0.3">
      <c r="B49" s="63" t="s">
        <v>200</v>
      </c>
      <c r="C49" s="64"/>
      <c r="D49" s="31">
        <f>+D44-D40</f>
        <v>88.981200000000001</v>
      </c>
      <c r="E49" s="32">
        <f t="shared" ref="E49:V49" si="26">+E44-E$14</f>
        <v>-253.32942</v>
      </c>
      <c r="F49" s="32">
        <f t="shared" si="26"/>
        <v>0</v>
      </c>
      <c r="G49" s="32">
        <f t="shared" si="26"/>
        <v>-242.43942000000001</v>
      </c>
      <c r="H49" s="32">
        <f t="shared" si="26"/>
        <v>-236.95341999999999</v>
      </c>
      <c r="I49" s="32">
        <f t="shared" si="26"/>
        <v>-240.17442</v>
      </c>
      <c r="J49" s="32">
        <f t="shared" si="26"/>
        <v>-338.36250000000001</v>
      </c>
      <c r="K49" s="32">
        <f t="shared" si="26"/>
        <v>0</v>
      </c>
      <c r="L49" s="32">
        <f t="shared" si="26"/>
        <v>0</v>
      </c>
      <c r="M49" s="32">
        <f>+M44-M$40</f>
        <v>0</v>
      </c>
      <c r="N49" s="32">
        <f t="shared" si="26"/>
        <v>-234.29492000000005</v>
      </c>
      <c r="O49" s="32">
        <f t="shared" si="26"/>
        <v>-240.22491999999997</v>
      </c>
      <c r="P49" s="32">
        <f t="shared" si="26"/>
        <v>-228.87942000000004</v>
      </c>
      <c r="Q49" s="32">
        <f>+Q44-Q40</f>
        <v>89.268200000000007</v>
      </c>
      <c r="R49" s="32">
        <f t="shared" si="26"/>
        <v>-219.98130000000003</v>
      </c>
      <c r="S49" s="32">
        <f t="shared" si="26"/>
        <v>-219.98130000000003</v>
      </c>
      <c r="T49" s="32">
        <f t="shared" si="26"/>
        <v>0</v>
      </c>
      <c r="U49" s="32">
        <f t="shared" si="26"/>
        <v>-254.81142</v>
      </c>
      <c r="V49" s="32">
        <f t="shared" si="26"/>
        <v>0</v>
      </c>
      <c r="W49" s="32">
        <f>+W44-W$14</f>
        <v>-233.19842</v>
      </c>
    </row>
    <row r="50" spans="1:23" ht="20" x14ac:dyDescent="0.3">
      <c r="B50" s="63" t="s">
        <v>201</v>
      </c>
      <c r="C50" s="64"/>
      <c r="D50" s="31">
        <f>+D45-D40</f>
        <v>93.02579999999999</v>
      </c>
      <c r="E50" s="32">
        <f t="shared" ref="E50:V50" si="27">+E45-E$14</f>
        <v>-249.46428000000003</v>
      </c>
      <c r="F50" s="32">
        <f t="shared" si="27"/>
        <v>0</v>
      </c>
      <c r="G50" s="32">
        <f t="shared" si="27"/>
        <v>-238.21578000000002</v>
      </c>
      <c r="H50" s="32">
        <f t="shared" si="27"/>
        <v>-232.96628000000001</v>
      </c>
      <c r="I50" s="32">
        <f t="shared" si="27"/>
        <v>-236.04828000000001</v>
      </c>
      <c r="J50" s="32">
        <f t="shared" si="27"/>
        <v>-338.36250000000001</v>
      </c>
      <c r="K50" s="32">
        <f t="shared" si="27"/>
        <v>0</v>
      </c>
      <c r="L50" s="32">
        <f t="shared" si="27"/>
        <v>0</v>
      </c>
      <c r="M50" s="32">
        <f>+M45-M$40</f>
        <v>0</v>
      </c>
      <c r="N50" s="32">
        <f t="shared" si="27"/>
        <v>-230.42128000000002</v>
      </c>
      <c r="O50" s="32">
        <f t="shared" si="27"/>
        <v>-236.09677999999997</v>
      </c>
      <c r="P50" s="32">
        <f t="shared" si="27"/>
        <v>-225.23928000000004</v>
      </c>
      <c r="Q50" s="32">
        <f>+Q45-Q40</f>
        <v>93.456299999999985</v>
      </c>
      <c r="R50" s="32">
        <f t="shared" si="27"/>
        <v>-215.93670000000003</v>
      </c>
      <c r="S50" s="32">
        <f t="shared" si="27"/>
        <v>-215.93670000000003</v>
      </c>
      <c r="T50" s="32">
        <f t="shared" si="27"/>
        <v>0</v>
      </c>
      <c r="U50" s="32">
        <f t="shared" si="27"/>
        <v>-250.05528000000001</v>
      </c>
      <c r="V50" s="32">
        <f t="shared" si="27"/>
        <v>0</v>
      </c>
      <c r="W50" s="32">
        <f>+W45-W$14</f>
        <v>-229.37278000000003</v>
      </c>
    </row>
    <row r="51" spans="1:23" s="421" customFormat="1" ht="20" x14ac:dyDescent="0.3">
      <c r="B51" s="417" t="s">
        <v>108</v>
      </c>
      <c r="C51" s="418"/>
      <c r="D51" s="419">
        <v>0</v>
      </c>
      <c r="E51" s="420">
        <v>0</v>
      </c>
      <c r="F51" s="420">
        <v>0</v>
      </c>
      <c r="G51" s="420">
        <v>0</v>
      </c>
      <c r="H51" s="420">
        <v>0</v>
      </c>
      <c r="I51" s="420">
        <v>0</v>
      </c>
      <c r="J51" s="420">
        <v>0</v>
      </c>
      <c r="K51" s="420">
        <v>0</v>
      </c>
      <c r="L51" s="420">
        <v>0</v>
      </c>
      <c r="M51" s="420">
        <v>0</v>
      </c>
      <c r="N51" s="420">
        <v>0</v>
      </c>
      <c r="O51" s="420">
        <v>0</v>
      </c>
      <c r="P51" s="420">
        <v>0</v>
      </c>
      <c r="Q51" s="420">
        <v>0</v>
      </c>
      <c r="R51" s="420">
        <v>0</v>
      </c>
      <c r="S51" s="420">
        <v>0</v>
      </c>
      <c r="T51" s="420">
        <v>0</v>
      </c>
      <c r="U51" s="420">
        <v>0</v>
      </c>
      <c r="V51" s="420">
        <v>0</v>
      </c>
      <c r="W51" s="420">
        <v>0</v>
      </c>
    </row>
    <row r="52" spans="1:23" ht="20" x14ac:dyDescent="0.3">
      <c r="B52" s="97" t="s">
        <v>202</v>
      </c>
      <c r="C52" s="98"/>
      <c r="D52" s="100" t="e">
        <f>+D47/D40</f>
        <v>#DIV/0!</v>
      </c>
      <c r="E52" s="99">
        <f t="shared" ref="E52:V52" si="28">+E47/E40</f>
        <v>17.037320000000001</v>
      </c>
      <c r="F52" s="99" t="e">
        <f t="shared" si="28"/>
        <v>#DIV/0!</v>
      </c>
      <c r="G52" s="99">
        <f t="shared" si="28"/>
        <v>6.6003804627249361</v>
      </c>
      <c r="H52" s="99">
        <f t="shared" si="28"/>
        <v>11.064832853025937</v>
      </c>
      <c r="I52" s="99">
        <f t="shared" si="28"/>
        <v>7.9145000000000003</v>
      </c>
      <c r="J52" s="99" t="e">
        <f t="shared" si="28"/>
        <v>#DIV/0!</v>
      </c>
      <c r="K52" s="99" t="e">
        <f t="shared" si="28"/>
        <v>#DIV/0!</v>
      </c>
      <c r="L52" s="99" t="e">
        <f t="shared" si="28"/>
        <v>#DIV/0!</v>
      </c>
      <c r="M52" s="99" t="e">
        <f t="shared" si="28"/>
        <v>#DIV/0!</v>
      </c>
      <c r="N52" s="99">
        <f t="shared" si="28"/>
        <v>16.418937901498932</v>
      </c>
      <c r="O52" s="99">
        <f t="shared" si="28"/>
        <v>7.8822684426229515</v>
      </c>
      <c r="P52" s="99" t="e">
        <f t="shared" si="28"/>
        <v>#DIV/0!</v>
      </c>
      <c r="Q52" s="99">
        <f>+Q47/Q40</f>
        <v>29.644634146341463</v>
      </c>
      <c r="R52" s="99" t="e">
        <f t="shared" si="28"/>
        <v>#DIV/0!</v>
      </c>
      <c r="S52" s="99" t="e">
        <f t="shared" si="28"/>
        <v>#DIV/0!</v>
      </c>
      <c r="T52" s="99" t="e">
        <f t="shared" si="28"/>
        <v>#DIV/0!</v>
      </c>
      <c r="U52" s="99">
        <f t="shared" si="28"/>
        <v>3.4748629032258069</v>
      </c>
      <c r="V52" s="99" t="e">
        <f t="shared" si="28"/>
        <v>#DIV/0!</v>
      </c>
      <c r="W52" s="99">
        <f>+W47/W40</f>
        <v>20.654566037735851</v>
      </c>
    </row>
    <row r="53" spans="1:23" ht="20" x14ac:dyDescent="0.3">
      <c r="B53" s="97" t="s">
        <v>203</v>
      </c>
      <c r="C53" s="98"/>
      <c r="D53" s="100" t="e">
        <f>+D48/D40</f>
        <v>#DIV/0!</v>
      </c>
      <c r="E53" s="100">
        <f t="shared" ref="E53:V53" si="29">+E48/E40</f>
        <v>-56.810778666666664</v>
      </c>
      <c r="F53" s="100" t="e">
        <f t="shared" si="29"/>
        <v>#DIV/0!</v>
      </c>
      <c r="G53" s="100">
        <f t="shared" si="29"/>
        <v>-20.991739845758357</v>
      </c>
      <c r="H53" s="100">
        <f t="shared" si="29"/>
        <v>-34.487853602305478</v>
      </c>
      <c r="I53" s="100">
        <f t="shared" si="29"/>
        <v>-24.964002469135799</v>
      </c>
      <c r="J53" s="100" t="e">
        <f t="shared" si="29"/>
        <v>#DIV/0!</v>
      </c>
      <c r="K53" s="100" t="e">
        <f t="shared" si="29"/>
        <v>#DIV/0!</v>
      </c>
      <c r="L53" s="100" t="e">
        <f t="shared" si="29"/>
        <v>#DIV/0!</v>
      </c>
      <c r="M53" s="100" t="e">
        <f t="shared" si="29"/>
        <v>#DIV/0!</v>
      </c>
      <c r="N53" s="100">
        <f t="shared" si="29"/>
        <v>-50.667902355460399</v>
      </c>
      <c r="O53" s="100">
        <f t="shared" si="29"/>
        <v>-24.866988114754097</v>
      </c>
      <c r="P53" s="100" t="e">
        <f t="shared" si="29"/>
        <v>#DIV/0!</v>
      </c>
      <c r="Q53" s="100">
        <f>+Q48/Q40</f>
        <v>30.228341463414633</v>
      </c>
      <c r="R53" s="100" t="e">
        <f t="shared" si="29"/>
        <v>#DIV/0!</v>
      </c>
      <c r="S53" s="100" t="e">
        <f t="shared" si="29"/>
        <v>#DIV/0!</v>
      </c>
      <c r="T53" s="100" t="e">
        <f t="shared" si="29"/>
        <v>#DIV/0!</v>
      </c>
      <c r="U53" s="100">
        <f t="shared" si="29"/>
        <v>-11.544135483870967</v>
      </c>
      <c r="V53" s="100" t="e">
        <f t="shared" si="29"/>
        <v>#DIV/0!</v>
      </c>
      <c r="W53" s="100">
        <f>+W48/W40</f>
        <v>-63.475418867924532</v>
      </c>
    </row>
    <row r="54" spans="1:23" ht="20" x14ac:dyDescent="0.3">
      <c r="B54" s="97" t="s">
        <v>204</v>
      </c>
      <c r="C54" s="98"/>
      <c r="D54" s="100" t="e">
        <f>+D49/D40</f>
        <v>#DIV/0!</v>
      </c>
      <c r="E54" s="100">
        <f t="shared" ref="E54:V54" si="30">+E49/E40</f>
        <v>-56.295426666666664</v>
      </c>
      <c r="F54" s="100" t="e">
        <f t="shared" si="30"/>
        <v>#DIV/0!</v>
      </c>
      <c r="G54" s="100">
        <f t="shared" si="30"/>
        <v>-20.774586118251928</v>
      </c>
      <c r="H54" s="100">
        <f t="shared" si="30"/>
        <v>-34.143144092219018</v>
      </c>
      <c r="I54" s="100">
        <f t="shared" si="30"/>
        <v>-24.7093024691358</v>
      </c>
      <c r="J54" s="100" t="e">
        <f t="shared" si="30"/>
        <v>#DIV/0!</v>
      </c>
      <c r="K54" s="100" t="e">
        <f t="shared" si="30"/>
        <v>#DIV/0!</v>
      </c>
      <c r="L54" s="100" t="e">
        <f t="shared" si="30"/>
        <v>#DIV/0!</v>
      </c>
      <c r="M54" s="100" t="e">
        <f t="shared" si="30"/>
        <v>#DIV/0!</v>
      </c>
      <c r="N54" s="100">
        <f t="shared" si="30"/>
        <v>-50.170218415417573</v>
      </c>
      <c r="O54" s="100">
        <f t="shared" si="30"/>
        <v>-24.613209016393441</v>
      </c>
      <c r="P54" s="100" t="e">
        <f t="shared" si="30"/>
        <v>#DIV/0!</v>
      </c>
      <c r="Q54" s="100">
        <f>+Q49/Q40</f>
        <v>31.103902439024392</v>
      </c>
      <c r="R54" s="100" t="e">
        <f t="shared" si="30"/>
        <v>#DIV/0!</v>
      </c>
      <c r="S54" s="100" t="e">
        <f t="shared" si="30"/>
        <v>#DIV/0!</v>
      </c>
      <c r="T54" s="100" t="e">
        <f t="shared" si="30"/>
        <v>#DIV/0!</v>
      </c>
      <c r="U54" s="100">
        <f t="shared" si="30"/>
        <v>-11.416282258064516</v>
      </c>
      <c r="V54" s="100" t="e">
        <f t="shared" si="30"/>
        <v>#DIV/0!</v>
      </c>
      <c r="W54" s="100">
        <f>+W49/W40</f>
        <v>-62.856716981132074</v>
      </c>
    </row>
    <row r="55" spans="1:23" ht="20" x14ac:dyDescent="0.3">
      <c r="B55" s="97" t="s">
        <v>205</v>
      </c>
      <c r="C55" s="98"/>
      <c r="D55" s="100" t="e">
        <f>+D50/D40</f>
        <v>#DIV/0!</v>
      </c>
      <c r="E55" s="100">
        <f t="shared" ref="E55:V55" si="31">+E50/E40</f>
        <v>-55.436506666666673</v>
      </c>
      <c r="F55" s="100" t="e">
        <f t="shared" si="31"/>
        <v>#DIV/0!</v>
      </c>
      <c r="G55" s="100">
        <f t="shared" si="31"/>
        <v>-20.412663239074551</v>
      </c>
      <c r="H55" s="100">
        <f t="shared" si="31"/>
        <v>-33.568628242074929</v>
      </c>
      <c r="I55" s="100">
        <f t="shared" si="31"/>
        <v>-24.284802469135801</v>
      </c>
      <c r="J55" s="100" t="e">
        <f t="shared" si="31"/>
        <v>#DIV/0!</v>
      </c>
      <c r="K55" s="100" t="e">
        <f t="shared" si="31"/>
        <v>#DIV/0!</v>
      </c>
      <c r="L55" s="100" t="e">
        <f t="shared" si="31"/>
        <v>#DIV/0!</v>
      </c>
      <c r="M55" s="100" t="e">
        <f t="shared" si="31"/>
        <v>#DIV/0!</v>
      </c>
      <c r="N55" s="100">
        <f t="shared" si="31"/>
        <v>-49.340745182012853</v>
      </c>
      <c r="O55" s="100">
        <f t="shared" si="31"/>
        <v>-24.190243852459012</v>
      </c>
      <c r="P55" s="100" t="e">
        <f t="shared" si="31"/>
        <v>#DIV/0!</v>
      </c>
      <c r="Q55" s="100">
        <f>+Q50/Q40</f>
        <v>32.563170731707309</v>
      </c>
      <c r="R55" s="100" t="e">
        <f t="shared" si="31"/>
        <v>#DIV/0!</v>
      </c>
      <c r="S55" s="100" t="e">
        <f t="shared" si="31"/>
        <v>#DIV/0!</v>
      </c>
      <c r="T55" s="100" t="e">
        <f t="shared" si="31"/>
        <v>#DIV/0!</v>
      </c>
      <c r="U55" s="100">
        <f t="shared" si="31"/>
        <v>-11.203193548387096</v>
      </c>
      <c r="V55" s="100" t="e">
        <f t="shared" si="31"/>
        <v>#DIV/0!</v>
      </c>
      <c r="W55" s="100">
        <f>+W50/W40</f>
        <v>-61.82554716981133</v>
      </c>
    </row>
    <row r="56" spans="1:23" ht="20" hidden="1" x14ac:dyDescent="0.3">
      <c r="B56" s="97" t="s">
        <v>78</v>
      </c>
      <c r="C56" s="98"/>
      <c r="D56" s="100" t="e">
        <f>+D51/D40</f>
        <v>#DIV/0!</v>
      </c>
      <c r="E56" s="100">
        <f t="shared" ref="E56:V56" si="32">+E51/E40</f>
        <v>0</v>
      </c>
      <c r="F56" s="100" t="e">
        <f t="shared" si="32"/>
        <v>#DIV/0!</v>
      </c>
      <c r="G56" s="100">
        <f t="shared" si="32"/>
        <v>0</v>
      </c>
      <c r="H56" s="100">
        <f t="shared" si="32"/>
        <v>0</v>
      </c>
      <c r="I56" s="100">
        <f t="shared" si="32"/>
        <v>0</v>
      </c>
      <c r="J56" s="100" t="e">
        <f t="shared" si="32"/>
        <v>#DIV/0!</v>
      </c>
      <c r="K56" s="100" t="e">
        <f t="shared" si="32"/>
        <v>#DIV/0!</v>
      </c>
      <c r="L56" s="100" t="e">
        <f t="shared" si="32"/>
        <v>#DIV/0!</v>
      </c>
      <c r="M56" s="100" t="e">
        <f t="shared" si="32"/>
        <v>#DIV/0!</v>
      </c>
      <c r="N56" s="100">
        <f t="shared" si="32"/>
        <v>0</v>
      </c>
      <c r="O56" s="100">
        <f t="shared" si="32"/>
        <v>0</v>
      </c>
      <c r="P56" s="100" t="e">
        <f t="shared" si="32"/>
        <v>#DIV/0!</v>
      </c>
      <c r="Q56" s="100">
        <f>+Q51/Q40</f>
        <v>0</v>
      </c>
      <c r="R56" s="100" t="e">
        <f t="shared" si="32"/>
        <v>#DIV/0!</v>
      </c>
      <c r="S56" s="100" t="e">
        <f t="shared" si="32"/>
        <v>#DIV/0!</v>
      </c>
      <c r="T56" s="100" t="e">
        <f t="shared" si="32"/>
        <v>#DIV/0!</v>
      </c>
      <c r="U56" s="100">
        <f t="shared" si="32"/>
        <v>0</v>
      </c>
      <c r="V56" s="100" t="e">
        <f t="shared" si="32"/>
        <v>#DIV/0!</v>
      </c>
      <c r="W56" s="100">
        <f>+W51/W40</f>
        <v>0</v>
      </c>
    </row>
    <row r="57" spans="1:23" ht="20" thickBot="1" x14ac:dyDescent="0.3"/>
    <row r="58" spans="1:23" ht="21" thickBot="1" x14ac:dyDescent="0.35">
      <c r="A58" s="15" t="s">
        <v>352</v>
      </c>
      <c r="B58" s="373" t="s">
        <v>123</v>
      </c>
      <c r="C58" s="16"/>
      <c r="D58" s="17" t="s">
        <v>5</v>
      </c>
      <c r="E58" s="18" t="s">
        <v>6</v>
      </c>
      <c r="F58" s="18" t="s">
        <v>7</v>
      </c>
      <c r="G58" s="18" t="s">
        <v>8</v>
      </c>
      <c r="H58" s="18" t="s">
        <v>9</v>
      </c>
      <c r="I58" s="18" t="s">
        <v>10</v>
      </c>
      <c r="J58" s="18" t="s">
        <v>11</v>
      </c>
      <c r="K58" s="18" t="s">
        <v>12</v>
      </c>
      <c r="L58" s="18" t="s">
        <v>13</v>
      </c>
      <c r="M58" s="18" t="s">
        <v>14</v>
      </c>
      <c r="N58" s="18" t="s">
        <v>15</v>
      </c>
      <c r="O58" s="18" t="s">
        <v>16</v>
      </c>
      <c r="P58" s="18" t="s">
        <v>17</v>
      </c>
      <c r="Q58" s="18" t="s">
        <v>18</v>
      </c>
      <c r="R58" s="18" t="s">
        <v>19</v>
      </c>
      <c r="S58" s="18" t="s">
        <v>20</v>
      </c>
      <c r="T58" s="18" t="s">
        <v>21</v>
      </c>
      <c r="U58" s="18" t="s">
        <v>22</v>
      </c>
      <c r="V58" s="18" t="s">
        <v>23</v>
      </c>
      <c r="W58" s="18" t="s">
        <v>166</v>
      </c>
    </row>
    <row r="59" spans="1:23" ht="20" x14ac:dyDescent="0.3">
      <c r="B59" s="52" t="s">
        <v>50</v>
      </c>
      <c r="C59" s="53"/>
      <c r="D59" s="20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</row>
    <row r="60" spans="1:23" ht="20" x14ac:dyDescent="0.3">
      <c r="B60" s="177" t="s">
        <v>51</v>
      </c>
      <c r="C60" s="178"/>
      <c r="D60" s="179"/>
      <c r="E60" s="179"/>
      <c r="F60" s="179"/>
      <c r="G60" s="179"/>
      <c r="H60" s="179"/>
      <c r="I60" s="182"/>
      <c r="J60" s="182"/>
      <c r="K60" s="182"/>
      <c r="L60" s="182"/>
      <c r="M60" s="182"/>
      <c r="N60" s="179"/>
      <c r="O60" s="179"/>
      <c r="P60" s="179"/>
      <c r="Q60" s="179"/>
      <c r="R60" s="182"/>
      <c r="S60" s="182"/>
      <c r="T60" s="182"/>
      <c r="U60" s="182"/>
      <c r="V60" s="182"/>
      <c r="W60" s="182"/>
    </row>
    <row r="61" spans="1:23" ht="20" x14ac:dyDescent="0.3">
      <c r="B61" s="54"/>
      <c r="C61" s="55"/>
      <c r="D61" s="20">
        <f t="shared" ref="D61:I61" si="33">D59*(1-D60)</f>
        <v>0</v>
      </c>
      <c r="E61" s="20">
        <f t="shared" si="33"/>
        <v>0</v>
      </c>
      <c r="F61" s="20">
        <f t="shared" si="33"/>
        <v>0</v>
      </c>
      <c r="G61" s="20">
        <f t="shared" si="33"/>
        <v>0</v>
      </c>
      <c r="H61" s="20">
        <f t="shared" si="33"/>
        <v>0</v>
      </c>
      <c r="I61" s="20">
        <f t="shared" si="33"/>
        <v>0</v>
      </c>
      <c r="J61" s="20">
        <f>J59*(1-J60)</f>
        <v>0</v>
      </c>
      <c r="K61" s="20">
        <f t="shared" ref="K61:V61" si="34">K59*(1-K60)</f>
        <v>0</v>
      </c>
      <c r="L61" s="20">
        <f t="shared" si="34"/>
        <v>0</v>
      </c>
      <c r="M61" s="20">
        <f t="shared" si="34"/>
        <v>0</v>
      </c>
      <c r="N61" s="20">
        <f t="shared" si="34"/>
        <v>0</v>
      </c>
      <c r="O61" s="20">
        <f t="shared" si="34"/>
        <v>0</v>
      </c>
      <c r="P61" s="20">
        <f t="shared" si="34"/>
        <v>0</v>
      </c>
      <c r="Q61" s="20">
        <f t="shared" si="34"/>
        <v>0</v>
      </c>
      <c r="R61" s="20">
        <f t="shared" si="34"/>
        <v>0</v>
      </c>
      <c r="S61" s="20">
        <f t="shared" si="34"/>
        <v>0</v>
      </c>
      <c r="T61" s="20">
        <f t="shared" si="34"/>
        <v>0</v>
      </c>
      <c r="U61" s="20">
        <f t="shared" si="34"/>
        <v>0</v>
      </c>
      <c r="V61" s="20">
        <f t="shared" si="34"/>
        <v>0</v>
      </c>
      <c r="W61" s="20">
        <f>W59*(1-W60)</f>
        <v>0</v>
      </c>
    </row>
    <row r="62" spans="1:23" ht="20" x14ac:dyDescent="0.3">
      <c r="B62" s="54" t="s">
        <v>51</v>
      </c>
      <c r="C62" s="56">
        <v>0.02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pans="1:23" ht="20" x14ac:dyDescent="0.3">
      <c r="B63" s="54" t="s">
        <v>67</v>
      </c>
      <c r="C63" s="55"/>
      <c r="D63" s="20">
        <f>D61-D62</f>
        <v>0</v>
      </c>
      <c r="E63" s="20">
        <f t="shared" ref="E63:V63" si="35">E61-E62</f>
        <v>0</v>
      </c>
      <c r="F63" s="20">
        <f t="shared" si="35"/>
        <v>0</v>
      </c>
      <c r="G63" s="20">
        <f t="shared" si="35"/>
        <v>0</v>
      </c>
      <c r="H63" s="20">
        <f t="shared" si="35"/>
        <v>0</v>
      </c>
      <c r="I63" s="20">
        <f t="shared" si="35"/>
        <v>0</v>
      </c>
      <c r="J63" s="20">
        <f t="shared" si="35"/>
        <v>0</v>
      </c>
      <c r="K63" s="20">
        <f t="shared" si="35"/>
        <v>0</v>
      </c>
      <c r="L63" s="20">
        <f t="shared" si="35"/>
        <v>0</v>
      </c>
      <c r="M63" s="20">
        <f t="shared" si="35"/>
        <v>0</v>
      </c>
      <c r="N63" s="20">
        <f t="shared" si="35"/>
        <v>0</v>
      </c>
      <c r="O63" s="20">
        <f t="shared" si="35"/>
        <v>0</v>
      </c>
      <c r="P63" s="20">
        <f t="shared" si="35"/>
        <v>0</v>
      </c>
      <c r="Q63" s="20">
        <f t="shared" si="35"/>
        <v>0</v>
      </c>
      <c r="R63" s="20">
        <f t="shared" si="35"/>
        <v>0</v>
      </c>
      <c r="S63" s="20">
        <f t="shared" si="35"/>
        <v>0</v>
      </c>
      <c r="T63" s="20">
        <f t="shared" si="35"/>
        <v>0</v>
      </c>
      <c r="U63" s="20">
        <f t="shared" si="35"/>
        <v>0</v>
      </c>
      <c r="V63" s="20">
        <f t="shared" si="35"/>
        <v>0</v>
      </c>
      <c r="W63" s="20">
        <f>W61-W62</f>
        <v>0</v>
      </c>
    </row>
    <row r="64" spans="1:23" ht="20" x14ac:dyDescent="0.3">
      <c r="B64" s="54" t="s">
        <v>66</v>
      </c>
      <c r="C64" s="56">
        <v>7.0000000000000007E-2</v>
      </c>
      <c r="D64" s="20">
        <f>D63*$C64</f>
        <v>0</v>
      </c>
      <c r="E64" s="20">
        <f t="shared" ref="E64:V64" si="36">E63*$C64</f>
        <v>0</v>
      </c>
      <c r="F64" s="20">
        <f t="shared" si="36"/>
        <v>0</v>
      </c>
      <c r="G64" s="20">
        <f t="shared" si="36"/>
        <v>0</v>
      </c>
      <c r="H64" s="20">
        <f t="shared" si="36"/>
        <v>0</v>
      </c>
      <c r="I64" s="20">
        <f t="shared" si="36"/>
        <v>0</v>
      </c>
      <c r="J64" s="20">
        <f t="shared" si="36"/>
        <v>0</v>
      </c>
      <c r="K64" s="20">
        <f t="shared" si="36"/>
        <v>0</v>
      </c>
      <c r="L64" s="20">
        <f t="shared" si="36"/>
        <v>0</v>
      </c>
      <c r="M64" s="20">
        <f t="shared" si="36"/>
        <v>0</v>
      </c>
      <c r="N64" s="20">
        <f t="shared" si="36"/>
        <v>0</v>
      </c>
      <c r="O64" s="20">
        <f t="shared" si="36"/>
        <v>0</v>
      </c>
      <c r="P64" s="20">
        <f t="shared" si="36"/>
        <v>0</v>
      </c>
      <c r="Q64" s="20">
        <f t="shared" si="36"/>
        <v>0</v>
      </c>
      <c r="R64" s="20">
        <f t="shared" si="36"/>
        <v>0</v>
      </c>
      <c r="S64" s="20">
        <f t="shared" si="36"/>
        <v>0</v>
      </c>
      <c r="T64" s="20">
        <f t="shared" si="36"/>
        <v>0</v>
      </c>
      <c r="U64" s="20">
        <f t="shared" si="36"/>
        <v>0</v>
      </c>
      <c r="V64" s="20">
        <f t="shared" si="36"/>
        <v>0</v>
      </c>
      <c r="W64" s="20">
        <f>W63*$C64</f>
        <v>0</v>
      </c>
    </row>
    <row r="65" spans="2:24" ht="20" x14ac:dyDescent="0.3">
      <c r="B65" s="54" t="s">
        <v>68</v>
      </c>
      <c r="C65" s="55"/>
      <c r="D65" s="20">
        <f>D63+D64</f>
        <v>0</v>
      </c>
      <c r="E65" s="20">
        <f t="shared" ref="E65:V65" si="37">E63+E64</f>
        <v>0</v>
      </c>
      <c r="F65" s="20">
        <f t="shared" si="37"/>
        <v>0</v>
      </c>
      <c r="G65" s="20">
        <f t="shared" si="37"/>
        <v>0</v>
      </c>
      <c r="H65" s="20">
        <f t="shared" si="37"/>
        <v>0</v>
      </c>
      <c r="I65" s="20">
        <f t="shared" si="37"/>
        <v>0</v>
      </c>
      <c r="J65" s="20">
        <f t="shared" si="37"/>
        <v>0</v>
      </c>
      <c r="K65" s="20">
        <f t="shared" si="37"/>
        <v>0</v>
      </c>
      <c r="L65" s="20">
        <f t="shared" si="37"/>
        <v>0</v>
      </c>
      <c r="M65" s="20">
        <f t="shared" si="37"/>
        <v>0</v>
      </c>
      <c r="N65" s="20">
        <f t="shared" si="37"/>
        <v>0</v>
      </c>
      <c r="O65" s="20">
        <f t="shared" si="37"/>
        <v>0</v>
      </c>
      <c r="P65" s="20">
        <f t="shared" si="37"/>
        <v>0</v>
      </c>
      <c r="Q65" s="20">
        <f t="shared" si="37"/>
        <v>0</v>
      </c>
      <c r="R65" s="20">
        <f t="shared" si="37"/>
        <v>0</v>
      </c>
      <c r="S65" s="20">
        <f t="shared" si="37"/>
        <v>0</v>
      </c>
      <c r="T65" s="20">
        <f t="shared" si="37"/>
        <v>0</v>
      </c>
      <c r="U65" s="20">
        <f t="shared" si="37"/>
        <v>0</v>
      </c>
      <c r="V65" s="20">
        <f t="shared" si="37"/>
        <v>0</v>
      </c>
      <c r="W65" s="20">
        <f>W63+W64</f>
        <v>0</v>
      </c>
    </row>
    <row r="66" spans="2:24" ht="20" x14ac:dyDescent="0.3">
      <c r="B66" s="54" t="s">
        <v>52</v>
      </c>
      <c r="C66" s="55"/>
      <c r="D66" s="21"/>
      <c r="E66" s="21">
        <v>23</v>
      </c>
      <c r="F66" s="21"/>
      <c r="G66" s="21"/>
      <c r="H66" s="21"/>
      <c r="I66" s="21">
        <v>10.5</v>
      </c>
      <c r="J66" s="21"/>
      <c r="K66" s="21"/>
      <c r="L66" s="21"/>
      <c r="M66" s="21"/>
      <c r="N66" s="21"/>
      <c r="O66" s="21"/>
      <c r="P66" s="21"/>
      <c r="Q66" s="21">
        <v>4.3</v>
      </c>
      <c r="R66" s="21"/>
      <c r="S66" s="21"/>
      <c r="T66" s="21"/>
      <c r="U66" s="21">
        <v>25</v>
      </c>
      <c r="V66" s="21"/>
      <c r="W66" s="21"/>
    </row>
    <row r="67" spans="2:24" ht="20" x14ac:dyDescent="0.3">
      <c r="B67" s="57" t="s">
        <v>53</v>
      </c>
      <c r="C67" s="58"/>
      <c r="D67" s="25">
        <f t="shared" ref="D67:V67" si="38">SUM(D65:D66)</f>
        <v>0</v>
      </c>
      <c r="E67" s="26">
        <f t="shared" si="38"/>
        <v>23</v>
      </c>
      <c r="F67" s="26">
        <f t="shared" si="38"/>
        <v>0</v>
      </c>
      <c r="G67" s="26">
        <f t="shared" si="38"/>
        <v>0</v>
      </c>
      <c r="H67" s="26">
        <f t="shared" si="38"/>
        <v>0</v>
      </c>
      <c r="I67" s="26">
        <f t="shared" si="38"/>
        <v>10.5</v>
      </c>
      <c r="J67" s="26">
        <f t="shared" si="38"/>
        <v>0</v>
      </c>
      <c r="K67" s="26">
        <f t="shared" si="38"/>
        <v>0</v>
      </c>
      <c r="L67" s="26">
        <f t="shared" si="38"/>
        <v>0</v>
      </c>
      <c r="M67" s="26">
        <f t="shared" si="38"/>
        <v>0</v>
      </c>
      <c r="N67" s="26">
        <f t="shared" si="38"/>
        <v>0</v>
      </c>
      <c r="O67" s="26">
        <f t="shared" si="38"/>
        <v>0</v>
      </c>
      <c r="P67" s="26">
        <f t="shared" si="38"/>
        <v>0</v>
      </c>
      <c r="Q67" s="26">
        <f t="shared" si="38"/>
        <v>4.3</v>
      </c>
      <c r="R67" s="26">
        <f t="shared" si="38"/>
        <v>0</v>
      </c>
      <c r="S67" s="26">
        <f t="shared" si="38"/>
        <v>0</v>
      </c>
      <c r="T67" s="26">
        <f t="shared" si="38"/>
        <v>0</v>
      </c>
      <c r="U67" s="26">
        <f t="shared" si="38"/>
        <v>25</v>
      </c>
      <c r="V67" s="26">
        <f t="shared" si="38"/>
        <v>0</v>
      </c>
      <c r="W67" s="26">
        <f>SUM(W65:W66)</f>
        <v>0</v>
      </c>
    </row>
    <row r="68" spans="2:24" ht="20" x14ac:dyDescent="0.3">
      <c r="B68" s="177" t="s">
        <v>54</v>
      </c>
      <c r="C68" s="178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>
        <v>131</v>
      </c>
    </row>
    <row r="69" spans="2:24" ht="20" x14ac:dyDescent="0.3">
      <c r="B69" s="59" t="s">
        <v>55</v>
      </c>
      <c r="C69" s="60"/>
      <c r="D69" s="27">
        <f>SUM(D67:D68)</f>
        <v>0</v>
      </c>
      <c r="E69" s="41">
        <f t="shared" ref="E69:V69" si="39">SUM(E67:E68)</f>
        <v>23</v>
      </c>
      <c r="F69" s="41">
        <f t="shared" si="39"/>
        <v>0</v>
      </c>
      <c r="G69" s="41">
        <f t="shared" si="39"/>
        <v>0</v>
      </c>
      <c r="H69" s="41">
        <f t="shared" si="39"/>
        <v>0</v>
      </c>
      <c r="I69" s="41">
        <f t="shared" si="39"/>
        <v>10.5</v>
      </c>
      <c r="J69" s="41">
        <f t="shared" si="39"/>
        <v>0</v>
      </c>
      <c r="K69" s="41">
        <f t="shared" si="39"/>
        <v>0</v>
      </c>
      <c r="L69" s="41">
        <f t="shared" si="39"/>
        <v>0</v>
      </c>
      <c r="M69" s="41">
        <f t="shared" si="39"/>
        <v>0</v>
      </c>
      <c r="N69" s="41">
        <f t="shared" si="39"/>
        <v>0</v>
      </c>
      <c r="O69" s="41">
        <f t="shared" si="39"/>
        <v>0</v>
      </c>
      <c r="P69" s="41">
        <f t="shared" si="39"/>
        <v>0</v>
      </c>
      <c r="Q69" s="41">
        <f t="shared" si="39"/>
        <v>4.3</v>
      </c>
      <c r="R69" s="41">
        <f t="shared" si="39"/>
        <v>0</v>
      </c>
      <c r="S69" s="41">
        <f>SUM(S67:S68)</f>
        <v>0</v>
      </c>
      <c r="T69" s="41">
        <f t="shared" si="39"/>
        <v>0</v>
      </c>
      <c r="U69" s="41">
        <f t="shared" si="39"/>
        <v>25</v>
      </c>
      <c r="V69" s="41">
        <f t="shared" si="39"/>
        <v>0</v>
      </c>
      <c r="W69" s="41">
        <f>SUM(W67:W68)</f>
        <v>0</v>
      </c>
      <c r="X69">
        <v>16</v>
      </c>
    </row>
    <row r="70" spans="2:24" ht="20" x14ac:dyDescent="0.3">
      <c r="B70" s="171" t="s">
        <v>101</v>
      </c>
      <c r="C70" s="55"/>
      <c r="D70" s="412">
        <v>0</v>
      </c>
      <c r="E70" s="21">
        <v>0</v>
      </c>
      <c r="F70" s="21">
        <v>0</v>
      </c>
      <c r="G70" s="21">
        <v>0</v>
      </c>
      <c r="H70" s="21">
        <v>0</v>
      </c>
      <c r="I70" s="21">
        <v>0</v>
      </c>
      <c r="J70" s="21">
        <v>0</v>
      </c>
      <c r="K70" s="21">
        <v>0</v>
      </c>
      <c r="L70" s="21">
        <v>0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0</v>
      </c>
      <c r="T70" s="21">
        <v>0</v>
      </c>
      <c r="U70" s="21">
        <v>0</v>
      </c>
      <c r="V70" s="21">
        <v>0</v>
      </c>
      <c r="W70" s="21">
        <v>0</v>
      </c>
    </row>
    <row r="71" spans="2:24" ht="20" x14ac:dyDescent="0.3">
      <c r="B71" s="171" t="s">
        <v>194</v>
      </c>
      <c r="C71" s="55"/>
      <c r="D71" s="43">
        <v>125.3826</v>
      </c>
      <c r="E71" s="43">
        <v>136.99433999999999</v>
      </c>
      <c r="F71" s="21">
        <v>0</v>
      </c>
      <c r="G71" s="21">
        <v>0</v>
      </c>
      <c r="H71" s="21">
        <v>0</v>
      </c>
      <c r="I71" s="43">
        <v>123.86934000000001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43">
        <v>129.89759999999998</v>
      </c>
      <c r="R71" s="21">
        <v>0</v>
      </c>
      <c r="S71" s="43">
        <v>125.3826</v>
      </c>
      <c r="T71" s="21">
        <v>0</v>
      </c>
      <c r="U71" s="43">
        <v>151.6326</v>
      </c>
      <c r="V71" s="21">
        <v>0</v>
      </c>
      <c r="W71" s="21">
        <v>0</v>
      </c>
      <c r="X71">
        <f>X68*X69</f>
        <v>2096</v>
      </c>
    </row>
    <row r="72" spans="2:24" ht="20" x14ac:dyDescent="0.3">
      <c r="B72" s="61" t="s">
        <v>195</v>
      </c>
      <c r="C72" s="62"/>
      <c r="D72" s="48">
        <v>127.77083999999999</v>
      </c>
      <c r="E72" s="29">
        <v>139.603756</v>
      </c>
      <c r="F72" s="21">
        <v>0</v>
      </c>
      <c r="G72" s="21">
        <v>0</v>
      </c>
      <c r="H72" s="21">
        <v>0</v>
      </c>
      <c r="I72" s="29">
        <v>126.228756</v>
      </c>
      <c r="J72" s="21">
        <v>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9">
        <v>132.37183999999999</v>
      </c>
      <c r="R72" s="21">
        <v>0</v>
      </c>
      <c r="S72" s="29">
        <v>127.77083999999999</v>
      </c>
      <c r="T72" s="21">
        <v>0</v>
      </c>
      <c r="U72" s="29">
        <v>154.52083999999999</v>
      </c>
      <c r="V72" s="21">
        <v>0</v>
      </c>
      <c r="W72" s="21">
        <v>0</v>
      </c>
    </row>
    <row r="73" spans="2:24" ht="20" x14ac:dyDescent="0.3">
      <c r="B73" s="61" t="s">
        <v>196</v>
      </c>
      <c r="C73" s="62"/>
      <c r="D73" s="48">
        <v>131.35320000000002</v>
      </c>
      <c r="E73" s="29">
        <v>143.51788000000002</v>
      </c>
      <c r="F73" s="21">
        <v>0</v>
      </c>
      <c r="G73" s="21">
        <v>0</v>
      </c>
      <c r="H73" s="21">
        <v>0</v>
      </c>
      <c r="I73" s="29">
        <v>129.76788000000002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9">
        <v>136.08320000000001</v>
      </c>
      <c r="R73" s="21">
        <v>0</v>
      </c>
      <c r="S73" s="29">
        <v>131.35320000000002</v>
      </c>
      <c r="T73" s="21">
        <v>0</v>
      </c>
      <c r="U73" s="29">
        <v>158.85319999999999</v>
      </c>
      <c r="V73" s="21">
        <v>0</v>
      </c>
      <c r="W73" s="21">
        <v>0</v>
      </c>
    </row>
    <row r="74" spans="2:24" ht="20" x14ac:dyDescent="0.3">
      <c r="B74" s="61" t="s">
        <v>197</v>
      </c>
      <c r="C74" s="62"/>
      <c r="D74" s="48">
        <v>137.32379999999998</v>
      </c>
      <c r="E74" s="29">
        <v>150.04141999999999</v>
      </c>
      <c r="F74" s="21">
        <v>0</v>
      </c>
      <c r="G74" s="21">
        <v>0</v>
      </c>
      <c r="H74" s="21">
        <v>0</v>
      </c>
      <c r="I74" s="29">
        <v>135.66641999999999</v>
      </c>
      <c r="J74" s="21">
        <v>0</v>
      </c>
      <c r="K74" s="21">
        <v>0</v>
      </c>
      <c r="L74" s="21">
        <v>0</v>
      </c>
      <c r="M74" s="21">
        <v>0</v>
      </c>
      <c r="N74" s="21">
        <v>0</v>
      </c>
      <c r="O74" s="21">
        <v>0</v>
      </c>
      <c r="P74" s="21">
        <v>0</v>
      </c>
      <c r="Q74" s="29">
        <v>142.26879999999997</v>
      </c>
      <c r="R74" s="21">
        <v>0</v>
      </c>
      <c r="S74" s="29">
        <v>137.32379999999998</v>
      </c>
      <c r="T74" s="21">
        <v>0</v>
      </c>
      <c r="U74" s="29">
        <v>166.07379999999995</v>
      </c>
      <c r="V74" s="21">
        <v>0</v>
      </c>
      <c r="W74" s="21">
        <v>0</v>
      </c>
    </row>
    <row r="75" spans="2:24" s="133" customFormat="1" ht="20" x14ac:dyDescent="0.3">
      <c r="B75" s="413" t="s">
        <v>103</v>
      </c>
      <c r="C75" s="414"/>
      <c r="D75" s="415">
        <v>0</v>
      </c>
      <c r="E75" s="416">
        <v>0</v>
      </c>
      <c r="F75" s="416">
        <v>0</v>
      </c>
      <c r="G75" s="416">
        <v>0</v>
      </c>
      <c r="H75" s="416">
        <v>0</v>
      </c>
      <c r="I75" s="416">
        <v>0</v>
      </c>
      <c r="J75" s="416">
        <v>0</v>
      </c>
      <c r="K75" s="416">
        <v>0</v>
      </c>
      <c r="L75" s="416">
        <v>0</v>
      </c>
      <c r="M75" s="416">
        <v>0</v>
      </c>
      <c r="N75" s="416">
        <v>0</v>
      </c>
      <c r="O75" s="416">
        <v>0</v>
      </c>
      <c r="P75" s="416">
        <v>0</v>
      </c>
      <c r="Q75" s="416">
        <v>0</v>
      </c>
      <c r="R75" s="416">
        <v>0</v>
      </c>
      <c r="S75" s="416">
        <v>0</v>
      </c>
      <c r="T75" s="416">
        <v>0</v>
      </c>
      <c r="U75" s="416">
        <v>0</v>
      </c>
      <c r="V75" s="416">
        <v>0</v>
      </c>
      <c r="W75" s="416">
        <v>0</v>
      </c>
    </row>
    <row r="76" spans="2:24" ht="20" x14ac:dyDescent="0.3">
      <c r="B76" s="63" t="s">
        <v>198</v>
      </c>
      <c r="C76" s="62"/>
      <c r="D76" s="31">
        <f>D71-D69</f>
        <v>125.3826</v>
      </c>
      <c r="E76" s="31">
        <f t="shared" ref="E76:V76" si="40">E71-E69</f>
        <v>113.99433999999999</v>
      </c>
      <c r="F76" s="31">
        <f t="shared" si="40"/>
        <v>0</v>
      </c>
      <c r="G76" s="31">
        <f t="shared" si="40"/>
        <v>0</v>
      </c>
      <c r="H76" s="31">
        <f t="shared" si="40"/>
        <v>0</v>
      </c>
      <c r="I76" s="31">
        <f t="shared" si="40"/>
        <v>113.36934000000001</v>
      </c>
      <c r="J76" s="31">
        <f t="shared" si="40"/>
        <v>0</v>
      </c>
      <c r="K76" s="31">
        <f t="shared" si="40"/>
        <v>0</v>
      </c>
      <c r="L76" s="31">
        <f t="shared" si="40"/>
        <v>0</v>
      </c>
      <c r="M76" s="31">
        <f t="shared" si="40"/>
        <v>0</v>
      </c>
      <c r="N76" s="31">
        <f t="shared" si="40"/>
        <v>0</v>
      </c>
      <c r="O76" s="31">
        <f t="shared" si="40"/>
        <v>0</v>
      </c>
      <c r="P76" s="31">
        <f t="shared" si="40"/>
        <v>0</v>
      </c>
      <c r="Q76" s="31">
        <f>Q71-Q69</f>
        <v>125.59759999999999</v>
      </c>
      <c r="R76" s="31">
        <f t="shared" si="40"/>
        <v>0</v>
      </c>
      <c r="S76" s="31">
        <f t="shared" si="40"/>
        <v>125.3826</v>
      </c>
      <c r="T76" s="31">
        <f t="shared" si="40"/>
        <v>0</v>
      </c>
      <c r="U76" s="31">
        <f>U71-U69</f>
        <v>126.6326</v>
      </c>
      <c r="V76" s="31">
        <f t="shared" si="40"/>
        <v>0</v>
      </c>
      <c r="W76" s="31">
        <f>W71-W69</f>
        <v>0</v>
      </c>
    </row>
    <row r="77" spans="2:24" ht="20" x14ac:dyDescent="0.3">
      <c r="B77" s="63" t="s">
        <v>199</v>
      </c>
      <c r="C77" s="64"/>
      <c r="D77" s="31">
        <f>+D72-D69</f>
        <v>127.77083999999999</v>
      </c>
      <c r="E77" s="32">
        <f>+E72-E$14</f>
        <v>-198.75874400000001</v>
      </c>
      <c r="F77" s="32">
        <f t="shared" ref="F77:V77" si="41">+F72-F$14</f>
        <v>0</v>
      </c>
      <c r="G77" s="32">
        <f t="shared" si="41"/>
        <v>-335.35950000000003</v>
      </c>
      <c r="H77" s="32">
        <f t="shared" si="41"/>
        <v>-324.6705</v>
      </c>
      <c r="I77" s="32">
        <f t="shared" si="41"/>
        <v>-204.720744</v>
      </c>
      <c r="J77" s="32">
        <f t="shared" si="41"/>
        <v>-338.36250000000001</v>
      </c>
      <c r="K77" s="32">
        <f t="shared" si="41"/>
        <v>0</v>
      </c>
      <c r="L77" s="32">
        <f t="shared" si="41"/>
        <v>0</v>
      </c>
      <c r="M77" s="32">
        <f t="shared" si="41"/>
        <v>0</v>
      </c>
      <c r="N77" s="32">
        <f t="shared" si="41"/>
        <v>-319.51500000000004</v>
      </c>
      <c r="O77" s="32">
        <f t="shared" si="41"/>
        <v>-331.04399999999998</v>
      </c>
      <c r="P77" s="32">
        <f t="shared" si="41"/>
        <v>-308.96250000000003</v>
      </c>
      <c r="Q77" s="32">
        <f>+Q72-Q69</f>
        <v>128.07183999999998</v>
      </c>
      <c r="R77" s="32">
        <f t="shared" si="41"/>
        <v>-308.96250000000003</v>
      </c>
      <c r="S77" s="32">
        <f t="shared" si="41"/>
        <v>-181.19166000000004</v>
      </c>
      <c r="T77" s="32">
        <f t="shared" si="41"/>
        <v>0</v>
      </c>
      <c r="U77" s="32">
        <f>+U72-U69</f>
        <v>129.52083999999999</v>
      </c>
      <c r="V77" s="32">
        <f t="shared" si="41"/>
        <v>0</v>
      </c>
      <c r="W77" s="32">
        <f>+W72-W$14</f>
        <v>-317.36250000000001</v>
      </c>
    </row>
    <row r="78" spans="2:24" ht="20" x14ac:dyDescent="0.3">
      <c r="B78" s="63" t="s">
        <v>200</v>
      </c>
      <c r="C78" s="64"/>
      <c r="D78" s="31">
        <f>+D73-D69</f>
        <v>131.35320000000002</v>
      </c>
      <c r="E78" s="32">
        <f t="shared" ref="E78:V78" si="42">+E73-E$14</f>
        <v>-194.84461999999999</v>
      </c>
      <c r="F78" s="32">
        <f t="shared" si="42"/>
        <v>0</v>
      </c>
      <c r="G78" s="32">
        <f t="shared" si="42"/>
        <v>-335.35950000000003</v>
      </c>
      <c r="H78" s="32">
        <f t="shared" si="42"/>
        <v>-324.6705</v>
      </c>
      <c r="I78" s="32">
        <f t="shared" si="42"/>
        <v>-201.18161999999998</v>
      </c>
      <c r="J78" s="32">
        <f t="shared" si="42"/>
        <v>-338.36250000000001</v>
      </c>
      <c r="K78" s="32">
        <f t="shared" si="42"/>
        <v>0</v>
      </c>
      <c r="L78" s="32">
        <f t="shared" si="42"/>
        <v>0</v>
      </c>
      <c r="M78" s="32">
        <f t="shared" si="42"/>
        <v>0</v>
      </c>
      <c r="N78" s="32">
        <f t="shared" si="42"/>
        <v>-319.51500000000004</v>
      </c>
      <c r="O78" s="32">
        <f t="shared" si="42"/>
        <v>-331.04399999999998</v>
      </c>
      <c r="P78" s="32">
        <f t="shared" si="42"/>
        <v>-308.96250000000003</v>
      </c>
      <c r="Q78" s="32">
        <f>+Q73-Q69</f>
        <v>131.78319999999999</v>
      </c>
      <c r="R78" s="32">
        <f t="shared" si="42"/>
        <v>-308.96250000000003</v>
      </c>
      <c r="S78" s="32">
        <f t="shared" si="42"/>
        <v>-177.60930000000002</v>
      </c>
      <c r="T78" s="32">
        <f t="shared" si="42"/>
        <v>0</v>
      </c>
      <c r="U78" s="32">
        <f>+U73-U69</f>
        <v>133.85319999999999</v>
      </c>
      <c r="V78" s="32">
        <f t="shared" si="42"/>
        <v>0</v>
      </c>
      <c r="W78" s="32">
        <f>+W73-W$14</f>
        <v>-317.36250000000001</v>
      </c>
    </row>
    <row r="79" spans="2:24" ht="20" x14ac:dyDescent="0.3">
      <c r="B79" s="63" t="s">
        <v>201</v>
      </c>
      <c r="C79" s="64"/>
      <c r="D79" s="31">
        <f>+D74-D69</f>
        <v>137.32379999999998</v>
      </c>
      <c r="E79" s="32">
        <f t="shared" ref="E79:V79" si="43">+E74-E$14</f>
        <v>-188.32108000000002</v>
      </c>
      <c r="F79" s="32">
        <f t="shared" si="43"/>
        <v>0</v>
      </c>
      <c r="G79" s="32">
        <f t="shared" si="43"/>
        <v>-335.35950000000003</v>
      </c>
      <c r="H79" s="32">
        <f t="shared" si="43"/>
        <v>-324.6705</v>
      </c>
      <c r="I79" s="32">
        <f t="shared" si="43"/>
        <v>-195.28308000000001</v>
      </c>
      <c r="J79" s="32">
        <f t="shared" si="43"/>
        <v>-338.36250000000001</v>
      </c>
      <c r="K79" s="32">
        <f t="shared" si="43"/>
        <v>0</v>
      </c>
      <c r="L79" s="32">
        <f t="shared" si="43"/>
        <v>0</v>
      </c>
      <c r="M79" s="32">
        <f t="shared" si="43"/>
        <v>0</v>
      </c>
      <c r="N79" s="32">
        <f t="shared" si="43"/>
        <v>-319.51500000000004</v>
      </c>
      <c r="O79" s="32">
        <f t="shared" si="43"/>
        <v>-331.04399999999998</v>
      </c>
      <c r="P79" s="32">
        <f t="shared" si="43"/>
        <v>-308.96250000000003</v>
      </c>
      <c r="Q79" s="32">
        <f>+Q74-Q69</f>
        <v>137.96879999999996</v>
      </c>
      <c r="R79" s="32">
        <f t="shared" si="43"/>
        <v>-308.96250000000003</v>
      </c>
      <c r="S79" s="32">
        <f t="shared" si="43"/>
        <v>-171.63870000000006</v>
      </c>
      <c r="T79" s="32">
        <f t="shared" si="43"/>
        <v>0</v>
      </c>
      <c r="U79" s="32">
        <f>+U74-U69</f>
        <v>141.07379999999995</v>
      </c>
      <c r="V79" s="32">
        <f t="shared" si="43"/>
        <v>0</v>
      </c>
      <c r="W79" s="32">
        <f>+W74-W$14</f>
        <v>-317.36250000000001</v>
      </c>
    </row>
    <row r="80" spans="2:24" s="421" customFormat="1" ht="20" x14ac:dyDescent="0.3">
      <c r="B80" s="417" t="s">
        <v>108</v>
      </c>
      <c r="C80" s="418"/>
      <c r="D80" s="419">
        <v>0</v>
      </c>
      <c r="E80" s="420">
        <v>0</v>
      </c>
      <c r="F80" s="420">
        <v>0</v>
      </c>
      <c r="G80" s="420">
        <v>0</v>
      </c>
      <c r="H80" s="420">
        <v>0</v>
      </c>
      <c r="I80" s="420">
        <v>0</v>
      </c>
      <c r="J80" s="420">
        <v>0</v>
      </c>
      <c r="K80" s="420">
        <v>0</v>
      </c>
      <c r="L80" s="420">
        <v>0</v>
      </c>
      <c r="M80" s="420">
        <v>0</v>
      </c>
      <c r="N80" s="420">
        <v>0</v>
      </c>
      <c r="O80" s="420">
        <v>0</v>
      </c>
      <c r="P80" s="420">
        <v>0</v>
      </c>
      <c r="Q80" s="420">
        <v>0</v>
      </c>
      <c r="R80" s="420">
        <v>0</v>
      </c>
      <c r="S80" s="420">
        <v>0</v>
      </c>
      <c r="T80" s="420">
        <v>0</v>
      </c>
      <c r="U80" s="420">
        <v>0</v>
      </c>
      <c r="V80" s="420">
        <v>0</v>
      </c>
      <c r="W80" s="420">
        <v>0</v>
      </c>
    </row>
    <row r="81" spans="1:23" ht="20" x14ac:dyDescent="0.3">
      <c r="B81" s="97" t="s">
        <v>202</v>
      </c>
      <c r="C81" s="98"/>
      <c r="D81" s="99" t="e">
        <f>+D76/D69</f>
        <v>#DIV/0!</v>
      </c>
      <c r="E81" s="99">
        <f t="shared" ref="E81:V81" si="44">+E76/E69</f>
        <v>4.9562756521739129</v>
      </c>
      <c r="F81" s="99" t="e">
        <f t="shared" si="44"/>
        <v>#DIV/0!</v>
      </c>
      <c r="G81" s="99" t="e">
        <f t="shared" si="44"/>
        <v>#DIV/0!</v>
      </c>
      <c r="H81" s="99" t="e">
        <f t="shared" si="44"/>
        <v>#DIV/0!</v>
      </c>
      <c r="I81" s="99">
        <f t="shared" si="44"/>
        <v>10.797080000000001</v>
      </c>
      <c r="J81" s="99" t="e">
        <f t="shared" si="44"/>
        <v>#DIV/0!</v>
      </c>
      <c r="K81" s="99" t="e">
        <f t="shared" si="44"/>
        <v>#DIV/0!</v>
      </c>
      <c r="L81" s="99" t="e">
        <f t="shared" si="44"/>
        <v>#DIV/0!</v>
      </c>
      <c r="M81" s="99" t="e">
        <f t="shared" si="44"/>
        <v>#DIV/0!</v>
      </c>
      <c r="N81" s="99" t="e">
        <f t="shared" si="44"/>
        <v>#DIV/0!</v>
      </c>
      <c r="O81" s="99" t="e">
        <f t="shared" si="44"/>
        <v>#DIV/0!</v>
      </c>
      <c r="P81" s="99" t="e">
        <f t="shared" si="44"/>
        <v>#DIV/0!</v>
      </c>
      <c r="Q81" s="99">
        <f>+Q76/Q69</f>
        <v>29.208744186046509</v>
      </c>
      <c r="R81" s="99" t="e">
        <f t="shared" si="44"/>
        <v>#DIV/0!</v>
      </c>
      <c r="S81" s="99" t="e">
        <f t="shared" si="44"/>
        <v>#DIV/0!</v>
      </c>
      <c r="T81" s="99" t="e">
        <f t="shared" si="44"/>
        <v>#DIV/0!</v>
      </c>
      <c r="U81" s="99">
        <f>+U76/U69</f>
        <v>5.0653040000000003</v>
      </c>
      <c r="V81" s="99" t="e">
        <f t="shared" si="44"/>
        <v>#DIV/0!</v>
      </c>
      <c r="W81" s="99" t="e">
        <f>+W76/W69</f>
        <v>#DIV/0!</v>
      </c>
    </row>
    <row r="82" spans="1:23" ht="20" x14ac:dyDescent="0.3">
      <c r="B82" s="97" t="s">
        <v>203</v>
      </c>
      <c r="C82" s="98"/>
      <c r="D82" s="100" t="e">
        <f>+D77/D69</f>
        <v>#DIV/0!</v>
      </c>
      <c r="E82" s="100">
        <f>+E77/E72</f>
        <v>-1.423734931601697</v>
      </c>
      <c r="F82" s="100" t="e">
        <f>+F77/F72</f>
        <v>#DIV/0!</v>
      </c>
      <c r="G82" s="100" t="e">
        <f>+G77/G72</f>
        <v>#DIV/0!</v>
      </c>
      <c r="H82" s="100" t="e">
        <f t="shared" ref="H82:V82" si="45">+H77/H72</f>
        <v>#DIV/0!</v>
      </c>
      <c r="I82" s="100">
        <f t="shared" si="45"/>
        <v>-1.6218233506159245</v>
      </c>
      <c r="J82" s="100" t="e">
        <f t="shared" si="45"/>
        <v>#DIV/0!</v>
      </c>
      <c r="K82" s="100" t="e">
        <f t="shared" si="45"/>
        <v>#DIV/0!</v>
      </c>
      <c r="L82" s="100" t="e">
        <f t="shared" si="45"/>
        <v>#DIV/0!</v>
      </c>
      <c r="M82" s="100" t="e">
        <f t="shared" si="45"/>
        <v>#DIV/0!</v>
      </c>
      <c r="N82" s="100" t="e">
        <f t="shared" si="45"/>
        <v>#DIV/0!</v>
      </c>
      <c r="O82" s="100" t="e">
        <f t="shared" si="45"/>
        <v>#DIV/0!</v>
      </c>
      <c r="P82" s="100" t="e">
        <f t="shared" si="45"/>
        <v>#DIV/0!</v>
      </c>
      <c r="Q82" s="100">
        <f>+Q77/Q69</f>
        <v>29.784148837209298</v>
      </c>
      <c r="R82" s="100" t="e">
        <f t="shared" si="45"/>
        <v>#DIV/0!</v>
      </c>
      <c r="S82" s="100">
        <f t="shared" si="45"/>
        <v>-1.4180986835493925</v>
      </c>
      <c r="T82" s="100" t="e">
        <f t="shared" si="45"/>
        <v>#DIV/0!</v>
      </c>
      <c r="U82" s="100">
        <f>+U77/U69</f>
        <v>5.1808335999999997</v>
      </c>
      <c r="V82" s="100" t="e">
        <f t="shared" si="45"/>
        <v>#DIV/0!</v>
      </c>
      <c r="W82" s="100" t="e">
        <f>+W77/W72</f>
        <v>#DIV/0!</v>
      </c>
    </row>
    <row r="83" spans="1:23" ht="20" x14ac:dyDescent="0.3">
      <c r="B83" s="97" t="s">
        <v>204</v>
      </c>
      <c r="C83" s="98"/>
      <c r="D83" s="100" t="e">
        <f>+D78/D69</f>
        <v>#DIV/0!</v>
      </c>
      <c r="E83" s="100">
        <f t="shared" ref="E83:V83" si="46">+E78/E73</f>
        <v>-1.3576330698307415</v>
      </c>
      <c r="F83" s="100" t="e">
        <f t="shared" si="46"/>
        <v>#DIV/0!</v>
      </c>
      <c r="G83" s="100" t="e">
        <f t="shared" si="46"/>
        <v>#DIV/0!</v>
      </c>
      <c r="H83" s="100" t="e">
        <f t="shared" si="46"/>
        <v>#DIV/0!</v>
      </c>
      <c r="I83" s="100">
        <f t="shared" si="46"/>
        <v>-1.5503190774173081</v>
      </c>
      <c r="J83" s="100" t="e">
        <f t="shared" si="46"/>
        <v>#DIV/0!</v>
      </c>
      <c r="K83" s="100" t="e">
        <f t="shared" si="46"/>
        <v>#DIV/0!</v>
      </c>
      <c r="L83" s="100" t="e">
        <f t="shared" si="46"/>
        <v>#DIV/0!</v>
      </c>
      <c r="M83" s="100" t="e">
        <f t="shared" si="46"/>
        <v>#DIV/0!</v>
      </c>
      <c r="N83" s="100" t="e">
        <f t="shared" si="46"/>
        <v>#DIV/0!</v>
      </c>
      <c r="O83" s="100" t="e">
        <f t="shared" si="46"/>
        <v>#DIV/0!</v>
      </c>
      <c r="P83" s="100" t="e">
        <f t="shared" si="46"/>
        <v>#DIV/0!</v>
      </c>
      <c r="Q83" s="100">
        <f>+Q78/Q69</f>
        <v>30.647255813953489</v>
      </c>
      <c r="R83" s="100" t="e">
        <f t="shared" si="46"/>
        <v>#DIV/0!</v>
      </c>
      <c r="S83" s="100">
        <f t="shared" si="46"/>
        <v>-1.3521505376344085</v>
      </c>
      <c r="T83" s="100" t="e">
        <f t="shared" si="46"/>
        <v>#DIV/0!</v>
      </c>
      <c r="U83" s="100">
        <f>+U78/U69</f>
        <v>5.3541279999999993</v>
      </c>
      <c r="V83" s="100" t="e">
        <f t="shared" si="46"/>
        <v>#DIV/0!</v>
      </c>
      <c r="W83" s="100" t="e">
        <f>+W78/W73</f>
        <v>#DIV/0!</v>
      </c>
    </row>
    <row r="84" spans="1:23" ht="20" x14ac:dyDescent="0.3">
      <c r="B84" s="97" t="s">
        <v>205</v>
      </c>
      <c r="C84" s="98"/>
      <c r="D84" s="100" t="e">
        <f>+D79/D69</f>
        <v>#DIV/0!</v>
      </c>
      <c r="E84" s="100">
        <f t="shared" ref="E84:V84" si="47">+E79/E74</f>
        <v>-1.2551272841859271</v>
      </c>
      <c r="F84" s="100" t="e">
        <f t="shared" si="47"/>
        <v>#DIV/0!</v>
      </c>
      <c r="G84" s="100" t="e">
        <f t="shared" si="47"/>
        <v>#DIV/0!</v>
      </c>
      <c r="H84" s="100" t="e">
        <f t="shared" si="47"/>
        <v>#DIV/0!</v>
      </c>
      <c r="I84" s="100">
        <f t="shared" si="47"/>
        <v>-1.4394356392687302</v>
      </c>
      <c r="J84" s="100" t="e">
        <f t="shared" si="47"/>
        <v>#DIV/0!</v>
      </c>
      <c r="K84" s="100" t="e">
        <f t="shared" si="47"/>
        <v>#DIV/0!</v>
      </c>
      <c r="L84" s="100" t="e">
        <f t="shared" si="47"/>
        <v>#DIV/0!</v>
      </c>
      <c r="M84" s="100" t="e">
        <f t="shared" si="47"/>
        <v>#DIV/0!</v>
      </c>
      <c r="N84" s="100" t="e">
        <f t="shared" si="47"/>
        <v>#DIV/0!</v>
      </c>
      <c r="O84" s="100" t="e">
        <f t="shared" si="47"/>
        <v>#DIV/0!</v>
      </c>
      <c r="P84" s="100" t="e">
        <f t="shared" si="47"/>
        <v>#DIV/0!</v>
      </c>
      <c r="Q84" s="100">
        <f>+Q79/Q69</f>
        <v>32.085767441860455</v>
      </c>
      <c r="R84" s="100" t="e">
        <f t="shared" si="47"/>
        <v>#DIV/0!</v>
      </c>
      <c r="S84" s="100">
        <f t="shared" si="47"/>
        <v>-1.2498831229546523</v>
      </c>
      <c r="T84" s="100" t="e">
        <f t="shared" si="47"/>
        <v>#DIV/0!</v>
      </c>
      <c r="U84" s="100">
        <f>+U79/U69</f>
        <v>5.6429519999999975</v>
      </c>
      <c r="V84" s="100" t="e">
        <f t="shared" si="47"/>
        <v>#DIV/0!</v>
      </c>
      <c r="W84" s="100" t="e">
        <f>+W79/W74</f>
        <v>#DIV/0!</v>
      </c>
    </row>
    <row r="85" spans="1:23" ht="20" hidden="1" x14ac:dyDescent="0.3">
      <c r="B85" s="97" t="s">
        <v>78</v>
      </c>
      <c r="C85" s="98"/>
      <c r="D85" s="100" t="e">
        <f>+D80/D69</f>
        <v>#DIV/0!</v>
      </c>
      <c r="E85" s="100" t="e">
        <f t="shared" ref="E85:V85" si="48">+E80/E75</f>
        <v>#DIV/0!</v>
      </c>
      <c r="F85" s="100" t="e">
        <f t="shared" si="48"/>
        <v>#DIV/0!</v>
      </c>
      <c r="G85" s="100" t="e">
        <f t="shared" si="48"/>
        <v>#DIV/0!</v>
      </c>
      <c r="H85" s="100" t="e">
        <f t="shared" si="48"/>
        <v>#DIV/0!</v>
      </c>
      <c r="I85" s="100" t="e">
        <f t="shared" si="48"/>
        <v>#DIV/0!</v>
      </c>
      <c r="J85" s="100" t="e">
        <f t="shared" si="48"/>
        <v>#DIV/0!</v>
      </c>
      <c r="K85" s="100" t="e">
        <f t="shared" si="48"/>
        <v>#DIV/0!</v>
      </c>
      <c r="L85" s="100" t="e">
        <f t="shared" si="48"/>
        <v>#DIV/0!</v>
      </c>
      <c r="M85" s="100" t="e">
        <f t="shared" si="48"/>
        <v>#DIV/0!</v>
      </c>
      <c r="N85" s="100" t="e">
        <f t="shared" si="48"/>
        <v>#DIV/0!</v>
      </c>
      <c r="O85" s="100" t="e">
        <f t="shared" si="48"/>
        <v>#DIV/0!</v>
      </c>
      <c r="P85" s="100" t="e">
        <f t="shared" si="48"/>
        <v>#DIV/0!</v>
      </c>
      <c r="Q85" s="100">
        <f>+Q80/Q69</f>
        <v>0</v>
      </c>
      <c r="R85" s="100" t="e">
        <f t="shared" si="48"/>
        <v>#DIV/0!</v>
      </c>
      <c r="S85" s="100" t="e">
        <f t="shared" si="48"/>
        <v>#DIV/0!</v>
      </c>
      <c r="T85" s="100" t="e">
        <f t="shared" si="48"/>
        <v>#DIV/0!</v>
      </c>
      <c r="U85" s="100" t="e">
        <f t="shared" si="48"/>
        <v>#DIV/0!</v>
      </c>
      <c r="V85" s="100" t="e">
        <f t="shared" si="48"/>
        <v>#DIV/0!</v>
      </c>
      <c r="W85" s="100" t="e">
        <f>+W80/W75</f>
        <v>#DIV/0!</v>
      </c>
    </row>
    <row r="86" spans="1:23" ht="20" thickBot="1" x14ac:dyDescent="0.3"/>
    <row r="87" spans="1:23" ht="21" thickBot="1" x14ac:dyDescent="0.35">
      <c r="A87" s="15" t="s">
        <v>353</v>
      </c>
      <c r="B87" s="373" t="s">
        <v>124</v>
      </c>
      <c r="C87" s="16"/>
      <c r="D87" s="17" t="s">
        <v>5</v>
      </c>
      <c r="E87" s="18" t="s">
        <v>6</v>
      </c>
      <c r="F87" s="18" t="s">
        <v>7</v>
      </c>
      <c r="G87" s="18" t="s">
        <v>8</v>
      </c>
      <c r="H87" s="18" t="s">
        <v>9</v>
      </c>
      <c r="I87" s="18" t="s">
        <v>10</v>
      </c>
      <c r="J87" s="18" t="s">
        <v>11</v>
      </c>
      <c r="K87" s="18" t="s">
        <v>12</v>
      </c>
      <c r="L87" s="18" t="s">
        <v>13</v>
      </c>
      <c r="M87" s="18" t="s">
        <v>14</v>
      </c>
      <c r="N87" s="18" t="s">
        <v>15</v>
      </c>
      <c r="O87" s="18" t="s">
        <v>16</v>
      </c>
      <c r="P87" s="18" t="s">
        <v>17</v>
      </c>
      <c r="Q87" s="18" t="s">
        <v>18</v>
      </c>
      <c r="R87" s="18" t="s">
        <v>19</v>
      </c>
      <c r="S87" s="18" t="s">
        <v>20</v>
      </c>
      <c r="T87" s="18" t="s">
        <v>21</v>
      </c>
      <c r="U87" s="18" t="s">
        <v>22</v>
      </c>
      <c r="V87" s="18" t="s">
        <v>23</v>
      </c>
      <c r="W87" s="18" t="s">
        <v>166</v>
      </c>
    </row>
    <row r="88" spans="1:23" ht="20" x14ac:dyDescent="0.3">
      <c r="B88" s="52" t="s">
        <v>50</v>
      </c>
      <c r="C88" s="53"/>
      <c r="D88" s="20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1:23" ht="20" x14ac:dyDescent="0.3">
      <c r="B89" s="177" t="s">
        <v>51</v>
      </c>
      <c r="C89" s="178"/>
      <c r="D89" s="179"/>
      <c r="E89" s="179"/>
      <c r="F89" s="179"/>
      <c r="G89" s="179"/>
      <c r="H89" s="179"/>
      <c r="I89" s="182"/>
      <c r="J89" s="182"/>
      <c r="K89" s="182"/>
      <c r="L89" s="182"/>
      <c r="M89" s="182"/>
      <c r="N89" s="179"/>
      <c r="O89" s="179"/>
      <c r="P89" s="179"/>
      <c r="Q89" s="179"/>
      <c r="R89" s="182"/>
      <c r="S89" s="182"/>
      <c r="T89" s="182"/>
      <c r="U89" s="182"/>
      <c r="V89" s="182"/>
      <c r="W89" s="182"/>
    </row>
    <row r="90" spans="1:23" ht="20" x14ac:dyDescent="0.3">
      <c r="B90" s="54"/>
      <c r="C90" s="55"/>
      <c r="D90" s="20">
        <f t="shared" ref="D90:I90" si="49">D88*(1-D89)</f>
        <v>0</v>
      </c>
      <c r="E90" s="20">
        <f t="shared" si="49"/>
        <v>0</v>
      </c>
      <c r="F90" s="20">
        <f t="shared" si="49"/>
        <v>0</v>
      </c>
      <c r="G90" s="20">
        <f t="shared" si="49"/>
        <v>0</v>
      </c>
      <c r="H90" s="20">
        <f t="shared" si="49"/>
        <v>0</v>
      </c>
      <c r="I90" s="20">
        <f t="shared" si="49"/>
        <v>0</v>
      </c>
      <c r="J90" s="20">
        <f>J88*(1-J89)</f>
        <v>0</v>
      </c>
      <c r="K90" s="20">
        <f t="shared" ref="K90:V90" si="50">K88*(1-K89)</f>
        <v>0</v>
      </c>
      <c r="L90" s="20">
        <f t="shared" si="50"/>
        <v>0</v>
      </c>
      <c r="M90" s="20">
        <f t="shared" si="50"/>
        <v>0</v>
      </c>
      <c r="N90" s="20">
        <f t="shared" si="50"/>
        <v>0</v>
      </c>
      <c r="O90" s="20">
        <f t="shared" si="50"/>
        <v>0</v>
      </c>
      <c r="P90" s="20">
        <f t="shared" si="50"/>
        <v>0</v>
      </c>
      <c r="Q90" s="20">
        <f t="shared" si="50"/>
        <v>0</v>
      </c>
      <c r="R90" s="20">
        <f t="shared" si="50"/>
        <v>0</v>
      </c>
      <c r="S90" s="20">
        <f t="shared" si="50"/>
        <v>0</v>
      </c>
      <c r="T90" s="20">
        <f t="shared" si="50"/>
        <v>0</v>
      </c>
      <c r="U90" s="20">
        <f t="shared" si="50"/>
        <v>0</v>
      </c>
      <c r="V90" s="20">
        <f t="shared" si="50"/>
        <v>0</v>
      </c>
      <c r="W90" s="20">
        <f>W88*(1-W89)</f>
        <v>0</v>
      </c>
    </row>
    <row r="91" spans="1:23" ht="20" x14ac:dyDescent="0.3">
      <c r="B91" s="54" t="s">
        <v>51</v>
      </c>
      <c r="C91" s="56">
        <v>0.02</v>
      </c>
      <c r="D91" s="20"/>
      <c r="E91" s="20">
        <f t="shared" ref="E91:V91" si="51">E90*$C91</f>
        <v>0</v>
      </c>
      <c r="F91" s="20">
        <f t="shared" si="51"/>
        <v>0</v>
      </c>
      <c r="G91" s="20">
        <f t="shared" si="51"/>
        <v>0</v>
      </c>
      <c r="H91" s="20">
        <f t="shared" si="51"/>
        <v>0</v>
      </c>
      <c r="I91" s="20">
        <f t="shared" si="51"/>
        <v>0</v>
      </c>
      <c r="J91" s="20">
        <f t="shared" si="51"/>
        <v>0</v>
      </c>
      <c r="K91" s="20">
        <f t="shared" si="51"/>
        <v>0</v>
      </c>
      <c r="L91" s="20">
        <f t="shared" si="51"/>
        <v>0</v>
      </c>
      <c r="M91" s="20">
        <f t="shared" si="51"/>
        <v>0</v>
      </c>
      <c r="N91" s="20">
        <f t="shared" si="51"/>
        <v>0</v>
      </c>
      <c r="O91" s="20">
        <f t="shared" si="51"/>
        <v>0</v>
      </c>
      <c r="P91" s="20">
        <f t="shared" si="51"/>
        <v>0</v>
      </c>
      <c r="Q91" s="20">
        <f t="shared" si="51"/>
        <v>0</v>
      </c>
      <c r="R91" s="20">
        <f t="shared" si="51"/>
        <v>0</v>
      </c>
      <c r="S91" s="20">
        <f t="shared" si="51"/>
        <v>0</v>
      </c>
      <c r="T91" s="20">
        <f t="shared" si="51"/>
        <v>0</v>
      </c>
      <c r="U91" s="20">
        <f t="shared" si="51"/>
        <v>0</v>
      </c>
      <c r="V91" s="20">
        <f t="shared" si="51"/>
        <v>0</v>
      </c>
      <c r="W91" s="20">
        <f>W90*$C91</f>
        <v>0</v>
      </c>
    </row>
    <row r="92" spans="1:23" ht="20" x14ac:dyDescent="0.3">
      <c r="B92" s="54" t="s">
        <v>67</v>
      </c>
      <c r="C92" s="55"/>
      <c r="D92" s="20">
        <f>D90-D91</f>
        <v>0</v>
      </c>
      <c r="E92" s="20">
        <f t="shared" ref="E92:V92" si="52">E90-E91</f>
        <v>0</v>
      </c>
      <c r="F92" s="20">
        <f t="shared" si="52"/>
        <v>0</v>
      </c>
      <c r="G92" s="20">
        <f t="shared" si="52"/>
        <v>0</v>
      </c>
      <c r="H92" s="20">
        <f t="shared" si="52"/>
        <v>0</v>
      </c>
      <c r="I92" s="20">
        <f t="shared" si="52"/>
        <v>0</v>
      </c>
      <c r="J92" s="20">
        <f t="shared" si="52"/>
        <v>0</v>
      </c>
      <c r="K92" s="20">
        <f t="shared" si="52"/>
        <v>0</v>
      </c>
      <c r="L92" s="20">
        <f t="shared" si="52"/>
        <v>0</v>
      </c>
      <c r="M92" s="20">
        <f t="shared" si="52"/>
        <v>0</v>
      </c>
      <c r="N92" s="20">
        <f t="shared" si="52"/>
        <v>0</v>
      </c>
      <c r="O92" s="20">
        <f t="shared" si="52"/>
        <v>0</v>
      </c>
      <c r="P92" s="20">
        <f t="shared" si="52"/>
        <v>0</v>
      </c>
      <c r="Q92" s="20">
        <f t="shared" si="52"/>
        <v>0</v>
      </c>
      <c r="R92" s="20">
        <f t="shared" si="52"/>
        <v>0</v>
      </c>
      <c r="S92" s="20">
        <f t="shared" si="52"/>
        <v>0</v>
      </c>
      <c r="T92" s="20">
        <f t="shared" si="52"/>
        <v>0</v>
      </c>
      <c r="U92" s="20">
        <f t="shared" si="52"/>
        <v>0</v>
      </c>
      <c r="V92" s="20">
        <f t="shared" si="52"/>
        <v>0</v>
      </c>
      <c r="W92" s="20">
        <f>W90-W91</f>
        <v>0</v>
      </c>
    </row>
    <row r="93" spans="1:23" ht="20" x14ac:dyDescent="0.3">
      <c r="B93" s="54" t="s">
        <v>66</v>
      </c>
      <c r="C93" s="56">
        <v>7.0000000000000007E-2</v>
      </c>
      <c r="D93" s="20">
        <f>D92*$C93</f>
        <v>0</v>
      </c>
      <c r="E93" s="20">
        <f t="shared" ref="E93:V93" si="53">E92*$C93</f>
        <v>0</v>
      </c>
      <c r="F93" s="20">
        <f t="shared" si="53"/>
        <v>0</v>
      </c>
      <c r="G93" s="20">
        <f t="shared" si="53"/>
        <v>0</v>
      </c>
      <c r="H93" s="20">
        <f t="shared" si="53"/>
        <v>0</v>
      </c>
      <c r="I93" s="20">
        <f t="shared" si="53"/>
        <v>0</v>
      </c>
      <c r="J93" s="20">
        <f t="shared" si="53"/>
        <v>0</v>
      </c>
      <c r="K93" s="20">
        <f t="shared" si="53"/>
        <v>0</v>
      </c>
      <c r="L93" s="20">
        <f t="shared" si="53"/>
        <v>0</v>
      </c>
      <c r="M93" s="20">
        <f t="shared" si="53"/>
        <v>0</v>
      </c>
      <c r="N93" s="20">
        <f t="shared" si="53"/>
        <v>0</v>
      </c>
      <c r="O93" s="20">
        <f t="shared" si="53"/>
        <v>0</v>
      </c>
      <c r="P93" s="20">
        <f t="shared" si="53"/>
        <v>0</v>
      </c>
      <c r="Q93" s="20">
        <f t="shared" si="53"/>
        <v>0</v>
      </c>
      <c r="R93" s="20">
        <f t="shared" si="53"/>
        <v>0</v>
      </c>
      <c r="S93" s="20">
        <f t="shared" si="53"/>
        <v>0</v>
      </c>
      <c r="T93" s="20">
        <f t="shared" si="53"/>
        <v>0</v>
      </c>
      <c r="U93" s="20">
        <f t="shared" si="53"/>
        <v>0</v>
      </c>
      <c r="V93" s="20">
        <f t="shared" si="53"/>
        <v>0</v>
      </c>
      <c r="W93" s="20">
        <f>W92*$C93</f>
        <v>0</v>
      </c>
    </row>
    <row r="94" spans="1:23" ht="20" x14ac:dyDescent="0.3">
      <c r="B94" s="54" t="s">
        <v>68</v>
      </c>
      <c r="C94" s="55"/>
      <c r="D94" s="20">
        <f>D92+D93</f>
        <v>0</v>
      </c>
      <c r="E94" s="20">
        <f t="shared" ref="E94:V94" si="54">E92+E93</f>
        <v>0</v>
      </c>
      <c r="F94" s="20">
        <f t="shared" si="54"/>
        <v>0</v>
      </c>
      <c r="G94" s="20">
        <f t="shared" si="54"/>
        <v>0</v>
      </c>
      <c r="H94" s="20">
        <f t="shared" si="54"/>
        <v>0</v>
      </c>
      <c r="I94" s="20">
        <f t="shared" si="54"/>
        <v>0</v>
      </c>
      <c r="J94" s="20">
        <f t="shared" si="54"/>
        <v>0</v>
      </c>
      <c r="K94" s="20">
        <f t="shared" si="54"/>
        <v>0</v>
      </c>
      <c r="L94" s="20">
        <f t="shared" si="54"/>
        <v>0</v>
      </c>
      <c r="M94" s="20">
        <f t="shared" si="54"/>
        <v>0</v>
      </c>
      <c r="N94" s="20">
        <f t="shared" si="54"/>
        <v>0</v>
      </c>
      <c r="O94" s="20">
        <f t="shared" si="54"/>
        <v>0</v>
      </c>
      <c r="P94" s="20">
        <f t="shared" si="54"/>
        <v>0</v>
      </c>
      <c r="Q94" s="20">
        <f t="shared" si="54"/>
        <v>0</v>
      </c>
      <c r="R94" s="20">
        <f t="shared" si="54"/>
        <v>0</v>
      </c>
      <c r="S94" s="20">
        <f t="shared" si="54"/>
        <v>0</v>
      </c>
      <c r="T94" s="20">
        <f t="shared" si="54"/>
        <v>0</v>
      </c>
      <c r="U94" s="20">
        <f t="shared" si="54"/>
        <v>0</v>
      </c>
      <c r="V94" s="20">
        <f t="shared" si="54"/>
        <v>0</v>
      </c>
      <c r="W94" s="20">
        <f>W92+W93</f>
        <v>0</v>
      </c>
    </row>
    <row r="95" spans="1:23" ht="20" x14ac:dyDescent="0.3">
      <c r="B95" s="54" t="s">
        <v>52</v>
      </c>
      <c r="C95" s="55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1:23" ht="20" x14ac:dyDescent="0.3">
      <c r="B96" s="57" t="s">
        <v>53</v>
      </c>
      <c r="C96" s="58"/>
      <c r="D96" s="25">
        <f t="shared" ref="D96:V96" si="55">SUM(D94:D95)</f>
        <v>0</v>
      </c>
      <c r="E96" s="26">
        <f t="shared" si="55"/>
        <v>0</v>
      </c>
      <c r="F96" s="26">
        <f t="shared" si="55"/>
        <v>0</v>
      </c>
      <c r="G96" s="26">
        <f t="shared" si="55"/>
        <v>0</v>
      </c>
      <c r="H96" s="26">
        <f t="shared" si="55"/>
        <v>0</v>
      </c>
      <c r="I96" s="26">
        <f t="shared" si="55"/>
        <v>0</v>
      </c>
      <c r="J96" s="26">
        <f t="shared" si="55"/>
        <v>0</v>
      </c>
      <c r="K96" s="26">
        <f t="shared" si="55"/>
        <v>0</v>
      </c>
      <c r="L96" s="26">
        <f t="shared" si="55"/>
        <v>0</v>
      </c>
      <c r="M96" s="26">
        <f t="shared" si="55"/>
        <v>0</v>
      </c>
      <c r="N96" s="26">
        <f t="shared" si="55"/>
        <v>0</v>
      </c>
      <c r="O96" s="26">
        <f t="shared" si="55"/>
        <v>0</v>
      </c>
      <c r="P96" s="26">
        <f t="shared" si="55"/>
        <v>0</v>
      </c>
      <c r="Q96" s="26">
        <f t="shared" si="55"/>
        <v>0</v>
      </c>
      <c r="R96" s="26">
        <f t="shared" si="55"/>
        <v>0</v>
      </c>
      <c r="S96" s="26">
        <f t="shared" si="55"/>
        <v>0</v>
      </c>
      <c r="T96" s="26">
        <f t="shared" si="55"/>
        <v>0</v>
      </c>
      <c r="U96" s="26">
        <f t="shared" si="55"/>
        <v>0</v>
      </c>
      <c r="V96" s="26">
        <f t="shared" si="55"/>
        <v>0</v>
      </c>
      <c r="W96" s="26">
        <f>SUM(W94:W95)</f>
        <v>0</v>
      </c>
    </row>
    <row r="97" spans="2:23" ht="20" x14ac:dyDescent="0.3">
      <c r="B97" s="177" t="s">
        <v>54</v>
      </c>
      <c r="C97" s="178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</row>
    <row r="98" spans="2:23" ht="20" x14ac:dyDescent="0.3">
      <c r="B98" s="59" t="s">
        <v>55</v>
      </c>
      <c r="C98" s="60"/>
      <c r="D98" s="27">
        <f>SUM(D96:D97)</f>
        <v>0</v>
      </c>
      <c r="E98" s="41">
        <f t="shared" ref="E98:V98" si="56">SUM(E96:E97)</f>
        <v>0</v>
      </c>
      <c r="F98" s="41">
        <f t="shared" si="56"/>
        <v>0</v>
      </c>
      <c r="G98" s="41">
        <f t="shared" si="56"/>
        <v>0</v>
      </c>
      <c r="H98" s="41">
        <f t="shared" si="56"/>
        <v>0</v>
      </c>
      <c r="I98" s="41">
        <f t="shared" si="56"/>
        <v>0</v>
      </c>
      <c r="J98" s="41">
        <f t="shared" si="56"/>
        <v>0</v>
      </c>
      <c r="K98" s="41">
        <f t="shared" si="56"/>
        <v>0</v>
      </c>
      <c r="L98" s="41">
        <f t="shared" si="56"/>
        <v>0</v>
      </c>
      <c r="M98" s="41">
        <f t="shared" si="56"/>
        <v>0</v>
      </c>
      <c r="N98" s="41">
        <f t="shared" si="56"/>
        <v>0</v>
      </c>
      <c r="O98" s="41">
        <f t="shared" si="56"/>
        <v>0</v>
      </c>
      <c r="P98" s="41">
        <f t="shared" si="56"/>
        <v>0</v>
      </c>
      <c r="Q98" s="41">
        <f t="shared" si="56"/>
        <v>0</v>
      </c>
      <c r="R98" s="41">
        <f t="shared" si="56"/>
        <v>0</v>
      </c>
      <c r="S98" s="41">
        <f t="shared" si="56"/>
        <v>0</v>
      </c>
      <c r="T98" s="41">
        <f t="shared" si="56"/>
        <v>0</v>
      </c>
      <c r="U98" s="41">
        <f t="shared" si="56"/>
        <v>0</v>
      </c>
      <c r="V98" s="41">
        <f t="shared" si="56"/>
        <v>0</v>
      </c>
      <c r="W98" s="41">
        <f>SUM(W96:W97)</f>
        <v>0</v>
      </c>
    </row>
    <row r="99" spans="2:23" ht="20" x14ac:dyDescent="0.3">
      <c r="B99" s="171" t="s">
        <v>101</v>
      </c>
      <c r="C99" s="55"/>
      <c r="D99" s="412">
        <v>0</v>
      </c>
      <c r="E99" s="21">
        <v>0</v>
      </c>
      <c r="F99" s="21">
        <v>0</v>
      </c>
      <c r="G99" s="21">
        <v>0</v>
      </c>
      <c r="H99" s="21">
        <v>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</row>
    <row r="100" spans="2:23" ht="20" x14ac:dyDescent="0.3">
      <c r="B100" s="171" t="s">
        <v>194</v>
      </c>
      <c r="C100" s="55"/>
      <c r="D100" s="43">
        <v>128.8048</v>
      </c>
      <c r="E100" s="21">
        <v>0</v>
      </c>
      <c r="F100" s="21">
        <v>0</v>
      </c>
      <c r="G100" s="21">
        <v>0</v>
      </c>
      <c r="H100" s="21">
        <v>0</v>
      </c>
      <c r="I100" s="21">
        <v>0</v>
      </c>
      <c r="J100" s="21">
        <v>0</v>
      </c>
      <c r="K100" s="21">
        <v>0</v>
      </c>
      <c r="L100" s="21">
        <v>0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</row>
    <row r="101" spans="2:23" ht="20" x14ac:dyDescent="0.3">
      <c r="B101" s="61" t="s">
        <v>195</v>
      </c>
      <c r="C101" s="62"/>
      <c r="D101" s="48">
        <v>129.8048</v>
      </c>
      <c r="E101" s="21">
        <v>0</v>
      </c>
      <c r="F101" s="21">
        <v>0</v>
      </c>
      <c r="G101" s="21">
        <v>0</v>
      </c>
      <c r="H101" s="21">
        <v>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</row>
    <row r="102" spans="2:23" ht="20" x14ac:dyDescent="0.3">
      <c r="B102" s="61" t="s">
        <v>196</v>
      </c>
      <c r="C102" s="62"/>
      <c r="D102" s="48">
        <v>131.8048</v>
      </c>
      <c r="E102" s="21">
        <v>0</v>
      </c>
      <c r="F102" s="21">
        <v>0</v>
      </c>
      <c r="G102" s="21">
        <v>0</v>
      </c>
      <c r="H102" s="21">
        <v>0</v>
      </c>
      <c r="I102" s="21">
        <v>0</v>
      </c>
      <c r="J102" s="21">
        <v>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</row>
    <row r="103" spans="2:23" ht="20" x14ac:dyDescent="0.3">
      <c r="B103" s="61" t="s">
        <v>197</v>
      </c>
      <c r="C103" s="62"/>
      <c r="D103" s="48">
        <v>134.8048</v>
      </c>
      <c r="E103" s="21">
        <v>0</v>
      </c>
      <c r="F103" s="21">
        <v>0</v>
      </c>
      <c r="G103" s="21">
        <v>0</v>
      </c>
      <c r="H103" s="21">
        <v>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</row>
    <row r="104" spans="2:23" s="133" customFormat="1" ht="20" x14ac:dyDescent="0.3">
      <c r="B104" s="413" t="s">
        <v>103</v>
      </c>
      <c r="C104" s="414"/>
      <c r="D104" s="415">
        <v>0</v>
      </c>
      <c r="E104" s="416">
        <v>0</v>
      </c>
      <c r="F104" s="416">
        <v>0</v>
      </c>
      <c r="G104" s="416">
        <v>0</v>
      </c>
      <c r="H104" s="416">
        <v>0</v>
      </c>
      <c r="I104" s="416">
        <v>0</v>
      </c>
      <c r="J104" s="416">
        <v>0</v>
      </c>
      <c r="K104" s="416">
        <v>0</v>
      </c>
      <c r="L104" s="416">
        <v>0</v>
      </c>
      <c r="M104" s="416">
        <v>0</v>
      </c>
      <c r="N104" s="416">
        <v>0</v>
      </c>
      <c r="O104" s="416">
        <v>0</v>
      </c>
      <c r="P104" s="416">
        <v>0</v>
      </c>
      <c r="Q104" s="416">
        <v>0</v>
      </c>
      <c r="R104" s="416">
        <v>0</v>
      </c>
      <c r="S104" s="416">
        <v>0</v>
      </c>
      <c r="T104" s="416">
        <v>0</v>
      </c>
      <c r="U104" s="416">
        <v>0</v>
      </c>
      <c r="V104" s="416">
        <v>0</v>
      </c>
      <c r="W104" s="416">
        <v>0</v>
      </c>
    </row>
    <row r="105" spans="2:23" ht="20" x14ac:dyDescent="0.3">
      <c r="B105" s="63" t="s">
        <v>198</v>
      </c>
      <c r="C105" s="62"/>
      <c r="D105" s="31">
        <f>D100-D98</f>
        <v>128.8048</v>
      </c>
      <c r="E105" s="31">
        <f t="shared" ref="E105:V105" si="57">E100-E98</f>
        <v>0</v>
      </c>
      <c r="F105" s="31">
        <f t="shared" si="57"/>
        <v>0</v>
      </c>
      <c r="G105" s="31">
        <f t="shared" si="57"/>
        <v>0</v>
      </c>
      <c r="H105" s="31">
        <f t="shared" si="57"/>
        <v>0</v>
      </c>
      <c r="I105" s="31">
        <f t="shared" si="57"/>
        <v>0</v>
      </c>
      <c r="J105" s="31">
        <f t="shared" si="57"/>
        <v>0</v>
      </c>
      <c r="K105" s="31">
        <f t="shared" si="57"/>
        <v>0</v>
      </c>
      <c r="L105" s="31">
        <f t="shared" si="57"/>
        <v>0</v>
      </c>
      <c r="M105" s="31">
        <f t="shared" si="57"/>
        <v>0</v>
      </c>
      <c r="N105" s="31">
        <f t="shared" si="57"/>
        <v>0</v>
      </c>
      <c r="O105" s="31">
        <f t="shared" si="57"/>
        <v>0</v>
      </c>
      <c r="P105" s="31">
        <f t="shared" si="57"/>
        <v>0</v>
      </c>
      <c r="Q105" s="31">
        <f t="shared" si="57"/>
        <v>0</v>
      </c>
      <c r="R105" s="31">
        <f t="shared" si="57"/>
        <v>0</v>
      </c>
      <c r="S105" s="31">
        <f t="shared" si="57"/>
        <v>0</v>
      </c>
      <c r="T105" s="31">
        <f t="shared" si="57"/>
        <v>0</v>
      </c>
      <c r="U105" s="31">
        <f t="shared" si="57"/>
        <v>0</v>
      </c>
      <c r="V105" s="31">
        <f t="shared" si="57"/>
        <v>0</v>
      </c>
      <c r="W105" s="31">
        <f>W100-W98</f>
        <v>0</v>
      </c>
    </row>
    <row r="106" spans="2:23" ht="20" x14ac:dyDescent="0.3">
      <c r="B106" s="63" t="s">
        <v>199</v>
      </c>
      <c r="C106" s="64"/>
      <c r="D106" s="31">
        <f>+D101-D$98</f>
        <v>129.8048</v>
      </c>
      <c r="E106" s="32">
        <f>+E101-E$14</f>
        <v>-338.36250000000001</v>
      </c>
      <c r="F106" s="32">
        <f t="shared" ref="F106:V106" si="58">+F101-F$14</f>
        <v>0</v>
      </c>
      <c r="G106" s="32">
        <f t="shared" si="58"/>
        <v>-335.35950000000003</v>
      </c>
      <c r="H106" s="32">
        <f t="shared" si="58"/>
        <v>-324.6705</v>
      </c>
      <c r="I106" s="32">
        <f t="shared" si="58"/>
        <v>-330.9495</v>
      </c>
      <c r="J106" s="32">
        <f t="shared" si="58"/>
        <v>-338.36250000000001</v>
      </c>
      <c r="K106" s="32">
        <f t="shared" si="58"/>
        <v>0</v>
      </c>
      <c r="L106" s="32">
        <f t="shared" si="58"/>
        <v>0</v>
      </c>
      <c r="M106" s="32">
        <f t="shared" si="58"/>
        <v>0</v>
      </c>
      <c r="N106" s="32">
        <f t="shared" si="58"/>
        <v>-319.51500000000004</v>
      </c>
      <c r="O106" s="32">
        <f t="shared" si="58"/>
        <v>-331.04399999999998</v>
      </c>
      <c r="P106" s="32">
        <f t="shared" si="58"/>
        <v>-308.96250000000003</v>
      </c>
      <c r="Q106" s="32">
        <f t="shared" si="58"/>
        <v>-317.36250000000001</v>
      </c>
      <c r="R106" s="32">
        <f t="shared" si="58"/>
        <v>-308.96250000000003</v>
      </c>
      <c r="S106" s="32">
        <f t="shared" si="58"/>
        <v>-308.96250000000003</v>
      </c>
      <c r="T106" s="32">
        <f t="shared" si="58"/>
        <v>0</v>
      </c>
      <c r="U106" s="32">
        <f t="shared" si="58"/>
        <v>-359.44650000000001</v>
      </c>
      <c r="V106" s="32">
        <f t="shared" si="58"/>
        <v>0</v>
      </c>
      <c r="W106" s="32">
        <f>+W101-W$14</f>
        <v>-317.36250000000001</v>
      </c>
    </row>
    <row r="107" spans="2:23" ht="20" x14ac:dyDescent="0.3">
      <c r="B107" s="63" t="s">
        <v>200</v>
      </c>
      <c r="C107" s="64"/>
      <c r="D107" s="31">
        <f>+D102-D$98</f>
        <v>131.8048</v>
      </c>
      <c r="E107" s="32">
        <f t="shared" ref="E107:V107" si="59">+E102-E$14</f>
        <v>-338.36250000000001</v>
      </c>
      <c r="F107" s="32">
        <f t="shared" si="59"/>
        <v>0</v>
      </c>
      <c r="G107" s="32">
        <f t="shared" si="59"/>
        <v>-335.35950000000003</v>
      </c>
      <c r="H107" s="32">
        <f t="shared" si="59"/>
        <v>-324.6705</v>
      </c>
      <c r="I107" s="32">
        <f t="shared" si="59"/>
        <v>-330.9495</v>
      </c>
      <c r="J107" s="32">
        <f t="shared" si="59"/>
        <v>-338.36250000000001</v>
      </c>
      <c r="K107" s="32">
        <f t="shared" si="59"/>
        <v>0</v>
      </c>
      <c r="L107" s="32">
        <f t="shared" si="59"/>
        <v>0</v>
      </c>
      <c r="M107" s="32">
        <f t="shared" si="59"/>
        <v>0</v>
      </c>
      <c r="N107" s="32">
        <f t="shared" si="59"/>
        <v>-319.51500000000004</v>
      </c>
      <c r="O107" s="32">
        <f t="shared" si="59"/>
        <v>-331.04399999999998</v>
      </c>
      <c r="P107" s="32">
        <f t="shared" si="59"/>
        <v>-308.96250000000003</v>
      </c>
      <c r="Q107" s="32">
        <f t="shared" si="59"/>
        <v>-317.36250000000001</v>
      </c>
      <c r="R107" s="32">
        <f t="shared" si="59"/>
        <v>-308.96250000000003</v>
      </c>
      <c r="S107" s="32">
        <f t="shared" si="59"/>
        <v>-308.96250000000003</v>
      </c>
      <c r="T107" s="32">
        <f t="shared" si="59"/>
        <v>0</v>
      </c>
      <c r="U107" s="32">
        <f t="shared" si="59"/>
        <v>-359.44650000000001</v>
      </c>
      <c r="V107" s="32">
        <f t="shared" si="59"/>
        <v>0</v>
      </c>
      <c r="W107" s="32">
        <f>+W102-W$14</f>
        <v>-317.36250000000001</v>
      </c>
    </row>
    <row r="108" spans="2:23" ht="20" x14ac:dyDescent="0.3">
      <c r="B108" s="63" t="s">
        <v>201</v>
      </c>
      <c r="C108" s="64"/>
      <c r="D108" s="31">
        <f>+D103-D$98</f>
        <v>134.8048</v>
      </c>
      <c r="E108" s="32">
        <f t="shared" ref="E108:V108" si="60">+E103-E$14</f>
        <v>-338.36250000000001</v>
      </c>
      <c r="F108" s="32">
        <f t="shared" si="60"/>
        <v>0</v>
      </c>
      <c r="G108" s="32">
        <f t="shared" si="60"/>
        <v>-335.35950000000003</v>
      </c>
      <c r="H108" s="32">
        <f t="shared" si="60"/>
        <v>-324.6705</v>
      </c>
      <c r="I108" s="32">
        <f t="shared" si="60"/>
        <v>-330.9495</v>
      </c>
      <c r="J108" s="32">
        <f t="shared" si="60"/>
        <v>-338.36250000000001</v>
      </c>
      <c r="K108" s="32">
        <f t="shared" si="60"/>
        <v>0</v>
      </c>
      <c r="L108" s="32">
        <f t="shared" si="60"/>
        <v>0</v>
      </c>
      <c r="M108" s="32">
        <f t="shared" si="60"/>
        <v>0</v>
      </c>
      <c r="N108" s="32">
        <f t="shared" si="60"/>
        <v>-319.51500000000004</v>
      </c>
      <c r="O108" s="32">
        <f t="shared" si="60"/>
        <v>-331.04399999999998</v>
      </c>
      <c r="P108" s="32">
        <f t="shared" si="60"/>
        <v>-308.96250000000003</v>
      </c>
      <c r="Q108" s="32">
        <f t="shared" si="60"/>
        <v>-317.36250000000001</v>
      </c>
      <c r="R108" s="32">
        <f t="shared" si="60"/>
        <v>-308.96250000000003</v>
      </c>
      <c r="S108" s="32">
        <f t="shared" si="60"/>
        <v>-308.96250000000003</v>
      </c>
      <c r="T108" s="32">
        <f t="shared" si="60"/>
        <v>0</v>
      </c>
      <c r="U108" s="32">
        <f t="shared" si="60"/>
        <v>-359.44650000000001</v>
      </c>
      <c r="V108" s="32">
        <f t="shared" si="60"/>
        <v>0</v>
      </c>
      <c r="W108" s="32">
        <f>+W103-W$14</f>
        <v>-317.36250000000001</v>
      </c>
    </row>
    <row r="109" spans="2:23" s="421" customFormat="1" ht="20" x14ac:dyDescent="0.3">
      <c r="B109" s="417" t="s">
        <v>108</v>
      </c>
      <c r="C109" s="418"/>
      <c r="D109" s="419">
        <v>0</v>
      </c>
      <c r="E109" s="420">
        <v>0</v>
      </c>
      <c r="F109" s="420">
        <v>0</v>
      </c>
      <c r="G109" s="420">
        <v>0</v>
      </c>
      <c r="H109" s="420">
        <v>0</v>
      </c>
      <c r="I109" s="420">
        <v>0</v>
      </c>
      <c r="J109" s="420">
        <v>0</v>
      </c>
      <c r="K109" s="420">
        <v>0</v>
      </c>
      <c r="L109" s="420">
        <v>0</v>
      </c>
      <c r="M109" s="420">
        <v>0</v>
      </c>
      <c r="N109" s="420">
        <v>0</v>
      </c>
      <c r="O109" s="420">
        <v>0</v>
      </c>
      <c r="P109" s="420">
        <v>0</v>
      </c>
      <c r="Q109" s="420">
        <v>0</v>
      </c>
      <c r="R109" s="420">
        <v>0</v>
      </c>
      <c r="S109" s="420">
        <v>0</v>
      </c>
      <c r="T109" s="420">
        <v>0</v>
      </c>
      <c r="U109" s="420">
        <v>0</v>
      </c>
      <c r="V109" s="420">
        <v>0</v>
      </c>
      <c r="W109" s="420">
        <v>0</v>
      </c>
    </row>
    <row r="110" spans="2:23" ht="20" x14ac:dyDescent="0.3">
      <c r="B110" s="97" t="s">
        <v>202</v>
      </c>
      <c r="C110" s="98"/>
      <c r="D110" s="99" t="e">
        <f>+D105/D98</f>
        <v>#DIV/0!</v>
      </c>
      <c r="E110" s="99" t="e">
        <f t="shared" ref="E110:V110" si="61">+E105/E98</f>
        <v>#DIV/0!</v>
      </c>
      <c r="F110" s="99" t="e">
        <f t="shared" si="61"/>
        <v>#DIV/0!</v>
      </c>
      <c r="G110" s="99" t="e">
        <f t="shared" si="61"/>
        <v>#DIV/0!</v>
      </c>
      <c r="H110" s="99" t="e">
        <f t="shared" si="61"/>
        <v>#DIV/0!</v>
      </c>
      <c r="I110" s="99" t="e">
        <f t="shared" si="61"/>
        <v>#DIV/0!</v>
      </c>
      <c r="J110" s="99" t="e">
        <f t="shared" si="61"/>
        <v>#DIV/0!</v>
      </c>
      <c r="K110" s="99" t="e">
        <f t="shared" si="61"/>
        <v>#DIV/0!</v>
      </c>
      <c r="L110" s="99" t="e">
        <f t="shared" si="61"/>
        <v>#DIV/0!</v>
      </c>
      <c r="M110" s="99" t="e">
        <f t="shared" si="61"/>
        <v>#DIV/0!</v>
      </c>
      <c r="N110" s="99" t="e">
        <f t="shared" si="61"/>
        <v>#DIV/0!</v>
      </c>
      <c r="O110" s="99" t="e">
        <f t="shared" si="61"/>
        <v>#DIV/0!</v>
      </c>
      <c r="P110" s="99" t="e">
        <f t="shared" si="61"/>
        <v>#DIV/0!</v>
      </c>
      <c r="Q110" s="99" t="e">
        <f t="shared" si="61"/>
        <v>#DIV/0!</v>
      </c>
      <c r="R110" s="99" t="e">
        <f t="shared" si="61"/>
        <v>#DIV/0!</v>
      </c>
      <c r="S110" s="99" t="e">
        <f t="shared" si="61"/>
        <v>#DIV/0!</v>
      </c>
      <c r="T110" s="99" t="e">
        <f t="shared" si="61"/>
        <v>#DIV/0!</v>
      </c>
      <c r="U110" s="99" t="e">
        <f t="shared" si="61"/>
        <v>#DIV/0!</v>
      </c>
      <c r="V110" s="99" t="e">
        <f t="shared" si="61"/>
        <v>#DIV/0!</v>
      </c>
      <c r="W110" s="99" t="e">
        <f>+W105/W98</f>
        <v>#DIV/0!</v>
      </c>
    </row>
    <row r="111" spans="2:23" ht="20" x14ac:dyDescent="0.3">
      <c r="B111" s="97" t="s">
        <v>203</v>
      </c>
      <c r="C111" s="98"/>
      <c r="D111" s="100">
        <f>+D106/D101</f>
        <v>1</v>
      </c>
      <c r="E111" s="100" t="e">
        <f>+E106/E101</f>
        <v>#DIV/0!</v>
      </c>
      <c r="F111" s="100" t="e">
        <f>+F106/F101</f>
        <v>#DIV/0!</v>
      </c>
      <c r="G111" s="100" t="e">
        <f>+G106/G101</f>
        <v>#DIV/0!</v>
      </c>
      <c r="H111" s="100" t="e">
        <f t="shared" ref="H111:V111" si="62">+H106/H101</f>
        <v>#DIV/0!</v>
      </c>
      <c r="I111" s="100" t="e">
        <f t="shared" si="62"/>
        <v>#DIV/0!</v>
      </c>
      <c r="J111" s="100" t="e">
        <f t="shared" si="62"/>
        <v>#DIV/0!</v>
      </c>
      <c r="K111" s="100" t="e">
        <f t="shared" si="62"/>
        <v>#DIV/0!</v>
      </c>
      <c r="L111" s="100" t="e">
        <f t="shared" si="62"/>
        <v>#DIV/0!</v>
      </c>
      <c r="M111" s="100" t="e">
        <f t="shared" si="62"/>
        <v>#DIV/0!</v>
      </c>
      <c r="N111" s="100" t="e">
        <f t="shared" si="62"/>
        <v>#DIV/0!</v>
      </c>
      <c r="O111" s="100" t="e">
        <f t="shared" si="62"/>
        <v>#DIV/0!</v>
      </c>
      <c r="P111" s="100" t="e">
        <f t="shared" si="62"/>
        <v>#DIV/0!</v>
      </c>
      <c r="Q111" s="100" t="e">
        <f t="shared" si="62"/>
        <v>#DIV/0!</v>
      </c>
      <c r="R111" s="100" t="e">
        <f t="shared" si="62"/>
        <v>#DIV/0!</v>
      </c>
      <c r="S111" s="100" t="e">
        <f t="shared" si="62"/>
        <v>#DIV/0!</v>
      </c>
      <c r="T111" s="100" t="e">
        <f t="shared" si="62"/>
        <v>#DIV/0!</v>
      </c>
      <c r="U111" s="100" t="e">
        <f t="shared" si="62"/>
        <v>#DIV/0!</v>
      </c>
      <c r="V111" s="100" t="e">
        <f t="shared" si="62"/>
        <v>#DIV/0!</v>
      </c>
      <c r="W111" s="100" t="e">
        <f>+W106/W101</f>
        <v>#DIV/0!</v>
      </c>
    </row>
    <row r="112" spans="2:23" ht="20" x14ac:dyDescent="0.3">
      <c r="B112" s="97" t="s">
        <v>204</v>
      </c>
      <c r="C112" s="98"/>
      <c r="D112" s="100">
        <f>+D107/D102</f>
        <v>1</v>
      </c>
      <c r="E112" s="100" t="e">
        <f t="shared" ref="E112:V112" si="63">+E107/E102</f>
        <v>#DIV/0!</v>
      </c>
      <c r="F112" s="100" t="e">
        <f t="shared" si="63"/>
        <v>#DIV/0!</v>
      </c>
      <c r="G112" s="100" t="e">
        <f t="shared" si="63"/>
        <v>#DIV/0!</v>
      </c>
      <c r="H112" s="100" t="e">
        <f t="shared" si="63"/>
        <v>#DIV/0!</v>
      </c>
      <c r="I112" s="100" t="e">
        <f t="shared" si="63"/>
        <v>#DIV/0!</v>
      </c>
      <c r="J112" s="100" t="e">
        <f t="shared" si="63"/>
        <v>#DIV/0!</v>
      </c>
      <c r="K112" s="100" t="e">
        <f t="shared" si="63"/>
        <v>#DIV/0!</v>
      </c>
      <c r="L112" s="100" t="e">
        <f t="shared" si="63"/>
        <v>#DIV/0!</v>
      </c>
      <c r="M112" s="100" t="e">
        <f t="shared" si="63"/>
        <v>#DIV/0!</v>
      </c>
      <c r="N112" s="100" t="e">
        <f t="shared" si="63"/>
        <v>#DIV/0!</v>
      </c>
      <c r="O112" s="100" t="e">
        <f t="shared" si="63"/>
        <v>#DIV/0!</v>
      </c>
      <c r="P112" s="100" t="e">
        <f t="shared" si="63"/>
        <v>#DIV/0!</v>
      </c>
      <c r="Q112" s="100" t="e">
        <f t="shared" si="63"/>
        <v>#DIV/0!</v>
      </c>
      <c r="R112" s="100" t="e">
        <f t="shared" si="63"/>
        <v>#DIV/0!</v>
      </c>
      <c r="S112" s="100" t="e">
        <f t="shared" si="63"/>
        <v>#DIV/0!</v>
      </c>
      <c r="T112" s="100" t="e">
        <f t="shared" si="63"/>
        <v>#DIV/0!</v>
      </c>
      <c r="U112" s="100" t="e">
        <f t="shared" si="63"/>
        <v>#DIV/0!</v>
      </c>
      <c r="V112" s="100" t="e">
        <f t="shared" si="63"/>
        <v>#DIV/0!</v>
      </c>
      <c r="W112" s="100" t="e">
        <f>+W107/W102</f>
        <v>#DIV/0!</v>
      </c>
    </row>
    <row r="113" spans="1:23" ht="20" x14ac:dyDescent="0.3">
      <c r="B113" s="97" t="s">
        <v>205</v>
      </c>
      <c r="C113" s="98"/>
      <c r="D113" s="100">
        <f>+D108/D103</f>
        <v>1</v>
      </c>
      <c r="E113" s="100" t="e">
        <f t="shared" ref="E113:V113" si="64">+E108/E103</f>
        <v>#DIV/0!</v>
      </c>
      <c r="F113" s="100" t="e">
        <f t="shared" si="64"/>
        <v>#DIV/0!</v>
      </c>
      <c r="G113" s="100" t="e">
        <f t="shared" si="64"/>
        <v>#DIV/0!</v>
      </c>
      <c r="H113" s="100" t="e">
        <f t="shared" si="64"/>
        <v>#DIV/0!</v>
      </c>
      <c r="I113" s="100" t="e">
        <f t="shared" si="64"/>
        <v>#DIV/0!</v>
      </c>
      <c r="J113" s="100" t="e">
        <f t="shared" si="64"/>
        <v>#DIV/0!</v>
      </c>
      <c r="K113" s="100" t="e">
        <f t="shared" si="64"/>
        <v>#DIV/0!</v>
      </c>
      <c r="L113" s="100" t="e">
        <f t="shared" si="64"/>
        <v>#DIV/0!</v>
      </c>
      <c r="M113" s="100" t="e">
        <f t="shared" si="64"/>
        <v>#DIV/0!</v>
      </c>
      <c r="N113" s="100" t="e">
        <f t="shared" si="64"/>
        <v>#DIV/0!</v>
      </c>
      <c r="O113" s="100" t="e">
        <f t="shared" si="64"/>
        <v>#DIV/0!</v>
      </c>
      <c r="P113" s="100" t="e">
        <f t="shared" si="64"/>
        <v>#DIV/0!</v>
      </c>
      <c r="Q113" s="100" t="e">
        <f t="shared" si="64"/>
        <v>#DIV/0!</v>
      </c>
      <c r="R113" s="100" t="e">
        <f t="shared" si="64"/>
        <v>#DIV/0!</v>
      </c>
      <c r="S113" s="100" t="e">
        <f t="shared" si="64"/>
        <v>#DIV/0!</v>
      </c>
      <c r="T113" s="100" t="e">
        <f t="shared" si="64"/>
        <v>#DIV/0!</v>
      </c>
      <c r="U113" s="100" t="e">
        <f t="shared" si="64"/>
        <v>#DIV/0!</v>
      </c>
      <c r="V113" s="100" t="e">
        <f t="shared" si="64"/>
        <v>#DIV/0!</v>
      </c>
      <c r="W113" s="100" t="e">
        <f>+W108/W103</f>
        <v>#DIV/0!</v>
      </c>
    </row>
    <row r="114" spans="1:23" ht="20" hidden="1" x14ac:dyDescent="0.3">
      <c r="B114" s="97" t="s">
        <v>78</v>
      </c>
      <c r="C114" s="98"/>
      <c r="D114" s="100" t="e">
        <f>+D109/D104</f>
        <v>#DIV/0!</v>
      </c>
      <c r="E114" s="100" t="e">
        <f t="shared" ref="E114:V114" si="65">+E109/E104</f>
        <v>#DIV/0!</v>
      </c>
      <c r="F114" s="100" t="e">
        <f t="shared" si="65"/>
        <v>#DIV/0!</v>
      </c>
      <c r="G114" s="100" t="e">
        <f t="shared" si="65"/>
        <v>#DIV/0!</v>
      </c>
      <c r="H114" s="100" t="e">
        <f t="shared" si="65"/>
        <v>#DIV/0!</v>
      </c>
      <c r="I114" s="100" t="e">
        <f t="shared" si="65"/>
        <v>#DIV/0!</v>
      </c>
      <c r="J114" s="100" t="e">
        <f t="shared" si="65"/>
        <v>#DIV/0!</v>
      </c>
      <c r="K114" s="100" t="e">
        <f t="shared" si="65"/>
        <v>#DIV/0!</v>
      </c>
      <c r="L114" s="100" t="e">
        <f t="shared" si="65"/>
        <v>#DIV/0!</v>
      </c>
      <c r="M114" s="100" t="e">
        <f t="shared" si="65"/>
        <v>#DIV/0!</v>
      </c>
      <c r="N114" s="100" t="e">
        <f t="shared" si="65"/>
        <v>#DIV/0!</v>
      </c>
      <c r="O114" s="100" t="e">
        <f t="shared" si="65"/>
        <v>#DIV/0!</v>
      </c>
      <c r="P114" s="100" t="e">
        <f t="shared" si="65"/>
        <v>#DIV/0!</v>
      </c>
      <c r="Q114" s="100" t="e">
        <f t="shared" si="65"/>
        <v>#DIV/0!</v>
      </c>
      <c r="R114" s="100" t="e">
        <f t="shared" si="65"/>
        <v>#DIV/0!</v>
      </c>
      <c r="S114" s="100" t="e">
        <f t="shared" si="65"/>
        <v>#DIV/0!</v>
      </c>
      <c r="T114" s="100" t="e">
        <f t="shared" si="65"/>
        <v>#DIV/0!</v>
      </c>
      <c r="U114" s="100" t="e">
        <f t="shared" si="65"/>
        <v>#DIV/0!</v>
      </c>
      <c r="V114" s="100" t="e">
        <f t="shared" si="65"/>
        <v>#DIV/0!</v>
      </c>
      <c r="W114" s="100" t="e">
        <f>+W109/W104</f>
        <v>#DIV/0!</v>
      </c>
    </row>
    <row r="115" spans="1:23" ht="20" thickBot="1" x14ac:dyDescent="0.3"/>
    <row r="116" spans="1:23" ht="21" thickBot="1" x14ac:dyDescent="0.35">
      <c r="A116" s="15" t="s">
        <v>354</v>
      </c>
      <c r="B116" s="373" t="s">
        <v>220</v>
      </c>
      <c r="C116" s="16"/>
      <c r="D116" s="17" t="s">
        <v>5</v>
      </c>
      <c r="E116" s="18" t="s">
        <v>6</v>
      </c>
      <c r="F116" s="18" t="s">
        <v>7</v>
      </c>
      <c r="G116" s="18" t="s">
        <v>8</v>
      </c>
      <c r="H116" s="18" t="s">
        <v>9</v>
      </c>
      <c r="I116" s="18" t="s">
        <v>10</v>
      </c>
      <c r="J116" s="18" t="s">
        <v>11</v>
      </c>
      <c r="K116" s="18" t="s">
        <v>12</v>
      </c>
      <c r="L116" s="18" t="s">
        <v>13</v>
      </c>
      <c r="M116" s="18" t="s">
        <v>14</v>
      </c>
      <c r="N116" s="18" t="s">
        <v>15</v>
      </c>
      <c r="O116" s="18" t="s">
        <v>16</v>
      </c>
      <c r="P116" s="18" t="s">
        <v>17</v>
      </c>
      <c r="Q116" s="18" t="s">
        <v>18</v>
      </c>
      <c r="R116" s="18" t="s">
        <v>19</v>
      </c>
      <c r="S116" s="18" t="s">
        <v>20</v>
      </c>
      <c r="T116" s="18" t="s">
        <v>21</v>
      </c>
      <c r="U116" s="18" t="s">
        <v>22</v>
      </c>
      <c r="V116" s="18" t="s">
        <v>23</v>
      </c>
      <c r="W116" s="18" t="s">
        <v>166</v>
      </c>
    </row>
    <row r="117" spans="1:23" ht="20" x14ac:dyDescent="0.3">
      <c r="B117" s="52" t="s">
        <v>50</v>
      </c>
      <c r="C117" s="53"/>
      <c r="D117" s="20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</row>
    <row r="118" spans="1:23" ht="20" x14ac:dyDescent="0.3">
      <c r="B118" s="177" t="s">
        <v>51</v>
      </c>
      <c r="C118" s="178"/>
      <c r="D118" s="179">
        <v>0.55000000000000004</v>
      </c>
      <c r="E118" s="179"/>
      <c r="F118" s="179"/>
      <c r="G118" s="179"/>
      <c r="H118" s="179"/>
      <c r="I118" s="182"/>
      <c r="J118" s="182"/>
      <c r="K118" s="182"/>
      <c r="L118" s="182"/>
      <c r="M118" s="182"/>
      <c r="N118" s="179"/>
      <c r="O118" s="179"/>
      <c r="P118" s="179">
        <v>0.55000000000000004</v>
      </c>
      <c r="Q118" s="179"/>
      <c r="R118" s="182"/>
      <c r="S118" s="182"/>
      <c r="T118" s="182"/>
      <c r="U118" s="182"/>
      <c r="V118" s="182"/>
      <c r="W118" s="182"/>
    </row>
    <row r="119" spans="1:23" ht="20" x14ac:dyDescent="0.3">
      <c r="B119" s="54"/>
      <c r="C119" s="55"/>
      <c r="D119" s="20">
        <f t="shared" ref="D119:I119" si="66">D117*(1-D118)</f>
        <v>0</v>
      </c>
      <c r="E119" s="20">
        <f t="shared" si="66"/>
        <v>0</v>
      </c>
      <c r="F119" s="20">
        <f t="shared" si="66"/>
        <v>0</v>
      </c>
      <c r="G119" s="20">
        <f t="shared" si="66"/>
        <v>0</v>
      </c>
      <c r="H119" s="20">
        <f t="shared" si="66"/>
        <v>0</v>
      </c>
      <c r="I119" s="20">
        <f t="shared" si="66"/>
        <v>0</v>
      </c>
      <c r="J119" s="20">
        <f>J117*(1-J118)</f>
        <v>0</v>
      </c>
      <c r="K119" s="20">
        <f t="shared" ref="K119:V119" si="67">K117*(1-K118)</f>
        <v>0</v>
      </c>
      <c r="L119" s="20">
        <f t="shared" si="67"/>
        <v>0</v>
      </c>
      <c r="M119" s="20">
        <f t="shared" si="67"/>
        <v>0</v>
      </c>
      <c r="N119" s="20">
        <f t="shared" si="67"/>
        <v>0</v>
      </c>
      <c r="O119" s="20">
        <f t="shared" si="67"/>
        <v>0</v>
      </c>
      <c r="P119" s="20">
        <v>45.359999999999992</v>
      </c>
      <c r="Q119" s="20">
        <f t="shared" si="67"/>
        <v>0</v>
      </c>
      <c r="R119" s="20">
        <f t="shared" si="67"/>
        <v>0</v>
      </c>
      <c r="S119" s="20">
        <f t="shared" si="67"/>
        <v>0</v>
      </c>
      <c r="T119" s="20">
        <f t="shared" si="67"/>
        <v>0</v>
      </c>
      <c r="U119" s="20">
        <f t="shared" si="67"/>
        <v>0</v>
      </c>
      <c r="V119" s="20">
        <f t="shared" si="67"/>
        <v>0</v>
      </c>
      <c r="W119" s="20">
        <f>W117*(1-W118)</f>
        <v>0</v>
      </c>
    </row>
    <row r="120" spans="1:23" ht="20" x14ac:dyDescent="0.3">
      <c r="B120" s="54" t="s">
        <v>51</v>
      </c>
      <c r="C120" s="56">
        <v>0.02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spans="1:23" ht="20" x14ac:dyDescent="0.3">
      <c r="B121" s="54" t="s">
        <v>67</v>
      </c>
      <c r="C121" s="55"/>
      <c r="D121" s="20">
        <f>D119-D120</f>
        <v>0</v>
      </c>
      <c r="E121" s="20">
        <f t="shared" ref="E121:V121" si="68">E119-E120</f>
        <v>0</v>
      </c>
      <c r="F121" s="20">
        <f t="shared" si="68"/>
        <v>0</v>
      </c>
      <c r="G121" s="20">
        <f t="shared" si="68"/>
        <v>0</v>
      </c>
      <c r="H121" s="20">
        <f t="shared" si="68"/>
        <v>0</v>
      </c>
      <c r="I121" s="20">
        <f t="shared" si="68"/>
        <v>0</v>
      </c>
      <c r="J121" s="20">
        <f t="shared" si="68"/>
        <v>0</v>
      </c>
      <c r="K121" s="20">
        <f t="shared" si="68"/>
        <v>0</v>
      </c>
      <c r="L121" s="20">
        <f t="shared" si="68"/>
        <v>0</v>
      </c>
      <c r="M121" s="20">
        <f t="shared" si="68"/>
        <v>0</v>
      </c>
      <c r="N121" s="20">
        <f t="shared" si="68"/>
        <v>0</v>
      </c>
      <c r="O121" s="20">
        <f t="shared" si="68"/>
        <v>0</v>
      </c>
      <c r="P121" s="20">
        <v>45.359999999999992</v>
      </c>
      <c r="Q121" s="20">
        <f t="shared" si="68"/>
        <v>0</v>
      </c>
      <c r="R121" s="20">
        <f t="shared" si="68"/>
        <v>0</v>
      </c>
      <c r="S121" s="20">
        <f t="shared" si="68"/>
        <v>0</v>
      </c>
      <c r="T121" s="20">
        <f t="shared" si="68"/>
        <v>0</v>
      </c>
      <c r="U121" s="20">
        <f t="shared" si="68"/>
        <v>0</v>
      </c>
      <c r="V121" s="20">
        <f t="shared" si="68"/>
        <v>0</v>
      </c>
      <c r="W121" s="20">
        <f>W119-W120</f>
        <v>0</v>
      </c>
    </row>
    <row r="122" spans="1:23" ht="20" x14ac:dyDescent="0.3">
      <c r="B122" s="54" t="s">
        <v>66</v>
      </c>
      <c r="C122" s="56">
        <v>7.0000000000000007E-2</v>
      </c>
      <c r="D122" s="20">
        <f>D121*$C122</f>
        <v>0</v>
      </c>
      <c r="E122" s="20">
        <f t="shared" ref="E122:V122" si="69">E121*$C122</f>
        <v>0</v>
      </c>
      <c r="F122" s="20">
        <f t="shared" si="69"/>
        <v>0</v>
      </c>
      <c r="G122" s="20">
        <f t="shared" si="69"/>
        <v>0</v>
      </c>
      <c r="H122" s="20">
        <f t="shared" si="69"/>
        <v>0</v>
      </c>
      <c r="I122" s="20">
        <f t="shared" si="69"/>
        <v>0</v>
      </c>
      <c r="J122" s="20">
        <f t="shared" si="69"/>
        <v>0</v>
      </c>
      <c r="K122" s="20">
        <f t="shared" si="69"/>
        <v>0</v>
      </c>
      <c r="L122" s="20">
        <f t="shared" si="69"/>
        <v>0</v>
      </c>
      <c r="M122" s="20">
        <f t="shared" si="69"/>
        <v>0</v>
      </c>
      <c r="N122" s="20">
        <f t="shared" si="69"/>
        <v>0</v>
      </c>
      <c r="O122" s="20">
        <f t="shared" si="69"/>
        <v>0</v>
      </c>
      <c r="P122" s="20">
        <v>3.1751999999999998</v>
      </c>
      <c r="Q122" s="20">
        <f t="shared" si="69"/>
        <v>0</v>
      </c>
      <c r="R122" s="20">
        <f t="shared" si="69"/>
        <v>0</v>
      </c>
      <c r="S122" s="20">
        <f t="shared" si="69"/>
        <v>0</v>
      </c>
      <c r="T122" s="20">
        <f t="shared" si="69"/>
        <v>0</v>
      </c>
      <c r="U122" s="20">
        <f t="shared" si="69"/>
        <v>0</v>
      </c>
      <c r="V122" s="20">
        <f t="shared" si="69"/>
        <v>0</v>
      </c>
      <c r="W122" s="20">
        <f>W121*$C122</f>
        <v>0</v>
      </c>
    </row>
    <row r="123" spans="1:23" ht="20" x14ac:dyDescent="0.3">
      <c r="B123" s="54" t="s">
        <v>68</v>
      </c>
      <c r="C123" s="55"/>
      <c r="D123" s="20">
        <f>D121+D122</f>
        <v>0</v>
      </c>
      <c r="E123" s="20">
        <f t="shared" ref="E123:V123" si="70">E121+E122</f>
        <v>0</v>
      </c>
      <c r="F123" s="20">
        <f t="shared" si="70"/>
        <v>0</v>
      </c>
      <c r="G123" s="20">
        <f t="shared" si="70"/>
        <v>0</v>
      </c>
      <c r="H123" s="20">
        <f t="shared" si="70"/>
        <v>0</v>
      </c>
      <c r="I123" s="20">
        <f t="shared" si="70"/>
        <v>0</v>
      </c>
      <c r="J123" s="20">
        <f t="shared" si="70"/>
        <v>0</v>
      </c>
      <c r="K123" s="20">
        <f t="shared" si="70"/>
        <v>0</v>
      </c>
      <c r="L123" s="20">
        <f t="shared" si="70"/>
        <v>0</v>
      </c>
      <c r="M123" s="20">
        <f t="shared" si="70"/>
        <v>0</v>
      </c>
      <c r="N123" s="20">
        <f t="shared" si="70"/>
        <v>0</v>
      </c>
      <c r="O123" s="20">
        <f t="shared" si="70"/>
        <v>0</v>
      </c>
      <c r="P123" s="20">
        <v>48.535199999999989</v>
      </c>
      <c r="Q123" s="20">
        <f t="shared" si="70"/>
        <v>0</v>
      </c>
      <c r="R123" s="20">
        <f t="shared" si="70"/>
        <v>0</v>
      </c>
      <c r="S123" s="20">
        <f t="shared" si="70"/>
        <v>0</v>
      </c>
      <c r="T123" s="20">
        <f t="shared" si="70"/>
        <v>0</v>
      </c>
      <c r="U123" s="20">
        <f t="shared" si="70"/>
        <v>0</v>
      </c>
      <c r="V123" s="20">
        <f t="shared" si="70"/>
        <v>0</v>
      </c>
      <c r="W123" s="20">
        <f>W121+W122</f>
        <v>0</v>
      </c>
    </row>
    <row r="124" spans="1:23" ht="20" x14ac:dyDescent="0.3">
      <c r="B124" s="54" t="s">
        <v>52</v>
      </c>
      <c r="C124" s="55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>
        <v>4.75</v>
      </c>
      <c r="O124" s="21"/>
      <c r="P124" s="21">
        <v>4.3</v>
      </c>
      <c r="Q124" s="21"/>
      <c r="R124" s="21"/>
      <c r="S124" s="21"/>
      <c r="T124" s="21"/>
      <c r="U124" s="21"/>
      <c r="V124" s="21"/>
      <c r="W124" s="21"/>
    </row>
    <row r="125" spans="1:23" ht="20" x14ac:dyDescent="0.3">
      <c r="B125" s="57" t="s">
        <v>53</v>
      </c>
      <c r="C125" s="58"/>
      <c r="D125" s="25">
        <f t="shared" ref="D125:V125" si="71">SUM(D123:D124)</f>
        <v>0</v>
      </c>
      <c r="E125" s="26">
        <f t="shared" si="71"/>
        <v>0</v>
      </c>
      <c r="F125" s="26">
        <f t="shared" si="71"/>
        <v>0</v>
      </c>
      <c r="G125" s="26">
        <f t="shared" si="71"/>
        <v>0</v>
      </c>
      <c r="H125" s="26">
        <f t="shared" si="71"/>
        <v>0</v>
      </c>
      <c r="I125" s="26">
        <f t="shared" si="71"/>
        <v>0</v>
      </c>
      <c r="J125" s="26">
        <f t="shared" si="71"/>
        <v>0</v>
      </c>
      <c r="K125" s="26">
        <f t="shared" si="71"/>
        <v>0</v>
      </c>
      <c r="L125" s="26">
        <f t="shared" si="71"/>
        <v>0</v>
      </c>
      <c r="M125" s="26">
        <f t="shared" si="71"/>
        <v>0</v>
      </c>
      <c r="N125" s="26">
        <f t="shared" si="71"/>
        <v>4.75</v>
      </c>
      <c r="O125" s="26">
        <f t="shared" si="71"/>
        <v>0</v>
      </c>
      <c r="P125" s="26">
        <f t="shared" si="71"/>
        <v>52.835199999999986</v>
      </c>
      <c r="Q125" s="26">
        <f t="shared" si="71"/>
        <v>0</v>
      </c>
      <c r="R125" s="26">
        <f t="shared" si="71"/>
        <v>0</v>
      </c>
      <c r="S125" s="26">
        <f t="shared" si="71"/>
        <v>0</v>
      </c>
      <c r="T125" s="26">
        <f t="shared" si="71"/>
        <v>0</v>
      </c>
      <c r="U125" s="26">
        <f t="shared" si="71"/>
        <v>0</v>
      </c>
      <c r="V125" s="26">
        <f t="shared" si="71"/>
        <v>0</v>
      </c>
      <c r="W125" s="26">
        <f>SUM(W123:W124)</f>
        <v>0</v>
      </c>
    </row>
    <row r="126" spans="1:23" ht="20" x14ac:dyDescent="0.3">
      <c r="B126" s="177" t="s">
        <v>54</v>
      </c>
      <c r="C126" s="178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</row>
    <row r="127" spans="1:23" ht="20" x14ac:dyDescent="0.3">
      <c r="B127" s="59" t="s">
        <v>55</v>
      </c>
      <c r="C127" s="60"/>
      <c r="D127" s="27">
        <f>SUM(D125:D126)</f>
        <v>0</v>
      </c>
      <c r="E127" s="41">
        <f t="shared" ref="E127:V127" si="72">SUM(E125:E126)</f>
        <v>0</v>
      </c>
      <c r="F127" s="41">
        <f t="shared" si="72"/>
        <v>0</v>
      </c>
      <c r="G127" s="41">
        <f t="shared" si="72"/>
        <v>0</v>
      </c>
      <c r="H127" s="41">
        <f t="shared" si="72"/>
        <v>0</v>
      </c>
      <c r="I127" s="41">
        <f t="shared" si="72"/>
        <v>0</v>
      </c>
      <c r="J127" s="41">
        <f t="shared" si="72"/>
        <v>0</v>
      </c>
      <c r="K127" s="41">
        <f t="shared" si="72"/>
        <v>0</v>
      </c>
      <c r="L127" s="41">
        <f t="shared" si="72"/>
        <v>0</v>
      </c>
      <c r="M127" s="41">
        <f t="shared" si="72"/>
        <v>0</v>
      </c>
      <c r="N127" s="41">
        <f t="shared" si="72"/>
        <v>4.75</v>
      </c>
      <c r="O127" s="41">
        <f t="shared" si="72"/>
        <v>0</v>
      </c>
      <c r="P127" s="41">
        <f t="shared" si="72"/>
        <v>52.835199999999986</v>
      </c>
      <c r="Q127" s="41">
        <f t="shared" si="72"/>
        <v>0</v>
      </c>
      <c r="R127" s="41">
        <f t="shared" si="72"/>
        <v>0</v>
      </c>
      <c r="S127" s="41">
        <f t="shared" si="72"/>
        <v>0</v>
      </c>
      <c r="T127" s="41">
        <f t="shared" si="72"/>
        <v>0</v>
      </c>
      <c r="U127" s="41">
        <f t="shared" si="72"/>
        <v>0</v>
      </c>
      <c r="V127" s="41">
        <f t="shared" si="72"/>
        <v>0</v>
      </c>
      <c r="W127" s="41">
        <f>SUM(W125:W126)</f>
        <v>0</v>
      </c>
    </row>
    <row r="128" spans="1:23" ht="20" x14ac:dyDescent="0.3">
      <c r="B128" s="171" t="s">
        <v>101</v>
      </c>
      <c r="C128" s="55"/>
      <c r="D128" s="412">
        <v>0</v>
      </c>
      <c r="E128" s="21">
        <v>0</v>
      </c>
      <c r="F128" s="21">
        <v>0</v>
      </c>
      <c r="G128" s="21">
        <v>0</v>
      </c>
      <c r="H128" s="21">
        <v>0</v>
      </c>
      <c r="I128" s="21">
        <v>0</v>
      </c>
      <c r="J128" s="21">
        <v>0</v>
      </c>
      <c r="K128" s="21">
        <v>0</v>
      </c>
      <c r="L128" s="21">
        <v>0</v>
      </c>
      <c r="M128" s="21">
        <v>0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0</v>
      </c>
      <c r="T128" s="21">
        <v>0</v>
      </c>
      <c r="U128" s="21">
        <v>0</v>
      </c>
      <c r="V128" s="21">
        <v>0</v>
      </c>
      <c r="W128" s="21">
        <v>0</v>
      </c>
    </row>
    <row r="129" spans="2:23" ht="20" x14ac:dyDescent="0.3">
      <c r="B129" s="171" t="s">
        <v>194</v>
      </c>
      <c r="C129" s="55"/>
      <c r="D129" s="43">
        <v>50.961959999999991</v>
      </c>
      <c r="E129" s="21">
        <v>0</v>
      </c>
      <c r="F129" s="21">
        <v>0</v>
      </c>
      <c r="G129" s="21">
        <v>0</v>
      </c>
      <c r="H129" s="21">
        <v>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43">
        <v>4.9874999999999998</v>
      </c>
      <c r="O129" s="21">
        <v>0</v>
      </c>
      <c r="P129" s="43">
        <v>55.476959999999991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</row>
    <row r="130" spans="2:23" ht="20" x14ac:dyDescent="0.3">
      <c r="B130" s="61" t="s">
        <v>195</v>
      </c>
      <c r="C130" s="62"/>
      <c r="D130" s="48">
        <v>55.038916799999996</v>
      </c>
      <c r="E130" s="21">
        <v>0</v>
      </c>
      <c r="F130" s="21">
        <v>0</v>
      </c>
      <c r="G130" s="21">
        <v>0</v>
      </c>
      <c r="H130" s="21">
        <v>0</v>
      </c>
      <c r="I130" s="21">
        <v>0</v>
      </c>
      <c r="J130" s="21">
        <v>0</v>
      </c>
      <c r="K130" s="21">
        <v>0</v>
      </c>
      <c r="L130" s="21">
        <v>0</v>
      </c>
      <c r="M130" s="21">
        <v>0</v>
      </c>
      <c r="N130" s="29">
        <v>5.0825000000000005</v>
      </c>
      <c r="O130" s="21">
        <v>0</v>
      </c>
      <c r="P130" s="29">
        <v>59.915116799999993</v>
      </c>
      <c r="Q130" s="21">
        <v>0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</row>
    <row r="131" spans="2:23" ht="20" x14ac:dyDescent="0.3">
      <c r="B131" s="61" t="s">
        <v>196</v>
      </c>
      <c r="C131" s="62"/>
      <c r="D131" s="48">
        <v>60.542808479999998</v>
      </c>
      <c r="E131" s="21">
        <v>0</v>
      </c>
      <c r="F131" s="21">
        <v>0</v>
      </c>
      <c r="G131" s="21">
        <v>0</v>
      </c>
      <c r="H131" s="21">
        <v>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9">
        <v>5.2250000000000005</v>
      </c>
      <c r="O131" s="21">
        <v>0</v>
      </c>
      <c r="P131" s="29">
        <v>65.906628479999995</v>
      </c>
      <c r="Q131" s="21">
        <v>0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</row>
    <row r="132" spans="2:23" ht="20" x14ac:dyDescent="0.3">
      <c r="B132" s="61" t="s">
        <v>197</v>
      </c>
      <c r="C132" s="62"/>
      <c r="D132" s="48">
        <v>69.624229751999991</v>
      </c>
      <c r="E132" s="21">
        <v>0</v>
      </c>
      <c r="F132" s="21">
        <v>0</v>
      </c>
      <c r="G132" s="21">
        <v>0</v>
      </c>
      <c r="H132" s="21">
        <v>0</v>
      </c>
      <c r="I132" s="21">
        <v>0</v>
      </c>
      <c r="J132" s="21">
        <v>0</v>
      </c>
      <c r="K132" s="21">
        <v>0</v>
      </c>
      <c r="L132" s="21">
        <v>0</v>
      </c>
      <c r="M132" s="21">
        <v>0</v>
      </c>
      <c r="N132" s="29">
        <v>5.4624999999999995</v>
      </c>
      <c r="O132" s="21">
        <v>0</v>
      </c>
      <c r="P132" s="29">
        <v>75.792622751999986</v>
      </c>
      <c r="Q132" s="21">
        <v>0</v>
      </c>
      <c r="R132" s="21">
        <v>0</v>
      </c>
      <c r="S132" s="21">
        <v>0</v>
      </c>
      <c r="T132" s="21">
        <v>0</v>
      </c>
      <c r="U132" s="21">
        <v>0</v>
      </c>
      <c r="V132" s="21">
        <v>0</v>
      </c>
      <c r="W132" s="21">
        <v>0</v>
      </c>
    </row>
    <row r="133" spans="2:23" s="133" customFormat="1" ht="20" x14ac:dyDescent="0.3">
      <c r="B133" s="413" t="s">
        <v>103</v>
      </c>
      <c r="C133" s="414"/>
      <c r="D133" s="415">
        <v>0</v>
      </c>
      <c r="E133" s="416">
        <v>0</v>
      </c>
      <c r="F133" s="416">
        <v>0</v>
      </c>
      <c r="G133" s="416">
        <v>0</v>
      </c>
      <c r="H133" s="416">
        <v>0</v>
      </c>
      <c r="I133" s="416">
        <v>0</v>
      </c>
      <c r="J133" s="416">
        <v>0</v>
      </c>
      <c r="K133" s="416">
        <v>0</v>
      </c>
      <c r="L133" s="416">
        <v>0</v>
      </c>
      <c r="M133" s="416">
        <v>0</v>
      </c>
      <c r="N133" s="416">
        <v>0</v>
      </c>
      <c r="O133" s="416">
        <v>0</v>
      </c>
      <c r="P133" s="416">
        <v>0</v>
      </c>
      <c r="Q133" s="416">
        <v>0</v>
      </c>
      <c r="R133" s="416">
        <v>0</v>
      </c>
      <c r="S133" s="416">
        <v>0</v>
      </c>
      <c r="T133" s="416">
        <v>0</v>
      </c>
      <c r="U133" s="416">
        <v>0</v>
      </c>
      <c r="V133" s="416">
        <v>0</v>
      </c>
      <c r="W133" s="416">
        <v>0</v>
      </c>
    </row>
    <row r="134" spans="2:23" ht="20" x14ac:dyDescent="0.3">
      <c r="B134" s="63" t="s">
        <v>198</v>
      </c>
      <c r="C134" s="62"/>
      <c r="D134" s="31">
        <f>D129-D127</f>
        <v>50.961959999999991</v>
      </c>
      <c r="E134" s="31">
        <f t="shared" ref="E134:V134" si="73">E129-E127</f>
        <v>0</v>
      </c>
      <c r="F134" s="31">
        <f t="shared" si="73"/>
        <v>0</v>
      </c>
      <c r="G134" s="31">
        <f t="shared" si="73"/>
        <v>0</v>
      </c>
      <c r="H134" s="31">
        <f t="shared" si="73"/>
        <v>0</v>
      </c>
      <c r="I134" s="31">
        <f t="shared" si="73"/>
        <v>0</v>
      </c>
      <c r="J134" s="31">
        <f t="shared" si="73"/>
        <v>0</v>
      </c>
      <c r="K134" s="31">
        <f t="shared" si="73"/>
        <v>0</v>
      </c>
      <c r="L134" s="31">
        <f t="shared" si="73"/>
        <v>0</v>
      </c>
      <c r="M134" s="31">
        <f t="shared" si="73"/>
        <v>0</v>
      </c>
      <c r="N134" s="31">
        <f>N129-N127</f>
        <v>0.23749999999999982</v>
      </c>
      <c r="O134" s="31">
        <f t="shared" si="73"/>
        <v>0</v>
      </c>
      <c r="P134" s="31">
        <f t="shared" si="73"/>
        <v>2.641760000000005</v>
      </c>
      <c r="Q134" s="31">
        <f t="shared" si="73"/>
        <v>0</v>
      </c>
      <c r="R134" s="31">
        <f t="shared" si="73"/>
        <v>0</v>
      </c>
      <c r="S134" s="31">
        <f t="shared" si="73"/>
        <v>0</v>
      </c>
      <c r="T134" s="31">
        <f t="shared" si="73"/>
        <v>0</v>
      </c>
      <c r="U134" s="31">
        <f t="shared" si="73"/>
        <v>0</v>
      </c>
      <c r="V134" s="31">
        <f t="shared" si="73"/>
        <v>0</v>
      </c>
      <c r="W134" s="31">
        <f>W129-W127</f>
        <v>0</v>
      </c>
    </row>
    <row r="135" spans="2:23" ht="20" x14ac:dyDescent="0.3">
      <c r="B135" s="63" t="s">
        <v>199</v>
      </c>
      <c r="C135" s="64"/>
      <c r="D135" s="31">
        <f>D130-D129</f>
        <v>4.0769568000000049</v>
      </c>
      <c r="E135" s="32">
        <f>+E130-E$14</f>
        <v>-338.36250000000001</v>
      </c>
      <c r="F135" s="32">
        <f t="shared" ref="F135:V135" si="74">+F130-F$14</f>
        <v>0</v>
      </c>
      <c r="G135" s="32">
        <f t="shared" si="74"/>
        <v>-335.35950000000003</v>
      </c>
      <c r="H135" s="32">
        <f t="shared" si="74"/>
        <v>-324.6705</v>
      </c>
      <c r="I135" s="32">
        <f t="shared" si="74"/>
        <v>-330.9495</v>
      </c>
      <c r="J135" s="32">
        <f t="shared" si="74"/>
        <v>-338.36250000000001</v>
      </c>
      <c r="K135" s="32">
        <f t="shared" si="74"/>
        <v>0</v>
      </c>
      <c r="L135" s="32">
        <f t="shared" si="74"/>
        <v>0</v>
      </c>
      <c r="M135" s="32">
        <f t="shared" si="74"/>
        <v>0</v>
      </c>
      <c r="N135" s="32">
        <f>N130-N127</f>
        <v>0.33250000000000046</v>
      </c>
      <c r="O135" s="32">
        <f t="shared" si="74"/>
        <v>-331.04399999999998</v>
      </c>
      <c r="P135" s="32">
        <f t="shared" si="74"/>
        <v>-249.04738320000004</v>
      </c>
      <c r="Q135" s="32">
        <f t="shared" si="74"/>
        <v>-317.36250000000001</v>
      </c>
      <c r="R135" s="32">
        <f t="shared" si="74"/>
        <v>-308.96250000000003</v>
      </c>
      <c r="S135" s="32">
        <f t="shared" si="74"/>
        <v>-308.96250000000003</v>
      </c>
      <c r="T135" s="32">
        <f t="shared" si="74"/>
        <v>0</v>
      </c>
      <c r="U135" s="32">
        <f t="shared" si="74"/>
        <v>-359.44650000000001</v>
      </c>
      <c r="V135" s="32">
        <f t="shared" si="74"/>
        <v>0</v>
      </c>
      <c r="W135" s="32">
        <f>+W130-W$14</f>
        <v>-317.36250000000001</v>
      </c>
    </row>
    <row r="136" spans="2:23" ht="20" x14ac:dyDescent="0.3">
      <c r="B136" s="63" t="s">
        <v>200</v>
      </c>
      <c r="C136" s="64"/>
      <c r="D136" s="31">
        <f>D131-D130</f>
        <v>5.5038916800000024</v>
      </c>
      <c r="E136" s="32">
        <f t="shared" ref="E136:V136" si="75">+E131-E$14</f>
        <v>-338.36250000000001</v>
      </c>
      <c r="F136" s="32">
        <f t="shared" si="75"/>
        <v>0</v>
      </c>
      <c r="G136" s="32">
        <f t="shared" si="75"/>
        <v>-335.35950000000003</v>
      </c>
      <c r="H136" s="32">
        <f t="shared" si="75"/>
        <v>-324.6705</v>
      </c>
      <c r="I136" s="32">
        <f t="shared" si="75"/>
        <v>-330.9495</v>
      </c>
      <c r="J136" s="32">
        <f t="shared" si="75"/>
        <v>-338.36250000000001</v>
      </c>
      <c r="K136" s="32">
        <f t="shared" si="75"/>
        <v>0</v>
      </c>
      <c r="L136" s="32">
        <f t="shared" si="75"/>
        <v>0</v>
      </c>
      <c r="M136" s="32">
        <f t="shared" si="75"/>
        <v>0</v>
      </c>
      <c r="N136" s="32">
        <f>N131-N127</f>
        <v>0.47500000000000053</v>
      </c>
      <c r="O136" s="32">
        <f t="shared" si="75"/>
        <v>-331.04399999999998</v>
      </c>
      <c r="P136" s="32">
        <f t="shared" si="75"/>
        <v>-243.05587152000004</v>
      </c>
      <c r="Q136" s="32">
        <f t="shared" si="75"/>
        <v>-317.36250000000001</v>
      </c>
      <c r="R136" s="32">
        <f t="shared" si="75"/>
        <v>-308.96250000000003</v>
      </c>
      <c r="S136" s="32">
        <f t="shared" si="75"/>
        <v>-308.96250000000003</v>
      </c>
      <c r="T136" s="32">
        <f t="shared" si="75"/>
        <v>0</v>
      </c>
      <c r="U136" s="32">
        <f t="shared" si="75"/>
        <v>-359.44650000000001</v>
      </c>
      <c r="V136" s="32">
        <f t="shared" si="75"/>
        <v>0</v>
      </c>
      <c r="W136" s="32">
        <f>+W131-W$14</f>
        <v>-317.36250000000001</v>
      </c>
    </row>
    <row r="137" spans="2:23" ht="20" x14ac:dyDescent="0.3">
      <c r="B137" s="63" t="s">
        <v>201</v>
      </c>
      <c r="C137" s="64"/>
      <c r="D137" s="31">
        <f>D132-D131</f>
        <v>9.0814212719999929</v>
      </c>
      <c r="E137" s="32">
        <f t="shared" ref="E137:V137" si="76">+E132-E$14</f>
        <v>-338.36250000000001</v>
      </c>
      <c r="F137" s="32">
        <f t="shared" si="76"/>
        <v>0</v>
      </c>
      <c r="G137" s="32">
        <f t="shared" si="76"/>
        <v>-335.35950000000003</v>
      </c>
      <c r="H137" s="32">
        <f t="shared" si="76"/>
        <v>-324.6705</v>
      </c>
      <c r="I137" s="32">
        <f t="shared" si="76"/>
        <v>-330.9495</v>
      </c>
      <c r="J137" s="32">
        <f t="shared" si="76"/>
        <v>-338.36250000000001</v>
      </c>
      <c r="K137" s="32">
        <f t="shared" si="76"/>
        <v>0</v>
      </c>
      <c r="L137" s="32">
        <f t="shared" si="76"/>
        <v>0</v>
      </c>
      <c r="M137" s="32">
        <f t="shared" si="76"/>
        <v>0</v>
      </c>
      <c r="N137" s="32">
        <f>N132-N127</f>
        <v>0.71249999999999947</v>
      </c>
      <c r="O137" s="32">
        <f t="shared" si="76"/>
        <v>-331.04399999999998</v>
      </c>
      <c r="P137" s="32">
        <f t="shared" si="76"/>
        <v>-233.16987724800003</v>
      </c>
      <c r="Q137" s="32">
        <f t="shared" si="76"/>
        <v>-317.36250000000001</v>
      </c>
      <c r="R137" s="32">
        <f t="shared" si="76"/>
        <v>-308.96250000000003</v>
      </c>
      <c r="S137" s="32">
        <f t="shared" si="76"/>
        <v>-308.96250000000003</v>
      </c>
      <c r="T137" s="32">
        <f t="shared" si="76"/>
        <v>0</v>
      </c>
      <c r="U137" s="32">
        <f t="shared" si="76"/>
        <v>-359.44650000000001</v>
      </c>
      <c r="V137" s="32">
        <f t="shared" si="76"/>
        <v>0</v>
      </c>
      <c r="W137" s="32">
        <f>+W132-W$14</f>
        <v>-317.36250000000001</v>
      </c>
    </row>
    <row r="138" spans="2:23" s="421" customFormat="1" ht="20" x14ac:dyDescent="0.3">
      <c r="B138" s="417" t="s">
        <v>108</v>
      </c>
      <c r="C138" s="418"/>
      <c r="D138" s="419">
        <v>0</v>
      </c>
      <c r="E138" s="420">
        <v>0</v>
      </c>
      <c r="F138" s="420">
        <v>0</v>
      </c>
      <c r="G138" s="420">
        <v>0</v>
      </c>
      <c r="H138" s="420">
        <v>0</v>
      </c>
      <c r="I138" s="420">
        <v>0</v>
      </c>
      <c r="J138" s="420">
        <v>0</v>
      </c>
      <c r="K138" s="420">
        <v>0</v>
      </c>
      <c r="L138" s="420">
        <v>0</v>
      </c>
      <c r="M138" s="420">
        <v>0</v>
      </c>
      <c r="N138" s="420">
        <v>0</v>
      </c>
      <c r="O138" s="420">
        <v>0</v>
      </c>
      <c r="P138" s="420">
        <v>0</v>
      </c>
      <c r="Q138" s="420">
        <v>0</v>
      </c>
      <c r="R138" s="420">
        <v>0</v>
      </c>
      <c r="S138" s="420">
        <v>0</v>
      </c>
      <c r="T138" s="420">
        <v>0</v>
      </c>
      <c r="U138" s="420">
        <v>0</v>
      </c>
      <c r="V138" s="420">
        <v>0</v>
      </c>
      <c r="W138" s="420">
        <v>0</v>
      </c>
    </row>
    <row r="139" spans="2:23" ht="20" x14ac:dyDescent="0.3">
      <c r="B139" s="97" t="s">
        <v>202</v>
      </c>
      <c r="C139" s="98"/>
      <c r="D139" s="99" t="e">
        <f>+D134/D127</f>
        <v>#DIV/0!</v>
      </c>
      <c r="E139" s="99" t="e">
        <f t="shared" ref="E139:V139" si="77">+E134/E127</f>
        <v>#DIV/0!</v>
      </c>
      <c r="F139" s="99" t="e">
        <f t="shared" si="77"/>
        <v>#DIV/0!</v>
      </c>
      <c r="G139" s="99" t="e">
        <f t="shared" si="77"/>
        <v>#DIV/0!</v>
      </c>
      <c r="H139" s="99" t="e">
        <f t="shared" si="77"/>
        <v>#DIV/0!</v>
      </c>
      <c r="I139" s="99" t="e">
        <f t="shared" si="77"/>
        <v>#DIV/0!</v>
      </c>
      <c r="J139" s="99" t="e">
        <f t="shared" si="77"/>
        <v>#DIV/0!</v>
      </c>
      <c r="K139" s="99" t="e">
        <f t="shared" si="77"/>
        <v>#DIV/0!</v>
      </c>
      <c r="L139" s="99" t="e">
        <f t="shared" si="77"/>
        <v>#DIV/0!</v>
      </c>
      <c r="M139" s="99" t="e">
        <f t="shared" si="77"/>
        <v>#DIV/0!</v>
      </c>
      <c r="N139" s="99">
        <f>+N134/N129</f>
        <v>4.7619047619047582E-2</v>
      </c>
      <c r="O139" s="99" t="e">
        <f t="shared" si="77"/>
        <v>#DIV/0!</v>
      </c>
      <c r="P139" s="99">
        <f t="shared" si="77"/>
        <v>5.0000000000000107E-2</v>
      </c>
      <c r="Q139" s="99" t="e">
        <f t="shared" si="77"/>
        <v>#DIV/0!</v>
      </c>
      <c r="R139" s="99" t="e">
        <f t="shared" si="77"/>
        <v>#DIV/0!</v>
      </c>
      <c r="S139" s="99" t="e">
        <f t="shared" si="77"/>
        <v>#DIV/0!</v>
      </c>
      <c r="T139" s="99" t="e">
        <f t="shared" si="77"/>
        <v>#DIV/0!</v>
      </c>
      <c r="U139" s="99" t="e">
        <f t="shared" si="77"/>
        <v>#DIV/0!</v>
      </c>
      <c r="V139" s="99" t="e">
        <f t="shared" si="77"/>
        <v>#DIV/0!</v>
      </c>
      <c r="W139" s="99" t="e">
        <f>+W134/W127</f>
        <v>#DIV/0!</v>
      </c>
    </row>
    <row r="140" spans="2:23" ht="20" x14ac:dyDescent="0.3">
      <c r="B140" s="97" t="s">
        <v>203</v>
      </c>
      <c r="C140" s="98"/>
      <c r="D140" s="100">
        <f>+D135/D130</f>
        <v>7.4074074074074167E-2</v>
      </c>
      <c r="E140" s="100" t="e">
        <f>+E135/E130</f>
        <v>#DIV/0!</v>
      </c>
      <c r="F140" s="100" t="e">
        <f>+F135/F130</f>
        <v>#DIV/0!</v>
      </c>
      <c r="G140" s="100" t="e">
        <f>+G135/G130</f>
        <v>#DIV/0!</v>
      </c>
      <c r="H140" s="100" t="e">
        <f t="shared" ref="H140:V140" si="78">+H135/H130</f>
        <v>#DIV/0!</v>
      </c>
      <c r="I140" s="100" t="e">
        <f t="shared" si="78"/>
        <v>#DIV/0!</v>
      </c>
      <c r="J140" s="100" t="e">
        <f t="shared" si="78"/>
        <v>#DIV/0!</v>
      </c>
      <c r="K140" s="100" t="e">
        <f t="shared" si="78"/>
        <v>#DIV/0!</v>
      </c>
      <c r="L140" s="100" t="e">
        <f t="shared" si="78"/>
        <v>#DIV/0!</v>
      </c>
      <c r="M140" s="100" t="e">
        <f t="shared" si="78"/>
        <v>#DIV/0!</v>
      </c>
      <c r="N140" s="100">
        <f>+N135/N130</f>
        <v>6.5420560747663642E-2</v>
      </c>
      <c r="O140" s="100" t="e">
        <f t="shared" si="78"/>
        <v>#DIV/0!</v>
      </c>
      <c r="P140" s="100">
        <f t="shared" si="78"/>
        <v>-4.1566702445283399</v>
      </c>
      <c r="Q140" s="100" t="e">
        <f t="shared" si="78"/>
        <v>#DIV/0!</v>
      </c>
      <c r="R140" s="100" t="e">
        <f t="shared" si="78"/>
        <v>#DIV/0!</v>
      </c>
      <c r="S140" s="100" t="e">
        <f t="shared" si="78"/>
        <v>#DIV/0!</v>
      </c>
      <c r="T140" s="100" t="e">
        <f t="shared" si="78"/>
        <v>#DIV/0!</v>
      </c>
      <c r="U140" s="100" t="e">
        <f t="shared" si="78"/>
        <v>#DIV/0!</v>
      </c>
      <c r="V140" s="100" t="e">
        <f t="shared" si="78"/>
        <v>#DIV/0!</v>
      </c>
      <c r="W140" s="100" t="e">
        <f>+W135/W130</f>
        <v>#DIV/0!</v>
      </c>
    </row>
    <row r="141" spans="2:23" ht="20" x14ac:dyDescent="0.3">
      <c r="B141" s="97" t="s">
        <v>204</v>
      </c>
      <c r="C141" s="98"/>
      <c r="D141" s="100">
        <f>+D136/D131</f>
        <v>9.0909090909090953E-2</v>
      </c>
      <c r="E141" s="100" t="e">
        <f t="shared" ref="E141:V141" si="79">+E136/E131</f>
        <v>#DIV/0!</v>
      </c>
      <c r="F141" s="100" t="e">
        <f t="shared" si="79"/>
        <v>#DIV/0!</v>
      </c>
      <c r="G141" s="100" t="e">
        <f t="shared" si="79"/>
        <v>#DIV/0!</v>
      </c>
      <c r="H141" s="100" t="e">
        <f t="shared" si="79"/>
        <v>#DIV/0!</v>
      </c>
      <c r="I141" s="100" t="e">
        <f t="shared" si="79"/>
        <v>#DIV/0!</v>
      </c>
      <c r="J141" s="100" t="e">
        <f t="shared" si="79"/>
        <v>#DIV/0!</v>
      </c>
      <c r="K141" s="100" t="e">
        <f t="shared" si="79"/>
        <v>#DIV/0!</v>
      </c>
      <c r="L141" s="100" t="e">
        <f t="shared" si="79"/>
        <v>#DIV/0!</v>
      </c>
      <c r="M141" s="100" t="e">
        <f t="shared" si="79"/>
        <v>#DIV/0!</v>
      </c>
      <c r="N141" s="100">
        <f>+N136/N131</f>
        <v>9.0909090909090995E-2</v>
      </c>
      <c r="O141" s="100" t="e">
        <f t="shared" si="79"/>
        <v>#DIV/0!</v>
      </c>
      <c r="P141" s="100">
        <f t="shared" si="79"/>
        <v>-3.687882040480309</v>
      </c>
      <c r="Q141" s="100" t="e">
        <f t="shared" si="79"/>
        <v>#DIV/0!</v>
      </c>
      <c r="R141" s="100" t="e">
        <f t="shared" si="79"/>
        <v>#DIV/0!</v>
      </c>
      <c r="S141" s="100" t="e">
        <f t="shared" si="79"/>
        <v>#DIV/0!</v>
      </c>
      <c r="T141" s="100" t="e">
        <f t="shared" si="79"/>
        <v>#DIV/0!</v>
      </c>
      <c r="U141" s="100" t="e">
        <f t="shared" si="79"/>
        <v>#DIV/0!</v>
      </c>
      <c r="V141" s="100" t="e">
        <f t="shared" si="79"/>
        <v>#DIV/0!</v>
      </c>
      <c r="W141" s="100" t="e">
        <f>+W136/W131</f>
        <v>#DIV/0!</v>
      </c>
    </row>
    <row r="142" spans="2:23" ht="20" x14ac:dyDescent="0.3">
      <c r="B142" s="97" t="s">
        <v>205</v>
      </c>
      <c r="C142" s="98"/>
      <c r="D142" s="100">
        <f>+D137/D132</f>
        <v>0.13043478260869557</v>
      </c>
      <c r="E142" s="100" t="e">
        <f t="shared" ref="E142:V142" si="80">+E137/E132</f>
        <v>#DIV/0!</v>
      </c>
      <c r="F142" s="100" t="e">
        <f t="shared" si="80"/>
        <v>#DIV/0!</v>
      </c>
      <c r="G142" s="100" t="e">
        <f t="shared" si="80"/>
        <v>#DIV/0!</v>
      </c>
      <c r="H142" s="100" t="e">
        <f t="shared" si="80"/>
        <v>#DIV/0!</v>
      </c>
      <c r="I142" s="100" t="e">
        <f t="shared" si="80"/>
        <v>#DIV/0!</v>
      </c>
      <c r="J142" s="100" t="e">
        <f t="shared" si="80"/>
        <v>#DIV/0!</v>
      </c>
      <c r="K142" s="100" t="e">
        <f t="shared" si="80"/>
        <v>#DIV/0!</v>
      </c>
      <c r="L142" s="100" t="e">
        <f t="shared" si="80"/>
        <v>#DIV/0!</v>
      </c>
      <c r="M142" s="100" t="e">
        <f t="shared" si="80"/>
        <v>#DIV/0!</v>
      </c>
      <c r="N142" s="100">
        <f>+N137/N132</f>
        <v>0.13043478260869557</v>
      </c>
      <c r="O142" s="100" t="e">
        <f t="shared" si="80"/>
        <v>#DIV/0!</v>
      </c>
      <c r="P142" s="100">
        <f t="shared" si="80"/>
        <v>-3.0764191656350519</v>
      </c>
      <c r="Q142" s="100" t="e">
        <f t="shared" si="80"/>
        <v>#DIV/0!</v>
      </c>
      <c r="R142" s="100" t="e">
        <f t="shared" si="80"/>
        <v>#DIV/0!</v>
      </c>
      <c r="S142" s="100" t="e">
        <f t="shared" si="80"/>
        <v>#DIV/0!</v>
      </c>
      <c r="T142" s="100" t="e">
        <f t="shared" si="80"/>
        <v>#DIV/0!</v>
      </c>
      <c r="U142" s="100" t="e">
        <f t="shared" si="80"/>
        <v>#DIV/0!</v>
      </c>
      <c r="V142" s="100" t="e">
        <f t="shared" si="80"/>
        <v>#DIV/0!</v>
      </c>
      <c r="W142" s="100" t="e">
        <f>+W137/W132</f>
        <v>#DIV/0!</v>
      </c>
    </row>
    <row r="143" spans="2:23" ht="20" hidden="1" x14ac:dyDescent="0.3">
      <c r="B143" s="97" t="s">
        <v>78</v>
      </c>
      <c r="C143" s="98"/>
      <c r="D143" s="100" t="e">
        <f>+D138/D133</f>
        <v>#DIV/0!</v>
      </c>
      <c r="E143" s="100" t="e">
        <f t="shared" ref="E143:V143" si="81">+E138/E133</f>
        <v>#DIV/0!</v>
      </c>
      <c r="F143" s="100" t="e">
        <f t="shared" si="81"/>
        <v>#DIV/0!</v>
      </c>
      <c r="G143" s="100" t="e">
        <f t="shared" si="81"/>
        <v>#DIV/0!</v>
      </c>
      <c r="H143" s="100" t="e">
        <f t="shared" si="81"/>
        <v>#DIV/0!</v>
      </c>
      <c r="I143" s="100" t="e">
        <f t="shared" si="81"/>
        <v>#DIV/0!</v>
      </c>
      <c r="J143" s="100" t="e">
        <f t="shared" si="81"/>
        <v>#DIV/0!</v>
      </c>
      <c r="K143" s="100" t="e">
        <f t="shared" si="81"/>
        <v>#DIV/0!</v>
      </c>
      <c r="L143" s="100" t="e">
        <f t="shared" si="81"/>
        <v>#DIV/0!</v>
      </c>
      <c r="M143" s="100" t="e">
        <f t="shared" si="81"/>
        <v>#DIV/0!</v>
      </c>
      <c r="N143" s="100" t="e">
        <f t="shared" si="81"/>
        <v>#DIV/0!</v>
      </c>
      <c r="O143" s="100" t="e">
        <f t="shared" si="81"/>
        <v>#DIV/0!</v>
      </c>
      <c r="P143" s="100" t="e">
        <f t="shared" si="81"/>
        <v>#DIV/0!</v>
      </c>
      <c r="Q143" s="100" t="e">
        <f t="shared" si="81"/>
        <v>#DIV/0!</v>
      </c>
      <c r="R143" s="100" t="e">
        <f t="shared" si="81"/>
        <v>#DIV/0!</v>
      </c>
      <c r="S143" s="100" t="e">
        <f t="shared" si="81"/>
        <v>#DIV/0!</v>
      </c>
      <c r="T143" s="100" t="e">
        <f t="shared" si="81"/>
        <v>#DIV/0!</v>
      </c>
      <c r="U143" s="100" t="e">
        <f t="shared" si="81"/>
        <v>#DIV/0!</v>
      </c>
      <c r="V143" s="100" t="e">
        <f t="shared" si="81"/>
        <v>#DIV/0!</v>
      </c>
      <c r="W143" s="100" t="e">
        <f>+W138/W133</f>
        <v>#DIV/0!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FFC000"/>
  </sheetPr>
  <dimension ref="A1:AM143"/>
  <sheetViews>
    <sheetView topLeftCell="A106" zoomScale="80" zoomScaleNormal="80" workbookViewId="0">
      <selection activeCell="B127" sqref="B127"/>
    </sheetView>
  </sheetViews>
  <sheetFormatPr baseColWidth="10" defaultColWidth="9" defaultRowHeight="19" x14ac:dyDescent="0.25"/>
  <cols>
    <col min="1" max="1" width="46.19921875" style="144" customWidth="1"/>
    <col min="2" max="5" width="9.59765625" style="144" customWidth="1"/>
    <col min="6" max="6" width="11.19921875" customWidth="1"/>
    <col min="7" max="7" width="10.59765625" customWidth="1"/>
    <col min="8" max="8" width="30.3984375" customWidth="1"/>
    <col min="10" max="10" width="10.3984375" bestFit="1" customWidth="1"/>
  </cols>
  <sheetData>
    <row r="1" spans="1:39" ht="41.25" customHeight="1" x14ac:dyDescent="0.5">
      <c r="A1" s="153" t="s">
        <v>0</v>
      </c>
      <c r="B1" s="153"/>
      <c r="C1" s="154"/>
      <c r="D1" s="155"/>
      <c r="E1" s="6" t="s">
        <v>1</v>
      </c>
      <c r="F1" s="15"/>
      <c r="H1" s="5"/>
      <c r="M1" s="429"/>
      <c r="N1" s="429"/>
      <c r="U1" s="1"/>
      <c r="V1" s="2"/>
      <c r="W1" s="3"/>
      <c r="X1" s="4"/>
      <c r="AH1" s="429"/>
      <c r="AI1" s="429"/>
      <c r="AK1" s="5"/>
      <c r="AL1" s="6"/>
      <c r="AM1" s="6"/>
    </row>
    <row r="2" spans="1:39" x14ac:dyDescent="0.25">
      <c r="A2" s="158" t="s">
        <v>2</v>
      </c>
      <c r="B2" s="157" t="s">
        <v>102</v>
      </c>
      <c r="C2" s="155"/>
      <c r="E2" s="10" t="s">
        <v>3</v>
      </c>
      <c r="F2" s="287"/>
      <c r="H2" s="9"/>
      <c r="U2" s="7"/>
      <c r="V2" s="7"/>
      <c r="W2" s="8"/>
      <c r="X2" s="4"/>
      <c r="AK2" s="9"/>
      <c r="AL2" s="10"/>
      <c r="AM2" s="11"/>
    </row>
    <row r="3" spans="1:39" x14ac:dyDescent="0.25">
      <c r="A3" s="158" t="s">
        <v>4</v>
      </c>
      <c r="B3" s="157"/>
      <c r="C3" s="158"/>
      <c r="U3" s="7"/>
      <c r="V3" s="7"/>
      <c r="W3" s="8"/>
      <c r="X3" s="9"/>
    </row>
    <row r="4" spans="1:39" s="138" customFormat="1" ht="16" x14ac:dyDescent="0.2">
      <c r="A4" s="246" t="s">
        <v>100</v>
      </c>
      <c r="B4" s="160">
        <v>1</v>
      </c>
      <c r="C4" s="161" t="s">
        <v>238</v>
      </c>
      <c r="D4" s="162"/>
      <c r="U4" s="136"/>
      <c r="V4" s="136"/>
      <c r="W4" s="135"/>
      <c r="X4" s="139"/>
    </row>
    <row r="5" spans="1:39" s="138" customFormat="1" ht="16" x14ac:dyDescent="0.2">
      <c r="A5" s="247"/>
      <c r="B5" s="160">
        <v>2</v>
      </c>
      <c r="C5" s="163" t="s">
        <v>237</v>
      </c>
      <c r="D5" s="162"/>
      <c r="U5" s="136"/>
      <c r="V5" s="136"/>
      <c r="W5" s="135"/>
      <c r="X5" s="139"/>
    </row>
    <row r="6" spans="1:39" s="138" customFormat="1" ht="16" x14ac:dyDescent="0.2">
      <c r="A6" s="247"/>
      <c r="B6" s="160">
        <v>3</v>
      </c>
      <c r="C6" s="162" t="s">
        <v>32</v>
      </c>
      <c r="D6" s="162"/>
      <c r="U6" s="136"/>
      <c r="V6" s="136"/>
      <c r="W6" s="135"/>
      <c r="X6" s="139"/>
    </row>
    <row r="7" spans="1:39" s="138" customFormat="1" ht="16" x14ac:dyDescent="0.2">
      <c r="A7" s="247"/>
      <c r="B7" s="160">
        <v>4</v>
      </c>
      <c r="C7" s="162" t="s">
        <v>33</v>
      </c>
      <c r="D7" s="162"/>
      <c r="U7" s="136"/>
      <c r="V7" s="136"/>
      <c r="W7" s="135"/>
      <c r="X7" s="139"/>
    </row>
    <row r="8" spans="1:39" s="138" customFormat="1" ht="16" x14ac:dyDescent="0.2">
      <c r="A8" s="247"/>
      <c r="B8" s="150">
        <v>5</v>
      </c>
      <c r="C8" s="191" t="s">
        <v>99</v>
      </c>
      <c r="D8" s="162"/>
      <c r="U8" s="136"/>
      <c r="V8" s="136"/>
      <c r="W8" s="135"/>
      <c r="X8" s="139"/>
    </row>
    <row r="9" spans="1:39" ht="7.5" customHeight="1" thickBot="1" x14ac:dyDescent="0.3"/>
    <row r="10" spans="1:39" ht="22" thickTop="1" x14ac:dyDescent="0.25">
      <c r="A10" s="248" t="s">
        <v>71</v>
      </c>
      <c r="B10" s="172"/>
      <c r="C10" s="164"/>
      <c r="D10" s="164" t="s">
        <v>5</v>
      </c>
      <c r="E10" s="165"/>
    </row>
    <row r="11" spans="1:39" ht="21" x14ac:dyDescent="0.25">
      <c r="A11" s="427" t="s">
        <v>82</v>
      </c>
      <c r="B11" s="300"/>
      <c r="C11" s="301" t="s">
        <v>79</v>
      </c>
      <c r="D11" s="301" t="s">
        <v>80</v>
      </c>
      <c r="E11" s="302" t="s">
        <v>81</v>
      </c>
    </row>
    <row r="12" spans="1:39" s="12" customFormat="1" ht="20" thickBot="1" x14ac:dyDescent="0.3">
      <c r="A12" s="428"/>
      <c r="B12" s="303" t="s">
        <v>142</v>
      </c>
      <c r="C12" s="298" t="s">
        <v>143</v>
      </c>
      <c r="D12" s="298" t="s">
        <v>144</v>
      </c>
      <c r="E12" s="299" t="s">
        <v>145</v>
      </c>
    </row>
    <row r="13" spans="1:39" s="144" customFormat="1" ht="20" thickTop="1" x14ac:dyDescent="0.25">
      <c r="A13" s="249" t="s">
        <v>133</v>
      </c>
      <c r="B13" s="140">
        <f>'Formular 4 step Y1'!D14</f>
        <v>124</v>
      </c>
      <c r="C13" s="140">
        <f>'Formular 4 step Y1'!D15</f>
        <v>125</v>
      </c>
      <c r="D13" s="140">
        <f>'Formular 4 step Y1'!D16</f>
        <v>126</v>
      </c>
      <c r="E13" s="140">
        <f>'Formular 4 step Y1'!D17</f>
        <v>127</v>
      </c>
    </row>
    <row r="14" spans="1:39" s="144" customFormat="1" x14ac:dyDescent="0.25">
      <c r="A14" s="249" t="s">
        <v>134</v>
      </c>
      <c r="B14" s="141">
        <f>'Formular 4 step Y1'!D39</f>
        <v>124</v>
      </c>
      <c r="C14" s="141">
        <f>'Formular 4 step Y1'!D40</f>
        <v>125</v>
      </c>
      <c r="D14" s="141">
        <f>'Formular 4 step Y1'!D41</f>
        <v>126</v>
      </c>
      <c r="E14" s="141">
        <f>'Formular 4 step Y1'!D42</f>
        <v>127</v>
      </c>
    </row>
    <row r="15" spans="1:39" s="144" customFormat="1" ht="22.5" customHeight="1" x14ac:dyDescent="0.25">
      <c r="A15" s="250" t="s">
        <v>135</v>
      </c>
      <c r="B15" s="141">
        <f>'Formular 4 step Y1'!D64</f>
        <v>185</v>
      </c>
      <c r="C15" s="146">
        <f>'Formular 4 step Y1'!D65</f>
        <v>186</v>
      </c>
      <c r="D15" s="141">
        <f>'Formular 4 step Y1'!D66</f>
        <v>187</v>
      </c>
      <c r="E15" s="143">
        <f>'Formular 4 step Y1'!D67</f>
        <v>188</v>
      </c>
    </row>
    <row r="16" spans="1:39" s="144" customFormat="1" x14ac:dyDescent="0.25">
      <c r="A16" s="250" t="s">
        <v>136</v>
      </c>
      <c r="B16" s="140">
        <f>'Formular 4 step Y1'!D89</f>
        <v>184</v>
      </c>
      <c r="C16" s="141">
        <f>'Formular 4 step Y1'!D90</f>
        <v>185</v>
      </c>
      <c r="D16" s="141">
        <f>'Formular 4 step Y1'!D91</f>
        <v>186</v>
      </c>
      <c r="E16" s="141">
        <f>'Formular 4 step Y1'!D92</f>
        <v>187</v>
      </c>
    </row>
    <row r="17" spans="1:5" s="144" customFormat="1" x14ac:dyDescent="0.25">
      <c r="A17" s="250" t="s">
        <v>137</v>
      </c>
      <c r="B17" s="141">
        <f>'Formular 4 step Y1'!D114</f>
        <v>143</v>
      </c>
      <c r="C17" s="141">
        <f>'Formular 4 step Y1'!D115</f>
        <v>144</v>
      </c>
      <c r="D17" s="141">
        <f>'Formular 4 step Y1'!D116</f>
        <v>145</v>
      </c>
      <c r="E17" s="141">
        <f>'Formular 4 step Y1'!D117</f>
        <v>146</v>
      </c>
    </row>
    <row r="18" spans="1:5" s="144" customFormat="1" x14ac:dyDescent="0.25">
      <c r="A18" s="250" t="s">
        <v>138</v>
      </c>
      <c r="B18" s="141">
        <f>'Formular 4 step Y1'!D139</f>
        <v>206</v>
      </c>
      <c r="C18" s="141">
        <f>'Formular 4 step Y1'!D140</f>
        <v>207</v>
      </c>
      <c r="D18" s="141">
        <f>'Formular 4 step Y1'!D141</f>
        <v>208</v>
      </c>
      <c r="E18" s="141">
        <f>'Formular 4 step Y1'!D142</f>
        <v>209</v>
      </c>
    </row>
    <row r="19" spans="1:5" s="144" customFormat="1" x14ac:dyDescent="0.25">
      <c r="A19" s="250" t="s">
        <v>139</v>
      </c>
      <c r="B19" s="140">
        <f>'Formular 4 step Y1'!D838</f>
        <v>205</v>
      </c>
      <c r="C19" s="141">
        <f>'Formular 4 step Y1'!D839</f>
        <v>206</v>
      </c>
      <c r="D19" s="141">
        <f>'Formular 4 step Y1'!D840</f>
        <v>207</v>
      </c>
      <c r="E19" s="141">
        <f>'Formular 4 step Y1'!D841</f>
        <v>208</v>
      </c>
    </row>
    <row r="20" spans="1:5" s="144" customFormat="1" x14ac:dyDescent="0.25">
      <c r="A20" s="250" t="s">
        <v>114</v>
      </c>
      <c r="B20" s="140">
        <f>'Formular 4 step Y1'!D164</f>
        <v>241</v>
      </c>
      <c r="C20" s="141">
        <f>'Formular 4 step Y1'!D165</f>
        <v>244</v>
      </c>
      <c r="D20" s="141">
        <f>'Formular 4 step Y1'!D166</f>
        <v>249</v>
      </c>
      <c r="E20" s="141">
        <f>'Formular 4 step Y1'!D167</f>
        <v>254</v>
      </c>
    </row>
    <row r="21" spans="1:5" s="144" customFormat="1" x14ac:dyDescent="0.25">
      <c r="A21" s="250" t="s">
        <v>115</v>
      </c>
      <c r="B21" s="140">
        <f>'Formular 4 step Y1'!D189</f>
        <v>269</v>
      </c>
      <c r="C21" s="141">
        <f>'Formular 4 step Y1'!D190</f>
        <v>272</v>
      </c>
      <c r="D21" s="141">
        <f>'Formular 4 step Y1'!D191</f>
        <v>277</v>
      </c>
      <c r="E21" s="141">
        <f>'Formular 4 step Y1'!D192</f>
        <v>282</v>
      </c>
    </row>
    <row r="22" spans="1:5" s="144" customFormat="1" x14ac:dyDescent="0.25">
      <c r="A22" s="250" t="s">
        <v>218</v>
      </c>
      <c r="B22" s="140">
        <f>'Formular 4 step Y1'!D863</f>
        <v>178.69762080000004</v>
      </c>
      <c r="C22" s="141">
        <f>'Formular 4 step Y1'!D864</f>
        <v>180.35222840000003</v>
      </c>
      <c r="D22" s="141">
        <f>'Formular 4 step Y1'!D865</f>
        <v>185.31605120000003</v>
      </c>
      <c r="E22" s="141">
        <f>'Formular 4 step Y1'!D866</f>
        <v>190.27987400000001</v>
      </c>
    </row>
    <row r="23" spans="1:5" s="144" customFormat="1" x14ac:dyDescent="0.25">
      <c r="A23" s="250" t="s">
        <v>128</v>
      </c>
      <c r="B23" s="140">
        <f>'Formular 4 step Y1'!D738</f>
        <v>101</v>
      </c>
      <c r="C23" s="141">
        <f>'Formular 4 step Y1'!D739</f>
        <v>102</v>
      </c>
      <c r="D23" s="141">
        <f>'Formular 4 step Y1'!D740</f>
        <v>103</v>
      </c>
      <c r="E23" s="141">
        <f>'Formular 4 step Y1'!D741</f>
        <v>104</v>
      </c>
    </row>
    <row r="24" spans="1:5" s="144" customFormat="1" x14ac:dyDescent="0.25">
      <c r="A24" s="250" t="s">
        <v>130</v>
      </c>
      <c r="B24" s="140">
        <f>'Formular 4 step Y1'!D763</f>
        <v>156</v>
      </c>
      <c r="C24" s="141">
        <f>'Formular 4 step Y1'!D764</f>
        <v>157</v>
      </c>
      <c r="D24" s="141">
        <f>'Formular 4 step Y1'!D765</f>
        <v>158</v>
      </c>
      <c r="E24" s="141">
        <f>'Formular 4 step Y1'!D766</f>
        <v>159</v>
      </c>
    </row>
    <row r="25" spans="1:5" s="144" customFormat="1" x14ac:dyDescent="0.25">
      <c r="A25" s="250" t="s">
        <v>116</v>
      </c>
      <c r="B25" s="378">
        <f>'Formular 4 step Y1'!D788</f>
        <v>268</v>
      </c>
      <c r="C25" s="378">
        <f>'Formular 4 step Y1'!D789</f>
        <v>269</v>
      </c>
      <c r="D25" s="378">
        <f>'Formular 4 step Y1'!D790</f>
        <v>270</v>
      </c>
      <c r="E25" s="378">
        <f>'Formular 4 step Y1'!D791</f>
        <v>271</v>
      </c>
    </row>
    <row r="26" spans="1:5" s="144" customFormat="1" x14ac:dyDescent="0.25">
      <c r="A26" s="250" t="s">
        <v>117</v>
      </c>
      <c r="B26" s="140">
        <f>'Formular 4 step Y1'!D813</f>
        <v>425</v>
      </c>
      <c r="C26" s="141">
        <f>'Formular 4 step Y1'!D814</f>
        <v>426</v>
      </c>
      <c r="D26" s="141">
        <f>'Formular 4 step Y1'!D815</f>
        <v>427</v>
      </c>
      <c r="E26" s="141">
        <f>'Formular 4 step Y1'!D816</f>
        <v>428</v>
      </c>
    </row>
    <row r="27" spans="1:5" s="144" customFormat="1" x14ac:dyDescent="0.25">
      <c r="A27" s="250" t="s">
        <v>217</v>
      </c>
      <c r="B27" s="140">
        <f>'Formular 4 step Y1'!D214</f>
        <v>904</v>
      </c>
      <c r="C27" s="141">
        <f>'Formular 4 step Y1'!D215</f>
        <v>907</v>
      </c>
      <c r="D27" s="141">
        <f>'Formular 4 step Y1'!D216</f>
        <v>917</v>
      </c>
      <c r="E27" s="141">
        <f>'Formular 4 step Y1'!D217</f>
        <v>927</v>
      </c>
    </row>
    <row r="28" spans="1:5" s="144" customFormat="1" x14ac:dyDescent="0.25">
      <c r="A28" s="250" t="s">
        <v>209</v>
      </c>
      <c r="B28" s="304">
        <f>'Formular 4 step Y1'!D239</f>
        <v>20.902295999999996</v>
      </c>
      <c r="C28" s="141">
        <f>'Formular 4 step Y1'!D240</f>
        <v>22</v>
      </c>
      <c r="D28" s="141">
        <f>'Formular 4 step Y1'!D241</f>
        <v>23</v>
      </c>
      <c r="E28" s="141">
        <f>'Formular 4 step Y1'!D242</f>
        <v>24</v>
      </c>
    </row>
    <row r="29" spans="1:5" s="144" customFormat="1" x14ac:dyDescent="0.25">
      <c r="A29" s="250" t="s">
        <v>210</v>
      </c>
      <c r="B29" s="304">
        <f>'Formular 4 step Y1'!D264</f>
        <v>20.189247999999999</v>
      </c>
      <c r="C29" s="141">
        <f>'Formular 4 step Y1'!D265</f>
        <v>21</v>
      </c>
      <c r="D29" s="141">
        <f>'Formular 4 step Y1'!D266</f>
        <v>22</v>
      </c>
      <c r="E29" s="141">
        <f>'Formular 4 step Y1'!D267</f>
        <v>23</v>
      </c>
    </row>
    <row r="30" spans="1:5" s="144" customFormat="1" x14ac:dyDescent="0.25">
      <c r="A30" s="250" t="s">
        <v>233</v>
      </c>
      <c r="B30" s="217">
        <f>'Formular 4 step Y1'!D289</f>
        <v>23.754487999999995</v>
      </c>
      <c r="C30" s="141">
        <f>'Formular 4 step Y1'!D290</f>
        <v>25</v>
      </c>
      <c r="D30" s="141">
        <f>'Formular 4 step Y1'!D291</f>
        <v>26</v>
      </c>
      <c r="E30" s="141">
        <f>'Formular 4 step Y1'!D292</f>
        <v>27</v>
      </c>
    </row>
    <row r="31" spans="1:5" s="144" customFormat="1" x14ac:dyDescent="0.25">
      <c r="A31" s="250" t="s">
        <v>211</v>
      </c>
      <c r="B31" s="140">
        <f>'Formular 4 step Y1'!D313</f>
        <v>23</v>
      </c>
      <c r="C31" s="141">
        <f>'Formular 4 step Y1'!D314</f>
        <v>24</v>
      </c>
      <c r="D31" s="141">
        <f>'Formular 4 step Y1'!D315</f>
        <v>25</v>
      </c>
      <c r="E31" s="141">
        <f>'Formular 4 step Y1'!D316</f>
        <v>26</v>
      </c>
    </row>
    <row r="32" spans="1:5" s="144" customFormat="1" x14ac:dyDescent="0.25">
      <c r="A32" s="250" t="s">
        <v>212</v>
      </c>
      <c r="B32" s="141">
        <f>'Formular 4 step Y1'!D338</f>
        <v>46</v>
      </c>
      <c r="C32" s="141">
        <f>'Formular 4 step Y1'!D339</f>
        <v>47</v>
      </c>
      <c r="D32" s="141">
        <f>'Formular 4 step Y1'!D340</f>
        <v>48</v>
      </c>
      <c r="E32" s="141">
        <f>'Formular 4 step Y1'!D341</f>
        <v>50</v>
      </c>
    </row>
    <row r="33" spans="1:5" s="144" customFormat="1" x14ac:dyDescent="0.25">
      <c r="A33" s="250" t="s">
        <v>213</v>
      </c>
      <c r="B33" s="141">
        <f>'Formular 4 step Y1'!D888</f>
        <v>46.911608787999995</v>
      </c>
      <c r="C33" s="141">
        <f>'Formular 4 step Y1'!D889</f>
        <v>47.5</v>
      </c>
      <c r="D33" s="141">
        <f>'Formular 4 step Y1'!D890</f>
        <v>48.202753983999997</v>
      </c>
      <c r="E33" s="141">
        <f>'Formular 4 step Y1'!D891</f>
        <v>49.493899179999993</v>
      </c>
    </row>
    <row r="34" spans="1:5" s="144" customFormat="1" x14ac:dyDescent="0.25">
      <c r="A34" s="250" t="s">
        <v>214</v>
      </c>
      <c r="B34" s="141">
        <f>'Formular 4 step Y1'!D363</f>
        <v>28</v>
      </c>
      <c r="C34" s="141">
        <f>'Formular 4 step Y1'!D364</f>
        <v>29</v>
      </c>
      <c r="D34" s="141">
        <f>'Formular 4 step Y1'!D365</f>
        <v>31</v>
      </c>
      <c r="E34" s="141">
        <f>'Formular 4 step Y1'!D366</f>
        <v>32</v>
      </c>
    </row>
    <row r="35" spans="1:5" s="144" customFormat="1" x14ac:dyDescent="0.25">
      <c r="A35" s="250" t="s">
        <v>215</v>
      </c>
      <c r="B35" s="141">
        <f>'Formular 4 step Y1'!D388</f>
        <v>57</v>
      </c>
      <c r="C35" s="141">
        <f>'Formular 4 step Y1'!D389</f>
        <v>58</v>
      </c>
      <c r="D35" s="141">
        <f>'Formular 4 step Y1'!D390</f>
        <v>59</v>
      </c>
      <c r="E35" s="141">
        <f>'Formular 4 step Y1'!D391</f>
        <v>61</v>
      </c>
    </row>
    <row r="36" spans="1:5" s="144" customFormat="1" x14ac:dyDescent="0.25">
      <c r="A36" s="250" t="s">
        <v>216</v>
      </c>
      <c r="B36" s="141">
        <f>'Formular 4 step Y1'!D913</f>
        <v>63.55102428</v>
      </c>
      <c r="C36" s="141">
        <f>'Formular 4 step Y1'!D914</f>
        <v>64.5</v>
      </c>
      <c r="D36" s="141">
        <f>'Formular 4 step Y1'!D915</f>
        <v>65.300135040000001</v>
      </c>
      <c r="E36" s="141">
        <f>'Formular 4 step Y1'!D916</f>
        <v>67.049245799999994</v>
      </c>
    </row>
    <row r="37" spans="1:5" x14ac:dyDescent="0.25">
      <c r="A37" s="251" t="s">
        <v>84</v>
      </c>
      <c r="B37" s="151">
        <f>'Formular 4 step Y1'!D413</f>
        <v>189</v>
      </c>
      <c r="C37" s="151">
        <f>'Formular 4 step Y1'!D414</f>
        <v>190</v>
      </c>
      <c r="D37" s="151">
        <f>'Formular 4 step Y1'!D415</f>
        <v>195</v>
      </c>
      <c r="E37" s="151">
        <f>'Formular 4 step Y1'!D416</f>
        <v>200</v>
      </c>
    </row>
    <row r="38" spans="1:5" x14ac:dyDescent="0.25">
      <c r="A38" s="251" t="s">
        <v>85</v>
      </c>
      <c r="B38" s="151">
        <f>'Formular 4 step Y1'!D438</f>
        <v>260</v>
      </c>
      <c r="C38" s="151">
        <f>'Formular 4 step Y1'!D439</f>
        <v>262</v>
      </c>
      <c r="D38" s="151">
        <f>'Formular 4 step Y1'!D440</f>
        <v>264</v>
      </c>
      <c r="E38" s="151">
        <f>'Formular 4 step Y1'!D441</f>
        <v>266</v>
      </c>
    </row>
    <row r="39" spans="1:5" x14ac:dyDescent="0.25">
      <c r="A39" s="251" t="s">
        <v>86</v>
      </c>
      <c r="B39" s="151">
        <f>'Formular 4 step Y1'!D463</f>
        <v>319</v>
      </c>
      <c r="C39" s="151">
        <f>'Formular 4 step Y1'!D464</f>
        <v>321</v>
      </c>
      <c r="D39" s="151">
        <f>'Formular 4 step Y1'!D465</f>
        <v>323</v>
      </c>
      <c r="E39" s="151">
        <f>'Formular 4 step Y1'!D466</f>
        <v>325</v>
      </c>
    </row>
    <row r="40" spans="1:5" x14ac:dyDescent="0.25">
      <c r="A40" s="250" t="s">
        <v>87</v>
      </c>
      <c r="B40" s="141">
        <f>'Formular 4 step Y1'!D488</f>
        <v>771</v>
      </c>
      <c r="C40" s="141">
        <f>'Formular 4 step Y1'!D489</f>
        <v>773</v>
      </c>
      <c r="D40" s="141">
        <f>'Formular 4 step Y1'!D490</f>
        <v>778</v>
      </c>
      <c r="E40" s="141">
        <f>'Formular 4 step Y1'!D491</f>
        <v>783</v>
      </c>
    </row>
    <row r="41" spans="1:5" x14ac:dyDescent="0.25">
      <c r="A41" s="250" t="s">
        <v>88</v>
      </c>
      <c r="B41" s="141">
        <f>'Formular 4 step Y1'!D513</f>
        <v>257</v>
      </c>
      <c r="C41" s="141">
        <f>'Formular 4 step Y1'!D514</f>
        <v>259</v>
      </c>
      <c r="D41" s="141">
        <f>'Formular 4 step Y1'!D515</f>
        <v>262</v>
      </c>
      <c r="E41" s="141">
        <f>'Formular 4 step Y1'!D516</f>
        <v>264</v>
      </c>
    </row>
    <row r="42" spans="1:5" x14ac:dyDescent="0.25">
      <c r="A42" s="250" t="s">
        <v>89</v>
      </c>
      <c r="B42" s="141">
        <f>'Formular 4 step Y1'!D538</f>
        <v>321</v>
      </c>
      <c r="C42" s="141">
        <f>'Formular 4 step Y1'!D539</f>
        <v>323</v>
      </c>
      <c r="D42" s="141">
        <f>'Formular 4 step Y1'!D540</f>
        <v>326</v>
      </c>
      <c r="E42" s="141">
        <f>'Formular 4 step Y1'!D541</f>
        <v>328</v>
      </c>
    </row>
    <row r="43" spans="1:5" x14ac:dyDescent="0.25">
      <c r="A43" s="250" t="s">
        <v>90</v>
      </c>
      <c r="B43" s="141">
        <f>'Formular 4 step Y1'!D563</f>
        <v>385</v>
      </c>
      <c r="C43" s="141">
        <f>'Formular 4 step Y1'!D564</f>
        <v>387</v>
      </c>
      <c r="D43" s="141">
        <f>'Formular 4 step Y1'!D565</f>
        <v>389</v>
      </c>
      <c r="E43" s="141">
        <f>'Formular 4 step Y1'!D566</f>
        <v>391</v>
      </c>
    </row>
    <row r="44" spans="1:5" x14ac:dyDescent="0.25">
      <c r="A44" s="250" t="s">
        <v>91</v>
      </c>
      <c r="B44" s="141">
        <f>'Formular 4 step Y1'!D588</f>
        <v>967</v>
      </c>
      <c r="C44" s="141">
        <f>'Formular 4 step Y1'!D589</f>
        <v>977</v>
      </c>
      <c r="D44" s="141">
        <f>'Formular 4 step Y1'!D590</f>
        <v>982</v>
      </c>
      <c r="E44" s="141">
        <f>'Formular 4 step Y1'!D591</f>
        <v>987</v>
      </c>
    </row>
    <row r="45" spans="1:5" s="144" customFormat="1" x14ac:dyDescent="0.25">
      <c r="A45" s="250" t="s">
        <v>92</v>
      </c>
      <c r="B45" s="141">
        <f>'Formular 4 step Y1'!D613</f>
        <v>147.326525</v>
      </c>
      <c r="C45" s="141">
        <f>'Formular 4 step Y1'!D614</f>
        <v>148</v>
      </c>
      <c r="D45" s="141">
        <f>'Formular 4 step Y1'!D615</f>
        <v>149</v>
      </c>
      <c r="E45" s="141">
        <f>'Formular 4 step Y1'!D616</f>
        <v>151</v>
      </c>
    </row>
    <row r="46" spans="1:5" s="144" customFormat="1" x14ac:dyDescent="0.25">
      <c r="A46" s="250" t="s">
        <v>93</v>
      </c>
      <c r="B46" s="141">
        <f>'Formular 4 step Y1'!D638</f>
        <v>96</v>
      </c>
      <c r="C46" s="141">
        <f>'Formular 4 step Y1'!D639</f>
        <v>98</v>
      </c>
      <c r="D46" s="141">
        <f>'Formular 4 step Y1'!D640</f>
        <v>99</v>
      </c>
      <c r="E46" s="141">
        <f>'Formular 4 step Y1'!D641</f>
        <v>100</v>
      </c>
    </row>
    <row r="47" spans="1:5" s="144" customFormat="1" x14ac:dyDescent="0.25">
      <c r="A47" s="250" t="s">
        <v>94</v>
      </c>
      <c r="B47" s="141">
        <f>'Formular 4 step Y1'!D663</f>
        <v>182</v>
      </c>
      <c r="C47" s="141">
        <f>'Formular 4 step Y1'!D664</f>
        <v>183</v>
      </c>
      <c r="D47" s="141">
        <f>'Formular 4 step Y1'!D665</f>
        <v>185</v>
      </c>
      <c r="E47" s="141">
        <f>'Formular 4 step Y1'!D666</f>
        <v>187</v>
      </c>
    </row>
    <row r="48" spans="1:5" s="144" customFormat="1" x14ac:dyDescent="0.25">
      <c r="A48" s="250" t="s">
        <v>95</v>
      </c>
      <c r="B48" s="141">
        <f>'Formular 4 step Y1'!D688</f>
        <v>138</v>
      </c>
      <c r="C48" s="141">
        <f>'Formular 4 step Y1'!D689</f>
        <v>140</v>
      </c>
      <c r="D48" s="141">
        <f>'Formular 4 step Y1'!D690</f>
        <v>142</v>
      </c>
      <c r="E48" s="141">
        <f>'Formular 4 step Y1'!D691</f>
        <v>145</v>
      </c>
    </row>
    <row r="49" spans="1:5" s="133" customFormat="1" x14ac:dyDescent="0.25">
      <c r="A49" s="258" t="s">
        <v>234</v>
      </c>
      <c r="B49" s="321">
        <f>'Formular 4 step Y1'!D713</f>
        <v>264</v>
      </c>
      <c r="C49" s="321">
        <f>'Formular 4 step Y1'!D714</f>
        <v>265</v>
      </c>
      <c r="D49" s="321">
        <f>'Formular 4 step Y1'!D715</f>
        <v>266</v>
      </c>
      <c r="E49" s="321">
        <f>'Formular 4 step Y1'!D716</f>
        <v>267</v>
      </c>
    </row>
    <row r="50" spans="1:5" s="144" customFormat="1" x14ac:dyDescent="0.25">
      <c r="A50" s="250"/>
      <c r="B50" s="140"/>
      <c r="C50" s="141"/>
      <c r="D50" s="141"/>
      <c r="E50" s="141"/>
    </row>
    <row r="51" spans="1:5" x14ac:dyDescent="0.25">
      <c r="A51" s="250"/>
      <c r="B51" s="140"/>
      <c r="C51" s="141"/>
      <c r="D51" s="141"/>
      <c r="E51" s="141"/>
    </row>
    <row r="52" spans="1:5" ht="20" thickBot="1" x14ac:dyDescent="0.3">
      <c r="A52" s="252"/>
      <c r="B52" s="149"/>
      <c r="C52" s="149"/>
      <c r="D52" s="149"/>
      <c r="E52" s="149"/>
    </row>
    <row r="53" spans="1:5" ht="7.5" customHeight="1" thickTop="1" thickBot="1" x14ac:dyDescent="0.3">
      <c r="B53" s="166"/>
      <c r="C53" s="167"/>
      <c r="D53" s="167"/>
      <c r="E53" s="167"/>
    </row>
    <row r="54" spans="1:5" ht="24.75" customHeight="1" thickTop="1" x14ac:dyDescent="0.25">
      <c r="A54" s="253" t="s">
        <v>71</v>
      </c>
      <c r="B54" s="172"/>
      <c r="C54" s="164"/>
      <c r="D54" s="164" t="s">
        <v>5</v>
      </c>
      <c r="E54" s="165"/>
    </row>
    <row r="55" spans="1:5" ht="21" x14ac:dyDescent="0.25">
      <c r="A55" s="425" t="s">
        <v>83</v>
      </c>
      <c r="B55" s="300"/>
      <c r="C55" s="301" t="s">
        <v>79</v>
      </c>
      <c r="D55" s="301" t="s">
        <v>80</v>
      </c>
      <c r="E55" s="302" t="s">
        <v>81</v>
      </c>
    </row>
    <row r="56" spans="1:5" s="12" customFormat="1" ht="20" thickBot="1" x14ac:dyDescent="0.3">
      <c r="A56" s="426"/>
      <c r="B56" s="303" t="s">
        <v>142</v>
      </c>
      <c r="C56" s="298" t="s">
        <v>143</v>
      </c>
      <c r="D56" s="298" t="s">
        <v>144</v>
      </c>
      <c r="E56" s="299" t="s">
        <v>145</v>
      </c>
    </row>
    <row r="57" spans="1:5" s="133" customFormat="1" ht="20" thickTop="1" x14ac:dyDescent="0.25">
      <c r="A57" s="292" t="s">
        <v>172</v>
      </c>
      <c r="B57" s="293">
        <f>'สูตร 4 step SB'!D13</f>
        <v>156</v>
      </c>
      <c r="C57" s="293">
        <f>'สูตร 4 step SB'!D14</f>
        <v>159</v>
      </c>
      <c r="D57" s="293">
        <f>'สูตร 4 step SB'!D15</f>
        <v>161</v>
      </c>
      <c r="E57" s="293">
        <f>'สูตร 4 step SB'!D16</f>
        <v>163</v>
      </c>
    </row>
    <row r="58" spans="1:5" s="133" customFormat="1" x14ac:dyDescent="0.25">
      <c r="A58" s="258" t="s">
        <v>173</v>
      </c>
      <c r="B58" s="118">
        <f>'สูตร 4 step SB'!D41</f>
        <v>79</v>
      </c>
      <c r="C58" s="118">
        <f>'สูตร 4 step SB'!D42</f>
        <v>81</v>
      </c>
      <c r="D58" s="118">
        <f>'สูตร 4 step SB'!D43</f>
        <v>82</v>
      </c>
      <c r="E58" s="118">
        <f>'สูตร 4 step SB'!D44</f>
        <v>83</v>
      </c>
    </row>
    <row r="59" spans="1:5" s="133" customFormat="1" x14ac:dyDescent="0.25">
      <c r="A59" s="258" t="s">
        <v>174</v>
      </c>
      <c r="B59" s="118">
        <f>'สูตร 4 step SB'!D68</f>
        <v>78</v>
      </c>
      <c r="C59" s="118">
        <f>'สูตร 4 step SB'!D69</f>
        <v>80</v>
      </c>
      <c r="D59" s="118">
        <f>'สูตร 4 step SB'!D70</f>
        <v>81</v>
      </c>
      <c r="E59" s="118">
        <f>'สูตร 4 step SB'!D71</f>
        <v>83</v>
      </c>
    </row>
    <row r="60" spans="1:5" s="133" customFormat="1" x14ac:dyDescent="0.25">
      <c r="A60" s="258" t="s">
        <v>175</v>
      </c>
      <c r="B60" s="293">
        <f>'สูตร 4 step SB'!D344</f>
        <v>43</v>
      </c>
      <c r="C60" s="118">
        <f>'สูตร 4 step SB'!D345</f>
        <v>44</v>
      </c>
      <c r="D60" s="118">
        <f>'สูตร 4 step SB'!D346</f>
        <v>45</v>
      </c>
      <c r="E60" s="118">
        <f>'สูตร 4 step SB'!D347</f>
        <v>46</v>
      </c>
    </row>
    <row r="61" spans="1:5" s="133" customFormat="1" x14ac:dyDescent="0.25">
      <c r="A61" s="258" t="s">
        <v>176</v>
      </c>
      <c r="B61" s="293">
        <f>'สูตร 4 step SB'!D96</f>
        <v>237</v>
      </c>
      <c r="C61" s="118">
        <f>'สูตร 4 step SB'!D97</f>
        <v>241</v>
      </c>
      <c r="D61" s="118">
        <f>'สูตร 4 step SB'!D98</f>
        <v>243</v>
      </c>
      <c r="E61" s="118">
        <f>'สูตร 4 step SB'!D99</f>
        <v>245</v>
      </c>
    </row>
    <row r="62" spans="1:5" s="133" customFormat="1" x14ac:dyDescent="0.25">
      <c r="A62" s="258" t="s">
        <v>177</v>
      </c>
      <c r="B62" s="118">
        <f>'สูตร 4 step SB'!D124</f>
        <v>331</v>
      </c>
      <c r="C62" s="118">
        <f>'สูตร 4 step SB'!D125</f>
        <v>336</v>
      </c>
      <c r="D62" s="118">
        <f>'สูตร 4 step SB'!D126</f>
        <v>341</v>
      </c>
      <c r="E62" s="118">
        <f>'สูตร 4 step SB'!D127</f>
        <v>345</v>
      </c>
    </row>
    <row r="63" spans="1:5" s="133" customFormat="1" x14ac:dyDescent="0.25">
      <c r="A63" s="258" t="s">
        <v>178</v>
      </c>
      <c r="B63" s="118">
        <f>'สูตร 4 step SB'!D152</f>
        <v>474</v>
      </c>
      <c r="C63" s="118">
        <f>'สูตร 4 step SB'!D153</f>
        <v>479</v>
      </c>
      <c r="D63" s="118">
        <f>'สูตร 4 step SB'!D154</f>
        <v>484</v>
      </c>
      <c r="E63" s="118">
        <f>'สูตร 4 step SB'!D155</f>
        <v>489</v>
      </c>
    </row>
    <row r="64" spans="1:5" s="133" customFormat="1" x14ac:dyDescent="0.25">
      <c r="A64" s="258" t="s">
        <v>179</v>
      </c>
      <c r="B64" s="293">
        <f>'สูตร 4 step SB'!D179</f>
        <v>575</v>
      </c>
      <c r="C64" s="118">
        <f>'สูตร 4 step SB'!D180</f>
        <v>580</v>
      </c>
      <c r="D64" s="118">
        <f>'สูตร 4 step SB'!D181</f>
        <v>585</v>
      </c>
      <c r="E64" s="118">
        <f>'สูตร 4 step SB'!D182</f>
        <v>590</v>
      </c>
    </row>
    <row r="65" spans="1:10" s="133" customFormat="1" x14ac:dyDescent="0.25">
      <c r="A65" s="266" t="s">
        <v>180</v>
      </c>
      <c r="B65" s="305">
        <f>'สูตร 4 step SB'!D645</f>
        <v>660</v>
      </c>
      <c r="C65" s="236">
        <f>'สูตร 4 step SB'!D646</f>
        <v>670</v>
      </c>
      <c r="D65" s="236">
        <f>'สูตร 4 step SB'!D647</f>
        <v>680</v>
      </c>
      <c r="E65" s="236">
        <f>'สูตร 4 step SB'!D648</f>
        <v>685</v>
      </c>
    </row>
    <row r="66" spans="1:10" s="133" customFormat="1" x14ac:dyDescent="0.25">
      <c r="A66" s="266" t="s">
        <v>181</v>
      </c>
      <c r="B66" s="305">
        <f>'สูตร 4 step SB'!D672</f>
        <v>698</v>
      </c>
      <c r="C66" s="236">
        <f>'สูตร 4 step SB'!D673</f>
        <v>708</v>
      </c>
      <c r="D66" s="236">
        <f>'สูตร 4 step SB'!D674</f>
        <v>718</v>
      </c>
      <c r="E66" s="236">
        <f>'สูตร 4 step SB'!D675</f>
        <v>728</v>
      </c>
    </row>
    <row r="67" spans="1:10" s="133" customFormat="1" x14ac:dyDescent="0.25">
      <c r="A67" s="266" t="s">
        <v>182</v>
      </c>
      <c r="B67" s="305">
        <f>'สูตร 4 step SB'!D699</f>
        <v>787</v>
      </c>
      <c r="C67" s="236">
        <f>'สูตร 4 step SB'!D700</f>
        <v>797</v>
      </c>
      <c r="D67" s="236">
        <f>'สูตร 4 step SB'!D701</f>
        <v>817</v>
      </c>
      <c r="E67" s="236">
        <f>'สูตร 4 step SB'!D702</f>
        <v>827</v>
      </c>
    </row>
    <row r="68" spans="1:10" s="133" customFormat="1" x14ac:dyDescent="0.25">
      <c r="A68" s="266" t="s">
        <v>183</v>
      </c>
      <c r="B68" s="305">
        <f>'สูตร 4 step SB'!D726</f>
        <v>882</v>
      </c>
      <c r="C68" s="236">
        <f>'สูตร 4 step SB'!D727</f>
        <v>892</v>
      </c>
      <c r="D68" s="236">
        <f>'สูตร 4 step SB'!D728</f>
        <v>907</v>
      </c>
      <c r="E68" s="236">
        <f>'สูตร 4 step SB'!D729</f>
        <v>922</v>
      </c>
    </row>
    <row r="69" spans="1:10" s="133" customFormat="1" x14ac:dyDescent="0.25">
      <c r="A69" s="258" t="s">
        <v>184</v>
      </c>
      <c r="B69" s="293">
        <f>'สูตร 4 step SB'!D206</f>
        <v>425</v>
      </c>
      <c r="C69" s="118">
        <f>'สูตร 4 step SB'!D207</f>
        <v>430</v>
      </c>
      <c r="D69" s="118">
        <f>'สูตร 4 step SB'!D208</f>
        <v>435</v>
      </c>
      <c r="E69" s="118">
        <f>'สูตร 4 step SB'!D209</f>
        <v>440</v>
      </c>
    </row>
    <row r="70" spans="1:10" s="133" customFormat="1" x14ac:dyDescent="0.25">
      <c r="A70" s="258" t="s">
        <v>185</v>
      </c>
      <c r="B70" s="118">
        <f>'สูตร 4 step SB'!D234</f>
        <v>53</v>
      </c>
      <c r="C70" s="118">
        <f>'สูตร 4 step SB'!D235</f>
        <v>54</v>
      </c>
      <c r="D70" s="118">
        <f>'สูตร 4 step SB'!D236</f>
        <v>55</v>
      </c>
      <c r="E70" s="118">
        <f>'สูตร 4 step SB'!D237</f>
        <v>56</v>
      </c>
    </row>
    <row r="71" spans="1:10" s="133" customFormat="1" x14ac:dyDescent="0.25">
      <c r="A71" s="258" t="s">
        <v>186</v>
      </c>
      <c r="B71" s="118">
        <f>'สูตร 4 step SB'!D262</f>
        <v>49</v>
      </c>
      <c r="C71" s="118">
        <f>'สูตร 4 step SB'!D263</f>
        <v>50</v>
      </c>
      <c r="D71" s="118">
        <f>'สูตร 4 step SB'!D264</f>
        <v>51</v>
      </c>
      <c r="E71" s="118">
        <f>'สูตร 4 step SB'!D265</f>
        <v>52</v>
      </c>
    </row>
    <row r="72" spans="1:10" s="133" customFormat="1" x14ac:dyDescent="0.25">
      <c r="A72" s="258" t="s">
        <v>187</v>
      </c>
      <c r="B72" s="293">
        <f>'สูตร 4 step SB'!D618</f>
        <v>68</v>
      </c>
      <c r="C72" s="118">
        <f>'สูตร 4 step SB'!D619</f>
        <v>69</v>
      </c>
      <c r="D72" s="118">
        <f>'สูตร 4 step SB'!D620</f>
        <v>70</v>
      </c>
      <c r="E72" s="118">
        <f>'สูตร 4 step SB'!D621</f>
        <v>71</v>
      </c>
    </row>
    <row r="73" spans="1:10" s="133" customFormat="1" x14ac:dyDescent="0.25">
      <c r="A73" s="258" t="s">
        <v>188</v>
      </c>
      <c r="B73" s="293">
        <f>'สูตร 4 step SB'!D290</f>
        <v>56</v>
      </c>
      <c r="C73" s="118">
        <f>'สูตร 4 step SB'!D291</f>
        <v>57</v>
      </c>
      <c r="D73" s="118">
        <f>'สูตร 4 step SB'!D292</f>
        <v>58</v>
      </c>
      <c r="E73" s="118">
        <f>'สูตร 4 step SB'!D293</f>
        <v>59</v>
      </c>
    </row>
    <row r="74" spans="1:10" s="133" customFormat="1" x14ac:dyDescent="0.25">
      <c r="A74" s="258" t="s">
        <v>189</v>
      </c>
      <c r="B74" s="118">
        <f>'สูตร 4 step SB'!D318</f>
        <v>75</v>
      </c>
      <c r="C74" s="118">
        <f>'สูตร 4 step SB'!D319</f>
        <v>77</v>
      </c>
      <c r="D74" s="118">
        <f>'สูตร 4 step SB'!D320</f>
        <v>78</v>
      </c>
      <c r="E74" s="118">
        <f>'สูตร 4 step SB'!D321</f>
        <v>80</v>
      </c>
    </row>
    <row r="75" spans="1:10" s="144" customFormat="1" x14ac:dyDescent="0.25">
      <c r="A75" s="250"/>
      <c r="B75" s="141"/>
      <c r="C75" s="141"/>
      <c r="D75" s="141"/>
      <c r="E75" s="141"/>
      <c r="H75" s="289"/>
      <c r="J75" s="289"/>
    </row>
    <row r="76" spans="1:10" s="144" customFormat="1" x14ac:dyDescent="0.25">
      <c r="A76" s="250" t="s">
        <v>41</v>
      </c>
      <c r="B76" s="141">
        <f>'สูตร 4 step SB'!D426</f>
        <v>116</v>
      </c>
      <c r="C76" s="141">
        <f>'สูตร 4 step SB'!D427</f>
        <v>118</v>
      </c>
      <c r="D76" s="141">
        <f>'สูตร 4 step SB'!D428</f>
        <v>120</v>
      </c>
      <c r="E76" s="141">
        <f>'สูตร 4 step SB'!D429</f>
        <v>122</v>
      </c>
      <c r="H76" s="290"/>
    </row>
    <row r="77" spans="1:10" s="144" customFormat="1" x14ac:dyDescent="0.25">
      <c r="A77" s="250" t="s">
        <v>42</v>
      </c>
      <c r="B77" s="140">
        <f>'สูตร 4 step SB'!D454</f>
        <v>59</v>
      </c>
      <c r="C77" s="141">
        <f>'สูตร 4 step SB'!D455</f>
        <v>60</v>
      </c>
      <c r="D77" s="141">
        <f>'สูตร 4 step SB'!D456</f>
        <v>61</v>
      </c>
      <c r="E77" s="141">
        <f>'สูตร 4 step SB'!D457</f>
        <v>62</v>
      </c>
    </row>
    <row r="78" spans="1:10" s="144" customFormat="1" x14ac:dyDescent="0.25">
      <c r="A78" s="250" t="s">
        <v>43</v>
      </c>
      <c r="B78" s="141">
        <f>'สูตร 4 step SB'!D481</f>
        <v>59</v>
      </c>
      <c r="C78" s="141">
        <f>'สูตร 4 step SB'!D482</f>
        <v>60</v>
      </c>
      <c r="D78" s="141">
        <f>'สูตร 4 step SB'!D483</f>
        <v>61</v>
      </c>
      <c r="E78" s="141">
        <f>'สูตร 4 step SB'!D484</f>
        <v>62</v>
      </c>
    </row>
    <row r="79" spans="1:10" s="144" customFormat="1" x14ac:dyDescent="0.25">
      <c r="A79" s="250" t="s">
        <v>44</v>
      </c>
      <c r="B79" s="141">
        <f>'สูตร 4 step SB'!D509</f>
        <v>176</v>
      </c>
      <c r="C79" s="141">
        <f>'สูตร 4 step SB'!D510</f>
        <v>179</v>
      </c>
      <c r="D79" s="141">
        <f>'สูตร 4 step SB'!D511</f>
        <v>181</v>
      </c>
      <c r="E79" s="141">
        <f>'สูตร 4 step SB'!D512</f>
        <v>183</v>
      </c>
    </row>
    <row r="80" spans="1:10" s="144" customFormat="1" x14ac:dyDescent="0.25">
      <c r="A80" s="250" t="s">
        <v>112</v>
      </c>
      <c r="B80" s="141">
        <f>'สูตร 4 step SB'!D591</f>
        <v>271</v>
      </c>
      <c r="C80" s="141">
        <f>'สูตร 4 step SB'!D592</f>
        <v>275</v>
      </c>
      <c r="D80" s="141">
        <f>'สูตร 4 step SB'!D593</f>
        <v>277</v>
      </c>
      <c r="E80" s="141">
        <f>'สูตร 4 step SB'!D594</f>
        <v>279</v>
      </c>
    </row>
    <row r="81" spans="1:5" s="144" customFormat="1" x14ac:dyDescent="0.25">
      <c r="A81" s="250" t="s">
        <v>221</v>
      </c>
      <c r="B81" s="141">
        <f>'สูตร 4 step SB'!D1198</f>
        <v>533</v>
      </c>
      <c r="C81" s="141">
        <f>'สูตร 4 step SB'!D1199</f>
        <v>543</v>
      </c>
      <c r="D81" s="141">
        <f>'สูตร 4 step SB'!D1200</f>
        <v>553</v>
      </c>
      <c r="E81" s="141">
        <f>'สูตร 4 step SB'!D1201</f>
        <v>563</v>
      </c>
    </row>
    <row r="82" spans="1:5" s="144" customFormat="1" x14ac:dyDescent="0.25">
      <c r="A82" s="250" t="s">
        <v>222</v>
      </c>
      <c r="B82" s="141"/>
      <c r="C82" s="141"/>
      <c r="D82" s="141"/>
      <c r="E82" s="141"/>
    </row>
    <row r="83" spans="1:5" s="144" customFormat="1" x14ac:dyDescent="0.25">
      <c r="A83" s="250"/>
      <c r="B83" s="141"/>
      <c r="C83" s="141"/>
      <c r="D83" s="141"/>
      <c r="E83" s="141"/>
    </row>
    <row r="84" spans="1:5" s="144" customFormat="1" x14ac:dyDescent="0.25">
      <c r="A84" s="250" t="s">
        <v>167</v>
      </c>
      <c r="B84" s="141">
        <f>'สูตร 4 step SB'!D370</f>
        <v>45</v>
      </c>
      <c r="C84" s="141">
        <f>'สูตร 4 step SB'!D371</f>
        <v>46</v>
      </c>
      <c r="D84" s="141">
        <f>'สูตร 4 step SB'!D372</f>
        <v>47</v>
      </c>
      <c r="E84" s="141">
        <f>'สูตร 4 step SB'!D373</f>
        <v>48</v>
      </c>
    </row>
    <row r="85" spans="1:5" s="144" customFormat="1" x14ac:dyDescent="0.25">
      <c r="A85" s="254" t="s">
        <v>168</v>
      </c>
      <c r="B85" s="186">
        <f>'สูตร 4 step SB'!D398</f>
        <v>38</v>
      </c>
      <c r="C85" s="186">
        <f>'สูตร 4 step SB'!D399</f>
        <v>39</v>
      </c>
      <c r="D85" s="186">
        <f>'สูตร 4 step SB'!D400</f>
        <v>40</v>
      </c>
      <c r="E85" s="186">
        <f>'สูตร 4 step SB'!D401</f>
        <v>41</v>
      </c>
    </row>
    <row r="86" spans="1:5" s="144" customFormat="1" x14ac:dyDescent="0.25">
      <c r="A86" s="254" t="s">
        <v>169</v>
      </c>
      <c r="B86" s="186">
        <f>'สูตร 4 step SB'!D1143</f>
        <v>48</v>
      </c>
      <c r="C86" s="186">
        <f>'สูตร 4 step SB'!D1144</f>
        <v>49</v>
      </c>
      <c r="D86" s="186">
        <f>'สูตร 4 step SB'!D1145</f>
        <v>50</v>
      </c>
      <c r="E86" s="186">
        <f>'สูตร 4 step SB'!D1146</f>
        <v>52</v>
      </c>
    </row>
    <row r="87" spans="1:5" s="144" customFormat="1" x14ac:dyDescent="0.25">
      <c r="A87" s="250" t="s">
        <v>170</v>
      </c>
      <c r="B87" s="141">
        <f>'สูตร 4 step SB'!D536</f>
        <v>29</v>
      </c>
      <c r="C87" s="141">
        <f>'สูตร 4 step SB'!D537</f>
        <v>30</v>
      </c>
      <c r="D87" s="141">
        <f>'สูตร 4 step SB'!D538</f>
        <v>31</v>
      </c>
      <c r="E87" s="141">
        <f>'สูตร 4 step SB'!D539</f>
        <v>32</v>
      </c>
    </row>
    <row r="88" spans="1:5" s="144" customFormat="1" x14ac:dyDescent="0.25">
      <c r="A88" s="254" t="s">
        <v>171</v>
      </c>
      <c r="B88" s="186">
        <f>'สูตร 4 step SB'!D564</f>
        <v>31</v>
      </c>
      <c r="C88" s="186">
        <f>'สูตร 4 step SB'!D565</f>
        <v>32</v>
      </c>
      <c r="D88" s="186">
        <f>'สูตร 4 step SB'!D566</f>
        <v>33</v>
      </c>
      <c r="E88" s="186">
        <f>'สูตร 4 step SB'!D567</f>
        <v>34</v>
      </c>
    </row>
    <row r="89" spans="1:5" s="144" customFormat="1" x14ac:dyDescent="0.25">
      <c r="A89" s="254"/>
      <c r="B89" s="186"/>
      <c r="C89" s="186"/>
      <c r="D89" s="186"/>
      <c r="E89" s="186"/>
    </row>
    <row r="90" spans="1:5" s="144" customFormat="1" x14ac:dyDescent="0.25">
      <c r="A90" s="255" t="s">
        <v>141</v>
      </c>
      <c r="B90" s="141">
        <f>'สูตร 4 step SB'!D753</f>
        <v>43</v>
      </c>
      <c r="C90" s="141">
        <f>'สูตร 4 step SB'!D754</f>
        <v>44</v>
      </c>
      <c r="D90" s="141">
        <f>'สูตร 4 step SB'!D755</f>
        <v>45</v>
      </c>
      <c r="E90" s="141">
        <f>'สูตร 4 step SB'!D756</f>
        <v>46</v>
      </c>
    </row>
    <row r="91" spans="1:5" s="144" customFormat="1" x14ac:dyDescent="0.25">
      <c r="A91" s="255" t="s">
        <v>161</v>
      </c>
      <c r="B91" s="141">
        <f>'สูตร 4 step SB'!D975</f>
        <v>58</v>
      </c>
      <c r="C91" s="141">
        <f>'สูตร 4 step SB'!D976</f>
        <v>59</v>
      </c>
      <c r="D91" s="141">
        <f>'สูตร 4 step SB'!D977</f>
        <v>60</v>
      </c>
      <c r="E91" s="141">
        <f>'สูตร 4 step SB'!D978</f>
        <v>61</v>
      </c>
    </row>
    <row r="92" spans="1:5" s="144" customFormat="1" x14ac:dyDescent="0.25">
      <c r="A92" s="255" t="s">
        <v>140</v>
      </c>
      <c r="B92" s="141">
        <f>'สูตร 4 step SB'!D1003</f>
        <v>58</v>
      </c>
      <c r="C92" s="141">
        <f>'สูตร 4 step SB'!D1001</f>
        <v>54.207727272727269</v>
      </c>
      <c r="D92" s="141">
        <f>'สูตร 4 step SB'!D1003</f>
        <v>58</v>
      </c>
      <c r="E92" s="141">
        <f>'สูตร 4 step SB'!D1004</f>
        <v>59</v>
      </c>
    </row>
    <row r="93" spans="1:5" s="144" customFormat="1" x14ac:dyDescent="0.25">
      <c r="A93" s="255" t="s">
        <v>162</v>
      </c>
      <c r="B93" s="141">
        <f>'สูตร 4 step SB'!D1031</f>
        <v>76</v>
      </c>
      <c r="C93" s="141">
        <f>'สูตร 4 step SB'!D1032</f>
        <v>77</v>
      </c>
      <c r="D93" s="141">
        <f>'สูตร 4 step SB'!D1033</f>
        <v>78</v>
      </c>
      <c r="E93" s="141">
        <f>'สูตร 4 step SB'!D1034</f>
        <v>79</v>
      </c>
    </row>
    <row r="94" spans="1:5" s="144" customFormat="1" x14ac:dyDescent="0.25">
      <c r="A94" s="255" t="s">
        <v>163</v>
      </c>
      <c r="B94" s="141">
        <f>'สูตร 4 step SB'!D1059</f>
        <v>185</v>
      </c>
      <c r="C94" s="141">
        <f>'สูตร 4 step SB'!D1060</f>
        <v>188</v>
      </c>
      <c r="D94" s="141">
        <f>'สูตร 4 step SB'!D1061</f>
        <v>190</v>
      </c>
      <c r="E94" s="141">
        <f>'สูตร 4 step SB'!D1062</f>
        <v>192</v>
      </c>
    </row>
    <row r="95" spans="1:5" s="144" customFormat="1" x14ac:dyDescent="0.25">
      <c r="A95" s="255" t="s">
        <v>164</v>
      </c>
      <c r="B95" s="141">
        <f>'สูตร 4 step SB'!D1087</f>
        <v>278</v>
      </c>
      <c r="C95" s="141">
        <f>'สูตร 4 step SB'!D1088</f>
        <v>282</v>
      </c>
      <c r="D95" s="141">
        <f>'สูตร 4 step SB'!D1089</f>
        <v>285</v>
      </c>
      <c r="E95" s="141">
        <f>'สูตร 4 step SB'!D1090</f>
        <v>288</v>
      </c>
    </row>
    <row r="96" spans="1:5" s="144" customFormat="1" x14ac:dyDescent="0.25">
      <c r="A96" s="255" t="s">
        <v>165</v>
      </c>
      <c r="B96" s="141">
        <f>'สูตร 4 step SB'!D1115</f>
        <v>368</v>
      </c>
      <c r="C96" s="141">
        <f>'สูตร 4 step SB'!D1116</f>
        <v>373</v>
      </c>
      <c r="D96" s="141">
        <f>'สูตร 4 step SB'!D1117</f>
        <v>378</v>
      </c>
      <c r="E96" s="141">
        <f>'สูตร 4 step SB'!D1118</f>
        <v>383</v>
      </c>
    </row>
    <row r="97" spans="1:5" s="144" customFormat="1" x14ac:dyDescent="0.25">
      <c r="A97" s="255"/>
      <c r="B97" s="141"/>
      <c r="C97" s="141"/>
      <c r="D97" s="141"/>
      <c r="E97" s="141"/>
    </row>
    <row r="98" spans="1:5" s="144" customFormat="1" x14ac:dyDescent="0.25">
      <c r="A98" s="255" t="s">
        <v>148</v>
      </c>
      <c r="B98" s="141">
        <f>'สูตร 4 step SB'!D807</f>
        <v>339</v>
      </c>
      <c r="C98" s="141">
        <f>'สูตร 4 step SB'!D808</f>
        <v>344</v>
      </c>
      <c r="D98" s="141">
        <f>'สูตร 4 step SB'!D809</f>
        <v>349</v>
      </c>
      <c r="E98" s="141">
        <f>'สูตร 4 step SB'!D810</f>
        <v>354</v>
      </c>
    </row>
    <row r="99" spans="1:5" s="144" customFormat="1" x14ac:dyDescent="0.25">
      <c r="A99" s="255" t="s">
        <v>149</v>
      </c>
      <c r="B99" s="141">
        <f>'สูตร 4 step SB'!D835</f>
        <v>411</v>
      </c>
      <c r="C99" s="141">
        <f>'สูตร 4 step SB'!D836</f>
        <v>416</v>
      </c>
      <c r="D99" s="141">
        <f>'สูตร 4 step SB'!D837</f>
        <v>421</v>
      </c>
      <c r="E99" s="141">
        <f>'สูตร 4 step SB'!D838</f>
        <v>426</v>
      </c>
    </row>
    <row r="100" spans="1:5" s="144" customFormat="1" x14ac:dyDescent="0.25">
      <c r="A100" s="255" t="s">
        <v>150</v>
      </c>
      <c r="B100" s="141">
        <f>'สูตร 4 step SB'!D863</f>
        <v>473</v>
      </c>
      <c r="C100" s="141">
        <f>'สูตร 4 step SB'!D864</f>
        <v>478</v>
      </c>
      <c r="D100" s="141">
        <f>'สูตร 4 step SB'!D865</f>
        <v>483</v>
      </c>
      <c r="E100" s="141">
        <f>'สูตร 4 step SB'!D866</f>
        <v>488</v>
      </c>
    </row>
    <row r="101" spans="1:5" s="144" customFormat="1" x14ac:dyDescent="0.25">
      <c r="A101" s="255" t="s">
        <v>151</v>
      </c>
      <c r="B101" s="141">
        <f>'สูตร 4 step SB'!D891</f>
        <v>567</v>
      </c>
      <c r="C101" s="141">
        <f>'สูตร 4 step SB'!D892</f>
        <v>572</v>
      </c>
      <c r="D101" s="141">
        <f>'สูตร 4 step SB'!D893</f>
        <v>577</v>
      </c>
      <c r="E101" s="141">
        <f>'สูตร 4 step SB'!D894</f>
        <v>582</v>
      </c>
    </row>
    <row r="102" spans="1:5" s="144" customFormat="1" x14ac:dyDescent="0.25">
      <c r="A102" s="255" t="s">
        <v>152</v>
      </c>
      <c r="B102" s="141">
        <f>'สูตร 4 step SB'!D919</f>
        <v>683</v>
      </c>
      <c r="C102" s="141">
        <f>'สูตร 4 step SB'!D920</f>
        <v>688</v>
      </c>
      <c r="D102" s="141">
        <f>'สูตร 4 step SB'!D921</f>
        <v>693</v>
      </c>
      <c r="E102" s="141">
        <f>'สูตร 4 step SB'!D922</f>
        <v>698</v>
      </c>
    </row>
    <row r="103" spans="1:5" s="144" customFormat="1" x14ac:dyDescent="0.25">
      <c r="A103" s="255" t="s">
        <v>153</v>
      </c>
      <c r="B103" s="141">
        <f>'สูตร 4 step SB'!D947</f>
        <v>802</v>
      </c>
      <c r="C103" s="141">
        <f>'สูตร 4 step SB'!D948</f>
        <v>807</v>
      </c>
      <c r="D103" s="141">
        <f>'สูตร 4 step SB'!D949</f>
        <v>812</v>
      </c>
      <c r="E103" s="141">
        <f>'สูตร 4 step SB'!D950</f>
        <v>817</v>
      </c>
    </row>
    <row r="104" spans="1:5" s="144" customFormat="1" x14ac:dyDescent="0.25">
      <c r="A104" s="255"/>
      <c r="B104" s="141"/>
      <c r="C104" s="141"/>
      <c r="D104" s="141"/>
      <c r="E104" s="141"/>
    </row>
    <row r="105" spans="1:5" s="144" customFormat="1" x14ac:dyDescent="0.25">
      <c r="A105" s="255"/>
      <c r="B105" s="141"/>
      <c r="C105" s="141"/>
      <c r="D105" s="141"/>
      <c r="E105" s="141"/>
    </row>
    <row r="106" spans="1:5" s="144" customFormat="1" x14ac:dyDescent="0.25">
      <c r="A106" s="255"/>
      <c r="B106" s="141"/>
      <c r="C106" s="141"/>
      <c r="D106" s="141"/>
      <c r="E106" s="141"/>
    </row>
    <row r="107" spans="1:5" s="144" customFormat="1" x14ac:dyDescent="0.25">
      <c r="A107" s="255"/>
      <c r="B107" s="141"/>
      <c r="C107" s="141"/>
      <c r="D107" s="141"/>
      <c r="E107" s="141"/>
    </row>
    <row r="108" spans="1:5" s="144" customFormat="1" x14ac:dyDescent="0.25">
      <c r="A108" s="255"/>
      <c r="B108" s="141"/>
      <c r="C108" s="141"/>
      <c r="D108" s="141"/>
      <c r="E108" s="141"/>
    </row>
    <row r="109" spans="1:5" s="144" customFormat="1" x14ac:dyDescent="0.25">
      <c r="A109" s="255"/>
      <c r="B109" s="141"/>
      <c r="C109" s="141"/>
      <c r="D109" s="141"/>
      <c r="E109" s="141"/>
    </row>
    <row r="110" spans="1:5" s="144" customFormat="1" x14ac:dyDescent="0.25">
      <c r="A110" s="255"/>
      <c r="B110" s="141"/>
      <c r="C110" s="141"/>
      <c r="D110" s="141"/>
      <c r="E110" s="141"/>
    </row>
    <row r="111" spans="1:5" s="144" customFormat="1" x14ac:dyDescent="0.25">
      <c r="A111" s="255"/>
      <c r="B111" s="141"/>
      <c r="C111" s="141"/>
      <c r="D111" s="141"/>
      <c r="E111" s="141"/>
    </row>
    <row r="112" spans="1:5" s="144" customFormat="1" x14ac:dyDescent="0.25">
      <c r="A112" s="255"/>
      <c r="B112" s="141"/>
      <c r="C112" s="141"/>
      <c r="D112" s="141"/>
      <c r="E112" s="141"/>
    </row>
    <row r="113" spans="1:8" s="144" customFormat="1" ht="20" thickBot="1" x14ac:dyDescent="0.3">
      <c r="A113" s="256"/>
      <c r="B113" s="149"/>
      <c r="C113" s="149"/>
      <c r="D113" s="149"/>
      <c r="E113" s="149"/>
    </row>
    <row r="114" spans="1:8" s="144" customFormat="1" ht="20" thickTop="1" x14ac:dyDescent="0.25">
      <c r="B114" s="167"/>
      <c r="C114" s="167"/>
      <c r="D114" s="167"/>
      <c r="E114" s="167"/>
    </row>
    <row r="115" spans="1:8" ht="27" thickBot="1" x14ac:dyDescent="0.35">
      <c r="A115" s="257" t="s">
        <v>119</v>
      </c>
      <c r="B115" s="168"/>
      <c r="C115" s="169"/>
      <c r="D115" s="168"/>
      <c r="E115" s="170"/>
      <c r="F115" s="14"/>
      <c r="G115" s="9"/>
      <c r="H115" s="9"/>
    </row>
    <row r="116" spans="1:8" ht="24.75" customHeight="1" thickTop="1" x14ac:dyDescent="0.25">
      <c r="A116" s="253" t="s">
        <v>71</v>
      </c>
      <c r="B116" s="172"/>
      <c r="C116" s="164"/>
      <c r="D116" s="164" t="s">
        <v>5</v>
      </c>
      <c r="E116" s="165"/>
    </row>
    <row r="117" spans="1:8" ht="21" x14ac:dyDescent="0.25">
      <c r="A117" s="425" t="s">
        <v>120</v>
      </c>
      <c r="B117" s="300"/>
      <c r="C117" s="301" t="s">
        <v>79</v>
      </c>
      <c r="D117" s="301" t="s">
        <v>80</v>
      </c>
      <c r="E117" s="302" t="s">
        <v>81</v>
      </c>
      <c r="H117" s="15" t="s">
        <v>191</v>
      </c>
    </row>
    <row r="118" spans="1:8" s="12" customFormat="1" ht="20" thickBot="1" x14ac:dyDescent="0.3">
      <c r="A118" s="426"/>
      <c r="B118" s="303" t="s">
        <v>142</v>
      </c>
      <c r="C118" s="298" t="s">
        <v>143</v>
      </c>
      <c r="D118" s="298" t="s">
        <v>144</v>
      </c>
      <c r="E118" s="299" t="s">
        <v>145</v>
      </c>
      <c r="H118" s="245" t="s">
        <v>192</v>
      </c>
    </row>
    <row r="119" spans="1:8" s="144" customFormat="1" ht="20" thickTop="1" x14ac:dyDescent="0.25">
      <c r="A119" s="249" t="s">
        <v>121</v>
      </c>
      <c r="B119" s="140">
        <f>Rockwool!D14</f>
        <v>308.96250000000003</v>
      </c>
      <c r="C119" s="173">
        <f>Rockwool!D15</f>
        <v>323.67500000000001</v>
      </c>
      <c r="D119" s="173">
        <f>Rockwool!D16</f>
        <v>338.38749999999999</v>
      </c>
      <c r="E119" s="173">
        <f>Rockwool!D17</f>
        <v>353.09999999999997</v>
      </c>
      <c r="H119" s="245" t="s">
        <v>193</v>
      </c>
    </row>
    <row r="120" spans="1:8" s="144" customFormat="1" x14ac:dyDescent="0.25">
      <c r="A120" s="250" t="s">
        <v>146</v>
      </c>
      <c r="B120" s="141">
        <f>Rockwool!D42</f>
        <v>84.936599999999999</v>
      </c>
      <c r="C120" s="141">
        <f>Rockwool!D43</f>
        <v>86.55444</v>
      </c>
      <c r="D120" s="141">
        <f>Rockwool!D44</f>
        <v>88.981200000000001</v>
      </c>
      <c r="E120" s="141">
        <f>Rockwool!D45</f>
        <v>93.02579999999999</v>
      </c>
    </row>
    <row r="121" spans="1:8" s="144" customFormat="1" x14ac:dyDescent="0.25">
      <c r="A121" s="250" t="s">
        <v>231</v>
      </c>
      <c r="B121" s="141">
        <f>Rockwool!D129</f>
        <v>50.961959999999991</v>
      </c>
      <c r="C121" s="143">
        <f>Rockwool!D130</f>
        <v>55.038916799999996</v>
      </c>
      <c r="D121" s="143">
        <f>Rockwool!D131</f>
        <v>60.542808479999998</v>
      </c>
      <c r="E121" s="143">
        <f>Rockwool!D132</f>
        <v>69.624229751999991</v>
      </c>
    </row>
    <row r="122" spans="1:8" s="144" customFormat="1" x14ac:dyDescent="0.25">
      <c r="A122" s="250" t="s">
        <v>147</v>
      </c>
      <c r="B122" s="141">
        <f>Rockwool!D71</f>
        <v>125.3826</v>
      </c>
      <c r="C122" s="141">
        <f>Rockwool!D72</f>
        <v>127.77083999999999</v>
      </c>
      <c r="D122" s="141">
        <f>Rockwool!D73</f>
        <v>131.35320000000002</v>
      </c>
      <c r="E122" s="141">
        <f>Rockwool!D74</f>
        <v>137.32379999999998</v>
      </c>
    </row>
    <row r="123" spans="1:8" x14ac:dyDescent="0.25">
      <c r="A123" s="250"/>
      <c r="B123" s="140"/>
      <c r="C123" s="141"/>
      <c r="D123" s="141"/>
      <c r="E123" s="141"/>
    </row>
    <row r="124" spans="1:8" s="15" customFormat="1" x14ac:dyDescent="0.25">
      <c r="A124" s="250"/>
      <c r="B124" s="141"/>
      <c r="C124" s="141"/>
      <c r="D124" s="141"/>
      <c r="E124" s="141"/>
    </row>
    <row r="125" spans="1:8" x14ac:dyDescent="0.25">
      <c r="A125" s="251"/>
      <c r="B125" s="151"/>
      <c r="C125" s="151"/>
      <c r="D125" s="151"/>
      <c r="E125" s="151"/>
    </row>
    <row r="126" spans="1:8" x14ac:dyDescent="0.25">
      <c r="A126" s="251"/>
      <c r="B126" s="306"/>
      <c r="C126" s="151"/>
      <c r="D126" s="151"/>
      <c r="E126" s="151"/>
    </row>
    <row r="127" spans="1:8" s="133" customFormat="1" x14ac:dyDescent="0.25">
      <c r="A127" s="258"/>
      <c r="B127" s="293"/>
      <c r="C127" s="118"/>
      <c r="D127" s="118"/>
      <c r="E127" s="118"/>
    </row>
    <row r="128" spans="1:8" x14ac:dyDescent="0.25">
      <c r="A128" s="250"/>
      <c r="B128" s="141"/>
      <c r="C128" s="141"/>
      <c r="D128" s="141"/>
      <c r="E128" s="141"/>
    </row>
    <row r="129" spans="1:5" x14ac:dyDescent="0.25">
      <c r="A129" s="251"/>
      <c r="B129" s="141"/>
      <c r="C129" s="141"/>
      <c r="D129" s="141"/>
      <c r="E129" s="141"/>
    </row>
    <row r="130" spans="1:5" s="133" customFormat="1" x14ac:dyDescent="0.25">
      <c r="A130" s="258"/>
      <c r="B130" s="293"/>
      <c r="C130" s="118"/>
      <c r="D130" s="118"/>
      <c r="E130" s="118"/>
    </row>
    <row r="131" spans="1:5" x14ac:dyDescent="0.25">
      <c r="A131" s="251"/>
      <c r="B131" s="140"/>
      <c r="C131" s="141"/>
      <c r="D131" s="141"/>
      <c r="E131" s="141"/>
    </row>
    <row r="132" spans="1:5" x14ac:dyDescent="0.25">
      <c r="A132" s="251"/>
      <c r="B132" s="141"/>
      <c r="C132" s="141"/>
      <c r="D132" s="141"/>
      <c r="E132" s="141"/>
    </row>
    <row r="133" spans="1:5" x14ac:dyDescent="0.25">
      <c r="A133" s="251"/>
      <c r="B133" s="141"/>
      <c r="C133" s="141"/>
      <c r="D133" s="141"/>
      <c r="E133" s="141"/>
    </row>
    <row r="134" spans="1:5" x14ac:dyDescent="0.25">
      <c r="A134" s="250"/>
      <c r="B134" s="141"/>
      <c r="C134" s="141"/>
      <c r="D134" s="141"/>
      <c r="E134" s="141"/>
    </row>
    <row r="135" spans="1:5" x14ac:dyDescent="0.25">
      <c r="A135" s="250"/>
      <c r="B135" s="140"/>
      <c r="C135" s="141"/>
      <c r="D135" s="141"/>
      <c r="E135" s="141"/>
    </row>
    <row r="136" spans="1:5" x14ac:dyDescent="0.25">
      <c r="A136" s="250"/>
      <c r="B136" s="141"/>
      <c r="C136" s="141"/>
      <c r="D136" s="141"/>
      <c r="E136" s="141"/>
    </row>
    <row r="137" spans="1:5" x14ac:dyDescent="0.25">
      <c r="A137" s="250"/>
      <c r="B137" s="141"/>
      <c r="C137" s="141"/>
      <c r="D137" s="141"/>
      <c r="E137" s="141"/>
    </row>
    <row r="138" spans="1:5" x14ac:dyDescent="0.25">
      <c r="A138" s="250"/>
      <c r="B138" s="141"/>
      <c r="C138" s="141"/>
      <c r="D138" s="141"/>
      <c r="E138" s="141"/>
    </row>
    <row r="139" spans="1:5" x14ac:dyDescent="0.25">
      <c r="A139" s="250"/>
      <c r="B139" s="151"/>
      <c r="C139" s="151"/>
      <c r="D139" s="151"/>
      <c r="E139" s="151"/>
    </row>
    <row r="140" spans="1:5" x14ac:dyDescent="0.25">
      <c r="A140" s="254"/>
      <c r="B140" s="183"/>
      <c r="C140" s="183"/>
      <c r="D140" s="183"/>
      <c r="E140" s="183"/>
    </row>
    <row r="141" spans="1:5" s="144" customFormat="1" x14ac:dyDescent="0.25">
      <c r="A141" s="250"/>
      <c r="B141" s="141"/>
      <c r="C141" s="141"/>
      <c r="D141" s="141"/>
      <c r="E141" s="141"/>
    </row>
    <row r="142" spans="1:5" s="144" customFormat="1" ht="20" thickBot="1" x14ac:dyDescent="0.3">
      <c r="A142" s="252"/>
      <c r="B142" s="149"/>
      <c r="C142" s="149"/>
      <c r="D142" s="149"/>
      <c r="E142" s="149"/>
    </row>
    <row r="143" spans="1:5" ht="20" thickTop="1" x14ac:dyDescent="0.25"/>
  </sheetData>
  <mergeCells count="5">
    <mergeCell ref="A55:A56"/>
    <mergeCell ref="A11:A12"/>
    <mergeCell ref="M1:N1"/>
    <mergeCell ref="AH1:AI1"/>
    <mergeCell ref="A117:A118"/>
  </mergeCells>
  <phoneticPr fontId="34" type="noConversion"/>
  <pageMargins left="0.19685039370078741" right="0.19685039370078741" top="0.15748031496062992" bottom="0.15748031496062992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rgb="FFFFC000"/>
  </sheetPr>
  <dimension ref="A1:AG143"/>
  <sheetViews>
    <sheetView zoomScale="75" zoomScaleNormal="75" workbookViewId="0">
      <pane xSplit="1" ySplit="12" topLeftCell="B13" activePane="bottomRight" state="frozen"/>
      <selection activeCell="G1" sqref="G1"/>
      <selection pane="topRight" activeCell="G1" sqref="G1"/>
      <selection pane="bottomLeft" activeCell="G1" sqref="G1"/>
      <selection pane="bottomRight" activeCell="U19" sqref="U19"/>
    </sheetView>
  </sheetViews>
  <sheetFormatPr baseColWidth="10" defaultColWidth="9" defaultRowHeight="19" x14ac:dyDescent="0.25"/>
  <cols>
    <col min="1" max="1" width="46.19921875" customWidth="1"/>
    <col min="2" max="3" width="10.19921875" customWidth="1"/>
    <col min="4" max="7" width="9" customWidth="1"/>
    <col min="8" max="8" width="11.796875" customWidth="1"/>
    <col min="9" max="17" width="9" customWidth="1"/>
  </cols>
  <sheetData>
    <row r="1" spans="1:33" ht="41.25" customHeight="1" x14ac:dyDescent="0.5">
      <c r="A1" s="2" t="s">
        <v>0</v>
      </c>
      <c r="B1" s="2"/>
      <c r="C1" s="3"/>
      <c r="D1" s="4"/>
      <c r="E1" s="153"/>
      <c r="G1" s="6" t="s">
        <v>1</v>
      </c>
      <c r="H1" s="15"/>
      <c r="J1" s="429"/>
      <c r="K1" s="429"/>
      <c r="P1" s="1"/>
      <c r="Q1" s="2"/>
      <c r="R1" s="4"/>
      <c r="AB1" s="429"/>
      <c r="AC1" s="429"/>
      <c r="AE1" s="5"/>
      <c r="AF1" s="6"/>
      <c r="AG1" s="6"/>
    </row>
    <row r="2" spans="1:33" x14ac:dyDescent="0.25">
      <c r="A2" s="9" t="s">
        <v>2</v>
      </c>
      <c r="B2" s="7"/>
      <c r="C2" s="157"/>
      <c r="D2" s="156"/>
      <c r="E2" s="157" t="s">
        <v>102</v>
      </c>
      <c r="G2" s="10" t="s">
        <v>3</v>
      </c>
      <c r="H2" s="287"/>
      <c r="P2" s="7"/>
      <c r="Q2" s="7"/>
      <c r="R2" s="4"/>
      <c r="AE2" s="9"/>
      <c r="AF2" s="10"/>
      <c r="AG2" s="11"/>
    </row>
    <row r="3" spans="1:33" x14ac:dyDescent="0.25">
      <c r="A3" s="9" t="s">
        <v>4</v>
      </c>
      <c r="B3" s="7"/>
      <c r="D3" s="156"/>
      <c r="E3" s="157"/>
      <c r="P3" s="7"/>
      <c r="Q3" s="7"/>
      <c r="R3" s="9"/>
    </row>
    <row r="4" spans="1:33" s="138" customFormat="1" ht="16" x14ac:dyDescent="0.2">
      <c r="A4" s="259" t="s">
        <v>100</v>
      </c>
      <c r="B4" s="136"/>
      <c r="C4" s="159"/>
      <c r="D4" s="160">
        <v>1</v>
      </c>
      <c r="E4" s="161" t="s">
        <v>238</v>
      </c>
      <c r="P4" s="136"/>
      <c r="Q4" s="136"/>
      <c r="R4" s="139"/>
    </row>
    <row r="5" spans="1:33" s="138" customFormat="1" ht="16" x14ac:dyDescent="0.2">
      <c r="A5" s="139"/>
      <c r="B5" s="136"/>
      <c r="C5" s="159"/>
      <c r="D5" s="160">
        <v>2</v>
      </c>
      <c r="E5" s="163" t="s">
        <v>237</v>
      </c>
      <c r="P5" s="136"/>
      <c r="Q5" s="136"/>
      <c r="R5" s="139"/>
    </row>
    <row r="6" spans="1:33" s="138" customFormat="1" ht="16" x14ac:dyDescent="0.2">
      <c r="A6" s="139"/>
      <c r="B6" s="136"/>
      <c r="C6" s="159"/>
      <c r="D6" s="160">
        <v>3</v>
      </c>
      <c r="E6" s="162" t="s">
        <v>32</v>
      </c>
      <c r="P6" s="136"/>
      <c r="Q6" s="136"/>
      <c r="R6" s="139"/>
    </row>
    <row r="7" spans="1:33" s="138" customFormat="1" ht="16" x14ac:dyDescent="0.2">
      <c r="A7" s="139"/>
      <c r="B7" s="136"/>
      <c r="C7" s="159"/>
      <c r="D7" s="160">
        <v>4</v>
      </c>
      <c r="E7" s="162" t="s">
        <v>33</v>
      </c>
      <c r="P7" s="136"/>
      <c r="Q7" s="136"/>
      <c r="R7" s="139"/>
    </row>
    <row r="8" spans="1:33" s="138" customFormat="1" ht="16" x14ac:dyDescent="0.2">
      <c r="A8" s="139"/>
      <c r="B8" s="136"/>
      <c r="C8" s="159"/>
      <c r="D8" s="150">
        <v>5</v>
      </c>
      <c r="E8" s="191" t="s">
        <v>99</v>
      </c>
      <c r="P8" s="136"/>
      <c r="Q8" s="136"/>
      <c r="R8" s="139"/>
    </row>
    <row r="9" spans="1:33" ht="7.5" customHeight="1" thickBot="1" x14ac:dyDescent="0.3"/>
    <row r="10" spans="1:33" s="122" customFormat="1" ht="22" thickTop="1" x14ac:dyDescent="0.25">
      <c r="A10" s="260" t="s">
        <v>72</v>
      </c>
      <c r="B10" s="172"/>
      <c r="C10" s="164"/>
      <c r="D10" s="164" t="s">
        <v>6</v>
      </c>
      <c r="E10" s="165"/>
      <c r="F10" s="120"/>
      <c r="G10" s="119"/>
      <c r="H10" s="119" t="s">
        <v>7</v>
      </c>
      <c r="I10" s="119"/>
      <c r="J10" s="120"/>
      <c r="K10" s="119"/>
      <c r="L10" s="119" t="s">
        <v>8</v>
      </c>
      <c r="M10" s="119"/>
      <c r="N10" s="120"/>
      <c r="O10" s="119"/>
      <c r="P10" s="119" t="s">
        <v>9</v>
      </c>
      <c r="Q10" s="175"/>
    </row>
    <row r="11" spans="1:33" s="122" customFormat="1" ht="21" x14ac:dyDescent="0.25">
      <c r="A11" s="430" t="s">
        <v>82</v>
      </c>
      <c r="B11" s="300"/>
      <c r="C11" s="301" t="s">
        <v>79</v>
      </c>
      <c r="D11" s="301" t="s">
        <v>80</v>
      </c>
      <c r="E11" s="302" t="s">
        <v>81</v>
      </c>
      <c r="F11" s="300"/>
      <c r="G11" s="301" t="s">
        <v>79</v>
      </c>
      <c r="H11" s="301" t="s">
        <v>80</v>
      </c>
      <c r="I11" s="302" t="s">
        <v>81</v>
      </c>
      <c r="J11" s="300"/>
      <c r="K11" s="301" t="s">
        <v>79</v>
      </c>
      <c r="L11" s="301" t="s">
        <v>80</v>
      </c>
      <c r="M11" s="302" t="s">
        <v>81</v>
      </c>
      <c r="N11" s="300"/>
      <c r="O11" s="301" t="s">
        <v>79</v>
      </c>
      <c r="P11" s="301" t="s">
        <v>80</v>
      </c>
      <c r="Q11" s="302" t="s">
        <v>81</v>
      </c>
    </row>
    <row r="12" spans="1:33" s="122" customFormat="1" ht="20" thickBot="1" x14ac:dyDescent="0.3">
      <c r="A12" s="431"/>
      <c r="B12" s="303" t="s">
        <v>142</v>
      </c>
      <c r="C12" s="298" t="s">
        <v>143</v>
      </c>
      <c r="D12" s="298" t="s">
        <v>144</v>
      </c>
      <c r="E12" s="299" t="s">
        <v>145</v>
      </c>
      <c r="F12" s="303" t="s">
        <v>142</v>
      </c>
      <c r="G12" s="298" t="s">
        <v>143</v>
      </c>
      <c r="H12" s="298" t="s">
        <v>144</v>
      </c>
      <c r="I12" s="299" t="s">
        <v>145</v>
      </c>
      <c r="J12" s="303" t="s">
        <v>142</v>
      </c>
      <c r="K12" s="298" t="s">
        <v>143</v>
      </c>
      <c r="L12" s="298" t="s">
        <v>144</v>
      </c>
      <c r="M12" s="299" t="s">
        <v>145</v>
      </c>
      <c r="N12" s="303" t="s">
        <v>142</v>
      </c>
      <c r="O12" s="298" t="s">
        <v>143</v>
      </c>
      <c r="P12" s="298" t="s">
        <v>144</v>
      </c>
      <c r="Q12" s="299" t="s">
        <v>145</v>
      </c>
    </row>
    <row r="13" spans="1:33" s="144" customFormat="1" ht="20" thickTop="1" x14ac:dyDescent="0.25">
      <c r="A13" s="261" t="s">
        <v>133</v>
      </c>
      <c r="B13" s="307">
        <f>'Formular 4 step Y1'!E14</f>
        <v>136</v>
      </c>
      <c r="C13" s="205">
        <f>'Formular 4 step Y1'!E15</f>
        <v>137</v>
      </c>
      <c r="D13" s="204">
        <f>'Formular 4 step Y1'!E16</f>
        <v>138</v>
      </c>
      <c r="E13" s="204">
        <f>'Formular 4 step Y1'!E17</f>
        <v>139</v>
      </c>
      <c r="F13" s="204">
        <f>'Formular 4 step Y1'!F14</f>
        <v>139</v>
      </c>
      <c r="G13" s="173">
        <f>'Formular 4 step Y1'!F15</f>
        <v>140</v>
      </c>
      <c r="H13" s="140">
        <f>'Formular 4 step Y1'!F16</f>
        <v>141</v>
      </c>
      <c r="I13" s="140">
        <f>'Formular 4 step Y1'!F17</f>
        <v>142</v>
      </c>
      <c r="J13" s="140">
        <f>'Formular 4 step Y1'!G14</f>
        <v>134</v>
      </c>
      <c r="K13" s="173">
        <f>'Formular 4 step Y1'!G15</f>
        <v>135</v>
      </c>
      <c r="L13" s="140">
        <f>'Formular 4 step Y1'!G16</f>
        <v>136</v>
      </c>
      <c r="M13" s="140">
        <f>'Formular 4 step Y1'!G17</f>
        <v>137</v>
      </c>
      <c r="N13" s="318">
        <f>'Formular 4 step Y1'!H14</f>
        <v>129</v>
      </c>
      <c r="O13" s="187">
        <f>'Formular 4 step Y1'!H15</f>
        <v>130</v>
      </c>
      <c r="P13" s="204">
        <f>'Formular 4 step Y1'!H16</f>
        <v>131</v>
      </c>
      <c r="Q13" s="140">
        <f>'Formular 4 step Y1'!H17</f>
        <v>132</v>
      </c>
    </row>
    <row r="14" spans="1:33" s="144" customFormat="1" x14ac:dyDescent="0.25">
      <c r="A14" s="279" t="s">
        <v>134</v>
      </c>
      <c r="B14" s="307">
        <f>'Formular 4 step Y1'!E39</f>
        <v>139</v>
      </c>
      <c r="C14" s="142">
        <f>'Formular 4 step Y1'!E40</f>
        <v>140</v>
      </c>
      <c r="D14" s="141">
        <f>'Formular 4 step Y1'!E41</f>
        <v>141</v>
      </c>
      <c r="E14" s="145">
        <f>'Formular 4 step Y1'!E42</f>
        <v>142</v>
      </c>
      <c r="F14" s="204">
        <f>'Formular 4 step Y1'!F39</f>
        <v>141</v>
      </c>
      <c r="G14" s="143">
        <f>'Formular 4 step Y1'!F40</f>
        <v>142</v>
      </c>
      <c r="H14" s="141">
        <f>'Formular 4 step Y1'!F41</f>
        <v>143</v>
      </c>
      <c r="I14" s="141">
        <f>'Formular 4 step Y1'!F42</f>
        <v>144</v>
      </c>
      <c r="J14" s="141">
        <f>'Formular 4 step Y1'!G39</f>
        <v>136</v>
      </c>
      <c r="K14" s="143">
        <f>'Formular 4 step Y1'!G40</f>
        <v>137</v>
      </c>
      <c r="L14" s="141">
        <f>'Formular 4 step Y1'!G41</f>
        <v>138</v>
      </c>
      <c r="M14" s="141">
        <f>'Formular 4 step Y1'!G42</f>
        <v>139</v>
      </c>
      <c r="N14" s="141">
        <f>'Formular 4 step Y1'!H39</f>
        <v>132</v>
      </c>
      <c r="O14" s="147">
        <f>'Formular 4 step Y1'!H40</f>
        <v>133</v>
      </c>
      <c r="P14" s="145">
        <f>'Formular 4 step Y1'!H41</f>
        <v>134</v>
      </c>
      <c r="Q14" s="141">
        <f>'Formular 4 step Y1'!H42</f>
        <v>135</v>
      </c>
    </row>
    <row r="15" spans="1:33" s="144" customFormat="1" x14ac:dyDescent="0.25">
      <c r="A15" s="255" t="s">
        <v>135</v>
      </c>
      <c r="B15" s="307">
        <f>'Formular 4 step Y1'!E64</f>
        <v>202</v>
      </c>
      <c r="C15" s="206">
        <f>'Formular 4 step Y1'!E65</f>
        <v>203</v>
      </c>
      <c r="D15" s="145">
        <f>'Formular 4 step Y1'!E66</f>
        <v>204</v>
      </c>
      <c r="E15" s="145">
        <f>'Formular 4 step Y1'!E67</f>
        <v>205</v>
      </c>
      <c r="F15" s="204">
        <f>'Formular 4 step Y1'!F64</f>
        <v>204</v>
      </c>
      <c r="G15" s="143">
        <f>'Formular 4 step Y1'!F65</f>
        <v>205</v>
      </c>
      <c r="H15" s="141">
        <f>'Formular 4 step Y1'!F66</f>
        <v>206</v>
      </c>
      <c r="I15" s="141">
        <f>'Formular 4 step Y1'!F67</f>
        <v>207</v>
      </c>
      <c r="J15" s="141">
        <f>'Formular 4 step Y1'!G64</f>
        <v>199</v>
      </c>
      <c r="K15" s="143">
        <f>'Formular 4 step Y1'!G65</f>
        <v>200</v>
      </c>
      <c r="L15" s="141">
        <f>'Formular 4 step Y1'!G66</f>
        <v>201</v>
      </c>
      <c r="M15" s="141">
        <f>'Formular 4 step Y1'!G67</f>
        <v>202</v>
      </c>
      <c r="N15" s="141">
        <f>'Formular 4 step Y1'!H64</f>
        <v>195</v>
      </c>
      <c r="O15" s="147">
        <f>'Formular 4 step Y1'!H65</f>
        <v>196</v>
      </c>
      <c r="P15" s="145">
        <f>'Formular 4 step Y1'!H66</f>
        <v>197</v>
      </c>
      <c r="Q15" s="141">
        <f>'Formular 4 step Y1'!H67</f>
        <v>198</v>
      </c>
    </row>
    <row r="16" spans="1:33" s="144" customFormat="1" x14ac:dyDescent="0.25">
      <c r="A16" s="255" t="s">
        <v>136</v>
      </c>
      <c r="B16" s="307">
        <f>'Formular 4 step Y1'!E89</f>
        <v>201</v>
      </c>
      <c r="C16" s="142">
        <f>'Formular 4 step Y1'!E90</f>
        <v>202</v>
      </c>
      <c r="D16" s="141">
        <f>'Formular 4 step Y1'!E91</f>
        <v>203</v>
      </c>
      <c r="E16" s="146">
        <f>'Formular 4 step Y1'!E92</f>
        <v>204</v>
      </c>
      <c r="F16" s="204">
        <f>'Formular 4 step Y1'!F89</f>
        <v>203</v>
      </c>
      <c r="G16" s="143">
        <f>'Formular 4 step Y1'!F90</f>
        <v>204</v>
      </c>
      <c r="H16" s="141">
        <f>'Formular 4 step Y1'!F91</f>
        <v>205</v>
      </c>
      <c r="I16" s="141">
        <f>'Formular 4 step Y1'!F92</f>
        <v>206</v>
      </c>
      <c r="J16" s="141">
        <f>'Formular 4 step Y1'!G89</f>
        <v>198</v>
      </c>
      <c r="K16" s="143">
        <f>'Formular 4 step Y1'!G90</f>
        <v>199</v>
      </c>
      <c r="L16" s="141">
        <f>'Formular 4 step Y1'!G91</f>
        <v>200</v>
      </c>
      <c r="M16" s="141">
        <f>'Formular 4 step Y1'!G92</f>
        <v>201</v>
      </c>
      <c r="N16" s="141">
        <f>'Formular 4 step Y1'!H89</f>
        <v>194</v>
      </c>
      <c r="O16" s="143">
        <f>'Formular 4 step Y1'!H90</f>
        <v>195</v>
      </c>
      <c r="P16" s="141">
        <f>'Formular 4 step Y1'!H91</f>
        <v>196</v>
      </c>
      <c r="Q16" s="141">
        <f>'Formular 4 step Y1'!H92</f>
        <v>197</v>
      </c>
    </row>
    <row r="17" spans="1:17" s="144" customFormat="1" x14ac:dyDescent="0.25">
      <c r="A17" s="255" t="s">
        <v>137</v>
      </c>
      <c r="B17" s="307">
        <f>'Formular 4 step Y1'!E114</f>
        <v>165</v>
      </c>
      <c r="C17" s="142">
        <f>'Formular 4 step Y1'!E115</f>
        <v>166</v>
      </c>
      <c r="D17" s="141">
        <f>'Formular 4 step Y1'!E116</f>
        <v>167</v>
      </c>
      <c r="E17" s="141">
        <f>'Formular 4 step Y1'!E117</f>
        <v>168</v>
      </c>
      <c r="F17" s="204">
        <f>'Formular 4 step Y1'!F114</f>
        <v>169</v>
      </c>
      <c r="G17" s="143">
        <f>'Formular 4 step Y1'!F115</f>
        <v>170</v>
      </c>
      <c r="H17" s="141">
        <f>'Formular 4 step Y1'!F116</f>
        <v>171</v>
      </c>
      <c r="I17" s="141">
        <f>'Formular 4 step Y1'!F117</f>
        <v>172</v>
      </c>
      <c r="J17" s="141">
        <f>'Formular 4 step Y1'!G114</f>
        <v>162</v>
      </c>
      <c r="K17" s="143">
        <f>'Formular 4 step Y1'!G115</f>
        <v>163</v>
      </c>
      <c r="L17" s="141">
        <f>'Formular 4 step Y1'!G116</f>
        <v>164</v>
      </c>
      <c r="M17" s="141">
        <f>'Formular 4 step Y1'!G117</f>
        <v>165</v>
      </c>
      <c r="N17" s="141">
        <f>'Formular 4 step Y1'!H114</f>
        <v>155</v>
      </c>
      <c r="O17" s="143">
        <f>'Formular 4 step Y1'!H115</f>
        <v>156</v>
      </c>
      <c r="P17" s="141">
        <f>'Formular 4 step Y1'!H116</f>
        <v>157</v>
      </c>
      <c r="Q17" s="141">
        <f>'Formular 4 step Y1'!H117</f>
        <v>158</v>
      </c>
    </row>
    <row r="18" spans="1:17" s="144" customFormat="1" x14ac:dyDescent="0.25">
      <c r="A18" s="255" t="s">
        <v>138</v>
      </c>
      <c r="B18" s="307">
        <f>'Formular 4 step Y1'!E139</f>
        <v>228</v>
      </c>
      <c r="C18" s="142">
        <f>'Formular 4 step Y1'!E140</f>
        <v>229</v>
      </c>
      <c r="D18" s="141">
        <f>'Formular 4 step Y1'!E141</f>
        <v>230</v>
      </c>
      <c r="E18" s="141">
        <f>'Formular 4 step Y1'!E141</f>
        <v>230</v>
      </c>
      <c r="F18" s="204">
        <f>'Formular 4 step Y1'!F139</f>
        <v>231</v>
      </c>
      <c r="G18" s="143">
        <f>'Formular 4 step Y1'!F140</f>
        <v>232</v>
      </c>
      <c r="H18" s="141">
        <f>'Formular 4 step Y1'!F141</f>
        <v>233</v>
      </c>
      <c r="I18" s="141">
        <f>'Formular 4 step Y1'!F141</f>
        <v>233</v>
      </c>
      <c r="J18" s="141">
        <f>'Formular 4 step Y1'!G139</f>
        <v>224</v>
      </c>
      <c r="K18" s="143">
        <f>'Formular 4 step Y1'!G140</f>
        <v>225</v>
      </c>
      <c r="L18" s="141">
        <f>'Formular 4 step Y1'!G141</f>
        <v>226</v>
      </c>
      <c r="M18" s="141">
        <f>'Formular 4 step Y1'!G141</f>
        <v>226</v>
      </c>
      <c r="N18" s="141">
        <f>'Formular 4 step Y1'!H139</f>
        <v>218</v>
      </c>
      <c r="O18" s="143">
        <f>'Formular 4 step Y1'!H140</f>
        <v>219</v>
      </c>
      <c r="P18" s="141">
        <f>'Formular 4 step Y1'!H141</f>
        <v>220</v>
      </c>
      <c r="Q18" s="141">
        <f>'Formular 4 step Y1'!H141</f>
        <v>220</v>
      </c>
    </row>
    <row r="19" spans="1:17" s="144" customFormat="1" x14ac:dyDescent="0.25">
      <c r="A19" s="255" t="s">
        <v>139</v>
      </c>
      <c r="B19" s="307">
        <f>'Formular 4 step Y1'!E838</f>
        <v>239</v>
      </c>
      <c r="C19" s="142">
        <f>'Formular 4 step Y1'!E839</f>
        <v>240</v>
      </c>
      <c r="D19" s="141">
        <f>'Formular 4 step Y1'!E840</f>
        <v>241</v>
      </c>
      <c r="E19" s="141">
        <f>'Formular 4 step Y1'!E841</f>
        <v>242</v>
      </c>
      <c r="F19" s="204">
        <f>'Formular 4 step Y1'!F838</f>
        <v>245</v>
      </c>
      <c r="G19" s="143">
        <f>'Formular 4 step Y1'!F839</f>
        <v>246</v>
      </c>
      <c r="H19" s="141">
        <f>'Formular 4 step Y1'!F840</f>
        <v>247</v>
      </c>
      <c r="I19" s="141">
        <f>'Formular 4 step Y1'!F841</f>
        <v>248</v>
      </c>
      <c r="J19" s="141">
        <f>'Formular 4 step Y1'!G838</f>
        <v>234</v>
      </c>
      <c r="K19" s="143">
        <f>'Formular 4 step Y1'!G839</f>
        <v>235</v>
      </c>
      <c r="L19" s="141">
        <f>'Formular 4 step Y1'!G840</f>
        <v>236</v>
      </c>
      <c r="M19" s="141">
        <f>'Formular 4 step Y1'!G841</f>
        <v>237</v>
      </c>
      <c r="N19" s="141">
        <f>'Formular 4 step Y1'!H838</f>
        <v>224</v>
      </c>
      <c r="O19" s="143">
        <f>'Formular 4 step Y1'!H839</f>
        <v>225</v>
      </c>
      <c r="P19" s="141">
        <f>'Formular 4 step Y1'!H840</f>
        <v>226</v>
      </c>
      <c r="Q19" s="141">
        <f>'Formular 4 step Y1'!H841</f>
        <v>227</v>
      </c>
    </row>
    <row r="20" spans="1:17" s="144" customFormat="1" x14ac:dyDescent="0.25">
      <c r="A20" s="255" t="s">
        <v>114</v>
      </c>
      <c r="B20" s="307">
        <f>'Formular 4 step Y1'!E164</f>
        <v>269</v>
      </c>
      <c r="C20" s="142">
        <f>'Formular 4 step Y1'!E165</f>
        <v>272</v>
      </c>
      <c r="D20" s="141">
        <f>'Formular 4 step Y1'!E166</f>
        <v>277</v>
      </c>
      <c r="E20" s="141">
        <f>'Formular 4 step Y1'!E167</f>
        <v>282</v>
      </c>
      <c r="F20" s="204">
        <f>'Formular 4 step Y1'!F164</f>
        <v>272</v>
      </c>
      <c r="G20" s="143">
        <f>'Formular 4 step Y1'!F165</f>
        <v>275</v>
      </c>
      <c r="H20" s="141">
        <f>'Formular 4 step Y1'!F166</f>
        <v>280</v>
      </c>
      <c r="I20" s="141">
        <f>'Formular 4 step Y1'!F167</f>
        <v>285</v>
      </c>
      <c r="J20" s="141">
        <f>'Formular 4 step Y1'!G164</f>
        <v>265</v>
      </c>
      <c r="K20" s="143">
        <f>'Formular 4 step Y1'!G165</f>
        <v>268</v>
      </c>
      <c r="L20" s="141">
        <f>'Formular 4 step Y1'!G166</f>
        <v>273</v>
      </c>
      <c r="M20" s="141">
        <f>'Formular 4 step Y1'!G167</f>
        <v>278</v>
      </c>
      <c r="N20" s="141">
        <f>'Formular 4 step Y1'!H164</f>
        <v>259</v>
      </c>
      <c r="O20" s="143">
        <f>'Formular 4 step Y1'!H165</f>
        <v>262</v>
      </c>
      <c r="P20" s="141">
        <f>'Formular 4 step Y1'!H166</f>
        <v>267</v>
      </c>
      <c r="Q20" s="141">
        <f>'Formular 4 step Y1'!H167</f>
        <v>272</v>
      </c>
    </row>
    <row r="21" spans="1:17" s="144" customFormat="1" x14ac:dyDescent="0.25">
      <c r="A21" s="255" t="s">
        <v>115</v>
      </c>
      <c r="B21" s="307">
        <f>'Formular 4 step Y1'!E189</f>
        <v>312</v>
      </c>
      <c r="C21" s="142">
        <f>'Formular 4 step Y1'!E190</f>
        <v>315</v>
      </c>
      <c r="D21" s="141">
        <f>'Formular 4 step Y1'!E191</f>
        <v>320</v>
      </c>
      <c r="E21" s="141">
        <f>'Formular 4 step Y1'!E192</f>
        <v>325</v>
      </c>
      <c r="F21" s="204">
        <f>'Formular 4 step Y1'!F189</f>
        <v>318</v>
      </c>
      <c r="G21" s="143">
        <f>'Formular 4 step Y1'!F190</f>
        <v>321</v>
      </c>
      <c r="H21" s="141">
        <f>'Formular 4 step Y1'!F191</f>
        <v>326</v>
      </c>
      <c r="I21" s="141">
        <f>'Formular 4 step Y1'!F192</f>
        <v>331</v>
      </c>
      <c r="J21" s="141">
        <f>'Formular 4 step Y1'!G189</f>
        <v>305</v>
      </c>
      <c r="K21" s="143">
        <f>'Formular 4 step Y1'!G190</f>
        <v>308</v>
      </c>
      <c r="L21" s="141">
        <f>'Formular 4 step Y1'!G191</f>
        <v>313</v>
      </c>
      <c r="M21" s="141">
        <f>'Formular 4 step Y1'!G192</f>
        <v>318</v>
      </c>
      <c r="N21" s="141">
        <f>'Formular 4 step Y1'!H189</f>
        <v>293</v>
      </c>
      <c r="O21" s="143">
        <f>'Formular 4 step Y1'!H190</f>
        <v>296</v>
      </c>
      <c r="P21" s="141">
        <f>'Formular 4 step Y1'!H191</f>
        <v>301</v>
      </c>
      <c r="Q21" s="141">
        <f>'Formular 4 step Y1'!H192</f>
        <v>306</v>
      </c>
    </row>
    <row r="22" spans="1:17" s="144" customFormat="1" x14ac:dyDescent="0.25">
      <c r="A22" s="255" t="s">
        <v>218</v>
      </c>
      <c r="B22" s="307">
        <f>'Formular 4 step Y1'!E863</f>
        <v>190.57762080000003</v>
      </c>
      <c r="C22" s="142">
        <f>'Formular 4 step Y1'!E864</f>
        <v>192.34222840000004</v>
      </c>
      <c r="D22" s="141">
        <f>'Formular 4 step Y1'!E865</f>
        <v>197.63605120000005</v>
      </c>
      <c r="E22" s="141">
        <f>'Formular 4 step Y1'!E866</f>
        <v>202.92987400000001</v>
      </c>
      <c r="F22" s="204">
        <f>'Formular 4 step Y1'!F863</f>
        <v>193.27762080000002</v>
      </c>
      <c r="G22" s="143">
        <f>'Formular 4 step Y1'!F864</f>
        <v>195.06722840000003</v>
      </c>
      <c r="H22" s="141">
        <f>'Formular 4 step Y1'!F865</f>
        <v>200.43605120000004</v>
      </c>
      <c r="I22" s="141">
        <f>'Formular 4 step Y1'!F866</f>
        <v>205.80487400000001</v>
      </c>
      <c r="J22" s="141">
        <f>'Formular 4 step Y1'!G863</f>
        <v>187.87762080000005</v>
      </c>
      <c r="K22" s="143">
        <f>'Formular 4 step Y1'!G864</f>
        <v>189.61722840000004</v>
      </c>
      <c r="L22" s="141">
        <f>'Formular 4 step Y1'!G865</f>
        <v>194.83605120000004</v>
      </c>
      <c r="M22" s="141">
        <f>'Formular 4 step Y1'!G866</f>
        <v>200.05487400000001</v>
      </c>
      <c r="N22" s="141">
        <f>'Formular 4 step Y1'!H863</f>
        <v>183.01762080000003</v>
      </c>
      <c r="O22" s="143">
        <f>'Formular 4 step Y1'!H864</f>
        <v>184.71222840000004</v>
      </c>
      <c r="P22" s="141">
        <f>'Formular 4 step Y1'!H865</f>
        <v>189.79605120000005</v>
      </c>
      <c r="Q22" s="141">
        <f>'Formular 4 step Y1'!H866</f>
        <v>194.879874</v>
      </c>
    </row>
    <row r="23" spans="1:17" s="144" customFormat="1" x14ac:dyDescent="0.25">
      <c r="A23" s="255" t="s">
        <v>128</v>
      </c>
      <c r="B23" s="307">
        <f>'Formular 4 step Y1'!E738</f>
        <v>105</v>
      </c>
      <c r="C23" s="142">
        <f>'Formular 4 step Y1'!E739</f>
        <v>106</v>
      </c>
      <c r="D23" s="141">
        <f>'Formular 4 step Y1'!E740</f>
        <v>107</v>
      </c>
      <c r="E23" s="141">
        <f>'Formular 4 step Y1'!E741</f>
        <v>108</v>
      </c>
      <c r="F23" s="204">
        <f>'Formular 4 step Y1'!F738</f>
        <v>105</v>
      </c>
      <c r="G23" s="143">
        <f>'Formular 4 step Y1'!F739</f>
        <v>106</v>
      </c>
      <c r="H23" s="141">
        <f>'Formular 4 step Y1'!F740</f>
        <v>107</v>
      </c>
      <c r="I23" s="141">
        <f>'Formular 4 step Y1'!F741</f>
        <v>108</v>
      </c>
      <c r="J23" s="141">
        <f>'Formular 4 step Y1'!G738</f>
        <v>105</v>
      </c>
      <c r="K23" s="143">
        <f>'Formular 4 step Y1'!G739</f>
        <v>106</v>
      </c>
      <c r="L23" s="141">
        <f>'Formular 4 step Y1'!G740</f>
        <v>107</v>
      </c>
      <c r="M23" s="141">
        <f>'Formular 4 step Y1'!G741</f>
        <v>108</v>
      </c>
      <c r="N23" s="141">
        <f>'Formular 4 step Y1'!H738</f>
        <v>105</v>
      </c>
      <c r="O23" s="143">
        <f>'Formular 4 step Y1'!H739</f>
        <v>106</v>
      </c>
      <c r="P23" s="141">
        <f>'Formular 4 step Y1'!H740</f>
        <v>107</v>
      </c>
      <c r="Q23" s="141">
        <f>'Formular 4 step Y1'!H741</f>
        <v>108</v>
      </c>
    </row>
    <row r="24" spans="1:17" s="144" customFormat="1" x14ac:dyDescent="0.25">
      <c r="A24" s="255" t="s">
        <v>130</v>
      </c>
      <c r="B24" s="307">
        <f>'Formular 4 step Y1'!E763</f>
        <v>162</v>
      </c>
      <c r="C24" s="142">
        <f>'Formular 4 step Y1'!E764</f>
        <v>163</v>
      </c>
      <c r="D24" s="141">
        <f>'Formular 4 step Y1'!E765</f>
        <v>164</v>
      </c>
      <c r="E24" s="141">
        <f>'Formular 4 step Y1'!E766</f>
        <v>165</v>
      </c>
      <c r="F24" s="204">
        <f>'Formular 4 step Y1'!F763</f>
        <v>162</v>
      </c>
      <c r="G24" s="143">
        <f>'Formular 4 step Y1'!F764</f>
        <v>163</v>
      </c>
      <c r="H24" s="141">
        <f>'Formular 4 step Y1'!F765</f>
        <v>164</v>
      </c>
      <c r="I24" s="141">
        <f>'Formular 4 step Y1'!F766</f>
        <v>165</v>
      </c>
      <c r="J24" s="141">
        <f>'Formular 4 step Y1'!G763</f>
        <v>162</v>
      </c>
      <c r="K24" s="143">
        <f>'Formular 4 step Y1'!G764</f>
        <v>163</v>
      </c>
      <c r="L24" s="141">
        <f>'Formular 4 step Y1'!G765</f>
        <v>164</v>
      </c>
      <c r="M24" s="141">
        <f>'Formular 4 step Y1'!G766</f>
        <v>165</v>
      </c>
      <c r="N24" s="141">
        <f>'Formular 4 step Y1'!H763</f>
        <v>162</v>
      </c>
      <c r="O24" s="143">
        <f>'Formular 4 step Y1'!H764</f>
        <v>163</v>
      </c>
      <c r="P24" s="141">
        <f>'Formular 4 step Y1'!H765</f>
        <v>164</v>
      </c>
      <c r="Q24" s="141">
        <f>'Formular 4 step Y1'!H766</f>
        <v>165</v>
      </c>
    </row>
    <row r="25" spans="1:17" s="144" customFormat="1" x14ac:dyDescent="0.25">
      <c r="A25" s="255" t="s">
        <v>116</v>
      </c>
      <c r="B25" s="307">
        <f>'Formular 4 step Y1'!E788</f>
        <v>278</v>
      </c>
      <c r="C25" s="142">
        <f>'Formular 4 step Y1'!E789</f>
        <v>279</v>
      </c>
      <c r="D25" s="141">
        <f>'Formular 4 step Y1'!E790</f>
        <v>280</v>
      </c>
      <c r="E25" s="141">
        <f>'Formular 4 step Y1'!E791</f>
        <v>281</v>
      </c>
      <c r="F25" s="213">
        <f>'Formular 4 step Y1'!F788</f>
        <v>280</v>
      </c>
      <c r="G25" s="213">
        <f>'Formular 4 step Y1'!F789</f>
        <v>281</v>
      </c>
      <c r="H25" s="213">
        <f>'Formular 4 step Y1'!F790</f>
        <v>282</v>
      </c>
      <c r="I25" s="213">
        <f>'Formular 4 step Y1'!F791</f>
        <v>283</v>
      </c>
      <c r="J25" s="212">
        <f>'Formular 4 step Y1'!G788</f>
        <v>276</v>
      </c>
      <c r="K25" s="212">
        <f>'Formular 4 step Y1'!G789</f>
        <v>277</v>
      </c>
      <c r="L25" s="212">
        <f>'Formular 4 step Y1'!G790</f>
        <v>278</v>
      </c>
      <c r="M25" s="212">
        <f>'Formular 4 step Y1'!G791</f>
        <v>279</v>
      </c>
      <c r="N25" s="212">
        <f>'Formular 4 step Y1'!H788</f>
        <v>272</v>
      </c>
      <c r="O25" s="212">
        <f>'Formular 4 step Y1'!H789</f>
        <v>273</v>
      </c>
      <c r="P25" s="212">
        <f>'Formular 4 step Y1'!H790</f>
        <v>274</v>
      </c>
      <c r="Q25" s="212">
        <f>'Formular 4 step Y1'!H791</f>
        <v>275</v>
      </c>
    </row>
    <row r="26" spans="1:17" s="144" customFormat="1" x14ac:dyDescent="0.25">
      <c r="A26" s="255" t="s">
        <v>117</v>
      </c>
      <c r="B26" s="307">
        <f>'Formular 4 step Y1'!E813</f>
        <v>435</v>
      </c>
      <c r="C26" s="142">
        <f>'Formular 4 step Y1'!E814</f>
        <v>436</v>
      </c>
      <c r="D26" s="141">
        <f>'Formular 4 step Y1'!E815</f>
        <v>437</v>
      </c>
      <c r="E26" s="141">
        <f>'Formular 4 step Y1'!E816</f>
        <v>438</v>
      </c>
      <c r="F26" s="140">
        <f>'Formular 4 step Y1'!F813</f>
        <v>437</v>
      </c>
      <c r="G26" s="141">
        <f>'Formular 4 step Y1'!F814</f>
        <v>438</v>
      </c>
      <c r="H26" s="141">
        <f>'Formular 4 step Y1'!F815</f>
        <v>439</v>
      </c>
      <c r="I26" s="141">
        <f>'Formular 4 step Y1'!F816</f>
        <v>440</v>
      </c>
      <c r="J26" s="140">
        <f>'Formular 4 step Y1'!G813</f>
        <v>433</v>
      </c>
      <c r="K26" s="141">
        <f>'Formular 4 step Y1'!G814</f>
        <v>434</v>
      </c>
      <c r="L26" s="141">
        <f>'Formular 4 step Y1'!G815</f>
        <v>435</v>
      </c>
      <c r="M26" s="141">
        <f>'Formular 4 step Y1'!G816</f>
        <v>436</v>
      </c>
      <c r="N26" s="140">
        <f>'Formular 4 step Y1'!H813</f>
        <v>429</v>
      </c>
      <c r="O26" s="141">
        <f>'Formular 4 step Y1'!H814</f>
        <v>430</v>
      </c>
      <c r="P26" s="141">
        <f>'Formular 4 step Y1'!H815</f>
        <v>431</v>
      </c>
      <c r="Q26" s="141">
        <f>'Formular 4 step Y1'!H816</f>
        <v>432</v>
      </c>
    </row>
    <row r="27" spans="1:17" s="144" customFormat="1" x14ac:dyDescent="0.25">
      <c r="A27" s="255" t="s">
        <v>217</v>
      </c>
      <c r="B27" s="307">
        <f>'Formular 4 step Y1'!E214</f>
        <v>920</v>
      </c>
      <c r="C27" s="142">
        <f>'Formular 4 step Y1'!E215</f>
        <v>923</v>
      </c>
      <c r="D27" s="141">
        <f>'Formular 4 step Y1'!E216</f>
        <v>933</v>
      </c>
      <c r="E27" s="141">
        <f>'Formular 4 step Y1'!E217</f>
        <v>943</v>
      </c>
      <c r="F27" s="204">
        <f>'Formular 4 step Y1'!F214</f>
        <v>924</v>
      </c>
      <c r="G27" s="143">
        <f>'Formular 4 step Y1'!F215</f>
        <v>927</v>
      </c>
      <c r="H27" s="141">
        <f>'Formular 4 step Y1'!F216</f>
        <v>937</v>
      </c>
      <c r="I27" s="141">
        <f>'Formular 4 step Y1'!F217</f>
        <v>947</v>
      </c>
      <c r="J27" s="141">
        <f>'Formular 4 step Y1'!G214</f>
        <v>917</v>
      </c>
      <c r="K27" s="143">
        <f>'Formular 4 step Y1'!G215</f>
        <v>920</v>
      </c>
      <c r="L27" s="141">
        <f>'Formular 4 step Y1'!G216</f>
        <v>930</v>
      </c>
      <c r="M27" s="141">
        <f>'Formular 4 step Y1'!G217</f>
        <v>940</v>
      </c>
      <c r="N27" s="141">
        <f>'Formular 4 step Y1'!H214</f>
        <v>910</v>
      </c>
      <c r="O27" s="143">
        <f>'Formular 4 step Y1'!H215</f>
        <v>913</v>
      </c>
      <c r="P27" s="141">
        <f>'Formular 4 step Y1'!H216</f>
        <v>923</v>
      </c>
      <c r="Q27" s="141">
        <f>'Formular 4 step Y1'!H217</f>
        <v>933</v>
      </c>
    </row>
    <row r="28" spans="1:17" s="144" customFormat="1" x14ac:dyDescent="0.25">
      <c r="A28" s="255" t="s">
        <v>209</v>
      </c>
      <c r="B28" s="308">
        <f>'Formular 4 step Y1'!E239</f>
        <v>22.267906</v>
      </c>
      <c r="C28" s="142">
        <f>'Formular 4 step Y1'!E240</f>
        <v>23</v>
      </c>
      <c r="D28" s="141">
        <f>'Formular 4 step Y1'!E241</f>
        <v>24</v>
      </c>
      <c r="E28" s="141">
        <f>'Formular 4 step Y1'!E242</f>
        <v>25</v>
      </c>
      <c r="F28" s="313">
        <f>'Formular 4 step Y1'!F239</f>
        <v>22.267906</v>
      </c>
      <c r="G28" s="143">
        <f>'Formular 4 step Y1'!F240</f>
        <v>23</v>
      </c>
      <c r="H28" s="141">
        <f>'Formular 4 step Y1'!F241</f>
        <v>24</v>
      </c>
      <c r="I28" s="141">
        <f>'Formular 4 step Y1'!F242</f>
        <v>25</v>
      </c>
      <c r="J28" s="304">
        <f>'Formular 4 step Y1'!G239</f>
        <v>22.267906</v>
      </c>
      <c r="K28" s="143">
        <f>'Formular 4 step Y1'!G240</f>
        <v>23</v>
      </c>
      <c r="L28" s="141">
        <f>'Formular 4 step Y1'!G241</f>
        <v>24</v>
      </c>
      <c r="M28" s="141">
        <f>'Formular 4 step Y1'!G242</f>
        <v>25</v>
      </c>
      <c r="N28" s="304">
        <f>'Formular 4 step Y1'!H239</f>
        <v>22.267906</v>
      </c>
      <c r="O28" s="143">
        <f>'Formular 4 step Y1'!H240</f>
        <v>23</v>
      </c>
      <c r="P28" s="141">
        <f>'Formular 4 step Y1'!H241</f>
        <v>24</v>
      </c>
      <c r="Q28" s="141">
        <f>'Formular 4 step Y1'!H242</f>
        <v>25</v>
      </c>
    </row>
    <row r="29" spans="1:17" s="133" customFormat="1" x14ac:dyDescent="0.25">
      <c r="A29" s="268" t="s">
        <v>210</v>
      </c>
      <c r="B29" s="309">
        <f>'Formular 4 step Y1'!E264</f>
        <v>19.866611999999996</v>
      </c>
      <c r="C29" s="281">
        <f>'Formular 4 step Y1'!E265</f>
        <v>21</v>
      </c>
      <c r="D29" s="118">
        <f>'Formular 4 step Y1'!E266</f>
        <v>22</v>
      </c>
      <c r="E29" s="118">
        <f>'Formular 4 step Y1'!E267</f>
        <v>23</v>
      </c>
      <c r="F29" s="314">
        <f>'Formular 4 step Y1'!F264</f>
        <v>19.866611999999996</v>
      </c>
      <c r="G29" s="134">
        <f>'Formular 4 step Y1'!F265</f>
        <v>21</v>
      </c>
      <c r="H29" s="118">
        <f>'Formular 4 step Y1'!F266</f>
        <v>22</v>
      </c>
      <c r="I29" s="118">
        <f>'Formular 4 step Y1'!F267</f>
        <v>23</v>
      </c>
      <c r="J29" s="317">
        <f>'Formular 4 step Y1'!G264</f>
        <v>19.866611999999996</v>
      </c>
      <c r="K29" s="134">
        <f>'Formular 4 step Y1'!G265</f>
        <v>21</v>
      </c>
      <c r="L29" s="118">
        <f>'Formular 4 step Y1'!G266</f>
        <v>22</v>
      </c>
      <c r="M29" s="118">
        <f>'Formular 4 step Y1'!G267</f>
        <v>23</v>
      </c>
      <c r="N29" s="317">
        <f>'Formular 4 step Y1'!H264</f>
        <v>19.866611999999996</v>
      </c>
      <c r="O29" s="134">
        <f>'Formular 4 step Y1'!H265</f>
        <v>21</v>
      </c>
      <c r="P29" s="118">
        <f>'Formular 4 step Y1'!H266</f>
        <v>22</v>
      </c>
      <c r="Q29" s="118">
        <f>'Formular 4 step Y1'!H267</f>
        <v>23</v>
      </c>
    </row>
    <row r="30" spans="1:17" s="133" customFormat="1" x14ac:dyDescent="0.25">
      <c r="A30" s="268" t="s">
        <v>233</v>
      </c>
      <c r="B30" s="309">
        <f>'Formular 4 step Y1'!E289</f>
        <v>25.329818</v>
      </c>
      <c r="C30" s="281">
        <f>'Formular 4 step Y1'!E290</f>
        <v>26</v>
      </c>
      <c r="D30" s="118">
        <f>'Formular 4 step Y1'!E291</f>
        <v>27</v>
      </c>
      <c r="E30" s="118">
        <f>'Formular 4 step Y1'!E292</f>
        <v>28</v>
      </c>
      <c r="F30" s="314">
        <f>'Formular 4 step Y1'!F289</f>
        <v>25.329818</v>
      </c>
      <c r="G30" s="134">
        <f>'Formular 4 step Y1'!F290</f>
        <v>26</v>
      </c>
      <c r="H30" s="118">
        <f>'Formular 4 step Y1'!F291</f>
        <v>27</v>
      </c>
      <c r="I30" s="118">
        <f>'Formular 4 step Y1'!F292</f>
        <v>28</v>
      </c>
      <c r="J30" s="317">
        <f>'Formular 4 step Y1'!G289</f>
        <v>25.329818</v>
      </c>
      <c r="K30" s="134">
        <f>'Formular 4 step Y1'!G290</f>
        <v>26</v>
      </c>
      <c r="L30" s="118">
        <f>'Formular 4 step Y1'!G291</f>
        <v>27</v>
      </c>
      <c r="M30" s="118">
        <f>'Formular 4 step Y1'!G292</f>
        <v>28</v>
      </c>
      <c r="N30" s="317">
        <f>'Formular 4 step Y1'!H289</f>
        <v>25.329818</v>
      </c>
      <c r="O30" s="134">
        <f>'Formular 4 step Y1'!H290</f>
        <v>26</v>
      </c>
      <c r="P30" s="118">
        <f>'Formular 4 step Y1'!H291</f>
        <v>27</v>
      </c>
      <c r="Q30" s="118">
        <f>'Formular 4 step Y1'!H292</f>
        <v>28</v>
      </c>
    </row>
    <row r="31" spans="1:17" s="144" customFormat="1" x14ac:dyDescent="0.25">
      <c r="A31" s="255" t="s">
        <v>211</v>
      </c>
      <c r="B31" s="307">
        <f>'Formular 4 step Y1'!E313</f>
        <v>23</v>
      </c>
      <c r="C31" s="142">
        <f>'Formular 4 step Y1'!E314</f>
        <v>24</v>
      </c>
      <c r="D31" s="141">
        <f>'Formular 4 step Y1'!E315</f>
        <v>25</v>
      </c>
      <c r="E31" s="141">
        <f>'Formular 4 step Y1'!E316</f>
        <v>26</v>
      </c>
      <c r="F31" s="204">
        <f>'Formular 4 step Y1'!F313</f>
        <v>23</v>
      </c>
      <c r="G31" s="143">
        <f>'Formular 4 step Y1'!F314</f>
        <v>24</v>
      </c>
      <c r="H31" s="141">
        <f>'Formular 4 step Y1'!F315</f>
        <v>25</v>
      </c>
      <c r="I31" s="141">
        <f>'Formular 4 step Y1'!F316</f>
        <v>26</v>
      </c>
      <c r="J31" s="141">
        <f>'Formular 4 step Y1'!G313</f>
        <v>23</v>
      </c>
      <c r="K31" s="143">
        <f>'Formular 4 step Y1'!G314</f>
        <v>24</v>
      </c>
      <c r="L31" s="141">
        <f>'Formular 4 step Y1'!G315</f>
        <v>25</v>
      </c>
      <c r="M31" s="141">
        <f>'Formular 4 step Y1'!G316</f>
        <v>26</v>
      </c>
      <c r="N31" s="141">
        <f>'Formular 4 step Y1'!H313</f>
        <v>23</v>
      </c>
      <c r="O31" s="143">
        <f>'Formular 4 step Y1'!H314</f>
        <v>24</v>
      </c>
      <c r="P31" s="141">
        <f>'Formular 4 step Y1'!H315</f>
        <v>25</v>
      </c>
      <c r="Q31" s="141">
        <f>'Formular 4 step Y1'!H316</f>
        <v>26</v>
      </c>
    </row>
    <row r="32" spans="1:17" s="144" customFormat="1" x14ac:dyDescent="0.25">
      <c r="A32" s="255" t="s">
        <v>212</v>
      </c>
      <c r="B32" s="307">
        <f>'Formular 4 step Y1'!E338</f>
        <v>46</v>
      </c>
      <c r="C32" s="142">
        <f>'Formular 4 step Y1'!E339</f>
        <v>47</v>
      </c>
      <c r="D32" s="141">
        <f>'Formular 4 step Y1'!E340</f>
        <v>48</v>
      </c>
      <c r="E32" s="141">
        <f>'Formular 4 step Y1'!E341</f>
        <v>50</v>
      </c>
      <c r="F32" s="204">
        <f>'Formular 4 step Y1'!F338</f>
        <v>46</v>
      </c>
      <c r="G32" s="143">
        <f>'Formular 4 step Y1'!F339</f>
        <v>47</v>
      </c>
      <c r="H32" s="141">
        <f>'Formular 4 step Y1'!F340</f>
        <v>48</v>
      </c>
      <c r="I32" s="141">
        <f>'Formular 4 step Y1'!F341</f>
        <v>50</v>
      </c>
      <c r="J32" s="141">
        <f>'Formular 4 step Y1'!G338</f>
        <v>46</v>
      </c>
      <c r="K32" s="143">
        <f>'Formular 4 step Y1'!G339</f>
        <v>47</v>
      </c>
      <c r="L32" s="141">
        <f>'Formular 4 step Y1'!G340</f>
        <v>48</v>
      </c>
      <c r="M32" s="141">
        <f>'Formular 4 step Y1'!G341</f>
        <v>50</v>
      </c>
      <c r="N32" s="141">
        <f>'Formular 4 step Y1'!H338</f>
        <v>46</v>
      </c>
      <c r="O32" s="143">
        <f>'Formular 4 step Y1'!H339</f>
        <v>47</v>
      </c>
      <c r="P32" s="141">
        <f>'Formular 4 step Y1'!H340</f>
        <v>48</v>
      </c>
      <c r="Q32" s="141">
        <f>'Formular 4 step Y1'!H341</f>
        <v>50</v>
      </c>
    </row>
    <row r="33" spans="1:17" s="144" customFormat="1" x14ac:dyDescent="0.25">
      <c r="A33" s="255" t="s">
        <v>213</v>
      </c>
      <c r="B33" s="307">
        <f>'Formular 4 step Y1'!E888</f>
        <v>46.802608788000001</v>
      </c>
      <c r="C33" s="142">
        <f>'Formular 4 step Y1'!E889</f>
        <v>47.5</v>
      </c>
      <c r="D33" s="141">
        <f>'Formular 4 step Y1'!E890</f>
        <v>48.090753983999996</v>
      </c>
      <c r="E33" s="141">
        <f>'Formular 4 step Y1'!E891</f>
        <v>49.378899179999991</v>
      </c>
      <c r="F33" s="204">
        <f>'Formular 4 step Y1'!F888</f>
        <v>46.802608788000001</v>
      </c>
      <c r="G33" s="143">
        <f>'Formular 4 step Y1'!F889</f>
        <v>47.5</v>
      </c>
      <c r="H33" s="141">
        <f>'Formular 4 step Y1'!F890</f>
        <v>48.090753983999996</v>
      </c>
      <c r="I33" s="141">
        <f>'Formular 4 step Y1'!F891</f>
        <v>49.378899179999991</v>
      </c>
      <c r="J33" s="141">
        <f>'Formular 4 step Y1'!G888</f>
        <v>46.802608788000001</v>
      </c>
      <c r="K33" s="143">
        <f>'Formular 4 step Y1'!G889</f>
        <v>47.5</v>
      </c>
      <c r="L33" s="141">
        <f>'Formular 4 step Y1'!G890</f>
        <v>48.090753983999996</v>
      </c>
      <c r="M33" s="141">
        <f>'Formular 4 step Y1'!G891</f>
        <v>49.378899179999991</v>
      </c>
      <c r="N33" s="141">
        <f>'Formular 4 step Y1'!H888</f>
        <v>46.802608788000001</v>
      </c>
      <c r="O33" s="143">
        <f>'Formular 4 step Y1'!H889</f>
        <v>47.5</v>
      </c>
      <c r="P33" s="141">
        <f>'Formular 4 step Y1'!H890</f>
        <v>48.090753983999996</v>
      </c>
      <c r="Q33" s="141">
        <f>'Formular 4 step Y1'!H891</f>
        <v>49.378899179999991</v>
      </c>
    </row>
    <row r="34" spans="1:17" s="144" customFormat="1" x14ac:dyDescent="0.25">
      <c r="A34" s="255" t="s">
        <v>214</v>
      </c>
      <c r="B34" s="307">
        <f>'Formular 4 step Y1'!E363</f>
        <v>28</v>
      </c>
      <c r="C34" s="142">
        <f>'Formular 4 step Y1'!E364</f>
        <v>29</v>
      </c>
      <c r="D34" s="141">
        <f>'Formular 4 step Y1'!E365</f>
        <v>31</v>
      </c>
      <c r="E34" s="141">
        <f>'Formular 4 step Y1'!E366</f>
        <v>32</v>
      </c>
      <c r="F34" s="204">
        <f>'Formular 4 step Y1'!F363</f>
        <v>28</v>
      </c>
      <c r="G34" s="143">
        <f>'Formular 4 step Y1'!F364</f>
        <v>29</v>
      </c>
      <c r="H34" s="141">
        <f>'Formular 4 step Y1'!F365</f>
        <v>31</v>
      </c>
      <c r="I34" s="141">
        <f>'Formular 4 step Y1'!F366</f>
        <v>32</v>
      </c>
      <c r="J34" s="141">
        <f>'Formular 4 step Y1'!G363</f>
        <v>28</v>
      </c>
      <c r="K34" s="143">
        <f>'Formular 4 step Y1'!G364</f>
        <v>29</v>
      </c>
      <c r="L34" s="141">
        <f>'Formular 4 step Y1'!G365</f>
        <v>31</v>
      </c>
      <c r="M34" s="141">
        <f>'Formular 4 step Y1'!G366</f>
        <v>32</v>
      </c>
      <c r="N34" s="141">
        <f>'Formular 4 step Y1'!H363</f>
        <v>28</v>
      </c>
      <c r="O34" s="143">
        <f>'Formular 4 step Y1'!H364</f>
        <v>29</v>
      </c>
      <c r="P34" s="141">
        <f>'Formular 4 step Y1'!H365</f>
        <v>31</v>
      </c>
      <c r="Q34" s="141">
        <f>'Formular 4 step Y1'!H366</f>
        <v>32</v>
      </c>
    </row>
    <row r="35" spans="1:17" s="144" customFormat="1" x14ac:dyDescent="0.25">
      <c r="A35" s="255" t="s">
        <v>215</v>
      </c>
      <c r="B35" s="307">
        <f>'Formular 4 step Y1'!E388</f>
        <v>57</v>
      </c>
      <c r="C35" s="142">
        <f>'Formular 4 step Y1'!E389</f>
        <v>58</v>
      </c>
      <c r="D35" s="141">
        <f>'Formular 4 step Y1'!E390</f>
        <v>59</v>
      </c>
      <c r="E35" s="141">
        <f>'Formular 4 step Y1'!E391</f>
        <v>61</v>
      </c>
      <c r="F35" s="204">
        <f>'Formular 4 step Y1'!F388</f>
        <v>57</v>
      </c>
      <c r="G35" s="143">
        <f>'Formular 4 step Y1'!F389</f>
        <v>58</v>
      </c>
      <c r="H35" s="141">
        <f>'Formular 4 step Y1'!F390</f>
        <v>59</v>
      </c>
      <c r="I35" s="141">
        <f>'Formular 4 step Y1'!F391</f>
        <v>61</v>
      </c>
      <c r="J35" s="141">
        <f>'Formular 4 step Y1'!G388</f>
        <v>57</v>
      </c>
      <c r="K35" s="143">
        <f>'Formular 4 step Y1'!G389</f>
        <v>58</v>
      </c>
      <c r="L35" s="141">
        <f>'Formular 4 step Y1'!G390</f>
        <v>59</v>
      </c>
      <c r="M35" s="141">
        <f>'Formular 4 step Y1'!Q391</f>
        <v>62</v>
      </c>
      <c r="N35" s="141">
        <f>'Formular 4 step Y1'!H388</f>
        <v>57</v>
      </c>
      <c r="O35" s="143">
        <f>'Formular 4 step Y1'!H389</f>
        <v>58</v>
      </c>
      <c r="P35" s="141">
        <f>'Formular 4 step Y1'!H390</f>
        <v>59</v>
      </c>
      <c r="Q35" s="141">
        <f>'Formular 4 step Y1'!H391</f>
        <v>61</v>
      </c>
    </row>
    <row r="36" spans="1:17" s="144" customFormat="1" x14ac:dyDescent="0.25">
      <c r="A36" s="255" t="s">
        <v>216</v>
      </c>
      <c r="B36" s="307">
        <f>'Formular 4 step Y1'!D913</f>
        <v>63.55102428</v>
      </c>
      <c r="C36" s="142">
        <f>'Formular 4 step Y1'!D914</f>
        <v>64.5</v>
      </c>
      <c r="D36" s="141">
        <f>'Formular 4 step Y1'!D915</f>
        <v>65.300135040000001</v>
      </c>
      <c r="E36" s="141">
        <f>'Formular 4 step Y1'!D916</f>
        <v>67.049245799999994</v>
      </c>
      <c r="F36" s="204">
        <f>'Formular 4 step Y1'!F913</f>
        <v>63.442024279999998</v>
      </c>
      <c r="G36" s="143">
        <f>'Formular 4 step Y1'!F914</f>
        <v>64.5</v>
      </c>
      <c r="H36" s="141">
        <f>'Formular 4 step Y1'!F915</f>
        <v>65.188135040000006</v>
      </c>
      <c r="I36" s="141">
        <f>'Formular 4 step Y1'!F916</f>
        <v>66.934245799999985</v>
      </c>
      <c r="J36" s="141">
        <f>'Formular 4 step Y1'!G913</f>
        <v>63.442024279999998</v>
      </c>
      <c r="K36" s="143">
        <f>'Formular 4 step Y1'!G914</f>
        <v>64.5</v>
      </c>
      <c r="L36" s="141">
        <f>'Formular 4 step Y1'!G915</f>
        <v>65.188135040000006</v>
      </c>
      <c r="M36" s="141">
        <f>'Formular 4 step Y1'!G916</f>
        <v>66.934245799999985</v>
      </c>
      <c r="N36" s="141">
        <f>'Formular 4 step Y1'!H913</f>
        <v>63.442024279999998</v>
      </c>
      <c r="O36" s="143">
        <f>'Formular 4 step Y1'!H914</f>
        <v>64.5</v>
      </c>
      <c r="P36" s="141">
        <f>'Formular 4 step Y1'!H915</f>
        <v>65.188135040000006</v>
      </c>
      <c r="Q36" s="141">
        <f>'Formular 4 step Y1'!H916</f>
        <v>66.934245799999985</v>
      </c>
    </row>
    <row r="37" spans="1:17" x14ac:dyDescent="0.25">
      <c r="A37" s="273" t="s">
        <v>84</v>
      </c>
      <c r="B37" s="310">
        <f>'Formular 4 step Y1'!E413</f>
        <v>189</v>
      </c>
      <c r="C37" s="83">
        <f>'Formular 4 step Y1'!E414</f>
        <v>190</v>
      </c>
      <c r="D37" s="76">
        <f>'Formular 4 step Y1'!E415</f>
        <v>195</v>
      </c>
      <c r="E37" s="76">
        <f>'Formular 4 step Y1'!E416</f>
        <v>200</v>
      </c>
      <c r="F37" s="315">
        <f>'Formular 4 step Y1'!F413</f>
        <v>189</v>
      </c>
      <c r="G37" s="85">
        <f>'Formular 4 step Y1'!F414</f>
        <v>190</v>
      </c>
      <c r="H37" s="76">
        <f>'Formular 4 step Y1'!F415</f>
        <v>195</v>
      </c>
      <c r="I37" s="76">
        <f>'Formular 4 step Y1'!F416</f>
        <v>200</v>
      </c>
      <c r="J37" s="76">
        <f>'Formular 4 step Y1'!G413</f>
        <v>189</v>
      </c>
      <c r="K37" s="85">
        <f>'Formular 4 step Y1'!G414</f>
        <v>190</v>
      </c>
      <c r="L37" s="76">
        <f>'Formular 4 step Y1'!G415</f>
        <v>195</v>
      </c>
      <c r="M37" s="76">
        <f>'Formular 4 step Y1'!G416</f>
        <v>200</v>
      </c>
      <c r="N37" s="76">
        <f>'Formular 4 step Y1'!H413</f>
        <v>189</v>
      </c>
      <c r="O37" s="85">
        <f>'Formular 4 step Y1'!H414</f>
        <v>190</v>
      </c>
      <c r="P37" s="76">
        <f>'Formular 4 step Y1'!H415</f>
        <v>195</v>
      </c>
      <c r="Q37" s="76">
        <f>'Formular 4 step Y1'!H416</f>
        <v>200</v>
      </c>
    </row>
    <row r="38" spans="1:17" x14ac:dyDescent="0.25">
      <c r="A38" s="273" t="s">
        <v>85</v>
      </c>
      <c r="B38" s="310">
        <f>'Formular 4 step Y1'!E438</f>
        <v>260</v>
      </c>
      <c r="C38" s="83">
        <f>'Formular 4 step Y1'!E439</f>
        <v>262</v>
      </c>
      <c r="D38" s="76">
        <f>'Formular 4 step Y1'!E440</f>
        <v>264</v>
      </c>
      <c r="E38" s="76">
        <f>'Formular 4 step Y1'!E441</f>
        <v>266</v>
      </c>
      <c r="F38" s="315">
        <f>'Formular 4 step Y1'!F438</f>
        <v>260</v>
      </c>
      <c r="G38" s="85">
        <f>'Formular 4 step Y1'!F439</f>
        <v>262</v>
      </c>
      <c r="H38" s="76">
        <f>'Formular 4 step Y1'!F440</f>
        <v>264</v>
      </c>
      <c r="I38" s="76">
        <f>'Formular 4 step Y1'!F441</f>
        <v>266</v>
      </c>
      <c r="J38" s="76">
        <f>'Formular 4 step Y1'!G438</f>
        <v>260</v>
      </c>
      <c r="K38" s="85">
        <f>'Formular 4 step Y1'!G439</f>
        <v>262</v>
      </c>
      <c r="L38" s="76">
        <f>'Formular 4 step Y1'!G440</f>
        <v>264</v>
      </c>
      <c r="M38" s="76">
        <f>'Formular 4 step Y1'!G441</f>
        <v>266</v>
      </c>
      <c r="N38" s="76">
        <f>'Formular 4 step Y1'!H438</f>
        <v>260</v>
      </c>
      <c r="O38" s="85">
        <f>'Formular 4 step Y1'!H439</f>
        <v>262</v>
      </c>
      <c r="P38" s="76">
        <f>'Formular 4 step Y1'!H440</f>
        <v>264</v>
      </c>
      <c r="Q38" s="76">
        <f>'Formular 4 step Y1'!H441</f>
        <v>266</v>
      </c>
    </row>
    <row r="39" spans="1:17" x14ac:dyDescent="0.25">
      <c r="A39" s="273" t="s">
        <v>86</v>
      </c>
      <c r="B39" s="310">
        <f>'Formular 4 step Y1'!E463</f>
        <v>320</v>
      </c>
      <c r="C39" s="83">
        <f>'Formular 4 step Y1'!E464</f>
        <v>322</v>
      </c>
      <c r="D39" s="76">
        <f>'Formular 4 step Y1'!E465</f>
        <v>324</v>
      </c>
      <c r="E39" s="76">
        <f>'Formular 4 step Y1'!E466</f>
        <v>326</v>
      </c>
      <c r="F39" s="315">
        <f>'Formular 4 step Y1'!F463</f>
        <v>320</v>
      </c>
      <c r="G39" s="85">
        <f>'Formular 4 step Y1'!F464</f>
        <v>322</v>
      </c>
      <c r="H39" s="76">
        <f>'Formular 4 step Y1'!F465</f>
        <v>324</v>
      </c>
      <c r="I39" s="76">
        <f>'Formular 4 step Y1'!F466</f>
        <v>326</v>
      </c>
      <c r="J39" s="76">
        <f>'Formular 4 step Y1'!G463</f>
        <v>320</v>
      </c>
      <c r="K39" s="85">
        <f>'Formular 4 step Y1'!G464</f>
        <v>322</v>
      </c>
      <c r="L39" s="76">
        <f>'Formular 4 step Y1'!G465</f>
        <v>324</v>
      </c>
      <c r="M39" s="76">
        <f>'Formular 4 step Y1'!G466</f>
        <v>326</v>
      </c>
      <c r="N39" s="76">
        <f>'Formular 4 step Y1'!H463</f>
        <v>320</v>
      </c>
      <c r="O39" s="85">
        <f>'Formular 4 step Y1'!H464</f>
        <v>322</v>
      </c>
      <c r="P39" s="76">
        <f>'Formular 4 step Y1'!H465</f>
        <v>324</v>
      </c>
      <c r="Q39" s="76">
        <f>'Formular 4 step Y1'!H466</f>
        <v>326</v>
      </c>
    </row>
    <row r="40" spans="1:17" x14ac:dyDescent="0.25">
      <c r="A40" s="273" t="s">
        <v>87</v>
      </c>
      <c r="B40" s="310">
        <f>'Formular 4 step Y1'!E488</f>
        <v>771</v>
      </c>
      <c r="C40" s="83">
        <f>'Formular 4 step Y1'!E489</f>
        <v>773</v>
      </c>
      <c r="D40" s="76">
        <f>'Formular 4 step Y1'!E490</f>
        <v>778</v>
      </c>
      <c r="E40" s="76">
        <f>'Formular 4 step Y1'!E491</f>
        <v>783</v>
      </c>
      <c r="F40" s="315">
        <f>'Formular 4 step Y1'!F488</f>
        <v>771</v>
      </c>
      <c r="G40" s="85">
        <f>'Formular 4 step Y1'!F489</f>
        <v>773</v>
      </c>
      <c r="H40" s="76">
        <f>'Formular 4 step Y1'!F490</f>
        <v>778</v>
      </c>
      <c r="I40" s="76">
        <f>'Formular 4 step Y1'!F491</f>
        <v>783</v>
      </c>
      <c r="J40" s="76">
        <f>'Formular 4 step Y1'!G488</f>
        <v>771</v>
      </c>
      <c r="K40" s="85">
        <f>'Formular 4 step Y1'!G489</f>
        <v>773</v>
      </c>
      <c r="L40" s="76">
        <f>'Formular 4 step Y1'!G490</f>
        <v>778</v>
      </c>
      <c r="M40" s="76">
        <f>'Formular 4 step Y1'!G491</f>
        <v>783</v>
      </c>
      <c r="N40" s="76">
        <f>'Formular 4 step Y1'!H488</f>
        <v>771</v>
      </c>
      <c r="O40" s="85">
        <f>'Formular 4 step Y1'!H489</f>
        <v>773</v>
      </c>
      <c r="P40" s="76">
        <f>'Formular 4 step Y1'!H490</f>
        <v>778</v>
      </c>
      <c r="Q40" s="76">
        <f>'Formular 4 step Y1'!H491</f>
        <v>783</v>
      </c>
    </row>
    <row r="41" spans="1:17" x14ac:dyDescent="0.25">
      <c r="A41" s="273" t="s">
        <v>88</v>
      </c>
      <c r="B41" s="310">
        <f>'Formular 4 step Y1'!E513</f>
        <v>257</v>
      </c>
      <c r="C41" s="83">
        <f>'Formular 4 step Y1'!E514</f>
        <v>259</v>
      </c>
      <c r="D41" s="76">
        <f>'Formular 4 step Y1'!E515</f>
        <v>262</v>
      </c>
      <c r="E41" s="76">
        <f>'Formular 4 step Y1'!E516</f>
        <v>264</v>
      </c>
      <c r="F41" s="315">
        <f>'Formular 4 step Y1'!F513</f>
        <v>257</v>
      </c>
      <c r="G41" s="85">
        <f>'Formular 4 step Y1'!F514</f>
        <v>259</v>
      </c>
      <c r="H41" s="76">
        <f>'Formular 4 step Y1'!F515</f>
        <v>262</v>
      </c>
      <c r="I41" s="76">
        <f>'Formular 4 step Y1'!F516</f>
        <v>264</v>
      </c>
      <c r="J41" s="76">
        <f>'Formular 4 step Y1'!G513</f>
        <v>257</v>
      </c>
      <c r="K41" s="85">
        <f>'Formular 4 step Y1'!G514</f>
        <v>259</v>
      </c>
      <c r="L41" s="76">
        <f>'Formular 4 step Y1'!G515</f>
        <v>262</v>
      </c>
      <c r="M41" s="76">
        <f>'Formular 4 step Y1'!G516</f>
        <v>264</v>
      </c>
      <c r="N41" s="76">
        <f>'Formular 4 step Y1'!H513</f>
        <v>257</v>
      </c>
      <c r="O41" s="85">
        <f>'Formular 4 step Y1'!H514</f>
        <v>259</v>
      </c>
      <c r="P41" s="76">
        <f>'Formular 4 step Y1'!H515</f>
        <v>262</v>
      </c>
      <c r="Q41" s="76">
        <f>'Formular 4 step Y1'!H516</f>
        <v>264</v>
      </c>
    </row>
    <row r="42" spans="1:17" x14ac:dyDescent="0.25">
      <c r="A42" s="273" t="s">
        <v>89</v>
      </c>
      <c r="B42" s="310">
        <f>'Formular 4 step Y1'!E538</f>
        <v>322</v>
      </c>
      <c r="C42" s="83">
        <f>'Formular 4 step Y1'!E539</f>
        <v>324</v>
      </c>
      <c r="D42" s="76">
        <f>'Formular 4 step Y1'!E540</f>
        <v>327</v>
      </c>
      <c r="E42" s="76">
        <f>'Formular 4 step Y1'!E541</f>
        <v>329</v>
      </c>
      <c r="F42" s="315">
        <f>'Formular 4 step Y1'!F538</f>
        <v>322</v>
      </c>
      <c r="G42" s="85">
        <f>'Formular 4 step Y1'!F539</f>
        <v>324</v>
      </c>
      <c r="H42" s="76">
        <f>'Formular 4 step Y1'!F540</f>
        <v>327</v>
      </c>
      <c r="I42" s="76">
        <f>'Formular 4 step Y1'!F541</f>
        <v>329</v>
      </c>
      <c r="J42" s="76">
        <f>'Formular 4 step Y1'!G538</f>
        <v>322</v>
      </c>
      <c r="K42" s="85">
        <f>'Formular 4 step Y1'!G539</f>
        <v>324</v>
      </c>
      <c r="L42" s="76">
        <f>'Formular 4 step Y1'!G540</f>
        <v>327</v>
      </c>
      <c r="M42" s="76">
        <f>'Formular 4 step Y1'!G541</f>
        <v>329</v>
      </c>
      <c r="N42" s="76">
        <f>'Formular 4 step Y1'!H538</f>
        <v>322</v>
      </c>
      <c r="O42" s="85">
        <f>'Formular 4 step Y1'!H539</f>
        <v>324</v>
      </c>
      <c r="P42" s="76">
        <f>'Formular 4 step Y1'!H540</f>
        <v>327</v>
      </c>
      <c r="Q42" s="76">
        <f>'Formular 4 step Y1'!H541</f>
        <v>329</v>
      </c>
    </row>
    <row r="43" spans="1:17" x14ac:dyDescent="0.25">
      <c r="A43" s="273" t="s">
        <v>90</v>
      </c>
      <c r="B43" s="310">
        <f>'Formular 4 step Y1'!E563</f>
        <v>385</v>
      </c>
      <c r="C43" s="83">
        <f>'Formular 4 step Y1'!E564</f>
        <v>387</v>
      </c>
      <c r="D43" s="76">
        <f>'Formular 4 step Y1'!E565</f>
        <v>389</v>
      </c>
      <c r="E43" s="76">
        <f>'Formular 4 step Y1'!E566</f>
        <v>391</v>
      </c>
      <c r="F43" s="315">
        <f>'Formular 4 step Y1'!F563</f>
        <v>385</v>
      </c>
      <c r="G43" s="85">
        <f>'Formular 4 step Y1'!F564</f>
        <v>387</v>
      </c>
      <c r="H43" s="76">
        <f>'Formular 4 step Y1'!F565</f>
        <v>389</v>
      </c>
      <c r="I43" s="76">
        <f>'Formular 4 step Y1'!F566</f>
        <v>391</v>
      </c>
      <c r="J43" s="76">
        <f>'Formular 4 step Y1'!G563</f>
        <v>385</v>
      </c>
      <c r="K43" s="85">
        <f>'Formular 4 step Y1'!G564</f>
        <v>387</v>
      </c>
      <c r="L43" s="76">
        <f>'Formular 4 step Y1'!G565</f>
        <v>389</v>
      </c>
      <c r="M43" s="76">
        <f>'Formular 4 step Y1'!G566</f>
        <v>391</v>
      </c>
      <c r="N43" s="76">
        <f>'Formular 4 step Y1'!H563</f>
        <v>385</v>
      </c>
      <c r="O43" s="85">
        <f>'Formular 4 step Y1'!H564</f>
        <v>387</v>
      </c>
      <c r="P43" s="76">
        <f>'Formular 4 step Y1'!H565</f>
        <v>389</v>
      </c>
      <c r="Q43" s="76">
        <f>'Formular 4 step Y1'!H566</f>
        <v>391</v>
      </c>
    </row>
    <row r="44" spans="1:17" x14ac:dyDescent="0.25">
      <c r="A44" s="273" t="s">
        <v>91</v>
      </c>
      <c r="B44" s="310">
        <f>'Formular 4 step Y1'!E588</f>
        <v>968</v>
      </c>
      <c r="C44" s="83">
        <f>'Formular 4 step Y1'!E589</f>
        <v>978</v>
      </c>
      <c r="D44" s="76">
        <f>'Formular 4 step Y1'!E590</f>
        <v>983</v>
      </c>
      <c r="E44" s="76">
        <f>'Formular 4 step Y1'!E591</f>
        <v>988</v>
      </c>
      <c r="F44" s="315">
        <f>'Formular 4 step Y1'!F588</f>
        <v>968</v>
      </c>
      <c r="G44" s="85">
        <f>'Formular 4 step Y1'!F589</f>
        <v>978</v>
      </c>
      <c r="H44" s="76">
        <f>'Formular 4 step Y1'!F590</f>
        <v>983</v>
      </c>
      <c r="I44" s="76">
        <f>'Formular 4 step Y1'!F591</f>
        <v>988</v>
      </c>
      <c r="J44" s="76">
        <f>'Formular 4 step Y1'!G588</f>
        <v>968</v>
      </c>
      <c r="K44" s="85">
        <f>'Formular 4 step Y1'!G589</f>
        <v>978</v>
      </c>
      <c r="L44" s="76">
        <f>'Formular 4 step Y1'!G590</f>
        <v>983</v>
      </c>
      <c r="M44" s="76">
        <f>'Formular 4 step Y1'!G591</f>
        <v>988</v>
      </c>
      <c r="N44" s="76">
        <f>'Formular 4 step Y1'!H588</f>
        <v>968</v>
      </c>
      <c r="O44" s="85">
        <f>'Formular 4 step Y1'!H589</f>
        <v>978</v>
      </c>
      <c r="P44" s="76">
        <f>'Formular 4 step Y1'!H590</f>
        <v>983</v>
      </c>
      <c r="Q44" s="76">
        <f>'Formular 4 step Y1'!H591</f>
        <v>988</v>
      </c>
    </row>
    <row r="45" spans="1:17" s="144" customFormat="1" x14ac:dyDescent="0.25">
      <c r="A45" s="255" t="s">
        <v>92</v>
      </c>
      <c r="B45" s="307">
        <f>'Formular 4 step Y1'!E613</f>
        <v>147.326525</v>
      </c>
      <c r="C45" s="142">
        <f>'Formular 4 step Y1'!E614</f>
        <v>148</v>
      </c>
      <c r="D45" s="141">
        <f>'Formular 4 step Y1'!E615</f>
        <v>149</v>
      </c>
      <c r="E45" s="141">
        <f>'Formular 4 step Y1'!E616</f>
        <v>151</v>
      </c>
      <c r="F45" s="204">
        <f>'Formular 4 step Y1'!F613</f>
        <v>147.326525</v>
      </c>
      <c r="G45" s="143">
        <f>'Formular 4 step Y1'!F614</f>
        <v>148</v>
      </c>
      <c r="H45" s="141">
        <f>'Formular 4 step Y1'!F615</f>
        <v>149</v>
      </c>
      <c r="I45" s="141">
        <f>'Formular 4 step Y1'!F616</f>
        <v>151</v>
      </c>
      <c r="J45" s="141">
        <f>'Formular 4 step Y1'!G613</f>
        <v>147.326525</v>
      </c>
      <c r="K45" s="143">
        <f>'Formular 4 step Y1'!G614</f>
        <v>148</v>
      </c>
      <c r="L45" s="141">
        <f>'Formular 4 step Y1'!G615</f>
        <v>149</v>
      </c>
      <c r="M45" s="141">
        <f>'Formular 4 step Y1'!G616</f>
        <v>151</v>
      </c>
      <c r="N45" s="141">
        <f>'Formular 4 step Y1'!H613</f>
        <v>147.326525</v>
      </c>
      <c r="O45" s="143">
        <f>'Formular 4 step Y1'!H614</f>
        <v>148</v>
      </c>
      <c r="P45" s="141">
        <f>'Formular 4 step Y1'!H615</f>
        <v>149</v>
      </c>
      <c r="Q45" s="141">
        <f>'Formular 4 step Y1'!H616</f>
        <v>151</v>
      </c>
    </row>
    <row r="46" spans="1:17" s="144" customFormat="1" x14ac:dyDescent="0.25">
      <c r="A46" s="255" t="s">
        <v>93</v>
      </c>
      <c r="B46" s="307">
        <f>'Formular 4 step Y1'!E638</f>
        <v>96</v>
      </c>
      <c r="C46" s="142">
        <f>'Formular 4 step Y1'!E639</f>
        <v>98</v>
      </c>
      <c r="D46" s="141">
        <f>'Formular 4 step Y1'!E640</f>
        <v>99</v>
      </c>
      <c r="E46" s="141">
        <f>'Formular 4 step Y1'!E641</f>
        <v>100</v>
      </c>
      <c r="F46" s="204">
        <f>'Formular 4 step Y1'!F638</f>
        <v>96</v>
      </c>
      <c r="G46" s="143">
        <f>'Formular 4 step Y1'!F639</f>
        <v>98</v>
      </c>
      <c r="H46" s="141">
        <f>'Formular 4 step Y1'!F640</f>
        <v>99</v>
      </c>
      <c r="I46" s="141">
        <f>'Formular 4 step Y1'!F641</f>
        <v>100</v>
      </c>
      <c r="J46" s="141">
        <f>'Formular 4 step Y1'!G638</f>
        <v>96</v>
      </c>
      <c r="K46" s="143">
        <f>'Formular 4 step Y1'!G639</f>
        <v>98</v>
      </c>
      <c r="L46" s="141">
        <f>'Formular 4 step Y1'!G640</f>
        <v>99</v>
      </c>
      <c r="M46" s="141">
        <f>'Formular 4 step Y1'!G641</f>
        <v>100</v>
      </c>
      <c r="N46" s="141">
        <f>'Formular 4 step Y1'!H638</f>
        <v>96</v>
      </c>
      <c r="O46" s="143">
        <f>'Formular 4 step Y1'!H639</f>
        <v>98</v>
      </c>
      <c r="P46" s="141">
        <f>'Formular 4 step Y1'!H640</f>
        <v>99</v>
      </c>
      <c r="Q46" s="141">
        <f>'Formular 4 step Y1'!H641</f>
        <v>100</v>
      </c>
    </row>
    <row r="47" spans="1:17" s="144" customFormat="1" x14ac:dyDescent="0.25">
      <c r="A47" s="255" t="s">
        <v>94</v>
      </c>
      <c r="B47" s="307">
        <f>'Formular 4 step Y1'!E663</f>
        <v>182</v>
      </c>
      <c r="C47" s="142">
        <f>'Formular 4 step Y1'!E664</f>
        <v>183</v>
      </c>
      <c r="D47" s="141">
        <f>'Formular 4 step Y1'!E665</f>
        <v>185</v>
      </c>
      <c r="E47" s="141">
        <f>'Formular 4 step Y1'!E666</f>
        <v>187</v>
      </c>
      <c r="F47" s="204">
        <f>'Formular 4 step Y1'!F663</f>
        <v>182</v>
      </c>
      <c r="G47" s="143">
        <f>'Formular 4 step Y1'!F664</f>
        <v>183</v>
      </c>
      <c r="H47" s="141">
        <f>'Formular 4 step Y1'!F665</f>
        <v>185</v>
      </c>
      <c r="I47" s="141">
        <f>'Formular 4 step Y1'!F666</f>
        <v>187</v>
      </c>
      <c r="J47" s="141">
        <f>'Formular 4 step Y1'!G663</f>
        <v>182</v>
      </c>
      <c r="K47" s="143">
        <f>'Formular 4 step Y1'!G664</f>
        <v>183</v>
      </c>
      <c r="L47" s="141">
        <f>'Formular 4 step Y1'!G665</f>
        <v>185</v>
      </c>
      <c r="M47" s="141">
        <f>'Formular 4 step Y1'!G666</f>
        <v>187</v>
      </c>
      <c r="N47" s="141">
        <f>'Formular 4 step Y1'!H663</f>
        <v>182</v>
      </c>
      <c r="O47" s="143">
        <f>'Formular 4 step Y1'!H664</f>
        <v>183</v>
      </c>
      <c r="P47" s="141">
        <f>'Formular 4 step Y1'!H665</f>
        <v>185</v>
      </c>
      <c r="Q47" s="141">
        <f>'Formular 4 step Y1'!H666</f>
        <v>187</v>
      </c>
    </row>
    <row r="48" spans="1:17" s="144" customFormat="1" x14ac:dyDescent="0.25">
      <c r="A48" s="255" t="s">
        <v>95</v>
      </c>
      <c r="B48" s="307">
        <f>'Formular 4 step Y1'!E688</f>
        <v>138</v>
      </c>
      <c r="C48" s="142">
        <f>'Formular 4 step Y1'!E689</f>
        <v>140</v>
      </c>
      <c r="D48" s="141">
        <f>'Formular 4 step Y1'!E690</f>
        <v>142</v>
      </c>
      <c r="E48" s="141">
        <f>'Formular 4 step Y1'!E691</f>
        <v>145</v>
      </c>
      <c r="F48" s="204">
        <f>'Formular 4 step Y1'!F688</f>
        <v>138</v>
      </c>
      <c r="G48" s="143">
        <f>'Formular 4 step Y1'!F689</f>
        <v>140</v>
      </c>
      <c r="H48" s="141">
        <f>'Formular 4 step Y1'!F690</f>
        <v>142</v>
      </c>
      <c r="I48" s="141">
        <f>'Formular 4 step Y1'!F691</f>
        <v>145</v>
      </c>
      <c r="J48" s="141">
        <f>'Formular 4 step Y1'!G688</f>
        <v>138</v>
      </c>
      <c r="K48" s="143">
        <f>'Formular 4 step Y1'!G689</f>
        <v>140</v>
      </c>
      <c r="L48" s="141">
        <f>'Formular 4 step Y1'!G690</f>
        <v>142</v>
      </c>
      <c r="M48" s="141">
        <f>'Formular 4 step Y1'!G691</f>
        <v>145</v>
      </c>
      <c r="N48" s="141">
        <f>'Formular 4 step Y1'!H688</f>
        <v>138</v>
      </c>
      <c r="O48" s="143">
        <f>'Formular 4 step Y1'!H689</f>
        <v>140</v>
      </c>
      <c r="P48" s="141">
        <f>'Formular 4 step Y1'!H690</f>
        <v>142</v>
      </c>
      <c r="Q48" s="141">
        <f>'Formular 4 step Y1'!H691</f>
        <v>145</v>
      </c>
    </row>
    <row r="49" spans="1:17" s="133" customFormat="1" x14ac:dyDescent="0.25">
      <c r="A49" s="268" t="s">
        <v>234</v>
      </c>
      <c r="B49" s="311">
        <f>'Formular 4 step Y1'!E713</f>
        <v>264</v>
      </c>
      <c r="C49" s="281">
        <f>'Formular 4 step Y1'!E714</f>
        <v>265</v>
      </c>
      <c r="D49" s="118">
        <f>'Formular 4 step Y1'!E715</f>
        <v>266</v>
      </c>
      <c r="E49" s="118">
        <f>'Formular 4 step Y1'!E716</f>
        <v>267</v>
      </c>
      <c r="F49" s="316">
        <f>'Formular 4 step Y1'!F713</f>
        <v>264</v>
      </c>
      <c r="G49" s="134">
        <f>'Formular 4 step Y1'!F714</f>
        <v>265</v>
      </c>
      <c r="H49" s="118">
        <f>'Formular 4 step Y1'!F715</f>
        <v>266</v>
      </c>
      <c r="I49" s="118">
        <f>'Formular 4 step Y1'!F716</f>
        <v>267</v>
      </c>
      <c r="J49" s="118">
        <f>'Formular 4 step Y1'!G713</f>
        <v>264</v>
      </c>
      <c r="K49" s="134">
        <f>'Formular 4 step Y1'!G714</f>
        <v>265</v>
      </c>
      <c r="L49" s="118">
        <f>'Formular 4 step Y1'!G715</f>
        <v>266</v>
      </c>
      <c r="M49" s="118">
        <f>'Formular 4 step Y1'!G716</f>
        <v>267</v>
      </c>
      <c r="N49" s="118">
        <f>'Formular 4 step Y1'!H713</f>
        <v>264</v>
      </c>
      <c r="O49" s="134">
        <f>'Formular 4 step Y1'!H714</f>
        <v>265</v>
      </c>
      <c r="P49" s="118">
        <f>'Formular 4 step Y1'!H715</f>
        <v>266</v>
      </c>
      <c r="Q49" s="118">
        <f>'Formular 4 step Y1'!H716</f>
        <v>267</v>
      </c>
    </row>
    <row r="50" spans="1:17" s="144" customFormat="1" x14ac:dyDescent="0.25">
      <c r="A50" s="255"/>
      <c r="B50" s="307"/>
      <c r="C50" s="142"/>
      <c r="D50" s="141"/>
      <c r="E50" s="141"/>
      <c r="F50" s="204"/>
      <c r="G50" s="143"/>
      <c r="H50" s="141"/>
      <c r="I50" s="141"/>
      <c r="J50" s="141"/>
      <c r="K50" s="143"/>
      <c r="L50" s="141"/>
      <c r="M50" s="141"/>
      <c r="N50" s="141"/>
      <c r="O50" s="143"/>
      <c r="P50" s="141"/>
      <c r="Q50" s="141"/>
    </row>
    <row r="51" spans="1:17" x14ac:dyDescent="0.25">
      <c r="A51" s="273"/>
      <c r="B51" s="310"/>
      <c r="C51" s="83"/>
      <c r="D51" s="76"/>
      <c r="E51" s="76"/>
      <c r="F51" s="315"/>
      <c r="G51" s="85"/>
      <c r="H51" s="76"/>
      <c r="I51" s="76"/>
      <c r="J51" s="76"/>
      <c r="K51" s="85"/>
      <c r="L51" s="76"/>
      <c r="M51" s="76"/>
      <c r="N51" s="76"/>
      <c r="O51" s="85"/>
      <c r="P51" s="76"/>
      <c r="Q51" s="76"/>
    </row>
    <row r="52" spans="1:17" ht="20" thickBot="1" x14ac:dyDescent="0.3">
      <c r="A52" s="280"/>
      <c r="B52" s="312"/>
      <c r="C52" s="84"/>
      <c r="D52" s="79"/>
      <c r="E52" s="79"/>
      <c r="F52" s="79"/>
      <c r="G52" s="87"/>
      <c r="H52" s="79"/>
      <c r="I52" s="79"/>
      <c r="J52" s="79"/>
      <c r="K52" s="87"/>
      <c r="L52" s="79"/>
      <c r="M52" s="79"/>
      <c r="N52" s="319"/>
      <c r="O52" s="87"/>
      <c r="P52" s="79"/>
      <c r="Q52" s="79"/>
    </row>
    <row r="53" spans="1:17" ht="7.5" customHeight="1" thickTop="1" thickBot="1" x14ac:dyDescent="0.3"/>
    <row r="54" spans="1:17" ht="24.75" customHeight="1" thickTop="1" x14ac:dyDescent="0.25">
      <c r="A54" s="264" t="s">
        <v>72</v>
      </c>
      <c r="B54" s="172"/>
      <c r="C54" s="164"/>
      <c r="D54" s="164" t="s">
        <v>6</v>
      </c>
      <c r="E54" s="165"/>
      <c r="F54" s="120"/>
      <c r="G54" s="119"/>
      <c r="H54" s="119" t="s">
        <v>7</v>
      </c>
      <c r="I54" s="119"/>
      <c r="J54" s="120"/>
      <c r="K54" s="119"/>
      <c r="L54" s="119" t="s">
        <v>8</v>
      </c>
      <c r="M54" s="119"/>
      <c r="N54" s="120"/>
      <c r="O54" s="119"/>
      <c r="P54" s="119" t="s">
        <v>9</v>
      </c>
      <c r="Q54" s="175"/>
    </row>
    <row r="55" spans="1:17" ht="21" x14ac:dyDescent="0.25">
      <c r="A55" s="432" t="s">
        <v>83</v>
      </c>
      <c r="B55" s="300"/>
      <c r="C55" s="301" t="s">
        <v>79</v>
      </c>
      <c r="D55" s="301" t="s">
        <v>80</v>
      </c>
      <c r="E55" s="302" t="s">
        <v>81</v>
      </c>
      <c r="F55" s="300"/>
      <c r="G55" s="301" t="s">
        <v>79</v>
      </c>
      <c r="H55" s="301" t="s">
        <v>80</v>
      </c>
      <c r="I55" s="302" t="s">
        <v>81</v>
      </c>
      <c r="J55" s="300"/>
      <c r="K55" s="301" t="s">
        <v>79</v>
      </c>
      <c r="L55" s="301" t="s">
        <v>80</v>
      </c>
      <c r="M55" s="302" t="s">
        <v>81</v>
      </c>
      <c r="N55" s="300"/>
      <c r="O55" s="301" t="s">
        <v>79</v>
      </c>
      <c r="P55" s="301" t="s">
        <v>80</v>
      </c>
      <c r="Q55" s="302" t="s">
        <v>81</v>
      </c>
    </row>
    <row r="56" spans="1:17" ht="20" thickBot="1" x14ac:dyDescent="0.3">
      <c r="A56" s="433"/>
      <c r="B56" s="303" t="s">
        <v>142</v>
      </c>
      <c r="C56" s="298" t="s">
        <v>143</v>
      </c>
      <c r="D56" s="298" t="s">
        <v>144</v>
      </c>
      <c r="E56" s="299" t="s">
        <v>145</v>
      </c>
      <c r="F56" s="303" t="s">
        <v>142</v>
      </c>
      <c r="G56" s="298" t="s">
        <v>143</v>
      </c>
      <c r="H56" s="298" t="s">
        <v>144</v>
      </c>
      <c r="I56" s="299" t="s">
        <v>145</v>
      </c>
      <c r="J56" s="303" t="s">
        <v>142</v>
      </c>
      <c r="K56" s="298" t="s">
        <v>143</v>
      </c>
      <c r="L56" s="298" t="s">
        <v>144</v>
      </c>
      <c r="M56" s="299" t="s">
        <v>145</v>
      </c>
      <c r="N56" s="303" t="s">
        <v>142</v>
      </c>
      <c r="O56" s="298" t="s">
        <v>143</v>
      </c>
      <c r="P56" s="298" t="s">
        <v>144</v>
      </c>
      <c r="Q56" s="299" t="s">
        <v>145</v>
      </c>
    </row>
    <row r="57" spans="1:17" s="133" customFormat="1" ht="20" thickTop="1" x14ac:dyDescent="0.25">
      <c r="A57" s="295" t="s">
        <v>172</v>
      </c>
      <c r="B57" s="293">
        <f>'สูตร 4 step SB'!E13</f>
        <v>165</v>
      </c>
      <c r="C57" s="293">
        <f>'สูตร 4 step SB'!E14</f>
        <v>168</v>
      </c>
      <c r="D57" s="293">
        <f>'สูตร 4 step SB'!E15</f>
        <v>170</v>
      </c>
      <c r="E57" s="293">
        <f>'สูตร 4 step SB'!E16</f>
        <v>172</v>
      </c>
      <c r="F57" s="293">
        <f>'สูตร 4 step SB'!F13</f>
        <v>168</v>
      </c>
      <c r="G57" s="293">
        <f>'สูตร 4 step SB'!F14</f>
        <v>171</v>
      </c>
      <c r="H57" s="293">
        <f>'สูตร 4 step SB'!F15</f>
        <v>173</v>
      </c>
      <c r="I57" s="293">
        <f>'สูตร 4 step SB'!F16</f>
        <v>175</v>
      </c>
      <c r="J57" s="293">
        <f>'สูตร 4 step SB'!G13</f>
        <v>162</v>
      </c>
      <c r="K57" s="293">
        <f>'สูตร 4 step SB'!G14</f>
        <v>165</v>
      </c>
      <c r="L57" s="293">
        <f>'สูตร 4 step SB'!G15</f>
        <v>167</v>
      </c>
      <c r="M57" s="293">
        <f>'สูตร 4 step SB'!G16</f>
        <v>169</v>
      </c>
      <c r="N57" s="293">
        <f>'สูตร 4 step SB'!H13</f>
        <v>156</v>
      </c>
      <c r="O57" s="293">
        <f>'สูตร 4 step SB'!H14</f>
        <v>159</v>
      </c>
      <c r="P57" s="293">
        <f>'สูตร 4 step SB'!H15</f>
        <v>161</v>
      </c>
      <c r="Q57" s="293">
        <f>'สูตร 4 step SB'!H16</f>
        <v>163</v>
      </c>
    </row>
    <row r="58" spans="1:17" s="133" customFormat="1" x14ac:dyDescent="0.25">
      <c r="A58" s="268" t="s">
        <v>173</v>
      </c>
      <c r="B58" s="118">
        <f>'สูตร 4 step SB'!E41</f>
        <v>84</v>
      </c>
      <c r="C58" s="118">
        <f>'สูตร 4 step SB'!E42</f>
        <v>86</v>
      </c>
      <c r="D58" s="118">
        <f>'สูตร 4 step SB'!E43</f>
        <v>87</v>
      </c>
      <c r="E58" s="118">
        <f>'สูตร 4 step SB'!E44</f>
        <v>88</v>
      </c>
      <c r="F58" s="118">
        <f>'สูตร 4 step SB'!F41</f>
        <v>85</v>
      </c>
      <c r="G58" s="118">
        <f>'สูตร 4 step SB'!F42</f>
        <v>87</v>
      </c>
      <c r="H58" s="118">
        <f>'สูตร 4 step SB'!F43</f>
        <v>88</v>
      </c>
      <c r="I58" s="118">
        <f>'สูตร 4 step SB'!F44</f>
        <v>89</v>
      </c>
      <c r="J58" s="118">
        <f>'สูตร 4 step SB'!G41</f>
        <v>82</v>
      </c>
      <c r="K58" s="118">
        <f>'สูตร 4 step SB'!G42</f>
        <v>84</v>
      </c>
      <c r="L58" s="118">
        <f>'สูตร 4 step SB'!G43</f>
        <v>85</v>
      </c>
      <c r="M58" s="118">
        <f>'สูตร 4 step SB'!G44</f>
        <v>86</v>
      </c>
      <c r="N58" s="118">
        <f>'สูตร 4 step SB'!H41</f>
        <v>79</v>
      </c>
      <c r="O58" s="118">
        <f>'สูตร 4 step SB'!H42</f>
        <v>81</v>
      </c>
      <c r="P58" s="118">
        <f>'สูตร 4 step SB'!H43</f>
        <v>82</v>
      </c>
      <c r="Q58" s="118">
        <f>'สูตร 4 step SB'!H44</f>
        <v>83</v>
      </c>
    </row>
    <row r="59" spans="1:17" s="133" customFormat="1" x14ac:dyDescent="0.25">
      <c r="A59" s="268" t="s">
        <v>174</v>
      </c>
      <c r="B59" s="118">
        <f>'สูตร 4 step SB'!E68</f>
        <v>83</v>
      </c>
      <c r="C59" s="118">
        <f>'สูตร 4 step SB'!E69</f>
        <v>85</v>
      </c>
      <c r="D59" s="118">
        <f>'สูตร 4 step SB'!E70</f>
        <v>86</v>
      </c>
      <c r="E59" s="118">
        <f>'สูตร 4 step SB'!E71</f>
        <v>88</v>
      </c>
      <c r="F59" s="118">
        <f>'สูตร 4 step SB'!F68</f>
        <v>84</v>
      </c>
      <c r="G59" s="118">
        <f>'สูตร 4 step SB'!F69</f>
        <v>86</v>
      </c>
      <c r="H59" s="118">
        <f>'สูตร 4 step SB'!F70</f>
        <v>87</v>
      </c>
      <c r="I59" s="118">
        <f>'สูตร 4 step SB'!F71</f>
        <v>89</v>
      </c>
      <c r="J59" s="118">
        <f>'สูตร 4 step SB'!G68</f>
        <v>81</v>
      </c>
      <c r="K59" s="118">
        <f>'สูตร 4 step SB'!G69</f>
        <v>83</v>
      </c>
      <c r="L59" s="118">
        <f>'สูตร 4 step SB'!G70</f>
        <v>84</v>
      </c>
      <c r="M59" s="118">
        <f>'สูตร 4 step SB'!G71</f>
        <v>86</v>
      </c>
      <c r="N59" s="118">
        <f>'สูตร 4 step SB'!H68</f>
        <v>78</v>
      </c>
      <c r="O59" s="118">
        <f>'สูตร 4 step SB'!H69</f>
        <v>80</v>
      </c>
      <c r="P59" s="118">
        <f>'สูตร 4 step SB'!H70</f>
        <v>81</v>
      </c>
      <c r="Q59" s="118">
        <f>'สูตร 4 step SB'!H71</f>
        <v>83</v>
      </c>
    </row>
    <row r="60" spans="1:17" s="133" customFormat="1" x14ac:dyDescent="0.25">
      <c r="A60" s="268" t="s">
        <v>175</v>
      </c>
      <c r="B60" s="293">
        <f>'สูตร 4 step SB'!E344</f>
        <v>45</v>
      </c>
      <c r="C60" s="118">
        <f>'สูตร 4 step SB'!E345</f>
        <v>46</v>
      </c>
      <c r="D60" s="118">
        <f>'สูตร 4 step SB'!E346</f>
        <v>47</v>
      </c>
      <c r="E60" s="118">
        <f>'สูตร 4 step SB'!E347</f>
        <v>48</v>
      </c>
      <c r="F60" s="293">
        <f>'สูตร 4 step SB'!F344</f>
        <v>46</v>
      </c>
      <c r="G60" s="118">
        <f>'สูตร 4 step SB'!F345</f>
        <v>47</v>
      </c>
      <c r="H60" s="118">
        <f>'สูตร 4 step SB'!F346</f>
        <v>48</v>
      </c>
      <c r="I60" s="118">
        <f>'สูตร 4 step SB'!F347</f>
        <v>49</v>
      </c>
      <c r="J60" s="293">
        <f>'สูตร 4 step SB'!G344</f>
        <v>44</v>
      </c>
      <c r="K60" s="118">
        <f>'สูตร 4 step SB'!G345</f>
        <v>45</v>
      </c>
      <c r="L60" s="118">
        <f>'สูตร 4 step SB'!G346</f>
        <v>46</v>
      </c>
      <c r="M60" s="118">
        <f>'สูตร 4 step SB'!G347</f>
        <v>47</v>
      </c>
      <c r="N60" s="293">
        <f>'สูตร 4 step SB'!H344</f>
        <v>43</v>
      </c>
      <c r="O60" s="118">
        <f>'สูตร 4 step SB'!H345</f>
        <v>44</v>
      </c>
      <c r="P60" s="118">
        <f>'สูตร 4 step SB'!H346</f>
        <v>45</v>
      </c>
      <c r="Q60" s="118">
        <f>'สูตร 4 step SB'!H347</f>
        <v>46</v>
      </c>
    </row>
    <row r="61" spans="1:17" s="133" customFormat="1" x14ac:dyDescent="0.25">
      <c r="A61" s="268" t="s">
        <v>176</v>
      </c>
      <c r="B61" s="293">
        <f>'สูตร 4 step SB'!E96</f>
        <v>250</v>
      </c>
      <c r="C61" s="118">
        <f>'สูตร 4 step SB'!E97</f>
        <v>254</v>
      </c>
      <c r="D61" s="118">
        <f>'สูตร 4 step SB'!E98</f>
        <v>256</v>
      </c>
      <c r="E61" s="118">
        <f>'สูตร 4 step SB'!E99</f>
        <v>258</v>
      </c>
      <c r="F61" s="293">
        <f>'สูตร 4 step SB'!F96</f>
        <v>255</v>
      </c>
      <c r="G61" s="118">
        <f>'สูตร 4 step SB'!F97</f>
        <v>259</v>
      </c>
      <c r="H61" s="118">
        <f>'สูตร 4 step SB'!F98</f>
        <v>261</v>
      </c>
      <c r="I61" s="118">
        <f>'สูตร 4 step SB'!F99</f>
        <v>263</v>
      </c>
      <c r="J61" s="293">
        <f>'สูตร 4 step SB'!G96</f>
        <v>245</v>
      </c>
      <c r="K61" s="118">
        <f>'สูตร 4 step SB'!G97</f>
        <v>249</v>
      </c>
      <c r="L61" s="118">
        <f>'สูตร 4 step SB'!G98</f>
        <v>251</v>
      </c>
      <c r="M61" s="118">
        <f>'สูตร 4 step SB'!G99</f>
        <v>253</v>
      </c>
      <c r="N61" s="293">
        <f>'สูตร 4 step SB'!H96</f>
        <v>236</v>
      </c>
      <c r="O61" s="118">
        <f>'สูตร 4 step SB'!H97</f>
        <v>240</v>
      </c>
      <c r="P61" s="118">
        <f>'สูตร 4 step SB'!H98</f>
        <v>242</v>
      </c>
      <c r="Q61" s="118">
        <f>'สูตร 4 step SB'!H99</f>
        <v>244</v>
      </c>
    </row>
    <row r="62" spans="1:17" s="133" customFormat="1" x14ac:dyDescent="0.25">
      <c r="A62" s="268" t="s">
        <v>177</v>
      </c>
      <c r="B62" s="118">
        <f>'สูตร 4 step SB'!E124</f>
        <v>349</v>
      </c>
      <c r="C62" s="118">
        <f>'สูตร 4 step SB'!E125</f>
        <v>354</v>
      </c>
      <c r="D62" s="118">
        <f>'สูตร 4 step SB'!E126</f>
        <v>359</v>
      </c>
      <c r="E62" s="118">
        <f>'สูตร 4 step SB'!E127</f>
        <v>363</v>
      </c>
      <c r="F62" s="118">
        <f>'สูตร 4 step SB'!F124</f>
        <v>355</v>
      </c>
      <c r="G62" s="118">
        <f>'สูตร 4 step SB'!F125</f>
        <v>360</v>
      </c>
      <c r="H62" s="118">
        <f>'สูตร 4 step SB'!F126</f>
        <v>365</v>
      </c>
      <c r="I62" s="118">
        <f>'สูตร 4 step SB'!F127</f>
        <v>369</v>
      </c>
      <c r="J62" s="118">
        <f>'สูตร 4 step SB'!G124</f>
        <v>342</v>
      </c>
      <c r="K62" s="118">
        <f>'สูตร 4 step SB'!G125</f>
        <v>347</v>
      </c>
      <c r="L62" s="118">
        <f>'สูตร 4 step SB'!G126</f>
        <v>352</v>
      </c>
      <c r="M62" s="118">
        <f>'สูตร 4 step SB'!G127</f>
        <v>356</v>
      </c>
      <c r="N62" s="118">
        <f>'สูตร 4 step SB'!H124</f>
        <v>331</v>
      </c>
      <c r="O62" s="118">
        <f>'สูตร 4 step SB'!H125</f>
        <v>336</v>
      </c>
      <c r="P62" s="118">
        <f>'สูตร 4 step SB'!H126</f>
        <v>341</v>
      </c>
      <c r="Q62" s="118">
        <f>'สูตร 4 step SB'!H127</f>
        <v>345</v>
      </c>
    </row>
    <row r="63" spans="1:17" s="133" customFormat="1" x14ac:dyDescent="0.25">
      <c r="A63" s="268" t="s">
        <v>178</v>
      </c>
      <c r="B63" s="118">
        <f>'สูตร 4 step SB'!E152</f>
        <v>496</v>
      </c>
      <c r="C63" s="118">
        <f>'สูตร 4 step SB'!E153</f>
        <v>501</v>
      </c>
      <c r="D63" s="118">
        <f>'สูตร 4 step SB'!E154</f>
        <v>506</v>
      </c>
      <c r="E63" s="118">
        <f>'สูตร 4 step SB'!E155</f>
        <v>511</v>
      </c>
      <c r="F63" s="118">
        <f>'สูตร 4 step SB'!F152</f>
        <v>503</v>
      </c>
      <c r="G63" s="118">
        <f>'สูตร 4 step SB'!F153</f>
        <v>508</v>
      </c>
      <c r="H63" s="118">
        <f>'สูตร 4 step SB'!F154</f>
        <v>513</v>
      </c>
      <c r="I63" s="118">
        <f>'สูตร 4 step SB'!F155</f>
        <v>518</v>
      </c>
      <c r="J63" s="118">
        <f>'สูตร 4 step SB'!G152</f>
        <v>488</v>
      </c>
      <c r="K63" s="118">
        <f>'สูตร 4 step SB'!G153</f>
        <v>493</v>
      </c>
      <c r="L63" s="118">
        <f>'สูตร 4 step SB'!G154</f>
        <v>498</v>
      </c>
      <c r="M63" s="118">
        <f>'สูตร 4 step SB'!G155</f>
        <v>503</v>
      </c>
      <c r="N63" s="118">
        <f>'สูตร 4 step SB'!H152</f>
        <v>473</v>
      </c>
      <c r="O63" s="118">
        <f>'สูตร 4 step SB'!H153</f>
        <v>478</v>
      </c>
      <c r="P63" s="118">
        <f>'สูตร 4 step SB'!H154</f>
        <v>483</v>
      </c>
      <c r="Q63" s="118">
        <f>'สูตร 4 step SB'!H155</f>
        <v>488</v>
      </c>
    </row>
    <row r="64" spans="1:17" s="133" customFormat="1" x14ac:dyDescent="0.25">
      <c r="A64" s="268" t="s">
        <v>179</v>
      </c>
      <c r="B64" s="293">
        <f>'สูตร 4 step SB'!E179</f>
        <v>601</v>
      </c>
      <c r="C64" s="118">
        <f>'สูตร 4 step SB'!E180</f>
        <v>606</v>
      </c>
      <c r="D64" s="118">
        <f>'สูตร 4 step SB'!E181</f>
        <v>611</v>
      </c>
      <c r="E64" s="118">
        <f>'สูตร 4 step SB'!E182</f>
        <v>616</v>
      </c>
      <c r="F64" s="293">
        <f>'สูตร 4 step SB'!F179</f>
        <v>610</v>
      </c>
      <c r="G64" s="118">
        <f>'สูตร 4 step SB'!F180</f>
        <v>615</v>
      </c>
      <c r="H64" s="118">
        <f>'สูตร 4 step SB'!F181</f>
        <v>620</v>
      </c>
      <c r="I64" s="118">
        <f>'สูตร 4 step SB'!F182</f>
        <v>625</v>
      </c>
      <c r="J64" s="293">
        <f>'สูตร 4 step SB'!G179</f>
        <v>592</v>
      </c>
      <c r="K64" s="118">
        <f>'สูตร 4 step SB'!G180</f>
        <v>597</v>
      </c>
      <c r="L64" s="118">
        <f>'สูตร 4 step SB'!G181</f>
        <v>602</v>
      </c>
      <c r="M64" s="118">
        <f>'สูตร 4 step SB'!G182</f>
        <v>607</v>
      </c>
      <c r="N64" s="293">
        <f>'สูตร 4 step SB'!H179</f>
        <v>574</v>
      </c>
      <c r="O64" s="118">
        <f>'สูตร 4 step SB'!H180</f>
        <v>579</v>
      </c>
      <c r="P64" s="118">
        <f>'สูตร 4 step SB'!H181</f>
        <v>584</v>
      </c>
      <c r="Q64" s="118">
        <f>'สูตร 4 step SB'!H182</f>
        <v>589</v>
      </c>
    </row>
    <row r="65" spans="1:17" s="237" customFormat="1" x14ac:dyDescent="0.25">
      <c r="A65" s="296" t="s">
        <v>180</v>
      </c>
      <c r="B65" s="305">
        <f>'สูตร 4 step SB'!E645</f>
        <v>692</v>
      </c>
      <c r="C65" s="236">
        <f>'สูตร 4 step SB'!E646</f>
        <v>702</v>
      </c>
      <c r="D65" s="236">
        <f>'สูตร 4 step SB'!E647</f>
        <v>712</v>
      </c>
      <c r="E65" s="236">
        <f>'สูตร 4 step SB'!E648</f>
        <v>717</v>
      </c>
      <c r="F65" s="305">
        <f>'สูตร 4 step SB'!F645</f>
        <v>704</v>
      </c>
      <c r="G65" s="236">
        <f>'สูตร 4 step SB'!F646</f>
        <v>714</v>
      </c>
      <c r="H65" s="236">
        <f>'สูตร 4 step SB'!F647</f>
        <v>724</v>
      </c>
      <c r="I65" s="236">
        <f>'สูตร 4 step SB'!F648</f>
        <v>729</v>
      </c>
      <c r="J65" s="305">
        <f>'สูตร 4 step SB'!G645</f>
        <v>681</v>
      </c>
      <c r="K65" s="236">
        <f>'สูตร 4 step SB'!G646</f>
        <v>691</v>
      </c>
      <c r="L65" s="236">
        <f>'สูตร 4 step SB'!G647</f>
        <v>701</v>
      </c>
      <c r="M65" s="236">
        <f>'สูตร 4 step SB'!G648</f>
        <v>706</v>
      </c>
      <c r="N65" s="305">
        <f>'สูตร 4 step SB'!H645</f>
        <v>659</v>
      </c>
      <c r="O65" s="236">
        <f>'สูตร 4 step SB'!H646</f>
        <v>669</v>
      </c>
      <c r="P65" s="236">
        <f>'สูตร 4 step SB'!H647</f>
        <v>679</v>
      </c>
      <c r="Q65" s="236">
        <f>'สูตร 4 step SB'!H648</f>
        <v>684</v>
      </c>
    </row>
    <row r="66" spans="1:17" s="237" customFormat="1" x14ac:dyDescent="0.25">
      <c r="A66" s="296" t="s">
        <v>181</v>
      </c>
      <c r="B66" s="305">
        <f>'สูตร 4 step SB'!E672</f>
        <v>733</v>
      </c>
      <c r="C66" s="236">
        <f>'สูตร 4 step SB'!E673</f>
        <v>743</v>
      </c>
      <c r="D66" s="236">
        <f>'สูตร 4 step SB'!E674</f>
        <v>753</v>
      </c>
      <c r="E66" s="236">
        <f>'สูตร 4 step SB'!E675</f>
        <v>763</v>
      </c>
      <c r="F66" s="305">
        <f>'สูตร 4 step SB'!F672</f>
        <v>746</v>
      </c>
      <c r="G66" s="236">
        <f>'สูตร 4 step SB'!F673</f>
        <v>756</v>
      </c>
      <c r="H66" s="236">
        <f>'สูตร 4 step SB'!F674</f>
        <v>766</v>
      </c>
      <c r="I66" s="236">
        <f>'สูตร 4 step SB'!F675</f>
        <v>776</v>
      </c>
      <c r="J66" s="305">
        <f>'สูตร 4 step SB'!G672</f>
        <v>720</v>
      </c>
      <c r="K66" s="236">
        <f>'สูตร 4 step SB'!G673</f>
        <v>730</v>
      </c>
      <c r="L66" s="236">
        <f>'สูตร 4 step SB'!G674</f>
        <v>740</v>
      </c>
      <c r="M66" s="236">
        <f>'สูตร 4 step SB'!G675</f>
        <v>750</v>
      </c>
      <c r="N66" s="305">
        <f>'สูตร 4 step SB'!H672</f>
        <v>697</v>
      </c>
      <c r="O66" s="236">
        <f>'สูตร 4 step SB'!H673</f>
        <v>707</v>
      </c>
      <c r="P66" s="236">
        <f>'สูตร 4 step SB'!H674</f>
        <v>717</v>
      </c>
      <c r="Q66" s="236">
        <f>'สูตร 4 step SB'!H675</f>
        <v>727</v>
      </c>
    </row>
    <row r="67" spans="1:17" s="237" customFormat="1" x14ac:dyDescent="0.25">
      <c r="A67" s="296" t="s">
        <v>182</v>
      </c>
      <c r="B67" s="305">
        <f>'สูตร 4 step SB'!E699</f>
        <v>827</v>
      </c>
      <c r="C67" s="236">
        <f>'สูตร 4 step SB'!E700</f>
        <v>837</v>
      </c>
      <c r="D67" s="236">
        <f>'สูตร 4 step SB'!E701</f>
        <v>857</v>
      </c>
      <c r="E67" s="236">
        <f>'สูตร 4 step SB'!E702</f>
        <v>867</v>
      </c>
      <c r="F67" s="305">
        <f>'สูตร 4 step SB'!F699</f>
        <v>842</v>
      </c>
      <c r="G67" s="236">
        <f>'สูตร 4 step SB'!F700</f>
        <v>852</v>
      </c>
      <c r="H67" s="236">
        <f>'สูตร 4 step SB'!F701</f>
        <v>872</v>
      </c>
      <c r="I67" s="236">
        <f>'สูตร 4 step SB'!F702</f>
        <v>882</v>
      </c>
      <c r="J67" s="305">
        <f>'สูตร 4 step SB'!G699</f>
        <v>813</v>
      </c>
      <c r="K67" s="236">
        <f>'สูตร 4 step SB'!G700</f>
        <v>823</v>
      </c>
      <c r="L67" s="236">
        <f>'สูตร 4 step SB'!G701</f>
        <v>843</v>
      </c>
      <c r="M67" s="236">
        <f>'สูตร 4 step SB'!G702</f>
        <v>853</v>
      </c>
      <c r="N67" s="305">
        <f>'สูตร 4 step SB'!H699</f>
        <v>787</v>
      </c>
      <c r="O67" s="236">
        <f>'สูตร 4 step SB'!H700</f>
        <v>797</v>
      </c>
      <c r="P67" s="236">
        <f>'สูตร 4 step SB'!H701</f>
        <v>817</v>
      </c>
      <c r="Q67" s="236">
        <f>'สูตร 4 step SB'!H702</f>
        <v>827</v>
      </c>
    </row>
    <row r="68" spans="1:17" s="237" customFormat="1" x14ac:dyDescent="0.25">
      <c r="A68" s="296" t="s">
        <v>183</v>
      </c>
      <c r="B68" s="305">
        <f>'สูตร 4 step SB'!E726</f>
        <v>926</v>
      </c>
      <c r="C68" s="236">
        <f>'สูตร 4 step SB'!E727</f>
        <v>936</v>
      </c>
      <c r="D68" s="236">
        <f>'สูตร 4 step SB'!E728</f>
        <v>951</v>
      </c>
      <c r="E68" s="236">
        <f>'สูตร 4 step SB'!E729</f>
        <v>966</v>
      </c>
      <c r="F68" s="305">
        <f>'สูตร 4 step SB'!F726</f>
        <v>942</v>
      </c>
      <c r="G68" s="236">
        <f>'สูตร 4 step SB'!F727</f>
        <v>952</v>
      </c>
      <c r="H68" s="236">
        <f>'สูตร 4 step SB'!F728</f>
        <v>967</v>
      </c>
      <c r="I68" s="236">
        <f>'สูตร 4 step SB'!F729</f>
        <v>982</v>
      </c>
      <c r="J68" s="305">
        <f>'สูตร 4 step SB'!G726</f>
        <v>911</v>
      </c>
      <c r="K68" s="236">
        <f>'สูตร 4 step SB'!G727</f>
        <v>921</v>
      </c>
      <c r="L68" s="236">
        <f>'สูตร 4 step SB'!G728</f>
        <v>936</v>
      </c>
      <c r="M68" s="236">
        <f>'สูตร 4 step SB'!G729</f>
        <v>951</v>
      </c>
      <c r="N68" s="305">
        <f>'สูตร 4 step SB'!H726</f>
        <v>881</v>
      </c>
      <c r="O68" s="236">
        <f>'สูตร 4 step SB'!H727</f>
        <v>891</v>
      </c>
      <c r="P68" s="236">
        <f>'สูตร 4 step SB'!H728</f>
        <v>906</v>
      </c>
      <c r="Q68" s="236">
        <f>'สูตร 4 step SB'!H729</f>
        <v>921</v>
      </c>
    </row>
    <row r="69" spans="1:17" s="133" customFormat="1" x14ac:dyDescent="0.25">
      <c r="A69" s="268" t="s">
        <v>184</v>
      </c>
      <c r="B69" s="293">
        <f>'สูตร 4 step SB'!E206</f>
        <v>445</v>
      </c>
      <c r="C69" s="118">
        <f>'สูตร 4 step SB'!E207</f>
        <v>450</v>
      </c>
      <c r="D69" s="118">
        <f>'สูตร 4 step SB'!E208</f>
        <v>455</v>
      </c>
      <c r="E69" s="118">
        <f>'สูตร 4 step SB'!E209</f>
        <v>460</v>
      </c>
      <c r="F69" s="293">
        <f>'สูตร 4 step SB'!F206</f>
        <v>452</v>
      </c>
      <c r="G69" s="118">
        <f>'สูตร 4 step SB'!F207</f>
        <v>457</v>
      </c>
      <c r="H69" s="118">
        <f>'สูตร 4 step SB'!F208</f>
        <v>462</v>
      </c>
      <c r="I69" s="118">
        <f>'สูตร 4 step SB'!F209</f>
        <v>467</v>
      </c>
      <c r="J69" s="293">
        <f>'สูตร 4 step SB'!G206</f>
        <v>438</v>
      </c>
      <c r="K69" s="118">
        <f>'สูตร 4 step SB'!G207</f>
        <v>443</v>
      </c>
      <c r="L69" s="118">
        <f>'สูตร 4 step SB'!G208</f>
        <v>448</v>
      </c>
      <c r="M69" s="118">
        <f>'สูตร 4 step SB'!G209</f>
        <v>453</v>
      </c>
      <c r="N69" s="293">
        <f>'สูตร 4 step SB'!H206</f>
        <v>425</v>
      </c>
      <c r="O69" s="118">
        <f>'สูตร 4 step SB'!H207</f>
        <v>430</v>
      </c>
      <c r="P69" s="118">
        <f>'สูตร 4 step SB'!H208</f>
        <v>435</v>
      </c>
      <c r="Q69" s="118">
        <f>'สูตร 4 step SB'!H209</f>
        <v>440</v>
      </c>
    </row>
    <row r="70" spans="1:17" s="133" customFormat="1" x14ac:dyDescent="0.25">
      <c r="A70" s="268" t="s">
        <v>185</v>
      </c>
      <c r="B70" s="118">
        <f>'สูตร 4 step SB'!E234</f>
        <v>55</v>
      </c>
      <c r="C70" s="118">
        <f>'สูตร 4 step SB'!E235</f>
        <v>56</v>
      </c>
      <c r="D70" s="118">
        <f>'สูตร 4 step SB'!E236</f>
        <v>57</v>
      </c>
      <c r="E70" s="118">
        <f>'สูตร 4 step SB'!E237</f>
        <v>58</v>
      </c>
      <c r="F70" s="118">
        <f>'สูตร 4 step SB'!F234</f>
        <v>56</v>
      </c>
      <c r="G70" s="118">
        <f>'สูตร 4 step SB'!F235</f>
        <v>57</v>
      </c>
      <c r="H70" s="118">
        <f>'สูตร 4 step SB'!F236</f>
        <v>58</v>
      </c>
      <c r="I70" s="118">
        <f>'สูตร 4 step SB'!F237</f>
        <v>59</v>
      </c>
      <c r="J70" s="118">
        <f>'สูตร 4 step SB'!G234</f>
        <v>54</v>
      </c>
      <c r="K70" s="118">
        <f>'สูตร 4 step SB'!G235</f>
        <v>55</v>
      </c>
      <c r="L70" s="118">
        <f>'สูตร 4 step SB'!G236</f>
        <v>56</v>
      </c>
      <c r="M70" s="118">
        <f>'สูตร 4 step SB'!G237</f>
        <v>57</v>
      </c>
      <c r="N70" s="118">
        <f>'สูตร 4 step SB'!H234</f>
        <v>53</v>
      </c>
      <c r="O70" s="118">
        <f>'สูตร 4 step SB'!H235</f>
        <v>54</v>
      </c>
      <c r="P70" s="118">
        <f>'สูตร 4 step SB'!H236</f>
        <v>55</v>
      </c>
      <c r="Q70" s="118">
        <f>'สูตร 4 step SB'!H237</f>
        <v>56</v>
      </c>
    </row>
    <row r="71" spans="1:17" s="133" customFormat="1" x14ac:dyDescent="0.25">
      <c r="A71" s="268" t="s">
        <v>186</v>
      </c>
      <c r="B71" s="118">
        <f>'สูตร 4 step SB'!E262</f>
        <v>51</v>
      </c>
      <c r="C71" s="118">
        <f>'สูตร 4 step SB'!E263</f>
        <v>52</v>
      </c>
      <c r="D71" s="118">
        <f>'สูตร 4 step SB'!E264</f>
        <v>53</v>
      </c>
      <c r="E71" s="118">
        <f>'สูตร 4 step SB'!E265</f>
        <v>54</v>
      </c>
      <c r="F71" s="118">
        <f>'สูตร 4 step SB'!F262</f>
        <v>52</v>
      </c>
      <c r="G71" s="118">
        <f>'สูตร 4 step SB'!F263</f>
        <v>53</v>
      </c>
      <c r="H71" s="118">
        <f>'สูตร 4 step SB'!F264</f>
        <v>54</v>
      </c>
      <c r="I71" s="118">
        <f>'สูตร 4 step SB'!F265</f>
        <v>55</v>
      </c>
      <c r="J71" s="118">
        <f>'สูตร 4 step SB'!G262</f>
        <v>50</v>
      </c>
      <c r="K71" s="118">
        <f>'สูตร 4 step SB'!G263</f>
        <v>51</v>
      </c>
      <c r="L71" s="118">
        <f>'สูตร 4 step SB'!G264</f>
        <v>52</v>
      </c>
      <c r="M71" s="118">
        <f>'สูตร 4 step SB'!G265</f>
        <v>53</v>
      </c>
      <c r="N71" s="118">
        <f>'สูตร 4 step SB'!H262</f>
        <v>49</v>
      </c>
      <c r="O71" s="118">
        <f>'สูตร 4 step SB'!H263</f>
        <v>50</v>
      </c>
      <c r="P71" s="118">
        <f>'สูตร 4 step SB'!H264</f>
        <v>51</v>
      </c>
      <c r="Q71" s="118">
        <f>'สูตร 4 step SB'!H265</f>
        <v>52</v>
      </c>
    </row>
    <row r="72" spans="1:17" s="133" customFormat="1" x14ac:dyDescent="0.25">
      <c r="A72" s="268" t="s">
        <v>187</v>
      </c>
      <c r="B72" s="293">
        <f>'สูตร 4 step SB'!E618</f>
        <v>71</v>
      </c>
      <c r="C72" s="118">
        <f>'สูตร 4 step SB'!E619</f>
        <v>72</v>
      </c>
      <c r="D72" s="118">
        <f>'สูตร 4 step SB'!E620</f>
        <v>73</v>
      </c>
      <c r="E72" s="118">
        <f>'สูตร 4 step SB'!E621</f>
        <v>74</v>
      </c>
      <c r="F72" s="293">
        <f>'สูตร 4 step SB'!F618</f>
        <v>72</v>
      </c>
      <c r="G72" s="118">
        <f>'สูตร 4 step SB'!F619</f>
        <v>73</v>
      </c>
      <c r="H72" s="118">
        <f>'สูตร 4 step SB'!F620</f>
        <v>74</v>
      </c>
      <c r="I72" s="118">
        <f>'สูตร 4 step SB'!F621</f>
        <v>75</v>
      </c>
      <c r="J72" s="293">
        <f>'สูตร 4 step SB'!G618</f>
        <v>70</v>
      </c>
      <c r="K72" s="118">
        <f>'สูตร 4 step SB'!G619</f>
        <v>71</v>
      </c>
      <c r="L72" s="118">
        <f>'สูตร 4 step SB'!G620</f>
        <v>72</v>
      </c>
      <c r="M72" s="118">
        <f>'สูตร 4 step SB'!G621</f>
        <v>73</v>
      </c>
      <c r="N72" s="293">
        <f>'สูตร 4 step SB'!H618</f>
        <v>68</v>
      </c>
      <c r="O72" s="118">
        <f>'สูตร 4 step SB'!H619</f>
        <v>69</v>
      </c>
      <c r="P72" s="118">
        <f>'สูตร 4 step SB'!H620</f>
        <v>70</v>
      </c>
      <c r="Q72" s="118">
        <f>'สูตร 4 step SB'!H621</f>
        <v>71</v>
      </c>
    </row>
    <row r="73" spans="1:17" s="133" customFormat="1" x14ac:dyDescent="0.25">
      <c r="A73" s="268" t="s">
        <v>188</v>
      </c>
      <c r="B73" s="293">
        <f>'สูตร 4 step SB'!E290</f>
        <v>58</v>
      </c>
      <c r="C73" s="118">
        <f>'สูตร 4 step SB'!E291</f>
        <v>59</v>
      </c>
      <c r="D73" s="118">
        <f>'สูตร 4 step SB'!E292</f>
        <v>60</v>
      </c>
      <c r="E73" s="118">
        <f>'สูตร 4 step SB'!E293</f>
        <v>61</v>
      </c>
      <c r="F73" s="293">
        <f>'สูตร 4 step SB'!F290</f>
        <v>59</v>
      </c>
      <c r="G73" s="118">
        <f>'สูตร 4 step SB'!F291</f>
        <v>60</v>
      </c>
      <c r="H73" s="118">
        <f>'สูตร 4 step SB'!F292</f>
        <v>61</v>
      </c>
      <c r="I73" s="118">
        <f>'สูตร 4 step SB'!F293</f>
        <v>62</v>
      </c>
      <c r="J73" s="293">
        <f>'สูตร 4 step SB'!G290</f>
        <v>58</v>
      </c>
      <c r="K73" s="118">
        <f>'สูตร 4 step SB'!G291</f>
        <v>59</v>
      </c>
      <c r="L73" s="118">
        <f>'สูตร 4 step SB'!G292</f>
        <v>60</v>
      </c>
      <c r="M73" s="118">
        <f>'สูตร 4 step SB'!G293</f>
        <v>61</v>
      </c>
      <c r="N73" s="293">
        <f>'สูตร 4 step SB'!H290</f>
        <v>56</v>
      </c>
      <c r="O73" s="118">
        <f>'สูตร 4 step SB'!H291</f>
        <v>57</v>
      </c>
      <c r="P73" s="118">
        <f>'สูตร 4 step SB'!H292</f>
        <v>58</v>
      </c>
      <c r="Q73" s="118">
        <f>'สูตร 4 step SB'!H293</f>
        <v>59</v>
      </c>
    </row>
    <row r="74" spans="1:17" s="133" customFormat="1" x14ac:dyDescent="0.25">
      <c r="A74" s="268" t="s">
        <v>189</v>
      </c>
      <c r="B74" s="118">
        <f>'สูตร 4 step SB'!E318</f>
        <v>77</v>
      </c>
      <c r="C74" s="118">
        <f>'สูตร 4 step SB'!E319</f>
        <v>79</v>
      </c>
      <c r="D74" s="118">
        <f>'สูตร 4 step SB'!E320</f>
        <v>80</v>
      </c>
      <c r="E74" s="118">
        <f>'สูตร 4 step SB'!E321</f>
        <v>82</v>
      </c>
      <c r="F74" s="118">
        <f>'สูตร 4 step SB'!F318</f>
        <v>78</v>
      </c>
      <c r="G74" s="118">
        <f>'สูตร 4 step SB'!F319</f>
        <v>80</v>
      </c>
      <c r="H74" s="118">
        <f>'สูตร 4 step SB'!F320</f>
        <v>81</v>
      </c>
      <c r="I74" s="118">
        <f>'สูตร 4 step SB'!F321</f>
        <v>83</v>
      </c>
      <c r="J74" s="118">
        <f>'สูตร 4 step SB'!G318</f>
        <v>76</v>
      </c>
      <c r="K74" s="118">
        <f>'สูตร 4 step SB'!G319</f>
        <v>78</v>
      </c>
      <c r="L74" s="118">
        <f>'สูตร 4 step SB'!G320</f>
        <v>79</v>
      </c>
      <c r="M74" s="118">
        <f>'สูตร 4 step SB'!G321</f>
        <v>81</v>
      </c>
      <c r="N74" s="118">
        <f>'สูตร 4 step SB'!H318</f>
        <v>75</v>
      </c>
      <c r="O74" s="118">
        <f>'สูตร 4 step SB'!H319</f>
        <v>77</v>
      </c>
      <c r="P74" s="118">
        <f>'สูตร 4 step SB'!H320</f>
        <v>78</v>
      </c>
      <c r="Q74" s="118">
        <f>'สูตร 4 step SB'!H321</f>
        <v>80</v>
      </c>
    </row>
    <row r="75" spans="1:17" s="144" customFormat="1" x14ac:dyDescent="0.25">
      <c r="A75" s="255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</row>
    <row r="76" spans="1:17" s="144" customFormat="1" x14ac:dyDescent="0.25">
      <c r="A76" s="255" t="s">
        <v>41</v>
      </c>
      <c r="B76" s="141">
        <f>'สูตร 4 step SB'!E426</f>
        <v>125</v>
      </c>
      <c r="C76" s="141">
        <f>'สูตร 4 step SB'!E427</f>
        <v>127</v>
      </c>
      <c r="D76" s="141">
        <f>'สูตร 4 step SB'!E428</f>
        <v>129</v>
      </c>
      <c r="E76" s="141">
        <f>'สูตร 4 step SB'!E429</f>
        <v>131</v>
      </c>
      <c r="F76" s="141">
        <f>'สูตร 4 step SB'!F426</f>
        <v>128</v>
      </c>
      <c r="G76" s="141">
        <f>'สูตร 4 step SB'!F427</f>
        <v>130</v>
      </c>
      <c r="H76" s="141">
        <f>'สูตร 4 step SB'!F428</f>
        <v>132</v>
      </c>
      <c r="I76" s="141">
        <f>'สูตร 4 step SB'!F429</f>
        <v>134</v>
      </c>
      <c r="J76" s="141">
        <f>'สูตร 4 step SB'!G426</f>
        <v>122</v>
      </c>
      <c r="K76" s="141">
        <f>'สูตร 4 step SB'!G427</f>
        <v>124</v>
      </c>
      <c r="L76" s="141">
        <f>'สูตร 4 step SB'!G428</f>
        <v>126</v>
      </c>
      <c r="M76" s="141">
        <f>'สูตร 4 step SB'!G429</f>
        <v>128</v>
      </c>
      <c r="N76" s="141">
        <f>'สูตร 4 step SB'!H426</f>
        <v>116</v>
      </c>
      <c r="O76" s="141">
        <f>'สูตร 4 step SB'!H427</f>
        <v>118</v>
      </c>
      <c r="P76" s="141">
        <f>'สูตร 4 step SB'!H428</f>
        <v>120</v>
      </c>
      <c r="Q76" s="141">
        <f>'สูตร 4 step SB'!H429</f>
        <v>122</v>
      </c>
    </row>
    <row r="77" spans="1:17" s="144" customFormat="1" x14ac:dyDescent="0.25">
      <c r="A77" s="255" t="s">
        <v>42</v>
      </c>
      <c r="B77" s="140">
        <f>'สูตร 4 step SB'!E454</f>
        <v>64</v>
      </c>
      <c r="C77" s="141">
        <f>'สูตร 4 step SB'!E455</f>
        <v>65</v>
      </c>
      <c r="D77" s="141">
        <f>'สูตร 4 step SB'!E456</f>
        <v>66</v>
      </c>
      <c r="E77" s="141">
        <f>'สูตร 4 step SB'!E457</f>
        <v>67</v>
      </c>
      <c r="F77" s="140">
        <f>'สูตร 4 step SB'!F454</f>
        <v>65</v>
      </c>
      <c r="G77" s="141">
        <f>'สูตร 4 step SB'!F455</f>
        <v>66</v>
      </c>
      <c r="H77" s="141">
        <f>'สูตร 4 step SB'!F456</f>
        <v>67</v>
      </c>
      <c r="I77" s="141">
        <f>'สูตร 4 step SB'!F457</f>
        <v>68</v>
      </c>
      <c r="J77" s="140">
        <f>'สูตร 4 step SB'!G454</f>
        <v>62</v>
      </c>
      <c r="K77" s="141">
        <f>'สูตร 4 step SB'!G455</f>
        <v>63</v>
      </c>
      <c r="L77" s="141">
        <f>'สูตร 4 step SB'!G456</f>
        <v>64</v>
      </c>
      <c r="M77" s="141">
        <f>'สูตร 4 step SB'!G457</f>
        <v>65</v>
      </c>
      <c r="N77" s="140">
        <f>'สูตร 4 step SB'!H454</f>
        <v>59</v>
      </c>
      <c r="O77" s="141">
        <f>'สูตร 4 step SB'!H455</f>
        <v>60</v>
      </c>
      <c r="P77" s="141">
        <f>'สูตร 4 step SB'!H456</f>
        <v>61</v>
      </c>
      <c r="Q77" s="141">
        <f>'สูตร 4 step SB'!H457</f>
        <v>62</v>
      </c>
    </row>
    <row r="78" spans="1:17" s="144" customFormat="1" x14ac:dyDescent="0.25">
      <c r="A78" s="255" t="s">
        <v>43</v>
      </c>
      <c r="B78" s="141">
        <f>'สูตร 4 step SB'!E481</f>
        <v>64</v>
      </c>
      <c r="C78" s="141">
        <f>'สูตร 4 step SB'!E482</f>
        <v>65</v>
      </c>
      <c r="D78" s="141">
        <f>'สูตร 4 step SB'!E483</f>
        <v>66</v>
      </c>
      <c r="E78" s="141">
        <f>'สูตร 4 step SB'!E484</f>
        <v>67</v>
      </c>
      <c r="F78" s="141">
        <f>'สูตร 4 step SB'!F481</f>
        <v>65</v>
      </c>
      <c r="G78" s="141">
        <f>'สูตร 4 step SB'!F482</f>
        <v>66</v>
      </c>
      <c r="H78" s="141">
        <f>'สูตร 4 step SB'!F483</f>
        <v>67</v>
      </c>
      <c r="I78" s="141">
        <f>'สูตร 4 step SB'!F484</f>
        <v>68</v>
      </c>
      <c r="J78" s="141">
        <f>'สูตร 4 step SB'!G481</f>
        <v>62</v>
      </c>
      <c r="K78" s="141">
        <f>'สูตร 4 step SB'!G482</f>
        <v>63</v>
      </c>
      <c r="L78" s="141">
        <f>'สูตร 4 step SB'!G483</f>
        <v>64</v>
      </c>
      <c r="M78" s="141">
        <f>'สูตร 4 step SB'!G484</f>
        <v>65</v>
      </c>
      <c r="N78" s="141">
        <f>'สูตร 4 step SB'!H481</f>
        <v>59</v>
      </c>
      <c r="O78" s="141">
        <f>'สูตร 4 step SB'!H482</f>
        <v>60</v>
      </c>
      <c r="P78" s="141">
        <f>'สูตร 4 step SB'!H483</f>
        <v>61</v>
      </c>
      <c r="Q78" s="141">
        <f>'สูตร 4 step SB'!H484</f>
        <v>62</v>
      </c>
    </row>
    <row r="79" spans="1:17" s="144" customFormat="1" x14ac:dyDescent="0.25">
      <c r="A79" s="255" t="s">
        <v>44</v>
      </c>
      <c r="B79" s="141">
        <f>'สูตร 4 step SB'!E509</f>
        <v>189</v>
      </c>
      <c r="C79" s="141">
        <f>'สูตร 4 step SB'!E510</f>
        <v>192</v>
      </c>
      <c r="D79" s="141">
        <f>'สูตร 4 step SB'!E511</f>
        <v>194</v>
      </c>
      <c r="E79" s="141">
        <f>'สูตร 4 step SB'!E512</f>
        <v>196</v>
      </c>
      <c r="F79" s="141">
        <f>'สูตร 4 step SB'!F509</f>
        <v>194</v>
      </c>
      <c r="G79" s="141">
        <f>'สูตร 4 step SB'!F510</f>
        <v>197</v>
      </c>
      <c r="H79" s="141">
        <f>'สูตร 4 step SB'!F511</f>
        <v>199</v>
      </c>
      <c r="I79" s="141">
        <f>'สูตร 4 step SB'!F512</f>
        <v>201</v>
      </c>
      <c r="J79" s="141">
        <f>'สูตร 4 step SB'!G509</f>
        <v>184</v>
      </c>
      <c r="K79" s="141">
        <f>'สูตร 4 step SB'!G510</f>
        <v>187</v>
      </c>
      <c r="L79" s="141">
        <f>'สูตร 4 step SB'!G511</f>
        <v>189</v>
      </c>
      <c r="M79" s="141">
        <f>'สูตร 4 step SB'!G512</f>
        <v>191</v>
      </c>
      <c r="N79" s="141">
        <f>'สูตร 4 step SB'!H509</f>
        <v>176</v>
      </c>
      <c r="O79" s="141">
        <f>'สูตร 4 step SB'!H510</f>
        <v>179</v>
      </c>
      <c r="P79" s="141">
        <f>'สูตร 4 step SB'!H511</f>
        <v>181</v>
      </c>
      <c r="Q79" s="141">
        <f>'สูตร 4 step SB'!H512</f>
        <v>183</v>
      </c>
    </row>
    <row r="80" spans="1:17" s="144" customFormat="1" x14ac:dyDescent="0.25">
      <c r="A80" s="255" t="s">
        <v>112</v>
      </c>
      <c r="B80" s="141">
        <f>'สูตร 4 step SB'!E591</f>
        <v>288</v>
      </c>
      <c r="C80" s="141">
        <f>'สูตร 4 step SB'!E592</f>
        <v>292</v>
      </c>
      <c r="D80" s="141">
        <f>'สูตร 4 step SB'!E593</f>
        <v>294</v>
      </c>
      <c r="E80" s="141">
        <f>'สูตร 4 step SB'!E594</f>
        <v>296</v>
      </c>
      <c r="F80" s="141">
        <f>'สูตร 4 step SB'!F591</f>
        <v>294</v>
      </c>
      <c r="G80" s="141">
        <f>'สูตร 4 step SB'!F592</f>
        <v>298</v>
      </c>
      <c r="H80" s="141">
        <f>'สูตร 4 step SB'!F593</f>
        <v>300</v>
      </c>
      <c r="I80" s="141">
        <f>'สูตร 4 step SB'!F594</f>
        <v>302</v>
      </c>
      <c r="J80" s="141">
        <f>'สูตร 4 step SB'!G591</f>
        <v>282</v>
      </c>
      <c r="K80" s="141">
        <f>'สูตร 4 step SB'!G592</f>
        <v>286</v>
      </c>
      <c r="L80" s="141">
        <f>'สูตร 4 step SB'!G593</f>
        <v>288</v>
      </c>
      <c r="M80" s="141">
        <f>'สูตร 4 step SB'!G594</f>
        <v>290</v>
      </c>
      <c r="N80" s="141">
        <f>'สูตร 4 step SB'!H591</f>
        <v>270</v>
      </c>
      <c r="O80" s="141">
        <f>'สูตร 4 step SB'!H592</f>
        <v>274</v>
      </c>
      <c r="P80" s="141">
        <f>'สูตร 4 step SB'!H593</f>
        <v>276</v>
      </c>
      <c r="Q80" s="141">
        <f>'สูตร 4 step SB'!H594</f>
        <v>278</v>
      </c>
    </row>
    <row r="81" spans="1:17" s="144" customFormat="1" x14ac:dyDescent="0.25">
      <c r="A81" s="255" t="s">
        <v>227</v>
      </c>
      <c r="B81" s="141">
        <f>'สูตร 4 step SB'!E1198</f>
        <v>565</v>
      </c>
      <c r="C81" s="141">
        <f>'สูตร 4 step SB'!E1199</f>
        <v>575</v>
      </c>
      <c r="D81" s="141">
        <f>'สูตร 4 step SB'!E1200</f>
        <v>585</v>
      </c>
      <c r="E81" s="141">
        <f>'สูตร 4 step SB'!E1201</f>
        <v>595</v>
      </c>
      <c r="F81" s="141">
        <f>'สูตร 4 step SB'!F1198</f>
        <v>577</v>
      </c>
      <c r="G81" s="141">
        <f>'สูตร 4 step SB'!F1199</f>
        <v>587</v>
      </c>
      <c r="H81" s="141">
        <f>'สูตร 4 step SB'!F1200</f>
        <v>597</v>
      </c>
      <c r="I81" s="141">
        <f>'สูตร 4 step SB'!F1201</f>
        <v>607</v>
      </c>
      <c r="J81" s="141">
        <f>'สูตร 4 step SB'!G1198</f>
        <v>553</v>
      </c>
      <c r="K81" s="141">
        <f>'สูตร 4 step SB'!G1199</f>
        <v>563</v>
      </c>
      <c r="L81" s="141">
        <f>'สูตร 4 step SB'!G1200</f>
        <v>573</v>
      </c>
      <c r="M81" s="141">
        <f>'สูตร 4 step SB'!G1201</f>
        <v>583</v>
      </c>
      <c r="N81" s="141">
        <f>'สูตร 4 step SB'!H1198</f>
        <v>532</v>
      </c>
      <c r="O81" s="141">
        <f>'สูตร 4 step SB'!H1199</f>
        <v>542</v>
      </c>
      <c r="P81" s="141">
        <f>'สูตร 4 step SB'!H1200</f>
        <v>552</v>
      </c>
      <c r="Q81" s="141">
        <f>'สูตร 4 step SB'!H1201</f>
        <v>562</v>
      </c>
    </row>
    <row r="82" spans="1:17" s="144" customFormat="1" x14ac:dyDescent="0.25">
      <c r="A82" s="255" t="s">
        <v>228</v>
      </c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</row>
    <row r="83" spans="1:17" s="144" customFormat="1" x14ac:dyDescent="0.25">
      <c r="A83" s="255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</row>
    <row r="84" spans="1:17" s="144" customFormat="1" x14ac:dyDescent="0.25">
      <c r="A84" s="255" t="s">
        <v>167</v>
      </c>
      <c r="B84" s="141">
        <f>'สูตร 4 step SB'!E370</f>
        <v>46</v>
      </c>
      <c r="C84" s="141">
        <f>'สูตร 4 step SB'!E371</f>
        <v>47</v>
      </c>
      <c r="D84" s="141">
        <f>'สูตร 4 step SB'!E372</f>
        <v>48</v>
      </c>
      <c r="E84" s="141">
        <f>'สูตร 4 step SB'!E373</f>
        <v>49</v>
      </c>
      <c r="F84" s="141">
        <f>'สูตร 4 step SB'!F370</f>
        <v>47</v>
      </c>
      <c r="G84" s="141">
        <f>'สูตร 4 step SB'!F371</f>
        <v>48</v>
      </c>
      <c r="H84" s="141">
        <f>'สูตร 4 step SB'!F372</f>
        <v>49</v>
      </c>
      <c r="I84" s="141">
        <f>'สูตร 4 step SB'!F373</f>
        <v>50</v>
      </c>
      <c r="J84" s="141">
        <f>'สูตร 4 step SB'!G370</f>
        <v>46</v>
      </c>
      <c r="K84" s="141">
        <f>'สูตร 4 step SB'!G371</f>
        <v>47</v>
      </c>
      <c r="L84" s="141">
        <f>'สูตร 4 step SB'!G372</f>
        <v>48</v>
      </c>
      <c r="M84" s="141">
        <f>'สูตร 4 step SB'!G373</f>
        <v>49</v>
      </c>
      <c r="N84" s="141">
        <f>'สูตร 4 step SB'!H370</f>
        <v>45</v>
      </c>
      <c r="O84" s="141">
        <f>'สูตร 4 step SB'!H371</f>
        <v>46</v>
      </c>
      <c r="P84" s="141">
        <f>'สูตร 4 step SB'!H372</f>
        <v>47</v>
      </c>
      <c r="Q84" s="141">
        <f>'สูตร 4 step SB'!H373</f>
        <v>48</v>
      </c>
    </row>
    <row r="85" spans="1:17" s="144" customFormat="1" x14ac:dyDescent="0.25">
      <c r="A85" s="272" t="s">
        <v>168</v>
      </c>
      <c r="B85" s="186">
        <f>'สูตร 4 step SB'!E398</f>
        <v>39</v>
      </c>
      <c r="C85" s="186">
        <f>'สูตร 4 step SB'!E399</f>
        <v>40</v>
      </c>
      <c r="D85" s="186">
        <f>'สูตร 4 step SB'!E400</f>
        <v>41</v>
      </c>
      <c r="E85" s="186">
        <f>'สูตร 4 step SB'!E401</f>
        <v>42</v>
      </c>
      <c r="F85" s="186">
        <f>'สูตร 4 step SB'!F398</f>
        <v>40</v>
      </c>
      <c r="G85" s="186">
        <f>'สูตร 4 step SB'!F399</f>
        <v>41</v>
      </c>
      <c r="H85" s="186">
        <f>'สูตร 4 step SB'!F400</f>
        <v>42</v>
      </c>
      <c r="I85" s="186">
        <f>'สูตร 4 step SB'!F401</f>
        <v>43</v>
      </c>
      <c r="J85" s="186">
        <f>'สูตร 4 step SB'!G398</f>
        <v>39</v>
      </c>
      <c r="K85" s="186">
        <f>'สูตร 4 step SB'!G399</f>
        <v>40</v>
      </c>
      <c r="L85" s="186">
        <f>'สูตร 4 step SB'!G400</f>
        <v>41</v>
      </c>
      <c r="M85" s="186">
        <f>'สูตร 4 step SB'!G401</f>
        <v>42</v>
      </c>
      <c r="N85" s="186">
        <f>'สูตร 4 step SB'!H398</f>
        <v>38</v>
      </c>
      <c r="O85" s="186">
        <f>'สูตร 4 step SB'!H399</f>
        <v>39</v>
      </c>
      <c r="P85" s="186">
        <f>'สูตร 4 step SB'!H400</f>
        <v>40</v>
      </c>
      <c r="Q85" s="186">
        <f>'สูตร 4 step SB'!H401</f>
        <v>41</v>
      </c>
    </row>
    <row r="86" spans="1:17" s="144" customFormat="1" x14ac:dyDescent="0.25">
      <c r="A86" s="272" t="s">
        <v>169</v>
      </c>
      <c r="B86" s="186">
        <f>'สูตร 4 step SB'!E1143</f>
        <v>49</v>
      </c>
      <c r="C86" s="186">
        <f>'สูตร 4 step SB'!E1144</f>
        <v>50</v>
      </c>
      <c r="D86" s="186">
        <f>'สูตร 4 step SB'!E1145</f>
        <v>51</v>
      </c>
      <c r="E86" s="186">
        <f>'สูตร 4 step SB'!E1146</f>
        <v>53</v>
      </c>
      <c r="F86" s="186">
        <f>'สูตร 4 step SB'!F1143</f>
        <v>50</v>
      </c>
      <c r="G86" s="186">
        <f>'สูตร 4 step SB'!F1144</f>
        <v>51</v>
      </c>
      <c r="H86" s="186">
        <f>'สูตร 4 step SB'!F1145</f>
        <v>52</v>
      </c>
      <c r="I86" s="186">
        <f>'สูตร 4 step SB'!F1146</f>
        <v>54</v>
      </c>
      <c r="J86" s="186">
        <f>'สูตร 4 step SB'!G1143</f>
        <v>49</v>
      </c>
      <c r="K86" s="186">
        <f>'สูตร 4 step SB'!G1144</f>
        <v>50</v>
      </c>
      <c r="L86" s="186">
        <f>'สูตร 4 step SB'!G1145</f>
        <v>51</v>
      </c>
      <c r="M86" s="186">
        <f>'สูตร 4 step SB'!G1146</f>
        <v>53</v>
      </c>
      <c r="N86" s="186">
        <f>'สูตร 4 step SB'!H1143</f>
        <v>48</v>
      </c>
      <c r="O86" s="186">
        <f>'สูตร 4 step SB'!H1144</f>
        <v>49</v>
      </c>
      <c r="P86" s="186">
        <f>'สูตร 4 step SB'!H1145</f>
        <v>50</v>
      </c>
      <c r="Q86" s="186">
        <f>'สูตร 4 step SB'!H1146</f>
        <v>52</v>
      </c>
    </row>
    <row r="87" spans="1:17" s="144" customFormat="1" x14ac:dyDescent="0.25">
      <c r="A87" s="255" t="s">
        <v>170</v>
      </c>
      <c r="B87" s="141">
        <f>'สูตร 4 step SB'!E536</f>
        <v>30</v>
      </c>
      <c r="C87" s="141">
        <f>'สูตร 4 step SB'!E537</f>
        <v>31</v>
      </c>
      <c r="D87" s="141">
        <f>'สูตร 4 step SB'!E538</f>
        <v>32</v>
      </c>
      <c r="E87" s="141">
        <f>'สูตร 4 step SB'!E539</f>
        <v>33</v>
      </c>
      <c r="F87" s="141">
        <f>'สูตร 4 step SB'!F536</f>
        <v>31</v>
      </c>
      <c r="G87" s="141">
        <f>'สูตร 4 step SB'!F537</f>
        <v>32</v>
      </c>
      <c r="H87" s="141">
        <f>'สูตร 4 step SB'!F538</f>
        <v>33</v>
      </c>
      <c r="I87" s="141">
        <f>'สูตร 4 step SB'!F539</f>
        <v>34</v>
      </c>
      <c r="J87" s="141">
        <f>'สูตร 4 step SB'!G536</f>
        <v>30</v>
      </c>
      <c r="K87" s="141">
        <f>'สูตร 4 step SB'!G537</f>
        <v>31</v>
      </c>
      <c r="L87" s="141">
        <f>'สูตร 4 step SB'!G538</f>
        <v>32</v>
      </c>
      <c r="M87" s="141">
        <f>'สูตร 4 step SB'!G539</f>
        <v>33</v>
      </c>
      <c r="N87" s="141">
        <f>'สูตร 4 step SB'!H536</f>
        <v>29</v>
      </c>
      <c r="O87" s="141">
        <f>'สูตร 4 step SB'!H537</f>
        <v>30</v>
      </c>
      <c r="P87" s="141">
        <f>'สูตร 4 step SB'!H538</f>
        <v>31</v>
      </c>
      <c r="Q87" s="141">
        <f>'สูตร 4 step SB'!H539</f>
        <v>32</v>
      </c>
    </row>
    <row r="88" spans="1:17" s="144" customFormat="1" x14ac:dyDescent="0.25">
      <c r="A88" s="272" t="s">
        <v>171</v>
      </c>
      <c r="B88" s="186">
        <f>'สูตร 4 step SB'!E564</f>
        <v>33</v>
      </c>
      <c r="C88" s="186">
        <f>'สูตร 4 step SB'!E565</f>
        <v>34</v>
      </c>
      <c r="D88" s="186">
        <f>'สูตร 4 step SB'!E566</f>
        <v>35</v>
      </c>
      <c r="E88" s="186">
        <f>'สูตร 4 step SB'!E567</f>
        <v>36</v>
      </c>
      <c r="F88" s="186">
        <f>'สูตร 4 step SB'!F564</f>
        <v>33</v>
      </c>
      <c r="G88" s="186">
        <f>'สูตร 4 step SB'!F565</f>
        <v>34</v>
      </c>
      <c r="H88" s="186">
        <f>'สูตร 4 step SB'!F566</f>
        <v>35</v>
      </c>
      <c r="I88" s="186">
        <f>'สูตร 4 step SB'!F567</f>
        <v>36</v>
      </c>
      <c r="J88" s="186">
        <f>'สูตร 4 step SB'!G564</f>
        <v>32</v>
      </c>
      <c r="K88" s="186">
        <f>'สูตร 4 step SB'!G565</f>
        <v>33</v>
      </c>
      <c r="L88" s="186">
        <f>'สูตร 4 step SB'!G566</f>
        <v>34</v>
      </c>
      <c r="M88" s="186">
        <f>'สูตร 4 step SB'!G567</f>
        <v>35</v>
      </c>
      <c r="N88" s="186">
        <f>'สูตร 4 step SB'!H564</f>
        <v>31</v>
      </c>
      <c r="O88" s="186">
        <f>'สูตร 4 step SB'!H565</f>
        <v>32</v>
      </c>
      <c r="P88" s="186">
        <f>'สูตร 4 step SB'!H566</f>
        <v>33</v>
      </c>
      <c r="Q88" s="186">
        <f>'สูตร 4 step SB'!H567</f>
        <v>34</v>
      </c>
    </row>
    <row r="89" spans="1:17" s="144" customFormat="1" x14ac:dyDescent="0.25">
      <c r="A89" s="272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</row>
    <row r="90" spans="1:17" s="144" customFormat="1" x14ac:dyDescent="0.25">
      <c r="A90" s="255" t="s">
        <v>141</v>
      </c>
      <c r="B90" s="141">
        <f>'สูตร 4 step SB'!E753</f>
        <v>46</v>
      </c>
      <c r="C90" s="141">
        <f>'สูตร 4 step SB'!E754</f>
        <v>47</v>
      </c>
      <c r="D90" s="141">
        <f>'สูตร 4 step SB'!E755</f>
        <v>48</v>
      </c>
      <c r="E90" s="141">
        <f>'สูตร 4 step SB'!E756</f>
        <v>49</v>
      </c>
      <c r="F90" s="141">
        <f>'สูตร 4 step SB'!F753</f>
        <v>47</v>
      </c>
      <c r="G90" s="141">
        <f>'สูตร 4 step SB'!F754</f>
        <v>48</v>
      </c>
      <c r="H90" s="141">
        <f>'สูตร 4 step SB'!F755</f>
        <v>49</v>
      </c>
      <c r="I90" s="141">
        <f>'สูตร 4 step SB'!F756</f>
        <v>50</v>
      </c>
      <c r="J90" s="141">
        <f>'สูตร 4 step SB'!G753</f>
        <v>45</v>
      </c>
      <c r="K90" s="141">
        <f>'สูตร 4 step SB'!G754</f>
        <v>46</v>
      </c>
      <c r="L90" s="141">
        <f>'สูตร 4 step SB'!G755</f>
        <v>47</v>
      </c>
      <c r="M90" s="141">
        <f>'สูตร 4 step SB'!G756</f>
        <v>48</v>
      </c>
      <c r="N90" s="141">
        <f>'สูตร 4 step SB'!H753</f>
        <v>43</v>
      </c>
      <c r="O90" s="141">
        <f>'สูตร 4 step SB'!H754</f>
        <v>44</v>
      </c>
      <c r="P90" s="141">
        <f>'สูตร 4 step SB'!H755</f>
        <v>45</v>
      </c>
      <c r="Q90" s="141">
        <f>'สูตร 4 step SB'!H756</f>
        <v>46</v>
      </c>
    </row>
    <row r="91" spans="1:17" s="144" customFormat="1" x14ac:dyDescent="0.25">
      <c r="A91" s="255" t="s">
        <v>161</v>
      </c>
      <c r="B91" s="141">
        <f>'สูตร 4 step SB'!E975</f>
        <v>61</v>
      </c>
      <c r="C91" s="141">
        <f>'สูตร 4 step SB'!E976</f>
        <v>62</v>
      </c>
      <c r="D91" s="141">
        <f>'สูตร 4 step SB'!E977</f>
        <v>63</v>
      </c>
      <c r="E91" s="141">
        <f>'สูตร 4 step SB'!E978</f>
        <v>64</v>
      </c>
      <c r="F91" s="141">
        <f>'สูตร 4 step SB'!F975</f>
        <v>63</v>
      </c>
      <c r="G91" s="141">
        <f>'สูตร 4 step SB'!F976</f>
        <v>64</v>
      </c>
      <c r="H91" s="141">
        <f>'สูตร 4 step SB'!F977</f>
        <v>65</v>
      </c>
      <c r="I91" s="141">
        <f>'สูตร 4 step SB'!F978</f>
        <v>66</v>
      </c>
      <c r="J91" s="141">
        <f>'สูตร 4 step SB'!G975</f>
        <v>60</v>
      </c>
      <c r="K91" s="141">
        <f>'สูตร 4 step SB'!G976</f>
        <v>61</v>
      </c>
      <c r="L91" s="141">
        <f>'สูตร 4 step SB'!G977</f>
        <v>62</v>
      </c>
      <c r="M91" s="141">
        <f>'สูตร 4 step SB'!G978</f>
        <v>63</v>
      </c>
      <c r="N91" s="141">
        <f>'สูตร 4 step SB'!H975</f>
        <v>58</v>
      </c>
      <c r="O91" s="141">
        <f>'สูตร 4 step SB'!H976</f>
        <v>59</v>
      </c>
      <c r="P91" s="141">
        <f>'สูตร 4 step SB'!H977</f>
        <v>60</v>
      </c>
      <c r="Q91" s="141">
        <f>'สูตร 4 step SB'!H978</f>
        <v>61</v>
      </c>
    </row>
    <row r="92" spans="1:17" s="144" customFormat="1" x14ac:dyDescent="0.25">
      <c r="A92" s="255" t="s">
        <v>140</v>
      </c>
      <c r="B92" s="141">
        <f>'สูตร 4 step SB'!E1003</f>
        <v>61</v>
      </c>
      <c r="C92" s="141">
        <f>'สูตร 4 step SB'!E1001</f>
        <v>57.828636363636363</v>
      </c>
      <c r="D92" s="141">
        <f>'สูตร 4 step SB'!E1003</f>
        <v>61</v>
      </c>
      <c r="E92" s="141">
        <f>'สูตร 4 step SB'!E1004</f>
        <v>62</v>
      </c>
      <c r="F92" s="141">
        <f>'สูตร 4 step SB'!F1003</f>
        <v>63</v>
      </c>
      <c r="G92" s="141">
        <f>'สูตร 4 step SB'!F1001</f>
        <v>59.122500000000002</v>
      </c>
      <c r="H92" s="141">
        <f>'สูตร 4 step SB'!F1003</f>
        <v>63</v>
      </c>
      <c r="I92" s="141">
        <f>'สูตร 4 step SB'!F1004</f>
        <v>64</v>
      </c>
      <c r="J92" s="141">
        <f>'สูตร 4 step SB'!G1003</f>
        <v>60</v>
      </c>
      <c r="K92" s="141">
        <f>'สูตร 4 step SB'!G1001</f>
        <v>56.534999999999997</v>
      </c>
      <c r="L92" s="141">
        <f>'สูตร 4 step SB'!G1003</f>
        <v>60</v>
      </c>
      <c r="M92" s="141">
        <f>'สูตร 4 step SB'!G1004</f>
        <v>61</v>
      </c>
      <c r="N92" s="141">
        <f>'สูตร 4 step SB'!H1003</f>
        <v>58</v>
      </c>
      <c r="O92" s="141">
        <f>'สูตร 4 step SB'!H1001</f>
        <v>54.132272727272728</v>
      </c>
      <c r="P92" s="141">
        <f>'สูตร 4 step SB'!H1003</f>
        <v>58</v>
      </c>
      <c r="Q92" s="141">
        <f>'สูตร 4 step SB'!H1004</f>
        <v>59</v>
      </c>
    </row>
    <row r="93" spans="1:17" s="144" customFormat="1" x14ac:dyDescent="0.25">
      <c r="A93" s="255" t="s">
        <v>162</v>
      </c>
      <c r="B93" s="141">
        <f>'สูตร 4 step SB'!E1031</f>
        <v>81</v>
      </c>
      <c r="C93" s="141">
        <f>'สูตร 4 step SB'!E1032</f>
        <v>82</v>
      </c>
      <c r="D93" s="141">
        <f>'สูตร 4 step SB'!E1033</f>
        <v>83</v>
      </c>
      <c r="E93" s="141">
        <f>'สูตร 4 step SB'!E1034</f>
        <v>84</v>
      </c>
      <c r="F93" s="141">
        <f>'สูตร 4 step SB'!F1031</f>
        <v>82</v>
      </c>
      <c r="G93" s="141">
        <f>'สูตร 4 step SB'!F1032</f>
        <v>83</v>
      </c>
      <c r="H93" s="141">
        <f>'สูตร 4 step SB'!F1033</f>
        <v>84</v>
      </c>
      <c r="I93" s="141">
        <f>'สูตร 4 step SB'!F1034</f>
        <v>85</v>
      </c>
      <c r="J93" s="141">
        <f>'สูตร 4 step SB'!G1031</f>
        <v>79</v>
      </c>
      <c r="K93" s="141">
        <f>'สูตร 4 step SB'!G1032</f>
        <v>80</v>
      </c>
      <c r="L93" s="141">
        <f>'สูตร 4 step SB'!G1033</f>
        <v>81</v>
      </c>
      <c r="M93" s="141">
        <f>'สูตร 4 step SB'!G1034</f>
        <v>82</v>
      </c>
      <c r="N93" s="141">
        <f>'สูตร 4 step SB'!H1031</f>
        <v>76</v>
      </c>
      <c r="O93" s="141">
        <f>'สูตร 4 step SB'!H1032</f>
        <v>77</v>
      </c>
      <c r="P93" s="141">
        <f>'สูตร 4 step SB'!H1033</f>
        <v>78</v>
      </c>
      <c r="Q93" s="141">
        <f>'สูตร 4 step SB'!H1034</f>
        <v>79</v>
      </c>
    </row>
    <row r="94" spans="1:17" s="144" customFormat="1" x14ac:dyDescent="0.25">
      <c r="A94" s="255" t="s">
        <v>163</v>
      </c>
      <c r="B94" s="141">
        <f>'สูตร 4 step SB'!E1059</f>
        <v>191</v>
      </c>
      <c r="C94" s="141">
        <f>'สูตร 4 step SB'!E1060</f>
        <v>194</v>
      </c>
      <c r="D94" s="141">
        <f>'สูตร 4 step SB'!E1061</f>
        <v>196</v>
      </c>
      <c r="E94" s="141">
        <f>'สูตร 4 step SB'!E1062</f>
        <v>198</v>
      </c>
      <c r="F94" s="141">
        <f>'สูตร 4 step SB'!F1059</f>
        <v>193</v>
      </c>
      <c r="G94" s="141">
        <f>'สูตร 4 step SB'!F1060</f>
        <v>196</v>
      </c>
      <c r="H94" s="141">
        <f>'สูตร 4 step SB'!F1061</f>
        <v>198</v>
      </c>
      <c r="I94" s="141">
        <f>'สูตร 4 step SB'!F1062</f>
        <v>200</v>
      </c>
      <c r="J94" s="141">
        <f>'สูตร 4 step SB'!G1059</f>
        <v>189</v>
      </c>
      <c r="K94" s="141">
        <f>'สูตร 4 step SB'!G1060</f>
        <v>192</v>
      </c>
      <c r="L94" s="141">
        <f>'สูตร 4 step SB'!G1061</f>
        <v>194</v>
      </c>
      <c r="M94" s="141">
        <f>'สูตร 4 step SB'!G1062</f>
        <v>196</v>
      </c>
      <c r="N94" s="141">
        <f>'สูตร 4 step SB'!H1059</f>
        <v>185</v>
      </c>
      <c r="O94" s="141">
        <f>'สูตร 4 step SB'!H1060</f>
        <v>188</v>
      </c>
      <c r="P94" s="141">
        <f>'สูตร 4 step SB'!H1061</f>
        <v>190</v>
      </c>
      <c r="Q94" s="141">
        <f>'สูตร 4 step SB'!H1062</f>
        <v>192</v>
      </c>
    </row>
    <row r="95" spans="1:17" s="144" customFormat="1" x14ac:dyDescent="0.25">
      <c r="A95" s="255" t="s">
        <v>164</v>
      </c>
      <c r="B95" s="141">
        <f>'สูตร 4 step SB'!E1087</f>
        <v>287</v>
      </c>
      <c r="C95" s="141">
        <f>'สูตร 4 step SB'!E1088</f>
        <v>291</v>
      </c>
      <c r="D95" s="141">
        <f>'สูตร 4 step SB'!E1089</f>
        <v>294</v>
      </c>
      <c r="E95" s="141">
        <f>'สูตร 4 step SB'!E1090</f>
        <v>297</v>
      </c>
      <c r="F95" s="141">
        <f>'สูตร 4 step SB'!F1087</f>
        <v>290</v>
      </c>
      <c r="G95" s="141">
        <f>'สูตร 4 step SB'!F1088</f>
        <v>294</v>
      </c>
      <c r="H95" s="141">
        <f>'สูตร 4 step SB'!F1089</f>
        <v>297</v>
      </c>
      <c r="I95" s="141">
        <f>'สูตร 4 step SB'!F1090</f>
        <v>300</v>
      </c>
      <c r="J95" s="141">
        <f>'สูตร 4 step SB'!G1087</f>
        <v>284</v>
      </c>
      <c r="K95" s="141">
        <f>'สูตร 4 step SB'!G1088</f>
        <v>288</v>
      </c>
      <c r="L95" s="141">
        <f>'สูตร 4 step SB'!G1089</f>
        <v>291</v>
      </c>
      <c r="M95" s="141">
        <f>'สูตร 4 step SB'!G1090</f>
        <v>294</v>
      </c>
      <c r="N95" s="141">
        <f>'สูตร 4 step SB'!H1087</f>
        <v>278</v>
      </c>
      <c r="O95" s="141">
        <f>'สูตร 4 step SB'!H1088</f>
        <v>282</v>
      </c>
      <c r="P95" s="141">
        <f>'สูตร 4 step SB'!H1089</f>
        <v>285</v>
      </c>
      <c r="Q95" s="141">
        <f>'สูตร 4 step SB'!H1090</f>
        <v>288</v>
      </c>
    </row>
    <row r="96" spans="1:17" s="144" customFormat="1" x14ac:dyDescent="0.25">
      <c r="A96" s="255" t="s">
        <v>165</v>
      </c>
      <c r="B96" s="141">
        <f>'สูตร 4 step SB'!E1115</f>
        <v>380</v>
      </c>
      <c r="C96" s="141">
        <f>'สูตร 4 step SB'!E1116</f>
        <v>385</v>
      </c>
      <c r="D96" s="141">
        <f>'สูตร 4 step SB'!E1117</f>
        <v>390</v>
      </c>
      <c r="E96" s="141">
        <f>'สูตร 4 step SB'!E1118</f>
        <v>395</v>
      </c>
      <c r="F96" s="141">
        <f>'สูตร 4 step SB'!F1115</f>
        <v>384</v>
      </c>
      <c r="G96" s="141">
        <f>'สูตร 4 step SB'!F1116</f>
        <v>389</v>
      </c>
      <c r="H96" s="141">
        <f>'สูตร 4 step SB'!F1117</f>
        <v>394</v>
      </c>
      <c r="I96" s="141">
        <f>'สูตร 4 step SB'!F1118</f>
        <v>399</v>
      </c>
      <c r="J96" s="141">
        <f>'สูตร 4 step SB'!G1115</f>
        <v>376</v>
      </c>
      <c r="K96" s="141">
        <f>'สูตร 4 step SB'!G1116</f>
        <v>381</v>
      </c>
      <c r="L96" s="141">
        <f>'สูตร 4 step SB'!G1117</f>
        <v>386</v>
      </c>
      <c r="M96" s="141">
        <f>'สูตร 4 step SB'!G1118</f>
        <v>391</v>
      </c>
      <c r="N96" s="141">
        <f>'สูตร 4 step SB'!H1115</f>
        <v>368</v>
      </c>
      <c r="O96" s="141">
        <f>'สูตร 4 step SB'!H1116</f>
        <v>373</v>
      </c>
      <c r="P96" s="141">
        <f>'สูตร 4 step SB'!H1117</f>
        <v>378</v>
      </c>
      <c r="Q96" s="141">
        <f>'สูตร 4 step SB'!H1118</f>
        <v>383</v>
      </c>
    </row>
    <row r="97" spans="1:17" s="144" customFormat="1" x14ac:dyDescent="0.25">
      <c r="A97" s="255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</row>
    <row r="98" spans="1:17" s="144" customFormat="1" x14ac:dyDescent="0.25">
      <c r="A98" s="255" t="s">
        <v>148</v>
      </c>
      <c r="B98" s="141">
        <f>'สูตร 4 step SB'!E807</f>
        <v>349</v>
      </c>
      <c r="C98" s="141">
        <f>'สูตร 4 step SB'!E808</f>
        <v>354</v>
      </c>
      <c r="D98" s="141">
        <f>'สูตร 4 step SB'!E809</f>
        <v>359</v>
      </c>
      <c r="E98" s="141">
        <f>'สูตร 4 step SB'!E810</f>
        <v>364</v>
      </c>
      <c r="F98" s="141">
        <f>'สูตร 4 step SB'!F807</f>
        <v>354</v>
      </c>
      <c r="G98" s="141">
        <f>'สูตร 4 step SB'!F808</f>
        <v>359</v>
      </c>
      <c r="H98" s="141">
        <f>'สูตร 4 step SB'!F809</f>
        <v>364</v>
      </c>
      <c r="I98" s="141">
        <f>'สูตร 4 step SB'!F810</f>
        <v>369</v>
      </c>
      <c r="J98" s="141">
        <f>'สูตร 4 step SB'!G807</f>
        <v>344</v>
      </c>
      <c r="K98" s="141">
        <f>'สูตร 4 step SB'!G808</f>
        <v>349</v>
      </c>
      <c r="L98" s="141">
        <f>'สูตร 4 step SB'!G809</f>
        <v>354</v>
      </c>
      <c r="M98" s="141">
        <f>'สูตร 4 step SB'!G810</f>
        <v>359</v>
      </c>
      <c r="N98" s="141">
        <f>'สูตร 4 step SB'!H807</f>
        <v>341</v>
      </c>
      <c r="O98" s="141">
        <f>'สูตร 4 step SB'!H808</f>
        <v>346</v>
      </c>
      <c r="P98" s="141">
        <f>'สูตร 4 step SB'!H809</f>
        <v>351</v>
      </c>
      <c r="Q98" s="141">
        <f>'สูตร 4 step SB'!H810</f>
        <v>356</v>
      </c>
    </row>
    <row r="99" spans="1:17" s="144" customFormat="1" x14ac:dyDescent="0.25">
      <c r="A99" s="255" t="s">
        <v>149</v>
      </c>
      <c r="B99" s="141">
        <f>'สูตร 4 step SB'!E835</f>
        <v>424</v>
      </c>
      <c r="C99" s="141">
        <f>'สูตร 4 step SB'!E836</f>
        <v>429</v>
      </c>
      <c r="D99" s="141">
        <f>'สูตร 4 step SB'!E837</f>
        <v>434</v>
      </c>
      <c r="E99" s="141">
        <f>'สูตร 4 step SB'!E838</f>
        <v>439</v>
      </c>
      <c r="F99" s="141">
        <f>'สูตร 4 step SB'!F835</f>
        <v>430</v>
      </c>
      <c r="G99" s="141">
        <f>'สูตร 4 step SB'!F836</f>
        <v>435</v>
      </c>
      <c r="H99" s="141">
        <f>'สูตร 4 step SB'!F837</f>
        <v>440</v>
      </c>
      <c r="I99" s="141">
        <f>'สูตร 4 step SB'!F838</f>
        <v>445</v>
      </c>
      <c r="J99" s="141">
        <f>'สูตร 4 step SB'!G835</f>
        <v>418</v>
      </c>
      <c r="K99" s="141">
        <f>'สูตร 4 step SB'!G836</f>
        <v>423</v>
      </c>
      <c r="L99" s="141">
        <f>'สูตร 4 step SB'!G837</f>
        <v>428</v>
      </c>
      <c r="M99" s="141">
        <f>'สูตร 4 step SB'!G838</f>
        <v>433</v>
      </c>
      <c r="N99" s="141">
        <f>'สูตร 4 step SB'!H835</f>
        <v>413</v>
      </c>
      <c r="O99" s="141">
        <f>'สูตร 4 step SB'!H836</f>
        <v>418</v>
      </c>
      <c r="P99" s="141">
        <f>'สูตร 4 step SB'!H837</f>
        <v>423</v>
      </c>
      <c r="Q99" s="141">
        <f>'สูตร 4 step SB'!H838</f>
        <v>428</v>
      </c>
    </row>
    <row r="100" spans="1:17" s="144" customFormat="1" x14ac:dyDescent="0.25">
      <c r="A100" s="255" t="s">
        <v>150</v>
      </c>
      <c r="B100" s="141">
        <f>'สูตร 4 step SB'!E863</f>
        <v>488</v>
      </c>
      <c r="C100" s="141">
        <f>'สูตร 4 step SB'!E864</f>
        <v>493</v>
      </c>
      <c r="D100" s="141">
        <f>'สูตร 4 step SB'!E865</f>
        <v>498</v>
      </c>
      <c r="E100" s="141">
        <f>'สูตร 4 step SB'!E866</f>
        <v>503</v>
      </c>
      <c r="F100" s="141">
        <f>'สูตร 4 step SB'!F863</f>
        <v>496</v>
      </c>
      <c r="G100" s="141">
        <f>'สูตร 4 step SB'!F864</f>
        <v>501</v>
      </c>
      <c r="H100" s="141">
        <f>'สูตร 4 step SB'!F865</f>
        <v>506</v>
      </c>
      <c r="I100" s="141">
        <f>'สูตร 4 step SB'!F866</f>
        <v>511</v>
      </c>
      <c r="J100" s="141">
        <f>'สูตร 4 step SB'!G863</f>
        <v>481</v>
      </c>
      <c r="K100" s="141">
        <f>'สูตร 4 step SB'!G864</f>
        <v>486</v>
      </c>
      <c r="L100" s="141">
        <f>'สูตร 4 step SB'!G865</f>
        <v>491</v>
      </c>
      <c r="M100" s="141">
        <f>'สูตร 4 step SB'!G866</f>
        <v>496</v>
      </c>
      <c r="N100" s="141">
        <f>'สูตร 4 step SB'!H863</f>
        <v>476</v>
      </c>
      <c r="O100" s="141">
        <f>'สูตร 4 step SB'!H864</f>
        <v>481</v>
      </c>
      <c r="P100" s="141">
        <f>'สูตร 4 step SB'!H865</f>
        <v>486</v>
      </c>
      <c r="Q100" s="141">
        <f>'สูตร 4 step SB'!H866</f>
        <v>491</v>
      </c>
    </row>
    <row r="101" spans="1:17" s="144" customFormat="1" x14ac:dyDescent="0.25">
      <c r="A101" s="255" t="s">
        <v>151</v>
      </c>
      <c r="B101" s="141">
        <f>'สูตร 4 step SB'!E891</f>
        <v>587</v>
      </c>
      <c r="C101" s="141">
        <f>'สูตร 4 step SB'!E892</f>
        <v>592</v>
      </c>
      <c r="D101" s="141">
        <f>'สูตร 4 step SB'!E893</f>
        <v>597</v>
      </c>
      <c r="E101" s="141">
        <f>'สูตร 4 step SB'!E894</f>
        <v>602</v>
      </c>
      <c r="F101" s="141">
        <f>'สูตร 4 step SB'!F891</f>
        <v>598</v>
      </c>
      <c r="G101" s="141">
        <f>'สูตร 4 step SB'!F892</f>
        <v>603</v>
      </c>
      <c r="H101" s="141">
        <f>'สูตร 4 step SB'!F893</f>
        <v>608</v>
      </c>
      <c r="I101" s="141">
        <f>'สูตร 4 step SB'!F894</f>
        <v>613</v>
      </c>
      <c r="J101" s="141">
        <f>'สูตร 4 step SB'!G891</f>
        <v>577</v>
      </c>
      <c r="K101" s="141">
        <f>'สูตร 4 step SB'!G892</f>
        <v>582</v>
      </c>
      <c r="L101" s="141">
        <f>'สูตร 4 step SB'!G893</f>
        <v>587</v>
      </c>
      <c r="M101" s="141">
        <f>'สูตร 4 step SB'!G894</f>
        <v>592</v>
      </c>
      <c r="N101" s="141">
        <f>'สูตร 4 step SB'!H891</f>
        <v>570</v>
      </c>
      <c r="O101" s="141">
        <f>'สูตร 4 step SB'!H892</f>
        <v>575</v>
      </c>
      <c r="P101" s="141">
        <f>'สูตร 4 step SB'!H893</f>
        <v>580</v>
      </c>
      <c r="Q101" s="141">
        <f>'สูตร 4 step SB'!H894</f>
        <v>585</v>
      </c>
    </row>
    <row r="102" spans="1:17" s="144" customFormat="1" x14ac:dyDescent="0.25">
      <c r="A102" s="255" t="s">
        <v>152</v>
      </c>
      <c r="B102" s="141">
        <f>'สูตร 4 step SB'!E919</f>
        <v>708</v>
      </c>
      <c r="C102" s="141">
        <f>'สูตร 4 step SB'!E920</f>
        <v>713</v>
      </c>
      <c r="D102" s="141">
        <f>'สูตร 4 step SB'!E921</f>
        <v>718</v>
      </c>
      <c r="E102" s="141">
        <f>'สูตร 4 step SB'!E922</f>
        <v>723</v>
      </c>
      <c r="F102" s="141">
        <f>'สูตร 4 step SB'!F919</f>
        <v>722</v>
      </c>
      <c r="G102" s="141">
        <f>'สูตร 4 step SB'!F920</f>
        <v>727</v>
      </c>
      <c r="H102" s="141">
        <f>'สูตร 4 step SB'!F921</f>
        <v>732</v>
      </c>
      <c r="I102" s="141">
        <f>'สูตร 4 step SB'!F922</f>
        <v>737</v>
      </c>
      <c r="J102" s="141">
        <f>'สูตร 4 step SB'!G919</f>
        <v>697</v>
      </c>
      <c r="K102" s="141">
        <f>'สูตร 4 step SB'!G920</f>
        <v>702</v>
      </c>
      <c r="L102" s="141">
        <f>'สูตร 4 step SB'!G921</f>
        <v>707</v>
      </c>
      <c r="M102" s="141">
        <f>'สูตร 4 step SB'!G922</f>
        <v>712</v>
      </c>
      <c r="N102" s="141">
        <f>'สูตร 4 step SB'!H919</f>
        <v>688</v>
      </c>
      <c r="O102" s="141">
        <f>'สูตร 4 step SB'!H920</f>
        <v>693</v>
      </c>
      <c r="P102" s="141">
        <f>'สูตร 4 step SB'!H921</f>
        <v>698</v>
      </c>
      <c r="Q102" s="141">
        <f>'สูตร 4 step SB'!H922</f>
        <v>703</v>
      </c>
    </row>
    <row r="103" spans="1:17" s="144" customFormat="1" x14ac:dyDescent="0.25">
      <c r="A103" s="255" t="s">
        <v>153</v>
      </c>
      <c r="B103" s="141">
        <f>'สูตร 4 step SB'!E947</f>
        <v>832</v>
      </c>
      <c r="C103" s="141">
        <f>'สูตร 4 step SB'!E948</f>
        <v>837</v>
      </c>
      <c r="D103" s="141">
        <f>'สูตร 4 step SB'!E949</f>
        <v>842</v>
      </c>
      <c r="E103" s="141">
        <f>'สูตร 4 step SB'!E950</f>
        <v>847</v>
      </c>
      <c r="F103" s="141">
        <f>'สูตร 4 step SB'!F947</f>
        <v>848</v>
      </c>
      <c r="G103" s="141">
        <f>'สูตร 4 step SB'!F948</f>
        <v>853</v>
      </c>
      <c r="H103" s="141">
        <f>'สูตร 4 step SB'!F949</f>
        <v>858</v>
      </c>
      <c r="I103" s="141">
        <f>'สูตร 4 step SB'!F950</f>
        <v>863</v>
      </c>
      <c r="J103" s="141">
        <f>'สูตร 4 step SB'!G947</f>
        <v>818</v>
      </c>
      <c r="K103" s="141">
        <f>'สูตร 4 step SB'!G948</f>
        <v>823</v>
      </c>
      <c r="L103" s="141">
        <f>'สูตร 4 step SB'!G949</f>
        <v>828</v>
      </c>
      <c r="M103" s="141">
        <f>'สูตร 4 step SB'!G950</f>
        <v>833</v>
      </c>
      <c r="N103" s="141">
        <f>'สูตร 4 step SB'!H947</f>
        <v>807</v>
      </c>
      <c r="O103" s="141">
        <f>'สูตร 4 step SB'!H948</f>
        <v>812</v>
      </c>
      <c r="P103" s="141">
        <f>'สูตร 4 step SB'!H949</f>
        <v>817</v>
      </c>
      <c r="Q103" s="141">
        <f>'สูตร 4 step SB'!H950</f>
        <v>822</v>
      </c>
    </row>
    <row r="104" spans="1:17" s="144" customFormat="1" x14ac:dyDescent="0.25">
      <c r="A104" s="255"/>
      <c r="B104" s="141"/>
      <c r="C104" s="141"/>
      <c r="D104" s="141"/>
      <c r="E104" s="146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</row>
    <row r="105" spans="1:17" s="144" customFormat="1" x14ac:dyDescent="0.25">
      <c r="A105" s="255"/>
      <c r="B105" s="141"/>
      <c r="C105" s="141"/>
      <c r="D105" s="141"/>
      <c r="E105" s="146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</row>
    <row r="106" spans="1:17" s="144" customFormat="1" x14ac:dyDescent="0.25">
      <c r="A106" s="255"/>
      <c r="B106" s="141"/>
      <c r="C106" s="141"/>
      <c r="D106" s="141"/>
      <c r="E106" s="146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</row>
    <row r="107" spans="1:17" s="144" customFormat="1" x14ac:dyDescent="0.25">
      <c r="A107" s="255"/>
      <c r="B107" s="141"/>
      <c r="C107" s="141"/>
      <c r="D107" s="141"/>
      <c r="E107" s="146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</row>
    <row r="108" spans="1:17" s="144" customFormat="1" x14ac:dyDescent="0.25">
      <c r="A108" s="255"/>
      <c r="B108" s="141"/>
      <c r="C108" s="141"/>
      <c r="D108" s="141"/>
      <c r="E108" s="146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</row>
    <row r="109" spans="1:17" s="144" customFormat="1" x14ac:dyDescent="0.25">
      <c r="A109" s="255"/>
      <c r="B109" s="141"/>
      <c r="C109" s="141"/>
      <c r="D109" s="141"/>
      <c r="E109" s="146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</row>
    <row r="110" spans="1:17" s="144" customFormat="1" x14ac:dyDescent="0.25">
      <c r="A110" s="255"/>
      <c r="B110" s="141"/>
      <c r="C110" s="141"/>
      <c r="D110" s="141"/>
      <c r="E110" s="146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</row>
    <row r="111" spans="1:17" s="144" customFormat="1" x14ac:dyDescent="0.25">
      <c r="A111" s="255"/>
      <c r="B111" s="141"/>
      <c r="C111" s="141"/>
      <c r="D111" s="141"/>
      <c r="E111" s="146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</row>
    <row r="112" spans="1:17" s="144" customFormat="1" x14ac:dyDescent="0.25">
      <c r="A112" s="255"/>
      <c r="B112" s="141"/>
      <c r="C112" s="141"/>
      <c r="D112" s="141"/>
      <c r="E112" s="146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</row>
    <row r="113" spans="1:17" s="144" customFormat="1" ht="20" thickBot="1" x14ac:dyDescent="0.3">
      <c r="A113" s="256"/>
      <c r="B113" s="149"/>
      <c r="C113" s="149"/>
      <c r="D113" s="149"/>
      <c r="E113" s="221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</row>
    <row r="114" spans="1:17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</row>
    <row r="115" spans="1:17" ht="27" thickBot="1" x14ac:dyDescent="0.35">
      <c r="A115" s="257" t="s">
        <v>119</v>
      </c>
      <c r="B115" s="13"/>
      <c r="C115" s="80"/>
      <c r="D115" s="13"/>
      <c r="H115" s="9"/>
      <c r="K115" s="14"/>
      <c r="L115" s="9"/>
      <c r="O115" s="14"/>
    </row>
    <row r="116" spans="1:17" ht="24.75" customHeight="1" thickTop="1" x14ac:dyDescent="0.25">
      <c r="A116" s="264" t="s">
        <v>72</v>
      </c>
      <c r="B116" s="172"/>
      <c r="C116" s="164"/>
      <c r="D116" s="164" t="s">
        <v>6</v>
      </c>
      <c r="E116" s="165"/>
      <c r="F116" s="120"/>
      <c r="G116" s="119"/>
      <c r="H116" s="119" t="s">
        <v>7</v>
      </c>
      <c r="I116" s="119"/>
      <c r="J116" s="120"/>
      <c r="K116" s="119"/>
      <c r="L116" s="119" t="s">
        <v>8</v>
      </c>
      <c r="M116" s="119"/>
      <c r="N116" s="120"/>
      <c r="O116" s="119"/>
      <c r="P116" s="119" t="s">
        <v>9</v>
      </c>
      <c r="Q116" s="175"/>
    </row>
    <row r="117" spans="1:17" ht="21" x14ac:dyDescent="0.25">
      <c r="A117" s="432" t="s">
        <v>120</v>
      </c>
      <c r="B117" s="300"/>
      <c r="C117" s="301" t="s">
        <v>79</v>
      </c>
      <c r="D117" s="301" t="s">
        <v>80</v>
      </c>
      <c r="E117" s="302" t="s">
        <v>81</v>
      </c>
      <c r="F117" s="300"/>
      <c r="G117" s="301" t="s">
        <v>79</v>
      </c>
      <c r="H117" s="301" t="s">
        <v>80</v>
      </c>
      <c r="I117" s="302" t="s">
        <v>81</v>
      </c>
      <c r="J117" s="300"/>
      <c r="K117" s="301" t="s">
        <v>79</v>
      </c>
      <c r="L117" s="301" t="s">
        <v>80</v>
      </c>
      <c r="M117" s="302" t="s">
        <v>81</v>
      </c>
      <c r="N117" s="300"/>
      <c r="O117" s="301" t="s">
        <v>79</v>
      </c>
      <c r="P117" s="301" t="s">
        <v>80</v>
      </c>
      <c r="Q117" s="302" t="s">
        <v>81</v>
      </c>
    </row>
    <row r="118" spans="1:17" ht="20" thickBot="1" x14ac:dyDescent="0.3">
      <c r="A118" s="433"/>
      <c r="B118" s="303" t="s">
        <v>142</v>
      </c>
      <c r="C118" s="298" t="s">
        <v>143</v>
      </c>
      <c r="D118" s="298" t="s">
        <v>144</v>
      </c>
      <c r="E118" s="299" t="s">
        <v>145</v>
      </c>
      <c r="F118" s="303" t="s">
        <v>142</v>
      </c>
      <c r="G118" s="298" t="s">
        <v>143</v>
      </c>
      <c r="H118" s="298" t="s">
        <v>144</v>
      </c>
      <c r="I118" s="299" t="s">
        <v>145</v>
      </c>
      <c r="J118" s="303" t="s">
        <v>142</v>
      </c>
      <c r="K118" s="298" t="s">
        <v>143</v>
      </c>
      <c r="L118" s="298" t="s">
        <v>144</v>
      </c>
      <c r="M118" s="299" t="s">
        <v>145</v>
      </c>
      <c r="N118" s="303" t="s">
        <v>142</v>
      </c>
      <c r="O118" s="298" t="s">
        <v>143</v>
      </c>
      <c r="P118" s="298" t="s">
        <v>144</v>
      </c>
      <c r="Q118" s="299" t="s">
        <v>145</v>
      </c>
    </row>
    <row r="119" spans="1:17" s="144" customFormat="1" ht="20" thickTop="1" x14ac:dyDescent="0.25">
      <c r="A119" s="261" t="s">
        <v>121</v>
      </c>
      <c r="B119" s="198">
        <f>Rockwool!E14</f>
        <v>338.36250000000001</v>
      </c>
      <c r="C119" s="200">
        <f>Rockwool!E15</f>
        <v>354.47500000000002</v>
      </c>
      <c r="D119" s="200">
        <f>Rockwool!E16</f>
        <v>370.58749999999998</v>
      </c>
      <c r="E119" s="200">
        <f>Rockwool!E17</f>
        <v>386.7</v>
      </c>
      <c r="F119" s="200"/>
      <c r="G119" s="196"/>
      <c r="H119" s="198"/>
      <c r="I119" s="198"/>
      <c r="J119" s="196">
        <f>Rockwool!G14</f>
        <v>335.35950000000003</v>
      </c>
      <c r="K119" s="196">
        <f>Rockwool!G15</f>
        <v>351.32900000000001</v>
      </c>
      <c r="L119" s="198">
        <f>Rockwool!G16</f>
        <v>367.29849999999993</v>
      </c>
      <c r="M119" s="198">
        <f>Rockwool!G17</f>
        <v>383.26799999999997</v>
      </c>
      <c r="N119" s="198">
        <f>Rockwool!H14</f>
        <v>324.6705</v>
      </c>
      <c r="O119" s="201">
        <f>Rockwool!H15</f>
        <v>340.13100000000003</v>
      </c>
      <c r="P119" s="200">
        <f>Rockwool!H16</f>
        <v>349.40729999999996</v>
      </c>
      <c r="Q119" s="198">
        <f>Rockwool!H17</f>
        <v>355.59149999999994</v>
      </c>
    </row>
    <row r="120" spans="1:17" s="144" customFormat="1" x14ac:dyDescent="0.25">
      <c r="A120" s="255" t="s">
        <v>146</v>
      </c>
      <c r="B120" s="141">
        <f>Rockwool!E42</f>
        <v>81.167940000000002</v>
      </c>
      <c r="C120" s="141">
        <f>Rockwool!E43</f>
        <v>82.713996000000009</v>
      </c>
      <c r="D120" s="141">
        <f>Rockwool!E44</f>
        <v>85.033080000000012</v>
      </c>
      <c r="E120" s="145">
        <f>Rockwool!E45</f>
        <v>88.898219999999995</v>
      </c>
      <c r="F120" s="145"/>
      <c r="G120" s="143"/>
      <c r="H120" s="141"/>
      <c r="I120" s="141"/>
      <c r="J120" s="143">
        <f>Rockwool!G42</f>
        <v>88.69644000000001</v>
      </c>
      <c r="K120" s="143">
        <f>Rockwool!G43</f>
        <v>90.385896000000017</v>
      </c>
      <c r="L120" s="141">
        <f>Rockwool!G44</f>
        <v>92.920080000000013</v>
      </c>
      <c r="M120" s="141">
        <f>Rockwool!G45</f>
        <v>97.143720000000002</v>
      </c>
      <c r="N120" s="141">
        <f>Rockwool!H42</f>
        <v>83.729939999999999</v>
      </c>
      <c r="O120" s="147">
        <f>Rockwool!H43</f>
        <v>85.324796000000006</v>
      </c>
      <c r="P120" s="145">
        <f>Rockwool!H44</f>
        <v>87.71708000000001</v>
      </c>
      <c r="Q120" s="141">
        <f>Rockwool!H45</f>
        <v>91.704219999999992</v>
      </c>
    </row>
    <row r="121" spans="1:17" s="144" customFormat="1" x14ac:dyDescent="0.25">
      <c r="A121" s="255" t="s">
        <v>231</v>
      </c>
      <c r="B121" s="141"/>
      <c r="C121" s="141"/>
      <c r="D121" s="141"/>
      <c r="E121" s="145"/>
      <c r="F121" s="145"/>
      <c r="G121" s="143"/>
      <c r="H121" s="141"/>
      <c r="I121" s="141"/>
      <c r="J121" s="143"/>
      <c r="K121" s="143"/>
      <c r="L121" s="141"/>
      <c r="M121" s="141"/>
      <c r="N121" s="141"/>
      <c r="O121" s="147"/>
      <c r="P121" s="145"/>
      <c r="Q121" s="141"/>
    </row>
    <row r="122" spans="1:17" s="144" customFormat="1" x14ac:dyDescent="0.25">
      <c r="A122" s="255" t="s">
        <v>147</v>
      </c>
      <c r="B122" s="141">
        <f>Rockwool!E71</f>
        <v>136.99433999999999</v>
      </c>
      <c r="C122" s="145">
        <f>Rockwool!E72</f>
        <v>139.603756</v>
      </c>
      <c r="D122" s="145">
        <f>Rockwool!E73</f>
        <v>143.51788000000002</v>
      </c>
      <c r="E122" s="145">
        <f>Rockwool!E74</f>
        <v>150.04141999999999</v>
      </c>
      <c r="F122" s="145"/>
      <c r="G122" s="143"/>
      <c r="H122" s="141"/>
      <c r="I122" s="141"/>
      <c r="J122" s="143">
        <f>Rockwool!G71</f>
        <v>0</v>
      </c>
      <c r="K122" s="143">
        <f>Rockwool!G72</f>
        <v>0</v>
      </c>
      <c r="L122" s="141">
        <f>Rockwool!G73</f>
        <v>0</v>
      </c>
      <c r="M122" s="141">
        <f>Rockwool!G74</f>
        <v>0</v>
      </c>
      <c r="N122" s="141">
        <f>Rockwool!H71</f>
        <v>0</v>
      </c>
      <c r="O122" s="147">
        <f>Rockwool!H72</f>
        <v>0</v>
      </c>
      <c r="P122" s="145">
        <f>Rockwool!H73</f>
        <v>0</v>
      </c>
      <c r="Q122" s="141">
        <f>Rockwool!H74</f>
        <v>0</v>
      </c>
    </row>
    <row r="123" spans="1:17" x14ac:dyDescent="0.25">
      <c r="A123" s="273"/>
      <c r="B123" s="76"/>
      <c r="C123" s="76"/>
      <c r="D123" s="76"/>
      <c r="E123" s="76"/>
      <c r="F123" s="76"/>
      <c r="G123" s="85"/>
      <c r="H123" s="76"/>
      <c r="I123" s="76"/>
      <c r="J123" s="85"/>
      <c r="K123" s="85"/>
      <c r="L123" s="76"/>
      <c r="M123" s="76"/>
      <c r="N123" s="76"/>
      <c r="O123" s="85"/>
      <c r="P123" s="76"/>
      <c r="Q123" s="76"/>
    </row>
    <row r="124" spans="1:17" x14ac:dyDescent="0.25">
      <c r="A124" s="273"/>
      <c r="B124" s="76"/>
      <c r="C124" s="76"/>
      <c r="D124" s="76"/>
      <c r="E124" s="76"/>
      <c r="F124" s="76"/>
      <c r="G124" s="85"/>
      <c r="H124" s="76"/>
      <c r="I124" s="76"/>
      <c r="J124" s="85"/>
      <c r="K124" s="85"/>
      <c r="L124" s="76"/>
      <c r="M124" s="76"/>
      <c r="N124" s="76"/>
      <c r="O124" s="85"/>
      <c r="P124" s="76"/>
      <c r="Q124" s="76"/>
    </row>
    <row r="125" spans="1:17" s="15" customFormat="1" x14ac:dyDescent="0.25">
      <c r="A125" s="274"/>
      <c r="B125" s="81"/>
      <c r="C125" s="81"/>
      <c r="D125" s="81"/>
      <c r="E125" s="81"/>
      <c r="F125" s="81"/>
      <c r="G125" s="108"/>
      <c r="H125" s="81"/>
      <c r="I125" s="81"/>
      <c r="J125" s="108"/>
      <c r="K125" s="108"/>
      <c r="L125" s="81"/>
      <c r="M125" s="81"/>
      <c r="N125" s="81"/>
      <c r="O125" s="108"/>
      <c r="P125" s="81"/>
      <c r="Q125" s="81"/>
    </row>
    <row r="126" spans="1:17" s="15" customFormat="1" x14ac:dyDescent="0.25">
      <c r="A126" s="274"/>
      <c r="B126" s="81"/>
      <c r="C126" s="81"/>
      <c r="D126" s="81"/>
      <c r="E126" s="81"/>
      <c r="F126" s="81"/>
      <c r="G126" s="108"/>
      <c r="H126" s="81"/>
      <c r="I126" s="81"/>
      <c r="J126" s="108"/>
      <c r="K126" s="108"/>
      <c r="L126" s="81"/>
      <c r="M126" s="81"/>
      <c r="N126" s="81"/>
      <c r="O126" s="108"/>
      <c r="P126" s="81"/>
      <c r="Q126" s="81"/>
    </row>
    <row r="127" spans="1:17" s="144" customFormat="1" x14ac:dyDescent="0.25">
      <c r="A127" s="255"/>
      <c r="B127" s="141"/>
      <c r="C127" s="141"/>
      <c r="D127" s="141"/>
      <c r="E127" s="141"/>
      <c r="F127" s="141"/>
      <c r="G127" s="143"/>
      <c r="H127" s="141"/>
      <c r="I127" s="141"/>
      <c r="J127" s="143"/>
      <c r="K127" s="143"/>
      <c r="L127" s="141"/>
      <c r="M127" s="141"/>
      <c r="N127" s="141"/>
      <c r="O127" s="143"/>
      <c r="P127" s="141"/>
      <c r="Q127" s="141"/>
    </row>
    <row r="128" spans="1:17" x14ac:dyDescent="0.25">
      <c r="A128" s="273"/>
      <c r="B128" s="76"/>
      <c r="C128" s="76"/>
      <c r="D128" s="76"/>
      <c r="E128" s="76"/>
      <c r="F128" s="76"/>
      <c r="G128" s="85"/>
      <c r="H128" s="76"/>
      <c r="I128" s="76"/>
      <c r="J128" s="85"/>
      <c r="K128" s="85"/>
      <c r="L128" s="76"/>
      <c r="M128" s="76"/>
      <c r="N128" s="76"/>
      <c r="O128" s="85"/>
      <c r="P128" s="76"/>
      <c r="Q128" s="76"/>
    </row>
    <row r="129" spans="1:17" x14ac:dyDescent="0.25">
      <c r="A129" s="274"/>
      <c r="B129" s="81"/>
      <c r="C129" s="76"/>
      <c r="D129" s="76"/>
      <c r="E129" s="76"/>
      <c r="F129" s="76"/>
      <c r="G129" s="85"/>
      <c r="H129" s="76"/>
      <c r="I129" s="76"/>
      <c r="J129" s="85"/>
      <c r="K129" s="85"/>
      <c r="L129" s="76"/>
      <c r="M129" s="76"/>
      <c r="N129" s="76"/>
      <c r="O129" s="85"/>
      <c r="P129" s="76"/>
      <c r="Q129" s="76"/>
    </row>
    <row r="130" spans="1:17" s="133" customFormat="1" x14ac:dyDescent="0.25">
      <c r="A130" s="268"/>
      <c r="B130" s="118"/>
      <c r="C130" s="118"/>
      <c r="D130" s="118"/>
      <c r="E130" s="118"/>
      <c r="F130" s="118"/>
      <c r="G130" s="134"/>
      <c r="H130" s="118"/>
      <c r="I130" s="118"/>
      <c r="J130" s="134"/>
      <c r="K130" s="134"/>
      <c r="L130" s="118"/>
      <c r="M130" s="118"/>
      <c r="N130" s="118"/>
      <c r="O130" s="134"/>
      <c r="P130" s="118"/>
      <c r="Q130" s="118"/>
    </row>
    <row r="131" spans="1:17" x14ac:dyDescent="0.25">
      <c r="A131" s="273"/>
      <c r="B131" s="76"/>
      <c r="C131" s="76"/>
      <c r="D131" s="76"/>
      <c r="E131" s="76"/>
      <c r="F131" s="76"/>
      <c r="G131" s="85"/>
      <c r="H131" s="76"/>
      <c r="I131" s="76"/>
      <c r="J131" s="85"/>
      <c r="K131" s="85"/>
      <c r="L131" s="76"/>
      <c r="M131" s="76"/>
      <c r="N131" s="76"/>
      <c r="O131" s="85"/>
      <c r="P131" s="76"/>
      <c r="Q131" s="76"/>
    </row>
    <row r="132" spans="1:17" x14ac:dyDescent="0.25">
      <c r="A132" s="273"/>
      <c r="B132" s="76"/>
      <c r="C132" s="76"/>
      <c r="D132" s="76"/>
      <c r="E132" s="76"/>
      <c r="F132" s="76"/>
      <c r="G132" s="85"/>
      <c r="H132" s="76"/>
      <c r="I132" s="76"/>
      <c r="J132" s="85"/>
      <c r="K132" s="85"/>
      <c r="L132" s="76"/>
      <c r="M132" s="76"/>
      <c r="N132" s="76"/>
      <c r="O132" s="85"/>
      <c r="P132" s="76"/>
      <c r="Q132" s="76"/>
    </row>
    <row r="133" spans="1:17" x14ac:dyDescent="0.25">
      <c r="A133" s="273"/>
      <c r="B133" s="76"/>
      <c r="C133" s="76"/>
      <c r="D133" s="76"/>
      <c r="E133" s="76"/>
      <c r="F133" s="76"/>
      <c r="G133" s="85"/>
      <c r="H133" s="76"/>
      <c r="I133" s="76"/>
      <c r="J133" s="85"/>
      <c r="K133" s="85"/>
      <c r="L133" s="76"/>
      <c r="M133" s="76"/>
      <c r="N133" s="76"/>
      <c r="O133" s="85"/>
      <c r="P133" s="76"/>
      <c r="Q133" s="76"/>
    </row>
    <row r="134" spans="1:17" x14ac:dyDescent="0.25">
      <c r="A134" s="273"/>
      <c r="B134" s="76"/>
      <c r="C134" s="76"/>
      <c r="D134" s="76"/>
      <c r="E134" s="76"/>
      <c r="F134" s="76"/>
      <c r="G134" s="85"/>
      <c r="H134" s="76"/>
      <c r="I134" s="76"/>
      <c r="J134" s="85"/>
      <c r="K134" s="85"/>
      <c r="L134" s="76"/>
      <c r="M134" s="76"/>
      <c r="N134" s="76"/>
      <c r="O134" s="85"/>
      <c r="P134" s="76"/>
      <c r="Q134" s="76"/>
    </row>
    <row r="135" spans="1:17" x14ac:dyDescent="0.25">
      <c r="A135" s="273"/>
      <c r="B135" s="76"/>
      <c r="C135" s="76"/>
      <c r="D135" s="76"/>
      <c r="E135" s="76"/>
      <c r="F135" s="76"/>
      <c r="G135" s="85"/>
      <c r="H135" s="76"/>
      <c r="I135" s="76"/>
      <c r="J135" s="85"/>
      <c r="K135" s="85"/>
      <c r="L135" s="76"/>
      <c r="M135" s="76"/>
      <c r="N135" s="76"/>
      <c r="O135" s="85"/>
      <c r="P135" s="76"/>
      <c r="Q135" s="76"/>
    </row>
    <row r="136" spans="1:17" x14ac:dyDescent="0.25">
      <c r="A136" s="273"/>
      <c r="B136" s="76"/>
      <c r="C136" s="76"/>
      <c r="D136" s="76"/>
      <c r="E136" s="76"/>
      <c r="F136" s="76"/>
      <c r="G136" s="85"/>
      <c r="H136" s="76"/>
      <c r="I136" s="76"/>
      <c r="J136" s="85"/>
      <c r="K136" s="85"/>
      <c r="L136" s="76"/>
      <c r="M136" s="76"/>
      <c r="N136" s="76"/>
      <c r="O136" s="85"/>
      <c r="P136" s="76"/>
      <c r="Q136" s="76"/>
    </row>
    <row r="137" spans="1:17" x14ac:dyDescent="0.25">
      <c r="A137" s="273"/>
      <c r="B137" s="76"/>
      <c r="C137" s="76"/>
      <c r="D137" s="76"/>
      <c r="E137" s="76"/>
      <c r="F137" s="76"/>
      <c r="G137" s="85"/>
      <c r="H137" s="76"/>
      <c r="I137" s="76"/>
      <c r="J137" s="85"/>
      <c r="K137" s="85"/>
      <c r="L137" s="76"/>
      <c r="M137" s="76"/>
      <c r="N137" s="76"/>
      <c r="O137" s="85"/>
      <c r="P137" s="76"/>
      <c r="Q137" s="76"/>
    </row>
    <row r="138" spans="1:17" x14ac:dyDescent="0.25">
      <c r="A138" s="273"/>
      <c r="B138" s="76"/>
      <c r="C138" s="76"/>
      <c r="D138" s="76"/>
      <c r="E138" s="76"/>
      <c r="F138" s="76"/>
      <c r="G138" s="85"/>
      <c r="H138" s="76"/>
      <c r="I138" s="76"/>
      <c r="J138" s="85"/>
      <c r="K138" s="85"/>
      <c r="L138" s="76"/>
      <c r="M138" s="76"/>
      <c r="N138" s="76"/>
      <c r="O138" s="85"/>
      <c r="P138" s="76"/>
      <c r="Q138" s="76"/>
    </row>
    <row r="139" spans="1:17" s="144" customFormat="1" x14ac:dyDescent="0.25">
      <c r="A139" s="255"/>
      <c r="B139" s="141"/>
      <c r="C139" s="141"/>
      <c r="D139" s="141"/>
      <c r="E139" s="141"/>
      <c r="F139" s="141"/>
      <c r="G139" s="143"/>
      <c r="H139" s="141"/>
      <c r="I139" s="141"/>
      <c r="J139" s="143"/>
      <c r="K139" s="143"/>
      <c r="L139" s="141"/>
      <c r="M139" s="141"/>
      <c r="N139" s="141"/>
      <c r="O139" s="143"/>
      <c r="P139" s="141"/>
      <c r="Q139" s="141"/>
    </row>
    <row r="140" spans="1:17" s="144" customFormat="1" x14ac:dyDescent="0.25">
      <c r="A140" s="272"/>
      <c r="B140" s="186"/>
      <c r="C140" s="186"/>
      <c r="D140" s="186"/>
      <c r="E140" s="186"/>
      <c r="F140" s="186"/>
      <c r="G140" s="184"/>
      <c r="H140" s="186"/>
      <c r="I140" s="186"/>
      <c r="J140" s="184"/>
      <c r="K140" s="184"/>
      <c r="L140" s="186"/>
      <c r="M140" s="186"/>
      <c r="N140" s="186"/>
      <c r="O140" s="184"/>
      <c r="P140" s="186"/>
      <c r="Q140" s="186"/>
    </row>
    <row r="141" spans="1:17" s="144" customFormat="1" x14ac:dyDescent="0.25">
      <c r="A141" s="255"/>
      <c r="B141" s="141"/>
      <c r="C141" s="141"/>
      <c r="D141" s="141"/>
      <c r="E141" s="141"/>
      <c r="F141" s="141"/>
      <c r="G141" s="143"/>
      <c r="H141" s="141"/>
      <c r="I141" s="141"/>
      <c r="J141" s="143"/>
      <c r="K141" s="143"/>
      <c r="L141" s="141"/>
      <c r="M141" s="141"/>
      <c r="N141" s="141"/>
      <c r="O141" s="143"/>
      <c r="P141" s="141"/>
      <c r="Q141" s="141"/>
    </row>
    <row r="142" spans="1:17" s="144" customFormat="1" ht="20" thickBot="1" x14ac:dyDescent="0.3">
      <c r="A142" s="275"/>
      <c r="B142" s="149"/>
      <c r="C142" s="149"/>
      <c r="D142" s="149"/>
      <c r="E142" s="149"/>
      <c r="F142" s="149"/>
      <c r="G142" s="174"/>
      <c r="H142" s="149"/>
      <c r="I142" s="149"/>
      <c r="J142" s="174"/>
      <c r="K142" s="174"/>
      <c r="L142" s="149"/>
      <c r="M142" s="149"/>
      <c r="N142" s="149"/>
      <c r="O142" s="174"/>
      <c r="P142" s="149"/>
      <c r="Q142" s="149"/>
    </row>
    <row r="143" spans="1:17" ht="20" thickTop="1" x14ac:dyDescent="0.25"/>
  </sheetData>
  <mergeCells count="5">
    <mergeCell ref="A11:A12"/>
    <mergeCell ref="A55:A56"/>
    <mergeCell ref="J1:K1"/>
    <mergeCell ref="AB1:AC1"/>
    <mergeCell ref="A117:A118"/>
  </mergeCells>
  <phoneticPr fontId="34" type="noConversion"/>
  <pageMargins left="0.39370078740157483" right="0.19685039370078741" top="0.35433070866141736" bottom="0.35433070866141736" header="0.31496062992125984" footer="0.31496062992125984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C000"/>
  </sheetPr>
  <dimension ref="A1:AE143"/>
  <sheetViews>
    <sheetView zoomScale="73" zoomScaleNormal="73" workbookViewId="0">
      <pane xSplit="1" ySplit="12" topLeftCell="B13" activePane="bottomRight" state="frozen"/>
      <selection activeCell="G1" sqref="G1"/>
      <selection pane="topRight" activeCell="G1" sqref="G1"/>
      <selection pane="bottomLeft" activeCell="G1" sqref="G1"/>
      <selection pane="bottomRight" activeCell="X12" sqref="X12"/>
    </sheetView>
  </sheetViews>
  <sheetFormatPr baseColWidth="10" defaultColWidth="9" defaultRowHeight="19" x14ac:dyDescent="0.25"/>
  <cols>
    <col min="1" max="1" width="46.19921875" customWidth="1"/>
    <col min="2" max="8" width="8.19921875" customWidth="1"/>
    <col min="9" max="9" width="9" customWidth="1"/>
    <col min="10" max="10" width="10.19921875" customWidth="1"/>
    <col min="11" max="21" width="8.19921875" customWidth="1"/>
  </cols>
  <sheetData>
    <row r="1" spans="1:31" ht="41.25" customHeight="1" x14ac:dyDescent="0.5">
      <c r="A1" s="2" t="s">
        <v>0</v>
      </c>
      <c r="B1" s="2"/>
      <c r="C1" s="3"/>
      <c r="D1" s="4"/>
      <c r="F1" s="6"/>
      <c r="G1" s="6"/>
      <c r="H1" s="6" t="s">
        <v>1</v>
      </c>
      <c r="I1" s="15"/>
      <c r="K1" s="133"/>
      <c r="P1" s="1"/>
      <c r="Q1" s="2"/>
      <c r="Z1" s="429"/>
      <c r="AA1" s="429"/>
      <c r="AC1" s="5"/>
      <c r="AD1" s="6"/>
      <c r="AE1" s="6"/>
    </row>
    <row r="2" spans="1:31" x14ac:dyDescent="0.25">
      <c r="A2" s="9" t="s">
        <v>2</v>
      </c>
      <c r="B2" s="7"/>
      <c r="C2" s="157" t="s">
        <v>102</v>
      </c>
      <c r="D2" s="156"/>
      <c r="E2" s="155"/>
      <c r="F2" s="10"/>
      <c r="G2" s="11"/>
      <c r="H2" s="10" t="s">
        <v>3</v>
      </c>
      <c r="I2" s="287"/>
      <c r="P2" s="7"/>
      <c r="Q2" s="7"/>
      <c r="AC2" s="9"/>
      <c r="AD2" s="10"/>
      <c r="AE2" s="11"/>
    </row>
    <row r="3" spans="1:31" x14ac:dyDescent="0.25">
      <c r="A3" s="9" t="s">
        <v>4</v>
      </c>
      <c r="B3" s="7"/>
      <c r="C3" s="157"/>
      <c r="D3" s="156"/>
      <c r="E3" s="158"/>
      <c r="P3" s="7"/>
      <c r="Q3" s="7"/>
    </row>
    <row r="4" spans="1:31" s="138" customFormat="1" ht="16" x14ac:dyDescent="0.2">
      <c r="A4" s="259" t="s">
        <v>100</v>
      </c>
      <c r="B4" s="136"/>
      <c r="C4" s="159"/>
      <c r="D4" s="160">
        <v>1</v>
      </c>
      <c r="E4" s="161" t="s">
        <v>238</v>
      </c>
      <c r="P4" s="136"/>
      <c r="Q4" s="136"/>
    </row>
    <row r="5" spans="1:31" s="138" customFormat="1" ht="16" x14ac:dyDescent="0.2">
      <c r="A5" s="139"/>
      <c r="B5" s="136"/>
      <c r="C5" s="159"/>
      <c r="D5" s="160">
        <v>2</v>
      </c>
      <c r="E5" s="163" t="s">
        <v>237</v>
      </c>
      <c r="P5" s="136"/>
      <c r="Q5" s="136"/>
    </row>
    <row r="6" spans="1:31" s="138" customFormat="1" ht="16" x14ac:dyDescent="0.2">
      <c r="A6" s="139"/>
      <c r="B6" s="136"/>
      <c r="C6" s="159"/>
      <c r="D6" s="160">
        <v>3</v>
      </c>
      <c r="E6" s="162" t="s">
        <v>32</v>
      </c>
      <c r="P6" s="136"/>
      <c r="Q6" s="136"/>
    </row>
    <row r="7" spans="1:31" s="138" customFormat="1" ht="16" x14ac:dyDescent="0.2">
      <c r="A7" s="139"/>
      <c r="B7" s="136"/>
      <c r="C7" s="159"/>
      <c r="D7" s="160">
        <v>4</v>
      </c>
      <c r="E7" s="162" t="s">
        <v>33</v>
      </c>
      <c r="P7" s="136"/>
      <c r="Q7" s="136"/>
    </row>
    <row r="8" spans="1:31" s="138" customFormat="1" ht="16" x14ac:dyDescent="0.2">
      <c r="A8" s="139"/>
      <c r="B8" s="136"/>
      <c r="C8" s="159"/>
      <c r="D8" s="150">
        <v>5</v>
      </c>
      <c r="E8" s="191" t="s">
        <v>99</v>
      </c>
      <c r="P8" s="136"/>
      <c r="Q8" s="136"/>
    </row>
    <row r="9" spans="1:31" ht="7.5" customHeight="1" thickBot="1" x14ac:dyDescent="0.3"/>
    <row r="10" spans="1:31" s="122" customFormat="1" ht="20" thickTop="1" x14ac:dyDescent="0.25">
      <c r="A10" s="277" t="s">
        <v>69</v>
      </c>
      <c r="B10" s="127"/>
      <c r="C10" s="126"/>
      <c r="D10" s="126" t="s">
        <v>10</v>
      </c>
      <c r="E10" s="126"/>
      <c r="F10" s="127"/>
      <c r="G10" s="126"/>
      <c r="H10" s="126" t="s">
        <v>11</v>
      </c>
      <c r="I10" s="126"/>
      <c r="J10" s="127"/>
      <c r="K10" s="126"/>
      <c r="L10" s="126" t="s">
        <v>12</v>
      </c>
      <c r="M10" s="126"/>
      <c r="N10" s="127"/>
      <c r="O10" s="126"/>
      <c r="P10" s="126" t="s">
        <v>13</v>
      </c>
      <c r="Q10" s="126"/>
      <c r="R10" s="127"/>
      <c r="S10" s="126"/>
      <c r="T10" s="126" t="s">
        <v>14</v>
      </c>
      <c r="U10" s="128"/>
    </row>
    <row r="11" spans="1:31" s="122" customFormat="1" x14ac:dyDescent="0.25">
      <c r="A11" s="434" t="s">
        <v>82</v>
      </c>
      <c r="B11" s="129"/>
      <c r="C11" s="121" t="s">
        <v>79</v>
      </c>
      <c r="D11" s="121" t="s">
        <v>80</v>
      </c>
      <c r="E11" s="121" t="s">
        <v>81</v>
      </c>
      <c r="F11" s="129"/>
      <c r="G11" s="121" t="s">
        <v>79</v>
      </c>
      <c r="H11" s="121" t="s">
        <v>80</v>
      </c>
      <c r="I11" s="121" t="s">
        <v>81</v>
      </c>
      <c r="J11" s="129"/>
      <c r="K11" s="121" t="s">
        <v>79</v>
      </c>
      <c r="L11" s="121" t="s">
        <v>80</v>
      </c>
      <c r="M11" s="121" t="s">
        <v>81</v>
      </c>
      <c r="N11" s="129"/>
      <c r="O11" s="121" t="s">
        <v>79</v>
      </c>
      <c r="P11" s="121" t="s">
        <v>80</v>
      </c>
      <c r="Q11" s="121" t="s">
        <v>81</v>
      </c>
      <c r="R11" s="129"/>
      <c r="S11" s="121" t="s">
        <v>79</v>
      </c>
      <c r="T11" s="121" t="s">
        <v>80</v>
      </c>
      <c r="U11" s="121" t="s">
        <v>81</v>
      </c>
    </row>
    <row r="12" spans="1:31" s="122" customFormat="1" ht="20" thickBot="1" x14ac:dyDescent="0.3">
      <c r="A12" s="431"/>
      <c r="B12" s="131" t="s">
        <v>142</v>
      </c>
      <c r="C12" s="125" t="s">
        <v>143</v>
      </c>
      <c r="D12" s="124" t="s">
        <v>144</v>
      </c>
      <c r="E12" s="124" t="s">
        <v>145</v>
      </c>
      <c r="F12" s="131" t="s">
        <v>142</v>
      </c>
      <c r="G12" s="125" t="s">
        <v>143</v>
      </c>
      <c r="H12" s="124" t="s">
        <v>144</v>
      </c>
      <c r="I12" s="124" t="s">
        <v>145</v>
      </c>
      <c r="J12" s="131" t="s">
        <v>142</v>
      </c>
      <c r="K12" s="125" t="s">
        <v>143</v>
      </c>
      <c r="L12" s="124" t="s">
        <v>144</v>
      </c>
      <c r="M12" s="124" t="s">
        <v>145</v>
      </c>
      <c r="N12" s="131" t="s">
        <v>142</v>
      </c>
      <c r="O12" s="125" t="s">
        <v>143</v>
      </c>
      <c r="P12" s="124" t="s">
        <v>144</v>
      </c>
      <c r="Q12" s="124" t="s">
        <v>145</v>
      </c>
      <c r="R12" s="131" t="s">
        <v>142</v>
      </c>
      <c r="S12" s="125" t="s">
        <v>143</v>
      </c>
      <c r="T12" s="124" t="s">
        <v>144</v>
      </c>
      <c r="U12" s="124" t="s">
        <v>145</v>
      </c>
    </row>
    <row r="13" spans="1:31" s="144" customFormat="1" ht="20" thickTop="1" x14ac:dyDescent="0.25">
      <c r="A13" s="261" t="s">
        <v>133</v>
      </c>
      <c r="B13" s="198">
        <f>'Formular 4 step Y1'!I14</f>
        <v>134</v>
      </c>
      <c r="C13" s="203">
        <f>'Formular 4 step Y1'!I15</f>
        <v>135</v>
      </c>
      <c r="D13" s="204">
        <f>'Formular 4 step Y1'!I16</f>
        <v>136</v>
      </c>
      <c r="E13" s="204">
        <f>'Formular 4 step Y1'!I17</f>
        <v>137</v>
      </c>
      <c r="F13" s="200">
        <f>'Formular 4 step Y1'!J14</f>
        <v>138</v>
      </c>
      <c r="G13" s="196">
        <f>'Formular 4 step Y1'!J15</f>
        <v>139</v>
      </c>
      <c r="H13" s="198">
        <f>'Formular 4 step Y1'!J16</f>
        <v>140</v>
      </c>
      <c r="I13" s="200">
        <f>'Formular 4 step Y1'!J17</f>
        <v>141</v>
      </c>
      <c r="J13" s="200">
        <f>'Formular 4 step Y1'!K14</f>
        <v>136</v>
      </c>
      <c r="K13" s="196">
        <f>'Formular 4 step Y1'!K15</f>
        <v>137</v>
      </c>
      <c r="L13" s="198">
        <f>'Formular 4 step Y1'!K16</f>
        <v>138</v>
      </c>
      <c r="M13" s="200">
        <f>'Formular 4 step Y1'!K17</f>
        <v>139</v>
      </c>
      <c r="N13" s="200">
        <f>'Formular 4 step Y1'!L14</f>
        <v>137</v>
      </c>
      <c r="O13" s="196">
        <f>'Formular 4 step Y1'!L15</f>
        <v>138</v>
      </c>
      <c r="P13" s="198">
        <f>'Formular 4 step Y1'!L16</f>
        <v>139</v>
      </c>
      <c r="Q13" s="200">
        <f>'Formular 4 step Y1'!L17</f>
        <v>140</v>
      </c>
      <c r="R13" s="200">
        <f>'Formular 4 step Y1'!M14</f>
        <v>132</v>
      </c>
      <c r="S13" s="196">
        <f>'Formular 4 step Y1'!M15</f>
        <v>133</v>
      </c>
      <c r="T13" s="198">
        <f>'Formular 4 step Y1'!M16</f>
        <v>134</v>
      </c>
      <c r="U13" s="200">
        <f>'Formular 4 step Y1'!M17</f>
        <v>135</v>
      </c>
    </row>
    <row r="14" spans="1:31" s="144" customFormat="1" x14ac:dyDescent="0.25">
      <c r="A14" s="249" t="s">
        <v>134</v>
      </c>
      <c r="B14" s="140">
        <f>'Formular 4 step Y1'!I39</f>
        <v>133</v>
      </c>
      <c r="C14" s="148">
        <f>'Formular 4 step Y1'!I40</f>
        <v>134</v>
      </c>
      <c r="D14" s="141">
        <f>'Formular 4 step Y1'!I41</f>
        <v>135</v>
      </c>
      <c r="E14" s="145">
        <f>'Formular 4 step Y1'!I42</f>
        <v>136</v>
      </c>
      <c r="F14" s="145">
        <f>'Formular 4 step Y1'!J39</f>
        <v>137</v>
      </c>
      <c r="G14" s="143">
        <f>'Formular 4 step Y1'!J40</f>
        <v>138</v>
      </c>
      <c r="H14" s="141">
        <f>'Formular 4 step Y1'!J41</f>
        <v>139</v>
      </c>
      <c r="I14" s="145">
        <f>'Formular 4 step Y1'!J42</f>
        <v>140</v>
      </c>
      <c r="J14" s="145">
        <f>'Formular 4 step Y1'!K39</f>
        <v>135</v>
      </c>
      <c r="K14" s="143">
        <f>'Formular 4 step Y1'!K40</f>
        <v>136</v>
      </c>
      <c r="L14" s="141">
        <f>'Formular 4 step Y1'!K41</f>
        <v>137</v>
      </c>
      <c r="M14" s="145">
        <f>'Formular 4 step Y1'!K42</f>
        <v>138</v>
      </c>
      <c r="N14" s="145">
        <f>'Formular 4 step Y1'!L39</f>
        <v>137</v>
      </c>
      <c r="O14" s="143">
        <f>'Formular 4 step Y1'!L40</f>
        <v>138</v>
      </c>
      <c r="P14" s="141">
        <f>'Formular 4 step Y1'!L41</f>
        <v>139</v>
      </c>
      <c r="Q14" s="145">
        <f>'Formular 4 step Y1'!L42</f>
        <v>140</v>
      </c>
      <c r="R14" s="145">
        <f>'Formular 4 step Y1'!M39</f>
        <v>131</v>
      </c>
      <c r="S14" s="143">
        <f>'Formular 4 step Y1'!M40</f>
        <v>132</v>
      </c>
      <c r="T14" s="141">
        <f>'Formular 4 step Y1'!M41</f>
        <v>133</v>
      </c>
      <c r="U14" s="145">
        <f>'Formular 4 step Y1'!M42</f>
        <v>134</v>
      </c>
    </row>
    <row r="15" spans="1:31" s="144" customFormat="1" x14ac:dyDescent="0.25">
      <c r="A15" s="250" t="s">
        <v>135</v>
      </c>
      <c r="B15" s="140">
        <f>'Formular 4 step Y1'!I64</f>
        <v>197</v>
      </c>
      <c r="C15" s="202">
        <f>'Formular 4 step Y1'!I65</f>
        <v>198</v>
      </c>
      <c r="D15" s="145">
        <f>'Formular 4 step Y1'!I66</f>
        <v>199</v>
      </c>
      <c r="E15" s="145">
        <f>'Formular 4 step Y1'!I67</f>
        <v>200</v>
      </c>
      <c r="F15" s="145">
        <f>'Formular 4 step Y1'!J64</f>
        <v>201</v>
      </c>
      <c r="G15" s="143">
        <f>'Formular 4 step Y1'!J65</f>
        <v>202</v>
      </c>
      <c r="H15" s="141">
        <f>'Formular 4 step Y1'!J66</f>
        <v>203</v>
      </c>
      <c r="I15" s="145">
        <f>'Formular 4 step Y1'!J67</f>
        <v>204</v>
      </c>
      <c r="J15" s="145">
        <f>'Formular 4 step Y1'!K64</f>
        <v>199</v>
      </c>
      <c r="K15" s="143">
        <f>'Formular 4 step Y1'!K65</f>
        <v>200</v>
      </c>
      <c r="L15" s="141">
        <f>'Formular 4 step Y1'!K66</f>
        <v>201</v>
      </c>
      <c r="M15" s="145">
        <f>'Formular 4 step Y1'!K67</f>
        <v>202</v>
      </c>
      <c r="N15" s="145">
        <f>'Formular 4 step Y1'!L64</f>
        <v>200</v>
      </c>
      <c r="O15" s="143">
        <f>'Formular 4 step Y1'!L65</f>
        <v>201</v>
      </c>
      <c r="P15" s="141">
        <f>'Formular 4 step Y1'!L66</f>
        <v>202</v>
      </c>
      <c r="Q15" s="145">
        <f>'Formular 4 step Y1'!L67</f>
        <v>203</v>
      </c>
      <c r="R15" s="145">
        <f>'Formular 4 step Y1'!M64</f>
        <v>195</v>
      </c>
      <c r="S15" s="143">
        <f>'Formular 4 step Y1'!M65</f>
        <v>196</v>
      </c>
      <c r="T15" s="141">
        <f>'Formular 4 step Y1'!M66</f>
        <v>197</v>
      </c>
      <c r="U15" s="145">
        <f>'Formular 4 step Y1'!M67</f>
        <v>198</v>
      </c>
    </row>
    <row r="16" spans="1:31" s="144" customFormat="1" x14ac:dyDescent="0.25">
      <c r="A16" s="250" t="s">
        <v>136</v>
      </c>
      <c r="B16" s="140">
        <f>'Formular 4 step Y1'!I89</f>
        <v>195</v>
      </c>
      <c r="C16" s="148">
        <f>'Formular 4 step Y1'!I90</f>
        <v>196</v>
      </c>
      <c r="D16" s="141">
        <f>'Formular 4 step Y1'!I91</f>
        <v>197</v>
      </c>
      <c r="E16" s="146">
        <f>'Formular 4 step Y1'!I92</f>
        <v>198</v>
      </c>
      <c r="F16" s="145">
        <f>'Formular 4 step Y1'!J89</f>
        <v>199</v>
      </c>
      <c r="G16" s="143">
        <f>'Formular 4 step Y1'!J90</f>
        <v>200</v>
      </c>
      <c r="H16" s="141">
        <f>'Formular 4 step Y1'!J91</f>
        <v>201</v>
      </c>
      <c r="I16" s="145">
        <f>'Formular 4 step Y1'!J92</f>
        <v>202</v>
      </c>
      <c r="J16" s="145">
        <f>'Formular 4 step Y1'!K89</f>
        <v>197</v>
      </c>
      <c r="K16" s="143">
        <f>'Formular 4 step Y1'!K90</f>
        <v>198</v>
      </c>
      <c r="L16" s="141">
        <f>'Formular 4 step Y1'!K91</f>
        <v>199</v>
      </c>
      <c r="M16" s="145">
        <f>'Formular 4 step Y1'!K92</f>
        <v>200</v>
      </c>
      <c r="N16" s="145">
        <f>'Formular 4 step Y1'!L89</f>
        <v>199</v>
      </c>
      <c r="O16" s="143">
        <f>'Formular 4 step Y1'!L90</f>
        <v>200</v>
      </c>
      <c r="P16" s="141">
        <f>'Formular 4 step Y1'!L91</f>
        <v>201</v>
      </c>
      <c r="Q16" s="145">
        <f>'Formular 4 step Y1'!L92</f>
        <v>202</v>
      </c>
      <c r="R16" s="145">
        <f>'Formular 4 step Y1'!M89</f>
        <v>193</v>
      </c>
      <c r="S16" s="143">
        <f>'Formular 4 step Y1'!M90</f>
        <v>194</v>
      </c>
      <c r="T16" s="141">
        <f>'Formular 4 step Y1'!M91</f>
        <v>195</v>
      </c>
      <c r="U16" s="145">
        <f>'Formular 4 step Y1'!M92</f>
        <v>196</v>
      </c>
    </row>
    <row r="17" spans="1:21" s="144" customFormat="1" x14ac:dyDescent="0.25">
      <c r="A17" s="250" t="s">
        <v>137</v>
      </c>
      <c r="B17" s="140">
        <f>'Formular 4 step Y1'!I114</f>
        <v>160</v>
      </c>
      <c r="C17" s="148">
        <f>'Formular 4 step Y1'!I115</f>
        <v>161</v>
      </c>
      <c r="D17" s="141">
        <f>'Formular 4 step Y1'!I116</f>
        <v>162</v>
      </c>
      <c r="E17" s="141">
        <f>'Formular 4 step Y1'!I117</f>
        <v>163</v>
      </c>
      <c r="F17" s="145">
        <f>'Formular 4 step Y1'!J114</f>
        <v>166</v>
      </c>
      <c r="G17" s="143">
        <f>'Formular 4 step Y1'!J115</f>
        <v>167</v>
      </c>
      <c r="H17" s="141">
        <f>'Formular 4 step Y1'!J116</f>
        <v>168</v>
      </c>
      <c r="I17" s="145">
        <f>'Formular 4 step Y1'!J117</f>
        <v>169</v>
      </c>
      <c r="J17" s="145">
        <f>'Formular 4 step Y1'!K114</f>
        <v>163</v>
      </c>
      <c r="K17" s="143">
        <f>'Formular 4 step Y1'!K115</f>
        <v>164</v>
      </c>
      <c r="L17" s="141">
        <f>'Formular 4 step Y1'!K116</f>
        <v>165</v>
      </c>
      <c r="M17" s="145">
        <f>'Formular 4 step Y1'!K117</f>
        <v>166</v>
      </c>
      <c r="N17" s="145">
        <f>'Formular 4 step Y1'!L114</f>
        <v>165</v>
      </c>
      <c r="O17" s="143">
        <f>'Formular 4 step Y1'!L115</f>
        <v>166</v>
      </c>
      <c r="P17" s="141">
        <f>'Formular 4 step Y1'!L116</f>
        <v>167</v>
      </c>
      <c r="Q17" s="145">
        <f>'Formular 4 step Y1'!L117</f>
        <v>168</v>
      </c>
      <c r="R17" s="145">
        <f>'Formular 4 step Y1'!M114</f>
        <v>158</v>
      </c>
      <c r="S17" s="143">
        <f>'Formular 4 step Y1'!M115</f>
        <v>159</v>
      </c>
      <c r="T17" s="141">
        <f>'Formular 4 step Y1'!M116</f>
        <v>160</v>
      </c>
      <c r="U17" s="145">
        <f>'Formular 4 step Y1'!M117</f>
        <v>161</v>
      </c>
    </row>
    <row r="18" spans="1:21" s="144" customFormat="1" x14ac:dyDescent="0.25">
      <c r="A18" s="250" t="s">
        <v>138</v>
      </c>
      <c r="B18" s="140">
        <f>'Formular 4 step Y1'!I139</f>
        <v>220</v>
      </c>
      <c r="C18" s="148">
        <f>'Formular 4 step Y1'!I140</f>
        <v>221</v>
      </c>
      <c r="D18" s="141">
        <f>'Formular 4 step Y1'!I141</f>
        <v>222</v>
      </c>
      <c r="E18" s="141">
        <f>'Formular 4 step Y1'!I141</f>
        <v>222</v>
      </c>
      <c r="F18" s="145">
        <f>'Formular 4 step Y1'!J139</f>
        <v>226</v>
      </c>
      <c r="G18" s="143">
        <f>'Formular 4 step Y1'!J140</f>
        <v>227</v>
      </c>
      <c r="H18" s="141">
        <f>'Formular 4 step Y1'!J141</f>
        <v>228</v>
      </c>
      <c r="I18" s="145">
        <f>'Formular 4 step Y1'!J142</f>
        <v>229</v>
      </c>
      <c r="J18" s="145">
        <f>'Formular 4 step Y1'!K139</f>
        <v>223</v>
      </c>
      <c r="K18" s="143">
        <f>'Formular 4 step Y1'!K140</f>
        <v>224</v>
      </c>
      <c r="L18" s="141">
        <f>'Formular 4 step Y1'!K141</f>
        <v>225</v>
      </c>
      <c r="M18" s="145">
        <f>'Formular 4 step Y1'!K142</f>
        <v>226</v>
      </c>
      <c r="N18" s="145">
        <f>'Formular 4 step Y1'!L139</f>
        <v>225</v>
      </c>
      <c r="O18" s="143">
        <f>'Formular 4 step Y1'!L140</f>
        <v>226</v>
      </c>
      <c r="P18" s="141">
        <f>'Formular 4 step Y1'!L141</f>
        <v>227</v>
      </c>
      <c r="Q18" s="145">
        <f>'Formular 4 step Y1'!L142</f>
        <v>228</v>
      </c>
      <c r="R18" s="145">
        <f>'Formular 4 step Y1'!M139</f>
        <v>218</v>
      </c>
      <c r="S18" s="143">
        <f>'Formular 4 step Y1'!M140</f>
        <v>219</v>
      </c>
      <c r="T18" s="141">
        <f>'Formular 4 step Y1'!M141</f>
        <v>220</v>
      </c>
      <c r="U18" s="145">
        <f>'Formular 4 step Y1'!M142</f>
        <v>221</v>
      </c>
    </row>
    <row r="19" spans="1:21" s="144" customFormat="1" x14ac:dyDescent="0.25">
      <c r="A19" s="250" t="s">
        <v>139</v>
      </c>
      <c r="B19" s="140">
        <f>'Formular 4 step Y1'!I838</f>
        <v>234</v>
      </c>
      <c r="C19" s="148">
        <f>'Formular 4 step Y1'!I839</f>
        <v>235</v>
      </c>
      <c r="D19" s="141">
        <f>'Formular 4 step Y1'!I840</f>
        <v>236</v>
      </c>
      <c r="E19" s="141">
        <f>'Formular 4 step Y1'!I841</f>
        <v>237</v>
      </c>
      <c r="F19" s="145">
        <f>'Formular 4 step Y1'!J838</f>
        <v>244</v>
      </c>
      <c r="G19" s="143">
        <f>'Formular 4 step Y1'!J839</f>
        <v>245</v>
      </c>
      <c r="H19" s="141">
        <f>'Formular 4 step Y1'!J840</f>
        <v>246</v>
      </c>
      <c r="I19" s="145">
        <f>'Formular 4 step Y1'!J841</f>
        <v>247</v>
      </c>
      <c r="J19" s="145">
        <f>'Formular 4 step Y1'!K838</f>
        <v>238</v>
      </c>
      <c r="K19" s="143">
        <f>'Formular 4 step Y1'!K839</f>
        <v>239</v>
      </c>
      <c r="L19" s="141">
        <f>'Formular 4 step Y1'!K840</f>
        <v>240</v>
      </c>
      <c r="M19" s="145">
        <f>'Formular 4 step Y1'!K841</f>
        <v>241</v>
      </c>
      <c r="N19" s="145">
        <f>'Formular 4 step Y1'!L838</f>
        <v>241</v>
      </c>
      <c r="O19" s="143">
        <f>'Formular 4 step Y1'!L839</f>
        <v>242</v>
      </c>
      <c r="P19" s="141">
        <f>'Formular 4 step Y1'!L840</f>
        <v>243</v>
      </c>
      <c r="Q19" s="145">
        <f>'Formular 4 step Y1'!L841</f>
        <v>244</v>
      </c>
      <c r="R19" s="145">
        <f>'Formular 4 step Y1'!M838</f>
        <v>228</v>
      </c>
      <c r="S19" s="143">
        <f>'Formular 4 step Y1'!M839</f>
        <v>229</v>
      </c>
      <c r="T19" s="141">
        <f>'Formular 4 step Y1'!M840</f>
        <v>230</v>
      </c>
      <c r="U19" s="145">
        <f>'Formular 4 step Y1'!M841</f>
        <v>231</v>
      </c>
    </row>
    <row r="20" spans="1:21" s="144" customFormat="1" x14ac:dyDescent="0.25">
      <c r="A20" s="250" t="s">
        <v>114</v>
      </c>
      <c r="B20" s="140">
        <f>'Formular 4 step Y1'!I164</f>
        <v>264</v>
      </c>
      <c r="C20" s="148">
        <f>'Formular 4 step Y1'!I165</f>
        <v>267</v>
      </c>
      <c r="D20" s="141">
        <f>'Formular 4 step Y1'!I166</f>
        <v>272</v>
      </c>
      <c r="E20" s="141">
        <f>'Formular 4 step Y1'!I167</f>
        <v>277</v>
      </c>
      <c r="F20" s="145">
        <f>'Formular 4 step Y1'!J164</f>
        <v>269</v>
      </c>
      <c r="G20" s="143">
        <f>'Formular 4 step Y1'!J165</f>
        <v>272</v>
      </c>
      <c r="H20" s="141">
        <f>'Formular 4 step Y1'!J166</f>
        <v>277</v>
      </c>
      <c r="I20" s="145">
        <f>'Formular 4 step Y1'!J167</f>
        <v>282</v>
      </c>
      <c r="J20" s="145">
        <f>'Formular 4 step Y1'!K164</f>
        <v>266</v>
      </c>
      <c r="K20" s="143">
        <f>'Formular 4 step Y1'!K165</f>
        <v>269</v>
      </c>
      <c r="L20" s="141">
        <f>'Formular 4 step Y1'!K166</f>
        <v>274</v>
      </c>
      <c r="M20" s="145">
        <f>'Formular 4 step Y1'!K167</f>
        <v>279</v>
      </c>
      <c r="N20" s="145">
        <f>'Formular 4 step Y1'!L164</f>
        <v>269</v>
      </c>
      <c r="O20" s="143">
        <f>'Formular 4 step Y1'!L165</f>
        <v>272</v>
      </c>
      <c r="P20" s="141">
        <f>'Formular 4 step Y1'!L166</f>
        <v>277</v>
      </c>
      <c r="Q20" s="145">
        <f>'Formular 4 step Y1'!L167</f>
        <v>282</v>
      </c>
      <c r="R20" s="145">
        <f>'Formular 4 step Y1'!M164</f>
        <v>261</v>
      </c>
      <c r="S20" s="143">
        <f>'Formular 4 step Y1'!M165</f>
        <v>264</v>
      </c>
      <c r="T20" s="141">
        <f>'Formular 4 step Y1'!M166</f>
        <v>269</v>
      </c>
      <c r="U20" s="145">
        <f>'Formular 4 step Y1'!M167</f>
        <v>274</v>
      </c>
    </row>
    <row r="21" spans="1:21" s="144" customFormat="1" x14ac:dyDescent="0.25">
      <c r="A21" s="250" t="s">
        <v>115</v>
      </c>
      <c r="B21" s="140">
        <f>'Formular 4 step Y1'!I189</f>
        <v>301</v>
      </c>
      <c r="C21" s="148">
        <f>'Formular 4 step Y1'!I190</f>
        <v>304</v>
      </c>
      <c r="D21" s="141">
        <f>'Formular 4 step Y1'!I191</f>
        <v>309</v>
      </c>
      <c r="E21" s="141">
        <f>'Formular 4 step Y1'!I192</f>
        <v>314</v>
      </c>
      <c r="F21" s="145">
        <f>'Formular 4 step Y1'!J189</f>
        <v>311</v>
      </c>
      <c r="G21" s="143">
        <f>'Formular 4 step Y1'!J190</f>
        <v>314</v>
      </c>
      <c r="H21" s="141">
        <f>'Formular 4 step Y1'!J191</f>
        <v>319</v>
      </c>
      <c r="I21" s="145">
        <f>'Formular 4 step Y1'!J192</f>
        <v>324</v>
      </c>
      <c r="J21" s="145">
        <f>'Formular 4 step Y1'!K189</f>
        <v>306</v>
      </c>
      <c r="K21" s="143">
        <f>'Formular 4 step Y1'!K190</f>
        <v>309</v>
      </c>
      <c r="L21" s="141">
        <f>'Formular 4 step Y1'!K191</f>
        <v>314</v>
      </c>
      <c r="M21" s="145">
        <f>'Formular 4 step Y1'!K192</f>
        <v>319</v>
      </c>
      <c r="N21" s="145">
        <f>'Formular 4 step Y1'!L189</f>
        <v>310</v>
      </c>
      <c r="O21" s="143">
        <f>'Formular 4 step Y1'!L190</f>
        <v>313</v>
      </c>
      <c r="P21" s="141">
        <f>'Formular 4 step Y1'!L191</f>
        <v>318</v>
      </c>
      <c r="Q21" s="145">
        <f>'Formular 4 step Y1'!L192</f>
        <v>323</v>
      </c>
      <c r="R21" s="145">
        <f>'Formular 4 step Y1'!M189</f>
        <v>296</v>
      </c>
      <c r="S21" s="143">
        <f>'Formular 4 step Y1'!M190</f>
        <v>299</v>
      </c>
      <c r="T21" s="141">
        <f>'Formular 4 step Y1'!M191</f>
        <v>304</v>
      </c>
      <c r="U21" s="145">
        <f>'Formular 4 step Y1'!M192</f>
        <v>309</v>
      </c>
    </row>
    <row r="22" spans="1:21" s="144" customFormat="1" x14ac:dyDescent="0.25">
      <c r="A22" s="250" t="s">
        <v>218</v>
      </c>
      <c r="B22" s="140">
        <f>'Formular 4 step Y1'!I863</f>
        <v>180.32104440000001</v>
      </c>
      <c r="C22" s="148">
        <f>'Formular 4 step Y1'!I864</f>
        <v>181.99068370000001</v>
      </c>
      <c r="D22" s="141">
        <f>'Formular 4 step Y1'!I865</f>
        <v>186.99960160000003</v>
      </c>
      <c r="E22" s="141">
        <f>'Formular 4 step Y1'!I866</f>
        <v>192.00851949999998</v>
      </c>
      <c r="F22" s="145">
        <f>'Formular 4 step Y1'!J863</f>
        <v>184.64104440000003</v>
      </c>
      <c r="G22" s="143">
        <f>'Formular 4 step Y1'!J864</f>
        <v>186.35068370000002</v>
      </c>
      <c r="H22" s="141">
        <f>'Formular 4 step Y1'!J865</f>
        <v>191.47960160000002</v>
      </c>
      <c r="I22" s="145">
        <f>'Formular 4 step Y1'!J866</f>
        <v>196.6085195</v>
      </c>
      <c r="J22" s="145">
        <f>'Formular 4 step Y1'!K863</f>
        <v>182.48104440000003</v>
      </c>
      <c r="K22" s="143">
        <f>'Formular 4 step Y1'!K864</f>
        <v>184.17068370000001</v>
      </c>
      <c r="L22" s="141">
        <f>'Formular 4 step Y1'!K865</f>
        <v>189.23960160000001</v>
      </c>
      <c r="M22" s="145">
        <f>'Formular 4 step Y1'!K866</f>
        <v>194.30851949999999</v>
      </c>
      <c r="N22" s="145">
        <f>'Formular 4 step Y1'!L863</f>
        <v>184.10104440000001</v>
      </c>
      <c r="O22" s="143">
        <f>'Formular 4 step Y1'!L864</f>
        <v>185.80568370000003</v>
      </c>
      <c r="P22" s="141">
        <f>'Formular 4 step Y1'!L865</f>
        <v>190.91960160000002</v>
      </c>
      <c r="Q22" s="145">
        <f>'Formular 4 step Y1'!L866</f>
        <v>196.03351949999998</v>
      </c>
      <c r="R22" s="145">
        <f>'Formular 4 step Y1'!M863</f>
        <v>178.16104440000001</v>
      </c>
      <c r="S22" s="143">
        <f>'Formular 4 step Y1'!M864</f>
        <v>179.81068370000003</v>
      </c>
      <c r="T22" s="141">
        <f>'Formular 4 step Y1'!M865</f>
        <v>184.75960160000002</v>
      </c>
      <c r="U22" s="145">
        <f>'Formular 4 step Y1'!M866</f>
        <v>189.70851949999999</v>
      </c>
    </row>
    <row r="23" spans="1:21" s="144" customFormat="1" x14ac:dyDescent="0.25">
      <c r="A23" s="250" t="s">
        <v>128</v>
      </c>
      <c r="B23" s="140">
        <f>'Formular 4 step Y1'!I738</f>
        <v>105</v>
      </c>
      <c r="C23" s="148">
        <f>'Formular 4 step Y1'!I739</f>
        <v>106</v>
      </c>
      <c r="D23" s="141">
        <f>'Formular 4 step Y1'!I740</f>
        <v>107</v>
      </c>
      <c r="E23" s="141">
        <f>'Formular 4 step Y1'!I741</f>
        <v>108</v>
      </c>
      <c r="F23" s="145">
        <f>'Formular 4 step Y1'!J738</f>
        <v>105</v>
      </c>
      <c r="G23" s="143">
        <f>'Formular 4 step Y1'!J739</f>
        <v>106</v>
      </c>
      <c r="H23" s="141">
        <f>'Formular 4 step Y1'!J740</f>
        <v>107</v>
      </c>
      <c r="I23" s="145">
        <f>'Formular 4 step Y1'!J741</f>
        <v>108</v>
      </c>
      <c r="J23" s="145">
        <f>'Formular 4 step Y1'!K738</f>
        <v>105</v>
      </c>
      <c r="K23" s="143">
        <f>'Formular 4 step Y1'!K739</f>
        <v>106</v>
      </c>
      <c r="L23" s="141">
        <f>'Formular 4 step Y1'!K740</f>
        <v>107</v>
      </c>
      <c r="M23" s="145">
        <f>'Formular 4 step Y1'!K741</f>
        <v>108</v>
      </c>
      <c r="N23" s="145">
        <f>'Formular 4 step Y1'!L738</f>
        <v>105</v>
      </c>
      <c r="O23" s="143">
        <f>'Formular 4 step Y1'!L739</f>
        <v>106</v>
      </c>
      <c r="P23" s="141">
        <f>'Formular 4 step Y1'!L740</f>
        <v>107</v>
      </c>
      <c r="Q23" s="145">
        <f>'Formular 4 step Y1'!L741</f>
        <v>108</v>
      </c>
      <c r="R23" s="145">
        <f>'Formular 4 step Y1'!M738</f>
        <v>105</v>
      </c>
      <c r="S23" s="143">
        <f>'Formular 4 step Y1'!M739</f>
        <v>106</v>
      </c>
      <c r="T23" s="141">
        <f>'Formular 4 step Y1'!M740</f>
        <v>107</v>
      </c>
      <c r="U23" s="145">
        <f>'Formular 4 step Y1'!M741</f>
        <v>108</v>
      </c>
    </row>
    <row r="24" spans="1:21" s="144" customFormat="1" x14ac:dyDescent="0.25">
      <c r="A24" s="250" t="s">
        <v>130</v>
      </c>
      <c r="B24" s="140">
        <f>'Formular 4 step Y1'!I763</f>
        <v>162</v>
      </c>
      <c r="C24" s="148">
        <f>'Formular 4 step Y1'!I764</f>
        <v>163</v>
      </c>
      <c r="D24" s="141">
        <f>'Formular 4 step Y1'!I765</f>
        <v>164</v>
      </c>
      <c r="E24" s="141">
        <f>'Formular 4 step Y1'!I766</f>
        <v>165</v>
      </c>
      <c r="F24" s="145">
        <f>'Formular 4 step Y1'!J763</f>
        <v>162</v>
      </c>
      <c r="G24" s="143">
        <f>'Formular 4 step Y1'!J764</f>
        <v>163</v>
      </c>
      <c r="H24" s="141">
        <f>'Formular 4 step Y1'!J765</f>
        <v>164</v>
      </c>
      <c r="I24" s="145">
        <f>'Formular 4 step Y1'!J766</f>
        <v>165</v>
      </c>
      <c r="J24" s="145">
        <f>'Formular 4 step Y1'!K763</f>
        <v>162</v>
      </c>
      <c r="K24" s="143">
        <f>'Formular 4 step Y1'!K764</f>
        <v>163</v>
      </c>
      <c r="L24" s="141">
        <f>'Formular 4 step Y1'!K765</f>
        <v>164</v>
      </c>
      <c r="M24" s="145">
        <f>'Formular 4 step Y1'!K766</f>
        <v>165</v>
      </c>
      <c r="N24" s="145">
        <f>'Formular 4 step Y1'!L763</f>
        <v>162</v>
      </c>
      <c r="O24" s="143">
        <f>'Formular 4 step Y1'!L764</f>
        <v>163</v>
      </c>
      <c r="P24" s="141">
        <f>'Formular 4 step Y1'!L765</f>
        <v>164</v>
      </c>
      <c r="Q24" s="145">
        <f>'Formular 4 step Y1'!L766</f>
        <v>165</v>
      </c>
      <c r="R24" s="145">
        <f>'Formular 4 step Y1'!M763</f>
        <v>162</v>
      </c>
      <c r="S24" s="143">
        <f>'Formular 4 step Y1'!M764</f>
        <v>163</v>
      </c>
      <c r="T24" s="141">
        <f>'Formular 4 step Y1'!M765</f>
        <v>164</v>
      </c>
      <c r="U24" s="145">
        <f>'Formular 4 step Y1'!M766</f>
        <v>165</v>
      </c>
    </row>
    <row r="25" spans="1:21" s="144" customFormat="1" x14ac:dyDescent="0.25">
      <c r="A25" s="250" t="s">
        <v>116</v>
      </c>
      <c r="B25" s="213">
        <f>'Formular 4 step Y1'!I788</f>
        <v>275</v>
      </c>
      <c r="C25" s="213">
        <f>'Formular 4 step Y1'!I789</f>
        <v>276</v>
      </c>
      <c r="D25" s="213">
        <f>'Formular 4 step Y1'!I790</f>
        <v>277</v>
      </c>
      <c r="E25" s="213">
        <f>'Formular 4 step Y1'!I791</f>
        <v>278</v>
      </c>
      <c r="F25" s="213">
        <f>'Formular 4 step Y1'!J788</f>
        <v>278</v>
      </c>
      <c r="G25" s="213">
        <f>'Formular 4 step Y1'!J789</f>
        <v>279</v>
      </c>
      <c r="H25" s="213">
        <f>'Formular 4 step Y1'!J790</f>
        <v>280</v>
      </c>
      <c r="I25" s="213">
        <f>'Formular 4 step Y1'!J791</f>
        <v>281</v>
      </c>
      <c r="J25" s="213">
        <f>'Formular 4 step Y1'!K788</f>
        <v>276</v>
      </c>
      <c r="K25" s="213">
        <f>'Formular 4 step Y1'!K789</f>
        <v>277</v>
      </c>
      <c r="L25" s="213">
        <f>'Formular 4 step Y1'!K790</f>
        <v>278</v>
      </c>
      <c r="M25" s="213">
        <f>'Formular 4 step Y1'!K791</f>
        <v>279</v>
      </c>
      <c r="N25" s="213">
        <f>'Formular 4 step Y1'!L788</f>
        <v>277</v>
      </c>
      <c r="O25" s="213">
        <f>'Formular 4 step Y1'!L789</f>
        <v>278</v>
      </c>
      <c r="P25" s="213">
        <f>'Formular 4 step Y1'!L790</f>
        <v>279</v>
      </c>
      <c r="Q25" s="213">
        <f>'Formular 4 step Y1'!L791</f>
        <v>280</v>
      </c>
      <c r="R25" s="213">
        <f>'Formular 4 step Y1'!M788</f>
        <v>272</v>
      </c>
      <c r="S25" s="213">
        <f>'Formular 4 step Y1'!M789</f>
        <v>273</v>
      </c>
      <c r="T25" s="213">
        <f>'Formular 4 step Y1'!M790</f>
        <v>274</v>
      </c>
      <c r="U25" s="213">
        <f>'Formular 4 step Y1'!M791</f>
        <v>275</v>
      </c>
    </row>
    <row r="26" spans="1:21" s="144" customFormat="1" x14ac:dyDescent="0.25">
      <c r="A26" s="250" t="s">
        <v>117</v>
      </c>
      <c r="B26" s="140">
        <f>'Formular 4 step Y1'!I813</f>
        <v>431</v>
      </c>
      <c r="C26" s="141">
        <f>'Formular 4 step Y1'!I814</f>
        <v>432</v>
      </c>
      <c r="D26" s="141">
        <f>'Formular 4 step Y1'!I815</f>
        <v>433</v>
      </c>
      <c r="E26" s="141">
        <f>'Formular 4 step Y1'!I816</f>
        <v>434</v>
      </c>
      <c r="F26" s="140">
        <f>'Formular 4 step Y1'!J813</f>
        <v>435</v>
      </c>
      <c r="G26" s="141">
        <f>'Formular 4 step Y1'!J814</f>
        <v>436</v>
      </c>
      <c r="H26" s="141">
        <f>'Formular 4 step Y1'!J815</f>
        <v>437</v>
      </c>
      <c r="I26" s="141">
        <f>'Formular 4 step Y1'!J816</f>
        <v>438</v>
      </c>
      <c r="J26" s="140">
        <f>'Formular 4 step Y1'!K813</f>
        <v>433</v>
      </c>
      <c r="K26" s="141">
        <f>'Formular 4 step Y1'!K814</f>
        <v>434</v>
      </c>
      <c r="L26" s="141">
        <f>'Formular 4 step Y1'!K815</f>
        <v>435</v>
      </c>
      <c r="M26" s="141">
        <f>'Formular 4 step Y1'!K816</f>
        <v>436</v>
      </c>
      <c r="N26" s="140">
        <f>'Formular 4 step Y1'!L813</f>
        <v>434</v>
      </c>
      <c r="O26" s="141">
        <f>'Formular 4 step Y1'!L814</f>
        <v>435</v>
      </c>
      <c r="P26" s="141">
        <f>'Formular 4 step Y1'!L815</f>
        <v>436</v>
      </c>
      <c r="Q26" s="141">
        <f>'Formular 4 step Y1'!L816</f>
        <v>437</v>
      </c>
      <c r="R26" s="140">
        <f>'Formular 4 step Y1'!M813</f>
        <v>429</v>
      </c>
      <c r="S26" s="141">
        <f>'Formular 4 step Y1'!M814</f>
        <v>430</v>
      </c>
      <c r="T26" s="141">
        <f>'Formular 4 step Y1'!M815</f>
        <v>431</v>
      </c>
      <c r="U26" s="141">
        <f>'Formular 4 step Y1'!M816</f>
        <v>432</v>
      </c>
    </row>
    <row r="27" spans="1:21" s="144" customFormat="1" x14ac:dyDescent="0.25">
      <c r="A27" s="250" t="s">
        <v>217</v>
      </c>
      <c r="B27" s="140">
        <f>'Formular 4 step Y1'!I214</f>
        <v>913</v>
      </c>
      <c r="C27" s="148">
        <f>'Formular 4 step Y1'!I215</f>
        <v>916</v>
      </c>
      <c r="D27" s="141">
        <f>'Formular 4 step Y1'!I216</f>
        <v>926</v>
      </c>
      <c r="E27" s="141">
        <f>'Formular 4 step Y1'!I217</f>
        <v>936</v>
      </c>
      <c r="F27" s="141">
        <f>'Formular 4 step Y1'!J214</f>
        <v>918</v>
      </c>
      <c r="G27" s="143">
        <f>'Formular 4 step Y1'!J215</f>
        <v>921</v>
      </c>
      <c r="H27" s="141">
        <f>'Formular 4 step Y1'!J216</f>
        <v>931</v>
      </c>
      <c r="I27" s="141">
        <f>'Formular 4 step Y1'!J217</f>
        <v>941</v>
      </c>
      <c r="J27" s="141">
        <f>'Formular 4 step Y1'!K214</f>
        <v>915</v>
      </c>
      <c r="K27" s="143">
        <f>'Formular 4 step Y1'!K215</f>
        <v>918</v>
      </c>
      <c r="L27" s="141">
        <f>'Formular 4 step Y1'!K216</f>
        <v>928</v>
      </c>
      <c r="M27" s="141">
        <f>'Formular 4 step Y1'!K217</f>
        <v>938</v>
      </c>
      <c r="N27" s="141">
        <f>'Formular 4 step Y1'!L214</f>
        <v>918</v>
      </c>
      <c r="O27" s="143">
        <f>'Formular 4 step Y1'!L215</f>
        <v>921</v>
      </c>
      <c r="P27" s="141">
        <f>'Formular 4 step Y1'!L216</f>
        <v>931</v>
      </c>
      <c r="Q27" s="141">
        <f>'Formular 4 step Y1'!L217</f>
        <v>941</v>
      </c>
      <c r="R27" s="141">
        <f>'Formular 4 step Y1'!M214</f>
        <v>910</v>
      </c>
      <c r="S27" s="143">
        <f>'Formular 4 step Y1'!M215</f>
        <v>913</v>
      </c>
      <c r="T27" s="141">
        <f>'Formular 4 step Y1'!M216</f>
        <v>923</v>
      </c>
      <c r="U27" s="141">
        <f>'Formular 4 step Y1'!M217</f>
        <v>933</v>
      </c>
    </row>
    <row r="28" spans="1:21" s="144" customFormat="1" x14ac:dyDescent="0.25">
      <c r="A28" s="250" t="s">
        <v>209</v>
      </c>
      <c r="B28" s="217">
        <f>'Formular 4 step Y1'!I239</f>
        <v>21.751662</v>
      </c>
      <c r="C28" s="148">
        <f>'Formular 4 step Y1'!I240</f>
        <v>23</v>
      </c>
      <c r="D28" s="141">
        <f>'Formular 4 step Y1'!I241</f>
        <v>24</v>
      </c>
      <c r="E28" s="141">
        <f>'Formular 4 step Y1'!I242</f>
        <v>25</v>
      </c>
      <c r="F28" s="141">
        <f>'Formular 4 step Y1'!J239</f>
        <v>21.751662</v>
      </c>
      <c r="G28" s="143">
        <f>'Formular 4 step Y1'!J240</f>
        <v>23</v>
      </c>
      <c r="H28" s="141">
        <f>'Formular 4 step Y1'!J241</f>
        <v>24</v>
      </c>
      <c r="I28" s="141">
        <f>'Formular 4 step Y1'!J242</f>
        <v>25</v>
      </c>
      <c r="J28" s="141">
        <f>'Formular 4 step Y1'!K239</f>
        <v>21.751662</v>
      </c>
      <c r="K28" s="143">
        <f>'Formular 4 step Y1'!K240</f>
        <v>23</v>
      </c>
      <c r="L28" s="141">
        <f>'Formular 4 step Y1'!K241</f>
        <v>24</v>
      </c>
      <c r="M28" s="141">
        <f>'Formular 4 step Y1'!K242</f>
        <v>25</v>
      </c>
      <c r="N28" s="141">
        <f>'Formular 4 step Y1'!L239</f>
        <v>21.751662</v>
      </c>
      <c r="O28" s="143">
        <f>'Formular 4 step Y1'!L240</f>
        <v>23</v>
      </c>
      <c r="P28" s="141">
        <f>'Formular 4 step Y1'!L241</f>
        <v>24</v>
      </c>
      <c r="Q28" s="141">
        <f>'Formular 4 step Y1'!L242</f>
        <v>25</v>
      </c>
      <c r="R28" s="141">
        <f>'Formular 4 step Y1'!M239</f>
        <v>21.751662</v>
      </c>
      <c r="S28" s="143">
        <f>'Formular 4 step Y1'!M240</f>
        <v>23</v>
      </c>
      <c r="T28" s="141">
        <f>'Formular 4 step Y1'!M241</f>
        <v>24</v>
      </c>
      <c r="U28" s="141">
        <f>'Formular 4 step Y1'!M242</f>
        <v>25</v>
      </c>
    </row>
    <row r="29" spans="1:21" s="144" customFormat="1" x14ac:dyDescent="0.25">
      <c r="A29" s="250" t="s">
        <v>210</v>
      </c>
      <c r="B29" s="217">
        <f>'Formular 4 step Y1'!I264</f>
        <v>19.916611999999994</v>
      </c>
      <c r="C29" s="148">
        <f>'Formular 4 step Y1'!I265</f>
        <v>21</v>
      </c>
      <c r="D29" s="141">
        <f>'Formular 4 step Y1'!I266</f>
        <v>22</v>
      </c>
      <c r="E29" s="141">
        <f>'Formular 4 step Y1'!J267</f>
        <v>23</v>
      </c>
      <c r="F29" s="141">
        <f>'Formular 4 step Y1'!J264</f>
        <v>19.916611999999994</v>
      </c>
      <c r="G29" s="143">
        <f>'Formular 4 step Y1'!J265</f>
        <v>21</v>
      </c>
      <c r="H29" s="141">
        <f>'Formular 4 step Y1'!J266</f>
        <v>22</v>
      </c>
      <c r="I29" s="141">
        <f>'Formular 4 step Y1'!K267</f>
        <v>23</v>
      </c>
      <c r="J29" s="141">
        <f>'Formular 4 step Y1'!K264</f>
        <v>19.916611999999994</v>
      </c>
      <c r="K29" s="143">
        <f>'Formular 4 step Y1'!K265</f>
        <v>21</v>
      </c>
      <c r="L29" s="141">
        <f>'Formular 4 step Y1'!K266</f>
        <v>22</v>
      </c>
      <c r="M29" s="141">
        <f>'Formular 4 step Y1'!L267</f>
        <v>23</v>
      </c>
      <c r="N29" s="141">
        <f>'Formular 4 step Y1'!L264</f>
        <v>19.916611999999994</v>
      </c>
      <c r="O29" s="143">
        <f>'Formular 4 step Y1'!L265</f>
        <v>21</v>
      </c>
      <c r="P29" s="141">
        <f>'Formular 4 step Y1'!L266</f>
        <v>22</v>
      </c>
      <c r="Q29" s="141">
        <f>'Formular 4 step Y1'!M267</f>
        <v>23</v>
      </c>
      <c r="R29" s="141">
        <f>'Formular 4 step Y1'!M264</f>
        <v>19.916611999999994</v>
      </c>
      <c r="S29" s="143">
        <f>'Formular 4 step Y1'!M265</f>
        <v>21</v>
      </c>
      <c r="T29" s="141">
        <f>'Formular 4 step Y1'!M266</f>
        <v>22</v>
      </c>
      <c r="U29" s="141">
        <f>'Formular 4 step Y1'!M267</f>
        <v>23</v>
      </c>
    </row>
    <row r="30" spans="1:21" s="133" customFormat="1" x14ac:dyDescent="0.25">
      <c r="A30" s="258" t="s">
        <v>233</v>
      </c>
      <c r="B30" s="291">
        <f>'Formular 4 step Y1'!I264</f>
        <v>19.916611999999994</v>
      </c>
      <c r="C30" s="152">
        <f>'Formular 4 step Y1'!I265</f>
        <v>21</v>
      </c>
      <c r="D30" s="118">
        <f>'Formular 4 step Y1'!J266</f>
        <v>22</v>
      </c>
      <c r="E30" s="152">
        <f>'Formular 4 step Y1'!K267</f>
        <v>23</v>
      </c>
      <c r="F30" s="118">
        <f>'Formular 4 step Y1'!I264</f>
        <v>19.916611999999994</v>
      </c>
      <c r="G30" s="134">
        <f>'Formular 4 step Y1'!J265</f>
        <v>21</v>
      </c>
      <c r="H30" s="118">
        <f>'Formular 4 step Y1'!K266</f>
        <v>22</v>
      </c>
      <c r="I30" s="118">
        <f>'Formular 4 step Y1'!L267</f>
        <v>23</v>
      </c>
      <c r="J30" s="118">
        <f>'Formular 4 step Y1'!K264</f>
        <v>19.916611999999994</v>
      </c>
      <c r="K30" s="134">
        <f>'Formular 4 step Y1'!K265</f>
        <v>21</v>
      </c>
      <c r="L30" s="118">
        <f>'Formular 4 step Y1'!K266</f>
        <v>22</v>
      </c>
      <c r="M30" s="118">
        <f>'Formular 4 step Y1'!K267</f>
        <v>23</v>
      </c>
      <c r="N30" s="118">
        <f>'Formular 4 step Y1'!L264</f>
        <v>19.916611999999994</v>
      </c>
      <c r="O30" s="134">
        <f>'Formular 4 step Y1'!L265</f>
        <v>21</v>
      </c>
      <c r="P30" s="118">
        <f>'Formular 4 step Y1'!L266</f>
        <v>22</v>
      </c>
      <c r="Q30" s="118">
        <f>'Formular 4 step Y1'!L267</f>
        <v>23</v>
      </c>
      <c r="R30" s="118">
        <f>'Formular 4 step Y1'!M289</f>
        <v>24.729685999999994</v>
      </c>
      <c r="S30" s="134">
        <f>'Formular 4 step Y1'!M290</f>
        <v>26</v>
      </c>
      <c r="T30" s="118">
        <f>'Formular 4 step Y1'!M291</f>
        <v>27</v>
      </c>
      <c r="U30" s="118">
        <f>'Formular 4 step Y1'!M292</f>
        <v>28</v>
      </c>
    </row>
    <row r="31" spans="1:21" s="144" customFormat="1" x14ac:dyDescent="0.25">
      <c r="A31" s="250" t="s">
        <v>211</v>
      </c>
      <c r="B31" s="140">
        <f>'Formular 4 step Y1'!I289</f>
        <v>24.729685999999994</v>
      </c>
      <c r="C31" s="148">
        <f>'Formular 4 step Y1'!I290</f>
        <v>26</v>
      </c>
      <c r="D31" s="141">
        <f>'Formular 4 step Y1'!I291</f>
        <v>27</v>
      </c>
      <c r="E31" s="141">
        <f>'Formular 4 step Y1'!I292</f>
        <v>28</v>
      </c>
      <c r="F31" s="141">
        <f>'Formular 4 step Y1'!J289</f>
        <v>24.729685999999994</v>
      </c>
      <c r="G31" s="143">
        <f>'Formular 4 step Y1'!J290</f>
        <v>26</v>
      </c>
      <c r="H31" s="141">
        <f>'Formular 4 step Y1'!J291</f>
        <v>27</v>
      </c>
      <c r="I31" s="141">
        <f>'Formular 4 step Y1'!J292</f>
        <v>28</v>
      </c>
      <c r="J31" s="141">
        <f>'Formular 4 step Y1'!K289</f>
        <v>24.729685999999994</v>
      </c>
      <c r="K31" s="143">
        <f>'Formular 4 step Y1'!K290</f>
        <v>26</v>
      </c>
      <c r="L31" s="141">
        <f>'Formular 4 step Y1'!K291</f>
        <v>27</v>
      </c>
      <c r="M31" s="141">
        <f>'Formular 4 step Y1'!K292</f>
        <v>28</v>
      </c>
      <c r="N31" s="141">
        <f>'Formular 4 step Y1'!L289</f>
        <v>24.729685999999994</v>
      </c>
      <c r="O31" s="143">
        <f>'Formular 4 step Y1'!L290</f>
        <v>26</v>
      </c>
      <c r="P31" s="141">
        <f>'Formular 4 step Y1'!L291</f>
        <v>27</v>
      </c>
      <c r="Q31" s="141">
        <f>'Formular 4 step Y1'!L292</f>
        <v>28</v>
      </c>
      <c r="R31" s="141">
        <f>'Formular 4 step Y1'!M313</f>
        <v>23</v>
      </c>
      <c r="S31" s="143">
        <f>'Formular 4 step Y1'!M314</f>
        <v>24</v>
      </c>
      <c r="T31" s="141">
        <f>'Formular 4 step Y1'!M315</f>
        <v>25</v>
      </c>
      <c r="U31" s="141">
        <f>'Formular 4 step Y1'!M316</f>
        <v>26</v>
      </c>
    </row>
    <row r="32" spans="1:21" s="144" customFormat="1" x14ac:dyDescent="0.25">
      <c r="A32" s="250" t="s">
        <v>212</v>
      </c>
      <c r="B32" s="140">
        <f>'Formular 4 step Y1'!I338</f>
        <v>46</v>
      </c>
      <c r="C32" s="148">
        <f>'Formular 4 step Y1'!I339</f>
        <v>47</v>
      </c>
      <c r="D32" s="141">
        <f>'Formular 4 step Y1'!I340</f>
        <v>48</v>
      </c>
      <c r="E32" s="141">
        <f>'Formular 4 step Y1'!I341</f>
        <v>50</v>
      </c>
      <c r="F32" s="141">
        <f>'Formular 4 step Y1'!J338</f>
        <v>46</v>
      </c>
      <c r="G32" s="143">
        <f>'Formular 4 step Y1'!J339</f>
        <v>47</v>
      </c>
      <c r="H32" s="141">
        <f>'Formular 4 step Y1'!J340</f>
        <v>48</v>
      </c>
      <c r="I32" s="141">
        <f>'Formular 4 step Y1'!J341</f>
        <v>50</v>
      </c>
      <c r="J32" s="141">
        <f>'Formular 4 step Y1'!K338</f>
        <v>46</v>
      </c>
      <c r="K32" s="143">
        <f>'Formular 4 step Y1'!K339</f>
        <v>47</v>
      </c>
      <c r="L32" s="141">
        <f>'Formular 4 step Y1'!K340</f>
        <v>48</v>
      </c>
      <c r="M32" s="141">
        <f>'Formular 4 step Y1'!K341</f>
        <v>50</v>
      </c>
      <c r="N32" s="141">
        <f>'Formular 4 step Y1'!L338</f>
        <v>46</v>
      </c>
      <c r="O32" s="143">
        <f>'Formular 4 step Y1'!L339</f>
        <v>47</v>
      </c>
      <c r="P32" s="141">
        <f>'Formular 4 step Y1'!L340</f>
        <v>48</v>
      </c>
      <c r="Q32" s="141">
        <f>'Formular 4 step Y1'!L341</f>
        <v>50</v>
      </c>
      <c r="R32" s="141">
        <f>'Formular 4 step Y1'!M338</f>
        <v>46</v>
      </c>
      <c r="S32" s="143">
        <f>'Formular 4 step Y1'!M339</f>
        <v>47</v>
      </c>
      <c r="T32" s="141">
        <f>'Formular 4 step Y1'!M340</f>
        <v>48</v>
      </c>
      <c r="U32" s="141">
        <f>'Formular 4 step Y1'!M341</f>
        <v>50</v>
      </c>
    </row>
    <row r="33" spans="1:21" s="144" customFormat="1" x14ac:dyDescent="0.25">
      <c r="A33" s="250" t="s">
        <v>213</v>
      </c>
      <c r="B33" s="140">
        <f>'Formular 4 step Y1'!I888</f>
        <v>46.911608787999995</v>
      </c>
      <c r="C33" s="148">
        <f>'Formular 4 step Y1'!I889</f>
        <v>47.5</v>
      </c>
      <c r="D33" s="141">
        <f>'Formular 4 step Y1'!I890</f>
        <v>48.202753983999997</v>
      </c>
      <c r="E33" s="141">
        <f>'Formular 4 step Y1'!I891</f>
        <v>49.493899179999993</v>
      </c>
      <c r="F33" s="141">
        <f>'Formular 4 step Y1'!J888</f>
        <v>46.911608787999995</v>
      </c>
      <c r="G33" s="143">
        <f>'Formular 4 step Y1'!J889</f>
        <v>47.5</v>
      </c>
      <c r="H33" s="141">
        <f>'Formular 4 step Y1'!J890</f>
        <v>48.202753983999997</v>
      </c>
      <c r="I33" s="141">
        <f>'Formular 4 step Y1'!J891</f>
        <v>49.493899179999993</v>
      </c>
      <c r="J33" s="141">
        <f>'Formular 4 step Y1'!K888</f>
        <v>46.911608787999995</v>
      </c>
      <c r="K33" s="143">
        <f>'Formular 4 step Y1'!K889</f>
        <v>47.5</v>
      </c>
      <c r="L33" s="141">
        <f>'Formular 4 step Y1'!K890</f>
        <v>48.202753983999997</v>
      </c>
      <c r="M33" s="141">
        <f>'Formular 4 step Y1'!K891</f>
        <v>49.493899179999993</v>
      </c>
      <c r="N33" s="141">
        <f>'Formular 4 step Y1'!L888</f>
        <v>46.911608787999995</v>
      </c>
      <c r="O33" s="143">
        <f>'Formular 4 step Y1'!L889</f>
        <v>47.5</v>
      </c>
      <c r="P33" s="141">
        <f>'Formular 4 step Y1'!L890</f>
        <v>48.202753983999997</v>
      </c>
      <c r="Q33" s="141">
        <f>'Formular 4 step Y1'!L891</f>
        <v>49.493899179999993</v>
      </c>
      <c r="R33" s="141">
        <f>'Formular 4 step Y1'!M888</f>
        <v>46.911608787999995</v>
      </c>
      <c r="S33" s="143">
        <f>'Formular 4 step Y1'!M889</f>
        <v>47.5</v>
      </c>
      <c r="T33" s="141">
        <f>'Formular 4 step Y1'!M890</f>
        <v>48.202753983999997</v>
      </c>
      <c r="U33" s="141">
        <f>'Formular 4 step Y1'!M891</f>
        <v>49.493899179999993</v>
      </c>
    </row>
    <row r="34" spans="1:21" s="144" customFormat="1" x14ac:dyDescent="0.25">
      <c r="A34" s="250" t="s">
        <v>214</v>
      </c>
      <c r="B34" s="140">
        <f>'Formular 4 step Y1'!I363</f>
        <v>28</v>
      </c>
      <c r="C34" s="148">
        <f>'Formular 4 step Y1'!I364</f>
        <v>29</v>
      </c>
      <c r="D34" s="141">
        <f>'Formular 4 step Y1'!I365</f>
        <v>31</v>
      </c>
      <c r="E34" s="141">
        <f>'Formular 4 step Y1'!I366</f>
        <v>32</v>
      </c>
      <c r="F34" s="141">
        <f>'Formular 4 step Y1'!J363</f>
        <v>28</v>
      </c>
      <c r="G34" s="143">
        <f>'Formular 4 step Y1'!J364</f>
        <v>29</v>
      </c>
      <c r="H34" s="141">
        <f>'Formular 4 step Y1'!J365</f>
        <v>31</v>
      </c>
      <c r="I34" s="141">
        <f>'Formular 4 step Y1'!J366</f>
        <v>32</v>
      </c>
      <c r="J34" s="141">
        <f>'Formular 4 step Y1'!K363</f>
        <v>28</v>
      </c>
      <c r="K34" s="143">
        <f>'Formular 4 step Y1'!K364</f>
        <v>29</v>
      </c>
      <c r="L34" s="141">
        <f>'Formular 4 step Y1'!K365</f>
        <v>31</v>
      </c>
      <c r="M34" s="141">
        <f>'Formular 4 step Y1'!K366</f>
        <v>32</v>
      </c>
      <c r="N34" s="141">
        <f>'Formular 4 step Y1'!L363</f>
        <v>28</v>
      </c>
      <c r="O34" s="143">
        <f>'Formular 4 step Y1'!L364</f>
        <v>29</v>
      </c>
      <c r="P34" s="141">
        <f>'Formular 4 step Y1'!L365</f>
        <v>31</v>
      </c>
      <c r="Q34" s="141">
        <f>'Formular 4 step Y1'!L366</f>
        <v>32</v>
      </c>
      <c r="R34" s="141">
        <f>'Formular 4 step Y1'!M363</f>
        <v>28</v>
      </c>
      <c r="S34" s="143">
        <f>'Formular 4 step Y1'!M364</f>
        <v>29</v>
      </c>
      <c r="T34" s="141">
        <f>'Formular 4 step Y1'!M365</f>
        <v>31</v>
      </c>
      <c r="U34" s="141">
        <f>'Formular 4 step Y1'!M366</f>
        <v>32</v>
      </c>
    </row>
    <row r="35" spans="1:21" s="144" customFormat="1" x14ac:dyDescent="0.25">
      <c r="A35" s="250" t="s">
        <v>215</v>
      </c>
      <c r="B35" s="140">
        <f>'Formular 4 step Y1'!I388</f>
        <v>57</v>
      </c>
      <c r="C35" s="148">
        <f>'Formular 4 step Y1'!I389</f>
        <v>58</v>
      </c>
      <c r="D35" s="141">
        <f>'Formular 4 step Y1'!I390</f>
        <v>59</v>
      </c>
      <c r="E35" s="141">
        <f>'Formular 4 step Y1'!I391</f>
        <v>61</v>
      </c>
      <c r="F35" s="141">
        <f>'Formular 4 step Y1'!J388</f>
        <v>57</v>
      </c>
      <c r="G35" s="143">
        <f>'Formular 4 step Y1'!J389</f>
        <v>58</v>
      </c>
      <c r="H35" s="141">
        <f>'Formular 4 step Y1'!J390</f>
        <v>59</v>
      </c>
      <c r="I35" s="141">
        <f>'Formular 4 step Y1'!J391</f>
        <v>61</v>
      </c>
      <c r="J35" s="141">
        <f>'Formular 4 step Y1'!K388</f>
        <v>57</v>
      </c>
      <c r="K35" s="143">
        <f>'Formular 4 step Y1'!K389</f>
        <v>58</v>
      </c>
      <c r="L35" s="141">
        <f>'Formular 4 step Y1'!K390</f>
        <v>59</v>
      </c>
      <c r="M35" s="141">
        <f>'Formular 4 step Y1'!K391</f>
        <v>61</v>
      </c>
      <c r="N35" s="141">
        <f>'Formular 4 step Y1'!L388</f>
        <v>57</v>
      </c>
      <c r="O35" s="143">
        <f>'Formular 4 step Y1'!L389</f>
        <v>58</v>
      </c>
      <c r="P35" s="141">
        <f>'Formular 4 step Y1'!L390</f>
        <v>59</v>
      </c>
      <c r="Q35" s="141">
        <f>'Formular 4 step Y1'!L391</f>
        <v>61</v>
      </c>
      <c r="R35" s="141">
        <f>'Formular 4 step Y1'!M388</f>
        <v>57</v>
      </c>
      <c r="S35" s="143">
        <f>'Formular 4 step Y1'!M389</f>
        <v>58</v>
      </c>
      <c r="T35" s="141">
        <f>'Formular 4 step Y1'!M390</f>
        <v>59</v>
      </c>
      <c r="U35" s="141">
        <f>'Formular 4 step Y1'!M391</f>
        <v>61</v>
      </c>
    </row>
    <row r="36" spans="1:21" s="144" customFormat="1" x14ac:dyDescent="0.25">
      <c r="A36" s="250" t="s">
        <v>216</v>
      </c>
      <c r="B36" s="140">
        <f>'Formular 4 step Y1'!I913</f>
        <v>63.55102428</v>
      </c>
      <c r="C36" s="148">
        <f>'Formular 4 step Y1'!I914</f>
        <v>64.5</v>
      </c>
      <c r="D36" s="141">
        <f>'Formular 4 step Y1'!I915</f>
        <v>65.300135040000001</v>
      </c>
      <c r="E36" s="141">
        <f>'Formular 4 step Y1'!I916</f>
        <v>67.049245799999994</v>
      </c>
      <c r="F36" s="141">
        <f>'Formular 4 step Y1'!J913</f>
        <v>63.55102428</v>
      </c>
      <c r="G36" s="143">
        <f>'Formular 4 step Y1'!J914</f>
        <v>64.5</v>
      </c>
      <c r="H36" s="141">
        <f>'Formular 4 step Y1'!J915</f>
        <v>65.300135040000001</v>
      </c>
      <c r="I36" s="141">
        <f>'Formular 4 step Y1'!J916</f>
        <v>67.049245799999994</v>
      </c>
      <c r="J36" s="141">
        <f>'Formular 4 step Y1'!K913</f>
        <v>63.55102428</v>
      </c>
      <c r="K36" s="143">
        <f>'Formular 4 step Y1'!K914</f>
        <v>64.5</v>
      </c>
      <c r="L36" s="141">
        <f>'Formular 4 step Y1'!K915</f>
        <v>65.300135040000001</v>
      </c>
      <c r="M36" s="141">
        <f>'Formular 4 step Y1'!K916</f>
        <v>67.049245799999994</v>
      </c>
      <c r="N36" s="141">
        <f>'Formular 4 step Y1'!L913</f>
        <v>63.55102428</v>
      </c>
      <c r="O36" s="143">
        <f>'Formular 4 step Y1'!L914</f>
        <v>64.5</v>
      </c>
      <c r="P36" s="141">
        <f>'Formular 4 step Y1'!L915</f>
        <v>65.300135040000001</v>
      </c>
      <c r="Q36" s="141">
        <f>'Formular 4 step Y1'!L916</f>
        <v>67.049245799999994</v>
      </c>
      <c r="R36" s="141">
        <f>'Formular 4 step Y1'!M913</f>
        <v>63.55102428</v>
      </c>
      <c r="S36" s="143">
        <f>'Formular 4 step Y1'!M914</f>
        <v>64.5</v>
      </c>
      <c r="T36" s="141">
        <f>'Formular 4 step Y1'!M915</f>
        <v>65.300135040000001</v>
      </c>
      <c r="U36" s="141">
        <f>'Formular 4 step Y1'!M916</f>
        <v>67.049245799999994</v>
      </c>
    </row>
    <row r="37" spans="1:21" s="144" customFormat="1" x14ac:dyDescent="0.25">
      <c r="A37" s="250" t="s">
        <v>84</v>
      </c>
      <c r="B37" s="140">
        <f>'Formular 4 step Y1'!I413</f>
        <v>173</v>
      </c>
      <c r="C37" s="148">
        <f>'Formular 4 step Y1'!I414</f>
        <v>174</v>
      </c>
      <c r="D37" s="141">
        <f>'Formular 4 step Y1'!I415</f>
        <v>179</v>
      </c>
      <c r="E37" s="141">
        <f>'Formular 4 step Y1'!I416</f>
        <v>184</v>
      </c>
      <c r="F37" s="141">
        <f>'Formular 4 step Y1'!J413</f>
        <v>173</v>
      </c>
      <c r="G37" s="143">
        <f>'Formular 4 step Y1'!J414</f>
        <v>174</v>
      </c>
      <c r="H37" s="141">
        <f>'Formular 4 step Y1'!J415</f>
        <v>179</v>
      </c>
      <c r="I37" s="141">
        <f>'Formular 4 step Y1'!J416</f>
        <v>184</v>
      </c>
      <c r="J37" s="141">
        <f>'Formular 4 step Y1'!K413</f>
        <v>173</v>
      </c>
      <c r="K37" s="143">
        <f>'Formular 4 step Y1'!K414</f>
        <v>174</v>
      </c>
      <c r="L37" s="141">
        <f>'Formular 4 step Y1'!K415</f>
        <v>179</v>
      </c>
      <c r="M37" s="141">
        <f>'Formular 4 step Y1'!K416</f>
        <v>184</v>
      </c>
      <c r="N37" s="141">
        <f>'Formular 4 step Y1'!L413</f>
        <v>173</v>
      </c>
      <c r="O37" s="143">
        <f>'Formular 4 step Y1'!L414</f>
        <v>174</v>
      </c>
      <c r="P37" s="141">
        <f>'Formular 4 step Y1'!L415</f>
        <v>179</v>
      </c>
      <c r="Q37" s="141">
        <f>'Formular 4 step Y1'!L416</f>
        <v>184</v>
      </c>
      <c r="R37" s="141">
        <f>'Formular 4 step Y1'!M413</f>
        <v>173</v>
      </c>
      <c r="S37" s="143">
        <f>'Formular 4 step Y1'!M414</f>
        <v>174</v>
      </c>
      <c r="T37" s="141">
        <f>'Formular 4 step Y1'!M415</f>
        <v>179</v>
      </c>
      <c r="U37" s="141">
        <f>'Formular 4 step Y1'!M416</f>
        <v>184</v>
      </c>
    </row>
    <row r="38" spans="1:21" s="144" customFormat="1" x14ac:dyDescent="0.25">
      <c r="A38" s="250" t="s">
        <v>85</v>
      </c>
      <c r="B38" s="140">
        <f>'Formular 4 step Y1'!I438</f>
        <v>238</v>
      </c>
      <c r="C38" s="148">
        <f>'Formular 4 step Y1'!I439</f>
        <v>240</v>
      </c>
      <c r="D38" s="141">
        <f>'Formular 4 step Y1'!I440</f>
        <v>242</v>
      </c>
      <c r="E38" s="141">
        <f>'Formular 4 step Y1'!I441</f>
        <v>244</v>
      </c>
      <c r="F38" s="141">
        <f>'Formular 4 step Y1'!J438</f>
        <v>238</v>
      </c>
      <c r="G38" s="143">
        <f>'Formular 4 step Y1'!J439</f>
        <v>240</v>
      </c>
      <c r="H38" s="141">
        <f>'Formular 4 step Y1'!J440</f>
        <v>242</v>
      </c>
      <c r="I38" s="141">
        <f>'Formular 4 step Y1'!J441</f>
        <v>244</v>
      </c>
      <c r="J38" s="141">
        <f>'Formular 4 step Y1'!K438</f>
        <v>238</v>
      </c>
      <c r="K38" s="143">
        <f>'Formular 4 step Y1'!K439</f>
        <v>240</v>
      </c>
      <c r="L38" s="141">
        <f>'Formular 4 step Y1'!K440</f>
        <v>242</v>
      </c>
      <c r="M38" s="141">
        <f>'Formular 4 step Y1'!K441</f>
        <v>244</v>
      </c>
      <c r="N38" s="141">
        <f>'Formular 4 step Y1'!L438</f>
        <v>238</v>
      </c>
      <c r="O38" s="143">
        <f>'Formular 4 step Y1'!L439</f>
        <v>240</v>
      </c>
      <c r="P38" s="141">
        <f>'Formular 4 step Y1'!L440</f>
        <v>242</v>
      </c>
      <c r="Q38" s="141">
        <f>'Formular 4 step Y1'!L441</f>
        <v>244</v>
      </c>
      <c r="R38" s="141">
        <f>'Formular 4 step Y1'!M438</f>
        <v>238</v>
      </c>
      <c r="S38" s="143">
        <f>'Formular 4 step Y1'!M439</f>
        <v>240</v>
      </c>
      <c r="T38" s="141">
        <f>'Formular 4 step Y1'!M440</f>
        <v>242</v>
      </c>
      <c r="U38" s="141">
        <f>'Formular 4 step Y1'!M441</f>
        <v>244</v>
      </c>
    </row>
    <row r="39" spans="1:21" s="144" customFormat="1" x14ac:dyDescent="0.25">
      <c r="A39" s="250" t="s">
        <v>86</v>
      </c>
      <c r="B39" s="140">
        <f>'Formular 4 step Y1'!I463</f>
        <v>293</v>
      </c>
      <c r="C39" s="148">
        <f>'Formular 4 step Y1'!I464</f>
        <v>295</v>
      </c>
      <c r="D39" s="141">
        <f>'Formular 4 step Y1'!I465</f>
        <v>297</v>
      </c>
      <c r="E39" s="141">
        <f>'Formular 4 step Y1'!I466</f>
        <v>299</v>
      </c>
      <c r="F39" s="141">
        <f>'Formular 4 step Y1'!J463</f>
        <v>293</v>
      </c>
      <c r="G39" s="143">
        <f>'Formular 4 step Y1'!J464</f>
        <v>295</v>
      </c>
      <c r="H39" s="141">
        <f>'Formular 4 step Y1'!J465</f>
        <v>297</v>
      </c>
      <c r="I39" s="141">
        <f>'Formular 4 step Y1'!J466</f>
        <v>299</v>
      </c>
      <c r="J39" s="141">
        <f>'Formular 4 step Y1'!K463</f>
        <v>293</v>
      </c>
      <c r="K39" s="143">
        <f>'Formular 4 step Y1'!K464</f>
        <v>295</v>
      </c>
      <c r="L39" s="141">
        <f>'Formular 4 step Y1'!K465</f>
        <v>297</v>
      </c>
      <c r="M39" s="141">
        <f>'Formular 4 step Y1'!K466</f>
        <v>299</v>
      </c>
      <c r="N39" s="141">
        <f>'Formular 4 step Y1'!L463</f>
        <v>293</v>
      </c>
      <c r="O39" s="143">
        <f>'Formular 4 step Y1'!L464</f>
        <v>295</v>
      </c>
      <c r="P39" s="141">
        <f>'Formular 4 step Y1'!L465</f>
        <v>297</v>
      </c>
      <c r="Q39" s="141">
        <f>'Formular 4 step Y1'!L466</f>
        <v>299</v>
      </c>
      <c r="R39" s="141">
        <f>'Formular 4 step Y1'!M463</f>
        <v>293</v>
      </c>
      <c r="S39" s="143">
        <f>'Formular 4 step Y1'!M464</f>
        <v>295</v>
      </c>
      <c r="T39" s="141">
        <f>'Formular 4 step Y1'!M465</f>
        <v>297</v>
      </c>
      <c r="U39" s="141">
        <f>'Formular 4 step Y1'!M466</f>
        <v>299</v>
      </c>
    </row>
    <row r="40" spans="1:21" s="144" customFormat="1" x14ac:dyDescent="0.25">
      <c r="A40" s="250" t="s">
        <v>87</v>
      </c>
      <c r="B40" s="140">
        <f>'Formular 4 step Y1'!I488</f>
        <v>706</v>
      </c>
      <c r="C40" s="148">
        <f>'Formular 4 step Y1'!I489</f>
        <v>708</v>
      </c>
      <c r="D40" s="141">
        <f>'Formular 4 step Y1'!I490</f>
        <v>713</v>
      </c>
      <c r="E40" s="141">
        <f>'Formular 4 step Y1'!I491</f>
        <v>718</v>
      </c>
      <c r="F40" s="141">
        <f>'Formular 4 step Y1'!J488</f>
        <v>706</v>
      </c>
      <c r="G40" s="143">
        <f>'Formular 4 step Y1'!J489</f>
        <v>708</v>
      </c>
      <c r="H40" s="141">
        <f>'Formular 4 step Y1'!J490</f>
        <v>713</v>
      </c>
      <c r="I40" s="141">
        <f>'Formular 4 step Y1'!J491</f>
        <v>718</v>
      </c>
      <c r="J40" s="141">
        <f>'Formular 4 step Y1'!K488</f>
        <v>706</v>
      </c>
      <c r="K40" s="143">
        <f>'Formular 4 step Y1'!K489</f>
        <v>708</v>
      </c>
      <c r="L40" s="141">
        <f>'Formular 4 step Y1'!K490</f>
        <v>713</v>
      </c>
      <c r="M40" s="141">
        <f>'Formular 4 step Y1'!K491</f>
        <v>718</v>
      </c>
      <c r="N40" s="141">
        <f>'Formular 4 step Y1'!L488</f>
        <v>706</v>
      </c>
      <c r="O40" s="143">
        <f>'Formular 4 step Y1'!L489</f>
        <v>708</v>
      </c>
      <c r="P40" s="141">
        <f>'Formular 4 step Y1'!L490</f>
        <v>713</v>
      </c>
      <c r="Q40" s="141">
        <f>'Formular 4 step Y1'!L491</f>
        <v>718</v>
      </c>
      <c r="R40" s="141">
        <f>'Formular 4 step Y1'!M488</f>
        <v>706</v>
      </c>
      <c r="S40" s="143">
        <f>'Formular 4 step Y1'!M489</f>
        <v>708</v>
      </c>
      <c r="T40" s="141">
        <f>'Formular 4 step Y1'!M490</f>
        <v>713</v>
      </c>
      <c r="U40" s="141">
        <f>'Formular 4 step Y1'!M491</f>
        <v>718</v>
      </c>
    </row>
    <row r="41" spans="1:21" s="144" customFormat="1" x14ac:dyDescent="0.25">
      <c r="A41" s="250" t="s">
        <v>88</v>
      </c>
      <c r="B41" s="140">
        <f>'Formular 4 step Y1'!I513</f>
        <v>236</v>
      </c>
      <c r="C41" s="148">
        <f>'Formular 4 step Y1'!I514</f>
        <v>238</v>
      </c>
      <c r="D41" s="141">
        <f>'Formular 4 step Y1'!I515</f>
        <v>241</v>
      </c>
      <c r="E41" s="141">
        <f>'Formular 4 step Y1'!I516</f>
        <v>243</v>
      </c>
      <c r="F41" s="141">
        <f>'Formular 4 step Y1'!J513</f>
        <v>236</v>
      </c>
      <c r="G41" s="143">
        <f>'Formular 4 step Y1'!J514</f>
        <v>238</v>
      </c>
      <c r="H41" s="141">
        <f>'Formular 4 step Y1'!J515</f>
        <v>241</v>
      </c>
      <c r="I41" s="141">
        <f>'Formular 4 step Y1'!J516</f>
        <v>243</v>
      </c>
      <c r="J41" s="141">
        <f>'Formular 4 step Y1'!K513</f>
        <v>236</v>
      </c>
      <c r="K41" s="143">
        <f>'Formular 4 step Y1'!K514</f>
        <v>238</v>
      </c>
      <c r="L41" s="141">
        <f>'Formular 4 step Y1'!K515</f>
        <v>241</v>
      </c>
      <c r="M41" s="141">
        <f>'Formular 4 step Y1'!K516</f>
        <v>243</v>
      </c>
      <c r="N41" s="141">
        <f>'Formular 4 step Y1'!L513</f>
        <v>236</v>
      </c>
      <c r="O41" s="143">
        <f>'Formular 4 step Y1'!L514</f>
        <v>238</v>
      </c>
      <c r="P41" s="141">
        <f>'Formular 4 step Y1'!L515</f>
        <v>241</v>
      </c>
      <c r="Q41" s="141">
        <f>'Formular 4 step Y1'!L516</f>
        <v>243</v>
      </c>
      <c r="R41" s="141">
        <f>'Formular 4 step Y1'!M513</f>
        <v>236</v>
      </c>
      <c r="S41" s="143">
        <f>'Formular 4 step Y1'!M514</f>
        <v>238</v>
      </c>
      <c r="T41" s="141">
        <f>'Formular 4 step Y1'!M515</f>
        <v>241</v>
      </c>
      <c r="U41" s="141">
        <f>'Formular 4 step Y1'!M516</f>
        <v>243</v>
      </c>
    </row>
    <row r="42" spans="1:21" s="144" customFormat="1" x14ac:dyDescent="0.25">
      <c r="A42" s="250" t="s">
        <v>89</v>
      </c>
      <c r="B42" s="140">
        <f>'Formular 4 step Y1'!I538</f>
        <v>295</v>
      </c>
      <c r="C42" s="148">
        <f>'Formular 4 step Y1'!I539</f>
        <v>297</v>
      </c>
      <c r="D42" s="141">
        <f>'Formular 4 step Y1'!I540</f>
        <v>300</v>
      </c>
      <c r="E42" s="141">
        <f>'Formular 4 step Y1'!I541</f>
        <v>302</v>
      </c>
      <c r="F42" s="141">
        <f>'Formular 4 step Y1'!J538</f>
        <v>295</v>
      </c>
      <c r="G42" s="143">
        <f>'Formular 4 step Y1'!J539</f>
        <v>297</v>
      </c>
      <c r="H42" s="141">
        <f>'Formular 4 step Y1'!J540</f>
        <v>300</v>
      </c>
      <c r="I42" s="141">
        <f>'Formular 4 step Y1'!J541</f>
        <v>302</v>
      </c>
      <c r="J42" s="141">
        <f>'Formular 4 step Y1'!K538</f>
        <v>295</v>
      </c>
      <c r="K42" s="143">
        <f>'Formular 4 step Y1'!K539</f>
        <v>297</v>
      </c>
      <c r="L42" s="141">
        <f>'Formular 4 step Y1'!K540</f>
        <v>300</v>
      </c>
      <c r="M42" s="141">
        <f>'Formular 4 step Y1'!K541</f>
        <v>302</v>
      </c>
      <c r="N42" s="141">
        <f>'Formular 4 step Y1'!L538</f>
        <v>295</v>
      </c>
      <c r="O42" s="143">
        <f>'Formular 4 step Y1'!L539</f>
        <v>297</v>
      </c>
      <c r="P42" s="141">
        <f>'Formular 4 step Y1'!L540</f>
        <v>300</v>
      </c>
      <c r="Q42" s="141">
        <f>'Formular 4 step Y1'!L541</f>
        <v>302</v>
      </c>
      <c r="R42" s="141">
        <f>'Formular 4 step Y1'!M538</f>
        <v>295</v>
      </c>
      <c r="S42" s="143">
        <f>'Formular 4 step Y1'!M539</f>
        <v>297</v>
      </c>
      <c r="T42" s="141">
        <f>'Formular 4 step Y1'!M540</f>
        <v>300</v>
      </c>
      <c r="U42" s="141">
        <f>'Formular 4 step Y1'!M541</f>
        <v>302</v>
      </c>
    </row>
    <row r="43" spans="1:21" x14ac:dyDescent="0.25">
      <c r="A43" s="262" t="s">
        <v>90</v>
      </c>
      <c r="B43" s="78">
        <f>'Formular 4 step Y1'!I563</f>
        <v>353</v>
      </c>
      <c r="C43" s="91">
        <f>'Formular 4 step Y1'!I564</f>
        <v>355</v>
      </c>
      <c r="D43" s="76">
        <f>'Formular 4 step Y1'!I565</f>
        <v>357</v>
      </c>
      <c r="E43" s="76">
        <f>'Formular 4 step Y1'!I566</f>
        <v>359</v>
      </c>
      <c r="F43" s="76">
        <f>'Formular 4 step Y1'!J563</f>
        <v>353</v>
      </c>
      <c r="G43" s="85">
        <f>'Formular 4 step Y1'!J564</f>
        <v>355</v>
      </c>
      <c r="H43" s="76">
        <f>'Formular 4 step Y1'!J565</f>
        <v>357</v>
      </c>
      <c r="I43" s="76">
        <f>'Formular 4 step Y1'!J566</f>
        <v>359</v>
      </c>
      <c r="J43" s="76">
        <f>'Formular 4 step Y1'!K563</f>
        <v>353</v>
      </c>
      <c r="K43" s="85">
        <f>'Formular 4 step Y1'!K564</f>
        <v>355</v>
      </c>
      <c r="L43" s="76">
        <f>'Formular 4 step Y1'!K565</f>
        <v>357</v>
      </c>
      <c r="M43" s="76">
        <f>'Formular 4 step Y1'!K566</f>
        <v>359</v>
      </c>
      <c r="N43" s="76">
        <f>'Formular 4 step Y1'!L563</f>
        <v>353</v>
      </c>
      <c r="O43" s="85">
        <f>'Formular 4 step Y1'!L564</f>
        <v>355</v>
      </c>
      <c r="P43" s="76">
        <f>'Formular 4 step Y1'!L565</f>
        <v>357</v>
      </c>
      <c r="Q43" s="76">
        <f>'Formular 4 step Y1'!L566</f>
        <v>359</v>
      </c>
      <c r="R43" s="76">
        <f>'Formular 4 step Y1'!M563</f>
        <v>353</v>
      </c>
      <c r="S43" s="85">
        <f>'Formular 4 step Y1'!M564</f>
        <v>355</v>
      </c>
      <c r="T43" s="76">
        <f>'Formular 4 step Y1'!M565</f>
        <v>357</v>
      </c>
      <c r="U43" s="76">
        <f>'Formular 4 step Y1'!M566</f>
        <v>359</v>
      </c>
    </row>
    <row r="44" spans="1:21" x14ac:dyDescent="0.25">
      <c r="A44" s="262" t="s">
        <v>91</v>
      </c>
      <c r="B44" s="78">
        <f>'Formular 4 step Y1'!I588</f>
        <v>889</v>
      </c>
      <c r="C44" s="91">
        <f>'Formular 4 step Y1'!I589</f>
        <v>899</v>
      </c>
      <c r="D44" s="76">
        <f>'Formular 4 step Y1'!I590</f>
        <v>904</v>
      </c>
      <c r="E44" s="76">
        <f>'Formular 4 step Y1'!I591</f>
        <v>909</v>
      </c>
      <c r="F44" s="76">
        <f>'Formular 4 step Y1'!J588</f>
        <v>889</v>
      </c>
      <c r="G44" s="85">
        <f>'Formular 4 step Y1'!J589</f>
        <v>899</v>
      </c>
      <c r="H44" s="76">
        <f>'Formular 4 step Y1'!J590</f>
        <v>904</v>
      </c>
      <c r="I44" s="76">
        <f>'Formular 4 step Y1'!J591</f>
        <v>909</v>
      </c>
      <c r="J44" s="76">
        <f>'Formular 4 step Y1'!K588</f>
        <v>889</v>
      </c>
      <c r="K44" s="85">
        <f>'Formular 4 step Y1'!K589</f>
        <v>899</v>
      </c>
      <c r="L44" s="76">
        <f>'Formular 4 step Y1'!K590</f>
        <v>904</v>
      </c>
      <c r="M44" s="76">
        <f>'Formular 4 step Y1'!K591</f>
        <v>909</v>
      </c>
      <c r="N44" s="76">
        <f>'Formular 4 step Y1'!L588</f>
        <v>889</v>
      </c>
      <c r="O44" s="85">
        <f>'Formular 4 step Y1'!L589</f>
        <v>899</v>
      </c>
      <c r="P44" s="76">
        <f>'Formular 4 step Y1'!L590</f>
        <v>904</v>
      </c>
      <c r="Q44" s="76">
        <f>'Formular 4 step Y1'!L591</f>
        <v>909</v>
      </c>
      <c r="R44" s="76">
        <f>'Formular 4 step Y1'!M588</f>
        <v>889</v>
      </c>
      <c r="S44" s="85">
        <f>'Formular 4 step Y1'!M589</f>
        <v>899</v>
      </c>
      <c r="T44" s="76">
        <f>'Formular 4 step Y1'!M590</f>
        <v>904</v>
      </c>
      <c r="U44" s="76">
        <f>'Formular 4 step Y1'!M591</f>
        <v>909</v>
      </c>
    </row>
    <row r="45" spans="1:21" s="144" customFormat="1" x14ac:dyDescent="0.25">
      <c r="A45" s="250" t="s">
        <v>92</v>
      </c>
      <c r="B45" s="140">
        <f>'Formular 4 step Y1'!I613</f>
        <v>147.326525</v>
      </c>
      <c r="C45" s="148">
        <f>'Formular 4 step Y1'!I614</f>
        <v>148</v>
      </c>
      <c r="D45" s="141">
        <f>'Formular 4 step Y1'!I615</f>
        <v>149</v>
      </c>
      <c r="E45" s="141">
        <f>'Formular 4 step Y1'!I616</f>
        <v>151</v>
      </c>
      <c r="F45" s="141">
        <f>'Formular 4 step Y1'!J613</f>
        <v>147.326525</v>
      </c>
      <c r="G45" s="143">
        <f>'Formular 4 step Y1'!J614</f>
        <v>148</v>
      </c>
      <c r="H45" s="141">
        <f>'Formular 4 step Y1'!J615</f>
        <v>149</v>
      </c>
      <c r="I45" s="141">
        <f>'Formular 4 step Y1'!J616</f>
        <v>151</v>
      </c>
      <c r="J45" s="141">
        <f>'Formular 4 step Y1'!K613</f>
        <v>147.326525</v>
      </c>
      <c r="K45" s="143">
        <f>'Formular 4 step Y1'!K614</f>
        <v>148</v>
      </c>
      <c r="L45" s="141">
        <f>'Formular 4 step Y1'!K615</f>
        <v>149</v>
      </c>
      <c r="M45" s="141">
        <f>'Formular 4 step Y1'!K616</f>
        <v>151</v>
      </c>
      <c r="N45" s="141">
        <f>'Formular 4 step Y1'!L613</f>
        <v>147.326525</v>
      </c>
      <c r="O45" s="143">
        <f>'Formular 4 step Y1'!L614</f>
        <v>148</v>
      </c>
      <c r="P45" s="141">
        <f>'Formular 4 step Y1'!L615</f>
        <v>149</v>
      </c>
      <c r="Q45" s="141">
        <f>'Formular 4 step Y1'!L616</f>
        <v>151</v>
      </c>
      <c r="R45" s="141">
        <f>'Formular 4 step Y1'!M613</f>
        <v>147.326525</v>
      </c>
      <c r="S45" s="143">
        <f>'Formular 4 step Y1'!M614</f>
        <v>148</v>
      </c>
      <c r="T45" s="141">
        <f>'Formular 4 step Y1'!M615</f>
        <v>149</v>
      </c>
      <c r="U45" s="141">
        <f>'Formular 4 step Y1'!M616</f>
        <v>151</v>
      </c>
    </row>
    <row r="46" spans="1:21" s="144" customFormat="1" x14ac:dyDescent="0.25">
      <c r="A46" s="250" t="s">
        <v>93</v>
      </c>
      <c r="B46" s="140">
        <f>'Formular 4 step Y1'!I638</f>
        <v>96</v>
      </c>
      <c r="C46" s="148">
        <f>'Formular 4 step Y1'!I639</f>
        <v>98</v>
      </c>
      <c r="D46" s="141">
        <f>'Formular 4 step Y1'!I640</f>
        <v>99</v>
      </c>
      <c r="E46" s="141">
        <f>'Formular 4 step Y1'!I641</f>
        <v>100</v>
      </c>
      <c r="F46" s="141">
        <f>'Formular 4 step Y1'!J638</f>
        <v>96</v>
      </c>
      <c r="G46" s="143">
        <f>'Formular 4 step Y1'!J639</f>
        <v>98</v>
      </c>
      <c r="H46" s="141">
        <f>'Formular 4 step Y1'!J640</f>
        <v>99</v>
      </c>
      <c r="I46" s="141">
        <f>'Formular 4 step Y1'!J641</f>
        <v>100</v>
      </c>
      <c r="J46" s="141">
        <f>'Formular 4 step Y1'!K638</f>
        <v>96</v>
      </c>
      <c r="K46" s="143">
        <f>'Formular 4 step Y1'!K639</f>
        <v>98</v>
      </c>
      <c r="L46" s="141">
        <f>'Formular 4 step Y1'!K640</f>
        <v>99</v>
      </c>
      <c r="M46" s="141">
        <f>'Formular 4 step Y1'!K641</f>
        <v>100</v>
      </c>
      <c r="N46" s="141">
        <f>'Formular 4 step Y1'!L638</f>
        <v>96</v>
      </c>
      <c r="O46" s="143">
        <f>'Formular 4 step Y1'!L639</f>
        <v>98</v>
      </c>
      <c r="P46" s="141">
        <f>'Formular 4 step Y1'!L640</f>
        <v>99</v>
      </c>
      <c r="Q46" s="141">
        <f>'Formular 4 step Y1'!L641</f>
        <v>100</v>
      </c>
      <c r="R46" s="141">
        <f>'Formular 4 step Y1'!M638</f>
        <v>96</v>
      </c>
      <c r="S46" s="143">
        <f>'Formular 4 step Y1'!M639</f>
        <v>98</v>
      </c>
      <c r="T46" s="141">
        <f>'Formular 4 step Y1'!M640</f>
        <v>99</v>
      </c>
      <c r="U46" s="141">
        <f>'Formular 4 step Y1'!M641</f>
        <v>100</v>
      </c>
    </row>
    <row r="47" spans="1:21" s="144" customFormat="1" x14ac:dyDescent="0.25">
      <c r="A47" s="250" t="s">
        <v>94</v>
      </c>
      <c r="B47" s="140">
        <f>'Formular 4 step Y1'!I663</f>
        <v>182</v>
      </c>
      <c r="C47" s="148">
        <f>'Formular 4 step Y1'!I664</f>
        <v>183</v>
      </c>
      <c r="D47" s="141">
        <f>'Formular 4 step Y1'!I665</f>
        <v>185</v>
      </c>
      <c r="E47" s="141">
        <f>'Formular 4 step Y1'!I666</f>
        <v>187</v>
      </c>
      <c r="F47" s="141">
        <f>'Formular 4 step Y1'!J663</f>
        <v>182</v>
      </c>
      <c r="G47" s="143">
        <f>'Formular 4 step Y1'!J664</f>
        <v>183</v>
      </c>
      <c r="H47" s="141">
        <f>'Formular 4 step Y1'!J665</f>
        <v>185</v>
      </c>
      <c r="I47" s="141">
        <f>'Formular 4 step Y1'!J666</f>
        <v>187</v>
      </c>
      <c r="J47" s="141">
        <f>'Formular 4 step Y1'!K663</f>
        <v>182</v>
      </c>
      <c r="K47" s="143">
        <f>'Formular 4 step Y1'!K664</f>
        <v>183</v>
      </c>
      <c r="L47" s="141">
        <f>'Formular 4 step Y1'!K665</f>
        <v>185</v>
      </c>
      <c r="M47" s="141">
        <f>'Formular 4 step Y1'!K666</f>
        <v>187</v>
      </c>
      <c r="N47" s="141">
        <f>'Formular 4 step Y1'!L663</f>
        <v>182</v>
      </c>
      <c r="O47" s="143">
        <f>'Formular 4 step Y1'!L664</f>
        <v>183</v>
      </c>
      <c r="P47" s="141">
        <f>'Formular 4 step Y1'!L665</f>
        <v>185</v>
      </c>
      <c r="Q47" s="141">
        <f>'Formular 4 step Y1'!L666</f>
        <v>187</v>
      </c>
      <c r="R47" s="141">
        <f>'Formular 4 step Y1'!M663</f>
        <v>182</v>
      </c>
      <c r="S47" s="143">
        <f>'Formular 4 step Y1'!M664</f>
        <v>183</v>
      </c>
      <c r="T47" s="141">
        <f>'Formular 4 step Y1'!M665</f>
        <v>185</v>
      </c>
      <c r="U47" s="141">
        <f>'Formular 4 step Y1'!M666</f>
        <v>187</v>
      </c>
    </row>
    <row r="48" spans="1:21" s="144" customFormat="1" x14ac:dyDescent="0.25">
      <c r="A48" s="250" t="s">
        <v>95</v>
      </c>
      <c r="B48" s="140">
        <f>'Formular 4 step Y1'!I688</f>
        <v>138</v>
      </c>
      <c r="C48" s="148">
        <f>'Formular 4 step Y1'!I689</f>
        <v>140</v>
      </c>
      <c r="D48" s="141">
        <f>'Formular 4 step Y1'!I690</f>
        <v>142</v>
      </c>
      <c r="E48" s="141">
        <f>'Formular 4 step Y1'!I691</f>
        <v>145</v>
      </c>
      <c r="F48" s="141">
        <f>'Formular 4 step Y1'!J688</f>
        <v>138</v>
      </c>
      <c r="G48" s="143">
        <f>'Formular 4 step Y1'!J689</f>
        <v>140</v>
      </c>
      <c r="H48" s="141">
        <f>'Formular 4 step Y1'!J690</f>
        <v>142</v>
      </c>
      <c r="I48" s="141">
        <f>'Formular 4 step Y1'!J691</f>
        <v>145</v>
      </c>
      <c r="J48" s="141">
        <f>'Formular 4 step Y1'!K688</f>
        <v>138</v>
      </c>
      <c r="K48" s="143">
        <f>'Formular 4 step Y1'!K689</f>
        <v>140</v>
      </c>
      <c r="L48" s="141">
        <f>'Formular 4 step Y1'!K690</f>
        <v>142</v>
      </c>
      <c r="M48" s="141">
        <f>'Formular 4 step Y1'!K691</f>
        <v>145</v>
      </c>
      <c r="N48" s="141">
        <f>'Formular 4 step Y1'!L688</f>
        <v>138</v>
      </c>
      <c r="O48" s="143">
        <f>'Formular 4 step Y1'!L689</f>
        <v>140</v>
      </c>
      <c r="P48" s="141">
        <f>'Formular 4 step Y1'!L690</f>
        <v>142</v>
      </c>
      <c r="Q48" s="141">
        <f>'Formular 4 step Y1'!L691</f>
        <v>145</v>
      </c>
      <c r="R48" s="141">
        <f>'Formular 4 step Y1'!M687</f>
        <v>160.5</v>
      </c>
      <c r="S48" s="143">
        <f>'Formular 4 step Y1'!M688</f>
        <v>138</v>
      </c>
      <c r="T48" s="141">
        <f>'Formular 4 step Y1'!M689</f>
        <v>140</v>
      </c>
      <c r="U48" s="141">
        <f>'Formular 4 step Y1'!M690</f>
        <v>142</v>
      </c>
    </row>
    <row r="49" spans="1:21" s="133" customFormat="1" x14ac:dyDescent="0.25">
      <c r="A49" s="258" t="s">
        <v>234</v>
      </c>
      <c r="B49" s="293">
        <f>'Formular 4 step Y1'!I714</f>
        <v>265</v>
      </c>
      <c r="C49" s="152">
        <f>'Formular 4 step Y1'!I715</f>
        <v>266</v>
      </c>
      <c r="D49" s="118">
        <f>'Formular 4 step Y1'!I716</f>
        <v>267</v>
      </c>
      <c r="E49" s="118" t="e">
        <f>'Formular 4 step Y1'!#REF!</f>
        <v>#REF!</v>
      </c>
      <c r="F49" s="118">
        <f>'Formular 4 step Y1'!J713</f>
        <v>264</v>
      </c>
      <c r="G49" s="134">
        <f>'Formular 4 step Y1'!J714</f>
        <v>265</v>
      </c>
      <c r="H49" s="118">
        <f>'Formular 4 step Y1'!J715</f>
        <v>266</v>
      </c>
      <c r="I49" s="118">
        <f>'Formular 4 step Y1'!J716</f>
        <v>267</v>
      </c>
      <c r="J49" s="118">
        <f>'Formular 4 step Y1'!K713</f>
        <v>264</v>
      </c>
      <c r="K49" s="134">
        <f>'Formular 4 step Y1'!K714</f>
        <v>265</v>
      </c>
      <c r="L49" s="118">
        <f>'Formular 4 step Y1'!K715</f>
        <v>266</v>
      </c>
      <c r="M49" s="118">
        <f>'Formular 4 step Y1'!K716</f>
        <v>267</v>
      </c>
      <c r="N49" s="118">
        <f>'Formular 4 step Y1'!L713</f>
        <v>264</v>
      </c>
      <c r="O49" s="134">
        <f>'Formular 4 step Y1'!L714</f>
        <v>265</v>
      </c>
      <c r="P49" s="118">
        <f>'Formular 4 step Y1'!L715</f>
        <v>266</v>
      </c>
      <c r="Q49" s="118">
        <f>'Formular 4 step Y1'!L716</f>
        <v>267</v>
      </c>
      <c r="R49" s="118">
        <f>'Formular 4 step Y1'!M713</f>
        <v>264</v>
      </c>
      <c r="S49" s="134">
        <f>'Formular 4 step Y1'!M714</f>
        <v>265</v>
      </c>
      <c r="T49" s="118">
        <f>'Formular 4 step Y1'!M715</f>
        <v>266</v>
      </c>
      <c r="U49" s="118">
        <f>'Formular 4 step Y1'!M716</f>
        <v>267</v>
      </c>
    </row>
    <row r="50" spans="1:21" s="144" customFormat="1" x14ac:dyDescent="0.25">
      <c r="A50" s="250"/>
      <c r="B50" s="140"/>
      <c r="C50" s="148"/>
      <c r="D50" s="141"/>
      <c r="E50" s="141"/>
      <c r="F50" s="141"/>
      <c r="G50" s="143"/>
      <c r="H50" s="141"/>
      <c r="I50" s="141"/>
      <c r="J50" s="141"/>
      <c r="K50" s="143"/>
      <c r="L50" s="141"/>
      <c r="M50" s="141"/>
      <c r="N50" s="141"/>
      <c r="O50" s="143"/>
      <c r="P50" s="141"/>
      <c r="Q50" s="141"/>
      <c r="R50" s="141"/>
      <c r="S50" s="143"/>
      <c r="T50" s="141"/>
      <c r="U50" s="141"/>
    </row>
    <row r="51" spans="1:21" x14ac:dyDescent="0.25">
      <c r="A51" s="262"/>
      <c r="B51" s="76"/>
      <c r="C51" s="85"/>
      <c r="D51" s="76"/>
      <c r="E51" s="76"/>
      <c r="F51" s="76"/>
      <c r="G51" s="85"/>
      <c r="H51" s="76"/>
      <c r="I51" s="76"/>
      <c r="J51" s="76"/>
      <c r="K51" s="85"/>
      <c r="L51" s="76"/>
      <c r="M51" s="76"/>
      <c r="N51" s="76"/>
      <c r="O51" s="85"/>
      <c r="P51" s="76"/>
      <c r="Q51" s="76"/>
      <c r="R51" s="76"/>
      <c r="S51" s="85"/>
      <c r="T51" s="76"/>
      <c r="U51" s="76"/>
    </row>
    <row r="52" spans="1:21" ht="20" thickBot="1" x14ac:dyDescent="0.3">
      <c r="A52" s="263"/>
      <c r="B52" s="79"/>
      <c r="C52" s="87"/>
      <c r="D52" s="79"/>
      <c r="E52" s="79"/>
      <c r="F52" s="79"/>
      <c r="G52" s="87"/>
      <c r="H52" s="79"/>
      <c r="I52" s="79"/>
      <c r="J52" s="79"/>
      <c r="K52" s="87"/>
      <c r="L52" s="79"/>
      <c r="M52" s="79"/>
      <c r="N52" s="79"/>
      <c r="O52" s="87"/>
      <c r="P52" s="79"/>
      <c r="Q52" s="79"/>
      <c r="R52" s="79"/>
      <c r="S52" s="87"/>
      <c r="T52" s="79"/>
      <c r="U52" s="79"/>
    </row>
    <row r="53" spans="1:21" ht="7.5" customHeight="1" thickTop="1" thickBot="1" x14ac:dyDescent="0.3"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107"/>
      <c r="S53" s="88"/>
      <c r="T53" s="88"/>
      <c r="U53" s="88"/>
    </row>
    <row r="54" spans="1:21" ht="24.75" customHeight="1" thickTop="1" x14ac:dyDescent="0.25">
      <c r="A54" s="278" t="s">
        <v>69</v>
      </c>
      <c r="B54" s="127"/>
      <c r="C54" s="126"/>
      <c r="D54" s="126" t="s">
        <v>10</v>
      </c>
      <c r="E54" s="126"/>
      <c r="F54" s="127"/>
      <c r="G54" s="126"/>
      <c r="H54" s="126" t="s">
        <v>11</v>
      </c>
      <c r="I54" s="126"/>
      <c r="J54" s="127"/>
      <c r="K54" s="126"/>
      <c r="L54" s="126" t="s">
        <v>12</v>
      </c>
      <c r="M54" s="126"/>
      <c r="N54" s="127"/>
      <c r="O54" s="126"/>
      <c r="P54" s="126" t="s">
        <v>13</v>
      </c>
      <c r="Q54" s="126"/>
      <c r="R54" s="127"/>
      <c r="S54" s="126"/>
      <c r="T54" s="126" t="s">
        <v>14</v>
      </c>
      <c r="U54" s="126"/>
    </row>
    <row r="55" spans="1:21" x14ac:dyDescent="0.25">
      <c r="A55" s="432" t="s">
        <v>83</v>
      </c>
      <c r="B55" s="129"/>
      <c r="C55" s="121" t="s">
        <v>79</v>
      </c>
      <c r="D55" s="121" t="s">
        <v>80</v>
      </c>
      <c r="E55" s="121" t="s">
        <v>81</v>
      </c>
      <c r="F55" s="129"/>
      <c r="G55" s="121" t="s">
        <v>79</v>
      </c>
      <c r="H55" s="121" t="s">
        <v>80</v>
      </c>
      <c r="I55" s="121" t="s">
        <v>81</v>
      </c>
      <c r="J55" s="129"/>
      <c r="K55" s="121" t="s">
        <v>79</v>
      </c>
      <c r="L55" s="121" t="s">
        <v>80</v>
      </c>
      <c r="M55" s="121" t="s">
        <v>81</v>
      </c>
      <c r="N55" s="129"/>
      <c r="O55" s="121" t="s">
        <v>79</v>
      </c>
      <c r="P55" s="121" t="s">
        <v>80</v>
      </c>
      <c r="Q55" s="121" t="s">
        <v>81</v>
      </c>
      <c r="R55" s="129"/>
      <c r="S55" s="121" t="s">
        <v>79</v>
      </c>
      <c r="T55" s="121" t="s">
        <v>80</v>
      </c>
      <c r="U55" s="121" t="s">
        <v>81</v>
      </c>
    </row>
    <row r="56" spans="1:21" ht="20" thickBot="1" x14ac:dyDescent="0.3">
      <c r="A56" s="433"/>
      <c r="B56" s="131" t="s">
        <v>142</v>
      </c>
      <c r="C56" s="125" t="s">
        <v>143</v>
      </c>
      <c r="D56" s="124" t="s">
        <v>144</v>
      </c>
      <c r="E56" s="124" t="s">
        <v>145</v>
      </c>
      <c r="F56" s="131" t="s">
        <v>142</v>
      </c>
      <c r="G56" s="125" t="s">
        <v>143</v>
      </c>
      <c r="H56" s="124" t="s">
        <v>144</v>
      </c>
      <c r="I56" s="124" t="s">
        <v>145</v>
      </c>
      <c r="J56" s="131" t="s">
        <v>142</v>
      </c>
      <c r="K56" s="125" t="s">
        <v>143</v>
      </c>
      <c r="L56" s="124" t="s">
        <v>144</v>
      </c>
      <c r="M56" s="124" t="s">
        <v>145</v>
      </c>
      <c r="N56" s="131" t="s">
        <v>142</v>
      </c>
      <c r="O56" s="125" t="s">
        <v>143</v>
      </c>
      <c r="P56" s="124" t="s">
        <v>144</v>
      </c>
      <c r="Q56" s="124" t="s">
        <v>145</v>
      </c>
      <c r="R56" s="132" t="s">
        <v>142</v>
      </c>
      <c r="S56" s="125" t="s">
        <v>143</v>
      </c>
      <c r="T56" s="124" t="s">
        <v>144</v>
      </c>
      <c r="U56" s="124" t="s">
        <v>145</v>
      </c>
    </row>
    <row r="57" spans="1:21" s="133" customFormat="1" ht="20" thickTop="1" x14ac:dyDescent="0.25">
      <c r="A57" s="265" t="s">
        <v>172</v>
      </c>
      <c r="B57" s="293">
        <f>'สูตร 4 step SB'!I13</f>
        <v>158</v>
      </c>
      <c r="C57" s="293">
        <f>'สูตร 4 step SB'!I14</f>
        <v>161</v>
      </c>
      <c r="D57" s="293">
        <f>'สูตร 4 step SB'!I15</f>
        <v>163</v>
      </c>
      <c r="E57" s="293">
        <f>'สูตร 4 step SB'!I16</f>
        <v>165</v>
      </c>
      <c r="F57" s="293">
        <f>'สูตร 4 step SB'!J13</f>
        <v>163</v>
      </c>
      <c r="G57" s="293">
        <f>'สูตร 4 step SB'!J14</f>
        <v>166</v>
      </c>
      <c r="H57" s="293">
        <f>'สูตร 4 step SB'!J15</f>
        <v>168</v>
      </c>
      <c r="I57" s="293">
        <f>'สูตร 4 step SB'!J16</f>
        <v>170</v>
      </c>
      <c r="J57" s="293">
        <f>'สูตร 4 step SB'!K13</f>
        <v>161</v>
      </c>
      <c r="K57" s="293">
        <f>'สูตร 4 step SB'!K14</f>
        <v>164</v>
      </c>
      <c r="L57" s="293">
        <f>'สูตร 4 step SB'!K15</f>
        <v>166</v>
      </c>
      <c r="M57" s="293">
        <f>'สูตร 4 step SB'!K16</f>
        <v>168</v>
      </c>
      <c r="N57" s="293">
        <f>'สูตร 4 step SB'!L13</f>
        <v>163</v>
      </c>
      <c r="O57" s="293">
        <f>'สูตร 4 step SB'!L14</f>
        <v>166</v>
      </c>
      <c r="P57" s="293">
        <f>'สูตร 4 step SB'!L15</f>
        <v>168</v>
      </c>
      <c r="Q57" s="293">
        <f>'สูตร 4 step SB'!L16</f>
        <v>170</v>
      </c>
      <c r="R57" s="210">
        <f>'สูตร 4 step SB'!M13</f>
        <v>156</v>
      </c>
      <c r="S57" s="293">
        <f>'สูตร 4 step SB'!M14</f>
        <v>159</v>
      </c>
      <c r="T57" s="293">
        <f>'สูตร 4 step SB'!M15</f>
        <v>161</v>
      </c>
      <c r="U57" s="293">
        <f>'สูตร 4 step SB'!M16</f>
        <v>163</v>
      </c>
    </row>
    <row r="58" spans="1:21" s="133" customFormat="1" x14ac:dyDescent="0.25">
      <c r="A58" s="258" t="s">
        <v>173</v>
      </c>
      <c r="B58" s="118">
        <f>'สูตร 4 step SB'!I41</f>
        <v>80</v>
      </c>
      <c r="C58" s="118">
        <f>'สูตร 4 step SB'!I42</f>
        <v>82</v>
      </c>
      <c r="D58" s="118">
        <f>'สูตร 4 step SB'!I43</f>
        <v>83</v>
      </c>
      <c r="E58" s="118">
        <f>'สูตร 4 step SB'!I44</f>
        <v>84</v>
      </c>
      <c r="F58" s="118">
        <f>'สูตร 4 step SB'!J41</f>
        <v>83</v>
      </c>
      <c r="G58" s="118">
        <f>'สูตร 4 step SB'!J42</f>
        <v>85</v>
      </c>
      <c r="H58" s="118">
        <f>'สูตร 4 step SB'!J43</f>
        <v>86</v>
      </c>
      <c r="I58" s="118">
        <f>'สูตร 4 step SB'!J44</f>
        <v>87</v>
      </c>
      <c r="J58" s="118">
        <f>'สูตร 4 step SB'!K41</f>
        <v>82</v>
      </c>
      <c r="K58" s="118">
        <f>'สูตร 4 step SB'!K42</f>
        <v>84</v>
      </c>
      <c r="L58" s="118">
        <f>'สูตร 4 step SB'!K43</f>
        <v>85</v>
      </c>
      <c r="M58" s="118">
        <f>'สูตร 4 step SB'!K44</f>
        <v>86</v>
      </c>
      <c r="N58" s="118">
        <f>'สูตร 4 step SB'!L41</f>
        <v>83</v>
      </c>
      <c r="O58" s="118">
        <f>'สูตร 4 step SB'!L42</f>
        <v>85</v>
      </c>
      <c r="P58" s="118">
        <f>'สูตร 4 step SB'!L43</f>
        <v>86</v>
      </c>
      <c r="Q58" s="118">
        <f>'สูตร 4 step SB'!L44</f>
        <v>87</v>
      </c>
      <c r="R58" s="134">
        <f>'สูตร 4 step SB'!M41</f>
        <v>79</v>
      </c>
      <c r="S58" s="118">
        <f>'สูตร 4 step SB'!M42</f>
        <v>81</v>
      </c>
      <c r="T58" s="118">
        <f>'สูตร 4 step SB'!M43</f>
        <v>82</v>
      </c>
      <c r="U58" s="118">
        <f>'สูตร 4 step SB'!M44</f>
        <v>83</v>
      </c>
    </row>
    <row r="59" spans="1:21" s="133" customFormat="1" x14ac:dyDescent="0.25">
      <c r="A59" s="258" t="s">
        <v>174</v>
      </c>
      <c r="B59" s="118">
        <f>'สูตร 4 step SB'!I68</f>
        <v>79</v>
      </c>
      <c r="C59" s="118">
        <f>'สูตร 4 step SB'!I69</f>
        <v>81</v>
      </c>
      <c r="D59" s="118">
        <f>'สูตร 4 step SB'!I70</f>
        <v>82</v>
      </c>
      <c r="E59" s="118">
        <f>'สูตร 4 step SB'!I71</f>
        <v>84</v>
      </c>
      <c r="F59" s="118">
        <f>'สูตร 4 step SB'!J68</f>
        <v>82</v>
      </c>
      <c r="G59" s="118">
        <f>'สูตร 4 step SB'!J69</f>
        <v>84</v>
      </c>
      <c r="H59" s="118">
        <f>'สูตร 4 step SB'!J70</f>
        <v>85</v>
      </c>
      <c r="I59" s="118">
        <f>'สูตร 4 step SB'!J71</f>
        <v>87</v>
      </c>
      <c r="J59" s="118">
        <f>'สูตร 4 step SB'!K68</f>
        <v>81</v>
      </c>
      <c r="K59" s="118">
        <f>'สูตร 4 step SB'!K69</f>
        <v>83</v>
      </c>
      <c r="L59" s="118">
        <f>'สูตร 4 step SB'!K70</f>
        <v>84</v>
      </c>
      <c r="M59" s="118">
        <f>'สูตร 4 step SB'!K71</f>
        <v>86</v>
      </c>
      <c r="N59" s="118">
        <f>'สูตร 4 step SB'!L68</f>
        <v>82</v>
      </c>
      <c r="O59" s="118">
        <f>'สูตร 4 step SB'!L69</f>
        <v>84</v>
      </c>
      <c r="P59" s="118">
        <f>'สูตร 4 step SB'!L70</f>
        <v>85</v>
      </c>
      <c r="Q59" s="118">
        <f>'สูตร 4 step SB'!L71</f>
        <v>87</v>
      </c>
      <c r="R59" s="134">
        <f>'สูตร 4 step SB'!M68</f>
        <v>78</v>
      </c>
      <c r="S59" s="118">
        <f>'สูตร 4 step SB'!M69</f>
        <v>80</v>
      </c>
      <c r="T59" s="118">
        <f>'สูตร 4 step SB'!M70</f>
        <v>81</v>
      </c>
      <c r="U59" s="118">
        <f>'สูตร 4 step SB'!M71</f>
        <v>83</v>
      </c>
    </row>
    <row r="60" spans="1:21" s="133" customFormat="1" x14ac:dyDescent="0.25">
      <c r="A60" s="258" t="s">
        <v>175</v>
      </c>
      <c r="B60" s="293">
        <f>'สูตร 4 step SB'!I344</f>
        <v>44</v>
      </c>
      <c r="C60" s="118">
        <f>'สูตร 4 step SB'!I345</f>
        <v>45</v>
      </c>
      <c r="D60" s="118">
        <f>'สูตร 4 step SB'!I346</f>
        <v>46</v>
      </c>
      <c r="E60" s="118">
        <f>'สูตร 4 step SB'!I347</f>
        <v>47</v>
      </c>
      <c r="F60" s="293">
        <f>'สูตร 4 step SB'!J344</f>
        <v>45</v>
      </c>
      <c r="G60" s="118">
        <f>'สูตร 4 step SB'!J345</f>
        <v>46</v>
      </c>
      <c r="H60" s="118">
        <f>'สูตร 4 step SB'!J346</f>
        <v>47</v>
      </c>
      <c r="I60" s="118">
        <f>'สูตร 4 step SB'!J347</f>
        <v>48</v>
      </c>
      <c r="J60" s="293">
        <f>'สูตร 4 step SB'!K344</f>
        <v>44</v>
      </c>
      <c r="K60" s="118">
        <f>'สูตร 4 step SB'!K345</f>
        <v>45</v>
      </c>
      <c r="L60" s="118">
        <f>'สูตร 4 step SB'!K346</f>
        <v>46</v>
      </c>
      <c r="M60" s="118">
        <f>'สูตร 4 step SB'!K347</f>
        <v>47</v>
      </c>
      <c r="N60" s="293">
        <f>'สูตร 4 step SB'!L344</f>
        <v>45</v>
      </c>
      <c r="O60" s="118">
        <f>'สูตร 4 step SB'!L345</f>
        <v>46</v>
      </c>
      <c r="P60" s="118">
        <f>'สูตร 4 step SB'!L346</f>
        <v>47</v>
      </c>
      <c r="Q60" s="118">
        <f>'สูตร 4 step SB'!L347</f>
        <v>48</v>
      </c>
      <c r="R60" s="210">
        <f>'สูตร 4 step SB'!M344</f>
        <v>43</v>
      </c>
      <c r="S60" s="118">
        <f>'สูตร 4 step SB'!M345</f>
        <v>44</v>
      </c>
      <c r="T60" s="118">
        <f>'สูตร 4 step SB'!M346</f>
        <v>45</v>
      </c>
      <c r="U60" s="118">
        <f>'สูตร 4 step SB'!M347</f>
        <v>46</v>
      </c>
    </row>
    <row r="61" spans="1:21" s="133" customFormat="1" x14ac:dyDescent="0.25">
      <c r="A61" s="258" t="s">
        <v>176</v>
      </c>
      <c r="B61" s="293">
        <f>'สูตร 4 step SB'!I96</f>
        <v>240</v>
      </c>
      <c r="C61" s="118">
        <f>'สูตร 4 step SB'!I97</f>
        <v>244</v>
      </c>
      <c r="D61" s="118">
        <f>'สูตร 4 step SB'!I98</f>
        <v>246</v>
      </c>
      <c r="E61" s="118">
        <f>'สูตร 4 step SB'!I99</f>
        <v>248</v>
      </c>
      <c r="F61" s="293">
        <f>'สูตร 4 step SB'!J96</f>
        <v>247</v>
      </c>
      <c r="G61" s="118">
        <f>'สูตร 4 step SB'!J97</f>
        <v>251</v>
      </c>
      <c r="H61" s="118">
        <f>'สูตร 4 step SB'!J98</f>
        <v>253</v>
      </c>
      <c r="I61" s="118">
        <f>'สูตร 4 step SB'!J99</f>
        <v>255</v>
      </c>
      <c r="J61" s="293">
        <f>'สูตร 4 step SB'!K96</f>
        <v>244</v>
      </c>
      <c r="K61" s="118">
        <f>'สูตร 4 step SB'!K97</f>
        <v>248</v>
      </c>
      <c r="L61" s="118">
        <f>'สูตร 4 step SB'!K98</f>
        <v>250</v>
      </c>
      <c r="M61" s="118">
        <f>'สูตร 4 step SB'!K99</f>
        <v>252</v>
      </c>
      <c r="N61" s="293">
        <f>'สูตร 4 step SB'!L96</f>
        <v>247</v>
      </c>
      <c r="O61" s="118">
        <f>'สูตร 4 step SB'!L97</f>
        <v>251</v>
      </c>
      <c r="P61" s="118">
        <f>'สูตร 4 step SB'!L98</f>
        <v>253</v>
      </c>
      <c r="Q61" s="118">
        <f>'สูตร 4 step SB'!L99</f>
        <v>255</v>
      </c>
      <c r="R61" s="210">
        <f>'สูตร 4 step SB'!M96</f>
        <v>236</v>
      </c>
      <c r="S61" s="118">
        <f>'สูตร 4 step SB'!M97</f>
        <v>240</v>
      </c>
      <c r="T61" s="118">
        <f>'สูตร 4 step SB'!M98</f>
        <v>242</v>
      </c>
      <c r="U61" s="118">
        <f>'สูตร 4 step SB'!M99</f>
        <v>244</v>
      </c>
    </row>
    <row r="62" spans="1:21" s="133" customFormat="1" x14ac:dyDescent="0.25">
      <c r="A62" s="258" t="s">
        <v>177</v>
      </c>
      <c r="B62" s="118">
        <f>'สูตร 4 step SB'!I124</f>
        <v>335</v>
      </c>
      <c r="C62" s="118">
        <f>'สูตร 4 step SB'!I125</f>
        <v>340</v>
      </c>
      <c r="D62" s="118">
        <f>'สูตร 4 step SB'!I126</f>
        <v>345</v>
      </c>
      <c r="E62" s="118">
        <f>'สูตร 4 step SB'!I127</f>
        <v>349</v>
      </c>
      <c r="F62" s="118">
        <f>'สูตร 4 step SB'!J124</f>
        <v>345</v>
      </c>
      <c r="G62" s="118">
        <f>'สูตร 4 step SB'!J125</f>
        <v>350</v>
      </c>
      <c r="H62" s="118">
        <f>'สูตร 4 step SB'!J126</f>
        <v>355</v>
      </c>
      <c r="I62" s="118">
        <f>'สูตร 4 step SB'!J127</f>
        <v>359</v>
      </c>
      <c r="J62" s="118">
        <f>'สูตร 4 step SB'!K124</f>
        <v>340</v>
      </c>
      <c r="K62" s="118">
        <f>'สูตร 4 step SB'!K125</f>
        <v>345</v>
      </c>
      <c r="L62" s="118">
        <f>'สูตร 4 step SB'!K126</f>
        <v>350</v>
      </c>
      <c r="M62" s="118">
        <f>'สูตร 4 step SB'!K127</f>
        <v>354</v>
      </c>
      <c r="N62" s="118">
        <f>'สูตร 4 step SB'!L124</f>
        <v>344</v>
      </c>
      <c r="O62" s="118">
        <f>'สูตร 4 step SB'!L125</f>
        <v>349</v>
      </c>
      <c r="P62" s="118">
        <f>'สูตร 4 step SB'!L126</f>
        <v>354</v>
      </c>
      <c r="Q62" s="118">
        <f>'สูตร 4 step SB'!L127</f>
        <v>358</v>
      </c>
      <c r="R62" s="134">
        <f>'สูตร 4 step SB'!M124</f>
        <v>330</v>
      </c>
      <c r="S62" s="118">
        <f>'สูตร 4 step SB'!M125</f>
        <v>335</v>
      </c>
      <c r="T62" s="118">
        <f>'สูตร 4 step SB'!M126</f>
        <v>340</v>
      </c>
      <c r="U62" s="118">
        <f>'สูตร 4 step SB'!M127</f>
        <v>344</v>
      </c>
    </row>
    <row r="63" spans="1:21" s="133" customFormat="1" x14ac:dyDescent="0.25">
      <c r="A63" s="258" t="s">
        <v>178</v>
      </c>
      <c r="B63" s="118">
        <f>'สูตร 4 step SB'!I152</f>
        <v>479</v>
      </c>
      <c r="C63" s="118">
        <f>'สูตร 4 step SB'!I153</f>
        <v>484</v>
      </c>
      <c r="D63" s="118">
        <f>'สูตร 4 step SB'!I154</f>
        <v>489</v>
      </c>
      <c r="E63" s="118">
        <f>'สูตร 4 step SB'!I155</f>
        <v>494</v>
      </c>
      <c r="F63" s="118">
        <f>'สูตร 4 step SB'!J152</f>
        <v>491</v>
      </c>
      <c r="G63" s="118">
        <f>'สูตร 4 step SB'!J153</f>
        <v>496</v>
      </c>
      <c r="H63" s="118">
        <f>'สูตร 4 step SB'!J154</f>
        <v>501</v>
      </c>
      <c r="I63" s="118">
        <f>'สูตร 4 step SB'!J155</f>
        <v>506</v>
      </c>
      <c r="J63" s="118">
        <f>'สูตร 4 step SB'!K152</f>
        <v>485</v>
      </c>
      <c r="K63" s="118">
        <f>'สูตร 4 step SB'!K153</f>
        <v>490</v>
      </c>
      <c r="L63" s="118">
        <f>'สูตร 4 step SB'!K154</f>
        <v>495</v>
      </c>
      <c r="M63" s="118">
        <f>'สูตร 4 step SB'!K155</f>
        <v>500</v>
      </c>
      <c r="N63" s="118">
        <f>'สูตร 4 step SB'!L152</f>
        <v>490</v>
      </c>
      <c r="O63" s="118">
        <f>'สูตร 4 step SB'!L153</f>
        <v>495</v>
      </c>
      <c r="P63" s="118">
        <f>'สูตร 4 step SB'!L154</f>
        <v>500</v>
      </c>
      <c r="Q63" s="118">
        <f>'สูตร 4 step SB'!L155</f>
        <v>505</v>
      </c>
      <c r="R63" s="134">
        <f>'สูตร 4 step SB'!M152</f>
        <v>473</v>
      </c>
      <c r="S63" s="118">
        <f>'สูตร 4 step SB'!M153</f>
        <v>478</v>
      </c>
      <c r="T63" s="118">
        <f>'สูตร 4 step SB'!M154</f>
        <v>483</v>
      </c>
      <c r="U63" s="118">
        <f>'สูตร 4 step SB'!M155</f>
        <v>488</v>
      </c>
    </row>
    <row r="64" spans="1:21" s="133" customFormat="1" x14ac:dyDescent="0.25">
      <c r="A64" s="258" t="s">
        <v>179</v>
      </c>
      <c r="B64" s="293">
        <f>'สูตร 4 step SB'!I179</f>
        <v>581</v>
      </c>
      <c r="C64" s="118">
        <f>'สูตร 4 step SB'!I180</f>
        <v>586</v>
      </c>
      <c r="D64" s="118">
        <f>'สูตร 4 step SB'!I181</f>
        <v>591</v>
      </c>
      <c r="E64" s="118">
        <f>'สูตร 4 step SB'!I182</f>
        <v>596</v>
      </c>
      <c r="F64" s="293">
        <f>'สูตร 4 step SB'!J179</f>
        <v>596</v>
      </c>
      <c r="G64" s="118">
        <f>'สูตร 4 step SB'!J180</f>
        <v>601</v>
      </c>
      <c r="H64" s="118">
        <f>'สูตร 4 step SB'!J181</f>
        <v>606</v>
      </c>
      <c r="I64" s="118">
        <f>'สูตร 4 step SB'!J182</f>
        <v>611</v>
      </c>
      <c r="J64" s="293">
        <f>'สูตร 4 step SB'!K179</f>
        <v>588</v>
      </c>
      <c r="K64" s="118">
        <f>'สูตร 4 step SB'!K180</f>
        <v>593</v>
      </c>
      <c r="L64" s="118">
        <f>'สูตร 4 step SB'!K181</f>
        <v>598</v>
      </c>
      <c r="M64" s="118">
        <f>'สูตร 4 step SB'!K182</f>
        <v>603</v>
      </c>
      <c r="N64" s="293">
        <f>'สูตร 4 step SB'!L179</f>
        <v>594</v>
      </c>
      <c r="O64" s="118">
        <f>'สูตร 4 step SB'!L180</f>
        <v>599</v>
      </c>
      <c r="P64" s="118">
        <f>'สูตร 4 step SB'!L181</f>
        <v>604</v>
      </c>
      <c r="Q64" s="118">
        <f>'สูตร 4 step SB'!L182</f>
        <v>609</v>
      </c>
      <c r="R64" s="210">
        <f>'สูตร 4 step SB'!M179</f>
        <v>574</v>
      </c>
      <c r="S64" s="118">
        <f>'สูตร 4 step SB'!M180</f>
        <v>579</v>
      </c>
      <c r="T64" s="118">
        <f>'สูตร 4 step SB'!M181</f>
        <v>584</v>
      </c>
      <c r="U64" s="118">
        <f>'สูตร 4 step SB'!M182</f>
        <v>589</v>
      </c>
    </row>
    <row r="65" spans="1:21" s="237" customFormat="1" x14ac:dyDescent="0.25">
      <c r="A65" s="266" t="s">
        <v>180</v>
      </c>
      <c r="B65" s="305">
        <f>'สูตร 4 step SB'!I645</f>
        <v>667</v>
      </c>
      <c r="C65" s="236">
        <f>'สูตร 4 step SB'!I646</f>
        <v>677</v>
      </c>
      <c r="D65" s="236">
        <f>'สูตร 4 step SB'!I647</f>
        <v>687</v>
      </c>
      <c r="E65" s="236">
        <f>'สูตร 4 step SB'!I648</f>
        <v>692</v>
      </c>
      <c r="F65" s="305">
        <f>'สูตร 4 step SB'!J645</f>
        <v>686</v>
      </c>
      <c r="G65" s="236">
        <f>'สูตร 4 step SB'!J646</f>
        <v>696</v>
      </c>
      <c r="H65" s="236">
        <f>'สูตร 4 step SB'!J647</f>
        <v>706</v>
      </c>
      <c r="I65" s="236">
        <f>'สูตร 4 step SB'!J648</f>
        <v>711</v>
      </c>
      <c r="J65" s="305">
        <f>'สูตร 4 step SB'!K645</f>
        <v>676</v>
      </c>
      <c r="K65" s="236">
        <f>'สูตร 4 step SB'!K646</f>
        <v>686</v>
      </c>
      <c r="L65" s="236">
        <f>'สูตร 4 step SB'!K647</f>
        <v>696</v>
      </c>
      <c r="M65" s="236">
        <f>'สูตร 4 step SB'!K648</f>
        <v>701</v>
      </c>
      <c r="N65" s="305">
        <f>'สูตร 4 step SB'!L645</f>
        <v>684</v>
      </c>
      <c r="O65" s="236">
        <f>'สูตร 4 step SB'!L646</f>
        <v>694</v>
      </c>
      <c r="P65" s="236">
        <f>'สูตร 4 step SB'!L647</f>
        <v>704</v>
      </c>
      <c r="Q65" s="236">
        <f>'สูตร 4 step SB'!L648</f>
        <v>709</v>
      </c>
      <c r="R65" s="294">
        <f>'สูตร 4 step SB'!M645</f>
        <v>658</v>
      </c>
      <c r="S65" s="236">
        <f>'สูตร 4 step SB'!M646</f>
        <v>668</v>
      </c>
      <c r="T65" s="236">
        <f>'สูตร 4 step SB'!M647</f>
        <v>678</v>
      </c>
      <c r="U65" s="236">
        <f>'สูตร 4 step SB'!M648</f>
        <v>683</v>
      </c>
    </row>
    <row r="66" spans="1:21" s="237" customFormat="1" x14ac:dyDescent="0.25">
      <c r="A66" s="266" t="s">
        <v>181</v>
      </c>
      <c r="B66" s="305">
        <f>'สูตร 4 step SB'!I672</f>
        <v>706</v>
      </c>
      <c r="C66" s="236">
        <f>'สูตร 4 step SB'!I673</f>
        <v>716</v>
      </c>
      <c r="D66" s="236">
        <f>'สูตร 4 step SB'!I674</f>
        <v>726</v>
      </c>
      <c r="E66" s="236">
        <f>'สูตร 4 step SB'!I675</f>
        <v>736</v>
      </c>
      <c r="F66" s="305">
        <f>'สูตร 4 step SB'!J672</f>
        <v>726</v>
      </c>
      <c r="G66" s="236">
        <f>'สูตร 4 step SB'!J673</f>
        <v>736</v>
      </c>
      <c r="H66" s="236">
        <f>'สูตร 4 step SB'!J674</f>
        <v>746</v>
      </c>
      <c r="I66" s="236">
        <f>'สูตร 4 step SB'!J675</f>
        <v>756</v>
      </c>
      <c r="J66" s="305">
        <f>'สูตร 4 step SB'!K672</f>
        <v>716</v>
      </c>
      <c r="K66" s="236">
        <f>'สูตร 4 step SB'!K673</f>
        <v>726</v>
      </c>
      <c r="L66" s="236">
        <f>'สูตร 4 step SB'!K674</f>
        <v>736</v>
      </c>
      <c r="M66" s="236">
        <f>'สูตร 4 step SB'!K675</f>
        <v>746</v>
      </c>
      <c r="N66" s="305">
        <f>'สูตร 4 step SB'!L672</f>
        <v>724</v>
      </c>
      <c r="O66" s="236">
        <f>'สูตร 4 step SB'!L673</f>
        <v>734</v>
      </c>
      <c r="P66" s="236">
        <f>'สูตร 4 step SB'!L674</f>
        <v>744</v>
      </c>
      <c r="Q66" s="236">
        <f>'สูตร 4 step SB'!L675</f>
        <v>754</v>
      </c>
      <c r="R66" s="294">
        <f>'สูตร 4 step SB'!M672</f>
        <v>696</v>
      </c>
      <c r="S66" s="236">
        <f>'สูตร 4 step SB'!M673</f>
        <v>706</v>
      </c>
      <c r="T66" s="236">
        <f>'สูตร 4 step SB'!M674</f>
        <v>716</v>
      </c>
      <c r="U66" s="236">
        <f>'สูตร 4 step SB'!M675</f>
        <v>726</v>
      </c>
    </row>
    <row r="67" spans="1:21" s="237" customFormat="1" x14ac:dyDescent="0.25">
      <c r="A67" s="266" t="s">
        <v>182</v>
      </c>
      <c r="B67" s="305">
        <f>'สูตร 4 step SB'!I699</f>
        <v>797</v>
      </c>
      <c r="C67" s="236">
        <f>'สูตร 4 step SB'!I700</f>
        <v>807</v>
      </c>
      <c r="D67" s="236">
        <f>'สูตร 4 step SB'!I701</f>
        <v>827</v>
      </c>
      <c r="E67" s="236">
        <f>'สูตร 4 step SB'!I702</f>
        <v>837</v>
      </c>
      <c r="F67" s="305">
        <f>'สูตร 4 step SB'!J699</f>
        <v>819</v>
      </c>
      <c r="G67" s="236">
        <f>'สูตร 4 step SB'!J700</f>
        <v>829</v>
      </c>
      <c r="H67" s="236">
        <f>'สูตร 4 step SB'!J701</f>
        <v>849</v>
      </c>
      <c r="I67" s="236">
        <f>'สูตร 4 step SB'!J702</f>
        <v>859</v>
      </c>
      <c r="J67" s="305">
        <f>'สูตร 4 step SB'!K699</f>
        <v>808</v>
      </c>
      <c r="K67" s="236">
        <f>'สูตร 4 step SB'!K700</f>
        <v>818</v>
      </c>
      <c r="L67" s="236">
        <f>'สูตร 4 step SB'!K701</f>
        <v>838</v>
      </c>
      <c r="M67" s="236">
        <f>'สูตร 4 step SB'!K702</f>
        <v>848</v>
      </c>
      <c r="N67" s="305">
        <f>'สูตร 4 step SB'!L699</f>
        <v>817</v>
      </c>
      <c r="O67" s="236">
        <f>'สูตร 4 step SB'!L700</f>
        <v>827</v>
      </c>
      <c r="P67" s="236">
        <f>'สูตร 4 step SB'!L701</f>
        <v>847</v>
      </c>
      <c r="Q67" s="236">
        <f>'สูตร 4 step SB'!L702</f>
        <v>857</v>
      </c>
      <c r="R67" s="294">
        <f>'สูตร 4 step SB'!M699</f>
        <v>785</v>
      </c>
      <c r="S67" s="236">
        <f>'สูตร 4 step SB'!M700</f>
        <v>795</v>
      </c>
      <c r="T67" s="236">
        <f>'สูตร 4 step SB'!M701</f>
        <v>815</v>
      </c>
      <c r="U67" s="236">
        <f>'สูตร 4 step SB'!M702</f>
        <v>825</v>
      </c>
    </row>
    <row r="68" spans="1:21" s="237" customFormat="1" x14ac:dyDescent="0.25">
      <c r="A68" s="266" t="s">
        <v>183</v>
      </c>
      <c r="B68" s="305">
        <f>'สูตร 4 step SB'!I726</f>
        <v>893</v>
      </c>
      <c r="C68" s="236">
        <f>'สูตร 4 step SB'!I727</f>
        <v>903</v>
      </c>
      <c r="D68" s="236">
        <f>'สูตร 4 step SB'!I728</f>
        <v>918</v>
      </c>
      <c r="E68" s="236">
        <f>'สูตร 4 step SB'!I729</f>
        <v>933</v>
      </c>
      <c r="F68" s="305">
        <f>'สูตร 4 step SB'!J726</f>
        <v>917</v>
      </c>
      <c r="G68" s="236">
        <f>'สูตร 4 step SB'!J727</f>
        <v>927</v>
      </c>
      <c r="H68" s="236">
        <f>'สูตร 4 step SB'!J728</f>
        <v>942</v>
      </c>
      <c r="I68" s="236">
        <f>'สูตร 4 step SB'!J729</f>
        <v>957</v>
      </c>
      <c r="J68" s="305">
        <f>'สูตร 4 step SB'!K726</f>
        <v>905</v>
      </c>
      <c r="K68" s="236">
        <f>'สูตร 4 step SB'!K727</f>
        <v>915</v>
      </c>
      <c r="L68" s="236">
        <f>'สูตร 4 step SB'!K728</f>
        <v>930</v>
      </c>
      <c r="M68" s="236">
        <f>'สูตร 4 step SB'!K729</f>
        <v>945</v>
      </c>
      <c r="N68" s="305">
        <f>'สูตร 4 step SB'!L726</f>
        <v>915</v>
      </c>
      <c r="O68" s="236">
        <f>'สูตร 4 step SB'!L727</f>
        <v>925</v>
      </c>
      <c r="P68" s="236">
        <f>'สูตร 4 step SB'!L728</f>
        <v>940</v>
      </c>
      <c r="Q68" s="236">
        <f>'สูตร 4 step SB'!L729</f>
        <v>955</v>
      </c>
      <c r="R68" s="294">
        <f>'สูตร 4 step SB'!M726</f>
        <v>880</v>
      </c>
      <c r="S68" s="236">
        <f>'สูตร 4 step SB'!M727</f>
        <v>890</v>
      </c>
      <c r="T68" s="236">
        <f>'สูตร 4 step SB'!M728</f>
        <v>905</v>
      </c>
      <c r="U68" s="236">
        <f>'สูตร 4 step SB'!M729</f>
        <v>920</v>
      </c>
    </row>
    <row r="69" spans="1:21" s="133" customFormat="1" x14ac:dyDescent="0.25">
      <c r="A69" s="258" t="s">
        <v>184</v>
      </c>
      <c r="B69" s="293">
        <f>'สูตร 4 step SB'!I206</f>
        <v>430</v>
      </c>
      <c r="C69" s="118">
        <f>'สูตร 4 step SB'!I207</f>
        <v>435</v>
      </c>
      <c r="D69" s="118">
        <f>'สูตร 4 step SB'!I208</f>
        <v>440</v>
      </c>
      <c r="E69" s="118">
        <f>'สูตร 4 step SB'!I209</f>
        <v>445</v>
      </c>
      <c r="F69" s="293">
        <f>'สูตร 4 step SB'!J206</f>
        <v>441</v>
      </c>
      <c r="G69" s="118">
        <f>'สูตร 4 step SB'!J207</f>
        <v>446</v>
      </c>
      <c r="H69" s="118">
        <f>'สูตร 4 step SB'!J208</f>
        <v>451</v>
      </c>
      <c r="I69" s="118">
        <f>'สูตร 4 step SB'!J209</f>
        <v>456</v>
      </c>
      <c r="J69" s="293">
        <f>'สูตร 4 step SB'!K206</f>
        <v>435</v>
      </c>
      <c r="K69" s="118">
        <f>'สูตร 4 step SB'!K207</f>
        <v>440</v>
      </c>
      <c r="L69" s="118">
        <f>'สูตร 4 step SB'!K208</f>
        <v>445</v>
      </c>
      <c r="M69" s="118">
        <f>'สูตร 4 step SB'!K209</f>
        <v>450</v>
      </c>
      <c r="N69" s="293">
        <f>'สูตร 4 step SB'!L206</f>
        <v>440</v>
      </c>
      <c r="O69" s="118">
        <f>'สูตร 4 step SB'!L207</f>
        <v>445</v>
      </c>
      <c r="P69" s="118">
        <f>'สูตร 4 step SB'!L208</f>
        <v>450</v>
      </c>
      <c r="Q69" s="118">
        <f>'สูตร 4 step SB'!L209</f>
        <v>455</v>
      </c>
      <c r="R69" s="210">
        <f>'สูตร 4 step SB'!M206</f>
        <v>424</v>
      </c>
      <c r="S69" s="118">
        <f>'สูตร 4 step SB'!M207</f>
        <v>429</v>
      </c>
      <c r="T69" s="118">
        <f>'สูตร 4 step SB'!M208</f>
        <v>434</v>
      </c>
      <c r="U69" s="118">
        <f>'สูตร 4 step SB'!M209</f>
        <v>439</v>
      </c>
    </row>
    <row r="70" spans="1:21" s="133" customFormat="1" x14ac:dyDescent="0.25">
      <c r="A70" s="258" t="s">
        <v>185</v>
      </c>
      <c r="B70" s="118">
        <f>'สูตร 4 step SB'!I234</f>
        <v>53</v>
      </c>
      <c r="C70" s="118">
        <f>'สูตร 4 step SB'!I235</f>
        <v>54</v>
      </c>
      <c r="D70" s="118">
        <f>'สูตร 4 step SB'!I236</f>
        <v>55</v>
      </c>
      <c r="E70" s="118">
        <f>'สูตร 4 step SB'!I237</f>
        <v>56</v>
      </c>
      <c r="F70" s="118">
        <f>'สูตร 4 step SB'!J234</f>
        <v>55</v>
      </c>
      <c r="G70" s="118">
        <f>'สูตร 4 step SB'!J235</f>
        <v>56</v>
      </c>
      <c r="H70" s="118">
        <f>'สูตร 4 step SB'!J236</f>
        <v>57</v>
      </c>
      <c r="I70" s="118">
        <f>'สูตร 4 step SB'!J237</f>
        <v>58</v>
      </c>
      <c r="J70" s="118">
        <f>'สูตร 4 step SB'!K234</f>
        <v>54</v>
      </c>
      <c r="K70" s="118">
        <f>'สูตร 4 step SB'!K235</f>
        <v>55</v>
      </c>
      <c r="L70" s="118">
        <f>'สูตร 4 step SB'!K236</f>
        <v>56</v>
      </c>
      <c r="M70" s="118">
        <f>'สูตร 4 step SB'!K237</f>
        <v>57</v>
      </c>
      <c r="N70" s="118">
        <f>'สูตร 4 step SB'!L234</f>
        <v>55</v>
      </c>
      <c r="O70" s="118">
        <f>'สูตร 4 step SB'!L235</f>
        <v>56</v>
      </c>
      <c r="P70" s="118">
        <f>'สูตร 4 step SB'!L236</f>
        <v>57</v>
      </c>
      <c r="Q70" s="118">
        <f>'สูตร 4 step SB'!L237</f>
        <v>58</v>
      </c>
      <c r="R70" s="134">
        <f>'สูตร 4 step SB'!M234</f>
        <v>53</v>
      </c>
      <c r="S70" s="118">
        <f>'สูตร 4 step SB'!M235</f>
        <v>54</v>
      </c>
      <c r="T70" s="118">
        <f>'สูตร 4 step SB'!M236</f>
        <v>55</v>
      </c>
      <c r="U70" s="118">
        <f>'สูตร 4 step SB'!M237</f>
        <v>56</v>
      </c>
    </row>
    <row r="71" spans="1:21" s="133" customFormat="1" x14ac:dyDescent="0.25">
      <c r="A71" s="258" t="s">
        <v>186</v>
      </c>
      <c r="B71" s="118">
        <f>'สูตร 4 step SB'!I262</f>
        <v>49</v>
      </c>
      <c r="C71" s="118">
        <f>'สูตร 4 step SB'!I263</f>
        <v>50</v>
      </c>
      <c r="D71" s="118">
        <f>'สูตร 4 step SB'!I264</f>
        <v>51</v>
      </c>
      <c r="E71" s="118">
        <f>'สูตร 4 step SB'!I265</f>
        <v>52</v>
      </c>
      <c r="F71" s="118">
        <f>'สูตร 4 step SB'!J262</f>
        <v>51</v>
      </c>
      <c r="G71" s="118">
        <f>'สูตร 4 step SB'!J263</f>
        <v>52</v>
      </c>
      <c r="H71" s="118">
        <f>'สูตร 4 step SB'!J264</f>
        <v>53</v>
      </c>
      <c r="I71" s="118">
        <f>'สูตร 4 step SB'!J265</f>
        <v>54</v>
      </c>
      <c r="J71" s="118">
        <f>'สูตร 4 step SB'!K262</f>
        <v>50</v>
      </c>
      <c r="K71" s="118">
        <f>'สูตร 4 step SB'!K263</f>
        <v>51</v>
      </c>
      <c r="L71" s="118">
        <f>'สูตร 4 step SB'!K264</f>
        <v>52</v>
      </c>
      <c r="M71" s="118">
        <f>'สูตร 4 step SB'!K265</f>
        <v>53</v>
      </c>
      <c r="N71" s="118">
        <f>'สูตร 4 step SB'!L262</f>
        <v>50</v>
      </c>
      <c r="O71" s="118">
        <f>'สูตร 4 step SB'!L263</f>
        <v>51</v>
      </c>
      <c r="P71" s="118">
        <f>'สูตร 4 step SB'!L264</f>
        <v>52</v>
      </c>
      <c r="Q71" s="118">
        <f>'สูตร 4 step SB'!L265</f>
        <v>53</v>
      </c>
      <c r="R71" s="134">
        <f>'สูตร 4 step SB'!M262</f>
        <v>49</v>
      </c>
      <c r="S71" s="118">
        <f>'สูตร 4 step SB'!M263</f>
        <v>50</v>
      </c>
      <c r="T71" s="118">
        <f>'สูตร 4 step SB'!M264</f>
        <v>51</v>
      </c>
      <c r="U71" s="118">
        <f>'สูตร 4 step SB'!M265</f>
        <v>52</v>
      </c>
    </row>
    <row r="72" spans="1:21" s="133" customFormat="1" x14ac:dyDescent="0.25">
      <c r="A72" s="258" t="s">
        <v>187</v>
      </c>
      <c r="B72" s="293">
        <f>'สูตร 4 step SB'!I618</f>
        <v>69</v>
      </c>
      <c r="C72" s="118">
        <f>'สูตร 4 step SB'!I619</f>
        <v>70</v>
      </c>
      <c r="D72" s="118">
        <f>'สูตร 4 step SB'!I620</f>
        <v>71</v>
      </c>
      <c r="E72" s="118">
        <f>'สูตร 4 step SB'!I621</f>
        <v>72</v>
      </c>
      <c r="F72" s="293">
        <f>'สูตร 4 step SB'!J618</f>
        <v>70</v>
      </c>
      <c r="G72" s="118">
        <f>'สูตร 4 step SB'!J619</f>
        <v>71</v>
      </c>
      <c r="H72" s="118">
        <f>'สูตร 4 step SB'!J620</f>
        <v>72</v>
      </c>
      <c r="I72" s="118">
        <f>'สูตร 4 step SB'!J621</f>
        <v>73</v>
      </c>
      <c r="J72" s="293">
        <f>'สูตร 4 step SB'!K618</f>
        <v>70</v>
      </c>
      <c r="K72" s="118">
        <f>'สูตร 4 step SB'!K619</f>
        <v>71</v>
      </c>
      <c r="L72" s="118">
        <f>'สูตร 4 step SB'!K620</f>
        <v>72</v>
      </c>
      <c r="M72" s="118">
        <f>'สูตร 4 step SB'!K621</f>
        <v>73</v>
      </c>
      <c r="N72" s="293">
        <f>'สูตร 4 step SB'!L618</f>
        <v>70</v>
      </c>
      <c r="O72" s="118">
        <f>'สูตร 4 step SB'!L619</f>
        <v>71</v>
      </c>
      <c r="P72" s="118">
        <f>'สูตร 4 step SB'!L620</f>
        <v>72</v>
      </c>
      <c r="Q72" s="118">
        <f>'สูตร 4 step SB'!L621</f>
        <v>73</v>
      </c>
      <c r="R72" s="210">
        <f>'สูตร 4 step SB'!M618</f>
        <v>68</v>
      </c>
      <c r="S72" s="118">
        <f>'สูตร 4 step SB'!M619</f>
        <v>69</v>
      </c>
      <c r="T72" s="118">
        <f>'สูตร 4 step SB'!M620</f>
        <v>70</v>
      </c>
      <c r="U72" s="118">
        <f>'สูตร 4 step SB'!M621</f>
        <v>71</v>
      </c>
    </row>
    <row r="73" spans="1:21" s="133" customFormat="1" x14ac:dyDescent="0.25">
      <c r="A73" s="258" t="s">
        <v>188</v>
      </c>
      <c r="B73" s="293">
        <f>'สูตร 4 step SB'!I290</f>
        <v>57</v>
      </c>
      <c r="C73" s="118">
        <f>'สูตร 4 step SB'!I291</f>
        <v>58</v>
      </c>
      <c r="D73" s="118">
        <f>'สูตร 4 step SB'!I292</f>
        <v>59</v>
      </c>
      <c r="E73" s="118">
        <f>'สูตร 4 step SB'!I293</f>
        <v>60</v>
      </c>
      <c r="F73" s="293">
        <f>'สูตร 4 step SB'!J290</f>
        <v>58</v>
      </c>
      <c r="G73" s="118">
        <f>'สูตร 4 step SB'!J291</f>
        <v>59</v>
      </c>
      <c r="H73" s="118">
        <f>'สูตร 4 step SB'!J292</f>
        <v>60</v>
      </c>
      <c r="I73" s="118">
        <f>'สูตร 4 step SB'!J293</f>
        <v>61</v>
      </c>
      <c r="J73" s="293">
        <f>'สูตร 4 step SB'!K290</f>
        <v>57</v>
      </c>
      <c r="K73" s="118">
        <f>'สูตร 4 step SB'!K291</f>
        <v>58</v>
      </c>
      <c r="L73" s="118">
        <f>'สูตร 4 step SB'!K292</f>
        <v>59</v>
      </c>
      <c r="M73" s="118">
        <f>'สูตร 4 step SB'!K293</f>
        <v>60</v>
      </c>
      <c r="N73" s="293">
        <f>'สูตร 4 step SB'!L290</f>
        <v>58</v>
      </c>
      <c r="O73" s="118">
        <f>'สูตร 4 step SB'!L291</f>
        <v>59</v>
      </c>
      <c r="P73" s="118">
        <f>'สูตร 4 step SB'!L292</f>
        <v>60</v>
      </c>
      <c r="Q73" s="118">
        <f>'สูตร 4 step SB'!L293</f>
        <v>61</v>
      </c>
      <c r="R73" s="210">
        <f>'สูตร 4 step SB'!M290</f>
        <v>56</v>
      </c>
      <c r="S73" s="118">
        <f>'สูตร 4 step SB'!M291</f>
        <v>57</v>
      </c>
      <c r="T73" s="118">
        <f>'สูตร 4 step SB'!M292</f>
        <v>58</v>
      </c>
      <c r="U73" s="118">
        <f>'สูตร 4 step SB'!M293</f>
        <v>59</v>
      </c>
    </row>
    <row r="74" spans="1:21" s="133" customFormat="1" x14ac:dyDescent="0.25">
      <c r="A74" s="258" t="s">
        <v>189</v>
      </c>
      <c r="B74" s="118">
        <f>'สูตร 4 step SB'!I318</f>
        <v>75</v>
      </c>
      <c r="C74" s="118">
        <f>'สูตร 4 step SB'!I319</f>
        <v>77</v>
      </c>
      <c r="D74" s="118">
        <f>'สูตร 4 step SB'!I320</f>
        <v>78</v>
      </c>
      <c r="E74" s="118">
        <f>'สูตร 4 step SB'!I321</f>
        <v>80</v>
      </c>
      <c r="F74" s="118">
        <f>'สูตร 4 step SB'!J318</f>
        <v>77</v>
      </c>
      <c r="G74" s="118">
        <f>'สูตร 4 step SB'!J319</f>
        <v>79</v>
      </c>
      <c r="H74" s="118">
        <f>'สูตร 4 step SB'!J320</f>
        <v>80</v>
      </c>
      <c r="I74" s="118">
        <f>'สูตร 4 step SB'!J321</f>
        <v>82</v>
      </c>
      <c r="J74" s="118">
        <f>'สูตร 4 step SB'!K318</f>
        <v>76</v>
      </c>
      <c r="K74" s="118">
        <f>'สูตร 4 step SB'!K319</f>
        <v>78</v>
      </c>
      <c r="L74" s="118">
        <f>'สูตร 4 step SB'!K320</f>
        <v>79</v>
      </c>
      <c r="M74" s="118">
        <f>'สูตร 4 step SB'!K321</f>
        <v>81</v>
      </c>
      <c r="N74" s="118">
        <f>'สูตร 4 step SB'!L318</f>
        <v>76</v>
      </c>
      <c r="O74" s="118">
        <f>'สูตร 4 step SB'!L319</f>
        <v>78</v>
      </c>
      <c r="P74" s="118">
        <f>'สูตร 4 step SB'!L320</f>
        <v>79</v>
      </c>
      <c r="Q74" s="118">
        <f>'สูตร 4 step SB'!L321</f>
        <v>81</v>
      </c>
      <c r="R74" s="134">
        <f>'สูตร 4 step SB'!M318</f>
        <v>75</v>
      </c>
      <c r="S74" s="118">
        <f>'สูตร 4 step SB'!M319</f>
        <v>77</v>
      </c>
      <c r="T74" s="118">
        <f>'สูตร 4 step SB'!M320</f>
        <v>78</v>
      </c>
      <c r="U74" s="118">
        <f>'สูตร 4 step SB'!M321</f>
        <v>80</v>
      </c>
    </row>
    <row r="75" spans="1:21" s="144" customFormat="1" x14ac:dyDescent="0.25">
      <c r="A75" s="250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3"/>
      <c r="S75" s="141"/>
      <c r="T75" s="141"/>
      <c r="U75" s="141"/>
    </row>
    <row r="76" spans="1:21" s="144" customFormat="1" x14ac:dyDescent="0.25">
      <c r="A76" s="250" t="s">
        <v>41</v>
      </c>
      <c r="B76" s="141">
        <f>'สูตร 4 step SB'!I426</f>
        <v>119</v>
      </c>
      <c r="C76" s="141">
        <f>'สูตร 4 step SB'!I427</f>
        <v>121</v>
      </c>
      <c r="D76" s="141">
        <f>'สูตร 4 step SB'!I428</f>
        <v>123</v>
      </c>
      <c r="E76" s="141">
        <f>'สูตร 4 step SB'!I429</f>
        <v>125</v>
      </c>
      <c r="F76" s="141">
        <f>'สูตร 4 step SB'!J426</f>
        <v>123</v>
      </c>
      <c r="G76" s="141">
        <f>'สูตร 4 step SB'!J427</f>
        <v>125</v>
      </c>
      <c r="H76" s="141">
        <f>'สูตร 4 step SB'!J428</f>
        <v>127</v>
      </c>
      <c r="I76" s="141">
        <f>'สูตร 4 step SB'!J429</f>
        <v>129</v>
      </c>
      <c r="J76" s="141">
        <f>'สูตร 4 step SB'!K426</f>
        <v>121</v>
      </c>
      <c r="K76" s="141">
        <f>'สูตร 4 step SB'!K427</f>
        <v>123</v>
      </c>
      <c r="L76" s="141">
        <f>'สูตร 4 step SB'!K428</f>
        <v>125</v>
      </c>
      <c r="M76" s="141">
        <f>'สูตร 4 step SB'!K429</f>
        <v>127</v>
      </c>
      <c r="N76" s="141">
        <f>'สูตร 4 step SB'!L426</f>
        <v>123</v>
      </c>
      <c r="O76" s="141">
        <f>'สูตร 4 step SB'!L427</f>
        <v>125</v>
      </c>
      <c r="P76" s="141">
        <f>'สูตร 4 step SB'!L428</f>
        <v>127</v>
      </c>
      <c r="Q76" s="141">
        <f>'สูตร 4 step SB'!L429</f>
        <v>129</v>
      </c>
      <c r="R76" s="143">
        <f>'สูตร 4 step SB'!M426</f>
        <v>116</v>
      </c>
      <c r="S76" s="141">
        <f>'สูตร 4 step SB'!M427</f>
        <v>118</v>
      </c>
      <c r="T76" s="141">
        <f>'สูตร 4 step SB'!M428</f>
        <v>120</v>
      </c>
      <c r="U76" s="141">
        <f>'สูตร 4 step SB'!M429</f>
        <v>122</v>
      </c>
    </row>
    <row r="77" spans="1:21" s="144" customFormat="1" x14ac:dyDescent="0.25">
      <c r="A77" s="250" t="s">
        <v>42</v>
      </c>
      <c r="B77" s="140">
        <f>'สูตร 4 step SB'!I454</f>
        <v>60</v>
      </c>
      <c r="C77" s="141">
        <f>'สูตร 4 step SB'!I455</f>
        <v>61</v>
      </c>
      <c r="D77" s="141">
        <f>'สูตร 4 step SB'!I456</f>
        <v>62</v>
      </c>
      <c r="E77" s="141">
        <f>'สูตร 4 step SB'!I457</f>
        <v>63</v>
      </c>
      <c r="F77" s="140">
        <f>'สูตร 4 step SB'!J454</f>
        <v>63</v>
      </c>
      <c r="G77" s="141">
        <f>'สูตร 4 step SB'!J455</f>
        <v>64</v>
      </c>
      <c r="H77" s="141">
        <f>'สูตร 4 step SB'!J456</f>
        <v>65</v>
      </c>
      <c r="I77" s="141">
        <f>'สูตร 4 step SB'!J457</f>
        <v>66</v>
      </c>
      <c r="J77" s="140">
        <f>'สูตร 4 step SB'!K454</f>
        <v>62</v>
      </c>
      <c r="K77" s="141">
        <f>'สูตร 4 step SB'!K455</f>
        <v>63</v>
      </c>
      <c r="L77" s="141">
        <f>'สูตร 4 step SB'!K456</f>
        <v>64</v>
      </c>
      <c r="M77" s="141">
        <f>'สูตร 4 step SB'!K457</f>
        <v>65</v>
      </c>
      <c r="N77" s="140">
        <f>'สูตร 4 step SB'!L454</f>
        <v>63</v>
      </c>
      <c r="O77" s="141">
        <f>'สูตร 4 step SB'!L455</f>
        <v>64</v>
      </c>
      <c r="P77" s="141">
        <f>'สูตร 4 step SB'!L456</f>
        <v>65</v>
      </c>
      <c r="Q77" s="141">
        <f>'สูตร 4 step SB'!L457</f>
        <v>66</v>
      </c>
      <c r="R77" s="173">
        <f>'สูตร 4 step SB'!M454</f>
        <v>59</v>
      </c>
      <c r="S77" s="141">
        <f>'สูตร 4 step SB'!M455</f>
        <v>60</v>
      </c>
      <c r="T77" s="141">
        <f>'สูตร 4 step SB'!M456</f>
        <v>61</v>
      </c>
      <c r="U77" s="141">
        <f>'สูตร 4 step SB'!M457</f>
        <v>62</v>
      </c>
    </row>
    <row r="78" spans="1:21" s="144" customFormat="1" x14ac:dyDescent="0.25">
      <c r="A78" s="250" t="s">
        <v>43</v>
      </c>
      <c r="B78" s="141">
        <f>'สูตร 4 step SB'!I481</f>
        <v>60</v>
      </c>
      <c r="C78" s="141">
        <f>'สูตร 4 step SB'!I482</f>
        <v>61</v>
      </c>
      <c r="D78" s="141">
        <f>'สูตร 4 step SB'!I483</f>
        <v>62</v>
      </c>
      <c r="E78" s="141">
        <f>'สูตร 4 step SB'!I484</f>
        <v>63</v>
      </c>
      <c r="F78" s="141">
        <f>'สูตร 4 step SB'!J481</f>
        <v>63</v>
      </c>
      <c r="G78" s="141">
        <f>'สูตร 4 step SB'!J482</f>
        <v>64</v>
      </c>
      <c r="H78" s="141">
        <f>'สูตร 4 step SB'!J483</f>
        <v>65</v>
      </c>
      <c r="I78" s="141">
        <f>'สูตร 4 step SB'!J484</f>
        <v>66</v>
      </c>
      <c r="J78" s="141">
        <f>'สูตร 4 step SB'!K481</f>
        <v>62</v>
      </c>
      <c r="K78" s="141">
        <f>'สูตร 4 step SB'!K482</f>
        <v>63</v>
      </c>
      <c r="L78" s="141">
        <f>'สูตร 4 step SB'!K483</f>
        <v>64</v>
      </c>
      <c r="M78" s="141">
        <f>'สูตร 4 step SB'!K484</f>
        <v>65</v>
      </c>
      <c r="N78" s="141">
        <f>'สูตร 4 step SB'!L481</f>
        <v>63</v>
      </c>
      <c r="O78" s="141">
        <f>'สูตร 4 step SB'!L482</f>
        <v>64</v>
      </c>
      <c r="P78" s="141">
        <f>'สูตร 4 step SB'!L483</f>
        <v>65</v>
      </c>
      <c r="Q78" s="141">
        <f>'สูตร 4 step SB'!L484</f>
        <v>66</v>
      </c>
      <c r="R78" s="143">
        <f>'สูตร 4 step SB'!M481</f>
        <v>59</v>
      </c>
      <c r="S78" s="141">
        <f>'สูตร 4 step SB'!M482</f>
        <v>60</v>
      </c>
      <c r="T78" s="141">
        <f>'สูตร 4 step SB'!M483</f>
        <v>61</v>
      </c>
      <c r="U78" s="141">
        <f>'สูตร 4 step SB'!M484</f>
        <v>62</v>
      </c>
    </row>
    <row r="79" spans="1:21" s="144" customFormat="1" x14ac:dyDescent="0.25">
      <c r="A79" s="250" t="s">
        <v>44</v>
      </c>
      <c r="B79" s="141">
        <f>'สูตร 4 step SB'!I509</f>
        <v>179</v>
      </c>
      <c r="C79" s="141">
        <f>'สูตร 4 step SB'!I510</f>
        <v>182</v>
      </c>
      <c r="D79" s="141">
        <f>'สูตร 4 step SB'!I511</f>
        <v>184</v>
      </c>
      <c r="E79" s="141">
        <f>'สูตร 4 step SB'!I512</f>
        <v>186</v>
      </c>
      <c r="F79" s="141">
        <f>'สูตร 4 step SB'!J509</f>
        <v>186</v>
      </c>
      <c r="G79" s="141">
        <f>'สูตร 4 step SB'!J510</f>
        <v>189</v>
      </c>
      <c r="H79" s="141">
        <f>'สูตร 4 step SB'!J511</f>
        <v>191</v>
      </c>
      <c r="I79" s="141">
        <f>'สูตร 4 step SB'!J512</f>
        <v>193</v>
      </c>
      <c r="J79" s="141">
        <f>'สูตร 4 step SB'!K509</f>
        <v>183</v>
      </c>
      <c r="K79" s="141">
        <f>'สูตร 4 step SB'!K510</f>
        <v>186</v>
      </c>
      <c r="L79" s="141">
        <f>'สูตร 4 step SB'!K511</f>
        <v>188</v>
      </c>
      <c r="M79" s="141">
        <f>'สูตร 4 step SB'!K512</f>
        <v>190</v>
      </c>
      <c r="N79" s="141">
        <f>'สูตร 4 step SB'!L509</f>
        <v>186</v>
      </c>
      <c r="O79" s="141">
        <f>'สูตร 4 step SB'!L510</f>
        <v>189</v>
      </c>
      <c r="P79" s="141">
        <f>'สูตร 4 step SB'!L511</f>
        <v>191</v>
      </c>
      <c r="Q79" s="141">
        <f>'สูตร 4 step SB'!L512</f>
        <v>193</v>
      </c>
      <c r="R79" s="143">
        <f>'สูตร 4 step SB'!M509</f>
        <v>175</v>
      </c>
      <c r="S79" s="141">
        <f>'สูตร 4 step SB'!M510</f>
        <v>178</v>
      </c>
      <c r="T79" s="141">
        <f>'สูตร 4 step SB'!M511</f>
        <v>180</v>
      </c>
      <c r="U79" s="141">
        <f>'สูตร 4 step SB'!M512</f>
        <v>182</v>
      </c>
    </row>
    <row r="80" spans="1:21" s="144" customFormat="1" x14ac:dyDescent="0.25">
      <c r="A80" s="250" t="s">
        <v>112</v>
      </c>
      <c r="B80" s="141">
        <f>'สูตร 4 step SB'!I591</f>
        <v>275</v>
      </c>
      <c r="C80" s="141">
        <f>'สูตร 4 step SB'!I592</f>
        <v>279</v>
      </c>
      <c r="D80" s="141">
        <f>'สูตร 4 step SB'!I593</f>
        <v>281</v>
      </c>
      <c r="E80" s="141">
        <f>'สูตร 4 step SB'!I594</f>
        <v>283</v>
      </c>
      <c r="F80" s="141">
        <f>'สูตร 4 step SB'!J591</f>
        <v>284</v>
      </c>
      <c r="G80" s="141">
        <f>'สูตร 4 step SB'!J592</f>
        <v>288</v>
      </c>
      <c r="H80" s="141">
        <f>'สูตร 4 step SB'!J593</f>
        <v>290</v>
      </c>
      <c r="I80" s="141">
        <f>'สูตร 4 step SB'!J594</f>
        <v>292</v>
      </c>
      <c r="J80" s="141">
        <f>'สูตร 4 step SB'!K591</f>
        <v>279</v>
      </c>
      <c r="K80" s="141">
        <f>'สูตร 4 step SB'!K592</f>
        <v>283</v>
      </c>
      <c r="L80" s="141">
        <f>'สูตร 4 step SB'!K593</f>
        <v>285</v>
      </c>
      <c r="M80" s="141">
        <f>'สูตร 4 step SB'!K594</f>
        <v>287</v>
      </c>
      <c r="N80" s="141">
        <f>'สูตร 4 step SB'!L591</f>
        <v>284</v>
      </c>
      <c r="O80" s="141">
        <f>'สูตร 4 step SB'!L592</f>
        <v>288</v>
      </c>
      <c r="P80" s="141">
        <f>'สูตร 4 step SB'!L593</f>
        <v>290</v>
      </c>
      <c r="Q80" s="141">
        <f>'สูตร 4 step SB'!L594</f>
        <v>292</v>
      </c>
      <c r="R80" s="143">
        <f>'สูตร 4 step SB'!M591</f>
        <v>270</v>
      </c>
      <c r="S80" s="141">
        <f>'สูตร 4 step SB'!M592</f>
        <v>274</v>
      </c>
      <c r="T80" s="141">
        <f>'สูตร 4 step SB'!M593</f>
        <v>276</v>
      </c>
      <c r="U80" s="141">
        <f>'สูตร 4 step SB'!M594</f>
        <v>278</v>
      </c>
    </row>
    <row r="81" spans="1:21" s="144" customFormat="1" x14ac:dyDescent="0.25">
      <c r="A81" s="250" t="s">
        <v>221</v>
      </c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3"/>
      <c r="S81" s="141"/>
      <c r="T81" s="141"/>
      <c r="U81" s="141"/>
    </row>
    <row r="82" spans="1:21" s="144" customFormat="1" x14ac:dyDescent="0.25">
      <c r="A82" s="250" t="s">
        <v>222</v>
      </c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3"/>
      <c r="S82" s="141"/>
      <c r="T82" s="141"/>
      <c r="U82" s="141"/>
    </row>
    <row r="83" spans="1:21" s="144" customFormat="1" x14ac:dyDescent="0.25">
      <c r="A83" s="250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3"/>
      <c r="S83" s="141"/>
      <c r="T83" s="141"/>
      <c r="U83" s="141"/>
    </row>
    <row r="84" spans="1:21" s="144" customFormat="1" x14ac:dyDescent="0.25">
      <c r="A84" s="250" t="s">
        <v>167</v>
      </c>
      <c r="B84" s="141">
        <f>'สูตร 4 step SB'!I370</f>
        <v>46</v>
      </c>
      <c r="C84" s="141">
        <f>'สูตร 4 step SB'!I371</f>
        <v>47</v>
      </c>
      <c r="D84" s="141">
        <f>'สูตร 4 step SB'!I372</f>
        <v>48</v>
      </c>
      <c r="E84" s="141">
        <f>'สูตร 4 step SB'!I373</f>
        <v>49</v>
      </c>
      <c r="F84" s="141">
        <f>'สูตร 4 step SB'!J370</f>
        <v>46</v>
      </c>
      <c r="G84" s="141">
        <f>'สูตร 4 step SB'!J371</f>
        <v>47</v>
      </c>
      <c r="H84" s="141">
        <f>'สูตร 4 step SB'!J372</f>
        <v>48</v>
      </c>
      <c r="I84" s="141">
        <f>'สูตร 4 step SB'!J373</f>
        <v>49</v>
      </c>
      <c r="J84" s="141">
        <f>'สูตร 4 step SB'!K370</f>
        <v>46</v>
      </c>
      <c r="K84" s="141">
        <f>'สูตร 4 step SB'!K371</f>
        <v>47</v>
      </c>
      <c r="L84" s="141">
        <f>'สูตร 4 step SB'!K372</f>
        <v>48</v>
      </c>
      <c r="M84" s="141">
        <f>'สูตร 4 step SB'!K373</f>
        <v>49</v>
      </c>
      <c r="N84" s="141">
        <f>'สูตร 4 step SB'!L370</f>
        <v>46</v>
      </c>
      <c r="O84" s="141">
        <f>'สูตร 4 step SB'!L371</f>
        <v>47</v>
      </c>
      <c r="P84" s="141">
        <f>'สูตร 4 step SB'!L372</f>
        <v>48</v>
      </c>
      <c r="Q84" s="141">
        <f>'สูตร 4 step SB'!L373</f>
        <v>49</v>
      </c>
      <c r="R84" s="143">
        <f>'สูตร 4 step SB'!M370</f>
        <v>45</v>
      </c>
      <c r="S84" s="141">
        <f>'สูตร 4 step SB'!M371</f>
        <v>46</v>
      </c>
      <c r="T84" s="141">
        <f>'สูตร 4 step SB'!M372</f>
        <v>47</v>
      </c>
      <c r="U84" s="141">
        <f>'สูตร 4 step SB'!M373</f>
        <v>48</v>
      </c>
    </row>
    <row r="85" spans="1:21" s="144" customFormat="1" x14ac:dyDescent="0.25">
      <c r="A85" s="254" t="s">
        <v>168</v>
      </c>
      <c r="B85" s="186">
        <f>'สูตร 4 step SB'!I398</f>
        <v>38</v>
      </c>
      <c r="C85" s="186">
        <f>'สูตร 4 step SB'!I399</f>
        <v>39</v>
      </c>
      <c r="D85" s="186">
        <f>'สูตร 4 step SB'!I400</f>
        <v>40</v>
      </c>
      <c r="E85" s="186">
        <f>'สูตร 4 step SB'!I401</f>
        <v>41</v>
      </c>
      <c r="F85" s="186">
        <f>'สูตร 4 step SB'!J398</f>
        <v>39</v>
      </c>
      <c r="G85" s="186">
        <f>'สูตร 4 step SB'!J399</f>
        <v>40</v>
      </c>
      <c r="H85" s="186">
        <f>'สูตร 4 step SB'!J400</f>
        <v>41</v>
      </c>
      <c r="I85" s="186">
        <f>'สูตร 4 step SB'!J401</f>
        <v>42</v>
      </c>
      <c r="J85" s="186">
        <f>'สูตร 4 step SB'!K398</f>
        <v>38</v>
      </c>
      <c r="K85" s="186">
        <f>'สูตร 4 step SB'!K399</f>
        <v>39</v>
      </c>
      <c r="L85" s="186">
        <f>'สูตร 4 step SB'!K400</f>
        <v>40</v>
      </c>
      <c r="M85" s="186">
        <f>'สูตร 4 step SB'!K401</f>
        <v>41</v>
      </c>
      <c r="N85" s="186">
        <f>'สูตร 4 step SB'!L398</f>
        <v>39</v>
      </c>
      <c r="O85" s="186">
        <f>'สูตร 4 step SB'!L399</f>
        <v>40</v>
      </c>
      <c r="P85" s="186">
        <f>'สูตร 4 step SB'!L400</f>
        <v>41</v>
      </c>
      <c r="Q85" s="186">
        <f>'สูตร 4 step SB'!L401</f>
        <v>42</v>
      </c>
      <c r="R85" s="184">
        <f>'สูตร 4 step SB'!M398</f>
        <v>38</v>
      </c>
      <c r="S85" s="186">
        <f>'สูตร 4 step SB'!M399</f>
        <v>39</v>
      </c>
      <c r="T85" s="186">
        <f>'สูตร 4 step SB'!M400</f>
        <v>40</v>
      </c>
      <c r="U85" s="186">
        <f>'สูตร 4 step SB'!M401</f>
        <v>41</v>
      </c>
    </row>
    <row r="86" spans="1:21" s="144" customFormat="1" x14ac:dyDescent="0.25">
      <c r="A86" s="254" t="s">
        <v>169</v>
      </c>
      <c r="B86" s="186">
        <f>'สูตร 4 step SB'!I1143</f>
        <v>49</v>
      </c>
      <c r="C86" s="186">
        <f>'สูตร 4 step SB'!I1144</f>
        <v>50</v>
      </c>
      <c r="D86" s="186">
        <f>'สูตร 4 step SB'!I1145</f>
        <v>51</v>
      </c>
      <c r="E86" s="186">
        <f>'สูตร 4 step SB'!I1146</f>
        <v>53</v>
      </c>
      <c r="F86" s="186">
        <f>'สูตร 4 step SB'!J1143</f>
        <v>49</v>
      </c>
      <c r="G86" s="186">
        <f>'สูตร 4 step SB'!J1144</f>
        <v>50</v>
      </c>
      <c r="H86" s="186">
        <f>'สูตร 4 step SB'!J1145</f>
        <v>51</v>
      </c>
      <c r="I86" s="186">
        <f>'สูตร 4 step SB'!J1146</f>
        <v>53</v>
      </c>
      <c r="J86" s="186">
        <f>'สูตร 4 step SB'!K1143</f>
        <v>49</v>
      </c>
      <c r="K86" s="186">
        <f>'สูตร 4 step SB'!K1144</f>
        <v>50</v>
      </c>
      <c r="L86" s="186">
        <f>'สูตร 4 step SB'!K1145</f>
        <v>51</v>
      </c>
      <c r="M86" s="186">
        <f>'สูตร 4 step SB'!K1146</f>
        <v>53</v>
      </c>
      <c r="N86" s="186">
        <f>'สูตร 4 step SB'!L1143</f>
        <v>49</v>
      </c>
      <c r="O86" s="186">
        <f>'สูตร 4 step SB'!L1144</f>
        <v>50</v>
      </c>
      <c r="P86" s="186">
        <f>'สูตร 4 step SB'!L1145</f>
        <v>51</v>
      </c>
      <c r="Q86" s="186">
        <f>'สูตร 4 step SB'!L1146</f>
        <v>53</v>
      </c>
      <c r="R86" s="184">
        <f>'สูตร 4 step SB'!M1143</f>
        <v>48</v>
      </c>
      <c r="S86" s="186">
        <f>'สูตร 4 step SB'!M1144</f>
        <v>49</v>
      </c>
      <c r="T86" s="186">
        <f>'สูตร 4 step SB'!M1145</f>
        <v>50</v>
      </c>
      <c r="U86" s="186">
        <f>'สูตร 4 step SB'!M1146</f>
        <v>52</v>
      </c>
    </row>
    <row r="87" spans="1:21" s="144" customFormat="1" x14ac:dyDescent="0.25">
      <c r="A87" s="250" t="s">
        <v>170</v>
      </c>
      <c r="B87" s="141">
        <f>'สูตร 4 step SB'!I536</f>
        <v>30</v>
      </c>
      <c r="C87" s="141">
        <f>'สูตร 4 step SB'!I537</f>
        <v>31</v>
      </c>
      <c r="D87" s="141">
        <f>'สูตร 4 step SB'!I538</f>
        <v>32</v>
      </c>
      <c r="E87" s="141">
        <f>'สูตร 4 step SB'!I539</f>
        <v>33</v>
      </c>
      <c r="F87" s="141">
        <f>'สูตร 4 step SB'!J536</f>
        <v>30</v>
      </c>
      <c r="G87" s="141">
        <f>'สูตร 4 step SB'!J537</f>
        <v>31</v>
      </c>
      <c r="H87" s="141">
        <f>'สูตร 4 step SB'!J538</f>
        <v>32</v>
      </c>
      <c r="I87" s="141">
        <f>'สูตร 4 step SB'!J539</f>
        <v>33</v>
      </c>
      <c r="J87" s="141">
        <f>'สูตร 4 step SB'!K536</f>
        <v>30</v>
      </c>
      <c r="K87" s="141">
        <f>'สูตร 4 step SB'!K537</f>
        <v>31</v>
      </c>
      <c r="L87" s="141">
        <f>'สูตร 4 step SB'!K538</f>
        <v>32</v>
      </c>
      <c r="M87" s="141">
        <f>'สูตร 4 step SB'!K539</f>
        <v>33</v>
      </c>
      <c r="N87" s="141">
        <f>'สูตร 4 step SB'!L536</f>
        <v>30</v>
      </c>
      <c r="O87" s="141">
        <f>'สูตร 4 step SB'!L537</f>
        <v>31</v>
      </c>
      <c r="P87" s="141">
        <f>'สูตร 4 step SB'!L538</f>
        <v>32</v>
      </c>
      <c r="Q87" s="141">
        <f>'สูตร 4 step SB'!L539</f>
        <v>33</v>
      </c>
      <c r="R87" s="143">
        <f>'สูตร 4 step SB'!M536</f>
        <v>29</v>
      </c>
      <c r="S87" s="141">
        <f>'สูตร 4 step SB'!M537</f>
        <v>30</v>
      </c>
      <c r="T87" s="141">
        <f>'สูตร 4 step SB'!M538</f>
        <v>31</v>
      </c>
      <c r="U87" s="141">
        <f>'สูตร 4 step SB'!M539</f>
        <v>32</v>
      </c>
    </row>
    <row r="88" spans="1:21" s="144" customFormat="1" x14ac:dyDescent="0.25">
      <c r="A88" s="254" t="s">
        <v>171</v>
      </c>
      <c r="B88" s="186">
        <f>'สูตร 4 step SB'!I564</f>
        <v>32</v>
      </c>
      <c r="C88" s="186">
        <f>'สูตร 4 step SB'!I565</f>
        <v>33</v>
      </c>
      <c r="D88" s="186">
        <f>'สูตร 4 step SB'!I566</f>
        <v>34</v>
      </c>
      <c r="E88" s="186">
        <f>'สูตร 4 step SB'!I567</f>
        <v>35</v>
      </c>
      <c r="F88" s="141">
        <f>'สูตร 4 step SB'!J564</f>
        <v>33</v>
      </c>
      <c r="G88" s="186">
        <f>'สูตร 4 step SB'!J565</f>
        <v>34</v>
      </c>
      <c r="H88" s="186">
        <f>'สูตร 4 step SB'!J566</f>
        <v>35</v>
      </c>
      <c r="I88" s="186">
        <f>'สูตร 4 step SB'!J567</f>
        <v>36</v>
      </c>
      <c r="J88" s="141">
        <f>'สูตร 4 step SB'!K564</f>
        <v>32</v>
      </c>
      <c r="K88" s="186">
        <f>'สูตร 4 step SB'!K565</f>
        <v>33</v>
      </c>
      <c r="L88" s="186">
        <f>'สูตร 4 step SB'!K566</f>
        <v>34</v>
      </c>
      <c r="M88" s="186">
        <f>'สูตร 4 step SB'!K567</f>
        <v>35</v>
      </c>
      <c r="N88" s="186">
        <f>'สูตร 4 step SB'!L564</f>
        <v>33</v>
      </c>
      <c r="O88" s="186">
        <f>'สูตร 4 step SB'!L565</f>
        <v>34</v>
      </c>
      <c r="P88" s="186">
        <f>'สูตร 4 step SB'!L566</f>
        <v>35</v>
      </c>
      <c r="Q88" s="186">
        <f>'สูตร 4 step SB'!L567</f>
        <v>36</v>
      </c>
      <c r="R88" s="184">
        <f>'สูตร 4 step SB'!M564</f>
        <v>31</v>
      </c>
      <c r="S88" s="186">
        <f>'สูตร 4 step SB'!M565</f>
        <v>32</v>
      </c>
      <c r="T88" s="186">
        <f>'สูตร 4 step SB'!M566</f>
        <v>33</v>
      </c>
      <c r="U88" s="186">
        <f>'สูตร 4 step SB'!M567</f>
        <v>34</v>
      </c>
    </row>
    <row r="89" spans="1:21" s="144" customFormat="1" x14ac:dyDescent="0.25">
      <c r="A89" s="254"/>
      <c r="B89" s="186"/>
      <c r="C89" s="186"/>
      <c r="D89" s="186"/>
      <c r="E89" s="186"/>
      <c r="F89" s="184"/>
      <c r="G89" s="186"/>
      <c r="H89" s="186"/>
      <c r="I89" s="186"/>
      <c r="J89" s="184"/>
      <c r="K89" s="186"/>
      <c r="L89" s="186"/>
      <c r="M89" s="186"/>
      <c r="N89" s="186"/>
      <c r="O89" s="186"/>
      <c r="P89" s="186"/>
      <c r="Q89" s="186"/>
      <c r="R89" s="184"/>
      <c r="S89" s="186"/>
      <c r="T89" s="186"/>
      <c r="U89" s="186"/>
    </row>
    <row r="90" spans="1:21" s="144" customFormat="1" x14ac:dyDescent="0.25">
      <c r="A90" s="255" t="s">
        <v>141</v>
      </c>
      <c r="B90" s="141">
        <f>'สูตร 4 step SB'!I753</f>
        <v>44</v>
      </c>
      <c r="C90" s="141">
        <f>'สูตร 4 step SB'!I754</f>
        <v>45</v>
      </c>
      <c r="D90" s="141">
        <f>'สูตร 4 step SB'!I755</f>
        <v>46</v>
      </c>
      <c r="E90" s="141">
        <f>'สูตร 4 step SB'!I756</f>
        <v>47</v>
      </c>
      <c r="F90" s="141">
        <f>'สูตร 4 step SB'!J753</f>
        <v>45</v>
      </c>
      <c r="G90" s="141">
        <f>'สูตร 4 step SB'!J754</f>
        <v>46</v>
      </c>
      <c r="H90" s="141">
        <f>'สูตร 4 step SB'!J755</f>
        <v>47</v>
      </c>
      <c r="I90" s="141">
        <f>'สูตร 4 step SB'!J756</f>
        <v>48</v>
      </c>
      <c r="J90" s="141">
        <f>'สูตร 4 step SB'!K753</f>
        <v>45</v>
      </c>
      <c r="K90" s="141">
        <f>'สูตร 4 step SB'!K754</f>
        <v>46</v>
      </c>
      <c r="L90" s="141">
        <f>'สูตร 4 step SB'!K755</f>
        <v>47</v>
      </c>
      <c r="M90" s="141">
        <f>'สูตร 4 step SB'!K756</f>
        <v>48</v>
      </c>
      <c r="N90" s="141">
        <f>'สูตร 4 step SB'!L753</f>
        <v>45</v>
      </c>
      <c r="O90" s="141">
        <f>'สูตร 4 step SB'!L754</f>
        <v>46</v>
      </c>
      <c r="P90" s="141">
        <f>'สูตร 4 step SB'!L755</f>
        <v>47</v>
      </c>
      <c r="Q90" s="141">
        <f>'สูตร 4 step SB'!L756</f>
        <v>48</v>
      </c>
      <c r="R90" s="143">
        <f>'สูตร 4 step SB'!M753</f>
        <v>43</v>
      </c>
      <c r="S90" s="141">
        <f>'สูตร 4 step SB'!M754</f>
        <v>44</v>
      </c>
      <c r="T90" s="141">
        <f>'สูตร 4 step SB'!M755</f>
        <v>45</v>
      </c>
      <c r="U90" s="141">
        <f>'สูตร 4 step SB'!M756</f>
        <v>46</v>
      </c>
    </row>
    <row r="91" spans="1:21" s="144" customFormat="1" x14ac:dyDescent="0.25">
      <c r="A91" s="255" t="s">
        <v>161</v>
      </c>
      <c r="B91" s="141">
        <f>'สูตร 4 step SB'!I975</f>
        <v>59</v>
      </c>
      <c r="C91" s="141">
        <f>'สูตร 4 step SB'!I976</f>
        <v>60</v>
      </c>
      <c r="D91" s="141">
        <f>'สูตร 4 step SB'!I977</f>
        <v>61</v>
      </c>
      <c r="E91" s="141">
        <f>'สูตร 4 step SB'!I978</f>
        <v>62</v>
      </c>
      <c r="F91" s="141">
        <f>'สูตร 4 step SB'!J975</f>
        <v>61</v>
      </c>
      <c r="G91" s="141">
        <f>'สูตร 4 step SB'!J976</f>
        <v>62</v>
      </c>
      <c r="H91" s="141">
        <f>'สูตร 4 step SB'!J977</f>
        <v>63</v>
      </c>
      <c r="I91" s="141">
        <f>'สูตร 4 step SB'!J978</f>
        <v>64</v>
      </c>
      <c r="J91" s="141">
        <f>'สูตร 4 step SB'!K975</f>
        <v>60</v>
      </c>
      <c r="K91" s="141">
        <f>'สูตร 4 step SB'!K976</f>
        <v>61</v>
      </c>
      <c r="L91" s="141">
        <f>'สูตร 4 step SB'!K977</f>
        <v>62</v>
      </c>
      <c r="M91" s="141">
        <f>'สูตร 4 step SB'!K978</f>
        <v>63</v>
      </c>
      <c r="N91" s="141">
        <f>'สูตร 4 step SB'!L975</f>
        <v>60</v>
      </c>
      <c r="O91" s="141">
        <f>'สูตร 4 step SB'!L976</f>
        <v>61</v>
      </c>
      <c r="P91" s="141">
        <f>'สูตร 4 step SB'!L977</f>
        <v>62</v>
      </c>
      <c r="Q91" s="141">
        <f>'สูตร 4 step SB'!L978</f>
        <v>63</v>
      </c>
      <c r="R91" s="143">
        <f>'สูตร 4 step SB'!M975</f>
        <v>58</v>
      </c>
      <c r="S91" s="141">
        <f>'สูตร 4 step SB'!M976</f>
        <v>59</v>
      </c>
      <c r="T91" s="141">
        <f>'สูตร 4 step SB'!M977</f>
        <v>60</v>
      </c>
      <c r="U91" s="141">
        <f>'สูตร 4 step SB'!M978</f>
        <v>61</v>
      </c>
    </row>
    <row r="92" spans="1:21" s="144" customFormat="1" x14ac:dyDescent="0.25">
      <c r="A92" s="255" t="s">
        <v>140</v>
      </c>
      <c r="B92" s="141">
        <f>'สูตร 4 step SB'!I1003</f>
        <v>59</v>
      </c>
      <c r="C92" s="141">
        <f>'สูตร 4 step SB'!I1001</f>
        <v>55.056363636363635</v>
      </c>
      <c r="D92" s="141">
        <f>'สูตร 4 step SB'!I1003</f>
        <v>59</v>
      </c>
      <c r="E92" s="141">
        <f>'สูตร 4 step SB'!I1004</f>
        <v>60</v>
      </c>
      <c r="F92" s="141">
        <f>'สูตร 4 step SB'!J1003</f>
        <v>61</v>
      </c>
      <c r="G92" s="141">
        <f>'สูตร 4 step SB'!J1001</f>
        <v>57.089545454545451</v>
      </c>
      <c r="H92" s="141">
        <f>'สูตร 4 step SB'!J1003</f>
        <v>61</v>
      </c>
      <c r="I92" s="141">
        <f>'สูตร 4 step SB'!J1004</f>
        <v>62</v>
      </c>
      <c r="J92" s="141">
        <f>'สูตร 4 step SB'!K1003</f>
        <v>60</v>
      </c>
      <c r="K92" s="141">
        <f>'สูตร 4 step SB'!K1001</f>
        <v>56.054545454545455</v>
      </c>
      <c r="L92" s="141">
        <f>'สูตร 4 step SB'!K1003</f>
        <v>60</v>
      </c>
      <c r="M92" s="141">
        <f>'สูตร 4 step SB'!K1004</f>
        <v>61</v>
      </c>
      <c r="N92" s="141">
        <f>'สูตร 4 step SB'!L1003</f>
        <v>60</v>
      </c>
      <c r="O92" s="141">
        <f>'สูตร 4 step SB'!L1001</f>
        <v>56.904545454545456</v>
      </c>
      <c r="P92" s="141">
        <f>'สูตร 4 step SB'!L1003</f>
        <v>60</v>
      </c>
      <c r="Q92" s="141">
        <f>'สูตร 4 step SB'!L1004</f>
        <v>61</v>
      </c>
      <c r="R92" s="143">
        <f>'สูตร 4 step SB'!M1003</f>
        <v>58</v>
      </c>
      <c r="S92" s="141">
        <f>'สูตร 4 step SB'!M1001</f>
        <v>54.021363636363638</v>
      </c>
      <c r="T92" s="141">
        <f>'สูตร 4 step SB'!M1003</f>
        <v>58</v>
      </c>
      <c r="U92" s="141">
        <f>'สูตร 4 step SB'!M1004</f>
        <v>59</v>
      </c>
    </row>
    <row r="93" spans="1:21" s="144" customFormat="1" x14ac:dyDescent="0.25">
      <c r="A93" s="255" t="s">
        <v>162</v>
      </c>
      <c r="B93" s="141">
        <f>'สูตร 4 step SB'!I1031</f>
        <v>77</v>
      </c>
      <c r="C93" s="141">
        <f>'สูตร 4 step SB'!I1032</f>
        <v>78</v>
      </c>
      <c r="D93" s="141">
        <f>'สูตร 4 step SB'!I1033</f>
        <v>79</v>
      </c>
      <c r="E93" s="141">
        <f>'สูตร 4 step SB'!I1034</f>
        <v>80</v>
      </c>
      <c r="F93" s="141">
        <f>'สูตร 4 step SB'!J1031</f>
        <v>80</v>
      </c>
      <c r="G93" s="141">
        <f>'สูตร 4 step SB'!J1032</f>
        <v>81</v>
      </c>
      <c r="H93" s="141">
        <f>'สูตร 4 step SB'!J1033</f>
        <v>82</v>
      </c>
      <c r="I93" s="141">
        <f>'สูตร 4 step SB'!J1034</f>
        <v>83</v>
      </c>
      <c r="J93" s="141">
        <f>'สูตร 4 step SB'!K1031</f>
        <v>79</v>
      </c>
      <c r="K93" s="141">
        <f>'สูตร 4 step SB'!K1032</f>
        <v>80</v>
      </c>
      <c r="L93" s="141">
        <f>'สูตร 4 step SB'!K1033</f>
        <v>81</v>
      </c>
      <c r="M93" s="141">
        <f>'สูตร 4 step SB'!K1034</f>
        <v>82</v>
      </c>
      <c r="N93" s="141">
        <f>'สูตร 4 step SB'!L1031</f>
        <v>80</v>
      </c>
      <c r="O93" s="141">
        <f>'สูตร 4 step SB'!L1032</f>
        <v>81</v>
      </c>
      <c r="P93" s="141">
        <f>'สูตร 4 step SB'!L1033</f>
        <v>82</v>
      </c>
      <c r="Q93" s="141">
        <f>'สูตร 4 step SB'!L1034</f>
        <v>83</v>
      </c>
      <c r="R93" s="143">
        <f>'สูตร 4 step SB'!M1031</f>
        <v>76</v>
      </c>
      <c r="S93" s="141">
        <f>'สูตร 4 step SB'!M1032</f>
        <v>77</v>
      </c>
      <c r="T93" s="141">
        <f>'สูตร 4 step SB'!M1033</f>
        <v>78</v>
      </c>
      <c r="U93" s="141">
        <f>'สูตร 4 step SB'!M1034</f>
        <v>79</v>
      </c>
    </row>
    <row r="94" spans="1:21" s="144" customFormat="1" x14ac:dyDescent="0.25">
      <c r="A94" s="255" t="s">
        <v>163</v>
      </c>
      <c r="B94" s="141">
        <f>'สูตร 4 step SB'!I1059</f>
        <v>186</v>
      </c>
      <c r="C94" s="141">
        <f>'สูตร 4 step SB'!I1060</f>
        <v>189</v>
      </c>
      <c r="D94" s="141">
        <f>'สูตร 4 step SB'!I1061</f>
        <v>191</v>
      </c>
      <c r="E94" s="141">
        <f>'สูตร 4 step SB'!I1062</f>
        <v>193</v>
      </c>
      <c r="F94" s="141">
        <f>'สูตร 4 step SB'!J1059</f>
        <v>189</v>
      </c>
      <c r="G94" s="141">
        <f>'สูตร 4 step SB'!J1060</f>
        <v>192</v>
      </c>
      <c r="H94" s="141">
        <f>'สูตร 4 step SB'!J1061</f>
        <v>194</v>
      </c>
      <c r="I94" s="141">
        <f>'สูตร 4 step SB'!J1062</f>
        <v>196</v>
      </c>
      <c r="J94" s="141">
        <f>'สูตร 4 step SB'!K1059</f>
        <v>188</v>
      </c>
      <c r="K94" s="141">
        <f>'สูตร 4 step SB'!K1060</f>
        <v>191</v>
      </c>
      <c r="L94" s="141">
        <f>'สูตร 4 step SB'!K1061</f>
        <v>193</v>
      </c>
      <c r="M94" s="141">
        <f>'สูตร 4 step SB'!K1062</f>
        <v>195</v>
      </c>
      <c r="N94" s="141">
        <f>'สูตร 4 step SB'!L1059</f>
        <v>189</v>
      </c>
      <c r="O94" s="141">
        <f>'สูตร 4 step SB'!L1060</f>
        <v>192</v>
      </c>
      <c r="P94" s="141">
        <f>'สูตร 4 step SB'!L1061</f>
        <v>194</v>
      </c>
      <c r="Q94" s="141">
        <f>'สูตร 4 step SB'!L1062</f>
        <v>196</v>
      </c>
      <c r="R94" s="143">
        <f>'สูตร 4 step SB'!M1059</f>
        <v>185</v>
      </c>
      <c r="S94" s="141">
        <f>'สูตร 4 step SB'!M1060</f>
        <v>188</v>
      </c>
      <c r="T94" s="141">
        <f>'สูตร 4 step SB'!M1061</f>
        <v>190</v>
      </c>
      <c r="U94" s="141">
        <f>'สูตร 4 step SB'!M1062</f>
        <v>192</v>
      </c>
    </row>
    <row r="95" spans="1:21" s="144" customFormat="1" x14ac:dyDescent="0.25">
      <c r="A95" s="255" t="s">
        <v>164</v>
      </c>
      <c r="B95" s="141">
        <f>'สูตร 4 step SB'!I1087</f>
        <v>280</v>
      </c>
      <c r="C95" s="141">
        <f>'สูตร 4 step SB'!I1088</f>
        <v>284</v>
      </c>
      <c r="D95" s="141">
        <f>'สูตร 4 step SB'!I1089</f>
        <v>287</v>
      </c>
      <c r="E95" s="141">
        <f>'สูตร 4 step SB'!I1090</f>
        <v>290</v>
      </c>
      <c r="F95" s="141">
        <f>'สูตร 4 step SB'!J1087</f>
        <v>285</v>
      </c>
      <c r="G95" s="141">
        <f>'สูตร 4 step SB'!J1088</f>
        <v>289</v>
      </c>
      <c r="H95" s="141">
        <f>'สูตร 4 step SB'!J1089</f>
        <v>292</v>
      </c>
      <c r="I95" s="141">
        <f>'สูตร 4 step SB'!J1090</f>
        <v>295</v>
      </c>
      <c r="J95" s="141">
        <f>'สูตร 4 step SB'!K1087</f>
        <v>282</v>
      </c>
      <c r="K95" s="141">
        <f>'สูตร 4 step SB'!K1088</f>
        <v>286</v>
      </c>
      <c r="L95" s="141">
        <f>'สูตร 4 step SB'!K1089</f>
        <v>289</v>
      </c>
      <c r="M95" s="141">
        <f>'สูตร 4 step SB'!K1090</f>
        <v>292</v>
      </c>
      <c r="N95" s="141">
        <f>'สูตร 4 step SB'!L1087</f>
        <v>284</v>
      </c>
      <c r="O95" s="141">
        <f>'สูตร 4 step SB'!L1088</f>
        <v>288</v>
      </c>
      <c r="P95" s="141">
        <f>'สูตร 4 step SB'!L1089</f>
        <v>291</v>
      </c>
      <c r="Q95" s="141">
        <f>'สูตร 4 step SB'!L1090</f>
        <v>294</v>
      </c>
      <c r="R95" s="143">
        <f>'สูตร 4 step SB'!M1087</f>
        <v>277</v>
      </c>
      <c r="S95" s="141">
        <f>'สูตร 4 step SB'!M1088</f>
        <v>281</v>
      </c>
      <c r="T95" s="141">
        <f>'สูตร 4 step SB'!M1089</f>
        <v>284</v>
      </c>
      <c r="U95" s="141">
        <f>'สูตร 4 step SB'!M1090</f>
        <v>287</v>
      </c>
    </row>
    <row r="96" spans="1:21" s="144" customFormat="1" x14ac:dyDescent="0.25">
      <c r="A96" s="255" t="s">
        <v>165</v>
      </c>
      <c r="B96" s="141">
        <f>'สูตร 4 step SB'!I1115</f>
        <v>371</v>
      </c>
      <c r="C96" s="141">
        <f>'สูตร 4 step SB'!I1116</f>
        <v>376</v>
      </c>
      <c r="D96" s="141">
        <f>'สูตร 4 step SB'!I1117</f>
        <v>381</v>
      </c>
      <c r="E96" s="141">
        <f>'สูตร 4 step SB'!I1118</f>
        <v>386</v>
      </c>
      <c r="F96" s="141">
        <f>'สูตร 4 step SB'!J1115</f>
        <v>377</v>
      </c>
      <c r="G96" s="141">
        <f>'สูตร 4 step SB'!J1116</f>
        <v>382</v>
      </c>
      <c r="H96" s="141">
        <f>'สูตร 4 step SB'!J1117</f>
        <v>387</v>
      </c>
      <c r="I96" s="141">
        <f>'สูตร 4 step SB'!J1118</f>
        <v>392</v>
      </c>
      <c r="J96" s="141">
        <f>'สูตร 4 step SB'!K1115</f>
        <v>374</v>
      </c>
      <c r="K96" s="141">
        <f>'สูตร 4 step SB'!K1116</f>
        <v>379</v>
      </c>
      <c r="L96" s="141">
        <f>'สูตร 4 step SB'!K1117</f>
        <v>384</v>
      </c>
      <c r="M96" s="141">
        <f>'สูตร 4 step SB'!K1118</f>
        <v>389</v>
      </c>
      <c r="N96" s="141">
        <f>'สูตร 4 step SB'!L1115</f>
        <v>377</v>
      </c>
      <c r="O96" s="141">
        <f>'สูตร 4 step SB'!L1116</f>
        <v>382</v>
      </c>
      <c r="P96" s="141">
        <f>'สูตร 4 step SB'!L1117</f>
        <v>387</v>
      </c>
      <c r="Q96" s="141">
        <f>'สูตร 4 step SB'!L1118</f>
        <v>392</v>
      </c>
      <c r="R96" s="143">
        <f>'สูตร 4 step SB'!M1115</f>
        <v>368</v>
      </c>
      <c r="S96" s="141">
        <f>'สูตร 4 step SB'!M1116</f>
        <v>373</v>
      </c>
      <c r="T96" s="141">
        <f>'สูตร 4 step SB'!M1117</f>
        <v>378</v>
      </c>
      <c r="U96" s="141">
        <f>'สูตร 4 step SB'!M1118</f>
        <v>383</v>
      </c>
    </row>
    <row r="97" spans="1:21" s="144" customFormat="1" x14ac:dyDescent="0.25">
      <c r="A97" s="255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3"/>
      <c r="S97" s="141"/>
      <c r="T97" s="141"/>
      <c r="U97" s="141"/>
    </row>
    <row r="98" spans="1:21" s="144" customFormat="1" x14ac:dyDescent="0.25">
      <c r="A98" s="255" t="s">
        <v>148</v>
      </c>
      <c r="B98" s="141">
        <f>'สูตร 4 step SB'!I807</f>
        <v>344</v>
      </c>
      <c r="C98" s="141">
        <f>'สูตร 4 step SB'!I808</f>
        <v>349</v>
      </c>
      <c r="D98" s="141">
        <f>'สูตร 4 step SB'!I809</f>
        <v>354</v>
      </c>
      <c r="E98" s="141">
        <f>'สูตร 4 step SB'!I810</f>
        <v>359</v>
      </c>
      <c r="F98" s="141">
        <f>'สูตร 4 step SB'!J807</f>
        <v>350</v>
      </c>
      <c r="G98" s="141">
        <f>'สูตร 4 step SB'!J808</f>
        <v>355</v>
      </c>
      <c r="H98" s="141">
        <f>'สูตร 4 step SB'!J809</f>
        <v>360</v>
      </c>
      <c r="I98" s="141">
        <f>'สูตร 4 step SB'!J810</f>
        <v>365</v>
      </c>
      <c r="J98" s="141">
        <f>'สูตร 4 step SB'!K807</f>
        <v>347</v>
      </c>
      <c r="K98" s="141">
        <f>'สูตร 4 step SB'!K808</f>
        <v>352</v>
      </c>
      <c r="L98" s="141">
        <f>'สูตร 4 step SB'!K809</f>
        <v>357</v>
      </c>
      <c r="M98" s="141">
        <f>'สูตร 4 step SB'!K810</f>
        <v>362</v>
      </c>
      <c r="N98" s="141">
        <f>'สูตร 4 step SB'!L807</f>
        <v>348</v>
      </c>
      <c r="O98" s="141">
        <f>'สูตร 4 step SB'!L808</f>
        <v>353</v>
      </c>
      <c r="P98" s="141">
        <f>'สูตร 4 step SB'!L809</f>
        <v>358</v>
      </c>
      <c r="Q98" s="141">
        <f>'สูตร 4 step SB'!L810</f>
        <v>363</v>
      </c>
      <c r="R98" s="143">
        <f>'สูตร 4 step SB'!M807</f>
        <v>339</v>
      </c>
      <c r="S98" s="141">
        <f>'สูตร 4 step SB'!M808</f>
        <v>344</v>
      </c>
      <c r="T98" s="141">
        <f>'สูตร 4 step SB'!M809</f>
        <v>349</v>
      </c>
      <c r="U98" s="141">
        <f>'สูตร 4 step SB'!M810</f>
        <v>354</v>
      </c>
    </row>
    <row r="99" spans="1:21" s="144" customFormat="1" x14ac:dyDescent="0.25">
      <c r="A99" s="255" t="s">
        <v>149</v>
      </c>
      <c r="B99" s="141">
        <f>'สูตร 4 step SB'!I835</f>
        <v>417</v>
      </c>
      <c r="C99" s="141">
        <f>'สูตร 4 step SB'!I836</f>
        <v>422</v>
      </c>
      <c r="D99" s="141">
        <f>'สูตร 4 step SB'!I837</f>
        <v>427</v>
      </c>
      <c r="E99" s="141">
        <f>'สูตร 4 step SB'!I838</f>
        <v>432</v>
      </c>
      <c r="F99" s="141">
        <f>'สูตร 4 step SB'!J835</f>
        <v>424</v>
      </c>
      <c r="G99" s="141">
        <f>'สูตร 4 step SB'!J836</f>
        <v>429</v>
      </c>
      <c r="H99" s="141">
        <f>'สูตร 4 step SB'!J837</f>
        <v>434</v>
      </c>
      <c r="I99" s="141">
        <f>'สูตร 4 step SB'!J838</f>
        <v>439</v>
      </c>
      <c r="J99" s="141">
        <f>'สูตร 4 step SB'!K835</f>
        <v>421</v>
      </c>
      <c r="K99" s="141">
        <f>'สูตร 4 step SB'!K836</f>
        <v>426</v>
      </c>
      <c r="L99" s="141">
        <f>'สูตร 4 step SB'!K837</f>
        <v>431</v>
      </c>
      <c r="M99" s="141">
        <f>'สูตร 4 step SB'!K838</f>
        <v>436</v>
      </c>
      <c r="N99" s="141">
        <f>'สูตร 4 step SB'!L835</f>
        <v>422</v>
      </c>
      <c r="O99" s="141">
        <f>'สูตร 4 step SB'!L836</f>
        <v>427</v>
      </c>
      <c r="P99" s="141">
        <f>'สูตร 4 step SB'!L837</f>
        <v>432</v>
      </c>
      <c r="Q99" s="141">
        <f>'สูตร 4 step SB'!L838</f>
        <v>437</v>
      </c>
      <c r="R99" s="143">
        <f>'สูตร 4 step SB'!M835</f>
        <v>411</v>
      </c>
      <c r="S99" s="141">
        <f>'สูตร 4 step SB'!M836</f>
        <v>416</v>
      </c>
      <c r="T99" s="141">
        <f>'สูตร 4 step SB'!M837</f>
        <v>421</v>
      </c>
      <c r="U99" s="141">
        <f>'สูตร 4 step SB'!M838</f>
        <v>426</v>
      </c>
    </row>
    <row r="100" spans="1:21" s="144" customFormat="1" x14ac:dyDescent="0.25">
      <c r="A100" s="255" t="s">
        <v>150</v>
      </c>
      <c r="B100" s="141">
        <f>'สูตร 4 step SB'!I863</f>
        <v>481</v>
      </c>
      <c r="C100" s="141">
        <f>'สูตร 4 step SB'!I864</f>
        <v>486</v>
      </c>
      <c r="D100" s="141">
        <f>'สูตร 4 step SB'!I865</f>
        <v>491</v>
      </c>
      <c r="E100" s="141">
        <f>'สูตร 4 step SB'!I866</f>
        <v>496</v>
      </c>
      <c r="F100" s="141">
        <f>'สูตร 4 step SB'!J863</f>
        <v>489</v>
      </c>
      <c r="G100" s="141">
        <f>'สูตร 4 step SB'!J864</f>
        <v>494</v>
      </c>
      <c r="H100" s="141">
        <f>'สูตร 4 step SB'!J865</f>
        <v>499</v>
      </c>
      <c r="I100" s="141">
        <f>'สูตร 4 step SB'!J866</f>
        <v>504</v>
      </c>
      <c r="J100" s="141">
        <f>'สูตร 4 step SB'!K863</f>
        <v>485</v>
      </c>
      <c r="K100" s="141">
        <f>'สูตร 4 step SB'!K864</f>
        <v>490</v>
      </c>
      <c r="L100" s="141">
        <f>'สูตร 4 step SB'!K865</f>
        <v>495</v>
      </c>
      <c r="M100" s="141">
        <f>'สูตร 4 step SB'!K866</f>
        <v>500</v>
      </c>
      <c r="N100" s="141">
        <f>'สูตร 4 step SB'!L863</f>
        <v>487</v>
      </c>
      <c r="O100" s="141">
        <f>'สูตร 4 step SB'!L864</f>
        <v>492</v>
      </c>
      <c r="P100" s="141">
        <f>'สูตร 4 step SB'!L865</f>
        <v>497</v>
      </c>
      <c r="Q100" s="141">
        <f>'สูตร 4 step SB'!L866</f>
        <v>502</v>
      </c>
      <c r="R100" s="143">
        <f>'สูตร 4 step SB'!M863</f>
        <v>474</v>
      </c>
      <c r="S100" s="141">
        <f>'สูตร 4 step SB'!M864</f>
        <v>479</v>
      </c>
      <c r="T100" s="141">
        <f>'สูตร 4 step SB'!M865</f>
        <v>484</v>
      </c>
      <c r="U100" s="141">
        <f>'สูตร 4 step SB'!M866</f>
        <v>489</v>
      </c>
    </row>
    <row r="101" spans="1:21" s="144" customFormat="1" x14ac:dyDescent="0.25">
      <c r="A101" s="255" t="s">
        <v>151</v>
      </c>
      <c r="B101" s="141">
        <f>'สูตร 4 step SB'!I891</f>
        <v>577</v>
      </c>
      <c r="C101" s="141">
        <f>'สูตร 4 step SB'!I892</f>
        <v>582</v>
      </c>
      <c r="D101" s="141">
        <f>'สูตร 4 step SB'!I893</f>
        <v>587</v>
      </c>
      <c r="E101" s="141">
        <f>'สูตร 4 step SB'!I894</f>
        <v>592</v>
      </c>
      <c r="F101" s="141">
        <f>'สูตร 4 step SB'!J891</f>
        <v>588</v>
      </c>
      <c r="G101" s="141">
        <f>'สูตร 4 step SB'!J892</f>
        <v>593</v>
      </c>
      <c r="H101" s="141">
        <f>'สูตร 4 step SB'!J893</f>
        <v>598</v>
      </c>
      <c r="I101" s="141">
        <f>'สูตร 4 step SB'!J894</f>
        <v>603</v>
      </c>
      <c r="J101" s="141">
        <f>'สูตร 4 step SB'!K891</f>
        <v>582</v>
      </c>
      <c r="K101" s="141">
        <f>'สูตร 4 step SB'!K892</f>
        <v>587</v>
      </c>
      <c r="L101" s="141">
        <f>'สูตร 4 step SB'!K893</f>
        <v>592</v>
      </c>
      <c r="M101" s="141">
        <f>'สูตร 4 step SB'!K894</f>
        <v>597</v>
      </c>
      <c r="N101" s="141">
        <f>'สูตร 4 step SB'!L891</f>
        <v>585</v>
      </c>
      <c r="O101" s="141">
        <f>'สูตร 4 step SB'!L892</f>
        <v>590</v>
      </c>
      <c r="P101" s="141">
        <f>'สูตร 4 step SB'!L893</f>
        <v>595</v>
      </c>
      <c r="Q101" s="141">
        <f>'สูตร 4 step SB'!L894</f>
        <v>600</v>
      </c>
      <c r="R101" s="143">
        <f>'สูตร 4 step SB'!M891</f>
        <v>567</v>
      </c>
      <c r="S101" s="141">
        <f>'สูตร 4 step SB'!M892</f>
        <v>572</v>
      </c>
      <c r="T101" s="141">
        <f>'สูตร 4 step SB'!M893</f>
        <v>577</v>
      </c>
      <c r="U101" s="141">
        <f>'สูตร 4 step SB'!M894</f>
        <v>582</v>
      </c>
    </row>
    <row r="102" spans="1:21" s="144" customFormat="1" x14ac:dyDescent="0.25">
      <c r="A102" s="255" t="s">
        <v>152</v>
      </c>
      <c r="B102" s="141">
        <f>'สูตร 4 step SB'!I919</f>
        <v>696</v>
      </c>
      <c r="C102" s="141">
        <f>'สูตร 4 step SB'!I920</f>
        <v>701</v>
      </c>
      <c r="D102" s="141">
        <f>'สูตร 4 step SB'!I921</f>
        <v>706</v>
      </c>
      <c r="E102" s="141">
        <f>'สูตร 4 step SB'!I922</f>
        <v>711</v>
      </c>
      <c r="F102" s="141">
        <f>'สูตร 4 step SB'!J919</f>
        <v>710</v>
      </c>
      <c r="G102" s="141">
        <f>'สูตร 4 step SB'!J920</f>
        <v>715</v>
      </c>
      <c r="H102" s="141">
        <f>'สูตร 4 step SB'!J921</f>
        <v>720</v>
      </c>
      <c r="I102" s="141">
        <f>'สูตร 4 step SB'!J922</f>
        <v>725</v>
      </c>
      <c r="J102" s="141">
        <f>'สูตร 4 step SB'!K919</f>
        <v>703</v>
      </c>
      <c r="K102" s="141">
        <f>'สูตร 4 step SB'!K920</f>
        <v>708</v>
      </c>
      <c r="L102" s="141">
        <f>'สูตร 4 step SB'!K921</f>
        <v>713</v>
      </c>
      <c r="M102" s="141">
        <f>'สูตร 4 step SB'!K922</f>
        <v>718</v>
      </c>
      <c r="N102" s="141">
        <f>'สูตร 4 step SB'!L919</f>
        <v>706</v>
      </c>
      <c r="O102" s="141">
        <f>'สูตร 4 step SB'!L920</f>
        <v>711</v>
      </c>
      <c r="P102" s="141">
        <f>'สูตร 4 step SB'!L921</f>
        <v>716</v>
      </c>
      <c r="Q102" s="141">
        <f>'สูตร 4 step SB'!L922</f>
        <v>721</v>
      </c>
      <c r="R102" s="143">
        <f>'สูตร 4 step SB'!M919</f>
        <v>684</v>
      </c>
      <c r="S102" s="141">
        <f>'สูตร 4 step SB'!M920</f>
        <v>689</v>
      </c>
      <c r="T102" s="141">
        <f>'สูตร 4 step SB'!M921</f>
        <v>694</v>
      </c>
      <c r="U102" s="141">
        <f>'สูตร 4 step SB'!M922</f>
        <v>699</v>
      </c>
    </row>
    <row r="103" spans="1:21" s="144" customFormat="1" x14ac:dyDescent="0.25">
      <c r="A103" s="255" t="s">
        <v>153</v>
      </c>
      <c r="B103" s="141">
        <f>'สูตร 4 step SB'!I947</f>
        <v>817</v>
      </c>
      <c r="C103" s="141">
        <f>'สูตร 4 step SB'!I948</f>
        <v>822</v>
      </c>
      <c r="D103" s="141">
        <f>'สูตร 4 step SB'!I949</f>
        <v>827</v>
      </c>
      <c r="E103" s="141">
        <f>'สูตร 4 step SB'!I950</f>
        <v>832</v>
      </c>
      <c r="F103" s="141">
        <f>'สูตร 4 step SB'!J947</f>
        <v>834</v>
      </c>
      <c r="G103" s="141">
        <f>'สูตร 4 step SB'!J948</f>
        <v>839</v>
      </c>
      <c r="H103" s="141">
        <f>'สูตร 4 step SB'!J949</f>
        <v>844</v>
      </c>
      <c r="I103" s="141">
        <f>'สูตร 4 step SB'!J950</f>
        <v>849</v>
      </c>
      <c r="J103" s="141">
        <f>'สูตร 4 step SB'!K947</f>
        <v>826</v>
      </c>
      <c r="K103" s="141">
        <f>'สูตร 4 step SB'!K948</f>
        <v>831</v>
      </c>
      <c r="L103" s="141">
        <f>'สูตร 4 step SB'!K949</f>
        <v>836</v>
      </c>
      <c r="M103" s="141">
        <f>'สูตร 4 step SB'!K950</f>
        <v>841</v>
      </c>
      <c r="N103" s="141">
        <f>'สูตร 4 step SB'!L947</f>
        <v>829</v>
      </c>
      <c r="O103" s="141">
        <f>'สูตร 4 step SB'!L948</f>
        <v>834</v>
      </c>
      <c r="P103" s="141">
        <f>'สูตร 4 step SB'!L949</f>
        <v>839</v>
      </c>
      <c r="Q103" s="141">
        <f>'สูตร 4 step SB'!L950</f>
        <v>844</v>
      </c>
      <c r="R103" s="143">
        <f>'สูตร 4 step SB'!M947</f>
        <v>803</v>
      </c>
      <c r="S103" s="141">
        <f>'สูตร 4 step SB'!M948</f>
        <v>808</v>
      </c>
      <c r="T103" s="141">
        <f>'สูตร 4 step SB'!M949</f>
        <v>813</v>
      </c>
      <c r="U103" s="141">
        <f>'สูตร 4 step SB'!M950</f>
        <v>818</v>
      </c>
    </row>
    <row r="104" spans="1:21" s="144" customFormat="1" x14ac:dyDescent="0.25">
      <c r="A104" s="255"/>
      <c r="B104" s="141"/>
      <c r="C104" s="141"/>
      <c r="D104" s="141"/>
      <c r="E104" s="146"/>
      <c r="F104" s="141"/>
      <c r="G104" s="141"/>
      <c r="H104" s="141"/>
      <c r="I104" s="146"/>
      <c r="J104" s="141"/>
      <c r="K104" s="141"/>
      <c r="L104" s="141"/>
      <c r="M104" s="146"/>
      <c r="N104" s="141"/>
      <c r="O104" s="141"/>
      <c r="P104" s="141"/>
      <c r="Q104" s="146"/>
      <c r="R104" s="143"/>
      <c r="S104" s="141"/>
      <c r="T104" s="141"/>
      <c r="U104" s="141"/>
    </row>
    <row r="105" spans="1:21" s="144" customFormat="1" x14ac:dyDescent="0.25">
      <c r="A105" s="255"/>
      <c r="B105" s="141"/>
      <c r="C105" s="141"/>
      <c r="D105" s="141"/>
      <c r="E105" s="146"/>
      <c r="F105" s="141"/>
      <c r="G105" s="141"/>
      <c r="H105" s="141"/>
      <c r="I105" s="146"/>
      <c r="J105" s="141"/>
      <c r="K105" s="141"/>
      <c r="L105" s="141"/>
      <c r="M105" s="146"/>
      <c r="N105" s="141"/>
      <c r="O105" s="141"/>
      <c r="P105" s="141"/>
      <c r="Q105" s="146"/>
      <c r="R105" s="143"/>
      <c r="S105" s="141"/>
      <c r="T105" s="141"/>
      <c r="U105" s="141"/>
    </row>
    <row r="106" spans="1:21" s="144" customFormat="1" x14ac:dyDescent="0.25">
      <c r="A106" s="255"/>
      <c r="B106" s="141"/>
      <c r="C106" s="141"/>
      <c r="D106" s="141"/>
      <c r="E106" s="146"/>
      <c r="F106" s="141"/>
      <c r="G106" s="141"/>
      <c r="H106" s="141"/>
      <c r="I106" s="146"/>
      <c r="J106" s="141"/>
      <c r="K106" s="141"/>
      <c r="L106" s="141"/>
      <c r="M106" s="146"/>
      <c r="N106" s="141"/>
      <c r="O106" s="141"/>
      <c r="P106" s="141"/>
      <c r="Q106" s="146"/>
      <c r="R106" s="143"/>
      <c r="S106" s="141"/>
      <c r="T106" s="141"/>
      <c r="U106" s="141"/>
    </row>
    <row r="107" spans="1:21" s="144" customFormat="1" x14ac:dyDescent="0.25">
      <c r="A107" s="255"/>
      <c r="B107" s="141"/>
      <c r="C107" s="141"/>
      <c r="D107" s="141"/>
      <c r="E107" s="146"/>
      <c r="F107" s="141"/>
      <c r="G107" s="141"/>
      <c r="H107" s="141"/>
      <c r="I107" s="146"/>
      <c r="J107" s="141"/>
      <c r="K107" s="141"/>
      <c r="L107" s="141"/>
      <c r="M107" s="146"/>
      <c r="N107" s="141"/>
      <c r="O107" s="141"/>
      <c r="P107" s="141"/>
      <c r="Q107" s="146"/>
      <c r="R107" s="143"/>
      <c r="S107" s="141"/>
      <c r="T107" s="141"/>
      <c r="U107" s="141"/>
    </row>
    <row r="108" spans="1:21" s="144" customFormat="1" x14ac:dyDescent="0.25">
      <c r="A108" s="255"/>
      <c r="B108" s="141"/>
      <c r="C108" s="141"/>
      <c r="D108" s="141"/>
      <c r="E108" s="146"/>
      <c r="F108" s="141"/>
      <c r="G108" s="141"/>
      <c r="H108" s="141"/>
      <c r="I108" s="146"/>
      <c r="J108" s="141"/>
      <c r="K108" s="141"/>
      <c r="L108" s="141"/>
      <c r="M108" s="146"/>
      <c r="N108" s="141"/>
      <c r="O108" s="141"/>
      <c r="P108" s="141"/>
      <c r="Q108" s="146"/>
      <c r="R108" s="143"/>
      <c r="S108" s="141"/>
      <c r="T108" s="141"/>
      <c r="U108" s="141"/>
    </row>
    <row r="109" spans="1:21" s="144" customFormat="1" x14ac:dyDescent="0.25">
      <c r="A109" s="255"/>
      <c r="B109" s="141"/>
      <c r="C109" s="141"/>
      <c r="D109" s="141"/>
      <c r="E109" s="146"/>
      <c r="F109" s="141"/>
      <c r="G109" s="141"/>
      <c r="H109" s="141"/>
      <c r="I109" s="146"/>
      <c r="J109" s="141"/>
      <c r="K109" s="141"/>
      <c r="L109" s="141"/>
      <c r="M109" s="146"/>
      <c r="N109" s="141"/>
      <c r="O109" s="141"/>
      <c r="P109" s="141"/>
      <c r="Q109" s="146"/>
      <c r="R109" s="143"/>
      <c r="S109" s="141"/>
      <c r="T109" s="141"/>
      <c r="U109" s="141"/>
    </row>
    <row r="110" spans="1:21" s="144" customFormat="1" x14ac:dyDescent="0.25">
      <c r="A110" s="255"/>
      <c r="B110" s="141"/>
      <c r="C110" s="141"/>
      <c r="D110" s="141"/>
      <c r="E110" s="146"/>
      <c r="F110" s="141"/>
      <c r="G110" s="141"/>
      <c r="H110" s="141"/>
      <c r="I110" s="146"/>
      <c r="J110" s="141"/>
      <c r="K110" s="141"/>
      <c r="L110" s="141"/>
      <c r="M110" s="146"/>
      <c r="N110" s="141"/>
      <c r="O110" s="141"/>
      <c r="P110" s="141"/>
      <c r="Q110" s="146"/>
      <c r="R110" s="143"/>
      <c r="S110" s="141"/>
      <c r="T110" s="141"/>
      <c r="U110" s="141"/>
    </row>
    <row r="111" spans="1:21" s="144" customFormat="1" x14ac:dyDescent="0.25">
      <c r="A111" s="255"/>
      <c r="B111" s="141"/>
      <c r="C111" s="141"/>
      <c r="D111" s="141"/>
      <c r="E111" s="146"/>
      <c r="F111" s="141"/>
      <c r="G111" s="141"/>
      <c r="H111" s="141"/>
      <c r="I111" s="146"/>
      <c r="J111" s="141"/>
      <c r="K111" s="141"/>
      <c r="L111" s="141"/>
      <c r="M111" s="146"/>
      <c r="N111" s="141"/>
      <c r="O111" s="141"/>
      <c r="P111" s="141"/>
      <c r="Q111" s="146"/>
      <c r="R111" s="143"/>
      <c r="S111" s="141"/>
      <c r="T111" s="141"/>
      <c r="U111" s="141"/>
    </row>
    <row r="112" spans="1:21" s="144" customFormat="1" x14ac:dyDescent="0.25">
      <c r="A112" s="255"/>
      <c r="B112" s="141"/>
      <c r="C112" s="141"/>
      <c r="D112" s="141"/>
      <c r="E112" s="146"/>
      <c r="F112" s="141"/>
      <c r="G112" s="141"/>
      <c r="H112" s="141"/>
      <c r="I112" s="146"/>
      <c r="J112" s="141"/>
      <c r="K112" s="141"/>
      <c r="L112" s="141"/>
      <c r="M112" s="146"/>
      <c r="N112" s="141"/>
      <c r="O112" s="141"/>
      <c r="P112" s="141"/>
      <c r="Q112" s="146"/>
      <c r="R112" s="143"/>
      <c r="S112" s="141"/>
      <c r="T112" s="141"/>
      <c r="U112" s="141"/>
    </row>
    <row r="113" spans="1:21" s="144" customFormat="1" ht="20" thickBot="1" x14ac:dyDescent="0.3">
      <c r="A113" s="256"/>
      <c r="B113" s="149"/>
      <c r="C113" s="149"/>
      <c r="D113" s="149"/>
      <c r="E113" s="221"/>
      <c r="F113" s="149"/>
      <c r="G113" s="149"/>
      <c r="H113" s="149"/>
      <c r="I113" s="221"/>
      <c r="J113" s="149"/>
      <c r="K113" s="149"/>
      <c r="L113" s="149"/>
      <c r="M113" s="221"/>
      <c r="N113" s="149"/>
      <c r="O113" s="149"/>
      <c r="P113" s="149"/>
      <c r="Q113" s="221"/>
      <c r="R113" s="174"/>
      <c r="S113" s="149"/>
      <c r="T113" s="149"/>
      <c r="U113" s="149"/>
    </row>
    <row r="114" spans="1:21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</row>
    <row r="115" spans="1:21" ht="27" thickBot="1" x14ac:dyDescent="0.35">
      <c r="A115" s="257" t="s">
        <v>119</v>
      </c>
      <c r="B115" s="13"/>
      <c r="C115" s="80"/>
      <c r="D115" s="13"/>
      <c r="H115" s="9"/>
      <c r="K115" s="14"/>
      <c r="O115" s="14"/>
      <c r="S115" s="14"/>
    </row>
    <row r="116" spans="1:21" ht="24.75" customHeight="1" thickTop="1" x14ac:dyDescent="0.25">
      <c r="A116" s="278" t="s">
        <v>69</v>
      </c>
      <c r="B116" s="127"/>
      <c r="C116" s="126"/>
      <c r="D116" s="126" t="s">
        <v>10</v>
      </c>
      <c r="E116" s="126"/>
      <c r="F116" s="127"/>
      <c r="G116" s="126"/>
      <c r="H116" s="126" t="s">
        <v>11</v>
      </c>
      <c r="I116" s="126"/>
      <c r="J116" s="127"/>
      <c r="K116" s="126"/>
      <c r="L116" s="126" t="s">
        <v>12</v>
      </c>
      <c r="M116" s="126"/>
      <c r="N116" s="127"/>
      <c r="O116" s="126"/>
      <c r="P116" s="126" t="s">
        <v>13</v>
      </c>
      <c r="Q116" s="126"/>
      <c r="R116" s="127"/>
      <c r="S116" s="126"/>
      <c r="T116" s="126" t="s">
        <v>14</v>
      </c>
      <c r="U116" s="126"/>
    </row>
    <row r="117" spans="1:21" x14ac:dyDescent="0.25">
      <c r="A117" s="432" t="s">
        <v>120</v>
      </c>
      <c r="B117" s="129"/>
      <c r="C117" s="121" t="s">
        <v>79</v>
      </c>
      <c r="D117" s="121" t="s">
        <v>80</v>
      </c>
      <c r="E117" s="121" t="s">
        <v>81</v>
      </c>
      <c r="F117" s="129"/>
      <c r="G117" s="121" t="s">
        <v>79</v>
      </c>
      <c r="H117" s="121" t="s">
        <v>80</v>
      </c>
      <c r="I117" s="121" t="s">
        <v>81</v>
      </c>
      <c r="J117" s="129"/>
      <c r="K117" s="121" t="s">
        <v>79</v>
      </c>
      <c r="L117" s="121" t="s">
        <v>80</v>
      </c>
      <c r="M117" s="121" t="s">
        <v>81</v>
      </c>
      <c r="N117" s="129"/>
      <c r="O117" s="121" t="s">
        <v>79</v>
      </c>
      <c r="P117" s="121" t="s">
        <v>80</v>
      </c>
      <c r="Q117" s="121" t="s">
        <v>81</v>
      </c>
      <c r="R117" s="129"/>
      <c r="S117" s="121" t="s">
        <v>79</v>
      </c>
      <c r="T117" s="121" t="s">
        <v>80</v>
      </c>
      <c r="U117" s="121" t="s">
        <v>81</v>
      </c>
    </row>
    <row r="118" spans="1:21" ht="20" thickBot="1" x14ac:dyDescent="0.3">
      <c r="A118" s="433"/>
      <c r="B118" s="131" t="s">
        <v>142</v>
      </c>
      <c r="C118" s="125" t="s">
        <v>143</v>
      </c>
      <c r="D118" s="124" t="s">
        <v>144</v>
      </c>
      <c r="E118" s="124" t="s">
        <v>145</v>
      </c>
      <c r="F118" s="131" t="s">
        <v>142</v>
      </c>
      <c r="G118" s="125" t="s">
        <v>143</v>
      </c>
      <c r="H118" s="124" t="s">
        <v>144</v>
      </c>
      <c r="I118" s="124" t="s">
        <v>145</v>
      </c>
      <c r="J118" s="131" t="s">
        <v>142</v>
      </c>
      <c r="K118" s="125" t="s">
        <v>143</v>
      </c>
      <c r="L118" s="124" t="s">
        <v>144</v>
      </c>
      <c r="M118" s="124" t="s">
        <v>145</v>
      </c>
      <c r="N118" s="131" t="s">
        <v>142</v>
      </c>
      <c r="O118" s="125" t="s">
        <v>143</v>
      </c>
      <c r="P118" s="124" t="s">
        <v>144</v>
      </c>
      <c r="Q118" s="124" t="s">
        <v>145</v>
      </c>
      <c r="R118" s="131" t="s">
        <v>142</v>
      </c>
      <c r="S118" s="125" t="s">
        <v>143</v>
      </c>
      <c r="T118" s="124" t="s">
        <v>144</v>
      </c>
      <c r="U118" s="124" t="s">
        <v>145</v>
      </c>
    </row>
    <row r="119" spans="1:21" s="144" customFormat="1" ht="20" thickTop="1" x14ac:dyDescent="0.25">
      <c r="A119" s="269" t="s">
        <v>121</v>
      </c>
      <c r="B119" s="197">
        <f>Rockwool!I14</f>
        <v>330.9495</v>
      </c>
      <c r="C119" s="200">
        <f>Rockwool!I15</f>
        <v>346.709</v>
      </c>
      <c r="D119" s="200">
        <f>Rockwool!I16</f>
        <v>356.16469999999998</v>
      </c>
      <c r="E119" s="200">
        <f>Rockwool!I17</f>
        <v>362.46849999999995</v>
      </c>
      <c r="F119" s="201"/>
      <c r="G119" s="198"/>
      <c r="H119" s="198"/>
      <c r="I119" s="200"/>
      <c r="J119" s="201"/>
      <c r="K119" s="198"/>
      <c r="L119" s="198"/>
      <c r="M119" s="200"/>
      <c r="N119" s="201"/>
      <c r="O119" s="198"/>
      <c r="P119" s="198"/>
      <c r="Q119" s="200"/>
      <c r="R119" s="201"/>
      <c r="S119" s="198"/>
      <c r="T119" s="198"/>
      <c r="U119" s="200"/>
    </row>
    <row r="120" spans="1:21" s="144" customFormat="1" x14ac:dyDescent="0.25">
      <c r="A120" s="250" t="s">
        <v>146</v>
      </c>
      <c r="B120" s="148">
        <f>Rockwool!I42</f>
        <v>86.64894000000001</v>
      </c>
      <c r="C120" s="145">
        <f>Rockwool!I43</f>
        <v>88.299396000000016</v>
      </c>
      <c r="D120" s="145">
        <f>Rockwool!I44</f>
        <v>90.775080000000017</v>
      </c>
      <c r="E120" s="145">
        <f>Rockwool!I45</f>
        <v>94.901219999999995</v>
      </c>
      <c r="F120" s="147"/>
      <c r="G120" s="141"/>
      <c r="H120" s="141"/>
      <c r="I120" s="145"/>
      <c r="J120" s="147"/>
      <c r="K120" s="141"/>
      <c r="L120" s="141"/>
      <c r="M120" s="145"/>
      <c r="N120" s="147"/>
      <c r="O120" s="141"/>
      <c r="P120" s="141"/>
      <c r="Q120" s="145"/>
      <c r="R120" s="147"/>
      <c r="S120" s="141"/>
      <c r="T120" s="141"/>
      <c r="U120" s="145"/>
    </row>
    <row r="121" spans="1:21" s="144" customFormat="1" x14ac:dyDescent="0.25">
      <c r="A121" s="250" t="s">
        <v>231</v>
      </c>
      <c r="B121" s="148"/>
      <c r="C121" s="145"/>
      <c r="D121" s="145"/>
      <c r="E121" s="145"/>
      <c r="F121" s="147"/>
      <c r="G121" s="141"/>
      <c r="H121" s="141"/>
      <c r="I121" s="145"/>
      <c r="J121" s="147"/>
      <c r="K121" s="141"/>
      <c r="L121" s="141"/>
      <c r="M121" s="145"/>
      <c r="N121" s="147"/>
      <c r="O121" s="141"/>
      <c r="P121" s="141"/>
      <c r="Q121" s="145"/>
      <c r="R121" s="147"/>
      <c r="S121" s="141"/>
      <c r="T121" s="141"/>
      <c r="U121" s="145"/>
    </row>
    <row r="122" spans="1:21" s="144" customFormat="1" x14ac:dyDescent="0.25">
      <c r="A122" s="250" t="s">
        <v>147</v>
      </c>
      <c r="B122" s="148">
        <f>Rockwool!I71</f>
        <v>123.86934000000001</v>
      </c>
      <c r="C122" s="145">
        <f>Rockwool!I72</f>
        <v>126.228756</v>
      </c>
      <c r="D122" s="145">
        <f>Rockwool!I73</f>
        <v>129.76788000000002</v>
      </c>
      <c r="E122" s="145">
        <f>Rockwool!I74</f>
        <v>135.66641999999999</v>
      </c>
      <c r="F122" s="147"/>
      <c r="G122" s="141"/>
      <c r="H122" s="141"/>
      <c r="I122" s="145"/>
      <c r="J122" s="147"/>
      <c r="K122" s="141"/>
      <c r="L122" s="141"/>
      <c r="M122" s="145"/>
      <c r="N122" s="147"/>
      <c r="O122" s="141"/>
      <c r="P122" s="141"/>
      <c r="Q122" s="145"/>
      <c r="R122" s="147"/>
      <c r="S122" s="141"/>
      <c r="T122" s="141"/>
      <c r="U122" s="145"/>
    </row>
    <row r="123" spans="1:21" x14ac:dyDescent="0.25">
      <c r="A123" s="262"/>
      <c r="B123" s="91"/>
      <c r="C123" s="76"/>
      <c r="D123" s="76"/>
      <c r="E123" s="77"/>
      <c r="F123" s="86"/>
      <c r="G123" s="76"/>
      <c r="H123" s="76"/>
      <c r="I123" s="77"/>
      <c r="J123" s="86"/>
      <c r="K123" s="76"/>
      <c r="L123" s="76"/>
      <c r="M123" s="77"/>
      <c r="N123" s="86"/>
      <c r="O123" s="76"/>
      <c r="P123" s="76"/>
      <c r="Q123" s="77"/>
      <c r="R123" s="86"/>
      <c r="S123" s="76"/>
      <c r="T123" s="76"/>
      <c r="U123" s="77"/>
    </row>
    <row r="124" spans="1:21" x14ac:dyDescent="0.25">
      <c r="A124" s="262"/>
      <c r="B124" s="91"/>
      <c r="C124" s="76"/>
      <c r="D124" s="76"/>
      <c r="E124" s="77"/>
      <c r="F124" s="86"/>
      <c r="G124" s="76"/>
      <c r="H124" s="76"/>
      <c r="I124" s="77"/>
      <c r="J124" s="86"/>
      <c r="K124" s="76"/>
      <c r="L124" s="76"/>
      <c r="M124" s="77"/>
      <c r="N124" s="86"/>
      <c r="O124" s="76"/>
      <c r="P124" s="76"/>
      <c r="Q124" s="77"/>
      <c r="R124" s="86"/>
      <c r="S124" s="76"/>
      <c r="T124" s="76"/>
      <c r="U124" s="77"/>
    </row>
    <row r="125" spans="1:21" s="144" customFormat="1" x14ac:dyDescent="0.25">
      <c r="A125" s="250"/>
      <c r="B125" s="148"/>
      <c r="C125" s="141"/>
      <c r="D125" s="141"/>
      <c r="E125" s="145"/>
      <c r="F125" s="147"/>
      <c r="G125" s="141"/>
      <c r="H125" s="141"/>
      <c r="I125" s="145"/>
      <c r="J125" s="147"/>
      <c r="K125" s="141"/>
      <c r="L125" s="141"/>
      <c r="M125" s="145"/>
      <c r="N125" s="147"/>
      <c r="O125" s="141"/>
      <c r="P125" s="141"/>
      <c r="Q125" s="145"/>
      <c r="R125" s="147"/>
      <c r="S125" s="141"/>
      <c r="T125" s="141"/>
      <c r="U125" s="145"/>
    </row>
    <row r="126" spans="1:21" s="144" customFormat="1" x14ac:dyDescent="0.25">
      <c r="A126" s="250"/>
      <c r="B126" s="148"/>
      <c r="C126" s="141"/>
      <c r="D126" s="141"/>
      <c r="E126" s="141"/>
      <c r="F126" s="143"/>
      <c r="G126" s="141"/>
      <c r="H126" s="141"/>
      <c r="I126" s="141"/>
      <c r="J126" s="143"/>
      <c r="K126" s="141"/>
      <c r="L126" s="141"/>
      <c r="M126" s="141"/>
      <c r="N126" s="143"/>
      <c r="O126" s="141"/>
      <c r="P126" s="141"/>
      <c r="Q126" s="141"/>
      <c r="R126" s="143"/>
      <c r="S126" s="141"/>
      <c r="T126" s="141"/>
      <c r="U126" s="141"/>
    </row>
    <row r="127" spans="1:21" s="133" customFormat="1" x14ac:dyDescent="0.25">
      <c r="A127" s="258"/>
      <c r="B127" s="152"/>
      <c r="C127" s="118"/>
      <c r="D127" s="118"/>
      <c r="E127" s="118"/>
      <c r="F127" s="134"/>
      <c r="G127" s="118"/>
      <c r="H127" s="118"/>
      <c r="I127" s="118"/>
      <c r="J127" s="134"/>
      <c r="K127" s="118"/>
      <c r="L127" s="118"/>
      <c r="M127" s="118"/>
      <c r="N127" s="134"/>
      <c r="O127" s="118"/>
      <c r="P127" s="118"/>
      <c r="Q127" s="118"/>
      <c r="R127" s="134"/>
      <c r="S127" s="118"/>
      <c r="T127" s="118"/>
      <c r="U127" s="118"/>
    </row>
    <row r="128" spans="1:21" x14ac:dyDescent="0.25">
      <c r="A128" s="262"/>
      <c r="B128" s="91"/>
      <c r="C128" s="76"/>
      <c r="D128" s="76"/>
      <c r="E128" s="76"/>
      <c r="F128" s="85"/>
      <c r="G128" s="76"/>
      <c r="H128" s="76"/>
      <c r="I128" s="76"/>
      <c r="J128" s="85"/>
      <c r="K128" s="76"/>
      <c r="L128" s="76"/>
      <c r="M128" s="76"/>
      <c r="N128" s="85"/>
      <c r="O128" s="76"/>
      <c r="P128" s="76"/>
      <c r="Q128" s="76"/>
      <c r="R128" s="85"/>
      <c r="S128" s="76"/>
      <c r="T128" s="76"/>
      <c r="U128" s="76"/>
    </row>
    <row r="129" spans="1:21" x14ac:dyDescent="0.25">
      <c r="A129" s="270"/>
      <c r="B129" s="92"/>
      <c r="C129" s="76"/>
      <c r="D129" s="76"/>
      <c r="E129" s="76"/>
      <c r="F129" s="85"/>
      <c r="G129" s="76"/>
      <c r="H129" s="76"/>
      <c r="I129" s="76"/>
      <c r="J129" s="85"/>
      <c r="K129" s="76"/>
      <c r="L129" s="76"/>
      <c r="M129" s="76"/>
      <c r="N129" s="85"/>
      <c r="O129" s="76"/>
      <c r="P129" s="76"/>
      <c r="Q129" s="76"/>
      <c r="R129" s="85"/>
      <c r="S129" s="76"/>
      <c r="T129" s="76"/>
      <c r="U129" s="76"/>
    </row>
    <row r="130" spans="1:21" s="133" customFormat="1" x14ac:dyDescent="0.25">
      <c r="A130" s="258"/>
      <c r="B130" s="152"/>
      <c r="C130" s="118"/>
      <c r="D130" s="118"/>
      <c r="E130" s="118"/>
      <c r="F130" s="134"/>
      <c r="G130" s="118"/>
      <c r="H130" s="118"/>
      <c r="I130" s="118"/>
      <c r="J130" s="134"/>
      <c r="K130" s="118"/>
      <c r="L130" s="118"/>
      <c r="M130" s="118"/>
      <c r="N130" s="134"/>
      <c r="O130" s="118"/>
      <c r="P130" s="118"/>
      <c r="Q130" s="118"/>
      <c r="R130" s="134"/>
      <c r="S130" s="118"/>
      <c r="T130" s="118"/>
      <c r="U130" s="118"/>
    </row>
    <row r="131" spans="1:21" x14ac:dyDescent="0.25">
      <c r="A131" s="262"/>
      <c r="B131" s="91"/>
      <c r="C131" s="76"/>
      <c r="D131" s="76"/>
      <c r="E131" s="76"/>
      <c r="F131" s="85"/>
      <c r="G131" s="76"/>
      <c r="H131" s="76"/>
      <c r="I131" s="76"/>
      <c r="J131" s="85"/>
      <c r="K131" s="76"/>
      <c r="L131" s="76"/>
      <c r="M131" s="76"/>
      <c r="N131" s="85"/>
      <c r="O131" s="76"/>
      <c r="P131" s="76"/>
      <c r="Q131" s="76"/>
      <c r="R131" s="85"/>
      <c r="S131" s="76"/>
      <c r="T131" s="76"/>
      <c r="U131" s="76"/>
    </row>
    <row r="132" spans="1:21" x14ac:dyDescent="0.25">
      <c r="A132" s="262"/>
      <c r="B132" s="91"/>
      <c r="C132" s="76"/>
      <c r="D132" s="76"/>
      <c r="E132" s="76"/>
      <c r="F132" s="85"/>
      <c r="G132" s="76"/>
      <c r="H132" s="76"/>
      <c r="I132" s="76"/>
      <c r="J132" s="85"/>
      <c r="K132" s="76"/>
      <c r="L132" s="76"/>
      <c r="M132" s="76"/>
      <c r="N132" s="85"/>
      <c r="O132" s="76"/>
      <c r="P132" s="76"/>
      <c r="Q132" s="76"/>
      <c r="R132" s="85"/>
      <c r="S132" s="76"/>
      <c r="T132" s="76"/>
      <c r="U132" s="76"/>
    </row>
    <row r="133" spans="1:21" x14ac:dyDescent="0.25">
      <c r="A133" s="262"/>
      <c r="B133" s="91"/>
      <c r="C133" s="76"/>
      <c r="D133" s="76"/>
      <c r="E133" s="76"/>
      <c r="F133" s="85"/>
      <c r="G133" s="76"/>
      <c r="H133" s="76"/>
      <c r="I133" s="76"/>
      <c r="J133" s="85"/>
      <c r="K133" s="76"/>
      <c r="L133" s="76"/>
      <c r="M133" s="76"/>
      <c r="N133" s="85"/>
      <c r="O133" s="76"/>
      <c r="P133" s="76"/>
      <c r="Q133" s="76"/>
      <c r="R133" s="85"/>
      <c r="S133" s="76"/>
      <c r="T133" s="76"/>
      <c r="U133" s="76"/>
    </row>
    <row r="134" spans="1:21" x14ac:dyDescent="0.25">
      <c r="A134" s="262"/>
      <c r="B134" s="91"/>
      <c r="C134" s="76"/>
      <c r="D134" s="76"/>
      <c r="E134" s="76"/>
      <c r="F134" s="85"/>
      <c r="G134" s="76"/>
      <c r="H134" s="76"/>
      <c r="I134" s="76"/>
      <c r="J134" s="85"/>
      <c r="K134" s="76"/>
      <c r="L134" s="76"/>
      <c r="M134" s="76"/>
      <c r="N134" s="85"/>
      <c r="O134" s="76"/>
      <c r="P134" s="76"/>
      <c r="Q134" s="76"/>
      <c r="R134" s="85"/>
      <c r="S134" s="76"/>
      <c r="T134" s="76"/>
      <c r="U134" s="76"/>
    </row>
    <row r="135" spans="1:21" x14ac:dyDescent="0.25">
      <c r="A135" s="262"/>
      <c r="B135" s="91"/>
      <c r="C135" s="76"/>
      <c r="D135" s="76"/>
      <c r="E135" s="76"/>
      <c r="F135" s="85"/>
      <c r="G135" s="76"/>
      <c r="H135" s="76"/>
      <c r="I135" s="76"/>
      <c r="J135" s="85"/>
      <c r="K135" s="76"/>
      <c r="L135" s="76"/>
      <c r="M135" s="76"/>
      <c r="N135" s="85"/>
      <c r="O135" s="76"/>
      <c r="P135" s="76"/>
      <c r="Q135" s="76"/>
      <c r="R135" s="85"/>
      <c r="S135" s="76"/>
      <c r="T135" s="76"/>
      <c r="U135" s="76"/>
    </row>
    <row r="136" spans="1:21" x14ac:dyDescent="0.25">
      <c r="A136" s="262"/>
      <c r="B136" s="91"/>
      <c r="C136" s="76"/>
      <c r="D136" s="76"/>
      <c r="E136" s="76"/>
      <c r="F136" s="85"/>
      <c r="G136" s="76"/>
      <c r="H136" s="76"/>
      <c r="I136" s="76"/>
      <c r="J136" s="85"/>
      <c r="K136" s="76"/>
      <c r="L136" s="76"/>
      <c r="M136" s="76"/>
      <c r="N136" s="85"/>
      <c r="O136" s="76"/>
      <c r="P136" s="76"/>
      <c r="Q136" s="76"/>
      <c r="R136" s="85"/>
      <c r="S136" s="76"/>
      <c r="T136" s="76"/>
      <c r="U136" s="76"/>
    </row>
    <row r="137" spans="1:21" x14ac:dyDescent="0.25">
      <c r="A137" s="262"/>
      <c r="B137" s="91"/>
      <c r="C137" s="76"/>
      <c r="D137" s="76"/>
      <c r="E137" s="76"/>
      <c r="F137" s="85"/>
      <c r="G137" s="76"/>
      <c r="H137" s="76"/>
      <c r="I137" s="76"/>
      <c r="J137" s="85"/>
      <c r="K137" s="76"/>
      <c r="L137" s="76"/>
      <c r="M137" s="76"/>
      <c r="N137" s="85"/>
      <c r="O137" s="76"/>
      <c r="P137" s="76"/>
      <c r="Q137" s="76"/>
      <c r="R137" s="85"/>
      <c r="S137" s="76"/>
      <c r="T137" s="76"/>
      <c r="U137" s="76"/>
    </row>
    <row r="138" spans="1:21" x14ac:dyDescent="0.25">
      <c r="A138" s="262"/>
      <c r="B138" s="91"/>
      <c r="C138" s="76"/>
      <c r="D138" s="76"/>
      <c r="E138" s="76"/>
      <c r="F138" s="85"/>
      <c r="G138" s="76"/>
      <c r="H138" s="76"/>
      <c r="I138" s="76"/>
      <c r="J138" s="85"/>
      <c r="K138" s="76"/>
      <c r="L138" s="76"/>
      <c r="M138" s="76"/>
      <c r="N138" s="85"/>
      <c r="O138" s="76"/>
      <c r="P138" s="76"/>
      <c r="Q138" s="76"/>
      <c r="R138" s="85"/>
      <c r="S138" s="76"/>
      <c r="T138" s="76"/>
      <c r="U138" s="76"/>
    </row>
    <row r="139" spans="1:21" s="144" customFormat="1" x14ac:dyDescent="0.25">
      <c r="A139" s="250"/>
      <c r="B139" s="148"/>
      <c r="C139" s="141"/>
      <c r="D139" s="141"/>
      <c r="E139" s="141"/>
      <c r="F139" s="143"/>
      <c r="G139" s="141"/>
      <c r="H139" s="141"/>
      <c r="I139" s="141"/>
      <c r="J139" s="143"/>
      <c r="K139" s="141"/>
      <c r="L139" s="141"/>
      <c r="M139" s="141"/>
      <c r="N139" s="143"/>
      <c r="O139" s="141"/>
      <c r="P139" s="141"/>
      <c r="Q139" s="141"/>
      <c r="R139" s="143"/>
      <c r="S139" s="141"/>
      <c r="T139" s="141"/>
      <c r="U139" s="141"/>
    </row>
    <row r="140" spans="1:21" s="144" customFormat="1" x14ac:dyDescent="0.25">
      <c r="A140" s="254"/>
      <c r="B140" s="185"/>
      <c r="C140" s="186"/>
      <c r="D140" s="186"/>
      <c r="E140" s="186"/>
      <c r="F140" s="184"/>
      <c r="G140" s="186"/>
      <c r="H140" s="186"/>
      <c r="I140" s="186"/>
      <c r="J140" s="184"/>
      <c r="K140" s="186"/>
      <c r="L140" s="186"/>
      <c r="M140" s="186"/>
      <c r="N140" s="184"/>
      <c r="O140" s="186"/>
      <c r="P140" s="186"/>
      <c r="Q140" s="186"/>
      <c r="R140" s="184"/>
      <c r="S140" s="186"/>
      <c r="T140" s="186"/>
      <c r="U140" s="186"/>
    </row>
    <row r="141" spans="1:21" s="144" customFormat="1" x14ac:dyDescent="0.25">
      <c r="A141" s="250"/>
      <c r="B141" s="148"/>
      <c r="C141" s="141"/>
      <c r="D141" s="141"/>
      <c r="E141" s="141"/>
      <c r="F141" s="143"/>
      <c r="G141" s="141"/>
      <c r="H141" s="141"/>
      <c r="I141" s="141"/>
      <c r="J141" s="143"/>
      <c r="K141" s="141"/>
      <c r="L141" s="141"/>
      <c r="M141" s="141"/>
      <c r="N141" s="143"/>
      <c r="O141" s="141"/>
      <c r="P141" s="141"/>
      <c r="Q141" s="141"/>
      <c r="R141" s="143"/>
      <c r="S141" s="141"/>
      <c r="T141" s="141"/>
      <c r="U141" s="141"/>
    </row>
    <row r="142" spans="1:21" s="144" customFormat="1" ht="20" thickBot="1" x14ac:dyDescent="0.3">
      <c r="A142" s="252"/>
      <c r="B142" s="176"/>
      <c r="C142" s="149"/>
      <c r="D142" s="149"/>
      <c r="E142" s="149"/>
      <c r="F142" s="174"/>
      <c r="G142" s="149"/>
      <c r="H142" s="149"/>
      <c r="I142" s="149"/>
      <c r="J142" s="174"/>
      <c r="K142" s="149"/>
      <c r="L142" s="149"/>
      <c r="M142" s="149"/>
      <c r="N142" s="174"/>
      <c r="O142" s="149"/>
      <c r="P142" s="149"/>
      <c r="Q142" s="149"/>
      <c r="R142" s="174"/>
      <c r="S142" s="149"/>
      <c r="T142" s="149"/>
      <c r="U142" s="149"/>
    </row>
    <row r="143" spans="1:21" ht="20" thickTop="1" x14ac:dyDescent="0.25"/>
  </sheetData>
  <mergeCells count="4">
    <mergeCell ref="A11:A12"/>
    <mergeCell ref="A55:A56"/>
    <mergeCell ref="Z1:AA1"/>
    <mergeCell ref="A117:A118"/>
  </mergeCells>
  <phoneticPr fontId="34" type="noConversion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tabColor rgb="FFFFC000"/>
  </sheetPr>
  <dimension ref="A1:AC143"/>
  <sheetViews>
    <sheetView zoomScale="80" zoomScaleNormal="80" workbookViewId="0">
      <pane xSplit="1" ySplit="12" topLeftCell="B13" activePane="bottomRight" state="frozen"/>
      <selection activeCell="B49" sqref="B49"/>
      <selection pane="topRight" activeCell="B49" sqref="B49"/>
      <selection pane="bottomLeft" activeCell="B49" sqref="B49"/>
      <selection pane="bottomRight" activeCell="K4" sqref="K4"/>
    </sheetView>
  </sheetViews>
  <sheetFormatPr baseColWidth="10" defaultColWidth="9" defaultRowHeight="19" x14ac:dyDescent="0.25"/>
  <cols>
    <col min="1" max="1" width="46.19921875" customWidth="1"/>
    <col min="2" max="2" width="8.19921875" customWidth="1"/>
    <col min="3" max="21" width="9.796875" customWidth="1"/>
  </cols>
  <sheetData>
    <row r="1" spans="1:29" ht="41.25" customHeight="1" x14ac:dyDescent="0.5">
      <c r="A1" s="2" t="s">
        <v>0</v>
      </c>
      <c r="B1" s="2"/>
      <c r="C1" s="3"/>
      <c r="D1" s="4"/>
      <c r="F1" s="6"/>
      <c r="G1" s="5"/>
      <c r="H1" s="6" t="s">
        <v>1</v>
      </c>
      <c r="I1" s="15">
        <f>'BKK DCM'!F1</f>
        <v>0</v>
      </c>
      <c r="J1" s="429"/>
      <c r="K1" s="429"/>
      <c r="P1" s="1"/>
      <c r="Q1" s="2"/>
      <c r="T1" s="1"/>
      <c r="U1" s="2"/>
      <c r="X1" s="429"/>
      <c r="Y1" s="429"/>
      <c r="AA1" s="5"/>
      <c r="AB1" s="6"/>
      <c r="AC1" s="6"/>
    </row>
    <row r="2" spans="1:29" x14ac:dyDescent="0.25">
      <c r="A2" s="9" t="s">
        <v>2</v>
      </c>
      <c r="B2" s="7"/>
      <c r="C2" s="157" t="s">
        <v>102</v>
      </c>
      <c r="D2" s="156"/>
      <c r="E2" s="155"/>
      <c r="F2" s="10"/>
      <c r="G2" s="9"/>
      <c r="H2" s="10" t="s">
        <v>3</v>
      </c>
      <c r="I2" s="287">
        <f>'BKK DCM'!F2</f>
        <v>0</v>
      </c>
      <c r="P2" s="7"/>
      <c r="Q2" s="7"/>
      <c r="T2" s="7"/>
      <c r="U2" s="7"/>
      <c r="AA2" s="9"/>
      <c r="AB2" s="10"/>
      <c r="AC2" s="11"/>
    </row>
    <row r="3" spans="1:29" x14ac:dyDescent="0.25">
      <c r="A3" s="9" t="s">
        <v>4</v>
      </c>
      <c r="B3" s="7"/>
      <c r="C3" s="157">
        <f>'BKK DCM'!B3</f>
        <v>0</v>
      </c>
      <c r="D3" s="156"/>
      <c r="E3" s="158"/>
      <c r="P3" s="7"/>
      <c r="Q3" s="7"/>
      <c r="T3" s="7"/>
      <c r="U3" s="7"/>
    </row>
    <row r="4" spans="1:29" s="138" customFormat="1" ht="16" x14ac:dyDescent="0.2">
      <c r="A4" s="259" t="s">
        <v>100</v>
      </c>
      <c r="B4" s="136"/>
      <c r="C4" s="159"/>
      <c r="D4" s="160">
        <v>1</v>
      </c>
      <c r="E4" s="161" t="s">
        <v>238</v>
      </c>
      <c r="P4" s="136"/>
      <c r="Q4" s="136"/>
      <c r="T4" s="136"/>
      <c r="U4" s="136"/>
    </row>
    <row r="5" spans="1:29" s="138" customFormat="1" ht="16" x14ac:dyDescent="0.2">
      <c r="A5" s="139"/>
      <c r="B5" s="136"/>
      <c r="C5" s="159"/>
      <c r="D5" s="160">
        <v>2</v>
      </c>
      <c r="E5" s="163" t="s">
        <v>237</v>
      </c>
      <c r="P5" s="136"/>
      <c r="Q5" s="136"/>
      <c r="T5" s="136"/>
      <c r="U5" s="136"/>
    </row>
    <row r="6" spans="1:29" s="138" customFormat="1" ht="16" x14ac:dyDescent="0.2">
      <c r="A6" s="139"/>
      <c r="B6" s="136"/>
      <c r="C6" s="159"/>
      <c r="D6" s="160">
        <v>3</v>
      </c>
      <c r="E6" s="162" t="s">
        <v>32</v>
      </c>
      <c r="P6" s="136"/>
      <c r="Q6" s="136"/>
      <c r="T6" s="136"/>
      <c r="U6" s="136"/>
    </row>
    <row r="7" spans="1:29" s="138" customFormat="1" ht="16" x14ac:dyDescent="0.2">
      <c r="A7" s="139"/>
      <c r="B7" s="136"/>
      <c r="C7" s="159"/>
      <c r="D7" s="160">
        <v>4</v>
      </c>
      <c r="E7" s="162" t="s">
        <v>33</v>
      </c>
      <c r="P7" s="136"/>
      <c r="Q7" s="136"/>
      <c r="T7" s="136"/>
      <c r="U7" s="136"/>
    </row>
    <row r="8" spans="1:29" s="138" customFormat="1" ht="16" x14ac:dyDescent="0.2">
      <c r="A8" s="139"/>
      <c r="B8" s="136"/>
      <c r="C8" s="159"/>
      <c r="D8" s="150">
        <v>5</v>
      </c>
      <c r="E8" s="191" t="s">
        <v>99</v>
      </c>
      <c r="P8" s="136"/>
      <c r="Q8" s="136"/>
      <c r="T8" s="136"/>
      <c r="U8" s="136"/>
    </row>
    <row r="9" spans="1:29" ht="7.5" customHeight="1" thickBot="1" x14ac:dyDescent="0.3"/>
    <row r="10" spans="1:29" s="122" customFormat="1" ht="20" thickTop="1" x14ac:dyDescent="0.25">
      <c r="A10" s="271" t="s">
        <v>73</v>
      </c>
      <c r="B10" s="120"/>
      <c r="C10" s="119"/>
      <c r="D10" s="119" t="s">
        <v>15</v>
      </c>
      <c r="E10" s="119"/>
      <c r="F10" s="120"/>
      <c r="G10" s="119"/>
      <c r="H10" s="119" t="s">
        <v>16</v>
      </c>
      <c r="I10" s="119"/>
      <c r="J10" s="120"/>
      <c r="K10" s="119"/>
      <c r="L10" s="119" t="s">
        <v>17</v>
      </c>
      <c r="M10" s="119"/>
      <c r="N10" s="120"/>
      <c r="O10" s="119"/>
      <c r="P10" s="119" t="s">
        <v>18</v>
      </c>
      <c r="Q10" s="175"/>
      <c r="R10" s="120"/>
      <c r="S10" s="119"/>
      <c r="T10" s="119" t="s">
        <v>166</v>
      </c>
      <c r="U10" s="175"/>
    </row>
    <row r="11" spans="1:29" s="122" customFormat="1" x14ac:dyDescent="0.25">
      <c r="A11" s="434" t="s">
        <v>82</v>
      </c>
      <c r="B11" s="129"/>
      <c r="C11" s="121" t="s">
        <v>79</v>
      </c>
      <c r="D11" s="121" t="s">
        <v>80</v>
      </c>
      <c r="E11" s="121" t="s">
        <v>81</v>
      </c>
      <c r="F11" s="129"/>
      <c r="G11" s="121" t="s">
        <v>79</v>
      </c>
      <c r="H11" s="121" t="s">
        <v>80</v>
      </c>
      <c r="I11" s="121" t="s">
        <v>81</v>
      </c>
      <c r="J11" s="129"/>
      <c r="K11" s="121" t="s">
        <v>79</v>
      </c>
      <c r="L11" s="121" t="s">
        <v>80</v>
      </c>
      <c r="M11" s="121" t="s">
        <v>81</v>
      </c>
      <c r="N11" s="129"/>
      <c r="O11" s="121" t="s">
        <v>79</v>
      </c>
      <c r="P11" s="121" t="s">
        <v>80</v>
      </c>
      <c r="Q11" s="121" t="s">
        <v>81</v>
      </c>
      <c r="R11" s="129"/>
      <c r="S11" s="121" t="s">
        <v>79</v>
      </c>
      <c r="T11" s="121" t="s">
        <v>80</v>
      </c>
      <c r="U11" s="121" t="s">
        <v>81</v>
      </c>
    </row>
    <row r="12" spans="1:29" s="122" customFormat="1" ht="20" thickBot="1" x14ac:dyDescent="0.3">
      <c r="A12" s="431"/>
      <c r="B12" s="125" t="s">
        <v>142</v>
      </c>
      <c r="C12" s="123" t="s">
        <v>143</v>
      </c>
      <c r="D12" s="124" t="s">
        <v>144</v>
      </c>
      <c r="E12" s="124" t="s">
        <v>145</v>
      </c>
      <c r="F12" s="125" t="s">
        <v>142</v>
      </c>
      <c r="G12" s="123" t="s">
        <v>143</v>
      </c>
      <c r="H12" s="124" t="s">
        <v>144</v>
      </c>
      <c r="I12" s="124" t="s">
        <v>145</v>
      </c>
      <c r="J12" s="131" t="s">
        <v>142</v>
      </c>
      <c r="K12" s="123" t="s">
        <v>143</v>
      </c>
      <c r="L12" s="124" t="s">
        <v>144</v>
      </c>
      <c r="M12" s="124" t="s">
        <v>145</v>
      </c>
      <c r="N12" s="131" t="s">
        <v>142</v>
      </c>
      <c r="O12" s="123" t="s">
        <v>143</v>
      </c>
      <c r="P12" s="124" t="s">
        <v>144</v>
      </c>
      <c r="Q12" s="124" t="s">
        <v>145</v>
      </c>
      <c r="R12" s="131" t="s">
        <v>142</v>
      </c>
      <c r="S12" s="123" t="s">
        <v>143</v>
      </c>
      <c r="T12" s="124" t="s">
        <v>144</v>
      </c>
      <c r="U12" s="124" t="s">
        <v>145</v>
      </c>
    </row>
    <row r="13" spans="1:29" s="144" customFormat="1" ht="20" thickTop="1" x14ac:dyDescent="0.25">
      <c r="A13" s="261" t="s">
        <v>133</v>
      </c>
      <c r="B13" s="196">
        <f>'Formular 4 step Y1'!N14</f>
        <v>124</v>
      </c>
      <c r="C13" s="197">
        <f>'Formular 4 step Y1'!N15</f>
        <v>125</v>
      </c>
      <c r="D13" s="198">
        <f>'Formular 4 step Y1'!N16</f>
        <v>126</v>
      </c>
      <c r="E13" s="200">
        <f>'Formular 4 step Y1'!N17</f>
        <v>127</v>
      </c>
      <c r="F13" s="201">
        <f>'Formular 4 step Y1'!O14</f>
        <v>124</v>
      </c>
      <c r="G13" s="196">
        <f>'Formular 4 step Y1'!O15</f>
        <v>125</v>
      </c>
      <c r="H13" s="198">
        <f>'Formular 4 step Y1'!O16</f>
        <v>126</v>
      </c>
      <c r="I13" s="200">
        <f>'Formular 4 step Y1'!O17</f>
        <v>127</v>
      </c>
      <c r="J13" s="200">
        <f>'Formular 4 step Y1'!P14</f>
        <v>124</v>
      </c>
      <c r="K13" s="196">
        <f>'Formular 4 step Y1'!P15</f>
        <v>125</v>
      </c>
      <c r="L13" s="198">
        <f>'Formular 4 step Y1'!P16</f>
        <v>126</v>
      </c>
      <c r="M13" s="200">
        <f>'Formular 4 step Y1'!P17</f>
        <v>127</v>
      </c>
      <c r="N13" s="200">
        <f>'Formular 4 step Y1'!Q14</f>
        <v>124</v>
      </c>
      <c r="O13" s="196">
        <f>'Formular 4 step Y1'!Q15</f>
        <v>125</v>
      </c>
      <c r="P13" s="198">
        <f>'Formular 4 step Y1'!Q16</f>
        <v>126</v>
      </c>
      <c r="Q13" s="200">
        <f>'Formular 4 step Y1'!Q17</f>
        <v>127</v>
      </c>
      <c r="R13" s="200">
        <f>'Formular 4 step Y1'!W14</f>
        <v>124</v>
      </c>
      <c r="S13" s="196">
        <f>'Formular 4 step Y1'!W15</f>
        <v>125</v>
      </c>
      <c r="T13" s="198">
        <f>'Formular 4 step Y1'!W16</f>
        <v>126</v>
      </c>
      <c r="U13" s="200">
        <f>'Formular 4 step Y1'!W17</f>
        <v>127</v>
      </c>
    </row>
    <row r="14" spans="1:29" s="144" customFormat="1" x14ac:dyDescent="0.25">
      <c r="A14" s="249" t="s">
        <v>134</v>
      </c>
      <c r="B14" s="143">
        <f>'Formular 4 step Y1'!N39</f>
        <v>124</v>
      </c>
      <c r="C14" s="148">
        <f>'Formular 4 step Y1'!N40</f>
        <v>125</v>
      </c>
      <c r="D14" s="141">
        <f>'Formular 4 step Y1'!N41</f>
        <v>126</v>
      </c>
      <c r="E14" s="145">
        <f>'Formular 4 step Y1'!N42</f>
        <v>127</v>
      </c>
      <c r="F14" s="147">
        <f>'Formular 4 step Y1'!O39</f>
        <v>124</v>
      </c>
      <c r="G14" s="143">
        <f>'Formular 4 step Y1'!O40</f>
        <v>125</v>
      </c>
      <c r="H14" s="141">
        <f>'Formular 4 step Y1'!O41</f>
        <v>126</v>
      </c>
      <c r="I14" s="145">
        <f>'Formular 4 step Y1'!O42</f>
        <v>127</v>
      </c>
      <c r="J14" s="145">
        <f>'Formular 4 step Y1'!P39</f>
        <v>124</v>
      </c>
      <c r="K14" s="143">
        <f>'Formular 4 step Y1'!P40</f>
        <v>125</v>
      </c>
      <c r="L14" s="141">
        <f>'Formular 4 step Y1'!P41</f>
        <v>126</v>
      </c>
      <c r="M14" s="145">
        <f>'Formular 4 step Y1'!P42</f>
        <v>127</v>
      </c>
      <c r="N14" s="145">
        <f>'Formular 4 step Y1'!Q39</f>
        <v>124</v>
      </c>
      <c r="O14" s="143">
        <f>'Formular 4 step Y1'!Q40</f>
        <v>125</v>
      </c>
      <c r="P14" s="141">
        <f>'Formular 4 step Y1'!Q41</f>
        <v>126</v>
      </c>
      <c r="Q14" s="145">
        <f>'Formular 4 step Y1'!Q42</f>
        <v>127</v>
      </c>
      <c r="R14" s="145">
        <f>'Formular 4 step Y1'!W39</f>
        <v>124</v>
      </c>
      <c r="S14" s="143">
        <f>'Formular 4 step Y1'!W40</f>
        <v>125</v>
      </c>
      <c r="T14" s="141">
        <f>'Formular 4 step Y1'!W41</f>
        <v>126</v>
      </c>
      <c r="U14" s="145">
        <f>'Formular 4 step Y1'!W42</f>
        <v>127</v>
      </c>
    </row>
    <row r="15" spans="1:29" s="144" customFormat="1" x14ac:dyDescent="0.25">
      <c r="A15" s="250" t="s">
        <v>135</v>
      </c>
      <c r="B15" s="143">
        <f>'Formular 4 step Y1'!N64</f>
        <v>185</v>
      </c>
      <c r="C15" s="148">
        <f>'Formular 4 step Y1'!N65</f>
        <v>186</v>
      </c>
      <c r="D15" s="141">
        <f>'Formular 4 step Y1'!N66</f>
        <v>187</v>
      </c>
      <c r="E15" s="145">
        <f>'Formular 4 step Y1'!N67</f>
        <v>188</v>
      </c>
      <c r="F15" s="147">
        <f>'Formular 4 step Y1'!O64</f>
        <v>185</v>
      </c>
      <c r="G15" s="143">
        <f>'Formular 4 step Y1'!O65</f>
        <v>186</v>
      </c>
      <c r="H15" s="141">
        <f>'Formular 4 step Y1'!O66</f>
        <v>187</v>
      </c>
      <c r="I15" s="145">
        <f>'Formular 4 step Y1'!O67</f>
        <v>188</v>
      </c>
      <c r="J15" s="145">
        <f>'Formular 4 step Y1'!P64</f>
        <v>185</v>
      </c>
      <c r="K15" s="143">
        <f>'Formular 4 step Y1'!P65</f>
        <v>186</v>
      </c>
      <c r="L15" s="141">
        <f>'Formular 4 step Y1'!P66</f>
        <v>187</v>
      </c>
      <c r="M15" s="145">
        <f>'Formular 4 step Y1'!P67</f>
        <v>188</v>
      </c>
      <c r="N15" s="145">
        <f>'Formular 4 step Y1'!Q64</f>
        <v>185</v>
      </c>
      <c r="O15" s="143">
        <f>'Formular 4 step Y1'!Q65</f>
        <v>186</v>
      </c>
      <c r="P15" s="141">
        <f>'Formular 4 step Y1'!Q66</f>
        <v>187</v>
      </c>
      <c r="Q15" s="145">
        <f>'Formular 4 step Y1'!Q67</f>
        <v>188</v>
      </c>
      <c r="R15" s="145">
        <f>'Formular 4 step Y1'!W64</f>
        <v>187</v>
      </c>
      <c r="S15" s="143">
        <f>'Formular 4 step Y1'!W65</f>
        <v>188</v>
      </c>
      <c r="T15" s="141">
        <f>'Formular 4 step Y1'!W66</f>
        <v>189</v>
      </c>
      <c r="U15" s="145">
        <f>'Formular 4 step Y1'!W67</f>
        <v>190</v>
      </c>
    </row>
    <row r="16" spans="1:29" s="144" customFormat="1" x14ac:dyDescent="0.25">
      <c r="A16" s="250" t="s">
        <v>136</v>
      </c>
      <c r="B16" s="143">
        <f>'Formular 4 step Y1'!N89</f>
        <v>184</v>
      </c>
      <c r="C16" s="148">
        <f>'Formular 4 step Y1'!N90</f>
        <v>185</v>
      </c>
      <c r="D16" s="141">
        <f>'Formular 4 step Y1'!N91</f>
        <v>186</v>
      </c>
      <c r="E16" s="145">
        <f>'Formular 4 step Y1'!N92</f>
        <v>187</v>
      </c>
      <c r="F16" s="147">
        <f>'Formular 4 step Y1'!O89</f>
        <v>184</v>
      </c>
      <c r="G16" s="143">
        <f>'Formular 4 step Y1'!O90</f>
        <v>185</v>
      </c>
      <c r="H16" s="141">
        <f>'Formular 4 step Y1'!O91</f>
        <v>186</v>
      </c>
      <c r="I16" s="145">
        <f>'Formular 4 step Y1'!O92</f>
        <v>187</v>
      </c>
      <c r="J16" s="145">
        <f>'Formular 4 step Y1'!P89</f>
        <v>184</v>
      </c>
      <c r="K16" s="143">
        <f>'Formular 4 step Y1'!P90</f>
        <v>185</v>
      </c>
      <c r="L16" s="141">
        <f>'Formular 4 step Y1'!P91</f>
        <v>186</v>
      </c>
      <c r="M16" s="145">
        <f>'Formular 4 step Y1'!P92</f>
        <v>187</v>
      </c>
      <c r="N16" s="145">
        <f>'Formular 4 step Y1'!Q89</f>
        <v>184</v>
      </c>
      <c r="O16" s="143">
        <f>'Formular 4 step Y1'!Q90</f>
        <v>185</v>
      </c>
      <c r="P16" s="141">
        <f>'Formular 4 step Y1'!Q91</f>
        <v>186</v>
      </c>
      <c r="Q16" s="145">
        <f>'Formular 4 step Y1'!Q92</f>
        <v>187</v>
      </c>
      <c r="R16" s="145">
        <f>'Formular 4 step Y1'!W89</f>
        <v>185</v>
      </c>
      <c r="S16" s="143">
        <f>'Formular 4 step Y1'!W90</f>
        <v>186</v>
      </c>
      <c r="T16" s="141">
        <f>'Formular 4 step Y1'!W91</f>
        <v>187</v>
      </c>
      <c r="U16" s="145">
        <f>'Formular 4 step Y1'!W92</f>
        <v>188</v>
      </c>
    </row>
    <row r="17" spans="1:21" s="144" customFormat="1" x14ac:dyDescent="0.25">
      <c r="A17" s="250" t="s">
        <v>137</v>
      </c>
      <c r="B17" s="143">
        <f>'Formular 4 step Y1'!N114</f>
        <v>144</v>
      </c>
      <c r="C17" s="148">
        <f>'Formular 4 step Y1'!N115</f>
        <v>145</v>
      </c>
      <c r="D17" s="141">
        <f>'Formular 4 step Y1'!N116</f>
        <v>146</v>
      </c>
      <c r="E17" s="145">
        <f>'Formular 4 step Y1'!N117</f>
        <v>147</v>
      </c>
      <c r="F17" s="147">
        <f>'Formular 4 step Y1'!O114</f>
        <v>144</v>
      </c>
      <c r="G17" s="143">
        <f>'Formular 4 step Y1'!O115</f>
        <v>145</v>
      </c>
      <c r="H17" s="141">
        <f>'Formular 4 step Y1'!O116</f>
        <v>146</v>
      </c>
      <c r="I17" s="145">
        <f>'Formular 4 step Y1'!O117</f>
        <v>147</v>
      </c>
      <c r="J17" s="145">
        <f>'Formular 4 step Y1'!P114</f>
        <v>144</v>
      </c>
      <c r="K17" s="143">
        <f>'Formular 4 step Y1'!P115</f>
        <v>145</v>
      </c>
      <c r="L17" s="141">
        <f>'Formular 4 step Y1'!P116</f>
        <v>146</v>
      </c>
      <c r="M17" s="145">
        <f>'Formular 4 step Y1'!P117</f>
        <v>147</v>
      </c>
      <c r="N17" s="145">
        <f>'Formular 4 step Y1'!Q114</f>
        <v>144</v>
      </c>
      <c r="O17" s="143">
        <f>'Formular 4 step Y1'!Q115</f>
        <v>145</v>
      </c>
      <c r="P17" s="141">
        <f>'Formular 4 step Y1'!Q116</f>
        <v>146</v>
      </c>
      <c r="Q17" s="145">
        <f>'Formular 4 step Y1'!Q117</f>
        <v>147</v>
      </c>
      <c r="R17" s="145">
        <f>'Formular 4 step Y1'!W114</f>
        <v>150</v>
      </c>
      <c r="S17" s="143">
        <f>'Formular 4 step Y1'!W115</f>
        <v>151</v>
      </c>
      <c r="T17" s="141">
        <f>'Formular 4 step Y1'!W116</f>
        <v>152</v>
      </c>
      <c r="U17" s="145">
        <f>'Formular 4 step Y1'!W117</f>
        <v>153</v>
      </c>
    </row>
    <row r="18" spans="1:21" s="144" customFormat="1" x14ac:dyDescent="0.25">
      <c r="A18" s="250" t="s">
        <v>138</v>
      </c>
      <c r="B18" s="143">
        <f>'Formular 4 step Y1'!N139</f>
        <v>206</v>
      </c>
      <c r="C18" s="148">
        <f>'Formular 4 step Y1'!N140</f>
        <v>207</v>
      </c>
      <c r="D18" s="141">
        <f>'Formular 4 step Y1'!N141</f>
        <v>208</v>
      </c>
      <c r="E18" s="145">
        <f>'Formular 4 step Y1'!N142</f>
        <v>209</v>
      </c>
      <c r="F18" s="147">
        <f>'Formular 4 step Y1'!O139</f>
        <v>206</v>
      </c>
      <c r="G18" s="143">
        <f>'Formular 4 step Y1'!O140</f>
        <v>207</v>
      </c>
      <c r="H18" s="141">
        <f>'Formular 4 step Y1'!O141</f>
        <v>208</v>
      </c>
      <c r="I18" s="145">
        <f>'Formular 4 step Y1'!O142</f>
        <v>209</v>
      </c>
      <c r="J18" s="145">
        <f>'Formular 4 step Y1'!P139</f>
        <v>206</v>
      </c>
      <c r="K18" s="143">
        <f>'Formular 4 step Y1'!P140</f>
        <v>207</v>
      </c>
      <c r="L18" s="141">
        <f>'Formular 4 step Y1'!P141</f>
        <v>208</v>
      </c>
      <c r="M18" s="145">
        <f>'Formular 4 step Y1'!P142</f>
        <v>209</v>
      </c>
      <c r="N18" s="145">
        <f>'Formular 4 step Y1'!Q139</f>
        <v>206</v>
      </c>
      <c r="O18" s="143">
        <f>'Formular 4 step Y1'!Q140</f>
        <v>207</v>
      </c>
      <c r="P18" s="141">
        <f>'Formular 4 step Y1'!Q141</f>
        <v>208</v>
      </c>
      <c r="Q18" s="145">
        <f>'Formular 4 step Y1'!Q142</f>
        <v>209</v>
      </c>
      <c r="R18" s="145">
        <f>'Formular 4 step Y1'!W139</f>
        <v>208</v>
      </c>
      <c r="S18" s="143">
        <f>'Formular 4 step Y1'!W140</f>
        <v>209</v>
      </c>
      <c r="T18" s="141">
        <f>'Formular 4 step Y1'!W141</f>
        <v>210</v>
      </c>
      <c r="U18" s="145">
        <f>'Formular 4 step Y1'!W142</f>
        <v>211</v>
      </c>
    </row>
    <row r="19" spans="1:21" s="144" customFormat="1" x14ac:dyDescent="0.25">
      <c r="A19" s="250" t="s">
        <v>139</v>
      </c>
      <c r="B19" s="143">
        <f>'Formular 4 step Y1'!N838</f>
        <v>212</v>
      </c>
      <c r="C19" s="148">
        <f>'Formular 4 step Y1'!N839</f>
        <v>213</v>
      </c>
      <c r="D19" s="141">
        <f>'Formular 4 step Y1'!N840</f>
        <v>214</v>
      </c>
      <c r="E19" s="145">
        <f>'Formular 4 step Y1'!N841</f>
        <v>215</v>
      </c>
      <c r="F19" s="147">
        <f>'Formular 4 step Y1'!O838</f>
        <v>212</v>
      </c>
      <c r="G19" s="143">
        <f>'Formular 4 step Y1'!O839</f>
        <v>213</v>
      </c>
      <c r="H19" s="141">
        <f>'Formular 4 step Y1'!O840</f>
        <v>214</v>
      </c>
      <c r="I19" s="145">
        <f>'Formular 4 step Y1'!O841</f>
        <v>215</v>
      </c>
      <c r="J19" s="145">
        <f>'Formular 4 step Y1'!P838</f>
        <v>212</v>
      </c>
      <c r="K19" s="143">
        <f>'Formular 4 step Y1'!P839</f>
        <v>213</v>
      </c>
      <c r="L19" s="141">
        <f>'Formular 4 step Y1'!P840</f>
        <v>214</v>
      </c>
      <c r="M19" s="145">
        <f>'Formular 4 step Y1'!P841</f>
        <v>215</v>
      </c>
      <c r="N19" s="145">
        <f>'Formular 4 step Y1'!Q838</f>
        <v>212</v>
      </c>
      <c r="O19" s="143">
        <f>'Formular 4 step Y1'!Q839</f>
        <v>213</v>
      </c>
      <c r="P19" s="141">
        <f>'Formular 4 step Y1'!Q840</f>
        <v>214</v>
      </c>
      <c r="Q19" s="145">
        <f>'Formular 4 step Y1'!Q841</f>
        <v>215</v>
      </c>
      <c r="R19" s="145">
        <f>'Formular 4 step Y1'!W838</f>
        <v>222</v>
      </c>
      <c r="S19" s="143">
        <f>'Formular 4 step Y1'!W839</f>
        <v>223</v>
      </c>
      <c r="T19" s="141">
        <f>'Formular 4 step Y1'!W840</f>
        <v>224</v>
      </c>
      <c r="U19" s="145">
        <f>'Formular 4 step Y1'!W841</f>
        <v>225</v>
      </c>
    </row>
    <row r="20" spans="1:21" s="144" customFormat="1" x14ac:dyDescent="0.25">
      <c r="A20" s="250" t="s">
        <v>114</v>
      </c>
      <c r="B20" s="143">
        <f>'Formular 4 step Y1'!N164</f>
        <v>244</v>
      </c>
      <c r="C20" s="148">
        <f>'Formular 4 step Y1'!N165</f>
        <v>247</v>
      </c>
      <c r="D20" s="141">
        <f>'Formular 4 step Y1'!N166</f>
        <v>252</v>
      </c>
      <c r="E20" s="145">
        <f>'Formular 4 step Y1'!N167</f>
        <v>257</v>
      </c>
      <c r="F20" s="147">
        <f>'Formular 4 step Y1'!O164</f>
        <v>244</v>
      </c>
      <c r="G20" s="143">
        <f>'Formular 4 step Y1'!O165</f>
        <v>247</v>
      </c>
      <c r="H20" s="141">
        <f>'Formular 4 step Y1'!O166</f>
        <v>252</v>
      </c>
      <c r="I20" s="145">
        <f>'Formular 4 step Y1'!O167</f>
        <v>257</v>
      </c>
      <c r="J20" s="145">
        <f>'Formular 4 step Y1'!P164</f>
        <v>244</v>
      </c>
      <c r="K20" s="143">
        <f>'Formular 4 step Y1'!P165</f>
        <v>247</v>
      </c>
      <c r="L20" s="141">
        <f>'Formular 4 step Y1'!P166</f>
        <v>252</v>
      </c>
      <c r="M20" s="145">
        <f>'Formular 4 step Y1'!P167</f>
        <v>257</v>
      </c>
      <c r="N20" s="145">
        <f>'Formular 4 step Y1'!Q164</f>
        <v>244</v>
      </c>
      <c r="O20" s="143">
        <f>'Formular 4 step Y1'!Q165</f>
        <v>247</v>
      </c>
      <c r="P20" s="141">
        <f>'Formular 4 step Y1'!Q166</f>
        <v>252</v>
      </c>
      <c r="Q20" s="145">
        <f>'Formular 4 step Y1'!Q167</f>
        <v>257</v>
      </c>
      <c r="R20" s="145">
        <f>'Formular 4 step Y1'!W164</f>
        <v>256</v>
      </c>
      <c r="S20" s="143">
        <f>'Formular 4 step Y1'!W165</f>
        <v>259</v>
      </c>
      <c r="T20" s="141">
        <f>'Formular 4 step Y1'!W166</f>
        <v>264</v>
      </c>
      <c r="U20" s="145">
        <f>'Formular 4 step Y1'!W167</f>
        <v>269</v>
      </c>
    </row>
    <row r="21" spans="1:21" s="144" customFormat="1" x14ac:dyDescent="0.25">
      <c r="A21" s="250" t="s">
        <v>115</v>
      </c>
      <c r="B21" s="143">
        <f>'Formular 4 step Y1'!N189</f>
        <v>271</v>
      </c>
      <c r="C21" s="148">
        <f>'Formular 4 step Y1'!N190</f>
        <v>274</v>
      </c>
      <c r="D21" s="141">
        <f>'Formular 4 step Y1'!N191</f>
        <v>279</v>
      </c>
      <c r="E21" s="145">
        <f>'Formular 4 step Y1'!N192</f>
        <v>284</v>
      </c>
      <c r="F21" s="147">
        <f>'Formular 4 step Y1'!O189</f>
        <v>271</v>
      </c>
      <c r="G21" s="143">
        <f>'Formular 4 step Y1'!O190</f>
        <v>274</v>
      </c>
      <c r="H21" s="141">
        <f>'Formular 4 step Y1'!O191</f>
        <v>279</v>
      </c>
      <c r="I21" s="145">
        <f>'Formular 4 step Y1'!O192</f>
        <v>284</v>
      </c>
      <c r="J21" s="145">
        <f>'Formular 4 step Y1'!P189</f>
        <v>271</v>
      </c>
      <c r="K21" s="143">
        <f>'Formular 4 step Y1'!P190</f>
        <v>274</v>
      </c>
      <c r="L21" s="141">
        <f>'Formular 4 step Y1'!P191</f>
        <v>279</v>
      </c>
      <c r="M21" s="145">
        <f>'Formular 4 step Y1'!P192</f>
        <v>284</v>
      </c>
      <c r="N21" s="145">
        <f>'Formular 4 step Y1'!Q189</f>
        <v>271</v>
      </c>
      <c r="O21" s="143">
        <f>'Formular 4 step Y1'!Q190</f>
        <v>274</v>
      </c>
      <c r="P21" s="141">
        <f>'Formular 4 step Y1'!Q191</f>
        <v>279</v>
      </c>
      <c r="Q21" s="145">
        <f>'Formular 4 step Y1'!Q192</f>
        <v>284</v>
      </c>
      <c r="R21" s="145">
        <f>'Formular 4 step Y1'!W189</f>
        <v>285</v>
      </c>
      <c r="S21" s="143">
        <f>'Formular 4 step Y1'!W190</f>
        <v>288</v>
      </c>
      <c r="T21" s="141">
        <f>'Formular 4 step Y1'!W191</f>
        <v>293</v>
      </c>
      <c r="U21" s="145">
        <f>'Formular 4 step Y1'!W192</f>
        <v>298</v>
      </c>
    </row>
    <row r="22" spans="1:21" s="144" customFormat="1" x14ac:dyDescent="0.25">
      <c r="A22" s="250" t="s">
        <v>218</v>
      </c>
      <c r="B22" s="143">
        <f>'Formular 4 step Y1'!N863</f>
        <v>178.42762080000003</v>
      </c>
      <c r="C22" s="148">
        <f>'Formular 4 step Y1'!N864</f>
        <v>180.07972840000005</v>
      </c>
      <c r="D22" s="141">
        <f>'Formular 4 step Y1'!N865</f>
        <v>185.03605120000003</v>
      </c>
      <c r="E22" s="145">
        <f>'Formular 4 step Y1'!N866</f>
        <v>189.99237400000001</v>
      </c>
      <c r="F22" s="147">
        <f>'Formular 4 step Y1'!O863</f>
        <v>178.42762080000003</v>
      </c>
      <c r="G22" s="143">
        <f>'Formular 4 step Y1'!O864</f>
        <v>180.07972840000005</v>
      </c>
      <c r="H22" s="141">
        <f>'Formular 4 step Y1'!O865</f>
        <v>185.03605120000003</v>
      </c>
      <c r="I22" s="145">
        <f>'Formular 4 step Y1'!O866</f>
        <v>189.99237400000001</v>
      </c>
      <c r="J22" s="145">
        <f>'Formular 4 step Y1'!P863</f>
        <v>178.42762080000003</v>
      </c>
      <c r="K22" s="143">
        <f>'Formular 4 step Y1'!P864</f>
        <v>180.07972840000005</v>
      </c>
      <c r="L22" s="141">
        <f>'Formular 4 step Y1'!P865</f>
        <v>185.03605120000003</v>
      </c>
      <c r="M22" s="145">
        <f>'Formular 4 step Y1'!P866</f>
        <v>189.99237400000001</v>
      </c>
      <c r="N22" s="145">
        <f>'Formular 4 step Y1'!Q863</f>
        <v>178.42762080000003</v>
      </c>
      <c r="O22" s="143">
        <f>'Formular 4 step Y1'!Q864</f>
        <v>180.07972840000005</v>
      </c>
      <c r="P22" s="141">
        <f>'Formular 4 step Y1'!Q865</f>
        <v>185.03605120000003</v>
      </c>
      <c r="Q22" s="145">
        <f>'Formular 4 step Y1'!Q866</f>
        <v>189.99237400000001</v>
      </c>
      <c r="R22" s="145">
        <f>'Formular 4 step Y1'!W863</f>
        <v>178.42762080000003</v>
      </c>
      <c r="S22" s="143">
        <f>'Formular 4 step Y1'!W864</f>
        <v>180.07972840000005</v>
      </c>
      <c r="T22" s="141">
        <f>'Formular 4 step Y1'!W865</f>
        <v>185.03605120000003</v>
      </c>
      <c r="U22" s="145">
        <f>'Formular 4 step Y1'!W866</f>
        <v>189.99237400000001</v>
      </c>
    </row>
    <row r="23" spans="1:21" s="144" customFormat="1" x14ac:dyDescent="0.25">
      <c r="A23" s="250" t="s">
        <v>128</v>
      </c>
      <c r="B23" s="143">
        <f>'Formular 4 step Y1'!N738</f>
        <v>101</v>
      </c>
      <c r="C23" s="148">
        <f>'Formular 4 step Y1'!N739</f>
        <v>102</v>
      </c>
      <c r="D23" s="141">
        <f>'Formular 4 step Y1'!N740</f>
        <v>103</v>
      </c>
      <c r="E23" s="145">
        <f>'Formular 4 step Y1'!N741</f>
        <v>104</v>
      </c>
      <c r="F23" s="147">
        <f>'Formular 4 step Y1'!O738</f>
        <v>101</v>
      </c>
      <c r="G23" s="143">
        <f>'Formular 4 step Y1'!O739</f>
        <v>102</v>
      </c>
      <c r="H23" s="141">
        <f>'Formular 4 step Y1'!O740</f>
        <v>103</v>
      </c>
      <c r="I23" s="145">
        <f>'Formular 4 step Y1'!O741</f>
        <v>104</v>
      </c>
      <c r="J23" s="145">
        <f>'Formular 4 step Y1'!P738</f>
        <v>101</v>
      </c>
      <c r="K23" s="143">
        <f>'Formular 4 step Y1'!P739</f>
        <v>102</v>
      </c>
      <c r="L23" s="141">
        <f>'Formular 4 step Y1'!P740</f>
        <v>103</v>
      </c>
      <c r="M23" s="145">
        <f>'Formular 4 step Y1'!P741</f>
        <v>104</v>
      </c>
      <c r="N23" s="145">
        <f>'Formular 4 step Y1'!Q738</f>
        <v>101</v>
      </c>
      <c r="O23" s="143">
        <f>'Formular 4 step Y1'!Q739</f>
        <v>102</v>
      </c>
      <c r="P23" s="141">
        <f>'Formular 4 step Y1'!Q740</f>
        <v>103</v>
      </c>
      <c r="Q23" s="145">
        <f>'Formular 4 step Y1'!Q741</f>
        <v>104</v>
      </c>
      <c r="R23" s="145">
        <f>'Formular 4 step Y1'!W738</f>
        <v>102</v>
      </c>
      <c r="S23" s="143">
        <f>'Formular 4 step Y1'!W739</f>
        <v>103</v>
      </c>
      <c r="T23" s="141">
        <f>'Formular 4 step Y1'!W740</f>
        <v>104</v>
      </c>
      <c r="U23" s="145">
        <f>'Formular 4 step Y1'!W741</f>
        <v>105</v>
      </c>
    </row>
    <row r="24" spans="1:21" s="144" customFormat="1" x14ac:dyDescent="0.25">
      <c r="A24" s="250" t="s">
        <v>130</v>
      </c>
      <c r="B24" s="143">
        <f>'Formular 4 step Y1'!N763</f>
        <v>156</v>
      </c>
      <c r="C24" s="148">
        <f>'Formular 4 step Y1'!N764</f>
        <v>157</v>
      </c>
      <c r="D24" s="141">
        <f>'Formular 4 step Y1'!N765</f>
        <v>158</v>
      </c>
      <c r="E24" s="145">
        <f>'Formular 4 step Y1'!N766</f>
        <v>159</v>
      </c>
      <c r="F24" s="147">
        <f>'Formular 4 step Y1'!O763</f>
        <v>156</v>
      </c>
      <c r="G24" s="143">
        <f>'Formular 4 step Y1'!O764</f>
        <v>157</v>
      </c>
      <c r="H24" s="141">
        <f>'Formular 4 step Y1'!O765</f>
        <v>158</v>
      </c>
      <c r="I24" s="145">
        <f>'Formular 4 step Y1'!O766</f>
        <v>159</v>
      </c>
      <c r="J24" s="145">
        <f>'Formular 4 step Y1'!P763</f>
        <v>156</v>
      </c>
      <c r="K24" s="143">
        <f>'Formular 4 step Y1'!P764</f>
        <v>157</v>
      </c>
      <c r="L24" s="141">
        <f>'Formular 4 step Y1'!P765</f>
        <v>158</v>
      </c>
      <c r="M24" s="145">
        <f>'Formular 4 step Y1'!P766</f>
        <v>159</v>
      </c>
      <c r="N24" s="145">
        <f>'Formular 4 step Y1'!Q763</f>
        <v>156</v>
      </c>
      <c r="O24" s="143">
        <f>'Formular 4 step Y1'!Q764</f>
        <v>157</v>
      </c>
      <c r="P24" s="141">
        <f>'Formular 4 step Y1'!Q765</f>
        <v>158</v>
      </c>
      <c r="Q24" s="145">
        <f>'Formular 4 step Y1'!Q766</f>
        <v>159</v>
      </c>
      <c r="R24" s="145">
        <f>'Formular 4 step Y1'!W763</f>
        <v>162</v>
      </c>
      <c r="S24" s="143">
        <f>'Formular 4 step Y1'!W764</f>
        <v>163</v>
      </c>
      <c r="T24" s="141">
        <f>'Formular 4 step Y1'!W765</f>
        <v>164</v>
      </c>
      <c r="U24" s="145">
        <f>'Formular 4 step Y1'!W766</f>
        <v>165</v>
      </c>
    </row>
    <row r="25" spans="1:21" s="144" customFormat="1" x14ac:dyDescent="0.25">
      <c r="A25" s="250" t="s">
        <v>116</v>
      </c>
      <c r="B25" s="213">
        <f>'Formular 4 step Y1'!N788</f>
        <v>268</v>
      </c>
      <c r="C25" s="213">
        <f>'Formular 4 step Y1'!N789</f>
        <v>269</v>
      </c>
      <c r="D25" s="213">
        <f>'Formular 4 step Y1'!N790</f>
        <v>270</v>
      </c>
      <c r="E25" s="213">
        <f>'Formular 4 step Y1'!N791</f>
        <v>271</v>
      </c>
      <c r="F25" s="213">
        <f>'Formular 4 step Y1'!O788</f>
        <v>268</v>
      </c>
      <c r="G25" s="213">
        <f>'Formular 4 step Y1'!O789</f>
        <v>269</v>
      </c>
      <c r="H25" s="213">
        <f>'Formular 4 step Y1'!O790</f>
        <v>270</v>
      </c>
      <c r="I25" s="213">
        <f>'Formular 4 step Y1'!O791</f>
        <v>271</v>
      </c>
      <c r="J25" s="213">
        <f>'Formular 4 step Y1'!P788</f>
        <v>268</v>
      </c>
      <c r="K25" s="213">
        <f>'Formular 4 step Y1'!P789</f>
        <v>269</v>
      </c>
      <c r="L25" s="213">
        <f>'Formular 4 step Y1'!P790</f>
        <v>270</v>
      </c>
      <c r="M25" s="213">
        <f>'Formular 4 step Y1'!P791</f>
        <v>271</v>
      </c>
      <c r="N25" s="213">
        <f>'Formular 4 step Y1'!Q788</f>
        <v>268</v>
      </c>
      <c r="O25" s="213">
        <f>'Formular 4 step Y1'!Q789</f>
        <v>269</v>
      </c>
      <c r="P25" s="213">
        <f>'Formular 4 step Y1'!Q790</f>
        <v>270</v>
      </c>
      <c r="Q25" s="213">
        <f>'Formular 4 step Y1'!Q791</f>
        <v>271</v>
      </c>
      <c r="R25" s="213">
        <f>'Formular 4 step Y1'!W788</f>
        <v>247</v>
      </c>
      <c r="S25" s="213">
        <f>'Formular 4 step Y1'!W789</f>
        <v>248</v>
      </c>
      <c r="T25" s="213">
        <f>'Formular 4 step Y1'!W790</f>
        <v>249</v>
      </c>
      <c r="U25" s="213">
        <f>'Formular 4 step Y1'!W791</f>
        <v>250</v>
      </c>
    </row>
    <row r="26" spans="1:21" s="144" customFormat="1" x14ac:dyDescent="0.25">
      <c r="A26" s="250" t="s">
        <v>117</v>
      </c>
      <c r="B26" s="173">
        <f>'Formular 4 step Y1'!N813</f>
        <v>425</v>
      </c>
      <c r="C26" s="141">
        <f>'Formular 4 step Y1'!N814</f>
        <v>426</v>
      </c>
      <c r="D26" s="141">
        <f>'Formular 4 step Y1'!N815</f>
        <v>427</v>
      </c>
      <c r="E26" s="141">
        <f>'Formular 4 step Y1'!N816</f>
        <v>428</v>
      </c>
      <c r="F26" s="173">
        <f>'Formular 4 step Y1'!O813</f>
        <v>425</v>
      </c>
      <c r="G26" s="141">
        <f>'Formular 4 step Y1'!O814</f>
        <v>426</v>
      </c>
      <c r="H26" s="141">
        <f>'Formular 4 step Y1'!O815</f>
        <v>427</v>
      </c>
      <c r="I26" s="141">
        <f>'Formular 4 step Y1'!O816</f>
        <v>428</v>
      </c>
      <c r="J26" s="140">
        <f>'Formular 4 step Y1'!P813</f>
        <v>425</v>
      </c>
      <c r="K26" s="141">
        <f>'Formular 4 step Y1'!P814</f>
        <v>426</v>
      </c>
      <c r="L26" s="141">
        <f>'Formular 4 step Y1'!P815</f>
        <v>427</v>
      </c>
      <c r="M26" s="141">
        <f>'Formular 4 step Y1'!P816</f>
        <v>428</v>
      </c>
      <c r="N26" s="140">
        <f>'Formular 4 step Y1'!Q813</f>
        <v>425</v>
      </c>
      <c r="O26" s="141">
        <f>'Formular 4 step Y1'!Q814</f>
        <v>426</v>
      </c>
      <c r="P26" s="141">
        <f>'Formular 4 step Y1'!Q815</f>
        <v>427</v>
      </c>
      <c r="Q26" s="141">
        <f>'Formular 4 step Y1'!Q816</f>
        <v>428</v>
      </c>
      <c r="R26" s="140">
        <f>'Formular 4 step Y1'!W813</f>
        <v>392</v>
      </c>
      <c r="S26" s="141">
        <f>'Formular 4 step Y1'!W814</f>
        <v>393</v>
      </c>
      <c r="T26" s="141">
        <f>'Formular 4 step Y1'!W815</f>
        <v>394</v>
      </c>
      <c r="U26" s="141">
        <f>'Formular 4 step Y1'!W816</f>
        <v>395</v>
      </c>
    </row>
    <row r="27" spans="1:21" s="144" customFormat="1" x14ac:dyDescent="0.25">
      <c r="A27" s="250" t="s">
        <v>217</v>
      </c>
      <c r="B27" s="143">
        <f>'Formular 4 step Y1'!N214</f>
        <v>847</v>
      </c>
      <c r="C27" s="148">
        <f>'Formular 4 step Y1'!N215</f>
        <v>850</v>
      </c>
      <c r="D27" s="141">
        <f>'Formular 4 step Y1'!N216</f>
        <v>860</v>
      </c>
      <c r="E27" s="141">
        <f>'Formular 4 step Y1'!N217</f>
        <v>870</v>
      </c>
      <c r="F27" s="143">
        <f>'Formular 4 step Y1'!O214</f>
        <v>847</v>
      </c>
      <c r="G27" s="143">
        <f>'Formular 4 step Y1'!O215</f>
        <v>850</v>
      </c>
      <c r="H27" s="141">
        <f>'Formular 4 step Y1'!O216</f>
        <v>860</v>
      </c>
      <c r="I27" s="141">
        <f>'Formular 4 step Y1'!O217</f>
        <v>870</v>
      </c>
      <c r="J27" s="141">
        <f>'Formular 4 step Y1'!P214</f>
        <v>847</v>
      </c>
      <c r="K27" s="143">
        <f>'Formular 4 step Y1'!P215</f>
        <v>850</v>
      </c>
      <c r="L27" s="141">
        <f>'Formular 4 step Y1'!P216</f>
        <v>860</v>
      </c>
      <c r="M27" s="141">
        <f>'Formular 4 step Y1'!P217</f>
        <v>870</v>
      </c>
      <c r="N27" s="141">
        <f>'Formular 4 step Y1'!Q214</f>
        <v>847</v>
      </c>
      <c r="O27" s="143">
        <f>'Formular 4 step Y1'!Q215</f>
        <v>850</v>
      </c>
      <c r="P27" s="141">
        <f>'Formular 4 step Y1'!Q216</f>
        <v>860</v>
      </c>
      <c r="Q27" s="141">
        <f>'Formular 4 step Y1'!Q217</f>
        <v>870</v>
      </c>
      <c r="R27" s="141">
        <f>'Formular 4 step Y1'!W214</f>
        <v>905</v>
      </c>
      <c r="S27" s="143">
        <f>'Formular 4 step Y1'!W215</f>
        <v>908</v>
      </c>
      <c r="T27" s="141">
        <f>'Formular 4 step Y1'!W216</f>
        <v>918</v>
      </c>
      <c r="U27" s="141">
        <f>'Formular 4 step Y1'!W217</f>
        <v>928</v>
      </c>
    </row>
    <row r="28" spans="1:21" s="133" customFormat="1" x14ac:dyDescent="0.25">
      <c r="A28" s="258" t="s">
        <v>209</v>
      </c>
      <c r="B28" s="286">
        <f>'Formular 4 step Y1'!N239</f>
        <v>21.252295999999998</v>
      </c>
      <c r="C28" s="152">
        <f>'Formular 4 step Y1'!N240</f>
        <v>22</v>
      </c>
      <c r="D28" s="118">
        <f>'Formular 4 step Y1'!N241</f>
        <v>23</v>
      </c>
      <c r="E28" s="118">
        <f>'Formular 4 step Y1'!N242</f>
        <v>24</v>
      </c>
      <c r="F28" s="286">
        <f>'Formular 4 step Y1'!O239</f>
        <v>21.252295999999998</v>
      </c>
      <c r="G28" s="134">
        <f>'Formular 4 step Y1'!O240</f>
        <v>22</v>
      </c>
      <c r="H28" s="118">
        <f>'Formular 4 step Y1'!O241</f>
        <v>23</v>
      </c>
      <c r="I28" s="118">
        <f>'Formular 4 step Y1'!O242</f>
        <v>24</v>
      </c>
      <c r="J28" s="317">
        <f>'Formular 4 step Y1'!P239</f>
        <v>21.252295999999998</v>
      </c>
      <c r="K28" s="134">
        <f>'Formular 4 step Y1'!P240</f>
        <v>22</v>
      </c>
      <c r="L28" s="118">
        <f>'Formular 4 step Y1'!P241</f>
        <v>23</v>
      </c>
      <c r="M28" s="118">
        <f>'Formular 4 step Y1'!P242</f>
        <v>24</v>
      </c>
      <c r="N28" s="317">
        <f>'Formular 4 step Y1'!Q239</f>
        <v>21.252295999999998</v>
      </c>
      <c r="O28" s="134">
        <f>'Formular 4 step Y1'!Q240</f>
        <v>22</v>
      </c>
      <c r="P28" s="118">
        <f>'Formular 4 step Y1'!Q241</f>
        <v>23</v>
      </c>
      <c r="Q28" s="118">
        <f>'Formular 4 step Y1'!Q242</f>
        <v>24</v>
      </c>
      <c r="R28" s="317">
        <f>'Formular 4 step Y1'!W239</f>
        <v>22.101662000000001</v>
      </c>
      <c r="S28" s="134">
        <f>'Formular 4 step Y1'!W240</f>
        <v>23</v>
      </c>
      <c r="T28" s="118">
        <f>'Formular 4 step Y1'!W241</f>
        <v>24</v>
      </c>
      <c r="U28" s="118">
        <f>'Formular 4 step Y1'!W242</f>
        <v>25</v>
      </c>
    </row>
    <row r="29" spans="1:21" s="133" customFormat="1" x14ac:dyDescent="0.25">
      <c r="A29" s="258" t="s">
        <v>210</v>
      </c>
      <c r="B29" s="286">
        <f>'Formular 4 step Y1'!N264</f>
        <v>19.721340000000001</v>
      </c>
      <c r="C29" s="152">
        <f>'Formular 4 step Y1'!N265</f>
        <v>21</v>
      </c>
      <c r="D29" s="118">
        <f>'Formular 4 step Y1'!N266</f>
        <v>22</v>
      </c>
      <c r="E29" s="118">
        <f>'Formular 4 step Y1'!N267</f>
        <v>23</v>
      </c>
      <c r="F29" s="286">
        <f>'Formular 4 step Y1'!O264</f>
        <v>19.721340000000001</v>
      </c>
      <c r="G29" s="134">
        <f>'Formular 4 step Y1'!O265</f>
        <v>21</v>
      </c>
      <c r="H29" s="118">
        <f>'Formular 4 step Y1'!O266</f>
        <v>22</v>
      </c>
      <c r="I29" s="118">
        <f>'Formular 4 step Y1'!O267</f>
        <v>23</v>
      </c>
      <c r="J29" s="317">
        <f>'Formular 4 step Y1'!P264</f>
        <v>19.721340000000001</v>
      </c>
      <c r="K29" s="134">
        <f>'Formular 4 step Y1'!P265</f>
        <v>21</v>
      </c>
      <c r="L29" s="118">
        <f>'Formular 4 step Y1'!P266</f>
        <v>22</v>
      </c>
      <c r="M29" s="118">
        <f>'Formular 4 step Y1'!P267</f>
        <v>23</v>
      </c>
      <c r="N29" s="317">
        <f>'Formular 4 step Y1'!Q264</f>
        <v>19.721340000000001</v>
      </c>
      <c r="O29" s="134">
        <f>'Formular 4 step Y1'!Q265</f>
        <v>21</v>
      </c>
      <c r="P29" s="118">
        <f>'Formular 4 step Y1'!Q266</f>
        <v>22</v>
      </c>
      <c r="Q29" s="118">
        <f>'Formular 4 step Y1'!Q267</f>
        <v>23</v>
      </c>
      <c r="R29" s="317">
        <f>'Formular 4 step Y1'!W264</f>
        <v>19.585021999999999</v>
      </c>
      <c r="S29" s="134">
        <f>'Formular 4 step Y1'!W265</f>
        <v>21</v>
      </c>
      <c r="T29" s="118">
        <f>'Formular 4 step Y1'!W266</f>
        <v>22</v>
      </c>
      <c r="U29" s="118">
        <f>'Formular 4 step Y1'!W267</f>
        <v>23</v>
      </c>
    </row>
    <row r="30" spans="1:21" s="133" customFormat="1" x14ac:dyDescent="0.25">
      <c r="A30" s="258" t="s">
        <v>233</v>
      </c>
      <c r="B30" s="286">
        <f>'Formular 4 step Y1'!N289</f>
        <v>24.104487999999996</v>
      </c>
      <c r="C30" s="152">
        <f>'Formular 4 step Y1'!N290</f>
        <v>25</v>
      </c>
      <c r="D30" s="118">
        <f>'Formular 4 step Y1'!N291</f>
        <v>26</v>
      </c>
      <c r="E30" s="118">
        <f>'Formular 4 step Y1'!N292</f>
        <v>27</v>
      </c>
      <c r="F30" s="286">
        <f>'Formular 4 step Y1'!O289</f>
        <v>24.104487999999996</v>
      </c>
      <c r="G30" s="134">
        <f>'Formular 4 step Y1'!O290</f>
        <v>25</v>
      </c>
      <c r="H30" s="118">
        <f>'Formular 4 step Y1'!O291</f>
        <v>26</v>
      </c>
      <c r="I30" s="118">
        <f>'Formular 4 step Y1'!O292</f>
        <v>27</v>
      </c>
      <c r="J30" s="317">
        <f>'Formular 4 step Y1'!P289</f>
        <v>24.104487999999996</v>
      </c>
      <c r="K30" s="134">
        <f>'Formular 4 step Y1'!P290</f>
        <v>25</v>
      </c>
      <c r="L30" s="118">
        <f>'Formular 4 step Y1'!P291</f>
        <v>26</v>
      </c>
      <c r="M30" s="118">
        <f>'Formular 4 step Y1'!P292</f>
        <v>27</v>
      </c>
      <c r="N30" s="317">
        <f>'Formular 4 step Y1'!Q289</f>
        <v>24.104487999999996</v>
      </c>
      <c r="O30" s="134">
        <f>'Formular 4 step Y1'!Q290</f>
        <v>25</v>
      </c>
      <c r="P30" s="118">
        <f>'Formular 4 step Y1'!Q291</f>
        <v>26</v>
      </c>
      <c r="Q30" s="118">
        <f>'Formular 4 step Y1'!Q292</f>
        <v>27</v>
      </c>
      <c r="R30" s="317">
        <f>'Formular 4 step Y1'!W289</f>
        <v>25.079685999999995</v>
      </c>
      <c r="S30" s="134">
        <f>'Formular 4 step Y1'!W290</f>
        <v>26</v>
      </c>
      <c r="T30" s="118">
        <f>'Formular 4 step Y1'!W291</f>
        <v>27</v>
      </c>
      <c r="U30" s="118">
        <f>'Formular 4 step Y1'!W292</f>
        <v>28</v>
      </c>
    </row>
    <row r="31" spans="1:21" s="144" customFormat="1" x14ac:dyDescent="0.25">
      <c r="A31" s="250" t="s">
        <v>211</v>
      </c>
      <c r="B31" s="143">
        <f>'Formular 4 step Y1'!N313</f>
        <v>23</v>
      </c>
      <c r="C31" s="148">
        <f>'Formular 4 step Y1'!N314</f>
        <v>24</v>
      </c>
      <c r="D31" s="141">
        <f>'Formular 4 step Y1'!N315</f>
        <v>25</v>
      </c>
      <c r="E31" s="141">
        <f>'Formular 4 step Y1'!N316</f>
        <v>26</v>
      </c>
      <c r="F31" s="143">
        <f>'Formular 4 step Y1'!O313</f>
        <v>23</v>
      </c>
      <c r="G31" s="143">
        <f>'Formular 4 step Y1'!O314</f>
        <v>24</v>
      </c>
      <c r="H31" s="141">
        <f>'Formular 4 step Y1'!O315</f>
        <v>25</v>
      </c>
      <c r="I31" s="141">
        <f>'Formular 4 step Y1'!O316</f>
        <v>26</v>
      </c>
      <c r="J31" s="141">
        <f>'Formular 4 step Y1'!P313</f>
        <v>23</v>
      </c>
      <c r="K31" s="143">
        <f>'Formular 4 step Y1'!P314</f>
        <v>24</v>
      </c>
      <c r="L31" s="141">
        <f>'Formular 4 step Y1'!P315</f>
        <v>25</v>
      </c>
      <c r="M31" s="141">
        <f>'Formular 4 step Y1'!P316</f>
        <v>26</v>
      </c>
      <c r="N31" s="141">
        <f>'Formular 4 step Y1'!Q313</f>
        <v>23</v>
      </c>
      <c r="O31" s="143">
        <f>'Formular 4 step Y1'!Q314</f>
        <v>24</v>
      </c>
      <c r="P31" s="141">
        <f>'Formular 4 step Y1'!Q315</f>
        <v>25</v>
      </c>
      <c r="Q31" s="141">
        <f>'Formular 4 step Y1'!Q316</f>
        <v>26</v>
      </c>
      <c r="R31" s="141">
        <f>'Formular 4 step Y1'!W313</f>
        <v>23</v>
      </c>
      <c r="S31" s="143">
        <f>'Formular 4 step Y1'!W314</f>
        <v>24</v>
      </c>
      <c r="T31" s="141">
        <f>'Formular 4 step Y1'!W315</f>
        <v>25</v>
      </c>
      <c r="U31" s="141">
        <f>'Formular 4 step Y1'!W316</f>
        <v>26</v>
      </c>
    </row>
    <row r="32" spans="1:21" s="144" customFormat="1" x14ac:dyDescent="0.25">
      <c r="A32" s="250" t="s">
        <v>212</v>
      </c>
      <c r="B32" s="143">
        <f>'Formular 4 step Y1'!N338</f>
        <v>47</v>
      </c>
      <c r="C32" s="148">
        <f>'Formular 4 step Y1'!N339</f>
        <v>48</v>
      </c>
      <c r="D32" s="141">
        <f>'Formular 4 step Y1'!N340</f>
        <v>49</v>
      </c>
      <c r="E32" s="141">
        <f>'Formular 4 step Y1'!N341</f>
        <v>51</v>
      </c>
      <c r="F32" s="143">
        <f>'Formular 4 step Y1'!O338</f>
        <v>47</v>
      </c>
      <c r="G32" s="143">
        <f>'Formular 4 step Y1'!O339</f>
        <v>48</v>
      </c>
      <c r="H32" s="141">
        <f>'Formular 4 step Y1'!O340</f>
        <v>49</v>
      </c>
      <c r="I32" s="141">
        <f>'Formular 4 step Y1'!O341</f>
        <v>51</v>
      </c>
      <c r="J32" s="141">
        <f>'Formular 4 step Y1'!P338</f>
        <v>47</v>
      </c>
      <c r="K32" s="143">
        <f>'Formular 4 step Y1'!P339</f>
        <v>48</v>
      </c>
      <c r="L32" s="141">
        <f>'Formular 4 step Y1'!P340</f>
        <v>49</v>
      </c>
      <c r="M32" s="141">
        <f>'Formular 4 step Y1'!P341</f>
        <v>51</v>
      </c>
      <c r="N32" s="141">
        <f>'Formular 4 step Y1'!Q338</f>
        <v>47</v>
      </c>
      <c r="O32" s="143">
        <f>'Formular 4 step Y1'!Q339</f>
        <v>48</v>
      </c>
      <c r="P32" s="141">
        <f>'Formular 4 step Y1'!Q340</f>
        <v>49</v>
      </c>
      <c r="Q32" s="141">
        <f>'Formular 4 step Y1'!Q341</f>
        <v>51</v>
      </c>
      <c r="R32" s="141">
        <f>'Formular 4 step Y1'!W338</f>
        <v>47</v>
      </c>
      <c r="S32" s="143">
        <f>'Formular 4 step Y1'!W339</f>
        <v>48</v>
      </c>
      <c r="T32" s="141">
        <f>'Formular 4 step Y1'!W340</f>
        <v>49</v>
      </c>
      <c r="U32" s="141">
        <f>'Formular 4 step Y1'!W341</f>
        <v>51</v>
      </c>
    </row>
    <row r="33" spans="1:21" s="144" customFormat="1" x14ac:dyDescent="0.25">
      <c r="A33" s="250" t="s">
        <v>213</v>
      </c>
      <c r="B33" s="143">
        <f>'Formular 4 step Y1'!N888</f>
        <v>48.110608788</v>
      </c>
      <c r="C33" s="148">
        <f>'Formular 4 step Y1'!N889</f>
        <v>48.551990520000004</v>
      </c>
      <c r="D33" s="141">
        <f>'Formular 4 step Y1'!N890</f>
        <v>50</v>
      </c>
      <c r="E33" s="141">
        <f>'Formular 4 step Y1'!N891</f>
        <v>50.758899179999993</v>
      </c>
      <c r="F33" s="143">
        <f>'Formular 4 step Y1'!O888</f>
        <v>48.110608788</v>
      </c>
      <c r="G33" s="143">
        <f>'Formular 4 step Y1'!O889</f>
        <v>48.551990520000004</v>
      </c>
      <c r="H33" s="141">
        <f>'Formular 4 step Y1'!O890</f>
        <v>50</v>
      </c>
      <c r="I33" s="141">
        <f>'Formular 4 step Y1'!O891</f>
        <v>50.758899179999993</v>
      </c>
      <c r="J33" s="141">
        <f>'Formular 4 step Y1'!P888</f>
        <v>48.110608788</v>
      </c>
      <c r="K33" s="143">
        <f>'Formular 4 step Y1'!P889</f>
        <v>48.551990520000004</v>
      </c>
      <c r="L33" s="141">
        <f>'Formular 4 step Y1'!P890</f>
        <v>50</v>
      </c>
      <c r="M33" s="141">
        <f>'Formular 4 step Y1'!P891</f>
        <v>50.758899179999993</v>
      </c>
      <c r="N33" s="141">
        <f>'Formular 4 step Y1'!Q888</f>
        <v>48.110608788</v>
      </c>
      <c r="O33" s="143">
        <f>'Formular 4 step Y1'!Q889</f>
        <v>48.551990520000004</v>
      </c>
      <c r="P33" s="141">
        <f>'Formular 4 step Y1'!Q890</f>
        <v>50</v>
      </c>
      <c r="Q33" s="141">
        <f>'Formular 4 step Y1'!Q891</f>
        <v>50.758899179999993</v>
      </c>
      <c r="R33" s="141">
        <f>'Formular 4 step Y1'!W888</f>
        <v>48.110608788</v>
      </c>
      <c r="S33" s="143">
        <f>'Formular 4 step Y1'!W889</f>
        <v>48.551990520000004</v>
      </c>
      <c r="T33" s="141">
        <f>'Formular 4 step Y1'!W890</f>
        <v>50</v>
      </c>
      <c r="U33" s="141">
        <f>'Formular 4 step Y1'!W891</f>
        <v>50.758899179999993</v>
      </c>
    </row>
    <row r="34" spans="1:21" s="144" customFormat="1" x14ac:dyDescent="0.25">
      <c r="A34" s="250" t="s">
        <v>214</v>
      </c>
      <c r="B34" s="143">
        <f>'Formular 4 step Y1'!N363</f>
        <v>28</v>
      </c>
      <c r="C34" s="148">
        <f>'Formular 4 step Y1'!N364</f>
        <v>29</v>
      </c>
      <c r="D34" s="141">
        <f>'Formular 4 step Y1'!N365</f>
        <v>31</v>
      </c>
      <c r="E34" s="141">
        <f>'Formular 4 step Y1'!N366</f>
        <v>32</v>
      </c>
      <c r="F34" s="143">
        <f>'Formular 4 step Y1'!O363</f>
        <v>28</v>
      </c>
      <c r="G34" s="143">
        <f>'Formular 4 step Y1'!O364</f>
        <v>29</v>
      </c>
      <c r="H34" s="141">
        <f>'Formular 4 step Y1'!O365</f>
        <v>31</v>
      </c>
      <c r="I34" s="141">
        <f>'Formular 4 step Y1'!O366</f>
        <v>32</v>
      </c>
      <c r="J34" s="141">
        <f>'Formular 4 step Y1'!P363</f>
        <v>28</v>
      </c>
      <c r="K34" s="143">
        <f>'Formular 4 step Y1'!P364</f>
        <v>29</v>
      </c>
      <c r="L34" s="141">
        <f>'Formular 4 step Y1'!P365</f>
        <v>31</v>
      </c>
      <c r="M34" s="141">
        <f>'Formular 4 step Y1'!P366</f>
        <v>32</v>
      </c>
      <c r="N34" s="141">
        <f>'Formular 4 step Y1'!Q363</f>
        <v>28</v>
      </c>
      <c r="O34" s="143">
        <f>'Formular 4 step Y1'!Q364</f>
        <v>29</v>
      </c>
      <c r="P34" s="141">
        <f>'Formular 4 step Y1'!Q365</f>
        <v>31</v>
      </c>
      <c r="Q34" s="141">
        <f>'Formular 4 step Y1'!Q366</f>
        <v>32</v>
      </c>
      <c r="R34" s="141">
        <f>'Formular 4 step Y1'!W363</f>
        <v>28</v>
      </c>
      <c r="S34" s="143">
        <f>'Formular 4 step Y1'!W364</f>
        <v>29</v>
      </c>
      <c r="T34" s="141">
        <f>'Formular 4 step Y1'!W365</f>
        <v>31</v>
      </c>
      <c r="U34" s="141">
        <f>'Formular 4 step Y1'!W366</f>
        <v>32</v>
      </c>
    </row>
    <row r="35" spans="1:21" s="144" customFormat="1" x14ac:dyDescent="0.25">
      <c r="A35" s="250" t="s">
        <v>215</v>
      </c>
      <c r="B35" s="143">
        <f>'Formular 4 step Y1'!N388</f>
        <v>58</v>
      </c>
      <c r="C35" s="148">
        <f>'Formular 4 step Y1'!N389</f>
        <v>59</v>
      </c>
      <c r="D35" s="141">
        <f>'Formular 4 step Y1'!N390</f>
        <v>60</v>
      </c>
      <c r="E35" s="141">
        <f>'Formular 4 step Y1'!N391</f>
        <v>62</v>
      </c>
      <c r="F35" s="143">
        <f>'Formular 4 step Y1'!O388</f>
        <v>58</v>
      </c>
      <c r="G35" s="143">
        <f>'Formular 4 step Y1'!O389</f>
        <v>59</v>
      </c>
      <c r="H35" s="141">
        <f>'Formular 4 step Y1'!O390</f>
        <v>60</v>
      </c>
      <c r="I35" s="141">
        <f>'Formular 4 step Y1'!O391</f>
        <v>62</v>
      </c>
      <c r="J35" s="141">
        <f>'Formular 4 step Y1'!P388</f>
        <v>58</v>
      </c>
      <c r="K35" s="143">
        <f>'Formular 4 step Y1'!P389</f>
        <v>59</v>
      </c>
      <c r="L35" s="141">
        <f>'Formular 4 step Y1'!P390</f>
        <v>60</v>
      </c>
      <c r="M35" s="141">
        <f>'Formular 4 step Y1'!P391</f>
        <v>62</v>
      </c>
      <c r="N35" s="141">
        <f>'Formular 4 step Y1'!Q388</f>
        <v>58</v>
      </c>
      <c r="O35" s="143">
        <f>'Formular 4 step Y1'!Q389</f>
        <v>59</v>
      </c>
      <c r="P35" s="141">
        <f>'Formular 4 step Y1'!Q390</f>
        <v>60</v>
      </c>
      <c r="Q35" s="141">
        <f>'Formular 4 step Y1'!Q391</f>
        <v>62</v>
      </c>
      <c r="R35" s="141">
        <f>'Formular 4 step Y1'!W388</f>
        <v>58</v>
      </c>
      <c r="S35" s="143">
        <f>'Formular 4 step Y1'!W389</f>
        <v>59</v>
      </c>
      <c r="T35" s="141">
        <f>'Formular 4 step Y1'!W390</f>
        <v>60</v>
      </c>
      <c r="U35" s="141">
        <f>'Formular 4 step Y1'!W391</f>
        <v>62</v>
      </c>
    </row>
    <row r="36" spans="1:21" s="144" customFormat="1" x14ac:dyDescent="0.25">
      <c r="A36" s="250" t="s">
        <v>216</v>
      </c>
      <c r="B36" s="143">
        <f>'Formular 4 step Y1'!N913</f>
        <v>64.750024280000005</v>
      </c>
      <c r="C36" s="148">
        <f>'Formular 4 step Y1'!N914</f>
        <v>66</v>
      </c>
      <c r="D36" s="141">
        <f>'Formular 4 step Y1'!N915</f>
        <v>66.53213504</v>
      </c>
      <c r="E36" s="141">
        <f>'Formular 4 step Y1'!N916</f>
        <v>68.314245799999995</v>
      </c>
      <c r="F36" s="143">
        <f>'Formular 4 step Y1'!O913</f>
        <v>64.750024280000005</v>
      </c>
      <c r="G36" s="143">
        <f>'Formular 4 step Y1'!O914</f>
        <v>66</v>
      </c>
      <c r="H36" s="141">
        <f>'Formular 4 step Y1'!O915</f>
        <v>66.53213504</v>
      </c>
      <c r="I36" s="141">
        <f>'Formular 4 step Y1'!O916</f>
        <v>68.314245799999995</v>
      </c>
      <c r="J36" s="141">
        <f>'Formular 4 step Y1'!P913</f>
        <v>64.750024280000005</v>
      </c>
      <c r="K36" s="143">
        <f>'Formular 4 step Y1'!P914</f>
        <v>66</v>
      </c>
      <c r="L36" s="141">
        <f>'Formular 4 step Y1'!P915</f>
        <v>66.53213504</v>
      </c>
      <c r="M36" s="141">
        <f>'Formular 4 step Y1'!P916</f>
        <v>68.314245799999995</v>
      </c>
      <c r="N36" s="141">
        <f>'Formular 4 step Y1'!Q913</f>
        <v>64.750024280000005</v>
      </c>
      <c r="O36" s="143">
        <f>'Formular 4 step Y1'!Q914</f>
        <v>66</v>
      </c>
      <c r="P36" s="141">
        <f>'Formular 4 step Y1'!Q915</f>
        <v>66.53213504</v>
      </c>
      <c r="Q36" s="141">
        <f>'Formular 4 step Y1'!Q916</f>
        <v>68.314245799999995</v>
      </c>
      <c r="R36" s="141">
        <f>'Formular 4 step Y1'!W913</f>
        <v>64.750024280000005</v>
      </c>
      <c r="S36" s="143">
        <f>'Formular 4 step Y1'!W914</f>
        <v>66</v>
      </c>
      <c r="T36" s="141">
        <f>'Formular 4 step Y1'!W915</f>
        <v>66.53213504</v>
      </c>
      <c r="U36" s="141">
        <f>'Formular 4 step Y1'!W916</f>
        <v>68.314245799999995</v>
      </c>
    </row>
    <row r="37" spans="1:21" x14ac:dyDescent="0.25">
      <c r="A37" s="262" t="s">
        <v>84</v>
      </c>
      <c r="B37" s="85">
        <f>'Formular 4 step Y1'!N413</f>
        <v>190</v>
      </c>
      <c r="C37" s="91">
        <f>'Formular 4 step Y1'!N414</f>
        <v>191</v>
      </c>
      <c r="D37" s="76">
        <f>'Formular 4 step Y1'!N415</f>
        <v>196</v>
      </c>
      <c r="E37" s="76">
        <f>'Formular 4 step Y1'!N416</f>
        <v>201</v>
      </c>
      <c r="F37" s="85">
        <f>'Formular 4 step Y1'!O413</f>
        <v>190</v>
      </c>
      <c r="G37" s="85">
        <f>'Formular 4 step Y1'!O414</f>
        <v>191</v>
      </c>
      <c r="H37" s="76">
        <f>'Formular 4 step Y1'!O415</f>
        <v>196</v>
      </c>
      <c r="I37" s="76">
        <f>'Formular 4 step Y1'!O416</f>
        <v>201</v>
      </c>
      <c r="J37" s="76">
        <f>'Formular 4 step Y1'!P413</f>
        <v>190</v>
      </c>
      <c r="K37" s="85">
        <f>'Formular 4 step Y1'!P414</f>
        <v>191</v>
      </c>
      <c r="L37" s="76">
        <f>'Formular 4 step Y1'!P415</f>
        <v>196</v>
      </c>
      <c r="M37" s="76">
        <f>'Formular 4 step Y1'!P416</f>
        <v>201</v>
      </c>
      <c r="N37" s="76">
        <f>'Formular 4 step Y1'!Q413</f>
        <v>190</v>
      </c>
      <c r="O37" s="85">
        <f>'Formular 4 step Y1'!Q414</f>
        <v>191</v>
      </c>
      <c r="P37" s="76">
        <f>'Formular 4 step Y1'!Q415</f>
        <v>196</v>
      </c>
      <c r="Q37" s="76">
        <f>'Formular 4 step Y1'!Q416</f>
        <v>201</v>
      </c>
      <c r="R37" s="76">
        <f>'Formular 4 step Y1'!W413</f>
        <v>190</v>
      </c>
      <c r="S37" s="85">
        <f>'Formular 4 step Y1'!W414</f>
        <v>191</v>
      </c>
      <c r="T37" s="76">
        <f>'Formular 4 step Y1'!W415</f>
        <v>196</v>
      </c>
      <c r="U37" s="76">
        <f>'Formular 4 step Y1'!W416</f>
        <v>201</v>
      </c>
    </row>
    <row r="38" spans="1:21" x14ac:dyDescent="0.25">
      <c r="A38" s="262" t="s">
        <v>85</v>
      </c>
      <c r="B38" s="85">
        <f>'Formular 4 step Y1'!N438</f>
        <v>263</v>
      </c>
      <c r="C38" s="91">
        <f>'Formular 4 step Y1'!N439</f>
        <v>265</v>
      </c>
      <c r="D38" s="76">
        <f>'Formular 4 step Y1'!N440</f>
        <v>267</v>
      </c>
      <c r="E38" s="76">
        <f>'Formular 4 step Y1'!N441</f>
        <v>269</v>
      </c>
      <c r="F38" s="85">
        <f>'Formular 4 step Y1'!O438</f>
        <v>263</v>
      </c>
      <c r="G38" s="85">
        <f>'Formular 4 step Y1'!O439</f>
        <v>265</v>
      </c>
      <c r="H38" s="76">
        <f>'Formular 4 step Y1'!O440</f>
        <v>267</v>
      </c>
      <c r="I38" s="76">
        <f>'Formular 4 step Y1'!O441</f>
        <v>269</v>
      </c>
      <c r="J38" s="76">
        <f>'Formular 4 step Y1'!P438</f>
        <v>263</v>
      </c>
      <c r="K38" s="85">
        <f>'Formular 4 step Y1'!P439</f>
        <v>265</v>
      </c>
      <c r="L38" s="76">
        <f>'Formular 4 step Y1'!P440</f>
        <v>267</v>
      </c>
      <c r="M38" s="76">
        <f>'Formular 4 step Y1'!P441</f>
        <v>269</v>
      </c>
      <c r="N38" s="76">
        <f>'Formular 4 step Y1'!Q438</f>
        <v>263</v>
      </c>
      <c r="O38" s="85">
        <f>'Formular 4 step Y1'!Q439</f>
        <v>265</v>
      </c>
      <c r="P38" s="76">
        <f>'Formular 4 step Y1'!Q440</f>
        <v>267</v>
      </c>
      <c r="Q38" s="76">
        <f>'Formular 4 step Y1'!Q441</f>
        <v>269</v>
      </c>
      <c r="R38" s="76">
        <f>'Formular 4 step Y1'!W438</f>
        <v>263</v>
      </c>
      <c r="S38" s="85">
        <f>'Formular 4 step Y1'!W439</f>
        <v>265</v>
      </c>
      <c r="T38" s="76">
        <f>'Formular 4 step Y1'!W440</f>
        <v>267</v>
      </c>
      <c r="U38" s="76">
        <f>'Formular 4 step Y1'!W441</f>
        <v>269</v>
      </c>
    </row>
    <row r="39" spans="1:21" x14ac:dyDescent="0.25">
      <c r="A39" s="262" t="s">
        <v>86</v>
      </c>
      <c r="B39" s="85">
        <f>'Formular 4 step Y1'!N463</f>
        <v>322</v>
      </c>
      <c r="C39" s="91">
        <f>'Formular 4 step Y1'!N464</f>
        <v>324</v>
      </c>
      <c r="D39" s="76">
        <f>'Formular 4 step Y1'!N465</f>
        <v>326</v>
      </c>
      <c r="E39" s="76">
        <f>'Formular 4 step Y1'!N466</f>
        <v>328</v>
      </c>
      <c r="F39" s="85">
        <f>'Formular 4 step Y1'!O463</f>
        <v>322</v>
      </c>
      <c r="G39" s="85">
        <f>'Formular 4 step Y1'!O464</f>
        <v>324</v>
      </c>
      <c r="H39" s="76">
        <f>'Formular 4 step Y1'!O465</f>
        <v>326</v>
      </c>
      <c r="I39" s="76">
        <f>'Formular 4 step Y1'!O466</f>
        <v>328</v>
      </c>
      <c r="J39" s="76">
        <f>'Formular 4 step Y1'!P463</f>
        <v>322</v>
      </c>
      <c r="K39" s="85">
        <f>'Formular 4 step Y1'!P464</f>
        <v>324</v>
      </c>
      <c r="L39" s="76">
        <f>'Formular 4 step Y1'!P465</f>
        <v>326</v>
      </c>
      <c r="M39" s="76">
        <f>'Formular 4 step Y1'!P466</f>
        <v>328</v>
      </c>
      <c r="N39" s="76">
        <f>'Formular 4 step Y1'!Q463</f>
        <v>322</v>
      </c>
      <c r="O39" s="85">
        <f>'Formular 4 step Y1'!Q464</f>
        <v>324</v>
      </c>
      <c r="P39" s="76">
        <f>'Formular 4 step Y1'!Q465</f>
        <v>326</v>
      </c>
      <c r="Q39" s="76">
        <f>'Formular 4 step Y1'!Q466</f>
        <v>328</v>
      </c>
      <c r="R39" s="76">
        <f>'Formular 4 step Y1'!W463</f>
        <v>322</v>
      </c>
      <c r="S39" s="85">
        <f>'Formular 4 step Y1'!W464</f>
        <v>324</v>
      </c>
      <c r="T39" s="76">
        <f>'Formular 4 step Y1'!W465</f>
        <v>326</v>
      </c>
      <c r="U39" s="76">
        <f>'Formular 4 step Y1'!W466</f>
        <v>328</v>
      </c>
    </row>
    <row r="40" spans="1:21" x14ac:dyDescent="0.25">
      <c r="A40" s="262" t="s">
        <v>87</v>
      </c>
      <c r="B40" s="85">
        <f>'Formular 4 step Y1'!N488</f>
        <v>776</v>
      </c>
      <c r="C40" s="91">
        <f>'Formular 4 step Y1'!N489</f>
        <v>778</v>
      </c>
      <c r="D40" s="76">
        <f>'Formular 4 step Y1'!N490</f>
        <v>783</v>
      </c>
      <c r="E40" s="76">
        <f>'Formular 4 step Y1'!N491</f>
        <v>788</v>
      </c>
      <c r="F40" s="85">
        <f>'Formular 4 step Y1'!O488</f>
        <v>776</v>
      </c>
      <c r="G40" s="85">
        <f>'Formular 4 step Y1'!O489</f>
        <v>778</v>
      </c>
      <c r="H40" s="76">
        <f>'Formular 4 step Y1'!O490</f>
        <v>783</v>
      </c>
      <c r="I40" s="76">
        <f>'Formular 4 step Y1'!O491</f>
        <v>788</v>
      </c>
      <c r="J40" s="76">
        <f>'Formular 4 step Y1'!P488</f>
        <v>776</v>
      </c>
      <c r="K40" s="85">
        <f>'Formular 4 step Y1'!P489</f>
        <v>778</v>
      </c>
      <c r="L40" s="76">
        <f>'Formular 4 step Y1'!P490</f>
        <v>783</v>
      </c>
      <c r="M40" s="76">
        <f>'Formular 4 step Y1'!P491</f>
        <v>788</v>
      </c>
      <c r="N40" s="76">
        <f>'Formular 4 step Y1'!Q488</f>
        <v>776</v>
      </c>
      <c r="O40" s="85">
        <f>'Formular 4 step Y1'!Q489</f>
        <v>778</v>
      </c>
      <c r="P40" s="76">
        <f>'Formular 4 step Y1'!Q490</f>
        <v>783</v>
      </c>
      <c r="Q40" s="76">
        <f>'Formular 4 step Y1'!Q491</f>
        <v>788</v>
      </c>
      <c r="R40" s="76">
        <f>'Formular 4 step Y1'!W488</f>
        <v>776</v>
      </c>
      <c r="S40" s="85">
        <f>'Formular 4 step Y1'!W489</f>
        <v>778</v>
      </c>
      <c r="T40" s="76">
        <f>'Formular 4 step Y1'!W490</f>
        <v>783</v>
      </c>
      <c r="U40" s="76">
        <f>'Formular 4 step Y1'!W491</f>
        <v>788</v>
      </c>
    </row>
    <row r="41" spans="1:21" x14ac:dyDescent="0.25">
      <c r="A41" s="262" t="s">
        <v>88</v>
      </c>
      <c r="B41" s="85">
        <f>'Formular 4 step Y1'!N513</f>
        <v>259</v>
      </c>
      <c r="C41" s="91">
        <f>'Formular 4 step Y1'!N514</f>
        <v>261</v>
      </c>
      <c r="D41" s="76">
        <f>'Formular 4 step Y1'!N515</f>
        <v>264</v>
      </c>
      <c r="E41" s="76">
        <f>'Formular 4 step Y1'!N516</f>
        <v>266</v>
      </c>
      <c r="F41" s="85">
        <f>'Formular 4 step Y1'!O513</f>
        <v>259</v>
      </c>
      <c r="G41" s="85">
        <f>'Formular 4 step Y1'!O514</f>
        <v>261</v>
      </c>
      <c r="H41" s="76">
        <f>'Formular 4 step Y1'!O515</f>
        <v>264</v>
      </c>
      <c r="I41" s="76">
        <f>'Formular 4 step Y1'!O516</f>
        <v>266</v>
      </c>
      <c r="J41" s="76">
        <f>'Formular 4 step Y1'!P513</f>
        <v>259</v>
      </c>
      <c r="K41" s="85">
        <f>'Formular 4 step Y1'!P514</f>
        <v>261</v>
      </c>
      <c r="L41" s="76">
        <f>'Formular 4 step Y1'!P515</f>
        <v>264</v>
      </c>
      <c r="M41" s="76">
        <f>'Formular 4 step Y1'!P516</f>
        <v>266</v>
      </c>
      <c r="N41" s="76">
        <f>'Formular 4 step Y1'!Q513</f>
        <v>259</v>
      </c>
      <c r="O41" s="85">
        <f>'Formular 4 step Y1'!Q514</f>
        <v>261</v>
      </c>
      <c r="P41" s="76">
        <f>'Formular 4 step Y1'!Q515</f>
        <v>264</v>
      </c>
      <c r="Q41" s="76">
        <f>'Formular 4 step Y1'!Q516</f>
        <v>266</v>
      </c>
      <c r="R41" s="76">
        <f>'Formular 4 step Y1'!W513</f>
        <v>259</v>
      </c>
      <c r="S41" s="85">
        <f>'Formular 4 step Y1'!W514</f>
        <v>261</v>
      </c>
      <c r="T41" s="76">
        <f>'Formular 4 step Y1'!W515</f>
        <v>264</v>
      </c>
      <c r="U41" s="76">
        <f>'Formular 4 step Y1'!W516</f>
        <v>266</v>
      </c>
    </row>
    <row r="42" spans="1:21" x14ac:dyDescent="0.25">
      <c r="A42" s="262" t="s">
        <v>89</v>
      </c>
      <c r="B42" s="85">
        <f>'Formular 4 step Y1'!N538</f>
        <v>324</v>
      </c>
      <c r="C42" s="91">
        <f>'Formular 4 step Y1'!N539</f>
        <v>326</v>
      </c>
      <c r="D42" s="76">
        <f>'Formular 4 step Y1'!N540</f>
        <v>329</v>
      </c>
      <c r="E42" s="76">
        <f>'Formular 4 step Y1'!N541</f>
        <v>331</v>
      </c>
      <c r="F42" s="85">
        <f>'Formular 4 step Y1'!O538</f>
        <v>324</v>
      </c>
      <c r="G42" s="85">
        <f>'Formular 4 step Y1'!O539</f>
        <v>326</v>
      </c>
      <c r="H42" s="76">
        <f>'Formular 4 step Y1'!O540</f>
        <v>329</v>
      </c>
      <c r="I42" s="76">
        <f>'Formular 4 step Y1'!O541</f>
        <v>331</v>
      </c>
      <c r="J42" s="76">
        <f>'Formular 4 step Y1'!P538</f>
        <v>324</v>
      </c>
      <c r="K42" s="85">
        <f>'Formular 4 step Y1'!P539</f>
        <v>326</v>
      </c>
      <c r="L42" s="76">
        <f>'Formular 4 step Y1'!P540</f>
        <v>329</v>
      </c>
      <c r="M42" s="76">
        <f>'Formular 4 step Y1'!P541</f>
        <v>331</v>
      </c>
      <c r="N42" s="76">
        <f>'Formular 4 step Y1'!Q538</f>
        <v>324</v>
      </c>
      <c r="O42" s="85">
        <f>'Formular 4 step Y1'!Q539</f>
        <v>326</v>
      </c>
      <c r="P42" s="76">
        <f>'Formular 4 step Y1'!Q540</f>
        <v>329</v>
      </c>
      <c r="Q42" s="76">
        <f>'Formular 4 step Y1'!Q541</f>
        <v>331</v>
      </c>
      <c r="R42" s="76">
        <f>'Formular 4 step Y1'!W538</f>
        <v>324</v>
      </c>
      <c r="S42" s="85">
        <f>'Formular 4 step Y1'!W539</f>
        <v>326</v>
      </c>
      <c r="T42" s="76">
        <f>'Formular 4 step Y1'!W540</f>
        <v>329</v>
      </c>
      <c r="U42" s="76">
        <f>'Formular 4 step Y1'!W541</f>
        <v>331</v>
      </c>
    </row>
    <row r="43" spans="1:21" x14ac:dyDescent="0.25">
      <c r="A43" s="262" t="s">
        <v>90</v>
      </c>
      <c r="B43" s="85">
        <f>'Formular 4 step Y1'!N563</f>
        <v>388</v>
      </c>
      <c r="C43" s="91">
        <f>'Formular 4 step Y1'!N564</f>
        <v>390</v>
      </c>
      <c r="D43" s="76">
        <f>'Formular 4 step Y1'!N565</f>
        <v>392</v>
      </c>
      <c r="E43" s="76">
        <f>'Formular 4 step Y1'!N566</f>
        <v>394</v>
      </c>
      <c r="F43" s="85">
        <f>'Formular 4 step Y1'!O563</f>
        <v>388</v>
      </c>
      <c r="G43" s="85">
        <f>'Formular 4 step Y1'!O564</f>
        <v>390</v>
      </c>
      <c r="H43" s="76">
        <f>'Formular 4 step Y1'!O565</f>
        <v>392</v>
      </c>
      <c r="I43" s="76">
        <f>'Formular 4 step Y1'!O566</f>
        <v>394</v>
      </c>
      <c r="J43" s="76">
        <f>'Formular 4 step Y1'!P563</f>
        <v>388</v>
      </c>
      <c r="K43" s="85">
        <f>'Formular 4 step Y1'!P564</f>
        <v>390</v>
      </c>
      <c r="L43" s="76">
        <f>'Formular 4 step Y1'!P565</f>
        <v>392</v>
      </c>
      <c r="M43" s="76">
        <f>'Formular 4 step Y1'!P566</f>
        <v>394</v>
      </c>
      <c r="N43" s="76">
        <f>'Formular 4 step Y1'!Q563</f>
        <v>388</v>
      </c>
      <c r="O43" s="85">
        <f>'Formular 4 step Y1'!Q564</f>
        <v>390</v>
      </c>
      <c r="P43" s="76">
        <f>'Formular 4 step Y1'!Q565</f>
        <v>392</v>
      </c>
      <c r="Q43" s="76">
        <f>'Formular 4 step Y1'!Q566</f>
        <v>394</v>
      </c>
      <c r="R43" s="76">
        <f>'Formular 4 step Y1'!W563</f>
        <v>388</v>
      </c>
      <c r="S43" s="85">
        <f>'Formular 4 step Y1'!W564</f>
        <v>390</v>
      </c>
      <c r="T43" s="76">
        <f>'Formular 4 step Y1'!W565</f>
        <v>392</v>
      </c>
      <c r="U43" s="76">
        <f>'Formular 4 step Y1'!W566</f>
        <v>394</v>
      </c>
    </row>
    <row r="44" spans="1:21" x14ac:dyDescent="0.25">
      <c r="A44" s="262" t="s">
        <v>91</v>
      </c>
      <c r="B44" s="85">
        <f>'Formular 4 step Y1'!N588</f>
        <v>972</v>
      </c>
      <c r="C44" s="91">
        <f>'Formular 4 step Y1'!N589</f>
        <v>982</v>
      </c>
      <c r="D44" s="76">
        <f>'Formular 4 step Y1'!N590</f>
        <v>987</v>
      </c>
      <c r="E44" s="76">
        <f>'Formular 4 step Y1'!N591</f>
        <v>992</v>
      </c>
      <c r="F44" s="85">
        <f>'Formular 4 step Y1'!O588</f>
        <v>972</v>
      </c>
      <c r="G44" s="85">
        <f>'Formular 4 step Y1'!O589</f>
        <v>982</v>
      </c>
      <c r="H44" s="76">
        <f>'Formular 4 step Y1'!O590</f>
        <v>987</v>
      </c>
      <c r="I44" s="76">
        <f>'Formular 4 step Y1'!O591</f>
        <v>992</v>
      </c>
      <c r="J44" s="76">
        <f>'Formular 4 step Y1'!P588</f>
        <v>972</v>
      </c>
      <c r="K44" s="85">
        <f>'Formular 4 step Y1'!P589</f>
        <v>982</v>
      </c>
      <c r="L44" s="76">
        <f>'Formular 4 step Y1'!P590</f>
        <v>987</v>
      </c>
      <c r="M44" s="76">
        <f>'Formular 4 step Y1'!P591</f>
        <v>992</v>
      </c>
      <c r="N44" s="76">
        <f>'Formular 4 step Y1'!Q588</f>
        <v>972</v>
      </c>
      <c r="O44" s="85">
        <f>'Formular 4 step Y1'!Q589</f>
        <v>982</v>
      </c>
      <c r="P44" s="76">
        <f>'Formular 4 step Y1'!Q590</f>
        <v>987</v>
      </c>
      <c r="Q44" s="76">
        <f>'Formular 4 step Y1'!Q591</f>
        <v>992</v>
      </c>
      <c r="R44" s="76">
        <f>'Formular 4 step Y1'!W588</f>
        <v>972</v>
      </c>
      <c r="S44" s="85">
        <f>'Formular 4 step Y1'!W589</f>
        <v>982</v>
      </c>
      <c r="T44" s="76">
        <f>'Formular 4 step Y1'!W590</f>
        <v>987</v>
      </c>
      <c r="U44" s="76">
        <f>'Formular 4 step Y1'!W591</f>
        <v>992</v>
      </c>
    </row>
    <row r="45" spans="1:21" s="144" customFormat="1" x14ac:dyDescent="0.25">
      <c r="A45" s="250" t="s">
        <v>92</v>
      </c>
      <c r="B45" s="143">
        <f>'Formular 4 step Y1'!N613</f>
        <v>149.076525</v>
      </c>
      <c r="C45" s="148">
        <f>'Formular 4 step Y1'!N614</f>
        <v>150</v>
      </c>
      <c r="D45" s="141">
        <f>'Formular 4 step Y1'!N615</f>
        <v>151</v>
      </c>
      <c r="E45" s="141">
        <f>'Formular 4 step Y1'!N616</f>
        <v>153</v>
      </c>
      <c r="F45" s="143">
        <f>'Formular 4 step Y1'!O613</f>
        <v>149.076525</v>
      </c>
      <c r="G45" s="143">
        <f>'Formular 4 step Y1'!O614</f>
        <v>150</v>
      </c>
      <c r="H45" s="141">
        <f>'Formular 4 step Y1'!O615</f>
        <v>151</v>
      </c>
      <c r="I45" s="141">
        <f>'Formular 4 step Y1'!O616</f>
        <v>153</v>
      </c>
      <c r="J45" s="141">
        <f>'Formular 4 step Y1'!P613</f>
        <v>149.076525</v>
      </c>
      <c r="K45" s="143">
        <f>'Formular 4 step Y1'!P614</f>
        <v>150</v>
      </c>
      <c r="L45" s="141">
        <f>'Formular 4 step Y1'!P615</f>
        <v>151</v>
      </c>
      <c r="M45" s="141">
        <f>'Formular 4 step Y1'!P616</f>
        <v>153</v>
      </c>
      <c r="N45" s="141">
        <f>'Formular 4 step Y1'!Q613</f>
        <v>149.076525</v>
      </c>
      <c r="O45" s="143">
        <f>'Formular 4 step Y1'!Q614</f>
        <v>150</v>
      </c>
      <c r="P45" s="141">
        <f>'Formular 4 step Y1'!Q615</f>
        <v>151</v>
      </c>
      <c r="Q45" s="141">
        <f>'Formular 4 step Y1'!Q616</f>
        <v>153</v>
      </c>
      <c r="R45" s="141">
        <f>'Formular 4 step Y1'!W613</f>
        <v>147.26385999999999</v>
      </c>
      <c r="S45" s="143">
        <f>'Formular 4 step Y1'!W614</f>
        <v>148</v>
      </c>
      <c r="T45" s="141">
        <f>'Formular 4 step Y1'!W615</f>
        <v>149</v>
      </c>
      <c r="U45" s="141">
        <f>'Formular 4 step Y1'!W616</f>
        <v>151</v>
      </c>
    </row>
    <row r="46" spans="1:21" s="144" customFormat="1" x14ac:dyDescent="0.25">
      <c r="A46" s="250" t="s">
        <v>93</v>
      </c>
      <c r="B46" s="143">
        <f>'Formular 4 step Y1'!N638</f>
        <v>97</v>
      </c>
      <c r="C46" s="148">
        <f>'Formular 4 step Y1'!N639</f>
        <v>99</v>
      </c>
      <c r="D46" s="141">
        <f>'Formular 4 step Y1'!N640</f>
        <v>100</v>
      </c>
      <c r="E46" s="141">
        <f>'Formular 4 step Y1'!N641</f>
        <v>101</v>
      </c>
      <c r="F46" s="143">
        <f>'Formular 4 step Y1'!O638</f>
        <v>97</v>
      </c>
      <c r="G46" s="143">
        <f>'Formular 4 step Y1'!O639</f>
        <v>99</v>
      </c>
      <c r="H46" s="141">
        <f>'Formular 4 step Y1'!O640</f>
        <v>100</v>
      </c>
      <c r="I46" s="141">
        <f>'Formular 4 step Y1'!O641</f>
        <v>101</v>
      </c>
      <c r="J46" s="141">
        <f>'Formular 4 step Y1'!P638</f>
        <v>97</v>
      </c>
      <c r="K46" s="143">
        <f>'Formular 4 step Y1'!P639</f>
        <v>99</v>
      </c>
      <c r="L46" s="141">
        <f>'Formular 4 step Y1'!P640</f>
        <v>100</v>
      </c>
      <c r="M46" s="141">
        <f>'Formular 4 step Y1'!P641</f>
        <v>101</v>
      </c>
      <c r="N46" s="141">
        <f>'Formular 4 step Y1'!Q638</f>
        <v>97</v>
      </c>
      <c r="O46" s="143">
        <f>'Formular 4 step Y1'!Q639</f>
        <v>99</v>
      </c>
      <c r="P46" s="141">
        <f>'Formular 4 step Y1'!Q640</f>
        <v>100</v>
      </c>
      <c r="Q46" s="141">
        <f>'Formular 4 step Y1'!Q641</f>
        <v>101</v>
      </c>
      <c r="R46" s="141">
        <f>'Formular 4 step Y1'!W638</f>
        <v>97</v>
      </c>
      <c r="S46" s="143">
        <f>'Formular 4 step Y1'!W639</f>
        <v>99</v>
      </c>
      <c r="T46" s="141">
        <f>'Formular 4 step Y1'!W640</f>
        <v>100</v>
      </c>
      <c r="U46" s="141">
        <f>'Formular 4 step Y1'!W641</f>
        <v>101</v>
      </c>
    </row>
    <row r="47" spans="1:21" s="144" customFormat="1" x14ac:dyDescent="0.25">
      <c r="A47" s="250" t="s">
        <v>94</v>
      </c>
      <c r="B47" s="143">
        <f>'Formular 4 step Y1'!N663</f>
        <v>184</v>
      </c>
      <c r="C47" s="148">
        <f>'Formular 4 step Y1'!N664</f>
        <v>185</v>
      </c>
      <c r="D47" s="141">
        <f>'Formular 4 step Y1'!N665</f>
        <v>187</v>
      </c>
      <c r="E47" s="141">
        <f>'Formular 4 step Y1'!N666</f>
        <v>189</v>
      </c>
      <c r="F47" s="143">
        <f>'Formular 4 step Y1'!O663</f>
        <v>184</v>
      </c>
      <c r="G47" s="143">
        <f>'Formular 4 step Y1'!O664</f>
        <v>185</v>
      </c>
      <c r="H47" s="141">
        <f>'Formular 4 step Y1'!O665</f>
        <v>187</v>
      </c>
      <c r="I47" s="141">
        <f>'Formular 4 step Y1'!O666</f>
        <v>189</v>
      </c>
      <c r="J47" s="141">
        <f>'Formular 4 step Y1'!P663</f>
        <v>184</v>
      </c>
      <c r="K47" s="143">
        <f>'Formular 4 step Y1'!P664</f>
        <v>185</v>
      </c>
      <c r="L47" s="141">
        <f>'Formular 4 step Y1'!P665</f>
        <v>187</v>
      </c>
      <c r="M47" s="141">
        <f>'Formular 4 step Y1'!P666</f>
        <v>189</v>
      </c>
      <c r="N47" s="141">
        <f>'Formular 4 step Y1'!Q663</f>
        <v>184</v>
      </c>
      <c r="O47" s="143">
        <f>'Formular 4 step Y1'!Q664</f>
        <v>185</v>
      </c>
      <c r="P47" s="141">
        <f>'Formular 4 step Y1'!Q665</f>
        <v>187</v>
      </c>
      <c r="Q47" s="141">
        <f>'Formular 4 step Y1'!Q666</f>
        <v>189</v>
      </c>
      <c r="R47" s="141">
        <f>'Formular 4 step Y1'!W663</f>
        <v>184</v>
      </c>
      <c r="S47" s="143">
        <f>'Formular 4 step Y1'!W664</f>
        <v>185</v>
      </c>
      <c r="T47" s="141">
        <f>'Formular 4 step Y1'!W665</f>
        <v>187</v>
      </c>
      <c r="U47" s="141">
        <f>'Formular 4 step Y1'!W666</f>
        <v>189</v>
      </c>
    </row>
    <row r="48" spans="1:21" s="144" customFormat="1" x14ac:dyDescent="0.25">
      <c r="A48" s="250" t="s">
        <v>95</v>
      </c>
      <c r="B48" s="143">
        <f>'Formular 4 step Y1'!N688</f>
        <v>139</v>
      </c>
      <c r="C48" s="148">
        <f>'Formular 4 step Y1'!N689</f>
        <v>141</v>
      </c>
      <c r="D48" s="141">
        <f>'Formular 4 step Y1'!N690</f>
        <v>143</v>
      </c>
      <c r="E48" s="141">
        <f>'Formular 4 step Y1'!N691</f>
        <v>146</v>
      </c>
      <c r="F48" s="143">
        <f>'Formular 4 step Y1'!O688</f>
        <v>139</v>
      </c>
      <c r="G48" s="143">
        <f>'Formular 4 step Y1'!O689</f>
        <v>141</v>
      </c>
      <c r="H48" s="141">
        <f>'Formular 4 step Y1'!O690</f>
        <v>143</v>
      </c>
      <c r="I48" s="141">
        <f>'Formular 4 step Y1'!O691</f>
        <v>146</v>
      </c>
      <c r="J48" s="141">
        <f>'Formular 4 step Y1'!P688</f>
        <v>139</v>
      </c>
      <c r="K48" s="143">
        <f>'Formular 4 step Y1'!P689</f>
        <v>141</v>
      </c>
      <c r="L48" s="141">
        <f>'Formular 4 step Y1'!P690</f>
        <v>143</v>
      </c>
      <c r="M48" s="141">
        <f>'Formular 4 step Y1'!P691</f>
        <v>146</v>
      </c>
      <c r="N48" s="141">
        <f>'Formular 4 step Y1'!Q688</f>
        <v>139</v>
      </c>
      <c r="O48" s="143">
        <f>'Formular 4 step Y1'!Q689</f>
        <v>141</v>
      </c>
      <c r="P48" s="141">
        <f>'Formular 4 step Y1'!Q690</f>
        <v>143</v>
      </c>
      <c r="Q48" s="141">
        <f>'Formular 4 step Y1'!Q691</f>
        <v>146</v>
      </c>
      <c r="R48" s="141">
        <f>'Formular 4 step Y1'!W688</f>
        <v>139</v>
      </c>
      <c r="S48" s="143">
        <f>'Formular 4 step Y1'!W689</f>
        <v>141</v>
      </c>
      <c r="T48" s="141">
        <f>'Formular 4 step Y1'!W690</f>
        <v>143</v>
      </c>
      <c r="U48" s="141">
        <f>'Formular 4 step Y1'!W691</f>
        <v>146</v>
      </c>
    </row>
    <row r="49" spans="1:27" s="133" customFormat="1" x14ac:dyDescent="0.25">
      <c r="A49" s="258" t="s">
        <v>234</v>
      </c>
      <c r="B49" s="134">
        <f>'Formular 4 step Y1'!N713</f>
        <v>266</v>
      </c>
      <c r="C49" s="152">
        <f>'Formular 4 step Y1'!N714</f>
        <v>267</v>
      </c>
      <c r="D49" s="118">
        <f>'Formular 4 step Y1'!N715</f>
        <v>268</v>
      </c>
      <c r="E49" s="118">
        <f>'Formular 4 step Y1'!N716</f>
        <v>269</v>
      </c>
      <c r="F49" s="134">
        <f>'Formular 4 step Y1'!O713</f>
        <v>266</v>
      </c>
      <c r="G49" s="134">
        <f>'Formular 4 step Y1'!O714</f>
        <v>267</v>
      </c>
      <c r="H49" s="118">
        <f>'Formular 4 step Y1'!O715</f>
        <v>268</v>
      </c>
      <c r="I49" s="118">
        <f>'Formular 4 step Y1'!O716</f>
        <v>269</v>
      </c>
      <c r="J49" s="118">
        <f>'Formular 4 step Y1'!P713</f>
        <v>266</v>
      </c>
      <c r="K49" s="134">
        <f>'Formular 4 step Y1'!P714</f>
        <v>267</v>
      </c>
      <c r="L49" s="118">
        <f>'Formular 4 step Y1'!P715</f>
        <v>268</v>
      </c>
      <c r="M49" s="118">
        <f>'Formular 4 step Y1'!P716</f>
        <v>269</v>
      </c>
      <c r="N49" s="118">
        <f>'Formular 4 step Y1'!Q713</f>
        <v>266</v>
      </c>
      <c r="O49" s="134">
        <f>'Formular 4 step Y1'!Q714</f>
        <v>267</v>
      </c>
      <c r="P49" s="118">
        <f>'Formular 4 step Y1'!Q715</f>
        <v>268</v>
      </c>
      <c r="Q49" s="118">
        <f>'Formular 4 step Y1'!Q716</f>
        <v>269</v>
      </c>
      <c r="R49" s="118">
        <f>'Formular 4 step Y1'!W713</f>
        <v>266</v>
      </c>
      <c r="S49" s="134">
        <f>'Formular 4 step Y1'!W714</f>
        <v>267</v>
      </c>
      <c r="T49" s="118">
        <f>'Formular 4 step Y1'!W715</f>
        <v>268</v>
      </c>
      <c r="U49" s="118">
        <f>'Formular 4 step Y1'!W716</f>
        <v>269</v>
      </c>
    </row>
    <row r="50" spans="1:27" s="144" customFormat="1" x14ac:dyDescent="0.25">
      <c r="A50" s="250"/>
      <c r="B50" s="143"/>
      <c r="C50" s="148"/>
      <c r="D50" s="141"/>
      <c r="E50" s="141"/>
      <c r="F50" s="143"/>
      <c r="G50" s="143"/>
      <c r="H50" s="141"/>
      <c r="I50" s="141"/>
      <c r="J50" s="141"/>
      <c r="K50" s="143"/>
      <c r="L50" s="141"/>
      <c r="M50" s="141"/>
      <c r="N50" s="141"/>
      <c r="O50" s="143"/>
      <c r="P50" s="141"/>
      <c r="Q50" s="141"/>
      <c r="R50" s="141"/>
      <c r="S50" s="143"/>
      <c r="T50" s="141"/>
      <c r="U50" s="141"/>
    </row>
    <row r="51" spans="1:27" x14ac:dyDescent="0.25">
      <c r="A51" s="262"/>
      <c r="B51" s="85"/>
      <c r="C51" s="91"/>
      <c r="D51" s="76"/>
      <c r="E51" s="76"/>
      <c r="F51" s="85"/>
      <c r="G51" s="85"/>
      <c r="H51" s="76"/>
      <c r="I51" s="76"/>
      <c r="J51" s="76"/>
      <c r="K51" s="85"/>
      <c r="L51" s="76"/>
      <c r="M51" s="76"/>
      <c r="N51" s="76"/>
      <c r="O51" s="85"/>
      <c r="P51" s="76"/>
      <c r="Q51" s="76"/>
      <c r="R51" s="76"/>
      <c r="S51" s="85"/>
      <c r="T51" s="76"/>
      <c r="U51" s="76"/>
    </row>
    <row r="52" spans="1:27" ht="20" thickBot="1" x14ac:dyDescent="0.3">
      <c r="A52" s="263"/>
      <c r="B52" s="87"/>
      <c r="C52" s="93"/>
      <c r="D52" s="79"/>
      <c r="E52" s="79"/>
      <c r="F52" s="87"/>
      <c r="G52" s="87"/>
      <c r="H52" s="79"/>
      <c r="I52" s="79"/>
      <c r="J52" s="79"/>
      <c r="K52" s="87"/>
      <c r="L52" s="79"/>
      <c r="M52" s="79"/>
      <c r="N52" s="79"/>
      <c r="O52" s="87"/>
      <c r="P52" s="79"/>
      <c r="Q52" s="79"/>
      <c r="R52" s="79"/>
      <c r="S52" s="87"/>
      <c r="T52" s="79"/>
      <c r="U52" s="79"/>
    </row>
    <row r="53" spans="1:27" ht="7.5" customHeight="1" thickTop="1" thickBot="1" x14ac:dyDescent="0.3"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</row>
    <row r="54" spans="1:27" ht="24.75" customHeight="1" thickTop="1" x14ac:dyDescent="0.25">
      <c r="A54" s="276" t="s">
        <v>73</v>
      </c>
      <c r="B54" s="120"/>
      <c r="C54" s="119"/>
      <c r="D54" s="119" t="s">
        <v>15</v>
      </c>
      <c r="E54" s="119"/>
      <c r="F54" s="120"/>
      <c r="G54" s="119"/>
      <c r="H54" s="119" t="s">
        <v>16</v>
      </c>
      <c r="I54" s="119"/>
      <c r="J54" s="120"/>
      <c r="K54" s="119"/>
      <c r="L54" s="119" t="s">
        <v>17</v>
      </c>
      <c r="M54" s="119"/>
      <c r="N54" s="120"/>
      <c r="O54" s="119"/>
      <c r="P54" s="119" t="s">
        <v>18</v>
      </c>
      <c r="Q54" s="119"/>
      <c r="R54" s="120"/>
      <c r="S54" s="119"/>
      <c r="T54" s="119" t="s">
        <v>166</v>
      </c>
      <c r="U54" s="119"/>
    </row>
    <row r="55" spans="1:27" x14ac:dyDescent="0.25">
      <c r="A55" s="432" t="s">
        <v>83</v>
      </c>
      <c r="B55" s="129"/>
      <c r="C55" s="121" t="s">
        <v>79</v>
      </c>
      <c r="D55" s="121" t="s">
        <v>80</v>
      </c>
      <c r="E55" s="121" t="s">
        <v>81</v>
      </c>
      <c r="F55" s="129"/>
      <c r="G55" s="121" t="s">
        <v>79</v>
      </c>
      <c r="H55" s="121" t="s">
        <v>80</v>
      </c>
      <c r="I55" s="121" t="s">
        <v>81</v>
      </c>
      <c r="J55" s="129"/>
      <c r="K55" s="121" t="s">
        <v>79</v>
      </c>
      <c r="L55" s="121" t="s">
        <v>80</v>
      </c>
      <c r="M55" s="121" t="s">
        <v>81</v>
      </c>
      <c r="N55" s="129"/>
      <c r="O55" s="121" t="s">
        <v>79</v>
      </c>
      <c r="P55" s="121" t="s">
        <v>80</v>
      </c>
      <c r="Q55" s="121" t="s">
        <v>81</v>
      </c>
      <c r="R55" s="129"/>
      <c r="S55" s="121" t="s">
        <v>79</v>
      </c>
      <c r="T55" s="121" t="s">
        <v>80</v>
      </c>
      <c r="U55" s="121" t="s">
        <v>81</v>
      </c>
    </row>
    <row r="56" spans="1:27" ht="20" thickBot="1" x14ac:dyDescent="0.3">
      <c r="A56" s="433"/>
      <c r="B56" s="125" t="s">
        <v>142</v>
      </c>
      <c r="C56" s="123" t="s">
        <v>143</v>
      </c>
      <c r="D56" s="124" t="s">
        <v>144</v>
      </c>
      <c r="E56" s="124" t="s">
        <v>145</v>
      </c>
      <c r="F56" s="125" t="s">
        <v>142</v>
      </c>
      <c r="G56" s="123" t="s">
        <v>143</v>
      </c>
      <c r="H56" s="124" t="s">
        <v>144</v>
      </c>
      <c r="I56" s="124" t="s">
        <v>145</v>
      </c>
      <c r="J56" s="131" t="s">
        <v>142</v>
      </c>
      <c r="K56" s="123" t="s">
        <v>143</v>
      </c>
      <c r="L56" s="124" t="s">
        <v>144</v>
      </c>
      <c r="M56" s="124" t="s">
        <v>145</v>
      </c>
      <c r="N56" s="125" t="s">
        <v>142</v>
      </c>
      <c r="O56" s="123" t="s">
        <v>143</v>
      </c>
      <c r="P56" s="124" t="s">
        <v>144</v>
      </c>
      <c r="Q56" s="124" t="s">
        <v>145</v>
      </c>
      <c r="R56" s="131" t="s">
        <v>142</v>
      </c>
      <c r="S56" s="123" t="s">
        <v>143</v>
      </c>
      <c r="T56" s="124" t="s">
        <v>144</v>
      </c>
      <c r="U56" s="124" t="s">
        <v>145</v>
      </c>
    </row>
    <row r="57" spans="1:27" s="133" customFormat="1" ht="20" thickTop="1" x14ac:dyDescent="0.25">
      <c r="A57" s="265" t="s">
        <v>172</v>
      </c>
      <c r="B57" s="210">
        <f>'สูตร 4 step SB'!N13</f>
        <v>156</v>
      </c>
      <c r="C57" s="293">
        <f>'สูตร 4 step SB'!N14</f>
        <v>159</v>
      </c>
      <c r="D57" s="293">
        <f>'สูตร 4 step SB'!N15</f>
        <v>161</v>
      </c>
      <c r="E57" s="293">
        <f>'สูตร 4 step SB'!N16</f>
        <v>163</v>
      </c>
      <c r="F57" s="210">
        <f>'สูตร 4 step SB'!O13</f>
        <v>166</v>
      </c>
      <c r="G57" s="293">
        <f>'สูตร 4 step SB'!O14</f>
        <v>169</v>
      </c>
      <c r="H57" s="293">
        <f>'สูตร 4 step SB'!O15</f>
        <v>171</v>
      </c>
      <c r="I57" s="293">
        <f>'สูตร 4 step SB'!O16</f>
        <v>173</v>
      </c>
      <c r="J57" s="293">
        <f>'สูตร 4 step SB'!P13</f>
        <v>156</v>
      </c>
      <c r="K57" s="293">
        <f>'สูตร 4 step SB'!P14</f>
        <v>159</v>
      </c>
      <c r="L57" s="293">
        <f>'สูตร 4 step SB'!P15</f>
        <v>161</v>
      </c>
      <c r="M57" s="293">
        <f>'สูตร 4 step SB'!P16</f>
        <v>163</v>
      </c>
      <c r="N57" s="210">
        <f>'สูตร 4 step SB'!Q13</f>
        <v>156</v>
      </c>
      <c r="O57" s="293">
        <f>'สูตร 4 step SB'!Q14</f>
        <v>159</v>
      </c>
      <c r="P57" s="293">
        <f>'สูตร 4 step SB'!Q15</f>
        <v>161</v>
      </c>
      <c r="Q57" s="293">
        <f>'สูตร 4 step SB'!Q16</f>
        <v>163</v>
      </c>
      <c r="R57" s="293">
        <f>'สูตร 4 step SB'!W13</f>
        <v>156</v>
      </c>
      <c r="S57" s="293">
        <f>'สูตร 4 step SB'!W14</f>
        <v>159</v>
      </c>
      <c r="T57" s="293">
        <f>'สูตร 4 step SB'!W15</f>
        <v>161</v>
      </c>
      <c r="U57" s="293">
        <f>'สูตร 4 step SB'!W16</f>
        <v>163</v>
      </c>
      <c r="AA57" s="297"/>
    </row>
    <row r="58" spans="1:27" s="133" customFormat="1" x14ac:dyDescent="0.25">
      <c r="A58" s="258" t="s">
        <v>173</v>
      </c>
      <c r="B58" s="134">
        <f>'สูตร 4 step SB'!N41</f>
        <v>80</v>
      </c>
      <c r="C58" s="118">
        <f>'สูตร 4 step SB'!N42</f>
        <v>82</v>
      </c>
      <c r="D58" s="118">
        <f>'สูตร 4 step SB'!N43</f>
        <v>83</v>
      </c>
      <c r="E58" s="118">
        <f>'สูตร 4 step SB'!N44</f>
        <v>84</v>
      </c>
      <c r="F58" s="134">
        <f>'สูตร 4 step SB'!O41</f>
        <v>84</v>
      </c>
      <c r="G58" s="118">
        <f>'สูตร 4 step SB'!O42</f>
        <v>86</v>
      </c>
      <c r="H58" s="118">
        <f>'สูตร 4 step SB'!O43</f>
        <v>87</v>
      </c>
      <c r="I58" s="118">
        <f>'สูตร 4 step SB'!O44</f>
        <v>88</v>
      </c>
      <c r="J58" s="118">
        <f>'สูตร 4 step SB'!P41</f>
        <v>79</v>
      </c>
      <c r="K58" s="118">
        <f>'สูตร 4 step SB'!P42</f>
        <v>81</v>
      </c>
      <c r="L58" s="118">
        <f>'สูตร 4 step SB'!P43</f>
        <v>82</v>
      </c>
      <c r="M58" s="118">
        <f>'สูตร 4 step SB'!P44</f>
        <v>83</v>
      </c>
      <c r="N58" s="134">
        <f>'สูตร 4 step SB'!Q41</f>
        <v>79</v>
      </c>
      <c r="O58" s="118">
        <f>'สูตร 4 step SB'!Q42</f>
        <v>81</v>
      </c>
      <c r="P58" s="118">
        <f>'สูตร 4 step SB'!Q43</f>
        <v>82</v>
      </c>
      <c r="Q58" s="118">
        <f>'สูตร 4 step SB'!Q44</f>
        <v>83</v>
      </c>
      <c r="R58" s="118">
        <f>'สูตร 4 step SB'!W41</f>
        <v>79</v>
      </c>
      <c r="S58" s="118">
        <f>'สูตร 4 step SB'!W42</f>
        <v>81</v>
      </c>
      <c r="T58" s="118">
        <f>'สูตร 4 step SB'!W43</f>
        <v>82</v>
      </c>
      <c r="U58" s="118">
        <f>'สูตร 4 step SB'!W44</f>
        <v>83</v>
      </c>
      <c r="AA58" s="297"/>
    </row>
    <row r="59" spans="1:27" s="133" customFormat="1" x14ac:dyDescent="0.25">
      <c r="A59" s="258" t="s">
        <v>174</v>
      </c>
      <c r="B59" s="134">
        <f>'สูตร 4 step SB'!N68</f>
        <v>79</v>
      </c>
      <c r="C59" s="118">
        <f>'สูตร 4 step SB'!N69</f>
        <v>81</v>
      </c>
      <c r="D59" s="118">
        <f>'สูตร 4 step SB'!N70</f>
        <v>82</v>
      </c>
      <c r="E59" s="118">
        <f>'สูตร 4 step SB'!N71</f>
        <v>84</v>
      </c>
      <c r="F59" s="134">
        <f>'สูตร 4 step SB'!O68</f>
        <v>83</v>
      </c>
      <c r="G59" s="118">
        <f>'สูตร 4 step SB'!O69</f>
        <v>85</v>
      </c>
      <c r="H59" s="118">
        <f>'สูตร 4 step SB'!O70</f>
        <v>86</v>
      </c>
      <c r="I59" s="118">
        <f>'สูตร 4 step SB'!O71</f>
        <v>88</v>
      </c>
      <c r="J59" s="118">
        <f>'สูตร 4 step SB'!P68</f>
        <v>78</v>
      </c>
      <c r="K59" s="118">
        <f>'สูตร 4 step SB'!P69</f>
        <v>80</v>
      </c>
      <c r="L59" s="118">
        <f>'สูตร 4 step SB'!P70</f>
        <v>81</v>
      </c>
      <c r="M59" s="118">
        <f>'สูตร 4 step SB'!P71</f>
        <v>83</v>
      </c>
      <c r="N59" s="134">
        <f>'สูตร 4 step SB'!Q68</f>
        <v>78</v>
      </c>
      <c r="O59" s="118">
        <f>'สูตร 4 step SB'!Q69</f>
        <v>80</v>
      </c>
      <c r="P59" s="118">
        <f>'สูตร 4 step SB'!Q70</f>
        <v>81</v>
      </c>
      <c r="Q59" s="118">
        <f>'สูตร 4 step SB'!Q71</f>
        <v>83</v>
      </c>
      <c r="R59" s="118">
        <f>'สูตร 4 step SB'!W68</f>
        <v>78</v>
      </c>
      <c r="S59" s="118">
        <f>'สูตร 4 step SB'!W69</f>
        <v>80</v>
      </c>
      <c r="T59" s="118">
        <f>'สูตร 4 step SB'!W70</f>
        <v>81</v>
      </c>
      <c r="U59" s="118">
        <f>'สูตร 4 step SB'!W71</f>
        <v>83</v>
      </c>
    </row>
    <row r="60" spans="1:27" s="133" customFormat="1" x14ac:dyDescent="0.25">
      <c r="A60" s="258" t="s">
        <v>175</v>
      </c>
      <c r="B60" s="210">
        <f>'สูตร 4 step SB'!N344</f>
        <v>43</v>
      </c>
      <c r="C60" s="118">
        <f>'สูตร 4 step SB'!N345</f>
        <v>44</v>
      </c>
      <c r="D60" s="118">
        <f>'สูตร 4 step SB'!N346</f>
        <v>45</v>
      </c>
      <c r="E60" s="118">
        <f>'สูตร 4 step SB'!N347</f>
        <v>46</v>
      </c>
      <c r="F60" s="210">
        <f>'สูตร 4 step SB'!O344</f>
        <v>46</v>
      </c>
      <c r="G60" s="118">
        <f>'สูตร 4 step SB'!O345</f>
        <v>47</v>
      </c>
      <c r="H60" s="118">
        <f>'สูตร 4 step SB'!O346</f>
        <v>48</v>
      </c>
      <c r="I60" s="118">
        <f>'สูตร 4 step SB'!O347</f>
        <v>49</v>
      </c>
      <c r="J60" s="293">
        <f>'สูตร 4 step SB'!P344</f>
        <v>43</v>
      </c>
      <c r="K60" s="118">
        <f>'สูตร 4 step SB'!P345</f>
        <v>44</v>
      </c>
      <c r="L60" s="118">
        <f>'สูตร 4 step SB'!P346</f>
        <v>45</v>
      </c>
      <c r="M60" s="118">
        <f>'สูตร 4 step SB'!P347</f>
        <v>46</v>
      </c>
      <c r="N60" s="210">
        <f>'สูตร 4 step SB'!Q344</f>
        <v>43</v>
      </c>
      <c r="O60" s="118">
        <f>'สูตร 4 step SB'!Q345</f>
        <v>44</v>
      </c>
      <c r="P60" s="118">
        <f>'สูตร 4 step SB'!Q346</f>
        <v>45</v>
      </c>
      <c r="Q60" s="118">
        <f>'สูตร 4 step SB'!Q347</f>
        <v>46</v>
      </c>
      <c r="R60" s="293">
        <f>'สูตร 4 step SB'!W344</f>
        <v>43</v>
      </c>
      <c r="S60" s="118">
        <f>'สูตร 4 step SB'!W345</f>
        <v>44</v>
      </c>
      <c r="T60" s="118">
        <f>'สูตร 4 step SB'!W346</f>
        <v>45</v>
      </c>
      <c r="U60" s="118">
        <f>'สูตร 4 step SB'!W347</f>
        <v>46</v>
      </c>
    </row>
    <row r="61" spans="1:27" s="133" customFormat="1" x14ac:dyDescent="0.25">
      <c r="A61" s="258" t="s">
        <v>176</v>
      </c>
      <c r="B61" s="210">
        <f>'สูตร 4 step SB'!N96</f>
        <v>237</v>
      </c>
      <c r="C61" s="118">
        <f>'สูตร 4 step SB'!N97</f>
        <v>241</v>
      </c>
      <c r="D61" s="118">
        <f>'สูตร 4 step SB'!N98</f>
        <v>243</v>
      </c>
      <c r="E61" s="118">
        <f>'สูตร 4 step SB'!N99</f>
        <v>245</v>
      </c>
      <c r="F61" s="210">
        <f>'สูตร 4 step SB'!O96</f>
        <v>252</v>
      </c>
      <c r="G61" s="118">
        <f>'สูตร 4 step SB'!O97</f>
        <v>256</v>
      </c>
      <c r="H61" s="118">
        <f>'สูตร 4 step SB'!O98</f>
        <v>258</v>
      </c>
      <c r="I61" s="118">
        <f>'สูตร 4 step SB'!O99</f>
        <v>260</v>
      </c>
      <c r="J61" s="293">
        <f>'สูตร 4 step SB'!P96</f>
        <v>236</v>
      </c>
      <c r="K61" s="118">
        <f>'สูตร 4 step SB'!P97</f>
        <v>240</v>
      </c>
      <c r="L61" s="118">
        <f>'สูตร 4 step SB'!P98</f>
        <v>242</v>
      </c>
      <c r="M61" s="118">
        <f>'สูตร 4 step SB'!P99</f>
        <v>244</v>
      </c>
      <c r="N61" s="210">
        <f>'สูตร 4 step SB'!Q96</f>
        <v>236</v>
      </c>
      <c r="O61" s="118">
        <f>'สูตร 4 step SB'!Q97</f>
        <v>240</v>
      </c>
      <c r="P61" s="118">
        <f>'สูตร 4 step SB'!Q98</f>
        <v>242</v>
      </c>
      <c r="Q61" s="118">
        <f>'สูตร 4 step SB'!Q99</f>
        <v>244</v>
      </c>
      <c r="R61" s="293">
        <f>'สูตร 4 step SB'!W96</f>
        <v>236</v>
      </c>
      <c r="S61" s="118">
        <f>'สูตร 4 step SB'!W97</f>
        <v>240</v>
      </c>
      <c r="T61" s="118">
        <f>'สูตร 4 step SB'!W98</f>
        <v>242</v>
      </c>
      <c r="U61" s="118">
        <f>'สูตร 4 step SB'!W99</f>
        <v>244</v>
      </c>
    </row>
    <row r="62" spans="1:27" s="133" customFormat="1" x14ac:dyDescent="0.25">
      <c r="A62" s="258" t="s">
        <v>177</v>
      </c>
      <c r="B62" s="134">
        <f>'สูตร 4 step SB'!N124</f>
        <v>332</v>
      </c>
      <c r="C62" s="118">
        <f>'สูตร 4 step SB'!N125</f>
        <v>337</v>
      </c>
      <c r="D62" s="118">
        <f>'สูตร 4 step SB'!N126</f>
        <v>342</v>
      </c>
      <c r="E62" s="118">
        <f>'สูตร 4 step SB'!N127</f>
        <v>346</v>
      </c>
      <c r="F62" s="134">
        <f>'สูตร 4 step SB'!O124</f>
        <v>351</v>
      </c>
      <c r="G62" s="118">
        <f>'สูตร 4 step SB'!O125</f>
        <v>356</v>
      </c>
      <c r="H62" s="118">
        <f>'สูตร 4 step SB'!O126</f>
        <v>361</v>
      </c>
      <c r="I62" s="118">
        <f>'สูตร 4 step SB'!O127</f>
        <v>365</v>
      </c>
      <c r="J62" s="118">
        <f>'สูตร 4 step SB'!P124</f>
        <v>330</v>
      </c>
      <c r="K62" s="118">
        <f>'สูตร 4 step SB'!P125</f>
        <v>335</v>
      </c>
      <c r="L62" s="118">
        <f>'สูตร 4 step SB'!P126</f>
        <v>340</v>
      </c>
      <c r="M62" s="118">
        <f>'สูตร 4 step SB'!P127</f>
        <v>344</v>
      </c>
      <c r="N62" s="134">
        <f>'สูตร 4 step SB'!Q124</f>
        <v>330</v>
      </c>
      <c r="O62" s="118">
        <f>'สูตร 4 step SB'!Q125</f>
        <v>335</v>
      </c>
      <c r="P62" s="118">
        <f>'สูตร 4 step SB'!Q126</f>
        <v>340</v>
      </c>
      <c r="Q62" s="118">
        <f>'สูตร 4 step SB'!Q127</f>
        <v>344</v>
      </c>
      <c r="R62" s="118">
        <f>'สูตร 4 step SB'!W124</f>
        <v>330</v>
      </c>
      <c r="S62" s="118">
        <f>'สูตร 4 step SB'!W125</f>
        <v>335</v>
      </c>
      <c r="T62" s="118">
        <f>'สูตร 4 step SB'!W126</f>
        <v>340</v>
      </c>
      <c r="U62" s="118">
        <f>'สูตร 4 step SB'!W127</f>
        <v>344</v>
      </c>
    </row>
    <row r="63" spans="1:27" s="133" customFormat="1" x14ac:dyDescent="0.25">
      <c r="A63" s="258" t="s">
        <v>178</v>
      </c>
      <c r="B63" s="134">
        <f>'สูตร 4 step SB'!N152</f>
        <v>474</v>
      </c>
      <c r="C63" s="118">
        <f>'สูตร 4 step SB'!N153</f>
        <v>479</v>
      </c>
      <c r="D63" s="118">
        <f>'สูตร 4 step SB'!N154</f>
        <v>484</v>
      </c>
      <c r="E63" s="118">
        <f>'สูตร 4 step SB'!N155</f>
        <v>489</v>
      </c>
      <c r="F63" s="134">
        <f>'สูตร 4 step SB'!O152</f>
        <v>499</v>
      </c>
      <c r="G63" s="118">
        <f>'สูตร 4 step SB'!O153</f>
        <v>504</v>
      </c>
      <c r="H63" s="118">
        <f>'สูตร 4 step SB'!O154</f>
        <v>509</v>
      </c>
      <c r="I63" s="118">
        <f>'สูตร 4 step SB'!O155</f>
        <v>514</v>
      </c>
      <c r="J63" s="118">
        <f>'สูตร 4 step SB'!P152</f>
        <v>473</v>
      </c>
      <c r="K63" s="118">
        <f>'สูตร 4 step SB'!P153</f>
        <v>478</v>
      </c>
      <c r="L63" s="118">
        <f>'สูตร 4 step SB'!P154</f>
        <v>483</v>
      </c>
      <c r="M63" s="118">
        <f>'สูตร 4 step SB'!P155</f>
        <v>488</v>
      </c>
      <c r="N63" s="134">
        <f>'สูตร 4 step SB'!Q152</f>
        <v>473</v>
      </c>
      <c r="O63" s="118">
        <f>'สูตร 4 step SB'!Q153</f>
        <v>478</v>
      </c>
      <c r="P63" s="118">
        <f>'สูตร 4 step SB'!Q154</f>
        <v>483</v>
      </c>
      <c r="Q63" s="118">
        <f>'สูตร 4 step SB'!Q155</f>
        <v>488</v>
      </c>
      <c r="R63" s="118">
        <f>'สูตร 4 step SB'!W152</f>
        <v>473</v>
      </c>
      <c r="S63" s="118">
        <f>'สูตร 4 step SB'!W153</f>
        <v>478</v>
      </c>
      <c r="T63" s="118">
        <f>'สูตร 4 step SB'!W154</f>
        <v>483</v>
      </c>
      <c r="U63" s="118">
        <f>'สูตร 4 step SB'!W155</f>
        <v>488</v>
      </c>
    </row>
    <row r="64" spans="1:27" s="133" customFormat="1" x14ac:dyDescent="0.25">
      <c r="A64" s="258" t="s">
        <v>179</v>
      </c>
      <c r="B64" s="210">
        <f>'สูตร 4 step SB'!N179</f>
        <v>576</v>
      </c>
      <c r="C64" s="118">
        <f>'สูตร 4 step SB'!N180</f>
        <v>581</v>
      </c>
      <c r="D64" s="118">
        <f>'สูตร 4 step SB'!N181</f>
        <v>586</v>
      </c>
      <c r="E64" s="118">
        <f>'สูตร 4 step SB'!N182</f>
        <v>591</v>
      </c>
      <c r="F64" s="210">
        <f>'สูตร 4 step SB'!O179</f>
        <v>605</v>
      </c>
      <c r="G64" s="118">
        <f>'สูตร 4 step SB'!O180</f>
        <v>610</v>
      </c>
      <c r="H64" s="118">
        <f>'สูตร 4 step SB'!O181</f>
        <v>615</v>
      </c>
      <c r="I64" s="118">
        <f>'สูตร 4 step SB'!O182</f>
        <v>620</v>
      </c>
      <c r="J64" s="293">
        <f>'สูตร 4 step SB'!P179</f>
        <v>574</v>
      </c>
      <c r="K64" s="118">
        <f>'สูตร 4 step SB'!P180</f>
        <v>579</v>
      </c>
      <c r="L64" s="118">
        <f>'สูตร 4 step SB'!P181</f>
        <v>584</v>
      </c>
      <c r="M64" s="118">
        <f>'สูตร 4 step SB'!P182</f>
        <v>589</v>
      </c>
      <c r="N64" s="210">
        <f>'สูตร 4 step SB'!Q179</f>
        <v>574</v>
      </c>
      <c r="O64" s="118">
        <f>'สูตร 4 step SB'!Q180</f>
        <v>579</v>
      </c>
      <c r="P64" s="118">
        <f>'สูตร 4 step SB'!Q181</f>
        <v>584</v>
      </c>
      <c r="Q64" s="118">
        <f>'สูตร 4 step SB'!Q182</f>
        <v>589</v>
      </c>
      <c r="R64" s="293">
        <f>'สูตร 4 step SB'!W179</f>
        <v>574</v>
      </c>
      <c r="S64" s="118">
        <f>'สูตร 4 step SB'!W180</f>
        <v>579</v>
      </c>
      <c r="T64" s="118">
        <f>'สูตร 4 step SB'!W181</f>
        <v>584</v>
      </c>
      <c r="U64" s="118">
        <f>'สูตร 4 step SB'!W182</f>
        <v>589</v>
      </c>
    </row>
    <row r="65" spans="1:21" s="237" customFormat="1" x14ac:dyDescent="0.25">
      <c r="A65" s="266" t="s">
        <v>180</v>
      </c>
      <c r="B65" s="294">
        <f>'สูตร 4 step SB'!N645</f>
        <v>661</v>
      </c>
      <c r="C65" s="236">
        <f>'สูตร 4 step SB'!N646</f>
        <v>671</v>
      </c>
      <c r="D65" s="236">
        <f>'สูตร 4 step SB'!N647</f>
        <v>681</v>
      </c>
      <c r="E65" s="236">
        <f>'สูตร 4 step SB'!N648</f>
        <v>686</v>
      </c>
      <c r="F65" s="294">
        <f>'สูตร 4 step SB'!O645</f>
        <v>697</v>
      </c>
      <c r="G65" s="236">
        <f>'สูตร 4 step SB'!O646</f>
        <v>707</v>
      </c>
      <c r="H65" s="236">
        <f>'สูตร 4 step SB'!O647</f>
        <v>717</v>
      </c>
      <c r="I65" s="236">
        <f>'สูตร 4 step SB'!O648</f>
        <v>722</v>
      </c>
      <c r="J65" s="305">
        <f>'สูตร 4 step SB'!P645</f>
        <v>658</v>
      </c>
      <c r="K65" s="236">
        <f>'สูตร 4 step SB'!P646</f>
        <v>668</v>
      </c>
      <c r="L65" s="236">
        <f>'สูตร 4 step SB'!P647</f>
        <v>678</v>
      </c>
      <c r="M65" s="236">
        <f>'สูตร 4 step SB'!P648</f>
        <v>683</v>
      </c>
      <c r="N65" s="294">
        <f>'สูตร 4 step SB'!Q645</f>
        <v>658</v>
      </c>
      <c r="O65" s="236">
        <f>'สูตร 4 step SB'!Q646</f>
        <v>668</v>
      </c>
      <c r="P65" s="236">
        <f>'สูตร 4 step SB'!Q647</f>
        <v>678</v>
      </c>
      <c r="Q65" s="236">
        <f>'สูตร 4 step SB'!Q648</f>
        <v>683</v>
      </c>
      <c r="R65" s="305">
        <f>'สูตร 4 step SB'!W645</f>
        <v>658</v>
      </c>
      <c r="S65" s="236">
        <f>'สูตร 4 step SB'!W646</f>
        <v>668</v>
      </c>
      <c r="T65" s="236">
        <f>'สูตร 4 step SB'!W647</f>
        <v>678</v>
      </c>
      <c r="U65" s="236">
        <f>'สูตร 4 step SB'!W648</f>
        <v>683</v>
      </c>
    </row>
    <row r="66" spans="1:21" s="237" customFormat="1" x14ac:dyDescent="0.25">
      <c r="A66" s="266" t="s">
        <v>181</v>
      </c>
      <c r="B66" s="294">
        <f>'สูตร 4 step SB'!N672</f>
        <v>699</v>
      </c>
      <c r="C66" s="236">
        <f>'สูตร 4 step SB'!N673</f>
        <v>709</v>
      </c>
      <c r="D66" s="236">
        <f>'สูตร 4 step SB'!N674</f>
        <v>719</v>
      </c>
      <c r="E66" s="236">
        <f>'สูตร 4 step SB'!N675</f>
        <v>729</v>
      </c>
      <c r="F66" s="294">
        <f>'สูตร 4 step SB'!O672</f>
        <v>738</v>
      </c>
      <c r="G66" s="236">
        <f>'สูตร 4 step SB'!O673</f>
        <v>748</v>
      </c>
      <c r="H66" s="236">
        <f>'สูตร 4 step SB'!O674</f>
        <v>758</v>
      </c>
      <c r="I66" s="236">
        <f>'สูตร 4 step SB'!O675</f>
        <v>768</v>
      </c>
      <c r="J66" s="305">
        <f>'สูตร 4 step SB'!P672</f>
        <v>696</v>
      </c>
      <c r="K66" s="236">
        <f>'สูตร 4 step SB'!P673</f>
        <v>706</v>
      </c>
      <c r="L66" s="236">
        <f>'สูตร 4 step SB'!P674</f>
        <v>716</v>
      </c>
      <c r="M66" s="236">
        <f>'สูตร 4 step SB'!P675</f>
        <v>726</v>
      </c>
      <c r="N66" s="294">
        <f>'สูตร 4 step SB'!Q672</f>
        <v>696</v>
      </c>
      <c r="O66" s="236">
        <f>'สูตร 4 step SB'!Q673</f>
        <v>706</v>
      </c>
      <c r="P66" s="236">
        <f>'สูตร 4 step SB'!Q674</f>
        <v>716</v>
      </c>
      <c r="Q66" s="236">
        <f>'สูตร 4 step SB'!Q675</f>
        <v>726</v>
      </c>
      <c r="R66" s="305">
        <f>'สูตร 4 step SB'!W672</f>
        <v>696</v>
      </c>
      <c r="S66" s="236">
        <f>'สูตร 4 step SB'!W673</f>
        <v>706</v>
      </c>
      <c r="T66" s="236">
        <f>'สูตร 4 step SB'!W674</f>
        <v>716</v>
      </c>
      <c r="U66" s="236">
        <f>'สูตร 4 step SB'!W675</f>
        <v>726</v>
      </c>
    </row>
    <row r="67" spans="1:21" s="237" customFormat="1" x14ac:dyDescent="0.25">
      <c r="A67" s="266" t="s">
        <v>182</v>
      </c>
      <c r="B67" s="294">
        <f>'สูตร 4 step SB'!N699</f>
        <v>789</v>
      </c>
      <c r="C67" s="236">
        <f>'สูตร 4 step SB'!N700</f>
        <v>799</v>
      </c>
      <c r="D67" s="236">
        <f>'สูตร 4 step SB'!N701</f>
        <v>819</v>
      </c>
      <c r="E67" s="236">
        <f>'สูตร 4 step SB'!N702</f>
        <v>829</v>
      </c>
      <c r="F67" s="294">
        <f>'สูตร 4 step SB'!O699</f>
        <v>833</v>
      </c>
      <c r="G67" s="236">
        <f>'สูตร 4 step SB'!O700</f>
        <v>843</v>
      </c>
      <c r="H67" s="236">
        <f>'สูตร 4 step SB'!O701</f>
        <v>863</v>
      </c>
      <c r="I67" s="236">
        <f>'สูตร 4 step SB'!O702</f>
        <v>873</v>
      </c>
      <c r="J67" s="305">
        <f>'สูตร 4 step SB'!P699</f>
        <v>785</v>
      </c>
      <c r="K67" s="236">
        <f>'สูตร 4 step SB'!P700</f>
        <v>795</v>
      </c>
      <c r="L67" s="236">
        <f>'สูตร 4 step SB'!P701</f>
        <v>815</v>
      </c>
      <c r="M67" s="236">
        <f>'สูตร 4 step SB'!P702</f>
        <v>825</v>
      </c>
      <c r="N67" s="294">
        <f>'สูตร 4 step SB'!Q699</f>
        <v>785</v>
      </c>
      <c r="O67" s="236">
        <f>'สูตร 4 step SB'!Q700</f>
        <v>795</v>
      </c>
      <c r="P67" s="236">
        <f>'สูตร 4 step SB'!Q701</f>
        <v>815</v>
      </c>
      <c r="Q67" s="236">
        <f>'สูตร 4 step SB'!Q702</f>
        <v>825</v>
      </c>
      <c r="R67" s="305">
        <f>'สูตร 4 step SB'!W699</f>
        <v>785</v>
      </c>
      <c r="S67" s="236">
        <f>'สูตร 4 step SB'!W700</f>
        <v>795</v>
      </c>
      <c r="T67" s="236">
        <f>'สูตร 4 step SB'!W701</f>
        <v>815</v>
      </c>
      <c r="U67" s="236">
        <f>'สูตร 4 step SB'!W702</f>
        <v>825</v>
      </c>
    </row>
    <row r="68" spans="1:21" s="237" customFormat="1" x14ac:dyDescent="0.25">
      <c r="A68" s="266" t="s">
        <v>183</v>
      </c>
      <c r="B68" s="294">
        <f>'สูตร 4 step SB'!N726</f>
        <v>884</v>
      </c>
      <c r="C68" s="236">
        <f>'สูตร 4 step SB'!N727</f>
        <v>894</v>
      </c>
      <c r="D68" s="236">
        <f>'สูตร 4 step SB'!N728</f>
        <v>909</v>
      </c>
      <c r="E68" s="236">
        <f>'สูตร 4 step SB'!N729</f>
        <v>924</v>
      </c>
      <c r="F68" s="294">
        <f>'สูตร 4 step SB'!O726</f>
        <v>932</v>
      </c>
      <c r="G68" s="236">
        <f>'สูตร 4 step SB'!O727</f>
        <v>942</v>
      </c>
      <c r="H68" s="236">
        <f>'สูตร 4 step SB'!O728</f>
        <v>957</v>
      </c>
      <c r="I68" s="236">
        <f>'สูตร 4 step SB'!O729</f>
        <v>972</v>
      </c>
      <c r="J68" s="305">
        <f>'สูตร 4 step SB'!P726</f>
        <v>880</v>
      </c>
      <c r="K68" s="236">
        <f>'สูตร 4 step SB'!P727</f>
        <v>890</v>
      </c>
      <c r="L68" s="236">
        <f>'สูตร 4 step SB'!P728</f>
        <v>905</v>
      </c>
      <c r="M68" s="236">
        <f>'สูตร 4 step SB'!P729</f>
        <v>920</v>
      </c>
      <c r="N68" s="294">
        <f>'สูตร 4 step SB'!Q726</f>
        <v>880</v>
      </c>
      <c r="O68" s="236">
        <f>'สูตร 4 step SB'!Q727</f>
        <v>890</v>
      </c>
      <c r="P68" s="236">
        <f>'สูตร 4 step SB'!Q728</f>
        <v>905</v>
      </c>
      <c r="Q68" s="236">
        <f>'สูตร 4 step SB'!Q729</f>
        <v>920</v>
      </c>
      <c r="R68" s="305">
        <f>'สูตร 4 step SB'!W726</f>
        <v>880</v>
      </c>
      <c r="S68" s="236">
        <f>'สูตร 4 step SB'!W727</f>
        <v>890</v>
      </c>
      <c r="T68" s="236">
        <f>'สูตร 4 step SB'!W728</f>
        <v>905</v>
      </c>
      <c r="U68" s="236">
        <f>'สูตร 4 step SB'!W729</f>
        <v>920</v>
      </c>
    </row>
    <row r="69" spans="1:21" s="133" customFormat="1" x14ac:dyDescent="0.25">
      <c r="A69" s="258" t="s">
        <v>184</v>
      </c>
      <c r="B69" s="210">
        <f>'สูตร 4 step SB'!N206</f>
        <v>426</v>
      </c>
      <c r="C69" s="118">
        <f>'สูตร 4 step SB'!N207</f>
        <v>431</v>
      </c>
      <c r="D69" s="118">
        <f>'สูตร 4 step SB'!N208</f>
        <v>436</v>
      </c>
      <c r="E69" s="118">
        <f>'สูตร 4 step SB'!N209</f>
        <v>441</v>
      </c>
      <c r="F69" s="210">
        <f>'สูตร 4 step SB'!O206</f>
        <v>448</v>
      </c>
      <c r="G69" s="118">
        <f>'สูตร 4 step SB'!O207</f>
        <v>453</v>
      </c>
      <c r="H69" s="118">
        <f>'สูตร 4 step SB'!O208</f>
        <v>458</v>
      </c>
      <c r="I69" s="118">
        <f>'สูตร 4 step SB'!O209</f>
        <v>463</v>
      </c>
      <c r="J69" s="293">
        <f>'สูตร 4 step SB'!P206</f>
        <v>424</v>
      </c>
      <c r="K69" s="118">
        <f>'สูตร 4 step SB'!P207</f>
        <v>429</v>
      </c>
      <c r="L69" s="118">
        <f>'สูตร 4 step SB'!P208</f>
        <v>434</v>
      </c>
      <c r="M69" s="118">
        <f>'สูตร 4 step SB'!P209</f>
        <v>439</v>
      </c>
      <c r="N69" s="210">
        <f>'สูตร 4 step SB'!Q206</f>
        <v>424</v>
      </c>
      <c r="O69" s="118">
        <f>'สูตร 4 step SB'!Q207</f>
        <v>429</v>
      </c>
      <c r="P69" s="118">
        <f>'สูตร 4 step SB'!Q208</f>
        <v>434</v>
      </c>
      <c r="Q69" s="118">
        <f>'สูตร 4 step SB'!Q209</f>
        <v>439</v>
      </c>
      <c r="R69" s="293">
        <f>'สูตร 4 step SB'!W206</f>
        <v>424</v>
      </c>
      <c r="S69" s="118">
        <f>'สูตร 4 step SB'!W207</f>
        <v>429</v>
      </c>
      <c r="T69" s="118">
        <f>'สูตร 4 step SB'!W208</f>
        <v>434</v>
      </c>
      <c r="U69" s="118">
        <f>'สูตร 4 step SB'!W209</f>
        <v>439</v>
      </c>
    </row>
    <row r="70" spans="1:21" s="133" customFormat="1" x14ac:dyDescent="0.25">
      <c r="A70" s="258" t="s">
        <v>185</v>
      </c>
      <c r="B70" s="134">
        <f>'สูตร 4 step SB'!N234</f>
        <v>53</v>
      </c>
      <c r="C70" s="118">
        <f>'สูตร 4 step SB'!N235</f>
        <v>54</v>
      </c>
      <c r="D70" s="118">
        <f>'สูตร 4 step SB'!N236</f>
        <v>55</v>
      </c>
      <c r="E70" s="118">
        <f>'สูตร 4 step SB'!N237</f>
        <v>56</v>
      </c>
      <c r="F70" s="134">
        <f>'สูตร 4 step SB'!O234</f>
        <v>56</v>
      </c>
      <c r="G70" s="118">
        <f>'สูตร 4 step SB'!O235</f>
        <v>57</v>
      </c>
      <c r="H70" s="118">
        <f>'สูตร 4 step SB'!O236</f>
        <v>58</v>
      </c>
      <c r="I70" s="118">
        <f>'สูตร 4 step SB'!O237</f>
        <v>59</v>
      </c>
      <c r="J70" s="118">
        <f>'สูตร 4 step SB'!P234</f>
        <v>53</v>
      </c>
      <c r="K70" s="118">
        <f>'สูตร 4 step SB'!P235</f>
        <v>54</v>
      </c>
      <c r="L70" s="118">
        <f>'สูตร 4 step SB'!P236</f>
        <v>55</v>
      </c>
      <c r="M70" s="118">
        <f>'สูตร 4 step SB'!P237</f>
        <v>56</v>
      </c>
      <c r="N70" s="134">
        <f>'สูตร 4 step SB'!Q234</f>
        <v>53</v>
      </c>
      <c r="O70" s="118">
        <f>'สูตร 4 step SB'!Q235</f>
        <v>54</v>
      </c>
      <c r="P70" s="118">
        <f>'สูตร 4 step SB'!Q236</f>
        <v>55</v>
      </c>
      <c r="Q70" s="118">
        <f>'สูตร 4 step SB'!Q237</f>
        <v>56</v>
      </c>
      <c r="R70" s="118">
        <f>'สูตร 4 step SB'!W234</f>
        <v>53</v>
      </c>
      <c r="S70" s="118">
        <f>'สูตร 4 step SB'!W235</f>
        <v>54</v>
      </c>
      <c r="T70" s="118">
        <f>'สูตร 4 step SB'!W236</f>
        <v>55</v>
      </c>
      <c r="U70" s="118">
        <f>'สูตร 4 step SB'!W237</f>
        <v>56</v>
      </c>
    </row>
    <row r="71" spans="1:21" s="133" customFormat="1" x14ac:dyDescent="0.25">
      <c r="A71" s="258" t="s">
        <v>186</v>
      </c>
      <c r="B71" s="134">
        <f>'สูตร 4 step SB'!N262</f>
        <v>49</v>
      </c>
      <c r="C71" s="118">
        <f>'สูตร 4 step SB'!N263</f>
        <v>50</v>
      </c>
      <c r="D71" s="118">
        <f>'สูตร 4 step SB'!N264</f>
        <v>51</v>
      </c>
      <c r="E71" s="118">
        <f>'สูตร 4 step SB'!N265</f>
        <v>52</v>
      </c>
      <c r="F71" s="134">
        <f>'สูตร 4 step SB'!O262</f>
        <v>51</v>
      </c>
      <c r="G71" s="118">
        <f>'สูตร 4 step SB'!O263</f>
        <v>52</v>
      </c>
      <c r="H71" s="118">
        <f>'สูตร 4 step SB'!O264</f>
        <v>53</v>
      </c>
      <c r="I71" s="118">
        <f>'สูตร 4 step SB'!O265</f>
        <v>54</v>
      </c>
      <c r="J71" s="118">
        <f>'สูตร 4 step SB'!P262</f>
        <v>49</v>
      </c>
      <c r="K71" s="118">
        <f>'สูตร 4 step SB'!P263</f>
        <v>50</v>
      </c>
      <c r="L71" s="118">
        <f>'สูตร 4 step SB'!P264</f>
        <v>51</v>
      </c>
      <c r="M71" s="118">
        <f>'สูตร 4 step SB'!P265</f>
        <v>52</v>
      </c>
      <c r="N71" s="134">
        <f>'สูตร 4 step SB'!Q262</f>
        <v>49</v>
      </c>
      <c r="O71" s="118">
        <f>'สูตร 4 step SB'!Q263</f>
        <v>50</v>
      </c>
      <c r="P71" s="118">
        <f>'สูตร 4 step SB'!Q264</f>
        <v>51</v>
      </c>
      <c r="Q71" s="118">
        <f>'สูตร 4 step SB'!Q265</f>
        <v>52</v>
      </c>
      <c r="R71" s="118">
        <f>'สูตร 4 step SB'!W262</f>
        <v>49</v>
      </c>
      <c r="S71" s="118">
        <f>'สูตร 4 step SB'!W263</f>
        <v>50</v>
      </c>
      <c r="T71" s="118">
        <f>'สูตร 4 step SB'!W264</f>
        <v>51</v>
      </c>
      <c r="U71" s="118">
        <f>'สูตร 4 step SB'!W265</f>
        <v>52</v>
      </c>
    </row>
    <row r="72" spans="1:21" s="133" customFormat="1" x14ac:dyDescent="0.25">
      <c r="A72" s="258" t="s">
        <v>187</v>
      </c>
      <c r="B72" s="210">
        <f>'สูตร 4 step SB'!N618</f>
        <v>68</v>
      </c>
      <c r="C72" s="118">
        <f>'สูตร 4 step SB'!N619</f>
        <v>69</v>
      </c>
      <c r="D72" s="118">
        <f>'สูตร 4 step SB'!N620</f>
        <v>70</v>
      </c>
      <c r="E72" s="118">
        <f>'สูตร 4 step SB'!N621</f>
        <v>71</v>
      </c>
      <c r="F72" s="210">
        <f>'สูตร 4 step SB'!O618</f>
        <v>71</v>
      </c>
      <c r="G72" s="118">
        <f>'สูตร 4 step SB'!O619</f>
        <v>72</v>
      </c>
      <c r="H72" s="118">
        <f>'สูตร 4 step SB'!O620</f>
        <v>73</v>
      </c>
      <c r="I72" s="118">
        <f>'สูตร 4 step SB'!O621</f>
        <v>74</v>
      </c>
      <c r="J72" s="293">
        <f>'สูตร 4 step SB'!P618</f>
        <v>68</v>
      </c>
      <c r="K72" s="118">
        <f>'สูตร 4 step SB'!P619</f>
        <v>69</v>
      </c>
      <c r="L72" s="118">
        <f>'สูตร 4 step SB'!P620</f>
        <v>70</v>
      </c>
      <c r="M72" s="118">
        <f>'สูตร 4 step SB'!P621</f>
        <v>71</v>
      </c>
      <c r="N72" s="210">
        <f>'สูตร 4 step SB'!Q618</f>
        <v>68</v>
      </c>
      <c r="O72" s="118">
        <f>'สูตร 4 step SB'!Q619</f>
        <v>69</v>
      </c>
      <c r="P72" s="118">
        <f>'สูตร 4 step SB'!Q620</f>
        <v>70</v>
      </c>
      <c r="Q72" s="118">
        <f>'สูตร 4 step SB'!Q621</f>
        <v>0</v>
      </c>
      <c r="R72" s="293">
        <f>'สูตร 4 step SB'!W618</f>
        <v>68</v>
      </c>
      <c r="S72" s="118">
        <f>'สูตร 4 step SB'!W619</f>
        <v>69</v>
      </c>
      <c r="T72" s="118">
        <f>'สูตร 4 step SB'!W620</f>
        <v>70</v>
      </c>
      <c r="U72" s="118">
        <f>'สูตร 4 step SB'!W621</f>
        <v>71</v>
      </c>
    </row>
    <row r="73" spans="1:21" s="133" customFormat="1" x14ac:dyDescent="0.25">
      <c r="A73" s="258" t="s">
        <v>188</v>
      </c>
      <c r="B73" s="210">
        <f>'สูตร 4 step SB'!N290</f>
        <v>56</v>
      </c>
      <c r="C73" s="118">
        <f>'สูตร 4 step SB'!N291</f>
        <v>57</v>
      </c>
      <c r="D73" s="118">
        <f>'สูตร 4 step SB'!N292</f>
        <v>58</v>
      </c>
      <c r="E73" s="118">
        <f>'สูตร 4 step SB'!N293</f>
        <v>59</v>
      </c>
      <c r="F73" s="210">
        <f>'สูตร 4 step SB'!O290</f>
        <v>59</v>
      </c>
      <c r="G73" s="118">
        <f>'สูตร 4 step SB'!O291</f>
        <v>60</v>
      </c>
      <c r="H73" s="118">
        <f>'สูตร 4 step SB'!O292</f>
        <v>61</v>
      </c>
      <c r="I73" s="118">
        <f>'สูตร 4 step SB'!O293</f>
        <v>62</v>
      </c>
      <c r="J73" s="293">
        <f>'สูตร 4 step SB'!P290</f>
        <v>56</v>
      </c>
      <c r="K73" s="118">
        <f>'สูตร 4 step SB'!P291</f>
        <v>57</v>
      </c>
      <c r="L73" s="118">
        <f>'สูตร 4 step SB'!P292</f>
        <v>58</v>
      </c>
      <c r="M73" s="118">
        <f>'สูตร 4 step SB'!P293</f>
        <v>59</v>
      </c>
      <c r="N73" s="210">
        <f>'สูตร 4 step SB'!Q290</f>
        <v>56</v>
      </c>
      <c r="O73" s="118">
        <f>'สูตร 4 step SB'!Q291</f>
        <v>57</v>
      </c>
      <c r="P73" s="118">
        <f>'สูตร 4 step SB'!Q292</f>
        <v>58</v>
      </c>
      <c r="Q73" s="118">
        <f>'สูตร 4 step SB'!Q293</f>
        <v>59</v>
      </c>
      <c r="R73" s="293">
        <f>'สูตร 4 step SB'!W290</f>
        <v>56</v>
      </c>
      <c r="S73" s="118">
        <f>'สูตร 4 step SB'!W291</f>
        <v>57</v>
      </c>
      <c r="T73" s="118">
        <f>'สูตร 4 step SB'!W292</f>
        <v>58</v>
      </c>
      <c r="U73" s="118">
        <f>'สูตร 4 step SB'!W293</f>
        <v>59</v>
      </c>
    </row>
    <row r="74" spans="1:21" s="133" customFormat="1" ht="20.25" customHeight="1" x14ac:dyDescent="0.25">
      <c r="A74" s="258" t="s">
        <v>189</v>
      </c>
      <c r="B74" s="134">
        <f>'สูตร 4 step SB'!N318</f>
        <v>75</v>
      </c>
      <c r="C74" s="118">
        <f>'สูตร 4 step SB'!N319</f>
        <v>77</v>
      </c>
      <c r="D74" s="118">
        <f>'สูตร 4 step SB'!N320</f>
        <v>78</v>
      </c>
      <c r="E74" s="118">
        <f>'สูตร 4 step SB'!N321</f>
        <v>80</v>
      </c>
      <c r="F74" s="134">
        <f>'สูตร 4 step SB'!O318</f>
        <v>77</v>
      </c>
      <c r="G74" s="118">
        <f>'สูตร 4 step SB'!O319</f>
        <v>79</v>
      </c>
      <c r="H74" s="118">
        <f>'สูตร 4 step SB'!O320</f>
        <v>80</v>
      </c>
      <c r="I74" s="118">
        <f>'สูตร 4 step SB'!O321</f>
        <v>82</v>
      </c>
      <c r="J74" s="118">
        <f>'สูตร 4 step SB'!P318</f>
        <v>75</v>
      </c>
      <c r="K74" s="118">
        <f>'สูตร 4 step SB'!P319</f>
        <v>77</v>
      </c>
      <c r="L74" s="118">
        <f>'สูตร 4 step SB'!P320</f>
        <v>78</v>
      </c>
      <c r="M74" s="118">
        <f>'สูตร 4 step SB'!P321</f>
        <v>80</v>
      </c>
      <c r="N74" s="134">
        <f>'สูตร 4 step SB'!Q318</f>
        <v>75</v>
      </c>
      <c r="O74" s="118">
        <f>'สูตร 4 step SB'!Q319</f>
        <v>77</v>
      </c>
      <c r="P74" s="118">
        <f>'สูตร 4 step SB'!Q320</f>
        <v>78</v>
      </c>
      <c r="Q74" s="118">
        <f>'สูตร 4 step SB'!Q321</f>
        <v>80</v>
      </c>
      <c r="R74" s="118">
        <f>'สูตร 4 step SB'!W318</f>
        <v>75</v>
      </c>
      <c r="S74" s="118">
        <f>'สูตร 4 step SB'!W319</f>
        <v>77</v>
      </c>
      <c r="T74" s="118">
        <f>'สูตร 4 step SB'!W320</f>
        <v>78</v>
      </c>
      <c r="U74" s="118">
        <f>'สูตร 4 step SB'!W321</f>
        <v>80</v>
      </c>
    </row>
    <row r="75" spans="1:21" s="144" customFormat="1" x14ac:dyDescent="0.25">
      <c r="A75" s="250"/>
      <c r="B75" s="143"/>
      <c r="C75" s="141"/>
      <c r="D75" s="141"/>
      <c r="E75" s="141"/>
      <c r="F75" s="143"/>
      <c r="G75" s="141"/>
      <c r="H75" s="141"/>
      <c r="I75" s="141"/>
      <c r="J75" s="141"/>
      <c r="K75" s="141"/>
      <c r="L75" s="141"/>
      <c r="M75" s="141"/>
      <c r="N75" s="143"/>
      <c r="O75" s="141"/>
      <c r="P75" s="141"/>
      <c r="Q75" s="141"/>
      <c r="R75" s="141"/>
      <c r="S75" s="141"/>
      <c r="T75" s="141"/>
      <c r="U75" s="141"/>
    </row>
    <row r="76" spans="1:21" s="144" customFormat="1" x14ac:dyDescent="0.25">
      <c r="A76" s="250" t="s">
        <v>41</v>
      </c>
      <c r="B76" s="143">
        <f>'สูตร 4 step SB'!N426</f>
        <v>117</v>
      </c>
      <c r="C76" s="141">
        <f>'สูตร 4 step SB'!N427</f>
        <v>119</v>
      </c>
      <c r="D76" s="141">
        <f>'สูตร 4 step SB'!N428</f>
        <v>121</v>
      </c>
      <c r="E76" s="141">
        <f>'สูตร 4 step SB'!N429</f>
        <v>123</v>
      </c>
      <c r="F76" s="143">
        <f>'สูตร 4 step SB'!O426</f>
        <v>126</v>
      </c>
      <c r="G76" s="141">
        <f>'สูตร 4 step SB'!O427</f>
        <v>128</v>
      </c>
      <c r="H76" s="141">
        <f>'สูตร 4 step SB'!O428</f>
        <v>130</v>
      </c>
      <c r="I76" s="141">
        <f>'สูตร 4 step SB'!O429</f>
        <v>132</v>
      </c>
      <c r="J76" s="141">
        <f>'สูตร 4 step SB'!P426</f>
        <v>116</v>
      </c>
      <c r="K76" s="141">
        <f>'สูตร 4 step SB'!P427</f>
        <v>118</v>
      </c>
      <c r="L76" s="141">
        <f>'สูตร 4 step SB'!P428</f>
        <v>120</v>
      </c>
      <c r="M76" s="141">
        <f>'สูตร 4 step SB'!P429</f>
        <v>122</v>
      </c>
      <c r="N76" s="143">
        <f>'สูตร 4 step SB'!Q426</f>
        <v>116</v>
      </c>
      <c r="O76" s="141">
        <f>'สูตร 4 step SB'!Q427</f>
        <v>118</v>
      </c>
      <c r="P76" s="141">
        <f>'สูตร 4 step SB'!Q428</f>
        <v>120</v>
      </c>
      <c r="Q76" s="141">
        <f>'สูตร 4 step SB'!Q429</f>
        <v>122</v>
      </c>
      <c r="R76" s="141">
        <f>'สูตร 4 step SB'!W426</f>
        <v>116</v>
      </c>
      <c r="S76" s="141">
        <f>'สูตร 4 step SB'!W427</f>
        <v>118</v>
      </c>
      <c r="T76" s="141">
        <f>'สูตร 4 step SB'!W428</f>
        <v>120</v>
      </c>
      <c r="U76" s="141">
        <f>'สูตร 4 step SB'!W429</f>
        <v>122</v>
      </c>
    </row>
    <row r="77" spans="1:21" s="144" customFormat="1" x14ac:dyDescent="0.25">
      <c r="A77" s="250" t="s">
        <v>42</v>
      </c>
      <c r="B77" s="173">
        <f>'สูตร 4 step SB'!N454</f>
        <v>59</v>
      </c>
      <c r="C77" s="141">
        <f>'สูตร 4 step SB'!N455</f>
        <v>60</v>
      </c>
      <c r="D77" s="141">
        <f>'สูตร 4 step SB'!N456</f>
        <v>61</v>
      </c>
      <c r="E77" s="141">
        <f>'สูตร 4 step SB'!N457</f>
        <v>62</v>
      </c>
      <c r="F77" s="173">
        <f>'สูตร 4 step SB'!O454</f>
        <v>64</v>
      </c>
      <c r="G77" s="141">
        <f>'สูตร 4 step SB'!O455</f>
        <v>65</v>
      </c>
      <c r="H77" s="141">
        <f>'สูตร 4 step SB'!O456</f>
        <v>66</v>
      </c>
      <c r="I77" s="141">
        <f>'สูตร 4 step SB'!O457</f>
        <v>67</v>
      </c>
      <c r="J77" s="140">
        <f>'สูตร 4 step SB'!P454</f>
        <v>59</v>
      </c>
      <c r="K77" s="141">
        <f>'สูตร 4 step SB'!P455</f>
        <v>60</v>
      </c>
      <c r="L77" s="141">
        <f>'สูตร 4 step SB'!P456</f>
        <v>61</v>
      </c>
      <c r="M77" s="141">
        <f>'สูตร 4 step SB'!P457</f>
        <v>62</v>
      </c>
      <c r="N77" s="173">
        <f>'สูตร 4 step SB'!Q454</f>
        <v>59</v>
      </c>
      <c r="O77" s="141">
        <f>'สูตร 4 step SB'!Q455</f>
        <v>60</v>
      </c>
      <c r="P77" s="141">
        <f>'สูตร 4 step SB'!Q456</f>
        <v>61</v>
      </c>
      <c r="Q77" s="141">
        <f>'สูตร 4 step SB'!Q457</f>
        <v>62</v>
      </c>
      <c r="R77" s="140">
        <f>'สูตร 4 step SB'!W454</f>
        <v>59</v>
      </c>
      <c r="S77" s="141">
        <f>'สูตร 4 step SB'!W455</f>
        <v>60</v>
      </c>
      <c r="T77" s="141">
        <f>'สูตร 4 step SB'!W456</f>
        <v>61</v>
      </c>
      <c r="U77" s="141">
        <f>'สูตร 4 step SB'!W457</f>
        <v>62</v>
      </c>
    </row>
    <row r="78" spans="1:21" s="144" customFormat="1" x14ac:dyDescent="0.25">
      <c r="A78" s="250" t="s">
        <v>43</v>
      </c>
      <c r="B78" s="143">
        <f>'สูตร 4 step SB'!N481</f>
        <v>59</v>
      </c>
      <c r="C78" s="141">
        <f>'สูตร 4 step SB'!N482</f>
        <v>60</v>
      </c>
      <c r="D78" s="141">
        <f>'สูตร 4 step SB'!N483</f>
        <v>61</v>
      </c>
      <c r="E78" s="141">
        <f>'สูตร 4 step SB'!N484</f>
        <v>62</v>
      </c>
      <c r="F78" s="143">
        <f>'สูตร 4 step SB'!O481</f>
        <v>64</v>
      </c>
      <c r="G78" s="141">
        <f>'สูตร 4 step SB'!O482</f>
        <v>65</v>
      </c>
      <c r="H78" s="141">
        <f>'สูตร 4 step SB'!O483</f>
        <v>66</v>
      </c>
      <c r="I78" s="141">
        <f>'สูตร 4 step SB'!O484</f>
        <v>67</v>
      </c>
      <c r="J78" s="141">
        <f>'สูตร 4 step SB'!P481</f>
        <v>59</v>
      </c>
      <c r="K78" s="141">
        <f>'สูตร 4 step SB'!P482</f>
        <v>60</v>
      </c>
      <c r="L78" s="141">
        <f>'สูตร 4 step SB'!P483</f>
        <v>61</v>
      </c>
      <c r="M78" s="141">
        <f>'สูตร 4 step SB'!P484</f>
        <v>62</v>
      </c>
      <c r="N78" s="143">
        <f>'สูตร 4 step SB'!Q481</f>
        <v>59</v>
      </c>
      <c r="O78" s="141">
        <f>'สูตร 4 step SB'!Q482</f>
        <v>60</v>
      </c>
      <c r="P78" s="141">
        <f>'สูตร 4 step SB'!Q483</f>
        <v>61</v>
      </c>
      <c r="Q78" s="141">
        <f>'สูตร 4 step SB'!Q484</f>
        <v>62</v>
      </c>
      <c r="R78" s="141">
        <f>'สูตร 4 step SB'!W481</f>
        <v>59</v>
      </c>
      <c r="S78" s="141">
        <f>'สูตร 4 step SB'!W482</f>
        <v>60</v>
      </c>
      <c r="T78" s="141">
        <f>'สูตร 4 step SB'!W483</f>
        <v>61</v>
      </c>
      <c r="U78" s="141">
        <f>'สูตร 4 step SB'!W484</f>
        <v>62</v>
      </c>
    </row>
    <row r="79" spans="1:21" s="144" customFormat="1" x14ac:dyDescent="0.25">
      <c r="A79" s="250" t="s">
        <v>44</v>
      </c>
      <c r="B79" s="143">
        <f>'สูตร 4 step SB'!N509</f>
        <v>176</v>
      </c>
      <c r="C79" s="141">
        <f>'สูตร 4 step SB'!N510</f>
        <v>179</v>
      </c>
      <c r="D79" s="141">
        <f>'สูตร 4 step SB'!N511</f>
        <v>181</v>
      </c>
      <c r="E79" s="141">
        <f>'สูตร 4 step SB'!N512</f>
        <v>183</v>
      </c>
      <c r="F79" s="143">
        <f>'สูตร 4 step SB'!O509</f>
        <v>191</v>
      </c>
      <c r="G79" s="141">
        <f>'สูตร 4 step SB'!O510</f>
        <v>194</v>
      </c>
      <c r="H79" s="141">
        <f>'สูตร 4 step SB'!O511</f>
        <v>196</v>
      </c>
      <c r="I79" s="141">
        <f>'สูตร 4 step SB'!O512</f>
        <v>198</v>
      </c>
      <c r="J79" s="141">
        <f>'สูตร 4 step SB'!P509</f>
        <v>175</v>
      </c>
      <c r="K79" s="141">
        <f>'สูตร 4 step SB'!P510</f>
        <v>178</v>
      </c>
      <c r="L79" s="141">
        <f>'สูตร 4 step SB'!P511</f>
        <v>180</v>
      </c>
      <c r="M79" s="141">
        <f>'สูตร 4 step SB'!P512</f>
        <v>182</v>
      </c>
      <c r="N79" s="143">
        <f>'สูตร 4 step SB'!Q509</f>
        <v>175</v>
      </c>
      <c r="O79" s="141">
        <f>'สูตร 4 step SB'!Q510</f>
        <v>178</v>
      </c>
      <c r="P79" s="141">
        <f>'สูตร 4 step SB'!Q511</f>
        <v>180</v>
      </c>
      <c r="Q79" s="141">
        <f>'สูตร 4 step SB'!Q512</f>
        <v>182</v>
      </c>
      <c r="R79" s="141">
        <f>'สูตร 4 step SB'!W509</f>
        <v>175</v>
      </c>
      <c r="S79" s="141">
        <f>'สูตร 4 step SB'!W510</f>
        <v>178</v>
      </c>
      <c r="T79" s="141">
        <f>'สูตร 4 step SB'!W511</f>
        <v>180</v>
      </c>
      <c r="U79" s="141">
        <f>'สูตร 4 step SB'!W512</f>
        <v>182</v>
      </c>
    </row>
    <row r="80" spans="1:21" s="144" customFormat="1" x14ac:dyDescent="0.25">
      <c r="A80" s="250" t="s">
        <v>112</v>
      </c>
      <c r="B80" s="143">
        <f>'สูตร 4 step SB'!N591</f>
        <v>271</v>
      </c>
      <c r="C80" s="141">
        <f>'สูตร 4 step SB'!N592</f>
        <v>275</v>
      </c>
      <c r="D80" s="141">
        <f>'สูตร 4 step SB'!N593</f>
        <v>277</v>
      </c>
      <c r="E80" s="141">
        <f>'สูตร 4 step SB'!N594</f>
        <v>279</v>
      </c>
      <c r="F80" s="143">
        <f>'สูตร 4 step SB'!O591</f>
        <v>290</v>
      </c>
      <c r="G80" s="141">
        <f>'สูตร 4 step SB'!O592</f>
        <v>294</v>
      </c>
      <c r="H80" s="141">
        <f>'สูตร 4 step SB'!O593</f>
        <v>296</v>
      </c>
      <c r="I80" s="141">
        <f>'สูตร 4 step SB'!O594</f>
        <v>298</v>
      </c>
      <c r="J80" s="141">
        <f>'สูตร 4 step SB'!P591</f>
        <v>270</v>
      </c>
      <c r="K80" s="141">
        <f>'สูตร 4 step SB'!P592</f>
        <v>274</v>
      </c>
      <c r="L80" s="141">
        <f>'สูตร 4 step SB'!P593</f>
        <v>276</v>
      </c>
      <c r="M80" s="141">
        <f>'สูตร 4 step SB'!P594</f>
        <v>278</v>
      </c>
      <c r="N80" s="143">
        <f>'สูตร 4 step SB'!Q591</f>
        <v>270</v>
      </c>
      <c r="O80" s="141">
        <f>'สูตร 4 step SB'!Q592</f>
        <v>274</v>
      </c>
      <c r="P80" s="141">
        <f>'สูตร 4 step SB'!Q593</f>
        <v>276</v>
      </c>
      <c r="Q80" s="141">
        <f>'สูตร 4 step SB'!Q594</f>
        <v>278</v>
      </c>
      <c r="R80" s="141">
        <f>'สูตร 4 step SB'!W591</f>
        <v>270</v>
      </c>
      <c r="S80" s="141">
        <f>'สูตร 4 step SB'!W592</f>
        <v>274</v>
      </c>
      <c r="T80" s="141">
        <f>'สูตร 4 step SB'!W593</f>
        <v>276</v>
      </c>
      <c r="U80" s="141">
        <f>'สูตร 4 step SB'!W594</f>
        <v>278</v>
      </c>
    </row>
    <row r="81" spans="1:21" s="144" customFormat="1" x14ac:dyDescent="0.25">
      <c r="A81" s="250" t="s">
        <v>221</v>
      </c>
      <c r="B81" s="143"/>
      <c r="C81" s="141"/>
      <c r="D81" s="141"/>
      <c r="E81" s="141"/>
      <c r="F81" s="143"/>
      <c r="G81" s="141"/>
      <c r="H81" s="141"/>
      <c r="I81" s="141"/>
      <c r="J81" s="141"/>
      <c r="K81" s="141"/>
      <c r="L81" s="141"/>
      <c r="M81" s="141"/>
      <c r="N81" s="143"/>
      <c r="O81" s="141"/>
      <c r="P81" s="141"/>
      <c r="Q81" s="141"/>
      <c r="R81" s="141"/>
      <c r="S81" s="141"/>
      <c r="T81" s="141"/>
      <c r="U81" s="141"/>
    </row>
    <row r="82" spans="1:21" s="144" customFormat="1" x14ac:dyDescent="0.25">
      <c r="A82" s="250" t="s">
        <v>222</v>
      </c>
      <c r="B82" s="143"/>
      <c r="C82" s="141"/>
      <c r="D82" s="141"/>
      <c r="E82" s="141"/>
      <c r="F82" s="143"/>
      <c r="G82" s="141"/>
      <c r="H82" s="141"/>
      <c r="I82" s="141"/>
      <c r="J82" s="141"/>
      <c r="K82" s="141"/>
      <c r="L82" s="141"/>
      <c r="M82" s="141"/>
      <c r="N82" s="143"/>
      <c r="O82" s="141"/>
      <c r="P82" s="141"/>
      <c r="Q82" s="141"/>
      <c r="R82" s="141"/>
      <c r="S82" s="141"/>
      <c r="T82" s="141"/>
      <c r="U82" s="141"/>
    </row>
    <row r="83" spans="1:21" s="144" customFormat="1" x14ac:dyDescent="0.25">
      <c r="A83" s="250"/>
      <c r="B83" s="143"/>
      <c r="C83" s="141"/>
      <c r="D83" s="141"/>
      <c r="E83" s="141"/>
      <c r="F83" s="143"/>
      <c r="G83" s="141"/>
      <c r="H83" s="141"/>
      <c r="I83" s="141"/>
      <c r="J83" s="141"/>
      <c r="K83" s="141"/>
      <c r="L83" s="141"/>
      <c r="M83" s="141"/>
      <c r="N83" s="143"/>
      <c r="O83" s="141"/>
      <c r="P83" s="141"/>
      <c r="Q83" s="141"/>
      <c r="R83" s="141"/>
      <c r="S83" s="141"/>
      <c r="T83" s="141"/>
      <c r="U83" s="141"/>
    </row>
    <row r="84" spans="1:21" s="144" customFormat="1" x14ac:dyDescent="0.25">
      <c r="A84" s="250" t="s">
        <v>167</v>
      </c>
      <c r="B84" s="143">
        <f>'สูตร 4 step SB'!N370</f>
        <v>45</v>
      </c>
      <c r="C84" s="141">
        <f>'สูตร 4 step SB'!N371</f>
        <v>46</v>
      </c>
      <c r="D84" s="141">
        <f>'สูตร 4 step SB'!N372</f>
        <v>47</v>
      </c>
      <c r="E84" s="141">
        <f>'สูตร 4 step SB'!N373</f>
        <v>48</v>
      </c>
      <c r="F84" s="143">
        <f>'สูตร 4 step SB'!O370</f>
        <v>46</v>
      </c>
      <c r="G84" s="141">
        <f>'สูตร 4 step SB'!O371</f>
        <v>47</v>
      </c>
      <c r="H84" s="141">
        <f>'สูตร 4 step SB'!O372</f>
        <v>48</v>
      </c>
      <c r="I84" s="141">
        <f>'สูตร 4 step SB'!O373</f>
        <v>49</v>
      </c>
      <c r="J84" s="141">
        <f>'สูตร 4 step SB'!P370</f>
        <v>45</v>
      </c>
      <c r="K84" s="141">
        <f>'สูตร 4 step SB'!P371</f>
        <v>46</v>
      </c>
      <c r="L84" s="141">
        <f>'สูตร 4 step SB'!P372</f>
        <v>47</v>
      </c>
      <c r="M84" s="141">
        <f>'สูตร 4 step SB'!P373</f>
        <v>48</v>
      </c>
      <c r="N84" s="143">
        <f>'สูตร 4 step SB'!Q370</f>
        <v>45</v>
      </c>
      <c r="O84" s="141">
        <f>'สูตร 4 step SB'!Q371</f>
        <v>46</v>
      </c>
      <c r="P84" s="141">
        <f>'สูตร 4 step SB'!Q372</f>
        <v>47</v>
      </c>
      <c r="Q84" s="141">
        <f>'สูตร 4 step SB'!Q373</f>
        <v>48</v>
      </c>
      <c r="R84" s="141">
        <f>'สูตร 4 step SB'!W370</f>
        <v>45</v>
      </c>
      <c r="S84" s="141">
        <f>'สูตร 4 step SB'!W371</f>
        <v>46</v>
      </c>
      <c r="T84" s="141">
        <f>'สูตร 4 step SB'!W372</f>
        <v>47</v>
      </c>
      <c r="U84" s="141">
        <f>'สูตร 4 step SB'!W373</f>
        <v>48</v>
      </c>
    </row>
    <row r="85" spans="1:21" s="144" customFormat="1" x14ac:dyDescent="0.25">
      <c r="A85" s="254" t="s">
        <v>168</v>
      </c>
      <c r="B85" s="184">
        <f>'สูตร 4 step SB'!N398</f>
        <v>38</v>
      </c>
      <c r="C85" s="186">
        <f>'สูตร 4 step SB'!N399</f>
        <v>39</v>
      </c>
      <c r="D85" s="186">
        <f>'สูตร 4 step SB'!N400</f>
        <v>40</v>
      </c>
      <c r="E85" s="186">
        <f>'สูตร 4 step SB'!N401</f>
        <v>41</v>
      </c>
      <c r="F85" s="184">
        <f>'สูตร 4 step SB'!O398</f>
        <v>39</v>
      </c>
      <c r="G85" s="186">
        <f>'สูตร 4 step SB'!O399</f>
        <v>40</v>
      </c>
      <c r="H85" s="186">
        <f>'สูตร 4 step SB'!O400</f>
        <v>41</v>
      </c>
      <c r="I85" s="186">
        <f>'สูตร 4 step SB'!O401</f>
        <v>42</v>
      </c>
      <c r="J85" s="186">
        <f>'สูตร 4 step SB'!P398</f>
        <v>38</v>
      </c>
      <c r="K85" s="186">
        <f>'สูตร 4 step SB'!P399</f>
        <v>39</v>
      </c>
      <c r="L85" s="186">
        <f>'สูตร 4 step SB'!P400</f>
        <v>40</v>
      </c>
      <c r="M85" s="186">
        <f>'สูตร 4 step SB'!P401</f>
        <v>41</v>
      </c>
      <c r="N85" s="184">
        <f>'สูตร 4 step SB'!Q398</f>
        <v>38</v>
      </c>
      <c r="O85" s="186">
        <f>'สูตร 4 step SB'!Q399</f>
        <v>39</v>
      </c>
      <c r="P85" s="186">
        <f>'สูตร 4 step SB'!Q400</f>
        <v>40</v>
      </c>
      <c r="Q85" s="186">
        <f>'สูตร 4 step SB'!Q401</f>
        <v>41</v>
      </c>
      <c r="R85" s="186">
        <f>'สูตร 4 step SB'!W398</f>
        <v>38</v>
      </c>
      <c r="S85" s="186">
        <f>'สูตร 4 step SB'!W399</f>
        <v>39</v>
      </c>
      <c r="T85" s="186">
        <f>'สูตร 4 step SB'!W400</f>
        <v>40</v>
      </c>
      <c r="U85" s="186">
        <f>'สูตร 4 step SB'!W401</f>
        <v>41</v>
      </c>
    </row>
    <row r="86" spans="1:21" s="144" customFormat="1" x14ac:dyDescent="0.25">
      <c r="A86" s="254" t="s">
        <v>169</v>
      </c>
      <c r="B86" s="184">
        <f>'สูตร 4 step SB'!N1143</f>
        <v>48</v>
      </c>
      <c r="C86" s="186">
        <f>'สูตร 4 step SB'!N1144</f>
        <v>49</v>
      </c>
      <c r="D86" s="186">
        <f>'สูตร 4 step SB'!N1145</f>
        <v>50</v>
      </c>
      <c r="E86" s="186">
        <f>'สูตร 4 step SB'!N1146</f>
        <v>52</v>
      </c>
      <c r="F86" s="184">
        <f>'สูตร 4 step SB'!O1143</f>
        <v>49</v>
      </c>
      <c r="G86" s="186">
        <f>'สูตร 4 step SB'!O1144</f>
        <v>50</v>
      </c>
      <c r="H86" s="186">
        <f>'สูตร 4 step SB'!O1145</f>
        <v>51</v>
      </c>
      <c r="I86" s="186">
        <f>'สูตร 4 step SB'!O1146</f>
        <v>53</v>
      </c>
      <c r="J86" s="186">
        <f>'สูตร 4 step SB'!P1143</f>
        <v>48</v>
      </c>
      <c r="K86" s="186">
        <f>'สูตร 4 step SB'!P1144</f>
        <v>49</v>
      </c>
      <c r="L86" s="186">
        <f>'สูตร 4 step SB'!P1145</f>
        <v>50</v>
      </c>
      <c r="M86" s="186">
        <f>'สูตร 4 step SB'!P1146</f>
        <v>52</v>
      </c>
      <c r="N86" s="184">
        <f>'สูตร 4 step SB'!Q1143</f>
        <v>48</v>
      </c>
      <c r="O86" s="186">
        <f>'สูตร 4 step SB'!Q1144</f>
        <v>49</v>
      </c>
      <c r="P86" s="186">
        <f>'สูตร 4 step SB'!Q1145</f>
        <v>50</v>
      </c>
      <c r="Q86" s="186">
        <f>'สูตร 4 step SB'!Q1146</f>
        <v>52</v>
      </c>
      <c r="R86" s="186">
        <f>'สูตร 4 step SB'!W1143</f>
        <v>48</v>
      </c>
      <c r="S86" s="186">
        <f>'สูตร 4 step SB'!W1144</f>
        <v>49</v>
      </c>
      <c r="T86" s="186">
        <f>'สูตร 4 step SB'!W1145</f>
        <v>50</v>
      </c>
      <c r="U86" s="186">
        <f>'สูตร 4 step SB'!W1146</f>
        <v>52</v>
      </c>
    </row>
    <row r="87" spans="1:21" s="144" customFormat="1" x14ac:dyDescent="0.25">
      <c r="A87" s="250" t="s">
        <v>170</v>
      </c>
      <c r="B87" s="143">
        <f>'สูตร 4 step SB'!N536</f>
        <v>29</v>
      </c>
      <c r="C87" s="141">
        <f>'สูตร 4 step SB'!N537</f>
        <v>30</v>
      </c>
      <c r="D87" s="141">
        <f>'สูตร 4 step SB'!N538</f>
        <v>31</v>
      </c>
      <c r="E87" s="141">
        <f>'สูตร 4 step SB'!N539</f>
        <v>32</v>
      </c>
      <c r="F87" s="143">
        <f>'สูตร 4 step SB'!O536</f>
        <v>30</v>
      </c>
      <c r="G87" s="141">
        <f>'สูตร 4 step SB'!O537</f>
        <v>31</v>
      </c>
      <c r="H87" s="141">
        <f>'สูตร 4 step SB'!O538</f>
        <v>32</v>
      </c>
      <c r="I87" s="141">
        <f>'สูตร 4 step SB'!O539</f>
        <v>33</v>
      </c>
      <c r="J87" s="141">
        <f>'สูตร 4 step SB'!P536</f>
        <v>29</v>
      </c>
      <c r="K87" s="141">
        <f>'สูตร 4 step SB'!P537</f>
        <v>30</v>
      </c>
      <c r="L87" s="141">
        <f>'สูตร 4 step SB'!P538</f>
        <v>31</v>
      </c>
      <c r="M87" s="141">
        <f>'สูตร 4 step SB'!P539</f>
        <v>32</v>
      </c>
      <c r="N87" s="143">
        <f>'สูตร 4 step SB'!Q536</f>
        <v>29</v>
      </c>
      <c r="O87" s="141">
        <f>'สูตร 4 step SB'!Q537</f>
        <v>30</v>
      </c>
      <c r="P87" s="141">
        <f>'สูตร 4 step SB'!Q538</f>
        <v>31</v>
      </c>
      <c r="Q87" s="141">
        <f>'สูตร 4 step SB'!Q539</f>
        <v>32</v>
      </c>
      <c r="R87" s="141">
        <f>'สูตร 4 step SB'!W536</f>
        <v>29</v>
      </c>
      <c r="S87" s="141">
        <f>'สูตร 4 step SB'!W537</f>
        <v>30</v>
      </c>
      <c r="T87" s="141">
        <f>'สูตร 4 step SB'!W538</f>
        <v>31</v>
      </c>
      <c r="U87" s="141">
        <f>'สูตร 4 step SB'!W539</f>
        <v>32</v>
      </c>
    </row>
    <row r="88" spans="1:21" s="144" customFormat="1" x14ac:dyDescent="0.25">
      <c r="A88" s="254" t="s">
        <v>171</v>
      </c>
      <c r="B88" s="184">
        <f>'สูตร 4 step SB'!N564</f>
        <v>32</v>
      </c>
      <c r="C88" s="186">
        <f>'สูตร 4 step SB'!N565</f>
        <v>33</v>
      </c>
      <c r="D88" s="186">
        <f>'สูตร 4 step SB'!N566</f>
        <v>34</v>
      </c>
      <c r="E88" s="186">
        <f>'สูตร 4 step SB'!N567</f>
        <v>35</v>
      </c>
      <c r="F88" s="184">
        <f>'สูตร 4 step SB'!O564</f>
        <v>33</v>
      </c>
      <c r="G88" s="186">
        <f>'สูตร 4 step SB'!O565</f>
        <v>34</v>
      </c>
      <c r="H88" s="186">
        <f>'สูตร 4 step SB'!O566</f>
        <v>35</v>
      </c>
      <c r="I88" s="186">
        <f>'สูตร 4 step SB'!O567</f>
        <v>36</v>
      </c>
      <c r="J88" s="186">
        <f>'สูตร 4 step SB'!P564</f>
        <v>31</v>
      </c>
      <c r="K88" s="186">
        <f>'สูตร 4 step SB'!P565</f>
        <v>32</v>
      </c>
      <c r="L88" s="186">
        <f>'สูตร 4 step SB'!P566</f>
        <v>33</v>
      </c>
      <c r="M88" s="186">
        <f>'สูตร 4 step SB'!P567</f>
        <v>34</v>
      </c>
      <c r="N88" s="184">
        <f>'สูตร 4 step SB'!Q564</f>
        <v>31</v>
      </c>
      <c r="O88" s="186">
        <f>'สูตร 4 step SB'!Q565</f>
        <v>32</v>
      </c>
      <c r="P88" s="186">
        <f>'สูตร 4 step SB'!Q566</f>
        <v>33</v>
      </c>
      <c r="Q88" s="186">
        <f>'สูตร 4 step SB'!Q567</f>
        <v>34</v>
      </c>
      <c r="R88" s="186">
        <f>'สูตร 4 step SB'!W564</f>
        <v>31</v>
      </c>
      <c r="S88" s="186">
        <f>'สูตร 4 step SB'!W565</f>
        <v>32</v>
      </c>
      <c r="T88" s="186">
        <f>'สูตร 4 step SB'!W566</f>
        <v>33</v>
      </c>
      <c r="U88" s="186">
        <f>'สูตร 4 step SB'!W567</f>
        <v>34</v>
      </c>
    </row>
    <row r="89" spans="1:21" s="144" customFormat="1" x14ac:dyDescent="0.25">
      <c r="A89" s="254"/>
      <c r="B89" s="184"/>
      <c r="C89" s="186"/>
      <c r="D89" s="186"/>
      <c r="E89" s="186"/>
      <c r="F89" s="184"/>
      <c r="G89" s="186"/>
      <c r="H89" s="186"/>
      <c r="I89" s="186"/>
      <c r="J89" s="186"/>
      <c r="K89" s="186"/>
      <c r="L89" s="186"/>
      <c r="M89" s="186"/>
      <c r="N89" s="184"/>
      <c r="O89" s="186"/>
      <c r="P89" s="186"/>
      <c r="Q89" s="186"/>
      <c r="R89" s="186"/>
      <c r="S89" s="186"/>
      <c r="T89" s="186"/>
      <c r="U89" s="186"/>
    </row>
    <row r="90" spans="1:21" s="144" customFormat="1" x14ac:dyDescent="0.25">
      <c r="A90" s="255" t="s">
        <v>141</v>
      </c>
      <c r="B90" s="141">
        <f>'สูตร 4 step SB'!N753</f>
        <v>43</v>
      </c>
      <c r="C90" s="141">
        <f>'สูตร 4 step SB'!N754</f>
        <v>44</v>
      </c>
      <c r="D90" s="141">
        <f>'สูตร 4 step SB'!N755</f>
        <v>45</v>
      </c>
      <c r="E90" s="141">
        <f>'สูตร 4 step SB'!N756</f>
        <v>46</v>
      </c>
      <c r="F90" s="141">
        <f>'สูตร 4 step SB'!O753</f>
        <v>46</v>
      </c>
      <c r="G90" s="141">
        <f>'สูตร 4 step SB'!O754</f>
        <v>47</v>
      </c>
      <c r="H90" s="141">
        <f>'สูตร 4 step SB'!O755</f>
        <v>48</v>
      </c>
      <c r="I90" s="141">
        <f>'สูตร 4 step SB'!O756</f>
        <v>49</v>
      </c>
      <c r="J90" s="141">
        <f>'สูตร 4 step SB'!P753</f>
        <v>43</v>
      </c>
      <c r="K90" s="141">
        <f>'สูตร 4 step SB'!P754</f>
        <v>44</v>
      </c>
      <c r="L90" s="141">
        <f>'สูตร 4 step SB'!P755</f>
        <v>45</v>
      </c>
      <c r="M90" s="141">
        <f>'สูตร 4 step SB'!P756</f>
        <v>46</v>
      </c>
      <c r="N90" s="143">
        <f>'สูตร 4 step SB'!Q753</f>
        <v>43</v>
      </c>
      <c r="O90" s="141">
        <f>'สูตร 4 step SB'!Q754</f>
        <v>44</v>
      </c>
      <c r="P90" s="141">
        <f>'สูตร 4 step SB'!Q755</f>
        <v>45</v>
      </c>
      <c r="Q90" s="141">
        <f>'สูตร 4 step SB'!Q756</f>
        <v>46</v>
      </c>
      <c r="R90" s="141">
        <f>'สูตร 4 step SB'!W753</f>
        <v>43</v>
      </c>
      <c r="S90" s="141">
        <f>'สูตร 4 step SB'!W754</f>
        <v>44</v>
      </c>
      <c r="T90" s="141">
        <f>'สูตร 4 step SB'!W755</f>
        <v>45</v>
      </c>
      <c r="U90" s="141">
        <f>'สูตร 4 step SB'!W756</f>
        <v>46</v>
      </c>
    </row>
    <row r="91" spans="1:21" s="144" customFormat="1" x14ac:dyDescent="0.25">
      <c r="A91" s="255" t="s">
        <v>161</v>
      </c>
      <c r="B91" s="141">
        <f>'สูตร 4 step SB'!N975</f>
        <v>58</v>
      </c>
      <c r="C91" s="141">
        <f>'สูตร 4 step SB'!N976</f>
        <v>59</v>
      </c>
      <c r="D91" s="141">
        <f>'สูตร 4 step SB'!N977</f>
        <v>60</v>
      </c>
      <c r="E91" s="141">
        <f>'สูตร 4 step SB'!N978</f>
        <v>61</v>
      </c>
      <c r="F91" s="141">
        <f>'สูตร 4 step SB'!O975</f>
        <v>62</v>
      </c>
      <c r="G91" s="141">
        <f>'สูตร 4 step SB'!O976</f>
        <v>63</v>
      </c>
      <c r="H91" s="141">
        <f>'สูตร 4 step SB'!O977</f>
        <v>64</v>
      </c>
      <c r="I91" s="141">
        <f>'สูตร 4 step SB'!O978</f>
        <v>65</v>
      </c>
      <c r="J91" s="141">
        <f>'สูตร 4 step SB'!P975</f>
        <v>58</v>
      </c>
      <c r="K91" s="141">
        <f>'สูตร 4 step SB'!P976</f>
        <v>59</v>
      </c>
      <c r="L91" s="141">
        <f>'สูตร 4 step SB'!P977</f>
        <v>60</v>
      </c>
      <c r="M91" s="141">
        <f>'สูตร 4 step SB'!P978</f>
        <v>61</v>
      </c>
      <c r="N91" s="143">
        <f>'สูตร 4 step SB'!Q975</f>
        <v>58</v>
      </c>
      <c r="O91" s="141">
        <f>'สูตร 4 step SB'!Q976</f>
        <v>59</v>
      </c>
      <c r="P91" s="141">
        <f>'สูตร 4 step SB'!Q977</f>
        <v>60</v>
      </c>
      <c r="Q91" s="141">
        <f>'สูตร 4 step SB'!Q978</f>
        <v>61</v>
      </c>
      <c r="R91" s="141">
        <f>'สูตร 4 step SB'!W975</f>
        <v>58</v>
      </c>
      <c r="S91" s="141">
        <f>'สูตร 4 step SB'!W976</f>
        <v>59</v>
      </c>
      <c r="T91" s="141">
        <f>'สูตร 4 step SB'!W977</f>
        <v>60</v>
      </c>
      <c r="U91" s="141">
        <f>'สูตร 4 step SB'!W978</f>
        <v>61</v>
      </c>
    </row>
    <row r="92" spans="1:21" s="144" customFormat="1" x14ac:dyDescent="0.25">
      <c r="A92" s="255" t="s">
        <v>140</v>
      </c>
      <c r="B92" s="141">
        <f>'สูตร 4 step SB'!N1003</f>
        <v>58</v>
      </c>
      <c r="C92" s="141">
        <f>'สูตร 4 step SB'!N1001</f>
        <v>54.317272727272723</v>
      </c>
      <c r="D92" s="141">
        <f>'สูตร 4 step SB'!N1003</f>
        <v>58</v>
      </c>
      <c r="E92" s="141">
        <f>'สูตร 4 step SB'!N1004</f>
        <v>59</v>
      </c>
      <c r="F92" s="141">
        <f>'สูตร 4 step SB'!O1003</f>
        <v>62</v>
      </c>
      <c r="G92" s="141">
        <f>'สูตร 4 step SB'!O1001</f>
        <v>58.310227272727275</v>
      </c>
      <c r="H92" s="141">
        <f>'สูตร 4 step SB'!O1003</f>
        <v>62</v>
      </c>
      <c r="I92" s="141">
        <f>'สูตร 4 step SB'!O1004</f>
        <v>63</v>
      </c>
      <c r="J92" s="141">
        <f>'สูตร 4 step SB'!P1003</f>
        <v>58</v>
      </c>
      <c r="K92" s="141">
        <f>'สูตร 4 step SB'!P1001</f>
        <v>54.021363636363638</v>
      </c>
      <c r="L92" s="141">
        <f>'สูตร 4 step SB'!P1003</f>
        <v>58</v>
      </c>
      <c r="M92" s="141">
        <f>'สูตร 4 step SB'!P1004</f>
        <v>59</v>
      </c>
      <c r="N92" s="143">
        <f>'สูตร 4 step SB'!Q1003</f>
        <v>58</v>
      </c>
      <c r="O92" s="141">
        <f>'สูตร 4 step SB'!Q1001</f>
        <v>54.021363636363638</v>
      </c>
      <c r="P92" s="141">
        <f>'สูตร 4 step SB'!Q1003</f>
        <v>58</v>
      </c>
      <c r="Q92" s="141">
        <f>'สูตร 4 step SB'!Q1004</f>
        <v>59</v>
      </c>
      <c r="R92" s="141">
        <f>'สูตร 4 step SB'!W1003</f>
        <v>58</v>
      </c>
      <c r="S92" s="141">
        <f>'สูตร 4 step SB'!W1001</f>
        <v>54.021363636363638</v>
      </c>
      <c r="T92" s="141">
        <f>'สูตร 4 step SB'!W1003</f>
        <v>58</v>
      </c>
      <c r="U92" s="141">
        <f>'สูตร 4 step SB'!W1004</f>
        <v>59</v>
      </c>
    </row>
    <row r="93" spans="1:21" s="144" customFormat="1" x14ac:dyDescent="0.25">
      <c r="A93" s="255" t="s">
        <v>162</v>
      </c>
      <c r="B93" s="141">
        <f>'สูตร 4 step SB'!N1031</f>
        <v>77</v>
      </c>
      <c r="C93" s="141">
        <f>'สูตร 4 step SB'!N1032</f>
        <v>78</v>
      </c>
      <c r="D93" s="141">
        <f>'สูตร 4 step SB'!N1033</f>
        <v>79</v>
      </c>
      <c r="E93" s="141">
        <f>'สูตร 4 step SB'!N1034</f>
        <v>80</v>
      </c>
      <c r="F93" s="141">
        <f>'สูตร 4 step SB'!O1031</f>
        <v>81</v>
      </c>
      <c r="G93" s="141">
        <f>'สูตร 4 step SB'!O1032</f>
        <v>82</v>
      </c>
      <c r="H93" s="141">
        <f>'สูตร 4 step SB'!O1033</f>
        <v>83</v>
      </c>
      <c r="I93" s="141">
        <f>'สูตร 4 step SB'!O1034</f>
        <v>84</v>
      </c>
      <c r="J93" s="141">
        <f>'สูตร 4 step SB'!P1031</f>
        <v>76</v>
      </c>
      <c r="K93" s="141">
        <f>'สูตร 4 step SB'!P1032</f>
        <v>77</v>
      </c>
      <c r="L93" s="141">
        <f>'สูตร 4 step SB'!P1033</f>
        <v>78</v>
      </c>
      <c r="M93" s="141">
        <f>'สูตร 4 step SB'!P1034</f>
        <v>79</v>
      </c>
      <c r="N93" s="143">
        <f>'สูตร 4 step SB'!Q1031</f>
        <v>76</v>
      </c>
      <c r="O93" s="141">
        <f>'สูตร 4 step SB'!Q1032</f>
        <v>77</v>
      </c>
      <c r="P93" s="141">
        <f>'สูตร 4 step SB'!Q1033</f>
        <v>78</v>
      </c>
      <c r="Q93" s="141">
        <f>'สูตร 4 step SB'!Q1034</f>
        <v>79</v>
      </c>
      <c r="R93" s="141">
        <f>'สูตร 4 step SB'!W1031</f>
        <v>76</v>
      </c>
      <c r="S93" s="141">
        <f>'สูตร 4 step SB'!W1032</f>
        <v>77</v>
      </c>
      <c r="T93" s="141">
        <f>'สูตร 4 step SB'!W1033</f>
        <v>78</v>
      </c>
      <c r="U93" s="141">
        <f>'สูตร 4 step SB'!W1034</f>
        <v>79</v>
      </c>
    </row>
    <row r="94" spans="1:21" s="144" customFormat="1" x14ac:dyDescent="0.25">
      <c r="A94" s="255" t="s">
        <v>163</v>
      </c>
      <c r="B94" s="141">
        <f>'สูตร 4 step SB'!N1059</f>
        <v>185</v>
      </c>
      <c r="C94" s="141">
        <f>'สูตร 4 step SB'!N1060</f>
        <v>188</v>
      </c>
      <c r="D94" s="141">
        <f>'สูตร 4 step SB'!N1061</f>
        <v>190</v>
      </c>
      <c r="E94" s="141">
        <f>'สูตร 4 step SB'!N1062</f>
        <v>192</v>
      </c>
      <c r="F94" s="141">
        <f>'สูตร 4 step SB'!O1059</f>
        <v>191</v>
      </c>
      <c r="G94" s="141">
        <f>'สูตร 4 step SB'!O1060</f>
        <v>194</v>
      </c>
      <c r="H94" s="141">
        <f>'สูตร 4 step SB'!O1061</f>
        <v>196</v>
      </c>
      <c r="I94" s="141">
        <f>'สูตร 4 step SB'!O1062</f>
        <v>198</v>
      </c>
      <c r="J94" s="141">
        <f>'สูตร 4 step SB'!P1059</f>
        <v>185</v>
      </c>
      <c r="K94" s="141">
        <f>'สูตร 4 step SB'!P1060</f>
        <v>188</v>
      </c>
      <c r="L94" s="141">
        <f>'สูตร 4 step SB'!P1061</f>
        <v>190</v>
      </c>
      <c r="M94" s="141">
        <f>'สูตร 4 step SB'!P1062</f>
        <v>192</v>
      </c>
      <c r="N94" s="143">
        <f>'สูตร 4 step SB'!Q1059</f>
        <v>185</v>
      </c>
      <c r="O94" s="141">
        <f>'สูตร 4 step SB'!Q1060</f>
        <v>188</v>
      </c>
      <c r="P94" s="141">
        <f>'สูตร 4 step SB'!Q1061</f>
        <v>190</v>
      </c>
      <c r="Q94" s="141">
        <f>'สูตร 4 step SB'!Q1062</f>
        <v>192</v>
      </c>
      <c r="R94" s="141">
        <f>'สูตร 4 step SB'!W1059</f>
        <v>185</v>
      </c>
      <c r="S94" s="141">
        <f>'สูตร 4 step SB'!W1060</f>
        <v>188</v>
      </c>
      <c r="T94" s="141">
        <f>'สูตร 4 step SB'!W1061</f>
        <v>190</v>
      </c>
      <c r="U94" s="141">
        <f>'สูตร 4 step SB'!W1062</f>
        <v>192</v>
      </c>
    </row>
    <row r="95" spans="1:21" s="144" customFormat="1" x14ac:dyDescent="0.25">
      <c r="A95" s="255" t="s">
        <v>164</v>
      </c>
      <c r="B95" s="141">
        <f>'สูตร 4 step SB'!N1087</f>
        <v>278</v>
      </c>
      <c r="C95" s="141">
        <f>'สูตร 4 step SB'!N1088</f>
        <v>282</v>
      </c>
      <c r="D95" s="141">
        <f>'สูตร 4 step SB'!N1089</f>
        <v>285</v>
      </c>
      <c r="E95" s="141">
        <f>'สูตร 4 step SB'!N1090</f>
        <v>288</v>
      </c>
      <c r="F95" s="141">
        <f>'สูตร 4 step SB'!O1087</f>
        <v>288</v>
      </c>
      <c r="G95" s="141">
        <f>'สูตร 4 step SB'!O1088</f>
        <v>292</v>
      </c>
      <c r="H95" s="141">
        <f>'สูตร 4 step SB'!O1089</f>
        <v>295</v>
      </c>
      <c r="I95" s="141">
        <f>'สูตร 4 step SB'!O1090</f>
        <v>298</v>
      </c>
      <c r="J95" s="141">
        <f>'สูตร 4 step SB'!P1087</f>
        <v>277</v>
      </c>
      <c r="K95" s="141">
        <f>'สูตร 4 step SB'!P1088</f>
        <v>281</v>
      </c>
      <c r="L95" s="141">
        <f>'สูตร 4 step SB'!P1089</f>
        <v>284</v>
      </c>
      <c r="M95" s="141">
        <f>'สูตร 4 step SB'!P1090</f>
        <v>287</v>
      </c>
      <c r="N95" s="143">
        <f>'สูตร 4 step SB'!Q1087</f>
        <v>277</v>
      </c>
      <c r="O95" s="141">
        <f>'สูตร 4 step SB'!Q1088</f>
        <v>281</v>
      </c>
      <c r="P95" s="141">
        <f>'สูตร 4 step SB'!Q1089</f>
        <v>284</v>
      </c>
      <c r="Q95" s="141">
        <f>'สูตร 4 step SB'!Q1090</f>
        <v>287</v>
      </c>
      <c r="R95" s="141">
        <f>'สูตร 4 step SB'!W1087</f>
        <v>277</v>
      </c>
      <c r="S95" s="141">
        <f>'สูตร 4 step SB'!W1088</f>
        <v>281</v>
      </c>
      <c r="T95" s="141">
        <f>'สูตร 4 step SB'!W1089</f>
        <v>284</v>
      </c>
      <c r="U95" s="141">
        <f>'สูตร 4 step SB'!W1090</f>
        <v>287</v>
      </c>
    </row>
    <row r="96" spans="1:21" s="144" customFormat="1" x14ac:dyDescent="0.25">
      <c r="A96" s="255" t="s">
        <v>165</v>
      </c>
      <c r="B96" s="141">
        <f>'สูตร 4 step SB'!N1115</f>
        <v>369</v>
      </c>
      <c r="C96" s="141">
        <f>'สูตร 4 step SB'!N1116</f>
        <v>374</v>
      </c>
      <c r="D96" s="141">
        <f>'สูตร 4 step SB'!N1117</f>
        <v>379</v>
      </c>
      <c r="E96" s="141">
        <f>'สูตร 4 step SB'!N1118</f>
        <v>384</v>
      </c>
      <c r="F96" s="141">
        <f>'สูตร 4 step SB'!O1115</f>
        <v>381</v>
      </c>
      <c r="G96" s="141">
        <f>'สูตร 4 step SB'!O1116</f>
        <v>386</v>
      </c>
      <c r="H96" s="141">
        <f>'สูตร 4 step SB'!O1117</f>
        <v>391</v>
      </c>
      <c r="I96" s="141">
        <f>'สูตร 4 step SB'!O1118</f>
        <v>396</v>
      </c>
      <c r="J96" s="141">
        <f>'สูตร 4 step SB'!P1115</f>
        <v>368</v>
      </c>
      <c r="K96" s="141">
        <f>'สูตร 4 step SB'!P1116</f>
        <v>373</v>
      </c>
      <c r="L96" s="141">
        <f>'สูตร 4 step SB'!P1117</f>
        <v>378</v>
      </c>
      <c r="M96" s="141">
        <f>'สูตร 4 step SB'!P1118</f>
        <v>383</v>
      </c>
      <c r="N96" s="143">
        <f>'สูตร 4 step SB'!Q1115</f>
        <v>368</v>
      </c>
      <c r="O96" s="141">
        <f>'สูตร 4 step SB'!Q1116</f>
        <v>373</v>
      </c>
      <c r="P96" s="141">
        <f>'สูตร 4 step SB'!Q1117</f>
        <v>378</v>
      </c>
      <c r="Q96" s="141">
        <f>'สูตร 4 step SB'!Q1118</f>
        <v>383</v>
      </c>
      <c r="R96" s="141">
        <f>'สูตร 4 step SB'!W1115</f>
        <v>368</v>
      </c>
      <c r="S96" s="141">
        <f>'สูตร 4 step SB'!W1116</f>
        <v>373</v>
      </c>
      <c r="T96" s="141">
        <f>'สูตร 4 step SB'!W1117</f>
        <v>378</v>
      </c>
      <c r="U96" s="141">
        <f>'สูตร 4 step SB'!W1118</f>
        <v>383</v>
      </c>
    </row>
    <row r="97" spans="1:21" s="144" customFormat="1" x14ac:dyDescent="0.25">
      <c r="A97" s="255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3"/>
      <c r="O97" s="141"/>
      <c r="P97" s="141"/>
      <c r="Q97" s="141"/>
      <c r="R97" s="141"/>
      <c r="S97" s="141"/>
      <c r="T97" s="141"/>
      <c r="U97" s="141"/>
    </row>
    <row r="98" spans="1:21" s="144" customFormat="1" x14ac:dyDescent="0.25">
      <c r="A98" s="255" t="s">
        <v>148</v>
      </c>
      <c r="B98" s="141">
        <f>'สูตร 4 step SB'!N807</f>
        <v>341</v>
      </c>
      <c r="C98" s="141">
        <f>'สูตร 4 step SB'!N808</f>
        <v>346</v>
      </c>
      <c r="D98" s="141">
        <f>'สูตร 4 step SB'!N809</f>
        <v>351</v>
      </c>
      <c r="E98" s="141">
        <f>'สูตร 4 step SB'!N810</f>
        <v>356</v>
      </c>
      <c r="F98" s="141">
        <f>'สูตร 4 step SB'!O807</f>
        <v>344</v>
      </c>
      <c r="G98" s="141">
        <f>'สูตร 4 step SB'!O808</f>
        <v>349</v>
      </c>
      <c r="H98" s="141">
        <f>'สูตร 4 step SB'!O809</f>
        <v>354</v>
      </c>
      <c r="I98" s="141">
        <f>'สูตร 4 step SB'!O810</f>
        <v>359</v>
      </c>
      <c r="J98" s="141">
        <f>'สูตร 4 step SB'!P807</f>
        <v>337</v>
      </c>
      <c r="K98" s="141">
        <f>'สูตร 4 step SB'!P808</f>
        <v>342</v>
      </c>
      <c r="L98" s="141">
        <f>'สูตร 4 step SB'!P809</f>
        <v>347</v>
      </c>
      <c r="M98" s="141">
        <f>'สูตร 4 step SB'!P810</f>
        <v>352</v>
      </c>
      <c r="N98" s="143">
        <f>'สูตร 4 step SB'!Q807</f>
        <v>337</v>
      </c>
      <c r="O98" s="141">
        <f>'สูตร 4 step SB'!Q808</f>
        <v>342</v>
      </c>
      <c r="P98" s="141">
        <f>'สูตร 4 step SB'!Q809</f>
        <v>347</v>
      </c>
      <c r="Q98" s="141">
        <f>'สูตร 4 step SB'!Q810</f>
        <v>352</v>
      </c>
      <c r="R98" s="141">
        <f>'สูตร 4 step SB'!W807</f>
        <v>337</v>
      </c>
      <c r="S98" s="141">
        <f>'สูตร 4 step SB'!W808</f>
        <v>342</v>
      </c>
      <c r="T98" s="141">
        <f>'สูตร 4 step SB'!W809</f>
        <v>347</v>
      </c>
      <c r="U98" s="141">
        <f>'สูตร 4 step SB'!W810</f>
        <v>352</v>
      </c>
    </row>
    <row r="99" spans="1:21" s="144" customFormat="1" x14ac:dyDescent="0.25">
      <c r="A99" s="255" t="s">
        <v>149</v>
      </c>
      <c r="B99" s="141">
        <f>'สูตร 4 step SB'!N835</f>
        <v>413</v>
      </c>
      <c r="C99" s="141">
        <f>'สูตร 4 step SB'!N836</f>
        <v>418</v>
      </c>
      <c r="D99" s="141">
        <f>'สูตร 4 step SB'!N837</f>
        <v>423</v>
      </c>
      <c r="E99" s="141">
        <f>'สูตร 4 step SB'!N838</f>
        <v>428</v>
      </c>
      <c r="F99" s="141">
        <f>'สูตร 4 step SB'!O835</f>
        <v>418</v>
      </c>
      <c r="G99" s="141">
        <f>'สูตร 4 step SB'!O836</f>
        <v>423</v>
      </c>
      <c r="H99" s="141">
        <f>'สูตร 4 step SB'!O837</f>
        <v>428</v>
      </c>
      <c r="I99" s="141">
        <f>'สูตร 4 step SB'!O838</f>
        <v>433</v>
      </c>
      <c r="J99" s="141">
        <f>'สูตร 4 step SB'!P835</f>
        <v>409</v>
      </c>
      <c r="K99" s="141">
        <f>'สูตร 4 step SB'!P836</f>
        <v>414</v>
      </c>
      <c r="L99" s="141">
        <f>'สูตร 4 step SB'!P837</f>
        <v>419</v>
      </c>
      <c r="M99" s="141">
        <f>'สูตร 4 step SB'!P838</f>
        <v>424</v>
      </c>
      <c r="N99" s="143">
        <f>'สูตร 4 step SB'!Q835</f>
        <v>409</v>
      </c>
      <c r="O99" s="141">
        <f>'สูตร 4 step SB'!Q836</f>
        <v>414</v>
      </c>
      <c r="P99" s="141">
        <f>'สูตร 4 step SB'!Q837</f>
        <v>419</v>
      </c>
      <c r="Q99" s="141">
        <f>'สูตร 4 step SB'!Q838</f>
        <v>424</v>
      </c>
      <c r="R99" s="141">
        <f>'สูตร 4 step SB'!W835</f>
        <v>409</v>
      </c>
      <c r="S99" s="141">
        <f>'สูตร 4 step SB'!W836</f>
        <v>414</v>
      </c>
      <c r="T99" s="141">
        <f>'สูตร 4 step SB'!W837</f>
        <v>419</v>
      </c>
      <c r="U99" s="141">
        <f>'สูตร 4 step SB'!W838</f>
        <v>424</v>
      </c>
    </row>
    <row r="100" spans="1:21" s="144" customFormat="1" x14ac:dyDescent="0.25">
      <c r="A100" s="255" t="s">
        <v>150</v>
      </c>
      <c r="B100" s="141">
        <f>'สูตร 4 step SB'!N863</f>
        <v>476</v>
      </c>
      <c r="C100" s="141">
        <f>'สูตร 4 step SB'!N864</f>
        <v>481</v>
      </c>
      <c r="D100" s="141">
        <f>'สูตร 4 step SB'!N865</f>
        <v>486</v>
      </c>
      <c r="E100" s="141">
        <f>'สูตร 4 step SB'!N866</f>
        <v>491</v>
      </c>
      <c r="F100" s="141">
        <f>'สูตร 4 step SB'!O863</f>
        <v>481</v>
      </c>
      <c r="G100" s="141">
        <f>'สูตร 4 step SB'!O864</f>
        <v>486</v>
      </c>
      <c r="H100" s="141">
        <f>'สูตร 4 step SB'!O865</f>
        <v>491</v>
      </c>
      <c r="I100" s="141">
        <f>'สูตร 4 step SB'!O866</f>
        <v>496</v>
      </c>
      <c r="J100" s="141">
        <f>'สูตร 4 step SB'!P863</f>
        <v>470</v>
      </c>
      <c r="K100" s="141">
        <f>'สูตร 4 step SB'!P864</f>
        <v>475</v>
      </c>
      <c r="L100" s="141">
        <f>'สูตร 4 step SB'!P865</f>
        <v>480</v>
      </c>
      <c r="M100" s="141">
        <f>'สูตร 4 step SB'!P866</f>
        <v>485</v>
      </c>
      <c r="N100" s="143">
        <f>'สูตร 4 step SB'!Q863</f>
        <v>470</v>
      </c>
      <c r="O100" s="141">
        <f>'สูตร 4 step SB'!Q864</f>
        <v>475</v>
      </c>
      <c r="P100" s="141">
        <f>'สูตร 4 step SB'!Q865</f>
        <v>480</v>
      </c>
      <c r="Q100" s="141">
        <f>'สูตร 4 step SB'!Q866</f>
        <v>485</v>
      </c>
      <c r="R100" s="141">
        <f>'สูตร 4 step SB'!W863</f>
        <v>470</v>
      </c>
      <c r="S100" s="141">
        <f>'สูตร 4 step SB'!W864</f>
        <v>475</v>
      </c>
      <c r="T100" s="141">
        <f>'สูตร 4 step SB'!W865</f>
        <v>480</v>
      </c>
      <c r="U100" s="141">
        <f>'สูตร 4 step SB'!W866</f>
        <v>485</v>
      </c>
    </row>
    <row r="101" spans="1:21" s="144" customFormat="1" x14ac:dyDescent="0.25">
      <c r="A101" s="255" t="s">
        <v>151</v>
      </c>
      <c r="B101" s="141">
        <f>'สูตร 4 step SB'!N891</f>
        <v>570</v>
      </c>
      <c r="C101" s="141">
        <f>'สูตร 4 step SB'!N892</f>
        <v>575</v>
      </c>
      <c r="D101" s="141">
        <f>'สูตร 4 step SB'!N893</f>
        <v>580</v>
      </c>
      <c r="E101" s="141">
        <f>'สูตร 4 step SB'!N894</f>
        <v>585</v>
      </c>
      <c r="F101" s="141">
        <f>'สูตร 4 step SB'!O891</f>
        <v>577</v>
      </c>
      <c r="G101" s="141">
        <f>'สูตร 4 step SB'!O892</f>
        <v>582</v>
      </c>
      <c r="H101" s="141">
        <f>'สูตร 4 step SB'!O893</f>
        <v>587</v>
      </c>
      <c r="I101" s="141">
        <f>'สูตร 4 step SB'!O894</f>
        <v>592</v>
      </c>
      <c r="J101" s="141">
        <f>'สูตร 4 step SB'!P891</f>
        <v>563</v>
      </c>
      <c r="K101" s="141">
        <f>'สูตร 4 step SB'!P892</f>
        <v>568</v>
      </c>
      <c r="L101" s="141">
        <f>'สูตร 4 step SB'!P893</f>
        <v>573</v>
      </c>
      <c r="M101" s="141">
        <f>'สูตร 4 step SB'!P894</f>
        <v>578</v>
      </c>
      <c r="N101" s="143">
        <f>'สูตร 4 step SB'!Q891</f>
        <v>563</v>
      </c>
      <c r="O101" s="141">
        <f>'สูตร 4 step SB'!Q892</f>
        <v>568</v>
      </c>
      <c r="P101" s="141">
        <f>'สูตร 4 step SB'!Q893</f>
        <v>573</v>
      </c>
      <c r="Q101" s="141">
        <f>'สูตร 4 step SB'!Q894</f>
        <v>578</v>
      </c>
      <c r="R101" s="141">
        <f>'สูตร 4 step SB'!W891</f>
        <v>563</v>
      </c>
      <c r="S101" s="141">
        <f>'สูตร 4 step SB'!W892</f>
        <v>568</v>
      </c>
      <c r="T101" s="141">
        <f>'สูตร 4 step SB'!W893</f>
        <v>573</v>
      </c>
      <c r="U101" s="141">
        <f>'สูตร 4 step SB'!W894</f>
        <v>578</v>
      </c>
    </row>
    <row r="102" spans="1:21" s="144" customFormat="1" x14ac:dyDescent="0.25">
      <c r="A102" s="255" t="s">
        <v>152</v>
      </c>
      <c r="B102" s="141">
        <f>'สูตร 4 step SB'!N919</f>
        <v>688</v>
      </c>
      <c r="C102" s="141">
        <f>'สูตร 4 step SB'!N920</f>
        <v>693</v>
      </c>
      <c r="D102" s="141">
        <f>'สูตร 4 step SB'!N921</f>
        <v>698</v>
      </c>
      <c r="E102" s="141">
        <f>'สูตร 4 step SB'!N922</f>
        <v>703</v>
      </c>
      <c r="F102" s="141">
        <f>'สูตร 4 step SB'!O919</f>
        <v>697</v>
      </c>
      <c r="G102" s="141">
        <f>'สูตร 4 step SB'!O920</f>
        <v>702</v>
      </c>
      <c r="H102" s="141">
        <f>'สูตร 4 step SB'!O921</f>
        <v>707</v>
      </c>
      <c r="I102" s="141">
        <f>'สูตร 4 step SB'!O922</f>
        <v>712</v>
      </c>
      <c r="J102" s="141">
        <f>'สูตร 4 step SB'!P919</f>
        <v>678</v>
      </c>
      <c r="K102" s="141">
        <f>'สูตร 4 step SB'!P920</f>
        <v>683</v>
      </c>
      <c r="L102" s="141">
        <f>'สูตร 4 step SB'!P921</f>
        <v>688</v>
      </c>
      <c r="M102" s="141">
        <f>'สูตร 4 step SB'!P922</f>
        <v>693</v>
      </c>
      <c r="N102" s="143">
        <f>'สูตร 4 step SB'!Q919</f>
        <v>678</v>
      </c>
      <c r="O102" s="141">
        <f>'สูตร 4 step SB'!Q920</f>
        <v>683</v>
      </c>
      <c r="P102" s="141">
        <f>'สูตร 4 step SB'!Q921</f>
        <v>688</v>
      </c>
      <c r="Q102" s="141">
        <f>'สูตร 4 step SB'!Q922</f>
        <v>693</v>
      </c>
      <c r="R102" s="141">
        <f>'สูตร 4 step SB'!W919</f>
        <v>678</v>
      </c>
      <c r="S102" s="141">
        <f>'สูตร 4 step SB'!W920</f>
        <v>683</v>
      </c>
      <c r="T102" s="141">
        <f>'สูตร 4 step SB'!W921</f>
        <v>688</v>
      </c>
      <c r="U102" s="141">
        <f>'สูตร 4 step SB'!W922</f>
        <v>693</v>
      </c>
    </row>
    <row r="103" spans="1:21" s="144" customFormat="1" x14ac:dyDescent="0.25">
      <c r="A103" s="255" t="s">
        <v>153</v>
      </c>
      <c r="B103" s="141">
        <f>'สูตร 4 step SB'!N947</f>
        <v>808</v>
      </c>
      <c r="C103" s="141">
        <f>'สูตร 4 step SB'!N948</f>
        <v>813</v>
      </c>
      <c r="D103" s="141">
        <f>'สูตร 4 step SB'!N949</f>
        <v>818</v>
      </c>
      <c r="E103" s="141">
        <f>'สูตร 4 step SB'!N950</f>
        <v>823</v>
      </c>
      <c r="F103" s="141">
        <f>'สูตร 4 step SB'!O947</f>
        <v>818</v>
      </c>
      <c r="G103" s="141">
        <f>'สูตร 4 step SB'!O948</f>
        <v>823</v>
      </c>
      <c r="H103" s="141">
        <f>'สูตร 4 step SB'!O949</f>
        <v>828</v>
      </c>
      <c r="I103" s="141">
        <f>'สูตร 4 step SB'!O950</f>
        <v>833</v>
      </c>
      <c r="J103" s="141">
        <f>'สูตร 4 step SB'!P947</f>
        <v>796</v>
      </c>
      <c r="K103" s="141">
        <f>'สูตร 4 step SB'!P948</f>
        <v>801</v>
      </c>
      <c r="L103" s="141">
        <f>'สูตร 4 step SB'!P949</f>
        <v>806</v>
      </c>
      <c r="M103" s="141">
        <f>'สูตร 4 step SB'!P950</f>
        <v>811</v>
      </c>
      <c r="N103" s="143">
        <f>'สูตร 4 step SB'!Q947</f>
        <v>796</v>
      </c>
      <c r="O103" s="141">
        <f>'สูตร 4 step SB'!Q948</f>
        <v>801</v>
      </c>
      <c r="P103" s="141">
        <f>'สูตร 4 step SB'!Q949</f>
        <v>806</v>
      </c>
      <c r="Q103" s="141">
        <f>'สูตร 4 step SB'!Q950</f>
        <v>811</v>
      </c>
      <c r="R103" s="141">
        <f>'สูตร 4 step SB'!W947</f>
        <v>796</v>
      </c>
      <c r="S103" s="141">
        <f>'สูตร 4 step SB'!W948</f>
        <v>801</v>
      </c>
      <c r="T103" s="141">
        <f>'สูตร 4 step SB'!W949</f>
        <v>806</v>
      </c>
      <c r="U103" s="141">
        <f>'สูตร 4 step SB'!W950</f>
        <v>811</v>
      </c>
    </row>
    <row r="104" spans="1:21" s="144" customFormat="1" x14ac:dyDescent="0.25">
      <c r="A104" s="255"/>
      <c r="B104" s="141"/>
      <c r="C104" s="141"/>
      <c r="D104" s="141"/>
      <c r="E104" s="146"/>
      <c r="F104" s="141"/>
      <c r="G104" s="141"/>
      <c r="H104" s="141"/>
      <c r="I104" s="146"/>
      <c r="J104" s="141"/>
      <c r="K104" s="141"/>
      <c r="L104" s="141"/>
      <c r="M104" s="146"/>
      <c r="N104" s="143"/>
      <c r="O104" s="141"/>
      <c r="P104" s="141"/>
      <c r="Q104" s="141"/>
      <c r="R104" s="141"/>
      <c r="S104" s="141"/>
      <c r="T104" s="141"/>
      <c r="U104" s="141"/>
    </row>
    <row r="105" spans="1:21" s="144" customFormat="1" x14ac:dyDescent="0.25">
      <c r="A105" s="255"/>
      <c r="B105" s="141"/>
      <c r="C105" s="141"/>
      <c r="D105" s="141"/>
      <c r="E105" s="146"/>
      <c r="F105" s="141"/>
      <c r="G105" s="141"/>
      <c r="H105" s="141"/>
      <c r="I105" s="146"/>
      <c r="J105" s="141"/>
      <c r="K105" s="141"/>
      <c r="L105" s="141"/>
      <c r="M105" s="146"/>
      <c r="N105" s="143"/>
      <c r="O105" s="141"/>
      <c r="P105" s="141"/>
      <c r="Q105" s="141"/>
      <c r="R105" s="141"/>
      <c r="S105" s="141"/>
      <c r="T105" s="141"/>
      <c r="U105" s="141"/>
    </row>
    <row r="106" spans="1:21" s="144" customFormat="1" x14ac:dyDescent="0.25">
      <c r="A106" s="255"/>
      <c r="B106" s="141"/>
      <c r="C106" s="141"/>
      <c r="D106" s="141"/>
      <c r="E106" s="146"/>
      <c r="F106" s="141"/>
      <c r="G106" s="141"/>
      <c r="H106" s="141"/>
      <c r="I106" s="146"/>
      <c r="J106" s="141"/>
      <c r="K106" s="141"/>
      <c r="L106" s="141"/>
      <c r="M106" s="146"/>
      <c r="N106" s="143"/>
      <c r="O106" s="141"/>
      <c r="P106" s="141"/>
      <c r="Q106" s="141"/>
      <c r="R106" s="141"/>
      <c r="S106" s="141"/>
      <c r="T106" s="141"/>
      <c r="U106" s="141"/>
    </row>
    <row r="107" spans="1:21" s="144" customFormat="1" x14ac:dyDescent="0.25">
      <c r="A107" s="255"/>
      <c r="B107" s="141"/>
      <c r="C107" s="141"/>
      <c r="D107" s="141"/>
      <c r="E107" s="146"/>
      <c r="F107" s="141"/>
      <c r="G107" s="141"/>
      <c r="H107" s="141"/>
      <c r="I107" s="146"/>
      <c r="J107" s="141"/>
      <c r="K107" s="141"/>
      <c r="L107" s="141"/>
      <c r="M107" s="146"/>
      <c r="N107" s="143"/>
      <c r="O107" s="141"/>
      <c r="P107" s="141"/>
      <c r="Q107" s="141"/>
      <c r="R107" s="141"/>
      <c r="S107" s="141"/>
      <c r="T107" s="141"/>
      <c r="U107" s="141"/>
    </row>
    <row r="108" spans="1:21" s="144" customFormat="1" x14ac:dyDescent="0.25">
      <c r="A108" s="255"/>
      <c r="B108" s="141"/>
      <c r="C108" s="141"/>
      <c r="D108" s="141"/>
      <c r="E108" s="146"/>
      <c r="F108" s="141"/>
      <c r="G108" s="141"/>
      <c r="H108" s="141"/>
      <c r="I108" s="146"/>
      <c r="J108" s="141"/>
      <c r="K108" s="141"/>
      <c r="L108" s="141"/>
      <c r="M108" s="146"/>
      <c r="N108" s="143"/>
      <c r="O108" s="141"/>
      <c r="P108" s="141"/>
      <c r="Q108" s="141"/>
      <c r="R108" s="141"/>
      <c r="S108" s="141"/>
      <c r="T108" s="141"/>
      <c r="U108" s="141"/>
    </row>
    <row r="109" spans="1:21" s="144" customFormat="1" x14ac:dyDescent="0.25">
      <c r="A109" s="255"/>
      <c r="B109" s="141"/>
      <c r="C109" s="141"/>
      <c r="D109" s="141"/>
      <c r="E109" s="146"/>
      <c r="F109" s="141"/>
      <c r="G109" s="141"/>
      <c r="H109" s="141"/>
      <c r="I109" s="146"/>
      <c r="J109" s="141"/>
      <c r="K109" s="141"/>
      <c r="L109" s="141"/>
      <c r="M109" s="146"/>
      <c r="N109" s="143"/>
      <c r="O109" s="141"/>
      <c r="P109" s="141"/>
      <c r="Q109" s="141"/>
      <c r="R109" s="141"/>
      <c r="S109" s="141"/>
      <c r="T109" s="141"/>
      <c r="U109" s="141"/>
    </row>
    <row r="110" spans="1:21" s="144" customFormat="1" x14ac:dyDescent="0.25">
      <c r="A110" s="255"/>
      <c r="B110" s="141"/>
      <c r="C110" s="141"/>
      <c r="D110" s="141"/>
      <c r="E110" s="146"/>
      <c r="F110" s="141"/>
      <c r="G110" s="141"/>
      <c r="H110" s="141"/>
      <c r="I110" s="146"/>
      <c r="J110" s="141"/>
      <c r="K110" s="141"/>
      <c r="L110" s="141"/>
      <c r="M110" s="146"/>
      <c r="N110" s="143"/>
      <c r="O110" s="141"/>
      <c r="P110" s="141"/>
      <c r="Q110" s="141"/>
      <c r="R110" s="141"/>
      <c r="S110" s="141"/>
      <c r="T110" s="141"/>
      <c r="U110" s="141"/>
    </row>
    <row r="111" spans="1:21" s="144" customFormat="1" x14ac:dyDescent="0.25">
      <c r="A111" s="255"/>
      <c r="B111" s="141"/>
      <c r="C111" s="141"/>
      <c r="D111" s="141"/>
      <c r="E111" s="146"/>
      <c r="F111" s="141"/>
      <c r="G111" s="141"/>
      <c r="H111" s="141"/>
      <c r="I111" s="146"/>
      <c r="J111" s="141"/>
      <c r="K111" s="141"/>
      <c r="L111" s="141"/>
      <c r="M111" s="146"/>
      <c r="N111" s="143"/>
      <c r="O111" s="141"/>
      <c r="P111" s="141"/>
      <c r="Q111" s="141"/>
      <c r="R111" s="141"/>
      <c r="S111" s="141"/>
      <c r="T111" s="141"/>
      <c r="U111" s="141"/>
    </row>
    <row r="112" spans="1:21" s="144" customFormat="1" x14ac:dyDescent="0.25">
      <c r="A112" s="255"/>
      <c r="B112" s="141"/>
      <c r="C112" s="141"/>
      <c r="D112" s="141"/>
      <c r="E112" s="146"/>
      <c r="F112" s="141"/>
      <c r="G112" s="141"/>
      <c r="H112" s="141"/>
      <c r="I112" s="146"/>
      <c r="J112" s="141"/>
      <c r="K112" s="141"/>
      <c r="L112" s="141"/>
      <c r="M112" s="146"/>
      <c r="N112" s="143"/>
      <c r="O112" s="141"/>
      <c r="P112" s="141"/>
      <c r="Q112" s="141"/>
      <c r="R112" s="141"/>
      <c r="S112" s="141"/>
      <c r="T112" s="141"/>
      <c r="U112" s="141"/>
    </row>
    <row r="113" spans="1:21" s="144" customFormat="1" ht="20" thickBot="1" x14ac:dyDescent="0.3">
      <c r="A113" s="256"/>
      <c r="B113" s="149"/>
      <c r="C113" s="149"/>
      <c r="D113" s="149"/>
      <c r="E113" s="221"/>
      <c r="F113" s="149"/>
      <c r="G113" s="149"/>
      <c r="H113" s="149"/>
      <c r="I113" s="221"/>
      <c r="J113" s="149"/>
      <c r="K113" s="149"/>
      <c r="L113" s="149"/>
      <c r="M113" s="221"/>
      <c r="N113" s="174"/>
      <c r="O113" s="149"/>
      <c r="P113" s="149"/>
      <c r="Q113" s="149"/>
      <c r="R113" s="149"/>
      <c r="S113" s="149"/>
      <c r="T113" s="149"/>
      <c r="U113" s="149"/>
    </row>
    <row r="114" spans="1:21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  <c r="N114" s="167"/>
      <c r="O114" s="167"/>
      <c r="P114" s="167"/>
      <c r="Q114" s="167"/>
      <c r="R114" s="167"/>
      <c r="S114" s="167"/>
      <c r="T114" s="167"/>
      <c r="U114" s="167"/>
    </row>
    <row r="115" spans="1:21" ht="27" thickBot="1" x14ac:dyDescent="0.35">
      <c r="A115" s="257" t="s">
        <v>119</v>
      </c>
      <c r="B115" s="13"/>
      <c r="C115" s="80"/>
      <c r="D115" s="13"/>
      <c r="H115" s="9"/>
      <c r="K115" s="14"/>
      <c r="L115" s="9"/>
      <c r="O115" s="14"/>
      <c r="S115" s="14"/>
    </row>
    <row r="116" spans="1:21" ht="24.75" customHeight="1" thickTop="1" x14ac:dyDescent="0.25">
      <c r="A116" s="276" t="s">
        <v>73</v>
      </c>
      <c r="B116" s="120"/>
      <c r="C116" s="119"/>
      <c r="D116" s="119" t="s">
        <v>15</v>
      </c>
      <c r="E116" s="119"/>
      <c r="F116" s="120"/>
      <c r="G116" s="119"/>
      <c r="H116" s="119" t="s">
        <v>16</v>
      </c>
      <c r="I116" s="119"/>
      <c r="J116" s="120"/>
      <c r="K116" s="119"/>
      <c r="L116" s="119" t="s">
        <v>17</v>
      </c>
      <c r="M116" s="119"/>
      <c r="N116" s="120"/>
      <c r="O116" s="119"/>
      <c r="P116" s="119" t="s">
        <v>18</v>
      </c>
      <c r="Q116" s="119"/>
      <c r="R116" s="120"/>
      <c r="S116" s="119"/>
      <c r="T116" s="119" t="s">
        <v>166</v>
      </c>
      <c r="U116" s="119"/>
    </row>
    <row r="117" spans="1:21" x14ac:dyDescent="0.25">
      <c r="A117" s="432" t="s">
        <v>120</v>
      </c>
      <c r="B117" s="129"/>
      <c r="C117" s="121" t="s">
        <v>79</v>
      </c>
      <c r="D117" s="121" t="s">
        <v>80</v>
      </c>
      <c r="E117" s="121" t="s">
        <v>81</v>
      </c>
      <c r="F117" s="129"/>
      <c r="G117" s="121" t="s">
        <v>79</v>
      </c>
      <c r="H117" s="121" t="s">
        <v>80</v>
      </c>
      <c r="I117" s="121" t="s">
        <v>81</v>
      </c>
      <c r="J117" s="129"/>
      <c r="K117" s="121" t="s">
        <v>79</v>
      </c>
      <c r="L117" s="121" t="s">
        <v>80</v>
      </c>
      <c r="M117" s="121" t="s">
        <v>81</v>
      </c>
      <c r="N117" s="129"/>
      <c r="O117" s="121" t="s">
        <v>79</v>
      </c>
      <c r="P117" s="121" t="s">
        <v>80</v>
      </c>
      <c r="Q117" s="121" t="s">
        <v>81</v>
      </c>
      <c r="R117" s="129"/>
      <c r="S117" s="121" t="s">
        <v>79</v>
      </c>
      <c r="T117" s="121" t="s">
        <v>80</v>
      </c>
      <c r="U117" s="121" t="s">
        <v>81</v>
      </c>
    </row>
    <row r="118" spans="1:21" ht="20" thickBot="1" x14ac:dyDescent="0.3">
      <c r="A118" s="433"/>
      <c r="B118" s="125" t="s">
        <v>142</v>
      </c>
      <c r="C118" s="123" t="s">
        <v>143</v>
      </c>
      <c r="D118" s="124" t="s">
        <v>144</v>
      </c>
      <c r="E118" s="124" t="s">
        <v>145</v>
      </c>
      <c r="F118" s="125" t="s">
        <v>142</v>
      </c>
      <c r="G118" s="123" t="s">
        <v>143</v>
      </c>
      <c r="H118" s="124" t="s">
        <v>144</v>
      </c>
      <c r="I118" s="124" t="s">
        <v>145</v>
      </c>
      <c r="J118" s="131" t="s">
        <v>142</v>
      </c>
      <c r="K118" s="123" t="s">
        <v>143</v>
      </c>
      <c r="L118" s="124" t="s">
        <v>144</v>
      </c>
      <c r="M118" s="124" t="s">
        <v>145</v>
      </c>
      <c r="N118" s="131" t="s">
        <v>142</v>
      </c>
      <c r="O118" s="123" t="s">
        <v>143</v>
      </c>
      <c r="P118" s="124" t="s">
        <v>144</v>
      </c>
      <c r="Q118" s="124" t="s">
        <v>145</v>
      </c>
      <c r="R118" s="131" t="s">
        <v>142</v>
      </c>
      <c r="S118" s="123" t="s">
        <v>143</v>
      </c>
      <c r="T118" s="124" t="s">
        <v>144</v>
      </c>
      <c r="U118" s="124" t="s">
        <v>145</v>
      </c>
    </row>
    <row r="119" spans="1:21" s="144" customFormat="1" ht="20" thickTop="1" x14ac:dyDescent="0.25">
      <c r="A119" s="269" t="s">
        <v>121</v>
      </c>
      <c r="B119" s="196">
        <f>Rockwool!N14</f>
        <v>319.51500000000004</v>
      </c>
      <c r="C119" s="197">
        <f>Rockwool!N15</f>
        <v>334.73</v>
      </c>
      <c r="D119" s="198">
        <f>Rockwool!N16</f>
        <v>349.94499999999999</v>
      </c>
      <c r="E119" s="200">
        <f>Rockwool!N17</f>
        <v>365.16</v>
      </c>
      <c r="F119" s="201">
        <f>Rockwool!O14</f>
        <v>331.04399999999998</v>
      </c>
      <c r="G119" s="196">
        <f>Rockwool!O15</f>
        <v>346.80799999999999</v>
      </c>
      <c r="H119" s="198">
        <f>Rockwool!O16</f>
        <v>362.57199999999995</v>
      </c>
      <c r="I119" s="200">
        <f>Rockwool!O17</f>
        <v>378.33599999999996</v>
      </c>
      <c r="J119" s="200">
        <f>Rockwool!P14</f>
        <v>308.96250000000003</v>
      </c>
      <c r="K119" s="196">
        <f>Rockwool!P15</f>
        <v>323.67500000000001</v>
      </c>
      <c r="L119" s="198">
        <f>Rockwool!P16</f>
        <v>338.38749999999999</v>
      </c>
      <c r="M119" s="200">
        <f>Rockwool!P17</f>
        <v>353.09999999999997</v>
      </c>
      <c r="N119" s="200">
        <f>Rockwool!Q14</f>
        <v>317.36250000000001</v>
      </c>
      <c r="O119" s="196">
        <f>Rockwool!Q15</f>
        <v>332.47500000000002</v>
      </c>
      <c r="P119" s="198">
        <f>Rockwool!Q16</f>
        <v>347.58749999999998</v>
      </c>
      <c r="Q119" s="200">
        <f>Rockwool!Q17</f>
        <v>362.7</v>
      </c>
      <c r="R119" s="200">
        <f>Rockwool!W14</f>
        <v>317.36250000000001</v>
      </c>
      <c r="S119" s="196">
        <f>Rockwool!W15</f>
        <v>332.47500000000002</v>
      </c>
      <c r="T119" s="198">
        <f>Rockwool!W16</f>
        <v>347.58749999999998</v>
      </c>
      <c r="U119" s="200">
        <f>Rockwool!W17</f>
        <v>362.7</v>
      </c>
    </row>
    <row r="120" spans="1:21" s="144" customFormat="1" x14ac:dyDescent="0.25">
      <c r="A120" s="250" t="s">
        <v>146</v>
      </c>
      <c r="B120" s="143">
        <f>Rockwool!N42</f>
        <v>81.346440000000015</v>
      </c>
      <c r="C120" s="148">
        <f>Rockwool!N43</f>
        <v>82.895896000000008</v>
      </c>
      <c r="D120" s="141">
        <f>Rockwool!N44</f>
        <v>85.22008000000001</v>
      </c>
      <c r="E120" s="145">
        <f>Rockwool!N45</f>
        <v>89.093720000000005</v>
      </c>
      <c r="F120" s="147">
        <f>Rockwool!O42</f>
        <v>86.690940000000012</v>
      </c>
      <c r="G120" s="143">
        <f>Rockwool!O43</f>
        <v>88.342196000000015</v>
      </c>
      <c r="H120" s="141">
        <f>Rockwool!O44</f>
        <v>90.819080000000014</v>
      </c>
      <c r="I120" s="145">
        <f>Rockwool!O45</f>
        <v>94.947220000000002</v>
      </c>
      <c r="J120" s="145">
        <f>Rockwool!P42</f>
        <v>76.442940000000007</v>
      </c>
      <c r="K120" s="143">
        <f>Rockwool!P43</f>
        <v>77.898996000000011</v>
      </c>
      <c r="L120" s="141">
        <f>Rockwool!P44</f>
        <v>80.08308000000001</v>
      </c>
      <c r="M120" s="145">
        <f>Rockwool!P45</f>
        <v>83.723219999999998</v>
      </c>
      <c r="N120" s="145">
        <f>Rockwool!Q42</f>
        <v>87.950100000000006</v>
      </c>
      <c r="O120" s="143">
        <f>Rockwool!Q43</f>
        <v>89.625340000000008</v>
      </c>
      <c r="P120" s="141">
        <f>Rockwool!Q44</f>
        <v>92.138200000000012</v>
      </c>
      <c r="Q120" s="145">
        <f>Rockwool!Q45</f>
        <v>96.326299999999989</v>
      </c>
      <c r="R120" s="145">
        <f>Rockwool!W42</f>
        <v>80.338440000000006</v>
      </c>
      <c r="S120" s="143">
        <f>Rockwool!W43</f>
        <v>81.868696</v>
      </c>
      <c r="T120" s="141">
        <f>Rockwool!W44</f>
        <v>84.164079999999998</v>
      </c>
      <c r="U120" s="145">
        <f>Rockwool!W45</f>
        <v>87.989719999999991</v>
      </c>
    </row>
    <row r="121" spans="1:21" s="144" customFormat="1" x14ac:dyDescent="0.25">
      <c r="A121" s="250" t="s">
        <v>231</v>
      </c>
      <c r="B121" s="143"/>
      <c r="C121" s="148"/>
      <c r="D121" s="141"/>
      <c r="E121" s="145"/>
      <c r="F121" s="147"/>
      <c r="G121" s="143"/>
      <c r="H121" s="141"/>
      <c r="I121" s="145"/>
      <c r="J121" s="145">
        <f>Rockwool!P129</f>
        <v>55.476959999999991</v>
      </c>
      <c r="K121" s="143">
        <f>Rockwool!P130</f>
        <v>59.915116799999993</v>
      </c>
      <c r="L121" s="141">
        <f>Rockwool!P131</f>
        <v>65.906628479999995</v>
      </c>
      <c r="M121" s="145">
        <f>Rockwool!P132</f>
        <v>75.792622751999986</v>
      </c>
      <c r="N121" s="145"/>
      <c r="O121" s="143"/>
      <c r="P121" s="141"/>
      <c r="Q121" s="145"/>
      <c r="R121" s="145"/>
      <c r="S121" s="143"/>
      <c r="T121" s="141"/>
      <c r="U121" s="145"/>
    </row>
    <row r="122" spans="1:21" s="144" customFormat="1" x14ac:dyDescent="0.25">
      <c r="A122" s="250" t="s">
        <v>147</v>
      </c>
      <c r="B122" s="143">
        <f>Rockwool!N71</f>
        <v>0</v>
      </c>
      <c r="C122" s="148">
        <f>Rockwool!N72</f>
        <v>0</v>
      </c>
      <c r="D122" s="141">
        <f>Rockwool!N73</f>
        <v>0</v>
      </c>
      <c r="E122" s="145">
        <f>Rockwool!N74</f>
        <v>0</v>
      </c>
      <c r="F122" s="147">
        <f>Rockwool!O71</f>
        <v>0</v>
      </c>
      <c r="G122" s="143">
        <f>Rockwool!O72</f>
        <v>0</v>
      </c>
      <c r="H122" s="141">
        <f>Rockwool!O73</f>
        <v>0</v>
      </c>
      <c r="I122" s="145">
        <f>Rockwool!O74</f>
        <v>0</v>
      </c>
      <c r="J122" s="145">
        <f>Rockwool!P71</f>
        <v>0</v>
      </c>
      <c r="K122" s="143">
        <f>Rockwool!P72</f>
        <v>0</v>
      </c>
      <c r="L122" s="141">
        <f>Rockwool!P73</f>
        <v>0</v>
      </c>
      <c r="M122" s="145">
        <f>Rockwool!P74</f>
        <v>0</v>
      </c>
      <c r="N122" s="145">
        <f>Rockwool!Q71</f>
        <v>129.89759999999998</v>
      </c>
      <c r="O122" s="143">
        <f>Rockwool!Q72</f>
        <v>132.37183999999999</v>
      </c>
      <c r="P122" s="141">
        <f>Rockwool!Q73</f>
        <v>136.08320000000001</v>
      </c>
      <c r="Q122" s="145">
        <f>Rockwool!Q74</f>
        <v>142.26879999999997</v>
      </c>
      <c r="R122" s="145">
        <f>Rockwool!W71</f>
        <v>0</v>
      </c>
      <c r="S122" s="143">
        <f>Rockwool!W72</f>
        <v>0</v>
      </c>
      <c r="T122" s="141">
        <f>Rockwool!W73</f>
        <v>0</v>
      </c>
      <c r="U122" s="145">
        <f>Rockwool!W74</f>
        <v>0</v>
      </c>
    </row>
    <row r="123" spans="1:21" x14ac:dyDescent="0.25">
      <c r="A123" s="262"/>
      <c r="B123" s="85"/>
      <c r="C123" s="91"/>
      <c r="D123" s="76"/>
      <c r="E123" s="77"/>
      <c r="F123" s="86"/>
      <c r="G123" s="85"/>
      <c r="H123" s="76"/>
      <c r="I123" s="77"/>
      <c r="J123" s="77"/>
      <c r="K123" s="85"/>
      <c r="L123" s="76"/>
      <c r="M123" s="77"/>
      <c r="N123" s="77"/>
      <c r="O123" s="85"/>
      <c r="P123" s="76"/>
      <c r="Q123" s="77"/>
      <c r="R123" s="77"/>
      <c r="S123" s="85"/>
      <c r="T123" s="76"/>
      <c r="U123" s="77"/>
    </row>
    <row r="124" spans="1:21" x14ac:dyDescent="0.25">
      <c r="A124" s="262"/>
      <c r="B124" s="85"/>
      <c r="C124" s="91"/>
      <c r="D124" s="76"/>
      <c r="E124" s="77"/>
      <c r="F124" s="86"/>
      <c r="G124" s="85"/>
      <c r="H124" s="76"/>
      <c r="I124" s="77"/>
      <c r="J124" s="77"/>
      <c r="K124" s="85"/>
      <c r="L124" s="76"/>
      <c r="M124" s="77"/>
      <c r="N124" s="77"/>
      <c r="O124" s="85"/>
      <c r="P124" s="76"/>
      <c r="Q124" s="77"/>
      <c r="R124" s="77"/>
      <c r="S124" s="85"/>
      <c r="T124" s="76"/>
      <c r="U124" s="77"/>
    </row>
    <row r="125" spans="1:21" s="144" customFormat="1" x14ac:dyDescent="0.25">
      <c r="A125" s="250"/>
      <c r="B125" s="143"/>
      <c r="C125" s="148"/>
      <c r="D125" s="141"/>
      <c r="E125" s="145"/>
      <c r="F125" s="147"/>
      <c r="G125" s="143"/>
      <c r="H125" s="141"/>
      <c r="I125" s="145"/>
      <c r="J125" s="145"/>
      <c r="K125" s="143"/>
      <c r="L125" s="141"/>
      <c r="M125" s="145"/>
      <c r="N125" s="145"/>
      <c r="O125" s="143"/>
      <c r="P125" s="141"/>
      <c r="Q125" s="145"/>
      <c r="R125" s="145"/>
      <c r="S125" s="143"/>
      <c r="T125" s="141"/>
      <c r="U125" s="145"/>
    </row>
    <row r="126" spans="1:21" s="144" customFormat="1" x14ac:dyDescent="0.25">
      <c r="A126" s="250"/>
      <c r="B126" s="143"/>
      <c r="C126" s="148"/>
      <c r="D126" s="141"/>
      <c r="E126" s="141"/>
      <c r="F126" s="143"/>
      <c r="G126" s="143"/>
      <c r="H126" s="141"/>
      <c r="I126" s="141"/>
      <c r="J126" s="141"/>
      <c r="K126" s="143"/>
      <c r="L126" s="141"/>
      <c r="M126" s="141"/>
      <c r="N126" s="141"/>
      <c r="O126" s="143"/>
      <c r="P126" s="141"/>
      <c r="Q126" s="141"/>
      <c r="R126" s="141"/>
      <c r="S126" s="143"/>
      <c r="T126" s="141"/>
      <c r="U126" s="141"/>
    </row>
    <row r="127" spans="1:21" s="133" customFormat="1" x14ac:dyDescent="0.25">
      <c r="A127" s="258"/>
      <c r="B127" s="134"/>
      <c r="C127" s="152"/>
      <c r="D127" s="118"/>
      <c r="E127" s="118"/>
      <c r="F127" s="134"/>
      <c r="G127" s="134"/>
      <c r="H127" s="118"/>
      <c r="I127" s="118"/>
      <c r="J127" s="118"/>
      <c r="K127" s="134"/>
      <c r="L127" s="118"/>
      <c r="M127" s="118"/>
      <c r="N127" s="118"/>
      <c r="O127" s="134"/>
      <c r="P127" s="118"/>
      <c r="Q127" s="118"/>
      <c r="R127" s="118"/>
      <c r="S127" s="134"/>
      <c r="T127" s="118"/>
      <c r="U127" s="118"/>
    </row>
    <row r="128" spans="1:21" s="144" customFormat="1" x14ac:dyDescent="0.25">
      <c r="A128" s="250"/>
      <c r="B128" s="143"/>
      <c r="C128" s="148"/>
      <c r="D128" s="141"/>
      <c r="E128" s="141"/>
      <c r="F128" s="143"/>
      <c r="G128" s="143"/>
      <c r="H128" s="141"/>
      <c r="I128" s="141"/>
      <c r="J128" s="141"/>
      <c r="K128" s="143"/>
      <c r="L128" s="141"/>
      <c r="M128" s="141"/>
      <c r="N128" s="141"/>
      <c r="O128" s="143"/>
      <c r="P128" s="141"/>
      <c r="Q128" s="141"/>
      <c r="R128" s="141"/>
      <c r="S128" s="143"/>
      <c r="T128" s="141"/>
      <c r="U128" s="141"/>
    </row>
    <row r="129" spans="1:21" s="144" customFormat="1" x14ac:dyDescent="0.25">
      <c r="A129" s="250"/>
      <c r="B129" s="143"/>
      <c r="C129" s="148"/>
      <c r="D129" s="141"/>
      <c r="E129" s="141"/>
      <c r="F129" s="143"/>
      <c r="G129" s="143"/>
      <c r="H129" s="141"/>
      <c r="I129" s="141"/>
      <c r="J129" s="141"/>
      <c r="K129" s="143"/>
      <c r="L129" s="141"/>
      <c r="M129" s="141"/>
      <c r="N129" s="141"/>
      <c r="O129" s="143"/>
      <c r="P129" s="141"/>
      <c r="Q129" s="141"/>
      <c r="R129" s="141"/>
      <c r="S129" s="143"/>
      <c r="T129" s="141"/>
      <c r="U129" s="141"/>
    </row>
    <row r="130" spans="1:21" s="133" customFormat="1" x14ac:dyDescent="0.25">
      <c r="A130" s="258"/>
      <c r="B130" s="134"/>
      <c r="C130" s="152"/>
      <c r="D130" s="118"/>
      <c r="E130" s="118"/>
      <c r="F130" s="134"/>
      <c r="G130" s="134"/>
      <c r="H130" s="118"/>
      <c r="I130" s="118"/>
      <c r="J130" s="118"/>
      <c r="K130" s="134"/>
      <c r="L130" s="118"/>
      <c r="M130" s="118"/>
      <c r="N130" s="118"/>
      <c r="O130" s="134"/>
      <c r="P130" s="118"/>
      <c r="Q130" s="118"/>
      <c r="R130" s="118"/>
      <c r="S130" s="134"/>
      <c r="T130" s="118"/>
      <c r="U130" s="118"/>
    </row>
    <row r="131" spans="1:21" s="144" customFormat="1" x14ac:dyDescent="0.25">
      <c r="A131" s="250"/>
      <c r="B131" s="143"/>
      <c r="C131" s="148"/>
      <c r="D131" s="141"/>
      <c r="E131" s="141"/>
      <c r="F131" s="143"/>
      <c r="G131" s="143"/>
      <c r="H131" s="141"/>
      <c r="I131" s="141"/>
      <c r="J131" s="141"/>
      <c r="K131" s="143"/>
      <c r="L131" s="141"/>
      <c r="M131" s="141"/>
      <c r="N131" s="141"/>
      <c r="O131" s="143"/>
      <c r="P131" s="141"/>
      <c r="Q131" s="141"/>
      <c r="R131" s="141"/>
      <c r="S131" s="143"/>
      <c r="T131" s="141"/>
      <c r="U131" s="141"/>
    </row>
    <row r="132" spans="1:21" s="144" customFormat="1" x14ac:dyDescent="0.25">
      <c r="A132" s="250"/>
      <c r="B132" s="143"/>
      <c r="C132" s="148"/>
      <c r="D132" s="141"/>
      <c r="E132" s="141"/>
      <c r="F132" s="143"/>
      <c r="G132" s="143"/>
      <c r="H132" s="141"/>
      <c r="I132" s="141"/>
      <c r="J132" s="141"/>
      <c r="K132" s="143"/>
      <c r="L132" s="141"/>
      <c r="M132" s="141"/>
      <c r="N132" s="141"/>
      <c r="O132" s="143"/>
      <c r="P132" s="141"/>
      <c r="Q132" s="141"/>
      <c r="R132" s="141"/>
      <c r="S132" s="143"/>
      <c r="T132" s="141"/>
      <c r="U132" s="141"/>
    </row>
    <row r="133" spans="1:21" s="144" customFormat="1" x14ac:dyDescent="0.25">
      <c r="A133" s="250"/>
      <c r="B133" s="143"/>
      <c r="C133" s="148"/>
      <c r="D133" s="141"/>
      <c r="E133" s="141"/>
      <c r="F133" s="143"/>
      <c r="G133" s="143"/>
      <c r="H133" s="141"/>
      <c r="I133" s="141"/>
      <c r="J133" s="141"/>
      <c r="K133" s="143"/>
      <c r="L133" s="141"/>
      <c r="M133" s="141"/>
      <c r="N133" s="141"/>
      <c r="O133" s="143"/>
      <c r="P133" s="141"/>
      <c r="Q133" s="141"/>
      <c r="R133" s="141"/>
      <c r="S133" s="143"/>
      <c r="T133" s="141"/>
      <c r="U133" s="141"/>
    </row>
    <row r="134" spans="1:21" s="144" customFormat="1" x14ac:dyDescent="0.25">
      <c r="A134" s="250"/>
      <c r="B134" s="143"/>
      <c r="C134" s="148"/>
      <c r="D134" s="141"/>
      <c r="E134" s="141"/>
      <c r="F134" s="143"/>
      <c r="G134" s="143"/>
      <c r="H134" s="141"/>
      <c r="I134" s="141"/>
      <c r="J134" s="141"/>
      <c r="K134" s="143"/>
      <c r="L134" s="141"/>
      <c r="M134" s="141"/>
      <c r="N134" s="141"/>
      <c r="O134" s="143"/>
      <c r="P134" s="141"/>
      <c r="Q134" s="141"/>
      <c r="R134" s="141"/>
      <c r="S134" s="143"/>
      <c r="T134" s="141"/>
      <c r="U134" s="141"/>
    </row>
    <row r="135" spans="1:21" s="144" customFormat="1" x14ac:dyDescent="0.25">
      <c r="A135" s="250"/>
      <c r="B135" s="143"/>
      <c r="C135" s="148"/>
      <c r="D135" s="141"/>
      <c r="E135" s="141"/>
      <c r="F135" s="143"/>
      <c r="G135" s="143"/>
      <c r="H135" s="141"/>
      <c r="I135" s="141"/>
      <c r="J135" s="141"/>
      <c r="K135" s="143"/>
      <c r="L135" s="141"/>
      <c r="M135" s="141"/>
      <c r="N135" s="141"/>
      <c r="O135" s="143"/>
      <c r="P135" s="141"/>
      <c r="Q135" s="141"/>
      <c r="R135" s="141"/>
      <c r="S135" s="143"/>
      <c r="T135" s="141"/>
      <c r="U135" s="141"/>
    </row>
    <row r="136" spans="1:21" s="144" customFormat="1" x14ac:dyDescent="0.25">
      <c r="A136" s="250"/>
      <c r="B136" s="143"/>
      <c r="C136" s="148"/>
      <c r="D136" s="141"/>
      <c r="E136" s="141"/>
      <c r="F136" s="143"/>
      <c r="G136" s="143"/>
      <c r="H136" s="141"/>
      <c r="I136" s="141"/>
      <c r="J136" s="141"/>
      <c r="K136" s="143"/>
      <c r="L136" s="141"/>
      <c r="M136" s="141"/>
      <c r="N136" s="141"/>
      <c r="O136" s="143"/>
      <c r="P136" s="141"/>
      <c r="Q136" s="141"/>
      <c r="R136" s="141"/>
      <c r="S136" s="143"/>
      <c r="T136" s="141"/>
      <c r="U136" s="141"/>
    </row>
    <row r="137" spans="1:21" s="144" customFormat="1" x14ac:dyDescent="0.25">
      <c r="A137" s="250"/>
      <c r="B137" s="143"/>
      <c r="C137" s="148"/>
      <c r="D137" s="141"/>
      <c r="E137" s="141"/>
      <c r="F137" s="143"/>
      <c r="G137" s="143"/>
      <c r="H137" s="141"/>
      <c r="I137" s="141"/>
      <c r="J137" s="141"/>
      <c r="K137" s="143"/>
      <c r="L137" s="141"/>
      <c r="M137" s="141"/>
      <c r="N137" s="141"/>
      <c r="O137" s="143"/>
      <c r="P137" s="141"/>
      <c r="Q137" s="141"/>
      <c r="R137" s="141"/>
      <c r="S137" s="143"/>
      <c r="T137" s="141"/>
      <c r="U137" s="141"/>
    </row>
    <row r="138" spans="1:21" s="144" customFormat="1" x14ac:dyDescent="0.25">
      <c r="A138" s="250"/>
      <c r="B138" s="143"/>
      <c r="C138" s="148"/>
      <c r="D138" s="141"/>
      <c r="E138" s="141"/>
      <c r="F138" s="143"/>
      <c r="G138" s="143"/>
      <c r="H138" s="141"/>
      <c r="I138" s="141"/>
      <c r="J138" s="141"/>
      <c r="K138" s="143"/>
      <c r="L138" s="141"/>
      <c r="M138" s="141"/>
      <c r="N138" s="141"/>
      <c r="O138" s="143"/>
      <c r="P138" s="141"/>
      <c r="Q138" s="141"/>
      <c r="R138" s="141"/>
      <c r="S138" s="143"/>
      <c r="T138" s="141"/>
      <c r="U138" s="141"/>
    </row>
    <row r="139" spans="1:21" s="144" customFormat="1" x14ac:dyDescent="0.25">
      <c r="A139" s="250"/>
      <c r="B139" s="143"/>
      <c r="C139" s="148"/>
      <c r="D139" s="141"/>
      <c r="E139" s="141"/>
      <c r="F139" s="143"/>
      <c r="G139" s="143"/>
      <c r="H139" s="141"/>
      <c r="I139" s="141"/>
      <c r="J139" s="141"/>
      <c r="K139" s="143"/>
      <c r="L139" s="141"/>
      <c r="M139" s="141"/>
      <c r="N139" s="141"/>
      <c r="O139" s="143"/>
      <c r="P139" s="141"/>
      <c r="Q139" s="141"/>
      <c r="R139" s="141"/>
      <c r="S139" s="143"/>
      <c r="T139" s="141"/>
      <c r="U139" s="141"/>
    </row>
    <row r="140" spans="1:21" s="144" customFormat="1" x14ac:dyDescent="0.25">
      <c r="A140" s="254"/>
      <c r="B140" s="184"/>
      <c r="C140" s="185"/>
      <c r="D140" s="186"/>
      <c r="E140" s="186"/>
      <c r="F140" s="184"/>
      <c r="G140" s="184"/>
      <c r="H140" s="186"/>
      <c r="I140" s="186"/>
      <c r="J140" s="186"/>
      <c r="K140" s="184"/>
      <c r="L140" s="186"/>
      <c r="M140" s="186"/>
      <c r="N140" s="186"/>
      <c r="O140" s="184"/>
      <c r="P140" s="186"/>
      <c r="Q140" s="186"/>
      <c r="R140" s="186"/>
      <c r="S140" s="184"/>
      <c r="T140" s="186"/>
      <c r="U140" s="186"/>
    </row>
    <row r="141" spans="1:21" s="144" customFormat="1" x14ac:dyDescent="0.25">
      <c r="A141" s="250"/>
      <c r="B141" s="143"/>
      <c r="C141" s="148"/>
      <c r="D141" s="141"/>
      <c r="E141" s="141"/>
      <c r="F141" s="143"/>
      <c r="G141" s="143"/>
      <c r="H141" s="141"/>
      <c r="I141" s="141"/>
      <c r="J141" s="141"/>
      <c r="K141" s="143"/>
      <c r="L141" s="141"/>
      <c r="M141" s="141"/>
      <c r="N141" s="141"/>
      <c r="O141" s="143"/>
      <c r="P141" s="141"/>
      <c r="Q141" s="141"/>
      <c r="R141" s="141"/>
      <c r="S141" s="143"/>
      <c r="T141" s="141"/>
      <c r="U141" s="141"/>
    </row>
    <row r="142" spans="1:21" s="144" customFormat="1" ht="20" thickBot="1" x14ac:dyDescent="0.3">
      <c r="A142" s="252"/>
      <c r="B142" s="174"/>
      <c r="C142" s="176"/>
      <c r="D142" s="149"/>
      <c r="E142" s="149"/>
      <c r="F142" s="174"/>
      <c r="G142" s="174"/>
      <c r="H142" s="149"/>
      <c r="I142" s="149"/>
      <c r="J142" s="149"/>
      <c r="K142" s="174"/>
      <c r="L142" s="149"/>
      <c r="M142" s="149"/>
      <c r="N142" s="149"/>
      <c r="O142" s="174"/>
      <c r="P142" s="149"/>
      <c r="Q142" s="149"/>
      <c r="R142" s="149"/>
      <c r="S142" s="174"/>
      <c r="T142" s="149"/>
      <c r="U142" s="149"/>
    </row>
    <row r="143" spans="1:21" ht="20" thickTop="1" x14ac:dyDescent="0.25"/>
  </sheetData>
  <mergeCells count="5">
    <mergeCell ref="A11:A12"/>
    <mergeCell ref="A55:A56"/>
    <mergeCell ref="J1:K1"/>
    <mergeCell ref="X1:Y1"/>
    <mergeCell ref="A117:A118"/>
  </mergeCells>
  <phoneticPr fontId="34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tabColor rgb="FFFFC000"/>
  </sheetPr>
  <dimension ref="A1:AK143"/>
  <sheetViews>
    <sheetView zoomScale="80" zoomScaleNormal="80" workbookViewId="0">
      <selection activeCell="O14" sqref="O14"/>
    </sheetView>
  </sheetViews>
  <sheetFormatPr baseColWidth="10" defaultColWidth="9" defaultRowHeight="19" x14ac:dyDescent="0.25"/>
  <cols>
    <col min="1" max="1" width="55.796875" customWidth="1"/>
    <col min="2" max="9" width="10.796875" customWidth="1"/>
  </cols>
  <sheetData>
    <row r="1" spans="1:37" ht="41.25" customHeight="1" x14ac:dyDescent="0.5">
      <c r="A1" s="2" t="s">
        <v>0</v>
      </c>
      <c r="B1" s="2"/>
      <c r="C1" s="3"/>
      <c r="D1" s="4"/>
      <c r="F1" s="6"/>
      <c r="G1" s="5"/>
      <c r="H1" s="6" t="s">
        <v>1</v>
      </c>
      <c r="I1" s="15">
        <f>'BKK DCM'!F1</f>
        <v>0</v>
      </c>
      <c r="L1" s="133"/>
      <c r="S1" s="1"/>
      <c r="T1" s="2"/>
      <c r="U1" s="3"/>
      <c r="V1" s="4"/>
      <c r="AF1" s="429"/>
      <c r="AG1" s="429"/>
      <c r="AI1" s="5"/>
      <c r="AJ1" s="6"/>
      <c r="AK1" s="6"/>
    </row>
    <row r="2" spans="1:37" x14ac:dyDescent="0.25">
      <c r="A2" s="9" t="s">
        <v>2</v>
      </c>
      <c r="B2" s="7"/>
      <c r="C2" s="157" t="s">
        <v>102</v>
      </c>
      <c r="D2" s="156"/>
      <c r="E2" s="155"/>
      <c r="F2" s="10"/>
      <c r="G2" s="9"/>
      <c r="H2" s="10" t="s">
        <v>3</v>
      </c>
      <c r="I2" s="287">
        <f>'BKK DCM'!F2</f>
        <v>0</v>
      </c>
      <c r="S2" s="7"/>
      <c r="T2" s="7"/>
      <c r="U2" s="8"/>
      <c r="V2" s="4"/>
      <c r="AI2" s="9"/>
      <c r="AJ2" s="10"/>
      <c r="AK2" s="11"/>
    </row>
    <row r="3" spans="1:37" x14ac:dyDescent="0.25">
      <c r="A3" s="9" t="s">
        <v>4</v>
      </c>
      <c r="B3" s="7"/>
      <c r="C3" s="157">
        <f>'BKK DCM'!B3</f>
        <v>0</v>
      </c>
      <c r="D3" s="156"/>
      <c r="E3" s="158"/>
      <c r="S3" s="7"/>
      <c r="T3" s="7"/>
      <c r="U3" s="8"/>
      <c r="V3" s="9"/>
    </row>
    <row r="4" spans="1:37" s="138" customFormat="1" ht="16" x14ac:dyDescent="0.2">
      <c r="A4" s="259" t="s">
        <v>100</v>
      </c>
      <c r="B4" s="136"/>
      <c r="C4" s="159"/>
      <c r="D4" s="160">
        <v>1</v>
      </c>
      <c r="E4" s="161" t="s">
        <v>238</v>
      </c>
      <c r="S4" s="136"/>
      <c r="T4" s="136"/>
      <c r="U4" s="135"/>
      <c r="V4" s="139"/>
    </row>
    <row r="5" spans="1:37" s="138" customFormat="1" ht="16" x14ac:dyDescent="0.2">
      <c r="A5" s="139"/>
      <c r="B5" s="136"/>
      <c r="C5" s="159"/>
      <c r="D5" s="160">
        <v>2</v>
      </c>
      <c r="E5" s="163" t="s">
        <v>237</v>
      </c>
      <c r="S5" s="136"/>
      <c r="T5" s="136"/>
      <c r="U5" s="135"/>
      <c r="V5" s="139"/>
    </row>
    <row r="6" spans="1:37" s="138" customFormat="1" ht="16" x14ac:dyDescent="0.2">
      <c r="A6" s="139"/>
      <c r="B6" s="136"/>
      <c r="C6" s="159"/>
      <c r="D6" s="160">
        <v>3</v>
      </c>
      <c r="E6" s="162" t="s">
        <v>32</v>
      </c>
      <c r="S6" s="136"/>
      <c r="T6" s="136"/>
      <c r="U6" s="135"/>
      <c r="V6" s="139"/>
    </row>
    <row r="7" spans="1:37" s="138" customFormat="1" ht="16" x14ac:dyDescent="0.2">
      <c r="A7" s="139"/>
      <c r="B7" s="136"/>
      <c r="C7" s="159"/>
      <c r="D7" s="160">
        <v>4</v>
      </c>
      <c r="E7" s="162" t="s">
        <v>33</v>
      </c>
      <c r="S7" s="136"/>
      <c r="T7" s="136"/>
      <c r="U7" s="135"/>
      <c r="V7" s="139"/>
    </row>
    <row r="8" spans="1:37" s="138" customFormat="1" ht="16" x14ac:dyDescent="0.2">
      <c r="A8" s="139"/>
      <c r="B8" s="136"/>
      <c r="C8" s="159"/>
      <c r="D8" s="150">
        <v>5</v>
      </c>
      <c r="E8" s="191" t="s">
        <v>99</v>
      </c>
      <c r="S8" s="136"/>
      <c r="T8" s="136"/>
      <c r="U8" s="135"/>
      <c r="V8" s="139"/>
    </row>
    <row r="9" spans="1:37" ht="7.5" customHeight="1" thickBot="1" x14ac:dyDescent="0.3"/>
    <row r="10" spans="1:37" s="122" customFormat="1" ht="20" thickTop="1" x14ac:dyDescent="0.25">
      <c r="A10" s="271" t="s">
        <v>74</v>
      </c>
      <c r="B10" s="120"/>
      <c r="C10" s="219"/>
      <c r="D10" s="119" t="s">
        <v>19</v>
      </c>
      <c r="E10" s="219"/>
      <c r="F10" s="120"/>
      <c r="G10" s="219"/>
      <c r="H10" s="119" t="s">
        <v>20</v>
      </c>
      <c r="I10" s="220"/>
    </row>
    <row r="11" spans="1:37" s="122" customFormat="1" x14ac:dyDescent="0.25">
      <c r="A11" s="434" t="s">
        <v>82</v>
      </c>
      <c r="B11" s="129"/>
      <c r="C11" s="121" t="s">
        <v>79</v>
      </c>
      <c r="D11" s="121" t="s">
        <v>80</v>
      </c>
      <c r="E11" s="121" t="s">
        <v>81</v>
      </c>
      <c r="F11" s="129"/>
      <c r="G11" s="121" t="s">
        <v>79</v>
      </c>
      <c r="H11" s="121" t="s">
        <v>80</v>
      </c>
      <c r="I11" s="121" t="s">
        <v>81</v>
      </c>
    </row>
    <row r="12" spans="1:37" s="122" customFormat="1" ht="20" thickBot="1" x14ac:dyDescent="0.3">
      <c r="A12" s="431"/>
      <c r="B12" s="131" t="s">
        <v>142</v>
      </c>
      <c r="C12" s="123" t="s">
        <v>143</v>
      </c>
      <c r="D12" s="124" t="s">
        <v>144</v>
      </c>
      <c r="E12" s="124" t="s">
        <v>145</v>
      </c>
      <c r="F12" s="131" t="s">
        <v>142</v>
      </c>
      <c r="G12" s="123" t="s">
        <v>143</v>
      </c>
      <c r="H12" s="124" t="s">
        <v>144</v>
      </c>
      <c r="I12" s="124" t="s">
        <v>145</v>
      </c>
    </row>
    <row r="13" spans="1:37" s="144" customFormat="1" ht="20" thickTop="1" x14ac:dyDescent="0.25">
      <c r="A13" s="261" t="s">
        <v>133</v>
      </c>
      <c r="B13" s="198">
        <f>'Formular 4 step Y1'!R14</f>
        <v>124</v>
      </c>
      <c r="C13" s="199">
        <f>'Formular 4 step Y1'!R15</f>
        <v>125</v>
      </c>
      <c r="D13" s="200">
        <f>'Formular 4 step Y1'!R16</f>
        <v>126</v>
      </c>
      <c r="E13" s="200">
        <f>'Formular 4 step Y1'!R17</f>
        <v>127</v>
      </c>
      <c r="F13" s="200">
        <f>'Formular 4 step Y1'!S14</f>
        <v>124</v>
      </c>
      <c r="G13" s="196">
        <f>'Formular 4 step Y1'!S15</f>
        <v>125</v>
      </c>
      <c r="H13" s="198">
        <f>'Formular 4 step Y1'!S16</f>
        <v>126</v>
      </c>
      <c r="I13" s="198">
        <f>'Formular 4 step Y1'!S17</f>
        <v>127</v>
      </c>
    </row>
    <row r="14" spans="1:37" s="144" customFormat="1" x14ac:dyDescent="0.25">
      <c r="A14" s="249" t="s">
        <v>134</v>
      </c>
      <c r="B14" s="141">
        <f>'Formular 4 step Y1'!R39</f>
        <v>124</v>
      </c>
      <c r="C14" s="202">
        <f>'Formular 4 step Y1'!R40</f>
        <v>125</v>
      </c>
      <c r="D14" s="145">
        <f>'Formular 4 step Y1'!R41</f>
        <v>126</v>
      </c>
      <c r="E14" s="145">
        <f>'Formular 4 step Y1'!R42</f>
        <v>127</v>
      </c>
      <c r="F14" s="145">
        <f>'Formular 4 step Y1'!S39</f>
        <v>124</v>
      </c>
      <c r="G14" s="143">
        <f>'Formular 4 step Y1'!S40</f>
        <v>125</v>
      </c>
      <c r="H14" s="141">
        <f>'Formular 4 step Y1'!S41</f>
        <v>126</v>
      </c>
      <c r="I14" s="141">
        <f>'Formular 4 step Y1'!S42</f>
        <v>127</v>
      </c>
    </row>
    <row r="15" spans="1:37" s="144" customFormat="1" x14ac:dyDescent="0.25">
      <c r="A15" s="250" t="s">
        <v>135</v>
      </c>
      <c r="B15" s="141">
        <f>'Formular 4 step Y1'!R64</f>
        <v>187</v>
      </c>
      <c r="C15" s="202">
        <f>'Formular 4 step Y1'!R65</f>
        <v>188</v>
      </c>
      <c r="D15" s="145">
        <f>'Formular 4 step Y1'!R66</f>
        <v>189</v>
      </c>
      <c r="E15" s="145">
        <f>'Formular 4 step Y1'!R67</f>
        <v>190</v>
      </c>
      <c r="F15" s="145">
        <f>'Formular 4 step Y1'!S64</f>
        <v>187</v>
      </c>
      <c r="G15" s="143">
        <f>'Formular 4 step Y1'!S65</f>
        <v>188</v>
      </c>
      <c r="H15" s="141">
        <f>'Formular 4 step Y1'!S66</f>
        <v>189</v>
      </c>
      <c r="I15" s="141">
        <f>'Formular 4 step Y1'!S67</f>
        <v>190</v>
      </c>
    </row>
    <row r="16" spans="1:37" s="144" customFormat="1" x14ac:dyDescent="0.25">
      <c r="A16" s="250" t="s">
        <v>136</v>
      </c>
      <c r="B16" s="141">
        <f>'Formular 4 step Y1'!R89</f>
        <v>185</v>
      </c>
      <c r="C16" s="202">
        <f>'Formular 4 step Y1'!R90</f>
        <v>186</v>
      </c>
      <c r="D16" s="145">
        <f>'Formular 4 step Y1'!R91</f>
        <v>187</v>
      </c>
      <c r="E16" s="145">
        <f>'Formular 4 step Y1'!R92</f>
        <v>188</v>
      </c>
      <c r="F16" s="145">
        <f>'Formular 4 step Y1'!S89</f>
        <v>185</v>
      </c>
      <c r="G16" s="143">
        <f>'Formular 4 step Y1'!S90</f>
        <v>186</v>
      </c>
      <c r="H16" s="141">
        <f>'Formular 4 step Y1'!S91</f>
        <v>187</v>
      </c>
      <c r="I16" s="141">
        <f>'Formular 4 step Y1'!S92</f>
        <v>188</v>
      </c>
    </row>
    <row r="17" spans="1:9" s="144" customFormat="1" x14ac:dyDescent="0.25">
      <c r="A17" s="250" t="s">
        <v>137</v>
      </c>
      <c r="B17" s="141">
        <f>'Formular 4 step Y1'!R114</f>
        <v>150</v>
      </c>
      <c r="C17" s="148">
        <f>'Formular 4 step Y1'!R115</f>
        <v>151</v>
      </c>
      <c r="D17" s="141">
        <f>'Formular 4 step Y1'!R116</f>
        <v>152</v>
      </c>
      <c r="E17" s="145">
        <f>'Formular 4 step Y1'!R117</f>
        <v>153</v>
      </c>
      <c r="F17" s="145">
        <f>'Formular 4 step Y1'!S114</f>
        <v>150</v>
      </c>
      <c r="G17" s="143">
        <f>'Formular 4 step Y1'!S115</f>
        <v>151</v>
      </c>
      <c r="H17" s="141">
        <f>'Formular 4 step Y1'!S116</f>
        <v>152</v>
      </c>
      <c r="I17" s="141">
        <f>'Formular 4 step Y1'!S117</f>
        <v>153</v>
      </c>
    </row>
    <row r="18" spans="1:9" s="144" customFormat="1" x14ac:dyDescent="0.25">
      <c r="A18" s="250" t="s">
        <v>138</v>
      </c>
      <c r="B18" s="141">
        <f>'Formular 4 step Y1'!R139</f>
        <v>208</v>
      </c>
      <c r="C18" s="148">
        <f>'Formular 4 step Y1'!R140</f>
        <v>209</v>
      </c>
      <c r="D18" s="141">
        <f>'Formular 4 step Y1'!R141</f>
        <v>210</v>
      </c>
      <c r="E18" s="145">
        <f>'Formular 4 step Y1'!R141</f>
        <v>210</v>
      </c>
      <c r="F18" s="145">
        <f>'Formular 4 step Y1'!S139</f>
        <v>208</v>
      </c>
      <c r="G18" s="143">
        <f>'Formular 4 step Y1'!S140</f>
        <v>209</v>
      </c>
      <c r="H18" s="141">
        <f>'Formular 4 step Y1'!S141</f>
        <v>210</v>
      </c>
      <c r="I18" s="141">
        <f>'Formular 4 step Y1'!S141</f>
        <v>210</v>
      </c>
    </row>
    <row r="19" spans="1:9" s="144" customFormat="1" x14ac:dyDescent="0.25">
      <c r="A19" s="250" t="s">
        <v>139</v>
      </c>
      <c r="B19" s="141">
        <f>'Formular 4 step Y1'!R838</f>
        <v>222</v>
      </c>
      <c r="C19" s="148">
        <f>'Formular 4 step Y1'!R839</f>
        <v>223</v>
      </c>
      <c r="D19" s="141">
        <f>'Formular 4 step Y1'!R840</f>
        <v>224</v>
      </c>
      <c r="E19" s="145">
        <f>'Formular 4 step Y1'!R841</f>
        <v>225</v>
      </c>
      <c r="F19" s="145">
        <f>'Formular 4 step Y1'!S838</f>
        <v>222</v>
      </c>
      <c r="G19" s="143">
        <f>'Formular 4 step Y1'!S839</f>
        <v>223</v>
      </c>
      <c r="H19" s="141">
        <f>'Formular 4 step Y1'!S840</f>
        <v>224</v>
      </c>
      <c r="I19" s="141">
        <f>'Formular 4 step Y1'!S841</f>
        <v>225</v>
      </c>
    </row>
    <row r="20" spans="1:9" s="144" customFormat="1" x14ac:dyDescent="0.25">
      <c r="A20" s="250" t="s">
        <v>114</v>
      </c>
      <c r="B20" s="141">
        <f>'Formular 4 step Y1'!R164</f>
        <v>256</v>
      </c>
      <c r="C20" s="148">
        <f>'Formular 4 step Y1'!R165</f>
        <v>259</v>
      </c>
      <c r="D20" s="141">
        <f>'Formular 4 step Y1'!R166</f>
        <v>264</v>
      </c>
      <c r="E20" s="145">
        <f>'Formular 4 step Y1'!R167</f>
        <v>269</v>
      </c>
      <c r="F20" s="145">
        <f>'Formular 4 step Y1'!S164</f>
        <v>256</v>
      </c>
      <c r="G20" s="143">
        <f>'Formular 4 step Y1'!S165</f>
        <v>259</v>
      </c>
      <c r="H20" s="141">
        <f>'Formular 4 step Y1'!S166</f>
        <v>264</v>
      </c>
      <c r="I20" s="141">
        <f>'Formular 4 step Y1'!S167</f>
        <v>269</v>
      </c>
    </row>
    <row r="21" spans="1:9" s="144" customFormat="1" x14ac:dyDescent="0.25">
      <c r="A21" s="250" t="s">
        <v>115</v>
      </c>
      <c r="B21" s="141">
        <f>'Formular 4 step Y1'!R189</f>
        <v>285</v>
      </c>
      <c r="C21" s="148">
        <f>'Formular 4 step Y1'!R190</f>
        <v>288</v>
      </c>
      <c r="D21" s="141">
        <f>'Formular 4 step Y1'!R191</f>
        <v>293</v>
      </c>
      <c r="E21" s="145">
        <f>'Formular 4 step Y1'!R192</f>
        <v>298</v>
      </c>
      <c r="F21" s="145">
        <f>'Formular 4 step Y1'!S189</f>
        <v>285</v>
      </c>
      <c r="G21" s="143">
        <f>'Formular 4 step Y1'!S190</f>
        <v>288</v>
      </c>
      <c r="H21" s="141">
        <f>'Formular 4 step Y1'!S191</f>
        <v>293</v>
      </c>
      <c r="I21" s="141">
        <f>'Formular 4 step Y1'!S192</f>
        <v>298</v>
      </c>
    </row>
    <row r="22" spans="1:9" s="144" customFormat="1" x14ac:dyDescent="0.25">
      <c r="A22" s="250" t="s">
        <v>218</v>
      </c>
      <c r="B22" s="141">
        <f>'Formular 4 step Y1'!R863</f>
        <v>178.42762080000003</v>
      </c>
      <c r="C22" s="148">
        <f>'Formular 4 step Y1'!R864</f>
        <v>180.07972840000005</v>
      </c>
      <c r="D22" s="141">
        <f>'Formular 4 step Y1'!R865</f>
        <v>185.03605120000003</v>
      </c>
      <c r="E22" s="145">
        <f>'Formular 4 step Y1'!R866</f>
        <v>189.99237400000001</v>
      </c>
      <c r="F22" s="145">
        <f>'Formular 4 step Y1'!S863</f>
        <v>178.42762080000003</v>
      </c>
      <c r="G22" s="143">
        <f>'Formular 4 step Y1'!S864</f>
        <v>180.07972840000005</v>
      </c>
      <c r="H22" s="141">
        <f>'Formular 4 step Y1'!S865</f>
        <v>185.03605120000003</v>
      </c>
      <c r="I22" s="141">
        <f>'Formular 4 step Y1'!S866</f>
        <v>189.99237400000001</v>
      </c>
    </row>
    <row r="23" spans="1:9" s="144" customFormat="1" x14ac:dyDescent="0.25">
      <c r="A23" s="250" t="s">
        <v>128</v>
      </c>
      <c r="B23" s="141">
        <f>'Formular 4 step Y1'!R738</f>
        <v>102</v>
      </c>
      <c r="C23" s="148">
        <f>'Formular 4 step Y1'!R739</f>
        <v>103</v>
      </c>
      <c r="D23" s="141">
        <f>'Formular 4 step Y1'!R740</f>
        <v>104</v>
      </c>
      <c r="E23" s="145">
        <f>'Formular 4 step Y1'!R741</f>
        <v>105</v>
      </c>
      <c r="F23" s="145">
        <f>'Formular 4 step Y1'!S738</f>
        <v>102</v>
      </c>
      <c r="G23" s="143">
        <f>'Formular 4 step Y1'!S739</f>
        <v>103</v>
      </c>
      <c r="H23" s="141">
        <f>'Formular 4 step Y1'!S740</f>
        <v>104</v>
      </c>
      <c r="I23" s="141">
        <f>'Formular 4 step Y1'!S741</f>
        <v>105</v>
      </c>
    </row>
    <row r="24" spans="1:9" s="144" customFormat="1" x14ac:dyDescent="0.25">
      <c r="A24" s="250" t="s">
        <v>130</v>
      </c>
      <c r="B24" s="141">
        <f>'Formular 4 step Y1'!R763</f>
        <v>162</v>
      </c>
      <c r="C24" s="148">
        <f>'Formular 4 step Y1'!R764</f>
        <v>163</v>
      </c>
      <c r="D24" s="141">
        <f>'Formular 4 step Y1'!R765</f>
        <v>164</v>
      </c>
      <c r="E24" s="145">
        <f>'Formular 4 step Y1'!R766</f>
        <v>165</v>
      </c>
      <c r="F24" s="145">
        <f>'Formular 4 step Y1'!S763</f>
        <v>162</v>
      </c>
      <c r="G24" s="143">
        <f>'Formular 4 step Y1'!S764</f>
        <v>163</v>
      </c>
      <c r="H24" s="141">
        <f>'Formular 4 step Y1'!S765</f>
        <v>164</v>
      </c>
      <c r="I24" s="141">
        <f>'Formular 4 step Y1'!S766</f>
        <v>165</v>
      </c>
    </row>
    <row r="25" spans="1:9" s="144" customFormat="1" x14ac:dyDescent="0.25">
      <c r="A25" s="250" t="s">
        <v>116</v>
      </c>
      <c r="B25" s="213">
        <f>'Formular 4 step Y1'!R788</f>
        <v>247</v>
      </c>
      <c r="C25" s="213">
        <f>'Formular 4 step Y1'!R789</f>
        <v>248</v>
      </c>
      <c r="D25" s="213">
        <f>'Formular 4 step Y1'!R790</f>
        <v>249</v>
      </c>
      <c r="E25" s="213">
        <f>'Formular 4 step Y1'!R791</f>
        <v>250</v>
      </c>
      <c r="F25" s="213">
        <f>'Formular 4 step Y1'!S788</f>
        <v>247</v>
      </c>
      <c r="G25" s="213">
        <f>'Formular 4 step Y1'!S789</f>
        <v>248</v>
      </c>
      <c r="H25" s="213">
        <f>'Formular 4 step Y1'!S790</f>
        <v>249</v>
      </c>
      <c r="I25" s="213">
        <f>'Formular 4 step Y1'!S791</f>
        <v>250</v>
      </c>
    </row>
    <row r="26" spans="1:9" s="144" customFormat="1" x14ac:dyDescent="0.25">
      <c r="A26" s="250" t="s">
        <v>117</v>
      </c>
      <c r="B26" s="140">
        <f>'Formular 4 step Y1'!R813</f>
        <v>392</v>
      </c>
      <c r="C26" s="141">
        <f>'Formular 4 step Y1'!R814</f>
        <v>393</v>
      </c>
      <c r="D26" s="141">
        <f>'Formular 4 step Y1'!R815</f>
        <v>394</v>
      </c>
      <c r="E26" s="141">
        <f>'Formular 4 step Y1'!R816</f>
        <v>395</v>
      </c>
      <c r="F26" s="140">
        <f>'Formular 4 step Y1'!S813</f>
        <v>392</v>
      </c>
      <c r="G26" s="141">
        <f>'Formular 4 step Y1'!S814</f>
        <v>393</v>
      </c>
      <c r="H26" s="141">
        <f>'Formular 4 step Y1'!S815</f>
        <v>394</v>
      </c>
      <c r="I26" s="141">
        <f>'Formular 4 step Y1'!S816</f>
        <v>395</v>
      </c>
    </row>
    <row r="27" spans="1:9" s="144" customFormat="1" x14ac:dyDescent="0.25">
      <c r="A27" s="250" t="s">
        <v>217</v>
      </c>
      <c r="B27" s="141">
        <f>'Formular 4 step Y1'!R214</f>
        <v>905</v>
      </c>
      <c r="C27" s="148">
        <f>'Formular 4 step Y1'!R215</f>
        <v>908</v>
      </c>
      <c r="D27" s="141">
        <f>'Formular 4 step Y1'!R216</f>
        <v>918</v>
      </c>
      <c r="E27" s="141">
        <f>'Formular 4 step Y1'!R217</f>
        <v>928</v>
      </c>
      <c r="F27" s="141">
        <f>'Formular 4 step Y1'!S214</f>
        <v>905</v>
      </c>
      <c r="G27" s="143">
        <f>'Formular 4 step Y1'!S215</f>
        <v>908</v>
      </c>
      <c r="H27" s="141">
        <f>'Formular 4 step Y1'!S216</f>
        <v>918</v>
      </c>
      <c r="I27" s="141">
        <f>'Formular 4 step Y1'!S217</f>
        <v>928</v>
      </c>
    </row>
    <row r="28" spans="1:9" s="144" customFormat="1" x14ac:dyDescent="0.25">
      <c r="A28" s="250" t="s">
        <v>209</v>
      </c>
      <c r="B28" s="141">
        <f>'Formular 4 step Y1'!R239</f>
        <v>22.101662000000001</v>
      </c>
      <c r="C28" s="148">
        <f>'Formular 4 step Y1'!R240</f>
        <v>23</v>
      </c>
      <c r="D28" s="141">
        <f>'Formular 4 step Y1'!R241</f>
        <v>24</v>
      </c>
      <c r="E28" s="141">
        <f>'Formular 4 step Y1'!R242</f>
        <v>25</v>
      </c>
      <c r="F28" s="141">
        <f>'Formular 4 step Y1'!S239</f>
        <v>22.101662000000001</v>
      </c>
      <c r="G28" s="143">
        <f>'Formular 4 step Y1'!S240</f>
        <v>23</v>
      </c>
      <c r="H28" s="141">
        <f>'Formular 4 step Y1'!S241</f>
        <v>24</v>
      </c>
      <c r="I28" s="141">
        <f>'Formular 4 step Y1'!S242</f>
        <v>25</v>
      </c>
    </row>
    <row r="29" spans="1:9" s="144" customFormat="1" x14ac:dyDescent="0.25">
      <c r="A29" s="250" t="s">
        <v>210</v>
      </c>
      <c r="B29" s="141">
        <f>'Formular 4 step Y1'!R264</f>
        <v>19.585021999999999</v>
      </c>
      <c r="C29" s="148">
        <f>'Formular 4 step Y1'!R265</f>
        <v>21</v>
      </c>
      <c r="D29" s="141">
        <f>'Formular 4 step Y1'!R266</f>
        <v>22</v>
      </c>
      <c r="E29" s="141">
        <f>'Formular 4 step Y1'!R267</f>
        <v>23</v>
      </c>
      <c r="F29" s="141">
        <f>'Formular 4 step Y1'!S264</f>
        <v>19.585021999999999</v>
      </c>
      <c r="G29" s="143">
        <f>'Formular 4 step Y1'!S265</f>
        <v>21</v>
      </c>
      <c r="H29" s="141">
        <f>'Formular 4 step Y1'!S266</f>
        <v>22</v>
      </c>
      <c r="I29" s="141">
        <f>'Formular 4 step Y1'!S267</f>
        <v>23</v>
      </c>
    </row>
    <row r="30" spans="1:9" s="133" customFormat="1" x14ac:dyDescent="0.25">
      <c r="A30" s="258" t="s">
        <v>233</v>
      </c>
      <c r="B30" s="118">
        <f>'Formular 4 step Y1'!R289</f>
        <v>25.079685999999995</v>
      </c>
      <c r="C30" s="152">
        <f>'Formular 4 step Y1'!R290</f>
        <v>26</v>
      </c>
      <c r="D30" s="118">
        <f>'Formular 4 step Y1'!R291</f>
        <v>27</v>
      </c>
      <c r="E30" s="118">
        <f>'Formular 4 step Y1'!R292</f>
        <v>28</v>
      </c>
      <c r="F30" s="118">
        <f>'Formular 4 step Y1'!S289</f>
        <v>25.079685999999995</v>
      </c>
      <c r="G30" s="134">
        <f>'Formular 4 step Y1'!S290</f>
        <v>26</v>
      </c>
      <c r="H30" s="118">
        <f>'Formular 4 step Y1'!S291</f>
        <v>27</v>
      </c>
      <c r="I30" s="118">
        <f>'Formular 4 step Y1'!S292</f>
        <v>28</v>
      </c>
    </row>
    <row r="31" spans="1:9" s="144" customFormat="1" x14ac:dyDescent="0.25">
      <c r="A31" s="250" t="s">
        <v>211</v>
      </c>
      <c r="B31" s="141">
        <f>'Formular 4 step Y1'!R313</f>
        <v>23</v>
      </c>
      <c r="C31" s="148">
        <f>'Formular 4 step Y1'!R314</f>
        <v>24</v>
      </c>
      <c r="D31" s="141">
        <f>'Formular 4 step Y1'!R315</f>
        <v>25</v>
      </c>
      <c r="E31" s="141">
        <f>'Formular 4 step Y1'!R316</f>
        <v>26</v>
      </c>
      <c r="F31" s="141">
        <f>'Formular 4 step Y1'!S313</f>
        <v>23</v>
      </c>
      <c r="G31" s="143">
        <f>'Formular 4 step Y1'!S314</f>
        <v>24</v>
      </c>
      <c r="H31" s="141">
        <f>'Formular 4 step Y1'!S315</f>
        <v>25</v>
      </c>
      <c r="I31" s="141">
        <f>'Formular 4 step Y1'!S316</f>
        <v>26</v>
      </c>
    </row>
    <row r="32" spans="1:9" s="144" customFormat="1" x14ac:dyDescent="0.25">
      <c r="A32" s="250" t="s">
        <v>212</v>
      </c>
      <c r="B32" s="141">
        <f>'Formular 4 step Y1'!R338</f>
        <v>47</v>
      </c>
      <c r="C32" s="148">
        <f>'Formular 4 step Y1'!R339</f>
        <v>48</v>
      </c>
      <c r="D32" s="141">
        <f>'Formular 4 step Y1'!R340</f>
        <v>49</v>
      </c>
      <c r="E32" s="141">
        <f>'Formular 4 step Y1'!R341</f>
        <v>51</v>
      </c>
      <c r="F32" s="141">
        <f>'Formular 4 step Y1'!S338</f>
        <v>47</v>
      </c>
      <c r="G32" s="143">
        <f>'Formular 4 step Y1'!S339</f>
        <v>48</v>
      </c>
      <c r="H32" s="141">
        <f>'Formular 4 step Y1'!S340</f>
        <v>49</v>
      </c>
      <c r="I32" s="141">
        <f>'Formular 4 step Y1'!S341</f>
        <v>51</v>
      </c>
    </row>
    <row r="33" spans="1:9" s="144" customFormat="1" x14ac:dyDescent="0.25">
      <c r="A33" s="250" t="s">
        <v>213</v>
      </c>
      <c r="B33" s="141">
        <f>'Formular 4 step Y1'!R888</f>
        <v>48.110608788</v>
      </c>
      <c r="C33" s="148">
        <f>'Formular 4 step Y1'!R889</f>
        <v>48.551990520000004</v>
      </c>
      <c r="D33" s="141">
        <f>'Formular 4 step Y1'!R890</f>
        <v>50</v>
      </c>
      <c r="E33" s="141">
        <f>'Formular 4 step Y1'!R891</f>
        <v>50.758899179999993</v>
      </c>
      <c r="F33" s="141">
        <f>'Formular 4 step Y1'!S888</f>
        <v>48.110608788</v>
      </c>
      <c r="G33" s="143">
        <f>'Formular 4 step Y1'!S889</f>
        <v>48.551990520000004</v>
      </c>
      <c r="H33" s="141">
        <f>'Formular 4 step Y1'!S890</f>
        <v>50</v>
      </c>
      <c r="I33" s="141">
        <f>'Formular 4 step Y1'!S891</f>
        <v>50.758899179999993</v>
      </c>
    </row>
    <row r="34" spans="1:9" s="144" customFormat="1" x14ac:dyDescent="0.25">
      <c r="A34" s="250" t="s">
        <v>214</v>
      </c>
      <c r="B34" s="141">
        <f>'Formular 4 step Y1'!R363</f>
        <v>28</v>
      </c>
      <c r="C34" s="148">
        <f>'Formular 4 step Y1'!R364</f>
        <v>29</v>
      </c>
      <c r="D34" s="141">
        <f>'Formular 4 step Y1'!R365</f>
        <v>31</v>
      </c>
      <c r="E34" s="141">
        <f>'Formular 4 step Y1'!R366</f>
        <v>32</v>
      </c>
      <c r="F34" s="141">
        <f>'Formular 4 step Y1'!S363</f>
        <v>28</v>
      </c>
      <c r="G34" s="143">
        <f>'Formular 4 step Y1'!S364</f>
        <v>29</v>
      </c>
      <c r="H34" s="141">
        <f>'Formular 4 step Y1'!S365</f>
        <v>31</v>
      </c>
      <c r="I34" s="141">
        <f>'Formular 4 step Y1'!S366</f>
        <v>32</v>
      </c>
    </row>
    <row r="35" spans="1:9" s="144" customFormat="1" x14ac:dyDescent="0.25">
      <c r="A35" s="250" t="s">
        <v>215</v>
      </c>
      <c r="B35" s="141">
        <f>'Formular 4 step Y1'!R388</f>
        <v>58</v>
      </c>
      <c r="C35" s="148">
        <f>'Formular 4 step Y1'!R389</f>
        <v>59</v>
      </c>
      <c r="D35" s="141">
        <f>'Formular 4 step Y1'!R390</f>
        <v>60</v>
      </c>
      <c r="E35" s="141">
        <f>'Formular 4 step Y1'!R391</f>
        <v>62</v>
      </c>
      <c r="F35" s="141">
        <f>'Formular 4 step Y1'!S388</f>
        <v>58</v>
      </c>
      <c r="G35" s="143">
        <f>'Formular 4 step Y1'!S389</f>
        <v>59</v>
      </c>
      <c r="H35" s="141">
        <f>'Formular 4 step Y1'!S390</f>
        <v>60</v>
      </c>
      <c r="I35" s="141">
        <f>'Formular 4 step Y1'!S391</f>
        <v>62</v>
      </c>
    </row>
    <row r="36" spans="1:9" s="144" customFormat="1" x14ac:dyDescent="0.25">
      <c r="A36" s="250" t="s">
        <v>216</v>
      </c>
      <c r="B36" s="141">
        <f>'Formular 4 step Y1'!R913</f>
        <v>64.750024280000005</v>
      </c>
      <c r="C36" s="148">
        <f>'Formular 4 step Y1'!R914</f>
        <v>66</v>
      </c>
      <c r="D36" s="141">
        <f>'Formular 4 step Y1'!R915</f>
        <v>66.53213504</v>
      </c>
      <c r="E36" s="141">
        <f>'Formular 4 step Y1'!R916</f>
        <v>68.314245799999995</v>
      </c>
      <c r="F36" s="141">
        <f>'Formular 4 step Y1'!S913</f>
        <v>64.750024280000005</v>
      </c>
      <c r="G36" s="143">
        <f>'Formular 4 step Y1'!S914</f>
        <v>66</v>
      </c>
      <c r="H36" s="141">
        <f>'Formular 4 step Y1'!S915</f>
        <v>66.53213504</v>
      </c>
      <c r="I36" s="141">
        <f>'Formular 4 step Y1'!S916</f>
        <v>68.314245799999995</v>
      </c>
    </row>
    <row r="37" spans="1:9" x14ac:dyDescent="0.25">
      <c r="A37" s="250" t="s">
        <v>84</v>
      </c>
      <c r="B37" s="141">
        <f>'Formular 4 step Y1'!R413</f>
        <v>190</v>
      </c>
      <c r="C37" s="148">
        <f>'Formular 4 step Y1'!R414</f>
        <v>191</v>
      </c>
      <c r="D37" s="141">
        <f>'Formular 4 step Y1'!R415</f>
        <v>196</v>
      </c>
      <c r="E37" s="141">
        <f>'Formular 4 step Y1'!R416</f>
        <v>201</v>
      </c>
      <c r="F37" s="141">
        <f>'Formular 4 step Y1'!S413</f>
        <v>190</v>
      </c>
      <c r="G37" s="143">
        <f>'Formular 4 step Y1'!S414</f>
        <v>191</v>
      </c>
      <c r="H37" s="141">
        <f>'Formular 4 step Y1'!S415</f>
        <v>196</v>
      </c>
      <c r="I37" s="141">
        <f>'Formular 4 step Y1'!S416</f>
        <v>201</v>
      </c>
    </row>
    <row r="38" spans="1:9" x14ac:dyDescent="0.25">
      <c r="A38" s="250" t="s">
        <v>85</v>
      </c>
      <c r="B38" s="141">
        <f>'Formular 4 step Y1'!R438</f>
        <v>263</v>
      </c>
      <c r="C38" s="148">
        <f>'Formular 4 step Y1'!R439</f>
        <v>265</v>
      </c>
      <c r="D38" s="141">
        <f>'Formular 4 step Y1'!R440</f>
        <v>267</v>
      </c>
      <c r="E38" s="141">
        <f>'Formular 4 step Y1'!R441</f>
        <v>269</v>
      </c>
      <c r="F38" s="141">
        <f>'Formular 4 step Y1'!S438</f>
        <v>263</v>
      </c>
      <c r="G38" s="143">
        <f>'Formular 4 step Y1'!S439</f>
        <v>265</v>
      </c>
      <c r="H38" s="141">
        <f>'Formular 4 step Y1'!S440</f>
        <v>267</v>
      </c>
      <c r="I38" s="141">
        <f>'Formular 4 step Y1'!S441</f>
        <v>269</v>
      </c>
    </row>
    <row r="39" spans="1:9" x14ac:dyDescent="0.25">
      <c r="A39" s="250" t="s">
        <v>86</v>
      </c>
      <c r="B39" s="141">
        <f>'Formular 4 step Y1'!R463</f>
        <v>322</v>
      </c>
      <c r="C39" s="148">
        <f>'Formular 4 step Y1'!R464</f>
        <v>324</v>
      </c>
      <c r="D39" s="141">
        <f>'Formular 4 step Y1'!R465</f>
        <v>326</v>
      </c>
      <c r="E39" s="141">
        <f>'Formular 4 step Y1'!R466</f>
        <v>328</v>
      </c>
      <c r="F39" s="141">
        <f>'Formular 4 step Y1'!S463</f>
        <v>322</v>
      </c>
      <c r="G39" s="143">
        <f>'Formular 4 step Y1'!S464</f>
        <v>324</v>
      </c>
      <c r="H39" s="141">
        <f>'Formular 4 step Y1'!S465</f>
        <v>326</v>
      </c>
      <c r="I39" s="141">
        <f>'Formular 4 step Y1'!S466</f>
        <v>328</v>
      </c>
    </row>
    <row r="40" spans="1:9" x14ac:dyDescent="0.25">
      <c r="A40" s="250" t="s">
        <v>87</v>
      </c>
      <c r="B40" s="141">
        <f>'Formular 4 step Y1'!R488</f>
        <v>776</v>
      </c>
      <c r="C40" s="148">
        <f>'Formular 4 step Y1'!R489</f>
        <v>778</v>
      </c>
      <c r="D40" s="141">
        <f>'Formular 4 step Y1'!R490</f>
        <v>783</v>
      </c>
      <c r="E40" s="141">
        <f>'Formular 4 step Y1'!R491</f>
        <v>788</v>
      </c>
      <c r="F40" s="141">
        <f>'Formular 4 step Y1'!S488</f>
        <v>776</v>
      </c>
      <c r="G40" s="143">
        <f>'Formular 4 step Y1'!S489</f>
        <v>778</v>
      </c>
      <c r="H40" s="141">
        <f>'Formular 4 step Y1'!S490</f>
        <v>783</v>
      </c>
      <c r="I40" s="141">
        <f>'Formular 4 step Y1'!S491</f>
        <v>788</v>
      </c>
    </row>
    <row r="41" spans="1:9" x14ac:dyDescent="0.25">
      <c r="A41" s="262" t="s">
        <v>88</v>
      </c>
      <c r="B41" s="76">
        <f>'Formular 4 step Y1'!R513</f>
        <v>259</v>
      </c>
      <c r="C41" s="91">
        <f>'Formular 4 step Y1'!R514</f>
        <v>261</v>
      </c>
      <c r="D41" s="76">
        <f>'Formular 4 step Y1'!R515</f>
        <v>264</v>
      </c>
      <c r="E41" s="76">
        <f>'Formular 4 step Y1'!R516</f>
        <v>266</v>
      </c>
      <c r="F41" s="76">
        <f>'Formular 4 step Y1'!S513</f>
        <v>259</v>
      </c>
      <c r="G41" s="85">
        <f>'Formular 4 step Y1'!S514</f>
        <v>261</v>
      </c>
      <c r="H41" s="76">
        <f>'Formular 4 step Y1'!S515</f>
        <v>264</v>
      </c>
      <c r="I41" s="76">
        <f>'Formular 4 step Y1'!S516</f>
        <v>266</v>
      </c>
    </row>
    <row r="42" spans="1:9" x14ac:dyDescent="0.25">
      <c r="A42" s="262" t="s">
        <v>89</v>
      </c>
      <c r="B42" s="76">
        <f>'Formular 4 step Y1'!R538</f>
        <v>324</v>
      </c>
      <c r="C42" s="91">
        <f>'Formular 4 step Y1'!R539</f>
        <v>326</v>
      </c>
      <c r="D42" s="76">
        <f>'Formular 4 step Y1'!R540</f>
        <v>329</v>
      </c>
      <c r="E42" s="76">
        <f>'Formular 4 step Y1'!R541</f>
        <v>331</v>
      </c>
      <c r="F42" s="76">
        <f>'Formular 4 step Y1'!S538</f>
        <v>324</v>
      </c>
      <c r="G42" s="85">
        <f>'Formular 4 step Y1'!S539</f>
        <v>326</v>
      </c>
      <c r="H42" s="76">
        <f>'Formular 4 step Y1'!S540</f>
        <v>329</v>
      </c>
      <c r="I42" s="76">
        <f>'Formular 4 step Y1'!S541</f>
        <v>331</v>
      </c>
    </row>
    <row r="43" spans="1:9" x14ac:dyDescent="0.25">
      <c r="A43" s="262" t="s">
        <v>90</v>
      </c>
      <c r="B43" s="76">
        <f>'Formular 4 step Y1'!R563</f>
        <v>388</v>
      </c>
      <c r="C43" s="91">
        <f>'Formular 4 step Y1'!R564</f>
        <v>390</v>
      </c>
      <c r="D43" s="76">
        <f>'Formular 4 step Y1'!R565</f>
        <v>392</v>
      </c>
      <c r="E43" s="76">
        <f>'Formular 4 step Y1'!R566</f>
        <v>394</v>
      </c>
      <c r="F43" s="76">
        <f>'Formular 4 step Y1'!S563</f>
        <v>388</v>
      </c>
      <c r="G43" s="85">
        <f>'Formular 4 step Y1'!S564</f>
        <v>390</v>
      </c>
      <c r="H43" s="76">
        <f>'Formular 4 step Y1'!S565</f>
        <v>392</v>
      </c>
      <c r="I43" s="76">
        <f>'Formular 4 step Y1'!S566</f>
        <v>394</v>
      </c>
    </row>
    <row r="44" spans="1:9" x14ac:dyDescent="0.25">
      <c r="A44" s="262" t="s">
        <v>91</v>
      </c>
      <c r="B44" s="76">
        <f>'Formular 4 step Y1'!R588</f>
        <v>972</v>
      </c>
      <c r="C44" s="91">
        <f>'Formular 4 step Y1'!R589</f>
        <v>982</v>
      </c>
      <c r="D44" s="76">
        <f>'Formular 4 step Y1'!R590</f>
        <v>987</v>
      </c>
      <c r="E44" s="76">
        <f>'Formular 4 step Y1'!R591</f>
        <v>992</v>
      </c>
      <c r="F44" s="76">
        <f>'Formular 4 step Y1'!S588</f>
        <v>972</v>
      </c>
      <c r="G44" s="85">
        <f>'Formular 4 step Y1'!S589</f>
        <v>982</v>
      </c>
      <c r="H44" s="76">
        <f>'Formular 4 step Y1'!S590</f>
        <v>987</v>
      </c>
      <c r="I44" s="76">
        <f>'Formular 4 step Y1'!S591</f>
        <v>992</v>
      </c>
    </row>
    <row r="45" spans="1:9" s="144" customFormat="1" x14ac:dyDescent="0.25">
      <c r="A45" s="250" t="s">
        <v>92</v>
      </c>
      <c r="B45" s="141">
        <f>'Formular 4 step Y1'!R613</f>
        <v>147.26385999999999</v>
      </c>
      <c r="C45" s="148">
        <f>'Formular 4 step Y1'!R614</f>
        <v>148</v>
      </c>
      <c r="D45" s="141">
        <f>'Formular 4 step Y1'!R615</f>
        <v>149</v>
      </c>
      <c r="E45" s="141">
        <f>'Formular 4 step Y1'!R616</f>
        <v>151</v>
      </c>
      <c r="F45" s="141">
        <f>'Formular 4 step Y1'!S613</f>
        <v>147.26385999999999</v>
      </c>
      <c r="G45" s="143">
        <f>'Formular 4 step Y1'!S614</f>
        <v>148</v>
      </c>
      <c r="H45" s="141">
        <f>'Formular 4 step Y1'!S615</f>
        <v>149</v>
      </c>
      <c r="I45" s="141">
        <f>'Formular 4 step Y1'!S616</f>
        <v>151</v>
      </c>
    </row>
    <row r="46" spans="1:9" s="144" customFormat="1" x14ac:dyDescent="0.25">
      <c r="A46" s="250" t="s">
        <v>93</v>
      </c>
      <c r="B46" s="141">
        <f>'Formular 4 step Y1'!R638</f>
        <v>97</v>
      </c>
      <c r="C46" s="148">
        <f>'Formular 4 step Y1'!R639</f>
        <v>99</v>
      </c>
      <c r="D46" s="141">
        <f>'Formular 4 step Y1'!R640</f>
        <v>100</v>
      </c>
      <c r="E46" s="141">
        <f>'Formular 4 step Y1'!R641</f>
        <v>101</v>
      </c>
      <c r="F46" s="141">
        <f>'Formular 4 step Y1'!S638</f>
        <v>97</v>
      </c>
      <c r="G46" s="143">
        <f>'Formular 4 step Y1'!S639</f>
        <v>99</v>
      </c>
      <c r="H46" s="141">
        <f>'Formular 4 step Y1'!S640</f>
        <v>100</v>
      </c>
      <c r="I46" s="141">
        <f>'Formular 4 step Y1'!S641</f>
        <v>101</v>
      </c>
    </row>
    <row r="47" spans="1:9" s="144" customFormat="1" x14ac:dyDescent="0.25">
      <c r="A47" s="250" t="s">
        <v>94</v>
      </c>
      <c r="B47" s="141">
        <f>'Formular 4 step Y1'!R663</f>
        <v>184</v>
      </c>
      <c r="C47" s="148">
        <f>'Formular 4 step Y1'!R664</f>
        <v>185</v>
      </c>
      <c r="D47" s="141">
        <f>'Formular 4 step Y1'!R665</f>
        <v>187</v>
      </c>
      <c r="E47" s="141">
        <f>'Formular 4 step Y1'!R666</f>
        <v>189</v>
      </c>
      <c r="F47" s="141">
        <f>'Formular 4 step Y1'!S663</f>
        <v>184</v>
      </c>
      <c r="G47" s="143">
        <f>'Formular 4 step Y1'!S664</f>
        <v>185</v>
      </c>
      <c r="H47" s="141">
        <f>'Formular 4 step Y1'!S665</f>
        <v>187</v>
      </c>
      <c r="I47" s="141">
        <f>'Formular 4 step Y1'!S666</f>
        <v>189</v>
      </c>
    </row>
    <row r="48" spans="1:9" s="144" customFormat="1" x14ac:dyDescent="0.25">
      <c r="A48" s="250" t="s">
        <v>95</v>
      </c>
      <c r="B48" s="141">
        <f>'Formular 4 step Y1'!R688</f>
        <v>139</v>
      </c>
      <c r="C48" s="148">
        <f>'Formular 4 step Y1'!R689</f>
        <v>141</v>
      </c>
      <c r="D48" s="141">
        <f>'Formular 4 step Y1'!R690</f>
        <v>143</v>
      </c>
      <c r="E48" s="141">
        <f>'Formular 4 step Y1'!R691</f>
        <v>146</v>
      </c>
      <c r="F48" s="141">
        <f>'Formular 4 step Y1'!S688</f>
        <v>139</v>
      </c>
      <c r="G48" s="143">
        <f>'Formular 4 step Y1'!S689</f>
        <v>141</v>
      </c>
      <c r="H48" s="141">
        <f>'Formular 4 step Y1'!S690</f>
        <v>143</v>
      </c>
      <c r="I48" s="141">
        <f>'Formular 4 step Y1'!S691</f>
        <v>146</v>
      </c>
    </row>
    <row r="49" spans="1:9" s="133" customFormat="1" x14ac:dyDescent="0.25">
      <c r="A49" s="258" t="s">
        <v>234</v>
      </c>
      <c r="B49" s="118">
        <f>'Formular 4 step Y1'!R713</f>
        <v>266</v>
      </c>
      <c r="C49" s="152">
        <f>'Formular 4 step Y1'!R714</f>
        <v>267</v>
      </c>
      <c r="D49" s="118">
        <f>'Formular 4 step Y1'!R715</f>
        <v>268</v>
      </c>
      <c r="E49" s="118">
        <f>'Formular 4 step Y1'!R716</f>
        <v>269</v>
      </c>
      <c r="F49" s="118">
        <f>'Formular 4 step Y1'!S713</f>
        <v>266</v>
      </c>
      <c r="G49" s="134">
        <f>'Formular 4 step Y1'!S714</f>
        <v>267</v>
      </c>
      <c r="H49" s="118">
        <f>'Formular 4 step Y1'!S715</f>
        <v>268</v>
      </c>
      <c r="I49" s="118">
        <f>'Formular 4 step Y1'!S716</f>
        <v>269</v>
      </c>
    </row>
    <row r="50" spans="1:9" s="144" customFormat="1" x14ac:dyDescent="0.25">
      <c r="A50" s="250"/>
      <c r="B50" s="141"/>
      <c r="C50" s="148"/>
      <c r="D50" s="141"/>
      <c r="E50" s="141"/>
      <c r="F50" s="141"/>
      <c r="G50" s="143"/>
      <c r="H50" s="141"/>
      <c r="I50" s="141"/>
    </row>
    <row r="51" spans="1:9" x14ac:dyDescent="0.25">
      <c r="A51" s="262"/>
      <c r="B51" s="76"/>
      <c r="C51" s="91"/>
      <c r="D51" s="76"/>
      <c r="E51" s="76"/>
      <c r="F51" s="76"/>
      <c r="G51" s="85"/>
      <c r="H51" s="76"/>
      <c r="I51" s="76"/>
    </row>
    <row r="52" spans="1:9" ht="20" thickBot="1" x14ac:dyDescent="0.3">
      <c r="A52" s="263"/>
      <c r="B52" s="79"/>
      <c r="C52" s="93"/>
      <c r="D52" s="79"/>
      <c r="E52" s="79"/>
      <c r="F52" s="79"/>
      <c r="G52" s="87"/>
      <c r="H52" s="79"/>
      <c r="I52" s="79"/>
    </row>
    <row r="53" spans="1:9" ht="7.5" customHeight="1" thickTop="1" thickBot="1" x14ac:dyDescent="0.3">
      <c r="D53" s="88"/>
      <c r="E53" s="88"/>
      <c r="F53" s="107"/>
      <c r="G53" s="88"/>
      <c r="H53" s="88"/>
      <c r="I53" s="88"/>
    </row>
    <row r="54" spans="1:9" ht="24.75" customHeight="1" thickTop="1" x14ac:dyDescent="0.25">
      <c r="A54" s="264" t="s">
        <v>74</v>
      </c>
      <c r="B54" s="127"/>
      <c r="C54" s="130"/>
      <c r="D54" s="126" t="s">
        <v>19</v>
      </c>
      <c r="E54" s="130"/>
      <c r="F54" s="127"/>
      <c r="G54" s="130"/>
      <c r="H54" s="126" t="s">
        <v>20</v>
      </c>
      <c r="I54" s="130"/>
    </row>
    <row r="55" spans="1:9" x14ac:dyDescent="0.25">
      <c r="A55" s="432" t="s">
        <v>83</v>
      </c>
      <c r="B55" s="129"/>
      <c r="C55" s="121" t="s">
        <v>79</v>
      </c>
      <c r="D55" s="121" t="s">
        <v>80</v>
      </c>
      <c r="E55" s="121" t="s">
        <v>81</v>
      </c>
      <c r="F55" s="129"/>
      <c r="G55" s="121" t="s">
        <v>79</v>
      </c>
      <c r="H55" s="121" t="s">
        <v>80</v>
      </c>
      <c r="I55" s="121" t="s">
        <v>81</v>
      </c>
    </row>
    <row r="56" spans="1:9" ht="20" thickBot="1" x14ac:dyDescent="0.3">
      <c r="A56" s="433"/>
      <c r="B56" s="131" t="s">
        <v>142</v>
      </c>
      <c r="C56" s="123" t="s">
        <v>143</v>
      </c>
      <c r="D56" s="124" t="s">
        <v>144</v>
      </c>
      <c r="E56" s="124" t="s">
        <v>145</v>
      </c>
      <c r="F56" s="131" t="s">
        <v>142</v>
      </c>
      <c r="G56" s="123" t="s">
        <v>143</v>
      </c>
      <c r="H56" s="124" t="s">
        <v>144</v>
      </c>
      <c r="I56" s="124" t="s">
        <v>145</v>
      </c>
    </row>
    <row r="57" spans="1:9" s="133" customFormat="1" ht="20" thickTop="1" x14ac:dyDescent="0.25">
      <c r="A57" s="295" t="s">
        <v>172</v>
      </c>
      <c r="B57" s="293">
        <f>'สูตร 4 step SB'!R13</f>
        <v>158</v>
      </c>
      <c r="C57" s="293">
        <f>'สูตร 4 step SB'!R14</f>
        <v>161</v>
      </c>
      <c r="D57" s="293">
        <f>'สูตร 4 step SB'!R15</f>
        <v>163</v>
      </c>
      <c r="E57" s="293">
        <f>'สูตร 4 step SB'!R16</f>
        <v>165</v>
      </c>
      <c r="F57" s="293">
        <f>'สูตร 4 step SB'!S13</f>
        <v>157</v>
      </c>
      <c r="G57" s="293">
        <f>'สูตร 4 step SB'!S14</f>
        <v>160</v>
      </c>
      <c r="H57" s="293">
        <f>'สูตร 4 step SB'!S15</f>
        <v>162</v>
      </c>
      <c r="I57" s="293">
        <f>'สูตร 4 step SB'!S16</f>
        <v>164</v>
      </c>
    </row>
    <row r="58" spans="1:9" s="133" customFormat="1" x14ac:dyDescent="0.25">
      <c r="A58" s="268" t="s">
        <v>173</v>
      </c>
      <c r="B58" s="118">
        <f>'สูตร 4 step SB'!R41</f>
        <v>80</v>
      </c>
      <c r="C58" s="118">
        <f>'สูตร 4 step SB'!R42</f>
        <v>82</v>
      </c>
      <c r="D58" s="118">
        <f>'สูตร 4 step SB'!R43</f>
        <v>83</v>
      </c>
      <c r="E58" s="118">
        <f>'สูตร 4 step SB'!R44</f>
        <v>84</v>
      </c>
      <c r="F58" s="118">
        <f>'สูตร 4 step SB'!S41</f>
        <v>80</v>
      </c>
      <c r="G58" s="118">
        <f>'สูตร 4 step SB'!S42</f>
        <v>82</v>
      </c>
      <c r="H58" s="118">
        <f>'สูตร 4 step SB'!S43</f>
        <v>83</v>
      </c>
      <c r="I58" s="118">
        <f>'สูตร 4 step SB'!S44</f>
        <v>84</v>
      </c>
    </row>
    <row r="59" spans="1:9" s="133" customFormat="1" x14ac:dyDescent="0.25">
      <c r="A59" s="268" t="s">
        <v>174</v>
      </c>
      <c r="B59" s="118">
        <f>'สูตร 4 step SB'!R68</f>
        <v>79</v>
      </c>
      <c r="C59" s="118">
        <f>'สูตร 4 step SB'!R69</f>
        <v>81</v>
      </c>
      <c r="D59" s="118">
        <f>'สูตร 4 step SB'!R70</f>
        <v>82</v>
      </c>
      <c r="E59" s="118">
        <f>'สูตร 4 step SB'!R71</f>
        <v>84</v>
      </c>
      <c r="F59" s="118">
        <f>'สูตร 4 step SB'!S68</f>
        <v>79</v>
      </c>
      <c r="G59" s="118">
        <f>'สูตร 4 step SB'!S69</f>
        <v>81</v>
      </c>
      <c r="H59" s="118">
        <f>'สูตร 4 step SB'!S70</f>
        <v>82</v>
      </c>
      <c r="I59" s="118">
        <f>'สูตร 4 step SB'!S71</f>
        <v>84</v>
      </c>
    </row>
    <row r="60" spans="1:9" s="133" customFormat="1" x14ac:dyDescent="0.25">
      <c r="A60" s="268" t="s">
        <v>175</v>
      </c>
      <c r="B60" s="293">
        <f>'สูตร 4 step SB'!R344</f>
        <v>43</v>
      </c>
      <c r="C60" s="118">
        <f>'สูตร 4 step SB'!R345</f>
        <v>44</v>
      </c>
      <c r="D60" s="118">
        <f>'สูตร 4 step SB'!R346</f>
        <v>45</v>
      </c>
      <c r="E60" s="118">
        <f>'สูตร 4 step SB'!R347</f>
        <v>46</v>
      </c>
      <c r="F60" s="293">
        <f>'สูตร 4 step SB'!S344</f>
        <v>43</v>
      </c>
      <c r="G60" s="118">
        <f>'สูตร 4 step SB'!S345</f>
        <v>44</v>
      </c>
      <c r="H60" s="118">
        <f>'สูตร 4 step SB'!S346</f>
        <v>45</v>
      </c>
      <c r="I60" s="118">
        <f>'สูตร 4 step SB'!S347</f>
        <v>46</v>
      </c>
    </row>
    <row r="61" spans="1:9" s="133" customFormat="1" x14ac:dyDescent="0.25">
      <c r="A61" s="268" t="s">
        <v>176</v>
      </c>
      <c r="B61" s="293">
        <f>'สูตร 4 step SB'!R96</f>
        <v>239</v>
      </c>
      <c r="C61" s="118">
        <f>'สูตร 4 step SB'!R97</f>
        <v>243</v>
      </c>
      <c r="D61" s="118">
        <f>'สูตร 4 step SB'!R98</f>
        <v>245</v>
      </c>
      <c r="E61" s="118">
        <f>'สูตร 4 step SB'!R99</f>
        <v>247</v>
      </c>
      <c r="F61" s="293">
        <f>'สูตร 4 step SB'!S96</f>
        <v>239</v>
      </c>
      <c r="G61" s="118">
        <f>'สูตร 4 step SB'!S97</f>
        <v>243</v>
      </c>
      <c r="H61" s="118">
        <f>'สูตร 4 step SB'!S98</f>
        <v>245</v>
      </c>
      <c r="I61" s="118">
        <f>'สูตร 4 step SB'!S99</f>
        <v>247</v>
      </c>
    </row>
    <row r="62" spans="1:9" s="133" customFormat="1" x14ac:dyDescent="0.25">
      <c r="A62" s="268" t="s">
        <v>177</v>
      </c>
      <c r="B62" s="118">
        <f>'สูตร 4 step SB'!R124</f>
        <v>334</v>
      </c>
      <c r="C62" s="118">
        <f>'สูตร 4 step SB'!R125</f>
        <v>339</v>
      </c>
      <c r="D62" s="118">
        <f>'สูตร 4 step SB'!R126</f>
        <v>344</v>
      </c>
      <c r="E62" s="118">
        <f>'สูตร 4 step SB'!R127</f>
        <v>348</v>
      </c>
      <c r="F62" s="118">
        <f>'สูตร 4 step SB'!S124</f>
        <v>333</v>
      </c>
      <c r="G62" s="118">
        <f>'สูตร 4 step SB'!S125</f>
        <v>338</v>
      </c>
      <c r="H62" s="118">
        <f>'สูตร 4 step SB'!S126</f>
        <v>343</v>
      </c>
      <c r="I62" s="118">
        <f>'สูตร 4 step SB'!S127</f>
        <v>347</v>
      </c>
    </row>
    <row r="63" spans="1:9" s="133" customFormat="1" x14ac:dyDescent="0.25">
      <c r="A63" s="268" t="s">
        <v>178</v>
      </c>
      <c r="B63" s="118">
        <f>'สูตร 4 step SB'!R152</f>
        <v>478</v>
      </c>
      <c r="C63" s="118">
        <f>'สูตร 4 step SB'!R153</f>
        <v>483</v>
      </c>
      <c r="D63" s="118">
        <f>'สูตร 4 step SB'!R154</f>
        <v>488</v>
      </c>
      <c r="E63" s="118">
        <f>'สูตร 4 step SB'!R155</f>
        <v>493</v>
      </c>
      <c r="F63" s="118">
        <f>'สูตร 4 step SB'!S152</f>
        <v>477</v>
      </c>
      <c r="G63" s="118">
        <f>'สูตร 4 step SB'!S153</f>
        <v>482</v>
      </c>
      <c r="H63" s="118">
        <f>'สูตร 4 step SB'!S154</f>
        <v>487</v>
      </c>
      <c r="I63" s="118">
        <f>'สูตร 4 step SB'!S155</f>
        <v>492</v>
      </c>
    </row>
    <row r="64" spans="1:9" s="133" customFormat="1" x14ac:dyDescent="0.25">
      <c r="A64" s="268" t="s">
        <v>179</v>
      </c>
      <c r="B64" s="293">
        <f>'สูตร 4 step SB'!R179</f>
        <v>580</v>
      </c>
      <c r="C64" s="118">
        <f>'สูตร 4 step SB'!R180</f>
        <v>585</v>
      </c>
      <c r="D64" s="118">
        <f>'สูตร 4 step SB'!R181</f>
        <v>590</v>
      </c>
      <c r="E64" s="118">
        <f>'สูตร 4 step SB'!R182</f>
        <v>595</v>
      </c>
      <c r="F64" s="293">
        <f>'สูตร 4 step SB'!S179</f>
        <v>578</v>
      </c>
      <c r="G64" s="118">
        <f>'สูตร 4 step SB'!S180</f>
        <v>583</v>
      </c>
      <c r="H64" s="118">
        <f>'สูตร 4 step SB'!S181</f>
        <v>588</v>
      </c>
      <c r="I64" s="118">
        <f>'สูตร 4 step SB'!S182</f>
        <v>593</v>
      </c>
    </row>
    <row r="65" spans="1:9" s="133" customFormat="1" x14ac:dyDescent="0.25">
      <c r="A65" s="268" t="s">
        <v>180</v>
      </c>
      <c r="B65" s="293">
        <f>'สูตร 4 step SB'!R645</f>
        <v>666</v>
      </c>
      <c r="C65" s="118">
        <f>'สูตร 4 step SB'!R646</f>
        <v>676</v>
      </c>
      <c r="D65" s="118">
        <f>'สูตร 4 step SB'!R647</f>
        <v>686</v>
      </c>
      <c r="E65" s="118">
        <f>'สูตร 4 step SB'!R648</f>
        <v>691</v>
      </c>
      <c r="F65" s="293">
        <f>'สูตร 4 step SB'!S645</f>
        <v>664</v>
      </c>
      <c r="G65" s="118">
        <f>'สูตร 4 step SB'!S646</f>
        <v>674</v>
      </c>
      <c r="H65" s="118">
        <f>'สูตร 4 step SB'!S647</f>
        <v>684</v>
      </c>
      <c r="I65" s="118">
        <f>'สูตร 4 step SB'!S648</f>
        <v>689</v>
      </c>
    </row>
    <row r="66" spans="1:9" s="133" customFormat="1" x14ac:dyDescent="0.25">
      <c r="A66" s="268" t="s">
        <v>181</v>
      </c>
      <c r="B66" s="293">
        <f>'สูตร 4 step SB'!R672</f>
        <v>704</v>
      </c>
      <c r="C66" s="118">
        <f>'สูตร 4 step SB'!R673</f>
        <v>714</v>
      </c>
      <c r="D66" s="118">
        <f>'สูตร 4 step SB'!R674</f>
        <v>724</v>
      </c>
      <c r="E66" s="118">
        <f>'สูตร 4 step SB'!R675</f>
        <v>734</v>
      </c>
      <c r="F66" s="293">
        <f>'สูตร 4 step SB'!S672</f>
        <v>702</v>
      </c>
      <c r="G66" s="118">
        <f>'สูตร 4 step SB'!S673</f>
        <v>712</v>
      </c>
      <c r="H66" s="118">
        <f>'สูตร 4 step SB'!S674</f>
        <v>722</v>
      </c>
      <c r="I66" s="118">
        <f>'สูตร 4 step SB'!S675</f>
        <v>732</v>
      </c>
    </row>
    <row r="67" spans="1:9" s="133" customFormat="1" x14ac:dyDescent="0.25">
      <c r="A67" s="268" t="s">
        <v>182</v>
      </c>
      <c r="B67" s="293">
        <f>'สูตร 4 step SB'!R699</f>
        <v>795</v>
      </c>
      <c r="C67" s="118">
        <f>'สูตร 4 step SB'!R700</f>
        <v>805</v>
      </c>
      <c r="D67" s="118">
        <f>'สูตร 4 step SB'!R701</f>
        <v>825</v>
      </c>
      <c r="E67" s="118">
        <f>'สูตร 4 step SB'!R702</f>
        <v>835</v>
      </c>
      <c r="F67" s="293">
        <f>'สูตร 4 step SB'!S699</f>
        <v>793</v>
      </c>
      <c r="G67" s="118">
        <f>'สูตร 4 step SB'!S700</f>
        <v>803</v>
      </c>
      <c r="H67" s="118">
        <f>'สูตร 4 step SB'!S701</f>
        <v>823</v>
      </c>
      <c r="I67" s="118">
        <f>'สูตร 4 step SB'!S702</f>
        <v>833</v>
      </c>
    </row>
    <row r="68" spans="1:9" s="133" customFormat="1" x14ac:dyDescent="0.25">
      <c r="A68" s="268" t="s">
        <v>183</v>
      </c>
      <c r="B68" s="293">
        <f>'สูตร 4 step SB'!R726</f>
        <v>890</v>
      </c>
      <c r="C68" s="118">
        <f>'สูตร 4 step SB'!R727</f>
        <v>900</v>
      </c>
      <c r="D68" s="118">
        <f>'สูตร 4 step SB'!R728</f>
        <v>915</v>
      </c>
      <c r="E68" s="118">
        <f>'สูตร 4 step SB'!R729</f>
        <v>930</v>
      </c>
      <c r="F68" s="293">
        <f>'สูตร 4 step SB'!S726</f>
        <v>888</v>
      </c>
      <c r="G68" s="118">
        <f>'สูตร 4 step SB'!S727</f>
        <v>898</v>
      </c>
      <c r="H68" s="118">
        <f>'สูตร 4 step SB'!S728</f>
        <v>913</v>
      </c>
      <c r="I68" s="118">
        <f>'สูตร 4 step SB'!S729</f>
        <v>928</v>
      </c>
    </row>
    <row r="69" spans="1:9" s="133" customFormat="1" x14ac:dyDescent="0.25">
      <c r="A69" s="268" t="s">
        <v>184</v>
      </c>
      <c r="B69" s="293">
        <f>'สูตร 4 step SB'!R206</f>
        <v>429</v>
      </c>
      <c r="C69" s="118">
        <f>'สูตร 4 step SB'!R207</f>
        <v>434</v>
      </c>
      <c r="D69" s="118">
        <f>'สูตร 4 step SB'!R208</f>
        <v>439</v>
      </c>
      <c r="E69" s="118">
        <f>'สูตร 4 step SB'!R209</f>
        <v>444</v>
      </c>
      <c r="F69" s="293">
        <f>'สูตร 4 step SB'!S206</f>
        <v>428</v>
      </c>
      <c r="G69" s="118">
        <f>'สูตร 4 step SB'!S207</f>
        <v>433</v>
      </c>
      <c r="H69" s="118">
        <f>'สูตร 4 step SB'!S208</f>
        <v>438</v>
      </c>
      <c r="I69" s="118">
        <f>'สูตร 4 step SB'!S209</f>
        <v>443</v>
      </c>
    </row>
    <row r="70" spans="1:9" s="133" customFormat="1" x14ac:dyDescent="0.25">
      <c r="A70" s="268" t="s">
        <v>185</v>
      </c>
      <c r="B70" s="118">
        <f>'สูตร 4 step SB'!R234</f>
        <v>53</v>
      </c>
      <c r="C70" s="118">
        <f>'สูตร 4 step SB'!R235</f>
        <v>54</v>
      </c>
      <c r="D70" s="118">
        <f>'สูตร 4 step SB'!R236</f>
        <v>55</v>
      </c>
      <c r="E70" s="118">
        <f>'สูตร 4 step SB'!R237</f>
        <v>56</v>
      </c>
      <c r="F70" s="118">
        <f>'สูตร 4 step SB'!S234</f>
        <v>53</v>
      </c>
      <c r="G70" s="118">
        <f>'สูตร 4 step SB'!S235</f>
        <v>54</v>
      </c>
      <c r="H70" s="118">
        <f>'สูตร 4 step SB'!S236</f>
        <v>55</v>
      </c>
      <c r="I70" s="118">
        <f>'สูตร 4 step SB'!S237</f>
        <v>56</v>
      </c>
    </row>
    <row r="71" spans="1:9" s="133" customFormat="1" x14ac:dyDescent="0.25">
      <c r="A71" s="268" t="s">
        <v>186</v>
      </c>
      <c r="B71" s="118">
        <f>'สูตร 4 step SB'!R262</f>
        <v>49</v>
      </c>
      <c r="C71" s="118">
        <f>'สูตร 4 step SB'!R263</f>
        <v>50</v>
      </c>
      <c r="D71" s="118">
        <f>'สูตร 4 step SB'!R264</f>
        <v>51</v>
      </c>
      <c r="E71" s="118">
        <f>'สูตร 4 step SB'!R265</f>
        <v>52</v>
      </c>
      <c r="F71" s="118">
        <f>'สูตร 4 step SB'!S262</f>
        <v>49</v>
      </c>
      <c r="G71" s="118">
        <f>'สูตร 4 step SB'!S263</f>
        <v>50</v>
      </c>
      <c r="H71" s="118">
        <f>'สูตร 4 step SB'!S264</f>
        <v>51</v>
      </c>
      <c r="I71" s="118">
        <f>'สูตร 4 step SB'!S265</f>
        <v>52</v>
      </c>
    </row>
    <row r="72" spans="1:9" s="133" customFormat="1" x14ac:dyDescent="0.25">
      <c r="A72" s="268" t="s">
        <v>187</v>
      </c>
      <c r="B72" s="293">
        <f>'สูตร 4 step SB'!R618</f>
        <v>69</v>
      </c>
      <c r="C72" s="118">
        <f>'สูตร 4 step SB'!R619</f>
        <v>70</v>
      </c>
      <c r="D72" s="118">
        <f>'สูตร 4 step SB'!R620</f>
        <v>71</v>
      </c>
      <c r="E72" s="118">
        <f>'สูตร 4 step SB'!R621</f>
        <v>72</v>
      </c>
      <c r="F72" s="293">
        <f>'สูตร 4 step SB'!S618</f>
        <v>69</v>
      </c>
      <c r="G72" s="118">
        <f>'สูตร 4 step SB'!S619</f>
        <v>70</v>
      </c>
      <c r="H72" s="118">
        <f>'สูตร 4 step SB'!S620</f>
        <v>71</v>
      </c>
      <c r="I72" s="118">
        <f>'สูตร 4 step SB'!S621</f>
        <v>72</v>
      </c>
    </row>
    <row r="73" spans="1:9" s="133" customFormat="1" x14ac:dyDescent="0.25">
      <c r="A73" s="268" t="s">
        <v>188</v>
      </c>
      <c r="B73" s="293">
        <f>'สูตร 4 step SB'!R290</f>
        <v>57</v>
      </c>
      <c r="C73" s="118">
        <f>'สูตร 4 step SB'!R291</f>
        <v>58</v>
      </c>
      <c r="D73" s="118">
        <f>'สูตร 4 step SB'!R292</f>
        <v>59</v>
      </c>
      <c r="E73" s="118">
        <f>'สูตร 4 step SB'!R293</f>
        <v>60</v>
      </c>
      <c r="F73" s="293">
        <f>'สูตร 4 step SB'!S290</f>
        <v>56</v>
      </c>
      <c r="G73" s="118">
        <f>'สูตร 4 step SB'!S291</f>
        <v>57</v>
      </c>
      <c r="H73" s="118">
        <f>'สูตร 4 step SB'!S292</f>
        <v>58</v>
      </c>
      <c r="I73" s="118">
        <f>'สูตร 4 step SB'!S293</f>
        <v>59</v>
      </c>
    </row>
    <row r="74" spans="1:9" s="133" customFormat="1" x14ac:dyDescent="0.25">
      <c r="A74" s="268" t="s">
        <v>189</v>
      </c>
      <c r="B74" s="118">
        <f>'สูตร 4 step SB'!R318</f>
        <v>75</v>
      </c>
      <c r="C74" s="118">
        <f>'สูตร 4 step SB'!R319</f>
        <v>77</v>
      </c>
      <c r="D74" s="118">
        <f>'สูตร 4 step SB'!R320</f>
        <v>78</v>
      </c>
      <c r="E74" s="118">
        <f>'สูตร 4 step SB'!R321</f>
        <v>80</v>
      </c>
      <c r="F74" s="118">
        <f>'สูตร 4 step SB'!S318</f>
        <v>75</v>
      </c>
      <c r="G74" s="118">
        <f>'สูตร 4 step SB'!S319</f>
        <v>77</v>
      </c>
      <c r="H74" s="118">
        <f>'สูตร 4 step SB'!S320</f>
        <v>78</v>
      </c>
      <c r="I74" s="118">
        <f>'สูตร 4 step SB'!S321</f>
        <v>80</v>
      </c>
    </row>
    <row r="75" spans="1:9" s="144" customFormat="1" x14ac:dyDescent="0.25">
      <c r="A75" s="255"/>
      <c r="B75" s="141"/>
      <c r="C75" s="141"/>
      <c r="D75" s="141"/>
      <c r="E75" s="141"/>
      <c r="F75" s="141"/>
      <c r="G75" s="141"/>
      <c r="H75" s="141"/>
      <c r="I75" s="141"/>
    </row>
    <row r="76" spans="1:9" s="144" customFormat="1" x14ac:dyDescent="0.25">
      <c r="A76" s="255" t="s">
        <v>41</v>
      </c>
      <c r="B76" s="141">
        <f>'สูตร 4 step SB'!R426</f>
        <v>118</v>
      </c>
      <c r="C76" s="141">
        <f>'สูตร 4 step SB'!R427</f>
        <v>120</v>
      </c>
      <c r="D76" s="141">
        <f>'สูตร 4 step SB'!R428</f>
        <v>122</v>
      </c>
      <c r="E76" s="141">
        <f>'สูตร 4 step SB'!R429</f>
        <v>124</v>
      </c>
      <c r="F76" s="141">
        <f>'สูตร 4 step SB'!S426</f>
        <v>118</v>
      </c>
      <c r="G76" s="141">
        <f>'สูตร 4 step SB'!S427</f>
        <v>120</v>
      </c>
      <c r="H76" s="141">
        <f>'สูตร 4 step SB'!S428</f>
        <v>122</v>
      </c>
      <c r="I76" s="141">
        <f>'สูตร 4 step SB'!S429</f>
        <v>124</v>
      </c>
    </row>
    <row r="77" spans="1:9" s="144" customFormat="1" x14ac:dyDescent="0.25">
      <c r="A77" s="255" t="s">
        <v>42</v>
      </c>
      <c r="B77" s="140">
        <f>'สูตร 4 step SB'!R454</f>
        <v>60</v>
      </c>
      <c r="C77" s="141">
        <f>'สูตร 4 step SB'!R455</f>
        <v>61</v>
      </c>
      <c r="D77" s="141">
        <f>'สูตร 4 step SB'!R456</f>
        <v>62</v>
      </c>
      <c r="E77" s="141">
        <f>'สูตร 4 step SB'!R457</f>
        <v>63</v>
      </c>
      <c r="F77" s="140">
        <f>'สูตร 4 step SB'!S454</f>
        <v>60</v>
      </c>
      <c r="G77" s="141">
        <f>'สูตร 4 step SB'!S455</f>
        <v>61</v>
      </c>
      <c r="H77" s="141">
        <f>'สูตร 4 step SB'!S456</f>
        <v>62</v>
      </c>
      <c r="I77" s="141">
        <f>'สูตร 4 step SB'!S457</f>
        <v>63</v>
      </c>
    </row>
    <row r="78" spans="1:9" s="144" customFormat="1" x14ac:dyDescent="0.25">
      <c r="A78" s="255" t="s">
        <v>43</v>
      </c>
      <c r="B78" s="141">
        <f>'สูตร 4 step SB'!R481</f>
        <v>60</v>
      </c>
      <c r="C78" s="141">
        <f>'สูตร 4 step SB'!R482</f>
        <v>61</v>
      </c>
      <c r="D78" s="141">
        <f>'สูตร 4 step SB'!R483</f>
        <v>62</v>
      </c>
      <c r="E78" s="141">
        <f>'สูตร 4 step SB'!R484</f>
        <v>63</v>
      </c>
      <c r="F78" s="141">
        <f>'สูตร 4 step SB'!S481</f>
        <v>60</v>
      </c>
      <c r="G78" s="141">
        <f>'สูตร 4 step SB'!S482</f>
        <v>61</v>
      </c>
      <c r="H78" s="141">
        <f>'สูตร 4 step SB'!S483</f>
        <v>62</v>
      </c>
      <c r="I78" s="141">
        <f>'สูตร 4 step SB'!S484</f>
        <v>63</v>
      </c>
    </row>
    <row r="79" spans="1:9" s="144" customFormat="1" x14ac:dyDescent="0.25">
      <c r="A79" s="255" t="s">
        <v>44</v>
      </c>
      <c r="B79" s="141">
        <f>'สูตร 4 step SB'!R509</f>
        <v>178</v>
      </c>
      <c r="C79" s="141">
        <f>'สูตร 4 step SB'!R510</f>
        <v>181</v>
      </c>
      <c r="D79" s="141">
        <f>'สูตร 4 step SB'!R511</f>
        <v>183</v>
      </c>
      <c r="E79" s="141">
        <f>'สูตร 4 step SB'!R512</f>
        <v>185</v>
      </c>
      <c r="F79" s="141">
        <f>'สูตร 4 step SB'!S509</f>
        <v>178</v>
      </c>
      <c r="G79" s="141">
        <f>'สูตร 4 step SB'!S510</f>
        <v>181</v>
      </c>
      <c r="H79" s="141">
        <f>'สูตร 4 step SB'!S511</f>
        <v>183</v>
      </c>
      <c r="I79" s="141">
        <f>'สูตร 4 step SB'!S512</f>
        <v>185</v>
      </c>
    </row>
    <row r="80" spans="1:9" s="144" customFormat="1" x14ac:dyDescent="0.25">
      <c r="A80" s="255" t="s">
        <v>112</v>
      </c>
      <c r="B80" s="141">
        <f>'สูตร 4 step SB'!R591</f>
        <v>274</v>
      </c>
      <c r="C80" s="141">
        <f>'สูตร 4 step SB'!R592</f>
        <v>278</v>
      </c>
      <c r="D80" s="141">
        <f>'สูตร 4 step SB'!R593</f>
        <v>280</v>
      </c>
      <c r="E80" s="141">
        <f>'สูตร 4 step SB'!R594</f>
        <v>282</v>
      </c>
      <c r="F80" s="141">
        <f>'สูตร 4 step SB'!S591</f>
        <v>273</v>
      </c>
      <c r="G80" s="141">
        <f>'สูตร 4 step SB'!S592</f>
        <v>277</v>
      </c>
      <c r="H80" s="141">
        <f>'สูตร 4 step SB'!S593</f>
        <v>279</v>
      </c>
      <c r="I80" s="141">
        <f>'สูตร 4 step SB'!S594</f>
        <v>281</v>
      </c>
    </row>
    <row r="81" spans="1:9" s="144" customFormat="1" x14ac:dyDescent="0.25">
      <c r="A81" s="255" t="s">
        <v>221</v>
      </c>
      <c r="B81" s="141"/>
      <c r="C81" s="141"/>
      <c r="D81" s="141"/>
      <c r="E81" s="141"/>
      <c r="F81" s="141"/>
      <c r="G81" s="141"/>
      <c r="H81" s="141"/>
      <c r="I81" s="141"/>
    </row>
    <row r="82" spans="1:9" s="144" customFormat="1" x14ac:dyDescent="0.25">
      <c r="A82" s="255" t="s">
        <v>222</v>
      </c>
      <c r="B82" s="141"/>
      <c r="C82" s="141"/>
      <c r="D82" s="141"/>
      <c r="E82" s="141"/>
      <c r="F82" s="141"/>
      <c r="G82" s="141"/>
      <c r="H82" s="141"/>
      <c r="I82" s="141"/>
    </row>
    <row r="83" spans="1:9" s="144" customFormat="1" x14ac:dyDescent="0.25">
      <c r="A83" s="255"/>
      <c r="B83" s="141"/>
      <c r="C83" s="141"/>
      <c r="D83" s="141"/>
      <c r="E83" s="141"/>
      <c r="F83" s="141"/>
      <c r="G83" s="141"/>
      <c r="H83" s="141"/>
      <c r="I83" s="141"/>
    </row>
    <row r="84" spans="1:9" s="144" customFormat="1" x14ac:dyDescent="0.25">
      <c r="A84" s="255" t="s">
        <v>167</v>
      </c>
      <c r="B84" s="141">
        <f>'สูตร 4 step SB'!R370</f>
        <v>46</v>
      </c>
      <c r="C84" s="141">
        <f>'สูตร 4 step SB'!R371</f>
        <v>47</v>
      </c>
      <c r="D84" s="141">
        <f>'สูตร 4 step SB'!R372</f>
        <v>48</v>
      </c>
      <c r="E84" s="141">
        <f>'สูตร 4 step SB'!R373</f>
        <v>49</v>
      </c>
      <c r="F84" s="141">
        <f>'สูตร 4 step SB'!S370</f>
        <v>46</v>
      </c>
      <c r="G84" s="141">
        <f>'สูตร 4 step SB'!S371</f>
        <v>47</v>
      </c>
      <c r="H84" s="141">
        <f>'สูตร 4 step SB'!S372</f>
        <v>48</v>
      </c>
      <c r="I84" s="141">
        <f>'สูตร 4 step SB'!S373</f>
        <v>49</v>
      </c>
    </row>
    <row r="85" spans="1:9" s="144" customFormat="1" x14ac:dyDescent="0.25">
      <c r="A85" s="272" t="s">
        <v>168</v>
      </c>
      <c r="B85" s="186">
        <f>'สูตร 4 step SB'!R398</f>
        <v>38</v>
      </c>
      <c r="C85" s="186">
        <f>'สูตร 4 step SB'!R399</f>
        <v>39</v>
      </c>
      <c r="D85" s="186">
        <f>'สูตร 4 step SB'!R400</f>
        <v>40</v>
      </c>
      <c r="E85" s="186">
        <f>'สูตร 4 step SB'!R401</f>
        <v>41</v>
      </c>
      <c r="F85" s="186">
        <f>'สูตร 4 step SB'!S398</f>
        <v>38</v>
      </c>
      <c r="G85" s="186">
        <f>'สูตร 4 step SB'!S399</f>
        <v>39</v>
      </c>
      <c r="H85" s="186">
        <f>'สูตร 4 step SB'!S400</f>
        <v>40</v>
      </c>
      <c r="I85" s="186">
        <f>'สูตร 4 step SB'!S401</f>
        <v>41</v>
      </c>
    </row>
    <row r="86" spans="1:9" s="144" customFormat="1" x14ac:dyDescent="0.25">
      <c r="A86" s="272" t="s">
        <v>169</v>
      </c>
      <c r="B86" s="186">
        <f>'สูตร 4 step SB'!R1143</f>
        <v>49</v>
      </c>
      <c r="C86" s="186">
        <f>'สูตร 4 step SB'!R1144</f>
        <v>50</v>
      </c>
      <c r="D86" s="186">
        <f>'สูตร 4 step SB'!R1145</f>
        <v>51</v>
      </c>
      <c r="E86" s="186">
        <f>'สูตร 4 step SB'!R1146</f>
        <v>53</v>
      </c>
      <c r="F86" s="186">
        <f>'สูตร 4 step SB'!S1143</f>
        <v>48</v>
      </c>
      <c r="G86" s="186">
        <f>'สูตร 4 step SB'!S1144</f>
        <v>49</v>
      </c>
      <c r="H86" s="186">
        <f>'สูตร 4 step SB'!S1145</f>
        <v>50</v>
      </c>
      <c r="I86" s="186">
        <f>'สูตร 4 step SB'!S1146</f>
        <v>52</v>
      </c>
    </row>
    <row r="87" spans="1:9" s="144" customFormat="1" x14ac:dyDescent="0.25">
      <c r="A87" s="255" t="s">
        <v>170</v>
      </c>
      <c r="B87" s="141">
        <f>'สูตร 4 step SB'!R536</f>
        <v>30</v>
      </c>
      <c r="C87" s="141">
        <f>'สูตร 4 step SB'!R537</f>
        <v>31</v>
      </c>
      <c r="D87" s="141">
        <f>'สูตร 4 step SB'!R538</f>
        <v>32</v>
      </c>
      <c r="E87" s="141">
        <f>'สูตร 4 step SB'!R539</f>
        <v>33</v>
      </c>
      <c r="F87" s="141">
        <f>'สูตร 4 step SB'!S536</f>
        <v>30</v>
      </c>
      <c r="G87" s="141">
        <f>'สูตร 4 step SB'!S537</f>
        <v>31</v>
      </c>
      <c r="H87" s="141">
        <f>'สูตร 4 step SB'!S538</f>
        <v>32</v>
      </c>
      <c r="I87" s="141">
        <f>'สูตร 4 step SB'!S539</f>
        <v>33</v>
      </c>
    </row>
    <row r="88" spans="1:9" s="144" customFormat="1" x14ac:dyDescent="0.25">
      <c r="A88" s="272" t="s">
        <v>171</v>
      </c>
      <c r="B88" s="186">
        <f>'สูตร 4 step SB'!R564</f>
        <v>32</v>
      </c>
      <c r="C88" s="186">
        <f>'สูตร 4 step SB'!R565</f>
        <v>33</v>
      </c>
      <c r="D88" s="186">
        <f>'สูตร 4 step SB'!R566</f>
        <v>34</v>
      </c>
      <c r="E88" s="186">
        <f>'สูตร 4 step SB'!R567</f>
        <v>35</v>
      </c>
      <c r="F88" s="186">
        <f>'สูตร 4 step SB'!S564</f>
        <v>32</v>
      </c>
      <c r="G88" s="186">
        <f>'สูตร 4 step SB'!S565</f>
        <v>33</v>
      </c>
      <c r="H88" s="186">
        <f>'สูตร 4 step SB'!S566</f>
        <v>34</v>
      </c>
      <c r="I88" s="186">
        <f>'สูตร 4 step SB'!S567</f>
        <v>35</v>
      </c>
    </row>
    <row r="89" spans="1:9" s="144" customFormat="1" x14ac:dyDescent="0.25">
      <c r="A89" s="272"/>
      <c r="B89" s="186"/>
      <c r="C89" s="186"/>
      <c r="D89" s="186"/>
      <c r="E89" s="186"/>
      <c r="F89" s="186"/>
      <c r="G89" s="186"/>
      <c r="H89" s="186"/>
      <c r="I89" s="186"/>
    </row>
    <row r="90" spans="1:9" s="144" customFormat="1" x14ac:dyDescent="0.25">
      <c r="A90" s="255" t="s">
        <v>141</v>
      </c>
      <c r="B90" s="141">
        <f>'สูตร 4 step SB'!R753</f>
        <v>44</v>
      </c>
      <c r="C90" s="141">
        <f>'สูตร 4 step SB'!R754</f>
        <v>45</v>
      </c>
      <c r="D90" s="141">
        <f>'สูตร 4 step SB'!R755</f>
        <v>46</v>
      </c>
      <c r="E90" s="141">
        <f>'สูตร 4 step SB'!R756</f>
        <v>47</v>
      </c>
      <c r="F90" s="141">
        <f>'สูตร 4 step SB'!S753</f>
        <v>44</v>
      </c>
      <c r="G90" s="141">
        <f>'สูตร 4 step SB'!S754</f>
        <v>45</v>
      </c>
      <c r="H90" s="141">
        <f>'สูตร 4 step SB'!S755</f>
        <v>46</v>
      </c>
      <c r="I90" s="141">
        <f>'สูตร 4 step SB'!S756</f>
        <v>47</v>
      </c>
    </row>
    <row r="91" spans="1:9" s="144" customFormat="1" x14ac:dyDescent="0.25">
      <c r="A91" s="255" t="s">
        <v>161</v>
      </c>
      <c r="B91" s="141">
        <f>'สูตร 4 step SB'!R975</f>
        <v>58</v>
      </c>
      <c r="C91" s="141">
        <f>'สูตร 4 step SB'!R976</f>
        <v>59</v>
      </c>
      <c r="D91" s="141">
        <f>'สูตร 4 step SB'!R977</f>
        <v>60</v>
      </c>
      <c r="E91" s="141">
        <f>'สูตร 4 step SB'!R978</f>
        <v>61</v>
      </c>
      <c r="F91" s="141">
        <f>'สูตร 4 step SB'!S975</f>
        <v>58</v>
      </c>
      <c r="G91" s="141">
        <f>'สูตร 4 step SB'!S976</f>
        <v>59</v>
      </c>
      <c r="H91" s="141">
        <f>'สูตร 4 step SB'!S977</f>
        <v>60</v>
      </c>
      <c r="I91" s="141">
        <f>'สูตร 4 step SB'!S978</f>
        <v>61</v>
      </c>
    </row>
    <row r="92" spans="1:9" s="144" customFormat="1" x14ac:dyDescent="0.25">
      <c r="A92" s="255" t="s">
        <v>140</v>
      </c>
      <c r="B92" s="141">
        <f>'สูตร 4 step SB'!R1003</f>
        <v>58</v>
      </c>
      <c r="C92" s="141">
        <f>'สูตร 4 step SB'!R1001</f>
        <v>54.871590909090912</v>
      </c>
      <c r="D92" s="141">
        <f>'สูตร 4 step SB'!R1003</f>
        <v>58</v>
      </c>
      <c r="E92" s="141">
        <f>'สูตร 4 step SB'!R1004</f>
        <v>59</v>
      </c>
      <c r="F92" s="141">
        <f>'สูตร 4 step SB'!S1003</f>
        <v>58</v>
      </c>
      <c r="G92" s="141">
        <f>'สูตร 4 step SB'!S1001</f>
        <v>54.686818181818182</v>
      </c>
      <c r="H92" s="141">
        <f>'สูตร 4 step SB'!S1003</f>
        <v>58</v>
      </c>
      <c r="I92" s="141">
        <f>'สูตร 4 step SB'!S1004</f>
        <v>59</v>
      </c>
    </row>
    <row r="93" spans="1:9" s="144" customFormat="1" x14ac:dyDescent="0.25">
      <c r="A93" s="255" t="s">
        <v>162</v>
      </c>
      <c r="B93" s="141">
        <f>'สูตร 4 step SB'!R1031</f>
        <v>77</v>
      </c>
      <c r="C93" s="141">
        <f>'สูตร 4 step SB'!R1032</f>
        <v>78</v>
      </c>
      <c r="D93" s="141">
        <f>'สูตร 4 step SB'!R1033</f>
        <v>79</v>
      </c>
      <c r="E93" s="141">
        <f>'สูตร 4 step SB'!R1034</f>
        <v>80</v>
      </c>
      <c r="F93" s="141">
        <f>'สูตร 4 step SB'!S1031</f>
        <v>77</v>
      </c>
      <c r="G93" s="141">
        <f>'สูตร 4 step SB'!S1032</f>
        <v>78</v>
      </c>
      <c r="H93" s="141">
        <f>'สูตร 4 step SB'!S1033</f>
        <v>79</v>
      </c>
      <c r="I93" s="141">
        <f>'สูตร 4 step SB'!S1034</f>
        <v>80</v>
      </c>
    </row>
    <row r="94" spans="1:9" s="144" customFormat="1" x14ac:dyDescent="0.25">
      <c r="A94" s="255" t="s">
        <v>163</v>
      </c>
      <c r="B94" s="141">
        <f>'สูตร 4 step SB'!R1059</f>
        <v>186</v>
      </c>
      <c r="C94" s="141">
        <f>'สูตร 4 step SB'!R1060</f>
        <v>189</v>
      </c>
      <c r="D94" s="141">
        <f>'สูตร 4 step SB'!R1061</f>
        <v>191</v>
      </c>
      <c r="E94" s="141">
        <f>'สูตร 4 step SB'!R1062</f>
        <v>193</v>
      </c>
      <c r="F94" s="141">
        <f>'สูตร 4 step SB'!S1059</f>
        <v>186</v>
      </c>
      <c r="G94" s="141">
        <f>'สูตร 4 step SB'!S1060</f>
        <v>189</v>
      </c>
      <c r="H94" s="141">
        <f>'สูตร 4 step SB'!S1061</f>
        <v>191</v>
      </c>
      <c r="I94" s="141">
        <f>'สูตร 4 step SB'!S1062</f>
        <v>193</v>
      </c>
    </row>
    <row r="95" spans="1:9" s="144" customFormat="1" x14ac:dyDescent="0.25">
      <c r="A95" s="255" t="s">
        <v>164</v>
      </c>
      <c r="B95" s="141">
        <f>'สูตร 4 step SB'!R1087</f>
        <v>279</v>
      </c>
      <c r="C95" s="141">
        <f>'สูตร 4 step SB'!R1088</f>
        <v>283</v>
      </c>
      <c r="D95" s="141">
        <f>'สูตร 4 step SB'!R1089</f>
        <v>286</v>
      </c>
      <c r="E95" s="141">
        <f>'สูตร 4 step SB'!R1090</f>
        <v>289</v>
      </c>
      <c r="F95" s="141">
        <f>'สูตร 4 step SB'!S1087</f>
        <v>279</v>
      </c>
      <c r="G95" s="141">
        <f>'สูตร 4 step SB'!S1088</f>
        <v>283</v>
      </c>
      <c r="H95" s="141">
        <f>'สูตร 4 step SB'!S1089</f>
        <v>286</v>
      </c>
      <c r="I95" s="141">
        <f>'สูตร 4 step SB'!S1090</f>
        <v>289</v>
      </c>
    </row>
    <row r="96" spans="1:9" s="144" customFormat="1" x14ac:dyDescent="0.25">
      <c r="A96" s="255" t="s">
        <v>165</v>
      </c>
      <c r="B96" s="141">
        <f>'สูตร 4 step SB'!R1115</f>
        <v>370</v>
      </c>
      <c r="C96" s="141">
        <f>'สูตร 4 step SB'!R1116</f>
        <v>375</v>
      </c>
      <c r="D96" s="141">
        <f>'สูตร 4 step SB'!R1117</f>
        <v>380</v>
      </c>
      <c r="E96" s="141">
        <f>'สูตร 4 step SB'!R1118</f>
        <v>385</v>
      </c>
      <c r="F96" s="141">
        <f>'สูตร 4 step SB'!S1115</f>
        <v>370</v>
      </c>
      <c r="G96" s="141">
        <f>'สูตร 4 step SB'!S1116</f>
        <v>375</v>
      </c>
      <c r="H96" s="141">
        <f>'สูตร 4 step SB'!S1117</f>
        <v>380</v>
      </c>
      <c r="I96" s="141">
        <f>'สูตร 4 step SB'!S1118</f>
        <v>385</v>
      </c>
    </row>
    <row r="97" spans="1:9" s="144" customFormat="1" x14ac:dyDescent="0.25">
      <c r="A97" s="255"/>
      <c r="B97" s="141"/>
      <c r="C97" s="141"/>
      <c r="D97" s="141"/>
      <c r="E97" s="141"/>
      <c r="F97" s="141"/>
      <c r="G97" s="141"/>
      <c r="H97" s="141"/>
      <c r="I97" s="141"/>
    </row>
    <row r="98" spans="1:9" s="144" customFormat="1" x14ac:dyDescent="0.25">
      <c r="A98" s="255" t="s">
        <v>148</v>
      </c>
      <c r="B98" s="141">
        <f>'สูตร 4 step SB'!R807</f>
        <v>342</v>
      </c>
      <c r="C98" s="141">
        <f>'สูตร 4 step SB'!R808</f>
        <v>347</v>
      </c>
      <c r="D98" s="141">
        <f>'สูตร 4 step SB'!R809</f>
        <v>352</v>
      </c>
      <c r="E98" s="141">
        <f>'สูตร 4 step SB'!R810</f>
        <v>357</v>
      </c>
      <c r="F98" s="141">
        <f>'สูตร 4 step SB'!S807</f>
        <v>341</v>
      </c>
      <c r="G98" s="141">
        <f>'สูตร 4 step SB'!S808</f>
        <v>346</v>
      </c>
      <c r="H98" s="141">
        <f>'สูตร 4 step SB'!S809</f>
        <v>351</v>
      </c>
      <c r="I98" s="141">
        <f>'สูตร 4 step SB'!S810</f>
        <v>356</v>
      </c>
    </row>
    <row r="99" spans="1:9" s="144" customFormat="1" x14ac:dyDescent="0.25">
      <c r="A99" s="255" t="s">
        <v>149</v>
      </c>
      <c r="B99" s="141">
        <f>'สูตร 4 step SB'!R835</f>
        <v>415</v>
      </c>
      <c r="C99" s="141">
        <f>'สูตร 4 step SB'!R836</f>
        <v>420</v>
      </c>
      <c r="D99" s="141">
        <f>'สูตร 4 step SB'!R837</f>
        <v>425</v>
      </c>
      <c r="E99" s="141">
        <f>'สูตร 4 step SB'!R838</f>
        <v>430</v>
      </c>
      <c r="F99" s="141">
        <f>'สูตร 4 step SB'!S835</f>
        <v>413</v>
      </c>
      <c r="G99" s="141">
        <f>'สูตร 4 step SB'!S836</f>
        <v>418</v>
      </c>
      <c r="H99" s="141">
        <f>'สูตร 4 step SB'!S837</f>
        <v>423</v>
      </c>
      <c r="I99" s="141">
        <f>'สูตร 4 step SB'!S838</f>
        <v>428</v>
      </c>
    </row>
    <row r="100" spans="1:9" s="144" customFormat="1" x14ac:dyDescent="0.25">
      <c r="A100" s="255" t="s">
        <v>150</v>
      </c>
      <c r="B100" s="141">
        <f>'สูตร 4 step SB'!R863</f>
        <v>478</v>
      </c>
      <c r="C100" s="141">
        <f>'สูตร 4 step SB'!R864</f>
        <v>483</v>
      </c>
      <c r="D100" s="141">
        <f>'สูตร 4 step SB'!R865</f>
        <v>488</v>
      </c>
      <c r="E100" s="141">
        <f>'สูตร 4 step SB'!R866</f>
        <v>493</v>
      </c>
      <c r="F100" s="141">
        <f>'สูตร 4 step SB'!S863</f>
        <v>476</v>
      </c>
      <c r="G100" s="141">
        <f>'สูตร 4 step SB'!S864</f>
        <v>481</v>
      </c>
      <c r="H100" s="141">
        <f>'สูตร 4 step SB'!S865</f>
        <v>486</v>
      </c>
      <c r="I100" s="141">
        <f>'สูตร 4 step SB'!S866</f>
        <v>491</v>
      </c>
    </row>
    <row r="101" spans="1:9" s="144" customFormat="1" x14ac:dyDescent="0.25">
      <c r="A101" s="255" t="s">
        <v>151</v>
      </c>
      <c r="B101" s="141">
        <f>'สูตร 4 step SB'!R891</f>
        <v>573</v>
      </c>
      <c r="C101" s="141">
        <f>'สูตร 4 step SB'!R892</f>
        <v>578</v>
      </c>
      <c r="D101" s="141">
        <f>'สูตร 4 step SB'!R893</f>
        <v>583</v>
      </c>
      <c r="E101" s="141">
        <f>'สูตร 4 step SB'!R894</f>
        <v>588</v>
      </c>
      <c r="F101" s="141">
        <f>'สูตร 4 step SB'!S891</f>
        <v>570</v>
      </c>
      <c r="G101" s="141">
        <f>'สูตร 4 step SB'!S892</f>
        <v>575</v>
      </c>
      <c r="H101" s="141">
        <f>'สูตร 4 step SB'!S893</f>
        <v>580</v>
      </c>
      <c r="I101" s="141">
        <f>'สูตร 4 step SB'!S894</f>
        <v>585</v>
      </c>
    </row>
    <row r="102" spans="1:9" s="144" customFormat="1" x14ac:dyDescent="0.25">
      <c r="A102" s="255" t="s">
        <v>152</v>
      </c>
      <c r="B102" s="141">
        <f>'สูตร 4 step SB'!R919</f>
        <v>691</v>
      </c>
      <c r="C102" s="141">
        <f>'สูตร 4 step SB'!R920</f>
        <v>696</v>
      </c>
      <c r="D102" s="141">
        <f>'สูตร 4 step SB'!R921</f>
        <v>701</v>
      </c>
      <c r="E102" s="141">
        <f>'สูตร 4 step SB'!R922</f>
        <v>706</v>
      </c>
      <c r="F102" s="141">
        <f>'สูตร 4 step SB'!S919</f>
        <v>688</v>
      </c>
      <c r="G102" s="141">
        <f>'สูตร 4 step SB'!S920</f>
        <v>693</v>
      </c>
      <c r="H102" s="141">
        <f>'สูตร 4 step SB'!S921</f>
        <v>698</v>
      </c>
      <c r="I102" s="141">
        <f>'สูตร 4 step SB'!S922</f>
        <v>703</v>
      </c>
    </row>
    <row r="103" spans="1:9" s="144" customFormat="1" x14ac:dyDescent="0.25">
      <c r="A103" s="255" t="s">
        <v>153</v>
      </c>
      <c r="B103" s="141">
        <f>'สูตร 4 step SB'!R947</f>
        <v>812</v>
      </c>
      <c r="C103" s="141">
        <f>'สูตร 4 step SB'!R948</f>
        <v>817</v>
      </c>
      <c r="D103" s="141">
        <f>'สูตร 4 step SB'!R949</f>
        <v>822</v>
      </c>
      <c r="E103" s="141">
        <f>'สูตร 4 step SB'!R950</f>
        <v>827</v>
      </c>
      <c r="F103" s="141">
        <f>'สูตร 4 step SB'!S947</f>
        <v>807</v>
      </c>
      <c r="G103" s="141">
        <f>'สูตร 4 step SB'!S948</f>
        <v>812</v>
      </c>
      <c r="H103" s="141">
        <f>'สูตร 4 step SB'!S949</f>
        <v>817</v>
      </c>
      <c r="I103" s="141">
        <f>'สูตร 4 step SB'!S950</f>
        <v>822</v>
      </c>
    </row>
    <row r="104" spans="1:9" s="144" customFormat="1" x14ac:dyDescent="0.25">
      <c r="A104" s="255"/>
      <c r="B104" s="141"/>
      <c r="C104" s="141"/>
      <c r="D104" s="141"/>
      <c r="E104" s="141"/>
      <c r="F104" s="141"/>
      <c r="G104" s="141"/>
      <c r="H104" s="141"/>
      <c r="I104" s="141"/>
    </row>
    <row r="105" spans="1:9" s="144" customFormat="1" x14ac:dyDescent="0.25">
      <c r="A105" s="255"/>
      <c r="B105" s="141"/>
      <c r="C105" s="141"/>
      <c r="D105" s="141"/>
      <c r="E105" s="141"/>
      <c r="F105" s="141"/>
      <c r="G105" s="141"/>
      <c r="H105" s="141"/>
      <c r="I105" s="141"/>
    </row>
    <row r="106" spans="1:9" s="144" customFormat="1" x14ac:dyDescent="0.25">
      <c r="A106" s="255"/>
      <c r="B106" s="141"/>
      <c r="C106" s="141"/>
      <c r="D106" s="141"/>
      <c r="E106" s="141"/>
      <c r="F106" s="141"/>
      <c r="G106" s="141"/>
      <c r="H106" s="141"/>
      <c r="I106" s="141"/>
    </row>
    <row r="107" spans="1:9" s="144" customFormat="1" x14ac:dyDescent="0.25">
      <c r="A107" s="255"/>
      <c r="B107" s="141"/>
      <c r="C107" s="141"/>
      <c r="D107" s="141"/>
      <c r="E107" s="141"/>
      <c r="F107" s="141"/>
      <c r="G107" s="141"/>
      <c r="H107" s="141"/>
      <c r="I107" s="141"/>
    </row>
    <row r="108" spans="1:9" s="144" customFormat="1" x14ac:dyDescent="0.25">
      <c r="A108" s="255"/>
      <c r="B108" s="141"/>
      <c r="C108" s="141"/>
      <c r="D108" s="141"/>
      <c r="E108" s="141"/>
      <c r="F108" s="141"/>
      <c r="G108" s="141"/>
      <c r="H108" s="141"/>
      <c r="I108" s="141"/>
    </row>
    <row r="109" spans="1:9" s="144" customFormat="1" x14ac:dyDescent="0.25">
      <c r="A109" s="255"/>
      <c r="B109" s="141"/>
      <c r="C109" s="141"/>
      <c r="D109" s="141"/>
      <c r="E109" s="141"/>
      <c r="F109" s="141"/>
      <c r="G109" s="141"/>
      <c r="H109" s="141"/>
      <c r="I109" s="141"/>
    </row>
    <row r="110" spans="1:9" s="144" customFormat="1" x14ac:dyDescent="0.25">
      <c r="A110" s="255"/>
      <c r="B110" s="141"/>
      <c r="C110" s="141"/>
      <c r="D110" s="141"/>
      <c r="E110" s="141"/>
      <c r="F110" s="141"/>
      <c r="G110" s="141"/>
      <c r="H110" s="141"/>
      <c r="I110" s="141"/>
    </row>
    <row r="111" spans="1:9" s="144" customFormat="1" x14ac:dyDescent="0.25">
      <c r="A111" s="255"/>
      <c r="B111" s="141"/>
      <c r="C111" s="141"/>
      <c r="D111" s="141"/>
      <c r="E111" s="141"/>
      <c r="F111" s="141"/>
      <c r="G111" s="141"/>
      <c r="H111" s="141"/>
      <c r="I111" s="141"/>
    </row>
    <row r="112" spans="1:9" s="144" customFormat="1" x14ac:dyDescent="0.25">
      <c r="A112" s="255"/>
      <c r="B112" s="141"/>
      <c r="C112" s="141"/>
      <c r="D112" s="141"/>
      <c r="E112" s="141"/>
      <c r="F112" s="141"/>
      <c r="G112" s="141"/>
      <c r="H112" s="141"/>
      <c r="I112" s="141"/>
    </row>
    <row r="113" spans="1:9" s="144" customFormat="1" ht="20" thickBot="1" x14ac:dyDescent="0.3">
      <c r="A113" s="256"/>
      <c r="B113" s="149"/>
      <c r="C113" s="149"/>
      <c r="D113" s="149"/>
      <c r="E113" s="149"/>
      <c r="F113" s="149"/>
      <c r="G113" s="149"/>
      <c r="H113" s="149"/>
      <c r="I113" s="149"/>
    </row>
    <row r="114" spans="1:9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</row>
    <row r="115" spans="1:9" ht="27" thickBot="1" x14ac:dyDescent="0.35">
      <c r="A115" s="257" t="s">
        <v>119</v>
      </c>
      <c r="B115" s="13"/>
      <c r="C115" s="80"/>
      <c r="D115" s="13"/>
      <c r="E115" s="14"/>
      <c r="F115" s="9"/>
      <c r="H115" s="14"/>
      <c r="I115" s="9"/>
    </row>
    <row r="116" spans="1:9" ht="24.75" customHeight="1" thickTop="1" x14ac:dyDescent="0.25">
      <c r="A116" s="264" t="s">
        <v>74</v>
      </c>
      <c r="B116" s="127"/>
      <c r="C116" s="130"/>
      <c r="D116" s="126" t="s">
        <v>19</v>
      </c>
      <c r="E116" s="130"/>
      <c r="F116" s="127"/>
      <c r="G116" s="130"/>
      <c r="H116" s="126" t="s">
        <v>20</v>
      </c>
      <c r="I116" s="130"/>
    </row>
    <row r="117" spans="1:9" x14ac:dyDescent="0.25">
      <c r="A117" s="432" t="s">
        <v>120</v>
      </c>
      <c r="B117" s="129"/>
      <c r="C117" s="121" t="s">
        <v>79</v>
      </c>
      <c r="D117" s="121" t="s">
        <v>80</v>
      </c>
      <c r="E117" s="121" t="s">
        <v>81</v>
      </c>
      <c r="F117" s="129"/>
      <c r="G117" s="121" t="s">
        <v>79</v>
      </c>
      <c r="H117" s="121" t="s">
        <v>80</v>
      </c>
      <c r="I117" s="121" t="s">
        <v>81</v>
      </c>
    </row>
    <row r="118" spans="1:9" ht="20" thickBot="1" x14ac:dyDescent="0.3">
      <c r="A118" s="433"/>
      <c r="B118" s="131" t="s">
        <v>142</v>
      </c>
      <c r="C118" s="123" t="s">
        <v>143</v>
      </c>
      <c r="D118" s="124" t="s">
        <v>144</v>
      </c>
      <c r="E118" s="124" t="s">
        <v>145</v>
      </c>
      <c r="F118" s="131" t="s">
        <v>142</v>
      </c>
      <c r="G118" s="123" t="s">
        <v>143</v>
      </c>
      <c r="H118" s="124" t="s">
        <v>144</v>
      </c>
      <c r="I118" s="124" t="s">
        <v>145</v>
      </c>
    </row>
    <row r="119" spans="1:9" s="144" customFormat="1" ht="20" thickTop="1" x14ac:dyDescent="0.25">
      <c r="A119" s="261" t="s">
        <v>121</v>
      </c>
      <c r="B119" s="198">
        <f>Rockwool!R14</f>
        <v>308.96250000000003</v>
      </c>
      <c r="C119" s="199">
        <f>Rockwool!R15</f>
        <v>323.67500000000001</v>
      </c>
      <c r="D119" s="200">
        <f>Rockwool!R16</f>
        <v>338.38749999999999</v>
      </c>
      <c r="E119" s="200">
        <f>Rockwool!R17</f>
        <v>353.09999999999997</v>
      </c>
      <c r="F119" s="200">
        <f>Rockwool!S14</f>
        <v>308.96250000000003</v>
      </c>
      <c r="G119" s="201">
        <f>Rockwool!S15</f>
        <v>323.67500000000001</v>
      </c>
      <c r="H119" s="201">
        <f>Rockwool!S16</f>
        <v>338.38749999999999</v>
      </c>
      <c r="I119" s="201">
        <f>Rockwool!S17</f>
        <v>353.09999999999997</v>
      </c>
    </row>
    <row r="120" spans="1:9" s="144" customFormat="1" x14ac:dyDescent="0.25">
      <c r="A120" s="255" t="s">
        <v>146</v>
      </c>
      <c r="B120" s="141">
        <f>Rockwool!R42</f>
        <v>84.936599999999999</v>
      </c>
      <c r="C120" s="202">
        <f>Rockwool!R43</f>
        <v>86.55444</v>
      </c>
      <c r="D120" s="145">
        <f>Rockwool!R44</f>
        <v>88.981200000000001</v>
      </c>
      <c r="E120" s="145">
        <f>Rockwool!R45</f>
        <v>93.02579999999999</v>
      </c>
      <c r="F120" s="145">
        <f>Rockwool!S42</f>
        <v>84.936599999999999</v>
      </c>
      <c r="G120" s="143">
        <f>Rockwool!S43</f>
        <v>86.55444</v>
      </c>
      <c r="H120" s="141">
        <f>Rockwool!S44</f>
        <v>88.981200000000001</v>
      </c>
      <c r="I120" s="141">
        <f>Rockwool!S45</f>
        <v>93.02579999999999</v>
      </c>
    </row>
    <row r="121" spans="1:9" s="144" customFormat="1" x14ac:dyDescent="0.25">
      <c r="A121" s="255" t="s">
        <v>231</v>
      </c>
      <c r="B121" s="141"/>
      <c r="C121" s="202"/>
      <c r="D121" s="145"/>
      <c r="E121" s="145"/>
      <c r="F121" s="145"/>
      <c r="G121" s="143"/>
      <c r="H121" s="141"/>
      <c r="I121" s="141"/>
    </row>
    <row r="122" spans="1:9" s="144" customFormat="1" x14ac:dyDescent="0.25">
      <c r="A122" s="255" t="s">
        <v>147</v>
      </c>
      <c r="B122" s="141">
        <f>Rockwool!R71</f>
        <v>0</v>
      </c>
      <c r="C122" s="202">
        <f>Rockwool!R72</f>
        <v>0</v>
      </c>
      <c r="D122" s="145">
        <f>Rockwool!R73</f>
        <v>0</v>
      </c>
      <c r="E122" s="145">
        <f>Rockwool!R74</f>
        <v>0</v>
      </c>
      <c r="F122" s="145">
        <f>Rockwool!S71</f>
        <v>125.3826</v>
      </c>
      <c r="G122" s="143">
        <f>Rockwool!S72</f>
        <v>127.77083999999999</v>
      </c>
      <c r="H122" s="141">
        <f>Rockwool!S73</f>
        <v>131.35320000000002</v>
      </c>
      <c r="I122" s="141">
        <f>Rockwool!S74</f>
        <v>137.32379999999998</v>
      </c>
    </row>
    <row r="123" spans="1:9" x14ac:dyDescent="0.25">
      <c r="A123" s="273"/>
      <c r="B123" s="76"/>
      <c r="C123" s="90"/>
      <c r="D123" s="77"/>
      <c r="E123" s="77"/>
      <c r="F123" s="77"/>
      <c r="G123" s="85"/>
      <c r="H123" s="76"/>
      <c r="I123" s="76"/>
    </row>
    <row r="124" spans="1:9" x14ac:dyDescent="0.25">
      <c r="A124" s="273"/>
      <c r="B124" s="76"/>
      <c r="C124" s="91"/>
      <c r="D124" s="76"/>
      <c r="E124" s="77"/>
      <c r="F124" s="77"/>
      <c r="G124" s="85"/>
      <c r="H124" s="76"/>
      <c r="I124" s="76"/>
    </row>
    <row r="125" spans="1:9" s="144" customFormat="1" x14ac:dyDescent="0.25">
      <c r="A125" s="255"/>
      <c r="B125" s="141"/>
      <c r="C125" s="148"/>
      <c r="D125" s="141"/>
      <c r="E125" s="145"/>
      <c r="F125" s="145"/>
      <c r="G125" s="143"/>
      <c r="H125" s="141"/>
      <c r="I125" s="141"/>
    </row>
    <row r="126" spans="1:9" s="144" customFormat="1" x14ac:dyDescent="0.25">
      <c r="A126" s="255"/>
      <c r="B126" s="141"/>
      <c r="C126" s="148"/>
      <c r="D126" s="141"/>
      <c r="E126" s="141"/>
      <c r="F126" s="141"/>
      <c r="G126" s="143"/>
      <c r="H126" s="141"/>
      <c r="I126" s="141"/>
    </row>
    <row r="127" spans="1:9" s="133" customFormat="1" x14ac:dyDescent="0.25">
      <c r="A127" s="268"/>
      <c r="B127" s="118"/>
      <c r="C127" s="152"/>
      <c r="D127" s="118"/>
      <c r="E127" s="118"/>
      <c r="F127" s="118"/>
      <c r="G127" s="134"/>
      <c r="H127" s="118"/>
      <c r="I127" s="118"/>
    </row>
    <row r="128" spans="1:9" x14ac:dyDescent="0.25">
      <c r="A128" s="273"/>
      <c r="B128" s="76"/>
      <c r="C128" s="91"/>
      <c r="D128" s="76"/>
      <c r="E128" s="76"/>
      <c r="F128" s="76"/>
      <c r="G128" s="85"/>
      <c r="H128" s="76"/>
      <c r="I128" s="76"/>
    </row>
    <row r="129" spans="1:9" x14ac:dyDescent="0.25">
      <c r="A129" s="274"/>
      <c r="B129" s="81"/>
      <c r="C129" s="91"/>
      <c r="D129" s="76"/>
      <c r="E129" s="76"/>
      <c r="F129" s="76"/>
      <c r="G129" s="85"/>
      <c r="H129" s="76"/>
      <c r="I129" s="76"/>
    </row>
    <row r="130" spans="1:9" s="133" customFormat="1" x14ac:dyDescent="0.25">
      <c r="A130" s="268"/>
      <c r="B130" s="118"/>
      <c r="C130" s="152"/>
      <c r="D130" s="118"/>
      <c r="E130" s="118"/>
      <c r="F130" s="118"/>
      <c r="G130" s="134"/>
      <c r="H130" s="118"/>
      <c r="I130" s="118"/>
    </row>
    <row r="131" spans="1:9" x14ac:dyDescent="0.25">
      <c r="A131" s="273"/>
      <c r="B131" s="76"/>
      <c r="C131" s="91"/>
      <c r="D131" s="76"/>
      <c r="E131" s="76"/>
      <c r="F131" s="76"/>
      <c r="G131" s="85"/>
      <c r="H131" s="76"/>
      <c r="I131" s="76"/>
    </row>
    <row r="132" spans="1:9" x14ac:dyDescent="0.25">
      <c r="A132" s="273"/>
      <c r="B132" s="76"/>
      <c r="C132" s="91"/>
      <c r="D132" s="76"/>
      <c r="E132" s="76"/>
      <c r="F132" s="76"/>
      <c r="G132" s="85"/>
      <c r="H132" s="76"/>
      <c r="I132" s="76"/>
    </row>
    <row r="133" spans="1:9" x14ac:dyDescent="0.25">
      <c r="A133" s="273"/>
      <c r="B133" s="76"/>
      <c r="C133" s="91"/>
      <c r="D133" s="76"/>
      <c r="E133" s="76"/>
      <c r="F133" s="76"/>
      <c r="G133" s="85"/>
      <c r="H133" s="76"/>
      <c r="I133" s="76"/>
    </row>
    <row r="134" spans="1:9" x14ac:dyDescent="0.25">
      <c r="A134" s="273"/>
      <c r="B134" s="76"/>
      <c r="C134" s="81"/>
      <c r="D134" s="81"/>
      <c r="E134" s="81"/>
      <c r="F134" s="81"/>
      <c r="G134" s="85"/>
      <c r="H134" s="76"/>
      <c r="I134" s="76"/>
    </row>
    <row r="135" spans="1:9" x14ac:dyDescent="0.25">
      <c r="A135" s="273"/>
      <c r="B135" s="76"/>
      <c r="C135" s="76"/>
      <c r="D135" s="76"/>
      <c r="E135" s="76"/>
      <c r="F135" s="76"/>
      <c r="G135" s="85"/>
      <c r="H135" s="76"/>
      <c r="I135" s="76"/>
    </row>
    <row r="136" spans="1:9" x14ac:dyDescent="0.25">
      <c r="A136" s="273"/>
      <c r="B136" s="76"/>
      <c r="C136" s="81"/>
      <c r="D136" s="81"/>
      <c r="E136" s="81"/>
      <c r="F136" s="81"/>
      <c r="G136" s="85"/>
      <c r="H136" s="76"/>
      <c r="I136" s="76"/>
    </row>
    <row r="137" spans="1:9" x14ac:dyDescent="0.25">
      <c r="A137" s="273"/>
      <c r="B137" s="76"/>
      <c r="C137" s="81"/>
      <c r="D137" s="81"/>
      <c r="E137" s="81"/>
      <c r="F137" s="81"/>
      <c r="G137" s="85"/>
      <c r="H137" s="76"/>
      <c r="I137" s="76"/>
    </row>
    <row r="138" spans="1:9" x14ac:dyDescent="0.25">
      <c r="A138" s="273"/>
      <c r="B138" s="76"/>
      <c r="C138" s="81"/>
      <c r="D138" s="81"/>
      <c r="E138" s="81"/>
      <c r="F138" s="81"/>
      <c r="G138" s="85"/>
      <c r="H138" s="76"/>
      <c r="I138" s="76"/>
    </row>
    <row r="139" spans="1:9" s="144" customFormat="1" x14ac:dyDescent="0.25">
      <c r="A139" s="255"/>
      <c r="B139" s="141"/>
      <c r="C139" s="141"/>
      <c r="D139" s="141"/>
      <c r="E139" s="141"/>
      <c r="F139" s="141"/>
      <c r="G139" s="143"/>
      <c r="H139" s="141"/>
      <c r="I139" s="141"/>
    </row>
    <row r="140" spans="1:9" s="144" customFormat="1" x14ac:dyDescent="0.25">
      <c r="A140" s="272"/>
      <c r="B140" s="186"/>
      <c r="C140" s="186"/>
      <c r="D140" s="186"/>
      <c r="E140" s="186"/>
      <c r="F140" s="186"/>
      <c r="G140" s="184"/>
      <c r="H140" s="186"/>
      <c r="I140" s="186"/>
    </row>
    <row r="141" spans="1:9" s="144" customFormat="1" x14ac:dyDescent="0.25">
      <c r="A141" s="255"/>
      <c r="B141" s="141"/>
      <c r="C141" s="141"/>
      <c r="D141" s="141"/>
      <c r="E141" s="141"/>
      <c r="F141" s="141"/>
      <c r="G141" s="143"/>
      <c r="H141" s="141"/>
      <c r="I141" s="141"/>
    </row>
    <row r="142" spans="1:9" s="144" customFormat="1" ht="20" thickBot="1" x14ac:dyDescent="0.3">
      <c r="A142" s="275"/>
      <c r="B142" s="149"/>
      <c r="C142" s="149"/>
      <c r="D142" s="149"/>
      <c r="E142" s="149"/>
      <c r="F142" s="149"/>
      <c r="G142" s="174"/>
      <c r="H142" s="149"/>
      <c r="I142" s="149"/>
    </row>
    <row r="143" spans="1:9" ht="20" thickTop="1" x14ac:dyDescent="0.25"/>
  </sheetData>
  <mergeCells count="4">
    <mergeCell ref="A11:A12"/>
    <mergeCell ref="A55:A56"/>
    <mergeCell ref="AF1:AG1"/>
    <mergeCell ref="A117:A118"/>
  </mergeCells>
  <phoneticPr fontId="3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tabColor rgb="FFFFC000"/>
  </sheetPr>
  <dimension ref="A1:AI143"/>
  <sheetViews>
    <sheetView zoomScale="68" zoomScaleNormal="68" workbookViewId="0">
      <pane xSplit="1" ySplit="12" topLeftCell="B13" activePane="bottomRight" state="frozen"/>
      <selection activeCell="B49" sqref="B49"/>
      <selection pane="topRight" activeCell="B49" sqref="B49"/>
      <selection pane="bottomLeft" activeCell="B49" sqref="B49"/>
      <selection pane="bottomRight" activeCell="D10" sqref="D10"/>
    </sheetView>
  </sheetViews>
  <sheetFormatPr baseColWidth="10" defaultColWidth="9" defaultRowHeight="19" x14ac:dyDescent="0.25"/>
  <cols>
    <col min="1" max="1" width="43.19921875" customWidth="1"/>
    <col min="2" max="8" width="8.19921875" customWidth="1"/>
    <col min="9" max="9" width="10.796875" customWidth="1"/>
    <col min="10" max="13" width="8.19921875" customWidth="1"/>
  </cols>
  <sheetData>
    <row r="1" spans="1:35" ht="41.25" customHeight="1" x14ac:dyDescent="0.5">
      <c r="A1" s="2" t="s">
        <v>0</v>
      </c>
      <c r="B1" s="2"/>
      <c r="C1" s="3"/>
      <c r="D1" s="4"/>
      <c r="F1" s="6"/>
      <c r="G1" s="5"/>
      <c r="H1" s="6" t="s">
        <v>1</v>
      </c>
      <c r="I1" s="15">
        <f>'BKK DCM'!F1</f>
        <v>0</v>
      </c>
      <c r="J1" s="429"/>
      <c r="K1" s="429"/>
      <c r="Q1" s="1"/>
      <c r="R1" s="2"/>
      <c r="S1" s="3"/>
      <c r="T1" s="4"/>
      <c r="AD1" s="429"/>
      <c r="AE1" s="429"/>
      <c r="AG1" s="5"/>
      <c r="AH1" s="6"/>
      <c r="AI1" s="6"/>
    </row>
    <row r="2" spans="1:35" x14ac:dyDescent="0.25">
      <c r="A2" s="9" t="s">
        <v>2</v>
      </c>
      <c r="B2" s="7"/>
      <c r="C2" s="157" t="s">
        <v>102</v>
      </c>
      <c r="D2" s="156"/>
      <c r="E2" s="155"/>
      <c r="F2" s="10"/>
      <c r="G2" s="9"/>
      <c r="H2" s="10" t="s">
        <v>3</v>
      </c>
      <c r="I2" s="287">
        <f>'BKK DCM'!F2</f>
        <v>0</v>
      </c>
      <c r="Q2" s="7"/>
      <c r="R2" s="7"/>
      <c r="S2" s="8"/>
      <c r="T2" s="4"/>
      <c r="AG2" s="9"/>
      <c r="AH2" s="10"/>
      <c r="AI2" s="11"/>
    </row>
    <row r="3" spans="1:35" x14ac:dyDescent="0.25">
      <c r="A3" s="9" t="s">
        <v>4</v>
      </c>
      <c r="B3" s="7"/>
      <c r="C3" s="157">
        <f>'BKK DCM'!B3</f>
        <v>0</v>
      </c>
      <c r="D3" s="156"/>
      <c r="E3" s="158"/>
      <c r="Q3" s="7"/>
      <c r="R3" s="7"/>
      <c r="S3" s="8"/>
      <c r="T3" s="9"/>
    </row>
    <row r="4" spans="1:35" s="138" customFormat="1" ht="16" x14ac:dyDescent="0.2">
      <c r="A4" s="259" t="s">
        <v>100</v>
      </c>
      <c r="B4" s="137"/>
      <c r="C4" s="159"/>
      <c r="D4" s="160">
        <v>1</v>
      </c>
      <c r="E4" s="161" t="s">
        <v>238</v>
      </c>
      <c r="Q4" s="136"/>
      <c r="R4" s="136"/>
      <c r="S4" s="135"/>
      <c r="T4" s="139"/>
    </row>
    <row r="5" spans="1:35" s="138" customFormat="1" ht="21" customHeight="1" x14ac:dyDescent="0.2">
      <c r="A5" s="139"/>
      <c r="B5" s="137"/>
      <c r="C5" s="159"/>
      <c r="D5" s="160">
        <v>2</v>
      </c>
      <c r="E5" s="163" t="s">
        <v>237</v>
      </c>
      <c r="Q5" s="136"/>
      <c r="R5" s="136"/>
      <c r="S5" s="135"/>
      <c r="T5" s="139"/>
    </row>
    <row r="6" spans="1:35" s="138" customFormat="1" ht="16" x14ac:dyDescent="0.2">
      <c r="A6" s="139"/>
      <c r="B6" s="137"/>
      <c r="C6" s="159"/>
      <c r="D6" s="160">
        <v>3</v>
      </c>
      <c r="E6" s="162" t="s">
        <v>32</v>
      </c>
      <c r="Q6" s="136"/>
      <c r="R6" s="136"/>
      <c r="S6" s="135"/>
      <c r="T6" s="139"/>
    </row>
    <row r="7" spans="1:35" s="138" customFormat="1" ht="16" x14ac:dyDescent="0.2">
      <c r="A7" s="139"/>
      <c r="B7" s="137"/>
      <c r="C7" s="159"/>
      <c r="D7" s="160">
        <v>4</v>
      </c>
      <c r="E7" s="162" t="s">
        <v>33</v>
      </c>
      <c r="Q7" s="136"/>
      <c r="R7" s="136"/>
      <c r="S7" s="135"/>
      <c r="T7" s="139"/>
    </row>
    <row r="8" spans="1:35" s="138" customFormat="1" ht="16" x14ac:dyDescent="0.2">
      <c r="A8" s="139"/>
      <c r="B8" s="137"/>
      <c r="C8" s="159"/>
      <c r="D8" s="150">
        <v>5</v>
      </c>
      <c r="E8" s="191" t="s">
        <v>99</v>
      </c>
      <c r="Q8" s="136"/>
      <c r="R8" s="136"/>
      <c r="S8" s="135"/>
      <c r="T8" s="139"/>
    </row>
    <row r="9" spans="1:35" ht="7.5" customHeight="1" thickBot="1" x14ac:dyDescent="0.3"/>
    <row r="10" spans="1:35" s="122" customFormat="1" ht="20" thickTop="1" x14ac:dyDescent="0.25">
      <c r="A10" s="260" t="s">
        <v>70</v>
      </c>
      <c r="B10" s="120"/>
      <c r="C10" s="119"/>
      <c r="D10" s="119" t="s">
        <v>21</v>
      </c>
      <c r="E10" s="119"/>
      <c r="F10" s="120"/>
      <c r="G10" s="119"/>
      <c r="H10" s="119" t="s">
        <v>22</v>
      </c>
      <c r="I10" s="119"/>
      <c r="J10" s="120"/>
      <c r="K10" s="119"/>
      <c r="L10" s="119" t="s">
        <v>23</v>
      </c>
      <c r="M10" s="320"/>
    </row>
    <row r="11" spans="1:35" s="122" customFormat="1" x14ac:dyDescent="0.25">
      <c r="A11" s="434" t="s">
        <v>82</v>
      </c>
      <c r="B11" s="129"/>
      <c r="C11" s="121" t="s">
        <v>79</v>
      </c>
      <c r="D11" s="121" t="s">
        <v>80</v>
      </c>
      <c r="E11" s="121" t="s">
        <v>81</v>
      </c>
      <c r="F11" s="129"/>
      <c r="G11" s="121" t="s">
        <v>79</v>
      </c>
      <c r="H11" s="121" t="s">
        <v>80</v>
      </c>
      <c r="I11" s="121" t="s">
        <v>81</v>
      </c>
      <c r="J11" s="129"/>
      <c r="K11" s="121" t="s">
        <v>79</v>
      </c>
      <c r="L11" s="121" t="s">
        <v>80</v>
      </c>
      <c r="M11" s="121" t="s">
        <v>81</v>
      </c>
    </row>
    <row r="12" spans="1:35" s="122" customFormat="1" ht="20" thickBot="1" x14ac:dyDescent="0.3">
      <c r="A12" s="431"/>
      <c r="B12" s="131" t="s">
        <v>142</v>
      </c>
      <c r="C12" s="123" t="s">
        <v>143</v>
      </c>
      <c r="D12" s="124" t="s">
        <v>144</v>
      </c>
      <c r="E12" s="124" t="s">
        <v>145</v>
      </c>
      <c r="F12" s="131" t="s">
        <v>142</v>
      </c>
      <c r="G12" s="123" t="s">
        <v>143</v>
      </c>
      <c r="H12" s="124" t="s">
        <v>144</v>
      </c>
      <c r="I12" s="124" t="s">
        <v>145</v>
      </c>
      <c r="J12" s="131" t="s">
        <v>142</v>
      </c>
      <c r="K12" s="123" t="s">
        <v>143</v>
      </c>
      <c r="L12" s="124" t="s">
        <v>144</v>
      </c>
      <c r="M12" s="124" t="s">
        <v>145</v>
      </c>
    </row>
    <row r="13" spans="1:35" s="144" customFormat="1" ht="20" thickTop="1" x14ac:dyDescent="0.25">
      <c r="A13" s="261" t="s">
        <v>133</v>
      </c>
      <c r="B13" s="198">
        <f>'Formular 4 step Y1'!T14</f>
        <v>126</v>
      </c>
      <c r="C13" s="197">
        <f>'Formular 4 step Y1'!T15</f>
        <v>127</v>
      </c>
      <c r="D13" s="198">
        <f>'Formular 4 step Y1'!T16</f>
        <v>128</v>
      </c>
      <c r="E13" s="198">
        <f>'Formular 4 step Y1'!T17</f>
        <v>129</v>
      </c>
      <c r="F13" s="198">
        <f>'Formular 4 step Y1'!U14</f>
        <v>129</v>
      </c>
      <c r="G13" s="196">
        <f>'Formular 4 step Y1'!U15</f>
        <v>130</v>
      </c>
      <c r="H13" s="198">
        <f>'Formular 4 step Y1'!U16</f>
        <v>131</v>
      </c>
      <c r="I13" s="198">
        <f>'Formular 4 step Y1'!U17</f>
        <v>132</v>
      </c>
      <c r="J13" s="198">
        <f>'Formular 4 step Y1'!V14</f>
        <v>120</v>
      </c>
      <c r="K13" s="196">
        <f>'Formular 4 step Y1'!V15</f>
        <v>121</v>
      </c>
      <c r="L13" s="198">
        <f>'Formular 4 step Y1'!V16</f>
        <v>122</v>
      </c>
      <c r="M13" s="198">
        <f>'Formular 4 step Y1'!V17</f>
        <v>123</v>
      </c>
    </row>
    <row r="14" spans="1:35" s="144" customFormat="1" x14ac:dyDescent="0.25">
      <c r="A14" s="249" t="s">
        <v>134</v>
      </c>
      <c r="B14" s="141">
        <f>'Formular 4 step Y1'!T39</f>
        <v>128</v>
      </c>
      <c r="C14" s="148">
        <f>'Formular 4 step Y1'!T40</f>
        <v>129</v>
      </c>
      <c r="D14" s="141">
        <f>'Formular 4 step Y1'!T41</f>
        <v>130</v>
      </c>
      <c r="E14" s="141">
        <f>'Formular 4 step Y1'!T42</f>
        <v>131</v>
      </c>
      <c r="F14" s="141">
        <f>'Formular 4 step Y1'!U39</f>
        <v>131</v>
      </c>
      <c r="G14" s="143">
        <f>'Formular 4 step Y1'!U40</f>
        <v>132</v>
      </c>
      <c r="H14" s="141">
        <f>'Formular 4 step Y1'!U41</f>
        <v>133</v>
      </c>
      <c r="I14" s="141">
        <f>'Formular 4 step Y1'!U42</f>
        <v>134</v>
      </c>
      <c r="J14" s="141">
        <f>'Formular 4 step Y1'!V39</f>
        <v>123</v>
      </c>
      <c r="K14" s="143">
        <f>'Formular 4 step Y1'!V40</f>
        <v>124</v>
      </c>
      <c r="L14" s="141">
        <f>'Formular 4 step Y1'!V41</f>
        <v>125</v>
      </c>
      <c r="M14" s="141">
        <f>'Formular 4 step Y1'!V42</f>
        <v>126</v>
      </c>
    </row>
    <row r="15" spans="1:35" s="144" customFormat="1" x14ac:dyDescent="0.25">
      <c r="A15" s="250" t="s">
        <v>135</v>
      </c>
      <c r="B15" s="141">
        <f>'Formular 4 step Y1'!T64</f>
        <v>189</v>
      </c>
      <c r="C15" s="148">
        <f>'Formular 4 step Y1'!T65</f>
        <v>190</v>
      </c>
      <c r="D15" s="141">
        <f>'Formular 4 step Y1'!T66</f>
        <v>191</v>
      </c>
      <c r="E15" s="141">
        <f>'Formular 4 step Y1'!T67</f>
        <v>192</v>
      </c>
      <c r="F15" s="141">
        <f>'Formular 4 step Y1'!U64</f>
        <v>192</v>
      </c>
      <c r="G15" s="143">
        <f>'Formular 4 step Y1'!U65</f>
        <v>193</v>
      </c>
      <c r="H15" s="141">
        <f>'Formular 4 step Y1'!U66</f>
        <v>194</v>
      </c>
      <c r="I15" s="141">
        <f>'Formular 4 step Y1'!U67</f>
        <v>195</v>
      </c>
      <c r="J15" s="141">
        <f>'Formular 4 step Y1'!V64</f>
        <v>184</v>
      </c>
      <c r="K15" s="143">
        <f>'Formular 4 step Y1'!V65</f>
        <v>185</v>
      </c>
      <c r="L15" s="141">
        <f>'Formular 4 step Y1'!V66</f>
        <v>186</v>
      </c>
      <c r="M15" s="141">
        <f>'Formular 4 step Y1'!V67</f>
        <v>187</v>
      </c>
    </row>
    <row r="16" spans="1:35" s="144" customFormat="1" x14ac:dyDescent="0.25">
      <c r="A16" s="250" t="s">
        <v>136</v>
      </c>
      <c r="B16" s="141">
        <f>'Formular 4 step Y1'!T89</f>
        <v>190</v>
      </c>
      <c r="C16" s="148">
        <f>'Formular 4 step Y1'!T90</f>
        <v>191</v>
      </c>
      <c r="D16" s="141">
        <f>'Formular 4 step Y1'!T91</f>
        <v>192</v>
      </c>
      <c r="E16" s="141">
        <f>'Formular 4 step Y1'!T92</f>
        <v>193</v>
      </c>
      <c r="F16" s="141">
        <f>'Formular 4 step Y1'!U89</f>
        <v>193</v>
      </c>
      <c r="G16" s="143">
        <f>'Formular 4 step Y1'!U90</f>
        <v>194</v>
      </c>
      <c r="H16" s="141">
        <f>'Formular 4 step Y1'!U91</f>
        <v>195</v>
      </c>
      <c r="I16" s="141">
        <f>'Formular 4 step Y1'!U92</f>
        <v>196</v>
      </c>
      <c r="J16" s="141">
        <f>'Formular 4 step Y1'!V89</f>
        <v>184</v>
      </c>
      <c r="K16" s="143">
        <f>'Formular 4 step Y1'!V90</f>
        <v>185</v>
      </c>
      <c r="L16" s="141">
        <f>'Formular 4 step Y1'!V91</f>
        <v>186</v>
      </c>
      <c r="M16" s="141">
        <f>'Formular 4 step Y1'!V92</f>
        <v>187</v>
      </c>
    </row>
    <row r="17" spans="1:13" s="144" customFormat="1" x14ac:dyDescent="0.25">
      <c r="A17" s="250" t="s">
        <v>137</v>
      </c>
      <c r="B17" s="141">
        <f>'Formular 4 step Y1'!T114</f>
        <v>149</v>
      </c>
      <c r="C17" s="148">
        <f>'Formular 4 step Y1'!T115</f>
        <v>150</v>
      </c>
      <c r="D17" s="141">
        <f>'Formular 4 step Y1'!T116</f>
        <v>151</v>
      </c>
      <c r="E17" s="141">
        <f>'Formular 4 step Y1'!T117</f>
        <v>152</v>
      </c>
      <c r="F17" s="141">
        <f>'Formular 4 step Y1'!U114</f>
        <v>154</v>
      </c>
      <c r="G17" s="143">
        <f>'Formular 4 step Y1'!U115</f>
        <v>155</v>
      </c>
      <c r="H17" s="141">
        <f>'Formular 4 step Y1'!U116</f>
        <v>156</v>
      </c>
      <c r="I17" s="141">
        <f>'Formular 4 step Y1'!U117</f>
        <v>157</v>
      </c>
      <c r="J17" s="141">
        <f>'Formular 4 step Y1'!V114</f>
        <v>142</v>
      </c>
      <c r="K17" s="143">
        <f>'Formular 4 step Y1'!V115</f>
        <v>143</v>
      </c>
      <c r="L17" s="141">
        <f>'Formular 4 step Y1'!V116</f>
        <v>144</v>
      </c>
      <c r="M17" s="141">
        <f>'Formular 4 step Y1'!V117</f>
        <v>145</v>
      </c>
    </row>
    <row r="18" spans="1:13" s="144" customFormat="1" x14ac:dyDescent="0.25">
      <c r="A18" s="250" t="s">
        <v>138</v>
      </c>
      <c r="B18" s="141">
        <f>'Formular 4 step Y1'!T139</f>
        <v>212</v>
      </c>
      <c r="C18" s="148">
        <f>'Formular 4 step Y1'!T140</f>
        <v>213</v>
      </c>
      <c r="D18" s="141">
        <f>'Formular 4 step Y1'!T141</f>
        <v>214</v>
      </c>
      <c r="E18" s="141">
        <f>'Formular 4 step Y1'!T141</f>
        <v>214</v>
      </c>
      <c r="F18" s="141">
        <f>'Formular 4 step Y1'!U139</f>
        <v>216</v>
      </c>
      <c r="G18" s="143">
        <f>'Formular 4 step Y1'!U140</f>
        <v>217</v>
      </c>
      <c r="H18" s="141">
        <f>'Formular 4 step Y1'!U141</f>
        <v>218</v>
      </c>
      <c r="I18" s="141">
        <f>'Formular 4 step Y1'!U141</f>
        <v>218</v>
      </c>
      <c r="J18" s="141">
        <f>'Formular 4 step Y1'!V139</f>
        <v>204</v>
      </c>
      <c r="K18" s="143">
        <f>'Formular 4 step Y1'!V140</f>
        <v>205</v>
      </c>
      <c r="L18" s="141">
        <f>'Formular 4 step Y1'!V141</f>
        <v>206</v>
      </c>
      <c r="M18" s="141">
        <f>'Formular 4 step Y1'!V141</f>
        <v>206</v>
      </c>
    </row>
    <row r="19" spans="1:13" s="144" customFormat="1" x14ac:dyDescent="0.25">
      <c r="A19" s="250" t="s">
        <v>139</v>
      </c>
      <c r="B19" s="140">
        <f>'Formular 4 step Y1'!T838</f>
        <v>218</v>
      </c>
      <c r="C19" s="141">
        <f>'Formular 4 step Y1'!T839</f>
        <v>219</v>
      </c>
      <c r="D19" s="141">
        <f>'Formular 4 step Y1'!T840</f>
        <v>220</v>
      </c>
      <c r="E19" s="141">
        <f>'Formular 4 step Y1'!T841</f>
        <v>221</v>
      </c>
      <c r="F19" s="141">
        <f>'Formular 4 step Y1'!U838</f>
        <v>226</v>
      </c>
      <c r="G19" s="143">
        <f>'Formular 4 step Y1'!U839</f>
        <v>227</v>
      </c>
      <c r="H19" s="143">
        <f>'Formular 4 step Y1'!U840</f>
        <v>228</v>
      </c>
      <c r="I19" s="143">
        <f>'Formular 4 step Y1'!U841</f>
        <v>229</v>
      </c>
      <c r="J19" s="141">
        <f>'Formular 4 step Y1'!V838</f>
        <v>204</v>
      </c>
      <c r="K19" s="143">
        <f>'Formular 4 step Y1'!V839</f>
        <v>205</v>
      </c>
      <c r="L19" s="141">
        <f>'Formular 4 step Y1'!V840</f>
        <v>206</v>
      </c>
      <c r="M19" s="141">
        <f>'Formular 4 step Y1'!V841</f>
        <v>207</v>
      </c>
    </row>
    <row r="20" spans="1:13" s="144" customFormat="1" x14ac:dyDescent="0.25">
      <c r="A20" s="250" t="s">
        <v>114</v>
      </c>
      <c r="B20" s="141">
        <f>'Formular 4 step Y1'!T164</f>
        <v>259</v>
      </c>
      <c r="C20" s="148">
        <f>'Formular 4 step Y1'!T165</f>
        <v>262</v>
      </c>
      <c r="D20" s="141">
        <f>'Formular 4 step Y1'!T166</f>
        <v>267</v>
      </c>
      <c r="E20" s="141">
        <f>'Formular 4 step Y1'!T167</f>
        <v>272</v>
      </c>
      <c r="F20" s="141">
        <f>'Formular 4 step Y1'!U164</f>
        <v>263</v>
      </c>
      <c r="G20" s="143">
        <f>'Formular 4 step Y1'!U165</f>
        <v>266</v>
      </c>
      <c r="H20" s="143">
        <f>'Formular 4 step Y1'!U166</f>
        <v>271</v>
      </c>
      <c r="I20" s="143">
        <f>'Formular 4 step Y1'!U167</f>
        <v>276</v>
      </c>
      <c r="J20" s="141">
        <f>'Formular 4 step Y1'!V164</f>
        <v>251</v>
      </c>
      <c r="K20" s="143">
        <f>'Formular 4 step Y1'!V165</f>
        <v>254</v>
      </c>
      <c r="L20" s="141">
        <f>'Formular 4 step Y1'!V166</f>
        <v>259</v>
      </c>
      <c r="M20" s="141">
        <f>'Formular 4 step Y1'!V167</f>
        <v>264</v>
      </c>
    </row>
    <row r="21" spans="1:13" s="144" customFormat="1" x14ac:dyDescent="0.25">
      <c r="A21" s="250" t="s">
        <v>115</v>
      </c>
      <c r="B21" s="141">
        <f>'Formular 4 step Y1'!T189</f>
        <v>293</v>
      </c>
      <c r="C21" s="148">
        <f>'Formular 4 step Y1'!T190</f>
        <v>296</v>
      </c>
      <c r="D21" s="141">
        <f>'Formular 4 step Y1'!T191</f>
        <v>301</v>
      </c>
      <c r="E21" s="141">
        <f>'Formular 4 step Y1'!T192</f>
        <v>306</v>
      </c>
      <c r="F21" s="141">
        <f>'Formular 4 step Y1'!U189</f>
        <v>301</v>
      </c>
      <c r="G21" s="143">
        <f>'Formular 4 step Y1'!U190</f>
        <v>304</v>
      </c>
      <c r="H21" s="143">
        <f>'Formular 4 step Y1'!U191</f>
        <v>309</v>
      </c>
      <c r="I21" s="143">
        <f>'Formular 4 step Y1'!U192</f>
        <v>314</v>
      </c>
      <c r="J21" s="141">
        <f>'Formular 4 step Y1'!V189</f>
        <v>280</v>
      </c>
      <c r="K21" s="143">
        <f>'Formular 4 step Y1'!V190</f>
        <v>283</v>
      </c>
      <c r="L21" s="141">
        <f>'Formular 4 step Y1'!V191</f>
        <v>288</v>
      </c>
      <c r="M21" s="141">
        <f>'Formular 4 step Y1'!V192</f>
        <v>293</v>
      </c>
    </row>
    <row r="22" spans="1:13" s="144" customFormat="1" x14ac:dyDescent="0.25">
      <c r="A22" s="250" t="s">
        <v>218</v>
      </c>
      <c r="B22" s="141">
        <f>'Formular 4 step Y1'!T863</f>
        <v>183.01762080000003</v>
      </c>
      <c r="C22" s="148">
        <f>'Formular 4 step Y1'!T864</f>
        <v>184.71222840000004</v>
      </c>
      <c r="D22" s="141">
        <f>'Formular 4 step Y1'!T865</f>
        <v>189.79605120000005</v>
      </c>
      <c r="E22" s="141">
        <f>'Formular 4 step Y1'!T866</f>
        <v>194.879874</v>
      </c>
      <c r="F22" s="141">
        <f>'Formular 4 step Y1'!U863</f>
        <v>186.25762080000004</v>
      </c>
      <c r="G22" s="143">
        <f>'Formular 4 step Y1'!U864</f>
        <v>187.98222840000003</v>
      </c>
      <c r="H22" s="143">
        <f>'Formular 4 step Y1'!U865</f>
        <v>193.15605120000004</v>
      </c>
      <c r="I22" s="143">
        <f>'Formular 4 step Y1'!U866</f>
        <v>198.32987400000002</v>
      </c>
      <c r="J22" s="141">
        <f>'Formular 4 step Y1'!V863</f>
        <v>177.34762080000004</v>
      </c>
      <c r="K22" s="143">
        <f>'Formular 4 step Y1'!V864</f>
        <v>178.98972840000005</v>
      </c>
      <c r="L22" s="141">
        <f>'Formular 4 step Y1'!V865</f>
        <v>183.91605120000006</v>
      </c>
      <c r="M22" s="141">
        <f>'Formular 4 step Y1'!V866</f>
        <v>188.84237400000001</v>
      </c>
    </row>
    <row r="23" spans="1:13" s="144" customFormat="1" x14ac:dyDescent="0.25">
      <c r="A23" s="250" t="s">
        <v>128</v>
      </c>
      <c r="B23" s="190">
        <f>'Formular 4 step Y1'!T738</f>
        <v>110</v>
      </c>
      <c r="C23" s="189">
        <f>'Formular 4 step Y1'!T739</f>
        <v>111</v>
      </c>
      <c r="D23" s="190">
        <f>'Formular 4 step Y1'!T740</f>
        <v>112</v>
      </c>
      <c r="E23" s="190">
        <f>'Formular 4 step Y1'!T741</f>
        <v>113</v>
      </c>
      <c r="F23" s="141">
        <f>'Formular 4 step Y1'!U738</f>
        <v>110</v>
      </c>
      <c r="G23" s="143">
        <f>'Formular 4 step Y1'!U739</f>
        <v>111</v>
      </c>
      <c r="H23" s="143">
        <f>'Formular 4 step Y1'!U740</f>
        <v>112</v>
      </c>
      <c r="I23" s="143">
        <f>'Formular 4 step Y1'!U741</f>
        <v>113</v>
      </c>
      <c r="J23" s="190">
        <f>'Formular 4 step Y1'!V738</f>
        <v>109</v>
      </c>
      <c r="K23" s="188">
        <f>'Formular 4 step Y1'!V739</f>
        <v>110</v>
      </c>
      <c r="L23" s="190">
        <f>'Formular 4 step Y1'!V740</f>
        <v>111</v>
      </c>
      <c r="M23" s="190">
        <f>'Formular 4 step Y1'!V741</f>
        <v>112</v>
      </c>
    </row>
    <row r="24" spans="1:13" s="144" customFormat="1" x14ac:dyDescent="0.25">
      <c r="A24" s="250" t="s">
        <v>130</v>
      </c>
      <c r="B24" s="190">
        <f>'Formular 4 step Y1'!T763</f>
        <v>169</v>
      </c>
      <c r="C24" s="189">
        <f>'Formular 4 step Y1'!T764</f>
        <v>170</v>
      </c>
      <c r="D24" s="190">
        <f>'Formular 4 step Y1'!T765</f>
        <v>171</v>
      </c>
      <c r="E24" s="190">
        <f>'Formular 4 step Y1'!T766</f>
        <v>172</v>
      </c>
      <c r="F24" s="141">
        <f>'Formular 4 step Y1'!U763</f>
        <v>169</v>
      </c>
      <c r="G24" s="143">
        <f>'Formular 4 step Y1'!U764</f>
        <v>170</v>
      </c>
      <c r="H24" s="143">
        <f>'Formular 4 step Y1'!U765</f>
        <v>171</v>
      </c>
      <c r="I24" s="143">
        <f>'Formular 4 step Y1'!U766</f>
        <v>172</v>
      </c>
      <c r="J24" s="190">
        <f>'Formular 4 step Y1'!V763</f>
        <v>168</v>
      </c>
      <c r="K24" s="188">
        <f>'Formular 4 step Y1'!V764</f>
        <v>169</v>
      </c>
      <c r="L24" s="190">
        <f>'Formular 4 step Y1'!V765</f>
        <v>170</v>
      </c>
      <c r="M24" s="190">
        <f>'Formular 4 step Y1'!V766</f>
        <v>171</v>
      </c>
    </row>
    <row r="25" spans="1:13" s="144" customFormat="1" x14ac:dyDescent="0.25">
      <c r="A25" s="250" t="s">
        <v>116</v>
      </c>
      <c r="B25" s="213">
        <f>'Formular 4 step Y1'!T788</f>
        <v>260</v>
      </c>
      <c r="C25" s="213">
        <f>'Formular 4 step Y1'!T789</f>
        <v>261</v>
      </c>
      <c r="D25" s="213">
        <f>'Formular 4 step Y1'!T790</f>
        <v>262</v>
      </c>
      <c r="E25" s="213">
        <f>'Formular 4 step Y1'!T791</f>
        <v>263</v>
      </c>
      <c r="F25" s="213">
        <f>'Formular 4 step Y1'!U788</f>
        <v>263</v>
      </c>
      <c r="G25" s="213">
        <f>'Formular 4 step Y1'!U789</f>
        <v>264</v>
      </c>
      <c r="H25" s="213">
        <f>'Formular 4 step Y1'!U790</f>
        <v>265</v>
      </c>
      <c r="I25" s="213">
        <f>'Formular 4 step Y1'!U791</f>
        <v>266</v>
      </c>
      <c r="J25" s="213">
        <f>'Formular 4 step Y1'!V788</f>
        <v>255</v>
      </c>
      <c r="K25" s="213">
        <f>'Formular 4 step Y1'!V789</f>
        <v>256</v>
      </c>
      <c r="L25" s="213">
        <f>'Formular 4 step Y1'!V790</f>
        <v>257</v>
      </c>
      <c r="M25" s="213">
        <f>'Formular 4 step Y1'!V791</f>
        <v>258</v>
      </c>
    </row>
    <row r="26" spans="1:13" s="144" customFormat="1" x14ac:dyDescent="0.25">
      <c r="A26" s="250" t="s">
        <v>117</v>
      </c>
      <c r="B26" s="140">
        <f>'Formular 4 step Y1'!T813</f>
        <v>409</v>
      </c>
      <c r="C26" s="141">
        <f>'Formular 4 step Y1'!T814</f>
        <v>410</v>
      </c>
      <c r="D26" s="141">
        <f>'Formular 4 step Y1'!T815</f>
        <v>411</v>
      </c>
      <c r="E26" s="141">
        <f>'Formular 4 step Y1'!T816</f>
        <v>412</v>
      </c>
      <c r="F26" s="140">
        <f>'Formular 4 step Y1'!U813</f>
        <v>412</v>
      </c>
      <c r="G26" s="141">
        <f>'Formular 4 step Y1'!U814</f>
        <v>413</v>
      </c>
      <c r="H26" s="141">
        <f>'Formular 4 step Y1'!U815</f>
        <v>414</v>
      </c>
      <c r="I26" s="141">
        <f>'Formular 4 step Y1'!U816</f>
        <v>415</v>
      </c>
      <c r="J26" s="140">
        <f>'Formular 4 step Y1'!V813</f>
        <v>404</v>
      </c>
      <c r="K26" s="141">
        <f>'Formular 4 step Y1'!V814</f>
        <v>405</v>
      </c>
      <c r="L26" s="141">
        <f>'Formular 4 step Y1'!V815</f>
        <v>406</v>
      </c>
      <c r="M26" s="141">
        <f>'Formular 4 step Y1'!V816</f>
        <v>407</v>
      </c>
    </row>
    <row r="27" spans="1:13" s="144" customFormat="1" x14ac:dyDescent="0.25">
      <c r="A27" s="250" t="s">
        <v>217</v>
      </c>
      <c r="B27" s="141">
        <f>'Formular 4 step Y1'!T214</f>
        <v>910</v>
      </c>
      <c r="C27" s="148">
        <f>'Formular 4 step Y1'!T215</f>
        <v>913</v>
      </c>
      <c r="D27" s="141">
        <f>'Formular 4 step Y1'!T216</f>
        <v>923</v>
      </c>
      <c r="E27" s="141">
        <f>'Formular 4 step Y1'!T217</f>
        <v>933</v>
      </c>
      <c r="F27" s="141">
        <f>'Formular 4 step Y1'!U214</f>
        <v>914</v>
      </c>
      <c r="G27" s="143">
        <f>'Formular 4 step Y1'!U215</f>
        <v>917</v>
      </c>
      <c r="H27" s="141">
        <f>'Formular 4 step Y1'!U216</f>
        <v>927</v>
      </c>
      <c r="I27" s="141">
        <f>'Formular 4 step Y1'!U217</f>
        <v>937</v>
      </c>
      <c r="J27" s="141">
        <f>'Formular 4 step Y1'!V214</f>
        <v>903</v>
      </c>
      <c r="K27" s="143">
        <f>'Formular 4 step Y1'!V215</f>
        <v>906</v>
      </c>
      <c r="L27" s="141">
        <f>'Formular 4 step Y1'!V216</f>
        <v>916</v>
      </c>
      <c r="M27" s="141">
        <f>'Formular 4 step Y1'!V217</f>
        <v>926</v>
      </c>
    </row>
    <row r="28" spans="1:13" s="144" customFormat="1" x14ac:dyDescent="0.25">
      <c r="A28" s="250" t="s">
        <v>209</v>
      </c>
      <c r="B28" s="304">
        <f>'Formular 4 step Y1'!T239</f>
        <v>22.267906</v>
      </c>
      <c r="C28" s="148">
        <f>'Formular 4 step Y1'!T240</f>
        <v>23</v>
      </c>
      <c r="D28" s="141">
        <f>'Formular 4 step Y1'!T241</f>
        <v>24</v>
      </c>
      <c r="E28" s="141">
        <f>'Formular 4 step Y1'!T242</f>
        <v>25</v>
      </c>
      <c r="F28" s="304">
        <f>'Formular 4 step Y1'!U239</f>
        <v>22.267906</v>
      </c>
      <c r="G28" s="143">
        <f>'Formular 4 step Y1'!U240</f>
        <v>23</v>
      </c>
      <c r="H28" s="141">
        <f>'Formular 4 step Y1'!U241</f>
        <v>24</v>
      </c>
      <c r="I28" s="141">
        <f>'Formular 4 step Y1'!U242</f>
        <v>25</v>
      </c>
      <c r="J28" s="304">
        <f>'Formular 4 step Y1'!V239</f>
        <v>22.167905999999999</v>
      </c>
      <c r="K28" s="143">
        <f>'Formular 4 step Y1'!V240</f>
        <v>23</v>
      </c>
      <c r="L28" s="141">
        <f>'Formular 4 step Y1'!V241</f>
        <v>24</v>
      </c>
      <c r="M28" s="141">
        <f>'Formular 4 step Y1'!V242</f>
        <v>25</v>
      </c>
    </row>
    <row r="29" spans="1:13" s="144" customFormat="1" x14ac:dyDescent="0.25">
      <c r="A29" s="250" t="s">
        <v>210</v>
      </c>
      <c r="B29" s="304">
        <f>'Formular 4 step Y1'!T264</f>
        <v>21.502428000000002</v>
      </c>
      <c r="C29" s="148">
        <f>'Formular 4 step Y1'!T265</f>
        <v>23</v>
      </c>
      <c r="D29" s="141">
        <f>'Formular 4 step Y1'!T266</f>
        <v>24</v>
      </c>
      <c r="E29" s="141">
        <f>'Formular 4 step Y1'!T267</f>
        <v>25</v>
      </c>
      <c r="F29" s="304">
        <f>'Formular 4 step Y1'!U264</f>
        <v>21.502428000000002</v>
      </c>
      <c r="G29" s="143">
        <f>'Formular 4 step Y1'!U265</f>
        <v>23</v>
      </c>
      <c r="H29" s="141">
        <f>'Formular 4 step Y1'!U266</f>
        <v>24</v>
      </c>
      <c r="I29" s="141">
        <f>'Formular 4 step Y1'!U267</f>
        <v>25</v>
      </c>
      <c r="J29" s="304">
        <f>'Formular 4 step Y1'!V264</f>
        <v>21.402428</v>
      </c>
      <c r="K29" s="143">
        <f>'Formular 4 step Y1'!V265</f>
        <v>22</v>
      </c>
      <c r="L29" s="141">
        <f>'Formular 4 step Y1'!V266</f>
        <v>23</v>
      </c>
      <c r="M29" s="141">
        <f>'Formular 4 step Y1'!V267</f>
        <v>24</v>
      </c>
    </row>
    <row r="30" spans="1:13" s="133" customFormat="1" x14ac:dyDescent="0.25">
      <c r="A30" s="258" t="s">
        <v>233</v>
      </c>
      <c r="B30" s="304">
        <f>'Formular 4 step Y1'!T264</f>
        <v>21.502428000000002</v>
      </c>
      <c r="C30" s="148">
        <f>'Formular 4 step Y1'!T265</f>
        <v>23</v>
      </c>
      <c r="D30" s="141">
        <f>'Formular 4 step Y1'!T266</f>
        <v>24</v>
      </c>
      <c r="E30" s="141">
        <f>'Formular 4 step Y1'!T267</f>
        <v>25</v>
      </c>
      <c r="F30" s="304">
        <f>'Formular 4 step Y1'!U264</f>
        <v>21.502428000000002</v>
      </c>
      <c r="G30" s="143">
        <f>'Formular 4 step Y1'!U265</f>
        <v>23</v>
      </c>
      <c r="H30" s="141">
        <f>'Formular 4 step Y1'!U266</f>
        <v>24</v>
      </c>
      <c r="I30" s="141">
        <f>'Formular 4 step Y1'!U267</f>
        <v>25</v>
      </c>
      <c r="J30" s="304">
        <f>'Formular 4 step Y1'!V264</f>
        <v>21.402428</v>
      </c>
      <c r="K30" s="143">
        <f>'Formular 4 step Y1'!V265</f>
        <v>22</v>
      </c>
      <c r="L30" s="141">
        <f>'Formular 4 step Y1'!V266</f>
        <v>23</v>
      </c>
      <c r="M30" s="141">
        <f>'Formular 4 step Y1'!V267</f>
        <v>24</v>
      </c>
    </row>
    <row r="31" spans="1:13" s="144" customFormat="1" x14ac:dyDescent="0.25">
      <c r="A31" s="250" t="s">
        <v>211</v>
      </c>
      <c r="B31" s="141">
        <f>'Formular 4 step Y1'!T289</f>
        <v>25.329818</v>
      </c>
      <c r="C31" s="148">
        <f>'Formular 4 step Y1'!T290</f>
        <v>26</v>
      </c>
      <c r="D31" s="141">
        <f>'Formular 4 step Y1'!T291</f>
        <v>27</v>
      </c>
      <c r="E31" s="141">
        <f>'Formular 4 step Y1'!T292</f>
        <v>28</v>
      </c>
      <c r="F31" s="141">
        <f>'Formular 4 step Y1'!U289</f>
        <v>25.329818</v>
      </c>
      <c r="G31" s="143">
        <f>'Formular 4 step Y1'!U290</f>
        <v>26</v>
      </c>
      <c r="H31" s="141">
        <f>'Formular 4 step Y1'!U291</f>
        <v>27</v>
      </c>
      <c r="I31" s="141">
        <f>'Formular 4 step Y1'!U292</f>
        <v>28</v>
      </c>
      <c r="J31" s="141">
        <f>'Formular 4 step Y1'!V289</f>
        <v>25.229817999999998</v>
      </c>
      <c r="K31" s="143">
        <f>'Formular 4 step Y1'!V290</f>
        <v>26</v>
      </c>
      <c r="L31" s="141">
        <f>'Formular 4 step Y1'!V291</f>
        <v>27</v>
      </c>
      <c r="M31" s="141">
        <f>'Formular 4 step Y1'!V292</f>
        <v>28</v>
      </c>
    </row>
    <row r="32" spans="1:13" s="144" customFormat="1" x14ac:dyDescent="0.25">
      <c r="A32" s="250" t="s">
        <v>212</v>
      </c>
      <c r="B32" s="141">
        <f>'Formular 4 step Y1'!T338</f>
        <v>52</v>
      </c>
      <c r="C32" s="148">
        <f>'Formular 4 step Y1'!T339</f>
        <v>53</v>
      </c>
      <c r="D32" s="141">
        <f>'Formular 4 step Y1'!T340</f>
        <v>54</v>
      </c>
      <c r="E32" s="141">
        <f>'Formular 4 step Y1'!T341</f>
        <v>56</v>
      </c>
      <c r="F32" s="141">
        <f>'Formular 4 step Y1'!U338</f>
        <v>52</v>
      </c>
      <c r="G32" s="143">
        <f>'Formular 4 step Y1'!U339</f>
        <v>53</v>
      </c>
      <c r="H32" s="141">
        <f>'Formular 4 step Y1'!U340</f>
        <v>54</v>
      </c>
      <c r="I32" s="141">
        <f>'Formular 4 step Y1'!U341</f>
        <v>56</v>
      </c>
      <c r="J32" s="141">
        <f>'Formular 4 step Y1'!V338</f>
        <v>52</v>
      </c>
      <c r="K32" s="143">
        <f>'Formular 4 step Y1'!V339</f>
        <v>53</v>
      </c>
      <c r="L32" s="141">
        <f>'Formular 4 step Y1'!V340</f>
        <v>54</v>
      </c>
      <c r="M32" s="141">
        <f>'Formular 4 step Y1'!V341</f>
        <v>56</v>
      </c>
    </row>
    <row r="33" spans="1:13" s="144" customFormat="1" x14ac:dyDescent="0.25">
      <c r="A33" s="250" t="s">
        <v>213</v>
      </c>
      <c r="B33" s="141">
        <f>'Formular 4 step Y1'!T888</f>
        <v>52.934609580000007</v>
      </c>
      <c r="C33" s="148">
        <f>'Formular 4 step Y1'!T889</f>
        <v>53.5</v>
      </c>
      <c r="D33" s="141">
        <f>'Formular 4 step Y1'!T890</f>
        <v>54.391525440000002</v>
      </c>
      <c r="E33" s="141">
        <f>'Formular 4 step Y1'!T891</f>
        <v>55.848441299999998</v>
      </c>
      <c r="F33" s="141">
        <f>'Formular 4 step Y1'!U888</f>
        <v>53.098109579999999</v>
      </c>
      <c r="G33" s="143">
        <f>'Formular 4 step Y1'!U889</f>
        <v>53.5</v>
      </c>
      <c r="H33" s="141">
        <f>'Formular 4 step Y1'!U890</f>
        <v>54.559525440000002</v>
      </c>
      <c r="I33" s="141">
        <f>'Formular 4 step Y1'!U891</f>
        <v>56.020941299999997</v>
      </c>
      <c r="J33" s="141">
        <f>'Formular 4 step Y1'!V888</f>
        <v>52.771109580000008</v>
      </c>
      <c r="K33" s="143">
        <f>'Formular 4 step Y1'!V889</f>
        <v>53.5</v>
      </c>
      <c r="L33" s="141">
        <f>'Formular 4 step Y1'!V890</f>
        <v>54.22352544000001</v>
      </c>
      <c r="M33" s="141">
        <f>'Formular 4 step Y1'!V891</f>
        <v>55.675941299999998</v>
      </c>
    </row>
    <row r="34" spans="1:13" s="144" customFormat="1" x14ac:dyDescent="0.25">
      <c r="A34" s="250" t="s">
        <v>214</v>
      </c>
      <c r="B34" s="141">
        <f>'Formular 4 step Y1'!T363</f>
        <v>31</v>
      </c>
      <c r="C34" s="148">
        <f>'Formular 4 step Y1'!T364</f>
        <v>32</v>
      </c>
      <c r="D34" s="141">
        <f>'Formular 4 step Y1'!T365</f>
        <v>34</v>
      </c>
      <c r="E34" s="141">
        <f>'Formular 4 step Y1'!T366</f>
        <v>35</v>
      </c>
      <c r="F34" s="141">
        <f>'Formular 4 step Y1'!U363</f>
        <v>32</v>
      </c>
      <c r="G34" s="143">
        <f>'Formular 4 step Y1'!U364</f>
        <v>33</v>
      </c>
      <c r="H34" s="141">
        <f>'Formular 4 step Y1'!U365</f>
        <v>35</v>
      </c>
      <c r="I34" s="141">
        <f>'Formular 4 step Y1'!U366</f>
        <v>36</v>
      </c>
      <c r="J34" s="141">
        <f>'Formular 4 step Y1'!V363</f>
        <v>31</v>
      </c>
      <c r="K34" s="143">
        <f>'Formular 4 step Y1'!V364</f>
        <v>32</v>
      </c>
      <c r="L34" s="141">
        <f>'Formular 4 step Y1'!V365</f>
        <v>34</v>
      </c>
      <c r="M34" s="141">
        <f>'Formular 4 step Y1'!V366</f>
        <v>35</v>
      </c>
    </row>
    <row r="35" spans="1:13" s="144" customFormat="1" x14ac:dyDescent="0.25">
      <c r="A35" s="250" t="s">
        <v>215</v>
      </c>
      <c r="B35" s="141">
        <f>'Formular 4 step Y1'!T388</f>
        <v>64</v>
      </c>
      <c r="C35" s="148">
        <f>'Formular 4 step Y1'!T389</f>
        <v>65</v>
      </c>
      <c r="D35" s="141">
        <f>'Formular 4 step Y1'!T390</f>
        <v>66</v>
      </c>
      <c r="E35" s="141">
        <f>'Formular 4 step Y1'!T391</f>
        <v>68</v>
      </c>
      <c r="F35" s="141">
        <f>'Formular 4 step Y1'!U388</f>
        <v>64</v>
      </c>
      <c r="G35" s="143">
        <f>'Formular 4 step Y1'!U389</f>
        <v>65</v>
      </c>
      <c r="H35" s="141">
        <f>'Formular 4 step Y1'!U390</f>
        <v>66</v>
      </c>
      <c r="I35" s="141">
        <f>'Formular 4 step Y1'!U391</f>
        <v>68</v>
      </c>
      <c r="J35" s="141">
        <f>'Formular 4 step Y1'!V388</f>
        <v>64</v>
      </c>
      <c r="K35" s="143">
        <f>'Formular 4 step Y1'!V389</f>
        <v>65</v>
      </c>
      <c r="L35" s="141">
        <f>'Formular 4 step Y1'!V390</f>
        <v>66</v>
      </c>
      <c r="M35" s="141">
        <f>'Formular 4 step Y1'!V391</f>
        <v>68</v>
      </c>
    </row>
    <row r="36" spans="1:13" s="144" customFormat="1" x14ac:dyDescent="0.25">
      <c r="A36" s="250" t="s">
        <v>216</v>
      </c>
      <c r="B36" s="141">
        <f>'Formular 4 step Y1'!T913</f>
        <v>71.82796980000002</v>
      </c>
      <c r="C36" s="148">
        <f>'Formular 4 step Y1'!T914</f>
        <v>73</v>
      </c>
      <c r="D36" s="141">
        <f>'Formular 4 step Y1'!T915</f>
        <v>73.804886400000029</v>
      </c>
      <c r="E36" s="141">
        <f>'Formular 4 step Y1'!T916</f>
        <v>75.781803000000011</v>
      </c>
      <c r="F36" s="141">
        <f>'Formular 4 step Y1'!U913</f>
        <v>71.991469800000019</v>
      </c>
      <c r="G36" s="143">
        <f>'Formular 4 step Y1'!U914</f>
        <v>72.65194200000002</v>
      </c>
      <c r="H36" s="141">
        <f>'Formular 4 step Y1'!U915</f>
        <v>73.972886400000021</v>
      </c>
      <c r="I36" s="141">
        <f>'Formular 4 step Y1'!U916</f>
        <v>75.95430300000001</v>
      </c>
      <c r="J36" s="141">
        <f>'Formular 4 step Y1'!V913</f>
        <v>71.66446980000002</v>
      </c>
      <c r="K36" s="143">
        <f>'Formular 4 step Y1'!V914</f>
        <v>73</v>
      </c>
      <c r="L36" s="141">
        <f>'Formular 4 step Y1'!V915</f>
        <v>73.636886400000023</v>
      </c>
      <c r="M36" s="141">
        <f>'Formular 4 step Y1'!V916</f>
        <v>75.609303000000011</v>
      </c>
    </row>
    <row r="37" spans="1:13" x14ac:dyDescent="0.25">
      <c r="A37" s="262" t="s">
        <v>84</v>
      </c>
      <c r="B37" s="76">
        <f>'Formular 4 step Y1'!T413</f>
        <v>189</v>
      </c>
      <c r="C37" s="91">
        <f>'Formular 4 step Y1'!T414</f>
        <v>190</v>
      </c>
      <c r="D37" s="76">
        <f>'Formular 4 step Y1'!T415</f>
        <v>195</v>
      </c>
      <c r="E37" s="76">
        <f>'Formular 4 step Y1'!T416</f>
        <v>200</v>
      </c>
      <c r="F37" s="76">
        <f>'Formular 4 step Y1'!U413</f>
        <v>189</v>
      </c>
      <c r="G37" s="85">
        <f>'Formular 4 step Y1'!U414</f>
        <v>190</v>
      </c>
      <c r="H37" s="76">
        <f>'Formular 4 step Y1'!U415</f>
        <v>195</v>
      </c>
      <c r="I37" s="76">
        <f>'Formular 4 step Y1'!U416</f>
        <v>200</v>
      </c>
      <c r="J37" s="76">
        <f>'Formular 4 step Y1'!V413</f>
        <v>188</v>
      </c>
      <c r="K37" s="85">
        <f>'Formular 4 step Y1'!V414</f>
        <v>189</v>
      </c>
      <c r="L37" s="76">
        <f>'Formular 4 step Y1'!V415</f>
        <v>194</v>
      </c>
      <c r="M37" s="76">
        <f>'Formular 4 step Y1'!V416</f>
        <v>199</v>
      </c>
    </row>
    <row r="38" spans="1:13" x14ac:dyDescent="0.25">
      <c r="A38" s="262" t="s">
        <v>85</v>
      </c>
      <c r="B38" s="76">
        <f>'Formular 4 step Y1'!T438</f>
        <v>259</v>
      </c>
      <c r="C38" s="91">
        <f>'Formular 4 step Y1'!T439</f>
        <v>261</v>
      </c>
      <c r="D38" s="76">
        <f>'Formular 4 step Y1'!T440</f>
        <v>263</v>
      </c>
      <c r="E38" s="76">
        <f>'Formular 4 step Y1'!T441</f>
        <v>265</v>
      </c>
      <c r="F38" s="76">
        <f>'Formular 4 step Y1'!U438</f>
        <v>260</v>
      </c>
      <c r="G38" s="85">
        <f>'Formular 4 step Y1'!U439</f>
        <v>262</v>
      </c>
      <c r="H38" s="76">
        <f>'Formular 4 step Y1'!U440</f>
        <v>264</v>
      </c>
      <c r="I38" s="76">
        <f>'Formular 4 step Y1'!U441</f>
        <v>266</v>
      </c>
      <c r="J38" s="76">
        <f>'Formular 4 step Y1'!V438</f>
        <v>259</v>
      </c>
      <c r="K38" s="85">
        <f>'Formular 4 step Y1'!V439</f>
        <v>261</v>
      </c>
      <c r="L38" s="76">
        <f>'Formular 4 step Y1'!V440</f>
        <v>263</v>
      </c>
      <c r="M38" s="76">
        <f>'Formular 4 step Y1'!V441</f>
        <v>265</v>
      </c>
    </row>
    <row r="39" spans="1:13" x14ac:dyDescent="0.25">
      <c r="A39" s="262" t="s">
        <v>86</v>
      </c>
      <c r="B39" s="76">
        <f>'Formular 4 step Y1'!T463</f>
        <v>319</v>
      </c>
      <c r="C39" s="91">
        <f>'Formular 4 step Y1'!T464</f>
        <v>321</v>
      </c>
      <c r="D39" s="76">
        <f>'Formular 4 step Y1'!T465</f>
        <v>323</v>
      </c>
      <c r="E39" s="76">
        <f>'Formular 4 step Y1'!T466</f>
        <v>325</v>
      </c>
      <c r="F39" s="76">
        <f>'Formular 4 step Y1'!U463</f>
        <v>320</v>
      </c>
      <c r="G39" s="85">
        <f>'Formular 4 step Y1'!U464</f>
        <v>322</v>
      </c>
      <c r="H39" s="76">
        <f>'Formular 4 step Y1'!U465</f>
        <v>324</v>
      </c>
      <c r="I39" s="76">
        <f>'Formular 4 step Y1'!U466</f>
        <v>326</v>
      </c>
      <c r="J39" s="76">
        <f>'Formular 4 step Y1'!V463</f>
        <v>318</v>
      </c>
      <c r="K39" s="85">
        <f>'Formular 4 step Y1'!V464</f>
        <v>320</v>
      </c>
      <c r="L39" s="76">
        <f>'Formular 4 step Y1'!V465</f>
        <v>322</v>
      </c>
      <c r="M39" s="76">
        <f>'Formular 4 step Y1'!V466</f>
        <v>324</v>
      </c>
    </row>
    <row r="40" spans="1:13" x14ac:dyDescent="0.25">
      <c r="A40" s="262" t="s">
        <v>87</v>
      </c>
      <c r="B40" s="76">
        <f>'Formular 4 step Y1'!T488</f>
        <v>770</v>
      </c>
      <c r="C40" s="91">
        <f>'Formular 4 step Y1'!T489</f>
        <v>772</v>
      </c>
      <c r="D40" s="76">
        <f>'Formular 4 step Y1'!T490</f>
        <v>777</v>
      </c>
      <c r="E40" s="76">
        <f>'Formular 4 step Y1'!T491</f>
        <v>782</v>
      </c>
      <c r="F40" s="76">
        <f>'Formular 4 step Y1'!U488</f>
        <v>771</v>
      </c>
      <c r="G40" s="85">
        <f>'Formular 4 step Y1'!U489</f>
        <v>773</v>
      </c>
      <c r="H40" s="76">
        <f>'Formular 4 step Y1'!U490</f>
        <v>778</v>
      </c>
      <c r="I40" s="76">
        <f>'Formular 4 step Y1'!U491</f>
        <v>783</v>
      </c>
      <c r="J40" s="76">
        <f>'Formular 4 step Y1'!V488</f>
        <v>769</v>
      </c>
      <c r="K40" s="85">
        <f>'Formular 4 step Y1'!V489</f>
        <v>771</v>
      </c>
      <c r="L40" s="76">
        <f>'Formular 4 step Y1'!V490</f>
        <v>776</v>
      </c>
      <c r="M40" s="76">
        <f>'Formular 4 step Y1'!V491</f>
        <v>781</v>
      </c>
    </row>
    <row r="41" spans="1:13" x14ac:dyDescent="0.25">
      <c r="A41" s="262" t="s">
        <v>88</v>
      </c>
      <c r="B41" s="76">
        <f>'Formular 4 step Y1'!T513</f>
        <v>257</v>
      </c>
      <c r="C41" s="91">
        <f>'Formular 4 step Y1'!T514</f>
        <v>259</v>
      </c>
      <c r="D41" s="76">
        <f>'Formular 4 step Y1'!T515</f>
        <v>262</v>
      </c>
      <c r="E41" s="76">
        <f>'Formular 4 step Y1'!T516</f>
        <v>264</v>
      </c>
      <c r="F41" s="76">
        <f>'Formular 4 step Y1'!U513</f>
        <v>257</v>
      </c>
      <c r="G41" s="85">
        <f>'Formular 4 step Y1'!U514</f>
        <v>259</v>
      </c>
      <c r="H41" s="76">
        <f>'Formular 4 step Y1'!U515</f>
        <v>262</v>
      </c>
      <c r="I41" s="76">
        <f>'Formular 4 step Y1'!U516</f>
        <v>264</v>
      </c>
      <c r="J41" s="76">
        <f>'Formular 4 step Y1'!V513</f>
        <v>257</v>
      </c>
      <c r="K41" s="85">
        <f>'Formular 4 step Y1'!V514</f>
        <v>259</v>
      </c>
      <c r="L41" s="76">
        <f>'Formular 4 step Y1'!V515</f>
        <v>262</v>
      </c>
      <c r="M41" s="76">
        <f>'Formular 4 step Y1'!V516</f>
        <v>264</v>
      </c>
    </row>
    <row r="42" spans="1:13" x14ac:dyDescent="0.25">
      <c r="A42" s="262" t="s">
        <v>89</v>
      </c>
      <c r="B42" s="76">
        <f>'Formular 4 step Y1'!T538</f>
        <v>321</v>
      </c>
      <c r="C42" s="91">
        <f>'Formular 4 step Y1'!T539</f>
        <v>323</v>
      </c>
      <c r="D42" s="76">
        <f>'Formular 4 step Y1'!T540</f>
        <v>326</v>
      </c>
      <c r="E42" s="76">
        <f>'Formular 4 step Y1'!T541</f>
        <v>328</v>
      </c>
      <c r="F42" s="76">
        <f>'Formular 4 step Y1'!U538</f>
        <v>322</v>
      </c>
      <c r="G42" s="85">
        <f>'Formular 4 step Y1'!U539</f>
        <v>324</v>
      </c>
      <c r="H42" s="76">
        <f>'Formular 4 step Y1'!U540</f>
        <v>327</v>
      </c>
      <c r="I42" s="76">
        <f>'Formular 4 step Y1'!U541</f>
        <v>329</v>
      </c>
      <c r="J42" s="76">
        <f>'Formular 4 step Y1'!V538</f>
        <v>320</v>
      </c>
      <c r="K42" s="85">
        <f>'Formular 4 step Y1'!V539</f>
        <v>322</v>
      </c>
      <c r="L42" s="76">
        <f>'Formular 4 step Y1'!V540</f>
        <v>325</v>
      </c>
      <c r="M42" s="76">
        <f>'Formular 4 step Y1'!V541</f>
        <v>327</v>
      </c>
    </row>
    <row r="43" spans="1:13" x14ac:dyDescent="0.25">
      <c r="A43" s="262" t="s">
        <v>90</v>
      </c>
      <c r="B43" s="76">
        <f>'Formular 4 step Y1'!T563</f>
        <v>385</v>
      </c>
      <c r="C43" s="91">
        <f>'Formular 4 step Y1'!T564</f>
        <v>387</v>
      </c>
      <c r="D43" s="76">
        <f>'Formular 4 step Y1'!T565</f>
        <v>389</v>
      </c>
      <c r="E43" s="76">
        <f>'Formular 4 step Y1'!T566</f>
        <v>391</v>
      </c>
      <c r="F43" s="76">
        <f>'Formular 4 step Y1'!U563</f>
        <v>385</v>
      </c>
      <c r="G43" s="85">
        <f>'Formular 4 step Y1'!U564</f>
        <v>387</v>
      </c>
      <c r="H43" s="76">
        <f>'Formular 4 step Y1'!U565</f>
        <v>389</v>
      </c>
      <c r="I43" s="76">
        <f>'Formular 4 step Y1'!U566</f>
        <v>391</v>
      </c>
      <c r="J43" s="76">
        <f>'Formular 4 step Y1'!V563</f>
        <v>384</v>
      </c>
      <c r="K43" s="85">
        <f>'Formular 4 step Y1'!V564</f>
        <v>386</v>
      </c>
      <c r="L43" s="76">
        <f>'Formular 4 step Y1'!V565</f>
        <v>388</v>
      </c>
      <c r="M43" s="76">
        <f>'Formular 4 step Y1'!V566</f>
        <v>390</v>
      </c>
    </row>
    <row r="44" spans="1:13" x14ac:dyDescent="0.25">
      <c r="A44" s="262" t="s">
        <v>91</v>
      </c>
      <c r="B44" s="76">
        <f>'Formular 4 step Y1'!T588</f>
        <v>967</v>
      </c>
      <c r="C44" s="91">
        <f>'Formular 4 step Y1'!T589</f>
        <v>977</v>
      </c>
      <c r="D44" s="76">
        <f>'Formular 4 step Y1'!T590</f>
        <v>982</v>
      </c>
      <c r="E44" s="76">
        <f>'Formular 4 step Y1'!T591</f>
        <v>987</v>
      </c>
      <c r="F44" s="76">
        <f>'Formular 4 step Y1'!U588</f>
        <v>968</v>
      </c>
      <c r="G44" s="85">
        <f>'Formular 4 step Y1'!U589</f>
        <v>978</v>
      </c>
      <c r="H44" s="76">
        <f>'Formular 4 step Y1'!U590</f>
        <v>983</v>
      </c>
      <c r="I44" s="76">
        <f>'Formular 4 step Y1'!U591</f>
        <v>988</v>
      </c>
      <c r="J44" s="76">
        <f>'Formular 4 step Y1'!V588</f>
        <v>966</v>
      </c>
      <c r="K44" s="85">
        <f>'Formular 4 step Y1'!V589</f>
        <v>976</v>
      </c>
      <c r="L44" s="76">
        <f>'Formular 4 step Y1'!V590</f>
        <v>981</v>
      </c>
      <c r="M44" s="76">
        <f>'Formular 4 step Y1'!V591</f>
        <v>986</v>
      </c>
    </row>
    <row r="45" spans="1:13" s="144" customFormat="1" x14ac:dyDescent="0.25">
      <c r="A45" s="250" t="s">
        <v>92</v>
      </c>
      <c r="B45" s="141">
        <f>'Formular 4 step Y1'!T613</f>
        <v>147.176525</v>
      </c>
      <c r="C45" s="148">
        <f>'Formular 4 step Y1'!T614</f>
        <v>148</v>
      </c>
      <c r="D45" s="141">
        <f>'Formular 4 step Y1'!T615</f>
        <v>149</v>
      </c>
      <c r="E45" s="141">
        <f>'Formular 4 step Y1'!T616</f>
        <v>151</v>
      </c>
      <c r="F45" s="141">
        <f>'Formular 4 step Y1'!U613</f>
        <v>147.25152500000002</v>
      </c>
      <c r="G45" s="143">
        <f>'Formular 4 step Y1'!U614</f>
        <v>148</v>
      </c>
      <c r="H45" s="141">
        <f>'Formular 4 step Y1'!U615</f>
        <v>149</v>
      </c>
      <c r="I45" s="141">
        <f>'Formular 4 step Y1'!U616</f>
        <v>151</v>
      </c>
      <c r="J45" s="141">
        <f>'Formular 4 step Y1'!V613</f>
        <v>147.076525</v>
      </c>
      <c r="K45" s="143">
        <f>'Formular 4 step Y1'!V614</f>
        <v>148</v>
      </c>
      <c r="L45" s="141">
        <f>'Formular 4 step Y1'!V615</f>
        <v>149</v>
      </c>
      <c r="M45" s="141">
        <f>'Formular 4 step Y1'!V616</f>
        <v>151</v>
      </c>
    </row>
    <row r="46" spans="1:13" s="144" customFormat="1" x14ac:dyDescent="0.25">
      <c r="A46" s="250" t="s">
        <v>93</v>
      </c>
      <c r="B46" s="141">
        <f>'Formular 4 step Y1'!T638</f>
        <v>96</v>
      </c>
      <c r="C46" s="148">
        <f>'Formular 4 step Y1'!T639</f>
        <v>98</v>
      </c>
      <c r="D46" s="141">
        <f>'Formular 4 step Y1'!T640</f>
        <v>99</v>
      </c>
      <c r="E46" s="141">
        <f>'Formular 4 step Y1'!T641</f>
        <v>100</v>
      </c>
      <c r="F46" s="141">
        <f>'Formular 4 step Y1'!U638</f>
        <v>96</v>
      </c>
      <c r="G46" s="143">
        <f>'Formular 4 step Y1'!U639</f>
        <v>98</v>
      </c>
      <c r="H46" s="141">
        <f>'Formular 4 step Y1'!U640</f>
        <v>99</v>
      </c>
      <c r="I46" s="141">
        <f>'Formular 4 step Y1'!U641</f>
        <v>100</v>
      </c>
      <c r="J46" s="141">
        <f>'Formular 4 step Y1'!V638</f>
        <v>96</v>
      </c>
      <c r="K46" s="143">
        <f>'Formular 4 step Y1'!V639</f>
        <v>98</v>
      </c>
      <c r="L46" s="141">
        <f>'Formular 4 step Y1'!V640</f>
        <v>99</v>
      </c>
      <c r="M46" s="141">
        <f>'Formular 4 step Y1'!V641</f>
        <v>100</v>
      </c>
    </row>
    <row r="47" spans="1:13" s="144" customFormat="1" x14ac:dyDescent="0.25">
      <c r="A47" s="250" t="s">
        <v>94</v>
      </c>
      <c r="B47" s="141">
        <f>'Formular 4 step Y1'!T663</f>
        <v>182</v>
      </c>
      <c r="C47" s="148">
        <f>'Formular 4 step Y1'!T664</f>
        <v>183</v>
      </c>
      <c r="D47" s="141">
        <f>'Formular 4 step Y1'!T665</f>
        <v>185</v>
      </c>
      <c r="E47" s="141">
        <f>'Formular 4 step Y1'!T666</f>
        <v>187</v>
      </c>
      <c r="F47" s="141">
        <f>'Formular 4 step Y1'!U663</f>
        <v>182</v>
      </c>
      <c r="G47" s="143">
        <f>'Formular 4 step Y1'!U664</f>
        <v>183</v>
      </c>
      <c r="H47" s="141">
        <f>'Formular 4 step Y1'!U665</f>
        <v>185</v>
      </c>
      <c r="I47" s="141">
        <f>'Formular 4 step Y1'!U666</f>
        <v>187</v>
      </c>
      <c r="J47" s="141">
        <f>'Formular 4 step Y1'!V663</f>
        <v>181</v>
      </c>
      <c r="K47" s="143">
        <f>'Formular 4 step Y1'!V664</f>
        <v>182</v>
      </c>
      <c r="L47" s="141">
        <f>'Formular 4 step Y1'!V665</f>
        <v>184</v>
      </c>
      <c r="M47" s="141">
        <f>'Formular 4 step Y1'!V666</f>
        <v>186</v>
      </c>
    </row>
    <row r="48" spans="1:13" s="144" customFormat="1" x14ac:dyDescent="0.25">
      <c r="A48" s="250" t="s">
        <v>95</v>
      </c>
      <c r="B48" s="141">
        <f>'Formular 4 step Y1'!T688</f>
        <v>138</v>
      </c>
      <c r="C48" s="148">
        <f>'Formular 4 step Y1'!T689</f>
        <v>140</v>
      </c>
      <c r="D48" s="141">
        <f>'Formular 4 step Y1'!T690</f>
        <v>142</v>
      </c>
      <c r="E48" s="141">
        <f>'Formular 4 step Y1'!T691</f>
        <v>145</v>
      </c>
      <c r="F48" s="141">
        <f>'Formular 4 step Y1'!U688</f>
        <v>138</v>
      </c>
      <c r="G48" s="143">
        <f>'Formular 4 step Y1'!U689</f>
        <v>140</v>
      </c>
      <c r="H48" s="141">
        <f>'Formular 4 step Y1'!U690</f>
        <v>142</v>
      </c>
      <c r="I48" s="141">
        <f>'Formular 4 step Y1'!U691</f>
        <v>145</v>
      </c>
      <c r="J48" s="141">
        <f>'Formular 4 step Y1'!V688</f>
        <v>137</v>
      </c>
      <c r="K48" s="143">
        <f>'Formular 4 step Y1'!V689</f>
        <v>139</v>
      </c>
      <c r="L48" s="141">
        <f>'Formular 4 step Y1'!V690</f>
        <v>141</v>
      </c>
      <c r="M48" s="141">
        <f>'Formular 4 step Y1'!V691</f>
        <v>144</v>
      </c>
    </row>
    <row r="49" spans="1:13" s="133" customFormat="1" x14ac:dyDescent="0.25">
      <c r="A49" s="258" t="s">
        <v>234</v>
      </c>
      <c r="B49" s="118">
        <f>'Formular 4 step Y1'!T713</f>
        <v>264</v>
      </c>
      <c r="C49" s="152">
        <f>'Formular 4 step Y1'!T714</f>
        <v>265</v>
      </c>
      <c r="D49" s="118">
        <f>'Formular 4 step Y1'!T715</f>
        <v>266</v>
      </c>
      <c r="E49" s="118">
        <f>'Formular 4 step Y1'!T716</f>
        <v>267</v>
      </c>
      <c r="F49" s="118">
        <f>'Formular 4 step Y1'!U713</f>
        <v>264</v>
      </c>
      <c r="G49" s="134">
        <f>'Formular 4 step Y1'!U714</f>
        <v>265</v>
      </c>
      <c r="H49" s="118">
        <f>'Formular 4 step Y1'!U715</f>
        <v>266</v>
      </c>
      <c r="I49" s="118">
        <f>'Formular 4 step Y1'!U716</f>
        <v>267</v>
      </c>
      <c r="J49" s="118">
        <f>'Formular 4 step Y1'!V713</f>
        <v>264</v>
      </c>
      <c r="K49" s="134">
        <f>'Formular 4 step Y1'!V714</f>
        <v>265</v>
      </c>
      <c r="L49" s="118">
        <f>'Formular 4 step Y1'!V715</f>
        <v>266</v>
      </c>
      <c r="M49" s="118">
        <f>'Formular 4 step Y1'!V716</f>
        <v>267</v>
      </c>
    </row>
    <row r="50" spans="1:13" s="144" customFormat="1" x14ac:dyDescent="0.25">
      <c r="A50" s="250"/>
      <c r="B50" s="141"/>
      <c r="C50" s="148"/>
      <c r="D50" s="141"/>
      <c r="E50" s="141"/>
      <c r="F50" s="141"/>
      <c r="G50" s="143"/>
      <c r="H50" s="141"/>
      <c r="I50" s="141"/>
      <c r="J50" s="141"/>
      <c r="K50" s="143"/>
      <c r="L50" s="141"/>
      <c r="M50" s="141"/>
    </row>
    <row r="51" spans="1:13" x14ac:dyDescent="0.25">
      <c r="A51" s="262"/>
      <c r="B51" s="76"/>
      <c r="C51" s="91"/>
      <c r="D51" s="76"/>
      <c r="E51" s="76"/>
      <c r="F51" s="76"/>
      <c r="G51" s="85"/>
      <c r="H51" s="76"/>
      <c r="I51" s="76"/>
      <c r="J51" s="76"/>
      <c r="K51" s="85"/>
      <c r="L51" s="76"/>
      <c r="M51" s="76"/>
    </row>
    <row r="52" spans="1:13" ht="20" thickBot="1" x14ac:dyDescent="0.3">
      <c r="A52" s="263"/>
      <c r="B52" s="79"/>
      <c r="C52" s="93"/>
      <c r="D52" s="79"/>
      <c r="E52" s="79"/>
      <c r="F52" s="79"/>
      <c r="G52" s="87"/>
      <c r="H52" s="79"/>
      <c r="I52" s="79"/>
      <c r="J52" s="79"/>
      <c r="K52" s="87"/>
      <c r="L52" s="79"/>
      <c r="M52" s="79"/>
    </row>
    <row r="53" spans="1:13" ht="7.5" customHeight="1" thickTop="1" thickBot="1" x14ac:dyDescent="0.3">
      <c r="D53" s="88"/>
      <c r="E53" s="88"/>
      <c r="F53" s="107"/>
      <c r="G53" s="88"/>
      <c r="H53" s="88"/>
      <c r="I53" s="88"/>
      <c r="J53" s="107"/>
      <c r="K53" s="88"/>
      <c r="L53" s="88"/>
      <c r="M53" s="88"/>
    </row>
    <row r="54" spans="1:13" ht="24.75" customHeight="1" thickTop="1" x14ac:dyDescent="0.25">
      <c r="A54" s="264" t="s">
        <v>70</v>
      </c>
      <c r="B54" s="120"/>
      <c r="C54" s="119"/>
      <c r="D54" s="119" t="s">
        <v>21</v>
      </c>
      <c r="E54" s="119"/>
      <c r="F54" s="120"/>
      <c r="G54" s="119"/>
      <c r="H54" s="119" t="s">
        <v>22</v>
      </c>
      <c r="I54" s="119"/>
      <c r="J54" s="120"/>
      <c r="K54" s="119"/>
      <c r="L54" s="119" t="s">
        <v>23</v>
      </c>
      <c r="M54" s="320"/>
    </row>
    <row r="55" spans="1:13" x14ac:dyDescent="0.25">
      <c r="A55" s="432" t="s">
        <v>83</v>
      </c>
      <c r="B55" s="129"/>
      <c r="C55" s="121" t="s">
        <v>79</v>
      </c>
      <c r="D55" s="121" t="s">
        <v>80</v>
      </c>
      <c r="E55" s="121" t="s">
        <v>81</v>
      </c>
      <c r="F55" s="129"/>
      <c r="G55" s="121" t="s">
        <v>79</v>
      </c>
      <c r="H55" s="121" t="s">
        <v>80</v>
      </c>
      <c r="I55" s="121" t="s">
        <v>81</v>
      </c>
      <c r="J55" s="129"/>
      <c r="K55" s="121" t="s">
        <v>79</v>
      </c>
      <c r="L55" s="121" t="s">
        <v>80</v>
      </c>
      <c r="M55" s="121" t="s">
        <v>81</v>
      </c>
    </row>
    <row r="56" spans="1:13" ht="20" thickBot="1" x14ac:dyDescent="0.3">
      <c r="A56" s="433"/>
      <c r="B56" s="131" t="s">
        <v>142</v>
      </c>
      <c r="C56" s="123" t="s">
        <v>143</v>
      </c>
      <c r="D56" s="124" t="s">
        <v>144</v>
      </c>
      <c r="E56" s="124" t="s">
        <v>145</v>
      </c>
      <c r="F56" s="131" t="s">
        <v>142</v>
      </c>
      <c r="G56" s="123" t="s">
        <v>143</v>
      </c>
      <c r="H56" s="124" t="s">
        <v>144</v>
      </c>
      <c r="I56" s="124" t="s">
        <v>145</v>
      </c>
      <c r="J56" s="131" t="s">
        <v>142</v>
      </c>
      <c r="K56" s="123" t="s">
        <v>143</v>
      </c>
      <c r="L56" s="124" t="s">
        <v>144</v>
      </c>
      <c r="M56" s="124" t="s">
        <v>145</v>
      </c>
    </row>
    <row r="57" spans="1:13" s="133" customFormat="1" ht="20" thickTop="1" x14ac:dyDescent="0.25">
      <c r="A57" s="265" t="s">
        <v>172</v>
      </c>
      <c r="B57" s="233">
        <f>'สูตร 4 step SB'!T13</f>
        <v>162</v>
      </c>
      <c r="C57" s="232">
        <f>'สูตร 4 step SB'!T14</f>
        <v>165</v>
      </c>
      <c r="D57" s="233">
        <f>'สูตร 4 step SB'!T15</f>
        <v>167</v>
      </c>
      <c r="E57" s="233">
        <f>'สูตร 4 step SB'!T16</f>
        <v>169</v>
      </c>
      <c r="F57" s="233">
        <f>'สูตร 4 step SB'!U13</f>
        <v>179</v>
      </c>
      <c r="G57" s="231">
        <f>'สูตร 4 step SB'!U14</f>
        <v>182</v>
      </c>
      <c r="H57" s="233">
        <f>'สูตร 4 step SB'!U15</f>
        <v>184</v>
      </c>
      <c r="I57" s="233">
        <f>'สูตร 4 step SB'!U16</f>
        <v>186</v>
      </c>
      <c r="J57" s="233">
        <f>'สูตร 4 step SB'!V13</f>
        <v>162</v>
      </c>
      <c r="K57" s="231">
        <f>'สูตร 4 step SB'!V14</f>
        <v>165</v>
      </c>
      <c r="L57" s="233">
        <f>'สูตร 4 step SB'!V15</f>
        <v>167</v>
      </c>
      <c r="M57" s="233">
        <f>'สูตร 4 step SB'!V16</f>
        <v>169</v>
      </c>
    </row>
    <row r="58" spans="1:13" s="133" customFormat="1" x14ac:dyDescent="0.25">
      <c r="A58" s="258" t="s">
        <v>173</v>
      </c>
      <c r="B58" s="118">
        <f>'สูตร 4 step SB'!T41</f>
        <v>83</v>
      </c>
      <c r="C58" s="152">
        <f>'สูตร 4 step SB'!T42</f>
        <v>85</v>
      </c>
      <c r="D58" s="118">
        <f>'สูตร 4 step SB'!T43</f>
        <v>86</v>
      </c>
      <c r="E58" s="118">
        <f>'สูตร 4 step SB'!T44</f>
        <v>87</v>
      </c>
      <c r="F58" s="118">
        <f>'สูตร 4 step SB'!U41</f>
        <v>91</v>
      </c>
      <c r="G58" s="134">
        <f>'สูตร 4 step SB'!U42</f>
        <v>93</v>
      </c>
      <c r="H58" s="118">
        <f>'สูตร 4 step SB'!U43</f>
        <v>94</v>
      </c>
      <c r="I58" s="118">
        <f>'สูตร 4 step SB'!U44</f>
        <v>95</v>
      </c>
      <c r="J58" s="118">
        <f>'สูตร 4 step SB'!V41</f>
        <v>83</v>
      </c>
      <c r="K58" s="134">
        <f>'สูตร 4 step SB'!V42</f>
        <v>85</v>
      </c>
      <c r="L58" s="118">
        <f>'สูตร 4 step SB'!V43</f>
        <v>86</v>
      </c>
      <c r="M58" s="118">
        <f>'สูตร 4 step SB'!V44</f>
        <v>87</v>
      </c>
    </row>
    <row r="59" spans="1:13" s="133" customFormat="1" x14ac:dyDescent="0.25">
      <c r="A59" s="258" t="s">
        <v>174</v>
      </c>
      <c r="B59" s="118">
        <f>'สูตร 4 step SB'!T68</f>
        <v>82</v>
      </c>
      <c r="C59" s="152">
        <f>'สูตร 4 step SB'!T69</f>
        <v>84</v>
      </c>
      <c r="D59" s="118">
        <f>'สูตร 4 step SB'!T70</f>
        <v>85</v>
      </c>
      <c r="E59" s="118">
        <f>'สูตร 4 step SB'!T71</f>
        <v>87</v>
      </c>
      <c r="F59" s="118">
        <f>'สูตร 4 step SB'!U68</f>
        <v>90</v>
      </c>
      <c r="G59" s="134">
        <f>'สูตร 4 step SB'!U69</f>
        <v>92</v>
      </c>
      <c r="H59" s="118">
        <f>'สูตร 4 step SB'!U70</f>
        <v>93</v>
      </c>
      <c r="I59" s="118">
        <f>'สูตร 4 step SB'!U71</f>
        <v>95</v>
      </c>
      <c r="J59" s="118">
        <f>'สูตร 4 step SB'!V68</f>
        <v>82</v>
      </c>
      <c r="K59" s="134">
        <f>'สูตร 4 step SB'!V69</f>
        <v>84</v>
      </c>
      <c r="L59" s="118">
        <f>'สูตร 4 step SB'!V70</f>
        <v>85</v>
      </c>
      <c r="M59" s="118">
        <f>'สูตร 4 step SB'!V71</f>
        <v>87</v>
      </c>
    </row>
    <row r="60" spans="1:13" s="133" customFormat="1" x14ac:dyDescent="0.25">
      <c r="A60" s="258" t="s">
        <v>175</v>
      </c>
      <c r="B60" s="118">
        <f>'สูตร 4 step SB'!T344</f>
        <v>45</v>
      </c>
      <c r="C60" s="152">
        <f>'สูตร 4 step SB'!T345</f>
        <v>46</v>
      </c>
      <c r="D60" s="118">
        <f>'สูตร 4 step SB'!T346</f>
        <v>47</v>
      </c>
      <c r="E60" s="118">
        <f>'สูตร 4 step SB'!T347</f>
        <v>48</v>
      </c>
      <c r="F60" s="118">
        <f>'สูตร 4 step SB'!U344</f>
        <v>53</v>
      </c>
      <c r="G60" s="134">
        <f>'สูตร 4 step SB'!U345</f>
        <v>54</v>
      </c>
      <c r="H60" s="118">
        <f>'สูตร 4 step SB'!U346</f>
        <v>55</v>
      </c>
      <c r="I60" s="118">
        <f>'สูตร 4 step SB'!U347</f>
        <v>56</v>
      </c>
      <c r="J60" s="118">
        <f>'สูตร 4 step SB'!V344</f>
        <v>45</v>
      </c>
      <c r="K60" s="134">
        <f>'สูตร 4 step SB'!V345</f>
        <v>46</v>
      </c>
      <c r="L60" s="118">
        <f>'สูตร 4 step SB'!V346</f>
        <v>47</v>
      </c>
      <c r="M60" s="118">
        <f>'สูตร 4 step SB'!V347</f>
        <v>48</v>
      </c>
    </row>
    <row r="61" spans="1:13" s="133" customFormat="1" x14ac:dyDescent="0.25">
      <c r="A61" s="258" t="s">
        <v>176</v>
      </c>
      <c r="B61" s="118">
        <f>'สูตร 4 step SB'!T96</f>
        <v>246</v>
      </c>
      <c r="C61" s="152">
        <f>'สูตร 4 step SB'!T97</f>
        <v>250</v>
      </c>
      <c r="D61" s="118">
        <f>'สูตร 4 step SB'!T98</f>
        <v>252</v>
      </c>
      <c r="E61" s="118">
        <f>'สูตร 4 step SB'!T99</f>
        <v>254</v>
      </c>
      <c r="F61" s="118">
        <f>'สูตร 4 step SB'!U96</f>
        <v>271</v>
      </c>
      <c r="G61" s="134">
        <f>'สูตร 4 step SB'!U97</f>
        <v>275</v>
      </c>
      <c r="H61" s="118">
        <f>'สูตร 4 step SB'!U98</f>
        <v>277</v>
      </c>
      <c r="I61" s="118">
        <f>'สูตร 4 step SB'!U99</f>
        <v>279</v>
      </c>
      <c r="J61" s="118">
        <f>'สูตร 4 step SB'!V96</f>
        <v>246</v>
      </c>
      <c r="K61" s="134">
        <f>'สูตร 4 step SB'!V97</f>
        <v>250</v>
      </c>
      <c r="L61" s="118">
        <f>'สูตร 4 step SB'!V98</f>
        <v>252</v>
      </c>
      <c r="M61" s="118">
        <f>'สูตร 4 step SB'!V99</f>
        <v>254</v>
      </c>
    </row>
    <row r="62" spans="1:13" s="133" customFormat="1" x14ac:dyDescent="0.25">
      <c r="A62" s="258" t="s">
        <v>177</v>
      </c>
      <c r="B62" s="118">
        <f>'สูตร 4 step SB'!T124</f>
        <v>329</v>
      </c>
      <c r="C62" s="152">
        <f>'สูตร 4 step SB'!T125</f>
        <v>334</v>
      </c>
      <c r="D62" s="118">
        <f>'สูตร 4 step SB'!T126</f>
        <v>339</v>
      </c>
      <c r="E62" s="118">
        <f>'สูตร 4 step SB'!T127</f>
        <v>343</v>
      </c>
      <c r="F62" s="118">
        <f>'สูตร 4 step SB'!U124</f>
        <v>362</v>
      </c>
      <c r="G62" s="134">
        <f>'สูตร 4 step SB'!U125</f>
        <v>367</v>
      </c>
      <c r="H62" s="118">
        <f>'สูตร 4 step SB'!U126</f>
        <v>372</v>
      </c>
      <c r="I62" s="118">
        <f>'สูตร 4 step SB'!U127</f>
        <v>376</v>
      </c>
      <c r="J62" s="118">
        <f>'สูตร 4 step SB'!V124</f>
        <v>329</v>
      </c>
      <c r="K62" s="134">
        <f>'สูตร 4 step SB'!V125</f>
        <v>334</v>
      </c>
      <c r="L62" s="118">
        <f>'สูตร 4 step SB'!V126</f>
        <v>339</v>
      </c>
      <c r="M62" s="118">
        <f>'สูตร 4 step SB'!V127</f>
        <v>343</v>
      </c>
    </row>
    <row r="63" spans="1:13" s="133" customFormat="1" x14ac:dyDescent="0.25">
      <c r="A63" s="258" t="s">
        <v>178</v>
      </c>
      <c r="B63" s="118">
        <f>'สูตร 4 step SB'!T152</f>
        <v>454</v>
      </c>
      <c r="C63" s="152">
        <f>'สูตร 4 step SB'!T153</f>
        <v>459</v>
      </c>
      <c r="D63" s="118">
        <f>'สูตร 4 step SB'!T154</f>
        <v>464</v>
      </c>
      <c r="E63" s="118">
        <f>'สูตร 4 step SB'!T155</f>
        <v>469</v>
      </c>
      <c r="F63" s="118">
        <f>'สูตร 4 step SB'!U152</f>
        <v>496</v>
      </c>
      <c r="G63" s="134">
        <f>'สูตร 4 step SB'!U153</f>
        <v>501</v>
      </c>
      <c r="H63" s="118">
        <f>'สูตร 4 step SB'!U154</f>
        <v>506</v>
      </c>
      <c r="I63" s="118">
        <f>'สูตร 4 step SB'!U155</f>
        <v>511</v>
      </c>
      <c r="J63" s="118">
        <f>'สูตร 4 step SB'!V152</f>
        <v>454</v>
      </c>
      <c r="K63" s="134">
        <f>'สูตร 4 step SB'!V153</f>
        <v>459</v>
      </c>
      <c r="L63" s="118">
        <f>'สูตร 4 step SB'!V154</f>
        <v>464</v>
      </c>
      <c r="M63" s="118">
        <f>'สูตร 4 step SB'!V155</f>
        <v>469</v>
      </c>
    </row>
    <row r="64" spans="1:13" s="133" customFormat="1" x14ac:dyDescent="0.25">
      <c r="A64" s="258" t="s">
        <v>179</v>
      </c>
      <c r="B64" s="118">
        <f>'สูตร 4 step SB'!T179</f>
        <v>552</v>
      </c>
      <c r="C64" s="152">
        <f>'สูตร 4 step SB'!T180</f>
        <v>557</v>
      </c>
      <c r="D64" s="118">
        <f>'สูตร 4 step SB'!T181</f>
        <v>562</v>
      </c>
      <c r="E64" s="118">
        <f>'สูตร 4 step SB'!T182</f>
        <v>567</v>
      </c>
      <c r="F64" s="118">
        <f>'สูตร 4 step SB'!U179</f>
        <v>602</v>
      </c>
      <c r="G64" s="134">
        <f>'สูตร 4 step SB'!U180</f>
        <v>607</v>
      </c>
      <c r="H64" s="118">
        <f>'สูตร 4 step SB'!U181</f>
        <v>612</v>
      </c>
      <c r="I64" s="118">
        <f>'สูตร 4 step SB'!U182</f>
        <v>617</v>
      </c>
      <c r="J64" s="118">
        <f>'สูตร 4 step SB'!V179</f>
        <v>552</v>
      </c>
      <c r="K64" s="134">
        <f>'สูตร 4 step SB'!V180</f>
        <v>557</v>
      </c>
      <c r="L64" s="118">
        <f>'สูตร 4 step SB'!V181</f>
        <v>562</v>
      </c>
      <c r="M64" s="118">
        <f>'สูตร 4 step SB'!V182</f>
        <v>567</v>
      </c>
    </row>
    <row r="65" spans="1:13" s="237" customFormat="1" x14ac:dyDescent="0.25">
      <c r="A65" s="266" t="s">
        <v>180</v>
      </c>
      <c r="B65" s="236">
        <f>'สูตร 4 step SB'!T645</f>
        <v>676</v>
      </c>
      <c r="C65" s="235">
        <f>'สูตร 4 step SB'!T646</f>
        <v>686</v>
      </c>
      <c r="D65" s="236">
        <f>'สูตร 4 step SB'!T647</f>
        <v>696</v>
      </c>
      <c r="E65" s="236">
        <f>'สูตร 4 step SB'!T648</f>
        <v>701</v>
      </c>
      <c r="F65" s="236">
        <f>'สูตร 4 step SB'!U645</f>
        <v>739</v>
      </c>
      <c r="G65" s="234">
        <f>'สูตร 4 step SB'!U646</f>
        <v>749</v>
      </c>
      <c r="H65" s="236">
        <f>'สูตร 4 step SB'!U647</f>
        <v>759</v>
      </c>
      <c r="I65" s="236">
        <f>'สูตร 4 step SB'!U648</f>
        <v>764</v>
      </c>
      <c r="J65" s="236">
        <f>'สูตร 4 step SB'!V645</f>
        <v>676</v>
      </c>
      <c r="K65" s="234">
        <f>'สูตร 4 step SB'!V646</f>
        <v>686</v>
      </c>
      <c r="L65" s="236">
        <f>'สูตร 4 step SB'!V647</f>
        <v>696</v>
      </c>
      <c r="M65" s="236">
        <f>'สูตร 4 step SB'!V648</f>
        <v>701</v>
      </c>
    </row>
    <row r="66" spans="1:13" s="237" customFormat="1" x14ac:dyDescent="0.25">
      <c r="A66" s="266" t="s">
        <v>181</v>
      </c>
      <c r="B66" s="236">
        <f>'สูตร 4 step SB'!T672</f>
        <v>716</v>
      </c>
      <c r="C66" s="235">
        <f>'สูตร 4 step SB'!T673</f>
        <v>726</v>
      </c>
      <c r="D66" s="236">
        <f>'สูตร 4 step SB'!T674</f>
        <v>736</v>
      </c>
      <c r="E66" s="236">
        <f>'สูตร 4 step SB'!T675</f>
        <v>746</v>
      </c>
      <c r="F66" s="236">
        <f>'สูตร 4 step SB'!U672</f>
        <v>784</v>
      </c>
      <c r="G66" s="234">
        <f>'สูตร 4 step SB'!U673</f>
        <v>794</v>
      </c>
      <c r="H66" s="236">
        <f>'สูตร 4 step SB'!U674</f>
        <v>804</v>
      </c>
      <c r="I66" s="236">
        <f>'สูตร 4 step SB'!U675</f>
        <v>814</v>
      </c>
      <c r="J66" s="236">
        <f>'สูตร 4 step SB'!V672</f>
        <v>716</v>
      </c>
      <c r="K66" s="234">
        <f>'สูตร 4 step SB'!V673</f>
        <v>726</v>
      </c>
      <c r="L66" s="236">
        <f>'สูตร 4 step SB'!V674</f>
        <v>736</v>
      </c>
      <c r="M66" s="236">
        <f>'สูตร 4 step SB'!V675</f>
        <v>746</v>
      </c>
    </row>
    <row r="67" spans="1:13" s="237" customFormat="1" x14ac:dyDescent="0.25">
      <c r="A67" s="266" t="s">
        <v>182</v>
      </c>
      <c r="B67" s="236">
        <f>'สูตร 4 step SB'!T699</f>
        <v>808</v>
      </c>
      <c r="C67" s="235">
        <f>'สูตร 4 step SB'!T700</f>
        <v>818</v>
      </c>
      <c r="D67" s="236">
        <f>'สูตร 4 step SB'!T701</f>
        <v>838</v>
      </c>
      <c r="E67" s="236">
        <f>'สูตร 4 step SB'!T702</f>
        <v>848</v>
      </c>
      <c r="F67" s="236">
        <f>'สูตร 4 step SB'!U699</f>
        <v>884</v>
      </c>
      <c r="G67" s="234">
        <f>'สูตร 4 step SB'!U700</f>
        <v>894</v>
      </c>
      <c r="H67" s="236">
        <f>'สูตร 4 step SB'!U701</f>
        <v>914</v>
      </c>
      <c r="I67" s="236">
        <f>'สูตร 4 step SB'!U702</f>
        <v>924</v>
      </c>
      <c r="J67" s="236">
        <f>'สูตร 4 step SB'!V699</f>
        <v>808</v>
      </c>
      <c r="K67" s="234">
        <f>'สูตร 4 step SB'!V700</f>
        <v>818</v>
      </c>
      <c r="L67" s="236">
        <f>'สูตร 4 step SB'!V701</f>
        <v>838</v>
      </c>
      <c r="M67" s="236">
        <f>'สูตร 4 step SB'!V702</f>
        <v>848</v>
      </c>
    </row>
    <row r="68" spans="1:13" s="237" customFormat="1" x14ac:dyDescent="0.25">
      <c r="A68" s="266" t="s">
        <v>183</v>
      </c>
      <c r="B68" s="236">
        <f>'สูตร 4 step SB'!T726</f>
        <v>905</v>
      </c>
      <c r="C68" s="235">
        <f>'สูตร 4 step SB'!T727</f>
        <v>915</v>
      </c>
      <c r="D68" s="236">
        <f>'สูตร 4 step SB'!T728</f>
        <v>930</v>
      </c>
      <c r="E68" s="236">
        <f>'สูตร 4 step SB'!T729</f>
        <v>945</v>
      </c>
      <c r="F68" s="236">
        <f>'สูตร 4 step SB'!U726</f>
        <v>990</v>
      </c>
      <c r="G68" s="234">
        <f>'สูตร 4 step SB'!U727</f>
        <v>1000</v>
      </c>
      <c r="H68" s="236">
        <f>'สูตร 4 step SB'!U728</f>
        <v>1015</v>
      </c>
      <c r="I68" s="236">
        <f>'สูตร 4 step SB'!U729</f>
        <v>1030</v>
      </c>
      <c r="J68" s="236">
        <f>'สูตร 4 step SB'!V726</f>
        <v>905</v>
      </c>
      <c r="K68" s="234">
        <f>'สูตร 4 step SB'!V727</f>
        <v>915</v>
      </c>
      <c r="L68" s="236">
        <f>'สูตร 4 step SB'!V728</f>
        <v>930</v>
      </c>
      <c r="M68" s="236">
        <f>'สูตร 4 step SB'!V729</f>
        <v>945</v>
      </c>
    </row>
    <row r="69" spans="1:13" s="133" customFormat="1" x14ac:dyDescent="0.25">
      <c r="A69" s="258" t="s">
        <v>184</v>
      </c>
      <c r="B69" s="118">
        <f>'สูตร 4 step SB'!T206</f>
        <v>389</v>
      </c>
      <c r="C69" s="152">
        <f>'สูตร 4 step SB'!T207</f>
        <v>394</v>
      </c>
      <c r="D69" s="118">
        <f>'สูตร 4 step SB'!T208</f>
        <v>399</v>
      </c>
      <c r="E69" s="118">
        <f>'สูตร 4 step SB'!T209</f>
        <v>404</v>
      </c>
      <c r="F69" s="118">
        <f>'สูตร 4 step SB'!U206</f>
        <v>428</v>
      </c>
      <c r="G69" s="134">
        <f>'สูตร 4 step SB'!U207</f>
        <v>433</v>
      </c>
      <c r="H69" s="118">
        <f>'สูตร 4 step SB'!U208</f>
        <v>438</v>
      </c>
      <c r="I69" s="118">
        <f>'สูตร 4 step SB'!U209</f>
        <v>443</v>
      </c>
      <c r="J69" s="118">
        <f>'สูตร 4 step SB'!V206</f>
        <v>389</v>
      </c>
      <c r="K69" s="134">
        <f>'สูตร 4 step SB'!V207</f>
        <v>394</v>
      </c>
      <c r="L69" s="118">
        <f>'สูตร 4 step SB'!V208</f>
        <v>399</v>
      </c>
      <c r="M69" s="118">
        <f>'สูตร 4 step SB'!V209</f>
        <v>404</v>
      </c>
    </row>
    <row r="70" spans="1:13" s="133" customFormat="1" x14ac:dyDescent="0.25">
      <c r="A70" s="258" t="s">
        <v>185</v>
      </c>
      <c r="B70" s="118">
        <f>'สูตร 4 step SB'!T234</f>
        <v>49</v>
      </c>
      <c r="C70" s="214">
        <f>'สูตร 4 step SB'!T235</f>
        <v>50</v>
      </c>
      <c r="D70" s="215">
        <f>'สูตร 4 step SB'!T236</f>
        <v>51</v>
      </c>
      <c r="E70" s="215">
        <f>'สูตร 4 step SB'!T237</f>
        <v>52</v>
      </c>
      <c r="F70" s="215">
        <f>'สูตร 4 step SB'!U234</f>
        <v>53</v>
      </c>
      <c r="G70" s="216">
        <f>'สูตร 4 step SB'!U235</f>
        <v>54</v>
      </c>
      <c r="H70" s="215">
        <f>'สูตร 4 step SB'!U236</f>
        <v>55</v>
      </c>
      <c r="I70" s="215">
        <f>'สูตร 4 step SB'!U237</f>
        <v>56</v>
      </c>
      <c r="J70" s="215">
        <f>'สูตร 4 step SB'!V234</f>
        <v>49</v>
      </c>
      <c r="K70" s="216">
        <f>'สูตร 4 step SB'!V235</f>
        <v>50</v>
      </c>
      <c r="L70" s="215">
        <f>'สูตร 4 step SB'!V236</f>
        <v>51</v>
      </c>
      <c r="M70" s="215">
        <f>'สูตร 4 step SB'!V237</f>
        <v>52</v>
      </c>
    </row>
    <row r="71" spans="1:13" s="133" customFormat="1" x14ac:dyDescent="0.25">
      <c r="A71" s="258" t="s">
        <v>186</v>
      </c>
      <c r="B71" s="118">
        <f>'สูตร 4 step SB'!T262</f>
        <v>45</v>
      </c>
      <c r="C71" s="214">
        <f>'สูตร 4 step SB'!T263</f>
        <v>46</v>
      </c>
      <c r="D71" s="215">
        <f>'สูตร 4 step SB'!T264</f>
        <v>47</v>
      </c>
      <c r="E71" s="215">
        <f>'สูตร 4 step SB'!T265</f>
        <v>48</v>
      </c>
      <c r="F71" s="215">
        <f>'สูตร 4 step SB'!U262</f>
        <v>49</v>
      </c>
      <c r="G71" s="216">
        <f>'สูตร 4 step SB'!U263</f>
        <v>50</v>
      </c>
      <c r="H71" s="215">
        <f>'สูตร 4 step SB'!U264</f>
        <v>51</v>
      </c>
      <c r="I71" s="215">
        <f>'สูตร 4 step SB'!U265</f>
        <v>52</v>
      </c>
      <c r="J71" s="215">
        <f>'สูตร 4 step SB'!V262</f>
        <v>45</v>
      </c>
      <c r="K71" s="216">
        <f>'สูตร 4 step SB'!V263</f>
        <v>46</v>
      </c>
      <c r="L71" s="215">
        <f>'สูตร 4 step SB'!V264</f>
        <v>47</v>
      </c>
      <c r="M71" s="215">
        <f>'สูตร 4 step SB'!V265</f>
        <v>48</v>
      </c>
    </row>
    <row r="72" spans="1:13" s="133" customFormat="1" x14ac:dyDescent="0.25">
      <c r="A72" s="258" t="s">
        <v>187</v>
      </c>
      <c r="B72" s="118">
        <f>'สูตร 4 step SB'!T618</f>
        <v>64</v>
      </c>
      <c r="C72" s="214">
        <f>'สูตร 4 step SB'!T619</f>
        <v>65</v>
      </c>
      <c r="D72" s="215">
        <f>'สูตร 4 step SB'!T620</f>
        <v>66</v>
      </c>
      <c r="E72" s="215">
        <f>'สูตร 4 step SB'!T621</f>
        <v>67</v>
      </c>
      <c r="F72" s="215">
        <f>'สูตร 4 step SB'!U618</f>
        <v>69</v>
      </c>
      <c r="G72" s="216">
        <f>'สูตร 4 step SB'!U619</f>
        <v>70</v>
      </c>
      <c r="H72" s="215">
        <f>'สูตร 4 step SB'!U620</f>
        <v>71</v>
      </c>
      <c r="I72" s="215">
        <f>'สูตร 4 step SB'!U621</f>
        <v>72</v>
      </c>
      <c r="J72" s="215">
        <f>'สูตร 4 step SB'!V618</f>
        <v>64</v>
      </c>
      <c r="K72" s="216">
        <f>'สูตร 4 step SB'!V619</f>
        <v>65</v>
      </c>
      <c r="L72" s="215">
        <f>'สูตร 4 step SB'!V620</f>
        <v>66</v>
      </c>
      <c r="M72" s="215">
        <f>'สูตร 4 step SB'!V621</f>
        <v>67</v>
      </c>
    </row>
    <row r="73" spans="1:13" s="133" customFormat="1" x14ac:dyDescent="0.25">
      <c r="A73" s="258" t="s">
        <v>188</v>
      </c>
      <c r="B73" s="118">
        <f>'สูตร 4 step SB'!T290</f>
        <v>52</v>
      </c>
      <c r="C73" s="214">
        <f>'สูตร 4 step SB'!T291</f>
        <v>53</v>
      </c>
      <c r="D73" s="215">
        <f>'สูตร 4 step SB'!T292</f>
        <v>54</v>
      </c>
      <c r="E73" s="215">
        <f>'สูตร 4 step SB'!T293</f>
        <v>55</v>
      </c>
      <c r="F73" s="215">
        <f>'สูตร 4 step SB'!U290</f>
        <v>60</v>
      </c>
      <c r="G73" s="216">
        <f>'สูตร 4 step SB'!U291</f>
        <v>61</v>
      </c>
      <c r="H73" s="215">
        <f>'สูตร 4 step SB'!U292</f>
        <v>62</v>
      </c>
      <c r="I73" s="215">
        <f>'สูตร 4 step SB'!U293</f>
        <v>63</v>
      </c>
      <c r="J73" s="215">
        <f>'สูตร 4 step SB'!V290</f>
        <v>52</v>
      </c>
      <c r="K73" s="216">
        <f>'สูตร 4 step SB'!V291</f>
        <v>53</v>
      </c>
      <c r="L73" s="215">
        <f>'สูตร 4 step SB'!V292</f>
        <v>54</v>
      </c>
      <c r="M73" s="215">
        <f>'สูตร 4 step SB'!V293</f>
        <v>55</v>
      </c>
    </row>
    <row r="74" spans="1:13" s="133" customFormat="1" x14ac:dyDescent="0.25">
      <c r="A74" s="258" t="s">
        <v>189</v>
      </c>
      <c r="B74" s="118">
        <f>'สูตร 4 step SB'!T318</f>
        <v>71</v>
      </c>
      <c r="C74" s="214">
        <f>'สูตร 4 step SB'!T319</f>
        <v>73</v>
      </c>
      <c r="D74" s="215">
        <f>'สูตร 4 step SB'!T320</f>
        <v>74</v>
      </c>
      <c r="E74" s="215">
        <f>'สูตร 4 step SB'!T321</f>
        <v>76</v>
      </c>
      <c r="F74" s="215">
        <f>'สูตร 4 step SB'!U318</f>
        <v>80</v>
      </c>
      <c r="G74" s="216">
        <f>'สูตร 4 step SB'!U319</f>
        <v>82</v>
      </c>
      <c r="H74" s="215">
        <f>'สูตร 4 step SB'!U320</f>
        <v>83</v>
      </c>
      <c r="I74" s="215">
        <f>'สูตร 4 step SB'!U321</f>
        <v>85</v>
      </c>
      <c r="J74" s="215">
        <f>'สูตร 4 step SB'!V318</f>
        <v>71</v>
      </c>
      <c r="K74" s="216">
        <f>'สูตร 4 step SB'!V319</f>
        <v>73</v>
      </c>
      <c r="L74" s="215">
        <f>'สูตร 4 step SB'!V320</f>
        <v>74</v>
      </c>
      <c r="M74" s="215">
        <f>'สูตร 4 step SB'!V321</f>
        <v>76</v>
      </c>
    </row>
    <row r="75" spans="1:13" s="133" customFormat="1" x14ac:dyDescent="0.25">
      <c r="A75" s="258"/>
      <c r="B75" s="118"/>
      <c r="C75" s="214"/>
      <c r="D75" s="215"/>
      <c r="E75" s="215"/>
      <c r="F75" s="215"/>
      <c r="G75" s="216"/>
      <c r="H75" s="215"/>
      <c r="I75" s="215"/>
      <c r="J75" s="215"/>
      <c r="K75" s="216"/>
      <c r="L75" s="215"/>
      <c r="M75" s="215"/>
    </row>
    <row r="76" spans="1:13" s="133" customFormat="1" x14ac:dyDescent="0.25">
      <c r="A76" s="258" t="s">
        <v>41</v>
      </c>
      <c r="B76" s="240">
        <f>'สูตร 4 step SB'!T426</f>
        <v>123</v>
      </c>
      <c r="C76" s="239">
        <f>'สูตร 4 step SB'!T427</f>
        <v>125</v>
      </c>
      <c r="D76" s="240">
        <f>'สูตร 4 step SB'!T428</f>
        <v>127</v>
      </c>
      <c r="E76" s="240">
        <f>'สูตร 4 step SB'!T429</f>
        <v>129</v>
      </c>
      <c r="F76" s="240">
        <f>'สูตร 4 step SB'!U426</f>
        <v>140</v>
      </c>
      <c r="G76" s="238">
        <f>'สูตร 4 step SB'!U427</f>
        <v>142</v>
      </c>
      <c r="H76" s="240">
        <f>'สูตร 4 step SB'!U428</f>
        <v>144</v>
      </c>
      <c r="I76" s="240">
        <f>'สูตร 4 step SB'!U429</f>
        <v>146</v>
      </c>
      <c r="J76" s="240">
        <f>'สูตร 4 step SB'!V426</f>
        <v>123</v>
      </c>
      <c r="K76" s="238">
        <f>'สูตร 4 step SB'!V427</f>
        <v>125</v>
      </c>
      <c r="L76" s="240">
        <f>'สูตร 4 step SB'!V428</f>
        <v>127</v>
      </c>
      <c r="M76" s="240">
        <f>'สูตร 4 step SB'!V429</f>
        <v>129</v>
      </c>
    </row>
    <row r="77" spans="1:13" s="133" customFormat="1" x14ac:dyDescent="0.25">
      <c r="A77" s="258" t="s">
        <v>42</v>
      </c>
      <c r="B77" s="240">
        <f>'สูตร 4 step SB'!T454</f>
        <v>63</v>
      </c>
      <c r="C77" s="239">
        <f>'สูตร 4 step SB'!T455</f>
        <v>64</v>
      </c>
      <c r="D77" s="240">
        <f>'สูตร 4 step SB'!T456</f>
        <v>65</v>
      </c>
      <c r="E77" s="240">
        <f>'สูตร 4 step SB'!T457</f>
        <v>66</v>
      </c>
      <c r="F77" s="240">
        <f>'สูตร 4 step SB'!U454</f>
        <v>71</v>
      </c>
      <c r="G77" s="238">
        <f>'สูตร 4 step SB'!U455</f>
        <v>72</v>
      </c>
      <c r="H77" s="240">
        <f>'สูตร 4 step SB'!U456</f>
        <v>73</v>
      </c>
      <c r="I77" s="240">
        <f>'สูตร 4 step SB'!U457</f>
        <v>74</v>
      </c>
      <c r="J77" s="240">
        <f>'สูตร 4 step SB'!V454</f>
        <v>63</v>
      </c>
      <c r="K77" s="238">
        <f>'สูตร 4 step SB'!V455</f>
        <v>64</v>
      </c>
      <c r="L77" s="240">
        <f>'สูตร 4 step SB'!V456</f>
        <v>65</v>
      </c>
      <c r="M77" s="240">
        <f>'สูตร 4 step SB'!V457</f>
        <v>66</v>
      </c>
    </row>
    <row r="78" spans="1:13" s="133" customFormat="1" x14ac:dyDescent="0.25">
      <c r="A78" s="258" t="s">
        <v>43</v>
      </c>
      <c r="B78" s="240">
        <f>'สูตร 4 step SB'!T481</f>
        <v>63</v>
      </c>
      <c r="C78" s="239">
        <f>'สูตร 4 step SB'!T482</f>
        <v>64</v>
      </c>
      <c r="D78" s="240">
        <f>'สูตร 4 step SB'!T483</f>
        <v>65</v>
      </c>
      <c r="E78" s="240">
        <f>'สูตร 4 step SB'!T484</f>
        <v>66</v>
      </c>
      <c r="F78" s="240">
        <f>'สูตร 4 step SB'!U481</f>
        <v>71</v>
      </c>
      <c r="G78" s="238">
        <f>'สูตร 4 step SB'!U482</f>
        <v>72</v>
      </c>
      <c r="H78" s="240">
        <f>'สูตร 4 step SB'!U483</f>
        <v>73</v>
      </c>
      <c r="I78" s="240">
        <f>'สูตร 4 step SB'!U484</f>
        <v>74</v>
      </c>
      <c r="J78" s="240">
        <f>'สูตร 4 step SB'!V481</f>
        <v>63</v>
      </c>
      <c r="K78" s="238">
        <f>'สูตร 4 step SB'!V482</f>
        <v>64</v>
      </c>
      <c r="L78" s="240">
        <f>'สูตร 4 step SB'!V483</f>
        <v>65</v>
      </c>
      <c r="M78" s="240">
        <f>'สูตร 4 step SB'!V484</f>
        <v>66</v>
      </c>
    </row>
    <row r="79" spans="1:13" s="133" customFormat="1" x14ac:dyDescent="0.25">
      <c r="A79" s="258" t="s">
        <v>44</v>
      </c>
      <c r="B79" s="240">
        <f>'สูตร 4 step SB'!T509</f>
        <v>186</v>
      </c>
      <c r="C79" s="239">
        <f>'สูตร 4 step SB'!T510</f>
        <v>189</v>
      </c>
      <c r="D79" s="240">
        <f>'สูตร 4 step SB'!T511</f>
        <v>191</v>
      </c>
      <c r="E79" s="240">
        <f>'สูตร 4 step SB'!T512</f>
        <v>193</v>
      </c>
      <c r="F79" s="240">
        <f>'สูตร 4 step SB'!U509</f>
        <v>212</v>
      </c>
      <c r="G79" s="238">
        <f>'สูตร 4 step SB'!U510</f>
        <v>215</v>
      </c>
      <c r="H79" s="240">
        <f>'สูตร 4 step SB'!U511</f>
        <v>217</v>
      </c>
      <c r="I79" s="240">
        <f>'สูตร 4 step SB'!U512</f>
        <v>219</v>
      </c>
      <c r="J79" s="240">
        <f>'สูตร 4 step SB'!V509</f>
        <v>186</v>
      </c>
      <c r="K79" s="238">
        <f>'สูตร 4 step SB'!V510</f>
        <v>189</v>
      </c>
      <c r="L79" s="240">
        <f>'สูตร 4 step SB'!V511</f>
        <v>191</v>
      </c>
      <c r="M79" s="240">
        <f>'สูตร 4 step SB'!V512</f>
        <v>193</v>
      </c>
    </row>
    <row r="80" spans="1:13" s="133" customFormat="1" x14ac:dyDescent="0.25">
      <c r="A80" s="258" t="s">
        <v>112</v>
      </c>
      <c r="B80" s="240">
        <f>'สูตร 4 step SB'!T591</f>
        <v>262</v>
      </c>
      <c r="C80" s="239">
        <f>'สูตร 4 step SB'!T592</f>
        <v>266</v>
      </c>
      <c r="D80" s="240">
        <f>'สูตร 4 step SB'!T593</f>
        <v>268</v>
      </c>
      <c r="E80" s="240">
        <f>'สูตร 4 step SB'!T594</f>
        <v>270</v>
      </c>
      <c r="F80" s="240">
        <f>'สูตร 4 step SB'!U591</f>
        <v>295</v>
      </c>
      <c r="G80" s="238">
        <f>'สูตร 4 step SB'!U592</f>
        <v>299</v>
      </c>
      <c r="H80" s="240">
        <f>'สูตร 4 step SB'!U593</f>
        <v>301</v>
      </c>
      <c r="I80" s="240">
        <f>'สูตร 4 step SB'!U594</f>
        <v>303</v>
      </c>
      <c r="J80" s="240">
        <f>'สูตร 4 step SB'!V591</f>
        <v>262</v>
      </c>
      <c r="K80" s="238">
        <f>'สูตร 4 step SB'!V592</f>
        <v>266</v>
      </c>
      <c r="L80" s="240">
        <f>'สูตร 4 step SB'!V593</f>
        <v>268</v>
      </c>
      <c r="M80" s="240">
        <f>'สูตร 4 step SB'!V594</f>
        <v>270</v>
      </c>
    </row>
    <row r="81" spans="1:13" s="133" customFormat="1" x14ac:dyDescent="0.25">
      <c r="A81" s="258" t="s">
        <v>221</v>
      </c>
      <c r="B81" s="240"/>
      <c r="C81" s="239"/>
      <c r="D81" s="240"/>
      <c r="E81" s="240"/>
      <c r="F81" s="240"/>
      <c r="G81" s="238"/>
      <c r="H81" s="240"/>
      <c r="I81" s="240"/>
      <c r="J81" s="240"/>
      <c r="K81" s="238"/>
      <c r="L81" s="240"/>
      <c r="M81" s="240"/>
    </row>
    <row r="82" spans="1:13" s="133" customFormat="1" x14ac:dyDescent="0.25">
      <c r="A82" s="258" t="s">
        <v>222</v>
      </c>
      <c r="B82" s="240"/>
      <c r="C82" s="239"/>
      <c r="D82" s="240"/>
      <c r="E82" s="240"/>
      <c r="F82" s="240"/>
      <c r="G82" s="238"/>
      <c r="H82" s="240"/>
      <c r="I82" s="240"/>
      <c r="J82" s="240"/>
      <c r="K82" s="238"/>
      <c r="L82" s="240"/>
      <c r="M82" s="240"/>
    </row>
    <row r="83" spans="1:13" s="133" customFormat="1" x14ac:dyDescent="0.25">
      <c r="A83" s="258"/>
      <c r="B83" s="240"/>
      <c r="C83" s="239"/>
      <c r="D83" s="240"/>
      <c r="E83" s="240"/>
      <c r="F83" s="240"/>
      <c r="G83" s="238"/>
      <c r="H83" s="240"/>
      <c r="I83" s="240"/>
      <c r="J83" s="240"/>
      <c r="K83" s="238"/>
      <c r="L83" s="240"/>
      <c r="M83" s="240"/>
    </row>
    <row r="84" spans="1:13" s="144" customFormat="1" x14ac:dyDescent="0.25">
      <c r="A84" s="250" t="s">
        <v>167</v>
      </c>
      <c r="B84" s="141">
        <f>'สูตร 4 step SB'!T370</f>
        <v>40</v>
      </c>
      <c r="C84" s="148">
        <f>'สูตร 4 step SB'!T371</f>
        <v>41</v>
      </c>
      <c r="D84" s="141">
        <f>'สูตร 4 step SB'!T372</f>
        <v>42</v>
      </c>
      <c r="E84" s="141">
        <f>'สูตร 4 step SB'!T373</f>
        <v>43</v>
      </c>
      <c r="F84" s="141">
        <f>'สูตร 4 step SB'!U370</f>
        <v>43</v>
      </c>
      <c r="G84" s="143">
        <f>'สูตร 4 step SB'!U371</f>
        <v>44</v>
      </c>
      <c r="H84" s="141">
        <f>'สูตร 4 step SB'!U372</f>
        <v>45</v>
      </c>
      <c r="I84" s="141">
        <f>'สูตร 4 step SB'!U373</f>
        <v>46</v>
      </c>
      <c r="J84" s="141">
        <f>'สูตร 4 step SB'!V370</f>
        <v>40</v>
      </c>
      <c r="K84" s="143">
        <f>'สูตร 4 step SB'!V371</f>
        <v>41</v>
      </c>
      <c r="L84" s="141">
        <f>'สูตร 4 step SB'!V372</f>
        <v>42</v>
      </c>
      <c r="M84" s="141">
        <f>'สูตร 4 step SB'!V373</f>
        <v>43</v>
      </c>
    </row>
    <row r="85" spans="1:13" s="144" customFormat="1" x14ac:dyDescent="0.25">
      <c r="A85" s="254" t="s">
        <v>168</v>
      </c>
      <c r="B85" s="186">
        <f>'สูตร 4 step SB'!T398</f>
        <v>40</v>
      </c>
      <c r="C85" s="185">
        <f>'สูตร 4 step SB'!T399</f>
        <v>41</v>
      </c>
      <c r="D85" s="186">
        <f>'สูตร 4 step SB'!T400</f>
        <v>42</v>
      </c>
      <c r="E85" s="186">
        <f>'สูตร 4 step SB'!T401</f>
        <v>43</v>
      </c>
      <c r="F85" s="186">
        <f>'สูตร 4 step SB'!U398</f>
        <v>42</v>
      </c>
      <c r="G85" s="184">
        <f>'สูตร 4 step SB'!U399</f>
        <v>43</v>
      </c>
      <c r="H85" s="186">
        <f>'สูตร 4 step SB'!U400</f>
        <v>44</v>
      </c>
      <c r="I85" s="186">
        <f>'สูตร 4 step SB'!U401</f>
        <v>45</v>
      </c>
      <c r="J85" s="186">
        <f>'สูตร 4 step SB'!V398</f>
        <v>40</v>
      </c>
      <c r="K85" s="184">
        <f>'สูตร 4 step SB'!V399</f>
        <v>41</v>
      </c>
      <c r="L85" s="186">
        <f>'สูตร 4 step SB'!V400</f>
        <v>42</v>
      </c>
      <c r="M85" s="186">
        <f>'สูตร 4 step SB'!V401</f>
        <v>43</v>
      </c>
    </row>
    <row r="86" spans="1:13" s="144" customFormat="1" x14ac:dyDescent="0.25">
      <c r="A86" s="254" t="s">
        <v>169</v>
      </c>
      <c r="B86" s="186">
        <f>'สูตร 4 step SB'!T1143</f>
        <v>0</v>
      </c>
      <c r="C86" s="185">
        <f>'สูตร 4 step SB'!T1144</f>
        <v>0</v>
      </c>
      <c r="D86" s="184">
        <f>'สูตร 4 step SB'!T1145</f>
        <v>0</v>
      </c>
      <c r="E86" s="184">
        <f>'สูตร 4 step SB'!T1146</f>
        <v>0</v>
      </c>
      <c r="F86" s="186">
        <f>'สูตร 4 step SB'!U1143</f>
        <v>0</v>
      </c>
      <c r="G86" s="184">
        <f>'สูตร 4 step SB'!U1144</f>
        <v>0</v>
      </c>
      <c r="H86" s="186">
        <f>'สูตร 4 step SB'!U1145</f>
        <v>0</v>
      </c>
      <c r="I86" s="186">
        <f>'สูตร 4 step SB'!U1146</f>
        <v>0</v>
      </c>
      <c r="J86" s="186">
        <f>'สูตร 4 step SB'!V1143</f>
        <v>0</v>
      </c>
      <c r="K86" s="184">
        <f>'สูตร 4 step SB'!V1144</f>
        <v>0</v>
      </c>
      <c r="L86" s="186">
        <f>'สูตร 4 step SB'!V1145</f>
        <v>0</v>
      </c>
      <c r="M86" s="186">
        <f>'สูตร 4 step SB'!V1146</f>
        <v>0</v>
      </c>
    </row>
    <row r="87" spans="1:13" s="133" customFormat="1" x14ac:dyDescent="0.25">
      <c r="A87" s="258" t="s">
        <v>170</v>
      </c>
      <c r="B87" s="225">
        <f>'สูตร 4 step SB'!T536</f>
        <v>30</v>
      </c>
      <c r="C87" s="241">
        <f>'สูตร 4 step SB'!T537</f>
        <v>31</v>
      </c>
      <c r="D87" s="241">
        <f>'สูตร 4 step SB'!T538</f>
        <v>32</v>
      </c>
      <c r="E87" s="241">
        <f>'สูตร 4 step SB'!T539</f>
        <v>33</v>
      </c>
      <c r="F87" s="225">
        <f>'สูตร 4 step SB'!U536</f>
        <v>33</v>
      </c>
      <c r="G87" s="241">
        <f>'สูตร 4 step SB'!U537</f>
        <v>34</v>
      </c>
      <c r="H87" s="225">
        <f>'สูตร 4 step SB'!U538</f>
        <v>35</v>
      </c>
      <c r="I87" s="225">
        <f>'สูตร 4 step SB'!U539</f>
        <v>36</v>
      </c>
      <c r="J87" s="225">
        <f>'สูตร 4 step SB'!V536</f>
        <v>30</v>
      </c>
      <c r="K87" s="241">
        <f>'สูตร 4 step SB'!V537</f>
        <v>31</v>
      </c>
      <c r="L87" s="225">
        <f>'สูตร 4 step SB'!V538</f>
        <v>32</v>
      </c>
      <c r="M87" s="225">
        <f>'สูตร 4 step SB'!V539</f>
        <v>33</v>
      </c>
    </row>
    <row r="88" spans="1:13" s="133" customFormat="1" x14ac:dyDescent="0.25">
      <c r="A88" s="267" t="s">
        <v>171</v>
      </c>
      <c r="B88" s="244">
        <f>'สูตร 4 step SB'!T564</f>
        <v>34</v>
      </c>
      <c r="C88" s="243">
        <f>'สูตร 4 step SB'!T565</f>
        <v>35</v>
      </c>
      <c r="D88" s="244">
        <f>'สูตร 4 step SB'!T566</f>
        <v>36</v>
      </c>
      <c r="E88" s="244">
        <f>'สูตร 4 step SB'!T567</f>
        <v>37</v>
      </c>
      <c r="F88" s="244">
        <f>'สูตร 4 step SB'!U564</f>
        <v>36</v>
      </c>
      <c r="G88" s="242">
        <f>'สูตร 4 step SB'!U565</f>
        <v>37</v>
      </c>
      <c r="H88" s="244">
        <f>'สูตร 4 step SB'!U566</f>
        <v>38</v>
      </c>
      <c r="I88" s="244">
        <f>'สูตร 4 step SB'!U567</f>
        <v>39</v>
      </c>
      <c r="J88" s="244">
        <f>'สูตร 4 step SB'!V564</f>
        <v>34</v>
      </c>
      <c r="K88" s="242">
        <f>'สูตร 4 step SB'!V565</f>
        <v>35</v>
      </c>
      <c r="L88" s="244">
        <f>'สูตร 4 step SB'!V566</f>
        <v>36</v>
      </c>
      <c r="M88" s="244">
        <f>'สูตร 4 step SB'!V567</f>
        <v>37</v>
      </c>
    </row>
    <row r="89" spans="1:13" s="133" customFormat="1" x14ac:dyDescent="0.25">
      <c r="A89" s="267"/>
      <c r="B89" s="244"/>
      <c r="C89" s="243"/>
      <c r="D89" s="244"/>
      <c r="E89" s="244"/>
      <c r="F89" s="244"/>
      <c r="G89" s="242"/>
      <c r="H89" s="244"/>
      <c r="I89" s="244"/>
      <c r="J89" s="244"/>
      <c r="K89" s="242"/>
      <c r="L89" s="244"/>
      <c r="M89" s="244"/>
    </row>
    <row r="90" spans="1:13" s="133" customFormat="1" x14ac:dyDescent="0.25">
      <c r="A90" s="268" t="s">
        <v>141</v>
      </c>
      <c r="B90" s="225">
        <f>'สูตร 4 step SB'!T753</f>
        <v>0</v>
      </c>
      <c r="C90" s="225">
        <f>'สูตร 4 step SB'!T754</f>
        <v>0</v>
      </c>
      <c r="D90" s="225">
        <f>'สูตร 4 step SB'!T755</f>
        <v>0</v>
      </c>
      <c r="E90" s="225">
        <f>'สูตร 4 step SB'!T756</f>
        <v>0</v>
      </c>
      <c r="F90" s="118">
        <f>'สูตร 4 step SB'!U753</f>
        <v>0</v>
      </c>
      <c r="G90" s="118">
        <f>'สูตร 4 step SB'!U754</f>
        <v>0</v>
      </c>
      <c r="H90" s="118">
        <f>'สูตร 4 step SB'!U755</f>
        <v>0</v>
      </c>
      <c r="I90" s="118">
        <f>'สูตร 4 step SB'!U756</f>
        <v>0</v>
      </c>
      <c r="J90" s="118">
        <f>'สูตร 4 step SB'!V753</f>
        <v>0</v>
      </c>
      <c r="K90" s="118">
        <f>'สูตร 4 step SB'!V754</f>
        <v>0</v>
      </c>
      <c r="L90" s="118">
        <f>'สูตร 4 step SB'!V755</f>
        <v>0</v>
      </c>
      <c r="M90" s="118">
        <f>'สูตร 4 step SB'!V756</f>
        <v>0</v>
      </c>
    </row>
    <row r="91" spans="1:13" s="133" customFormat="1" x14ac:dyDescent="0.25">
      <c r="A91" s="268" t="s">
        <v>161</v>
      </c>
      <c r="B91" s="225">
        <f>'สูตร 4 step SB'!T975</f>
        <v>0</v>
      </c>
      <c r="C91" s="225">
        <f>'สูตร 4 step SB'!T976</f>
        <v>0</v>
      </c>
      <c r="D91" s="225">
        <f>'สูตร 4 step SB'!T977</f>
        <v>0</v>
      </c>
      <c r="E91" s="225">
        <f>'สูตร 4 step SB'!T978</f>
        <v>0</v>
      </c>
      <c r="F91" s="118">
        <f>'สูตร 4 step SB'!U975</f>
        <v>0</v>
      </c>
      <c r="G91" s="118">
        <f>'สูตร 4 step SB'!U976</f>
        <v>0</v>
      </c>
      <c r="H91" s="118">
        <f>'สูตร 4 step SB'!U977</f>
        <v>0</v>
      </c>
      <c r="I91" s="118">
        <f>'สูตร 4 step SB'!U978</f>
        <v>0</v>
      </c>
      <c r="J91" s="118">
        <f>'สูตร 4 step SB'!V975</f>
        <v>0</v>
      </c>
      <c r="K91" s="118">
        <f>'สูตร 4 step SB'!V976</f>
        <v>0</v>
      </c>
      <c r="L91" s="118">
        <f>'สูตร 4 step SB'!V977</f>
        <v>0</v>
      </c>
      <c r="M91" s="118">
        <f>'สูตร 4 step SB'!V978</f>
        <v>0</v>
      </c>
    </row>
    <row r="92" spans="1:13" s="133" customFormat="1" x14ac:dyDescent="0.25">
      <c r="A92" s="268" t="s">
        <v>140</v>
      </c>
      <c r="B92" s="225">
        <f>'สูตร 4 step SB'!T1003</f>
        <v>0</v>
      </c>
      <c r="C92" s="225">
        <f>'สูตร 4 step SB'!T1001</f>
        <v>0</v>
      </c>
      <c r="D92" s="225">
        <f>'สูตร 4 step SB'!T1003</f>
        <v>0</v>
      </c>
      <c r="E92" s="225">
        <f>'สูตร 4 step SB'!T1004</f>
        <v>0</v>
      </c>
      <c r="F92" s="118">
        <f>'สูตร 4 step SB'!U1003</f>
        <v>0</v>
      </c>
      <c r="G92" s="118">
        <f>'สูตร 4 step SB'!U1001</f>
        <v>0</v>
      </c>
      <c r="H92" s="118">
        <f>'สูตร 4 step SB'!U1003</f>
        <v>0</v>
      </c>
      <c r="I92" s="118">
        <f>'สูตร 4 step SB'!U1004</f>
        <v>0</v>
      </c>
      <c r="J92" s="118">
        <f>'สูตร 4 step SB'!V1003</f>
        <v>0</v>
      </c>
      <c r="K92" s="118">
        <f>'สูตร 4 step SB'!V1001</f>
        <v>0</v>
      </c>
      <c r="L92" s="118">
        <f>'สูตร 4 step SB'!V1003</f>
        <v>0</v>
      </c>
      <c r="M92" s="118">
        <f>'สูตร 4 step SB'!V1004</f>
        <v>0</v>
      </c>
    </row>
    <row r="93" spans="1:13" s="133" customFormat="1" x14ac:dyDescent="0.25">
      <c r="A93" s="268" t="s">
        <v>162</v>
      </c>
      <c r="B93" s="225">
        <f>'สูตร 4 step SB'!T1031</f>
        <v>0</v>
      </c>
      <c r="C93" s="225">
        <f>'สูตร 4 step SB'!T1032</f>
        <v>0</v>
      </c>
      <c r="D93" s="225">
        <f>'สูตร 4 step SB'!T1033</f>
        <v>0</v>
      </c>
      <c r="E93" s="225">
        <f>'สูตร 4 step SB'!T1034</f>
        <v>0</v>
      </c>
      <c r="F93" s="118">
        <f>'สูตร 4 step SB'!U1031</f>
        <v>0</v>
      </c>
      <c r="G93" s="118">
        <f>'สูตร 4 step SB'!U1032</f>
        <v>0</v>
      </c>
      <c r="H93" s="118">
        <f>'สูตร 4 step SB'!U1033</f>
        <v>0</v>
      </c>
      <c r="I93" s="118">
        <f>'สูตร 4 step SB'!U1034</f>
        <v>0</v>
      </c>
      <c r="J93" s="118">
        <f>'สูตร 4 step SB'!V1031</f>
        <v>0</v>
      </c>
      <c r="K93" s="118">
        <f>'สูตร 4 step SB'!V1032</f>
        <v>0</v>
      </c>
      <c r="L93" s="118">
        <f>'สูตร 4 step SB'!V1033</f>
        <v>0</v>
      </c>
      <c r="M93" s="118">
        <f>'สูตร 4 step SB'!V1034</f>
        <v>0</v>
      </c>
    </row>
    <row r="94" spans="1:13" s="133" customFormat="1" x14ac:dyDescent="0.25">
      <c r="A94" s="268" t="s">
        <v>163</v>
      </c>
      <c r="B94" s="225">
        <f>'สูตร 4 step SB'!T1059</f>
        <v>0</v>
      </c>
      <c r="C94" s="225">
        <f>'สูตร 4 step SB'!T1060</f>
        <v>0</v>
      </c>
      <c r="D94" s="225">
        <f>'สูตร 4 step SB'!T1061</f>
        <v>0</v>
      </c>
      <c r="E94" s="225">
        <f>'สูตร 4 step SB'!T1062</f>
        <v>0</v>
      </c>
      <c r="F94" s="118">
        <f>'สูตร 4 step SB'!U1059</f>
        <v>0</v>
      </c>
      <c r="G94" s="118">
        <f>'สูตร 4 step SB'!U1060</f>
        <v>0</v>
      </c>
      <c r="H94" s="118">
        <f>'สูตร 4 step SB'!U1061</f>
        <v>0</v>
      </c>
      <c r="I94" s="118">
        <f>'สูตร 4 step SB'!U1062</f>
        <v>0</v>
      </c>
      <c r="J94" s="118">
        <f>'สูตร 4 step SB'!V1059</f>
        <v>0</v>
      </c>
      <c r="K94" s="118">
        <f>'สูตร 4 step SB'!V1060</f>
        <v>0</v>
      </c>
      <c r="L94" s="118">
        <f>'สูตร 4 step SB'!V1061</f>
        <v>0</v>
      </c>
      <c r="M94" s="118">
        <f>'สูตร 4 step SB'!V1062</f>
        <v>0</v>
      </c>
    </row>
    <row r="95" spans="1:13" s="133" customFormat="1" x14ac:dyDescent="0.25">
      <c r="A95" s="268" t="s">
        <v>164</v>
      </c>
      <c r="B95" s="225">
        <f>'สูตร 4 step SB'!T1087</f>
        <v>0</v>
      </c>
      <c r="C95" s="225">
        <f>'สูตร 4 step SB'!T1088</f>
        <v>0</v>
      </c>
      <c r="D95" s="225">
        <f>'สูตร 4 step SB'!T1089</f>
        <v>0</v>
      </c>
      <c r="E95" s="225">
        <f>'สูตร 4 step SB'!T1090</f>
        <v>0</v>
      </c>
      <c r="F95" s="118">
        <f>'สูตร 4 step SB'!U1087</f>
        <v>0</v>
      </c>
      <c r="G95" s="118">
        <f>'สูตร 4 step SB'!U1088</f>
        <v>0</v>
      </c>
      <c r="H95" s="118">
        <f>'สูตร 4 step SB'!U1089</f>
        <v>0</v>
      </c>
      <c r="I95" s="118">
        <f>'สูตร 4 step SB'!U1090</f>
        <v>0</v>
      </c>
      <c r="J95" s="118">
        <f>'สูตร 4 step SB'!V1087</f>
        <v>0</v>
      </c>
      <c r="K95" s="118">
        <f>'สูตร 4 step SB'!V1088</f>
        <v>0</v>
      </c>
      <c r="L95" s="118">
        <f>'สูตร 4 step SB'!V1089</f>
        <v>0</v>
      </c>
      <c r="M95" s="118">
        <f>'สูตร 4 step SB'!V1090</f>
        <v>0</v>
      </c>
    </row>
    <row r="96" spans="1:13" s="133" customFormat="1" x14ac:dyDescent="0.25">
      <c r="A96" s="268" t="s">
        <v>165</v>
      </c>
      <c r="B96" s="225">
        <f>'สูตร 4 step SB'!T1115</f>
        <v>0</v>
      </c>
      <c r="C96" s="225">
        <f>'สูตร 4 step SB'!T1116</f>
        <v>0</v>
      </c>
      <c r="D96" s="225">
        <f>'สูตร 4 step SB'!T1117</f>
        <v>0</v>
      </c>
      <c r="E96" s="225">
        <f>'สูตร 4 step SB'!T1118</f>
        <v>0</v>
      </c>
      <c r="F96" s="118">
        <f>'สูตร 4 step SB'!U1115</f>
        <v>0</v>
      </c>
      <c r="G96" s="118">
        <f>'สูตร 4 step SB'!U1116</f>
        <v>0</v>
      </c>
      <c r="H96" s="118">
        <f>'สูตร 4 step SB'!U1117</f>
        <v>0</v>
      </c>
      <c r="I96" s="118">
        <f>'สูตร 4 step SB'!U1118</f>
        <v>0</v>
      </c>
      <c r="J96" s="118">
        <f>'สูตร 4 step SB'!V1115</f>
        <v>0</v>
      </c>
      <c r="K96" s="118">
        <f>'สูตร 4 step SB'!V1116</f>
        <v>0</v>
      </c>
      <c r="L96" s="118">
        <f>'สูตร 4 step SB'!V1117</f>
        <v>0</v>
      </c>
      <c r="M96" s="118">
        <f>'สูตร 4 step SB'!V1118</f>
        <v>0</v>
      </c>
    </row>
    <row r="97" spans="1:13" s="144" customFormat="1" x14ac:dyDescent="0.25">
      <c r="A97" s="255"/>
      <c r="B97" s="190"/>
      <c r="C97" s="190"/>
      <c r="D97" s="190"/>
      <c r="E97" s="190"/>
      <c r="F97" s="141"/>
      <c r="G97" s="141"/>
      <c r="H97" s="141"/>
      <c r="I97" s="141"/>
      <c r="J97" s="141"/>
      <c r="K97" s="141"/>
      <c r="L97" s="141"/>
      <c r="M97" s="141"/>
    </row>
    <row r="98" spans="1:13" s="144" customFormat="1" x14ac:dyDescent="0.25">
      <c r="A98" s="255" t="s">
        <v>148</v>
      </c>
      <c r="B98" s="190">
        <f>'สูตร 4 step SB'!T807</f>
        <v>0</v>
      </c>
      <c r="C98" s="190">
        <f>'สูตร 4 step SB'!T808</f>
        <v>0</v>
      </c>
      <c r="D98" s="190">
        <f>'สูตร 4 step SB'!T809</f>
        <v>0</v>
      </c>
      <c r="E98" s="190">
        <f>'สูตร 4 step SB'!T810</f>
        <v>0</v>
      </c>
      <c r="F98" s="141">
        <f>'สูตร 4 step SB'!U807</f>
        <v>0</v>
      </c>
      <c r="G98" s="141">
        <f>'สูตร 4 step SB'!U808</f>
        <v>0</v>
      </c>
      <c r="H98" s="141">
        <f>'สูตร 4 step SB'!U809</f>
        <v>0</v>
      </c>
      <c r="I98" s="141">
        <f>'สูตร 4 step SB'!U810</f>
        <v>0</v>
      </c>
      <c r="J98" s="141">
        <f>'สูตร 4 step SB'!V807</f>
        <v>0</v>
      </c>
      <c r="K98" s="141">
        <f>'สูตร 4 step SB'!V808</f>
        <v>0</v>
      </c>
      <c r="L98" s="141">
        <f>'สูตร 4 step SB'!V809</f>
        <v>0</v>
      </c>
      <c r="M98" s="141">
        <f>'สูตร 4 step SB'!V810</f>
        <v>0</v>
      </c>
    </row>
    <row r="99" spans="1:13" s="144" customFormat="1" x14ac:dyDescent="0.25">
      <c r="A99" s="255" t="s">
        <v>149</v>
      </c>
      <c r="B99" s="190">
        <f>'สูตร 4 step SB'!T835</f>
        <v>0</v>
      </c>
      <c r="C99" s="190">
        <f>'สูตร 4 step SB'!T836</f>
        <v>0</v>
      </c>
      <c r="D99" s="190">
        <f>'สูตร 4 step SB'!T837</f>
        <v>0</v>
      </c>
      <c r="E99" s="190">
        <f>'สูตร 4 step SB'!T838</f>
        <v>0</v>
      </c>
      <c r="F99" s="141">
        <f>'สูตร 4 step SB'!U835</f>
        <v>0</v>
      </c>
      <c r="G99" s="141">
        <f>'สูตร 4 step SB'!U836</f>
        <v>0</v>
      </c>
      <c r="H99" s="141">
        <f>'สูตร 4 step SB'!U837</f>
        <v>0</v>
      </c>
      <c r="I99" s="141">
        <f>'สูตร 4 step SB'!U838</f>
        <v>0</v>
      </c>
      <c r="J99" s="141">
        <f>'สูตร 4 step SB'!V835</f>
        <v>0</v>
      </c>
      <c r="K99" s="141">
        <f>'สูตร 4 step SB'!V836</f>
        <v>0</v>
      </c>
      <c r="L99" s="141">
        <f>'สูตร 4 step SB'!V837</f>
        <v>0</v>
      </c>
      <c r="M99" s="141">
        <f>'สูตร 4 step SB'!V838</f>
        <v>0</v>
      </c>
    </row>
    <row r="100" spans="1:13" s="144" customFormat="1" x14ac:dyDescent="0.25">
      <c r="A100" s="255" t="s">
        <v>150</v>
      </c>
      <c r="B100" s="190">
        <f>'สูตร 4 step SB'!T863</f>
        <v>0</v>
      </c>
      <c r="C100" s="190">
        <f>'สูตร 4 step SB'!T864</f>
        <v>0</v>
      </c>
      <c r="D100" s="190">
        <f>'สูตร 4 step SB'!T865</f>
        <v>0</v>
      </c>
      <c r="E100" s="190">
        <f>'สูตร 4 step SB'!T866</f>
        <v>0</v>
      </c>
      <c r="F100" s="141">
        <f>'สูตร 4 step SB'!U863</f>
        <v>0</v>
      </c>
      <c r="G100" s="141">
        <f>'สูตร 4 step SB'!U864</f>
        <v>0</v>
      </c>
      <c r="H100" s="141">
        <f>'สูตร 4 step SB'!U865</f>
        <v>0</v>
      </c>
      <c r="I100" s="141">
        <f>'สูตร 4 step SB'!U866</f>
        <v>0</v>
      </c>
      <c r="J100" s="141">
        <f>'สูตร 4 step SB'!V863</f>
        <v>0</v>
      </c>
      <c r="K100" s="141">
        <f>'สูตร 4 step SB'!V864</f>
        <v>0</v>
      </c>
      <c r="L100" s="141">
        <f>'สูตร 4 step SB'!V865</f>
        <v>0</v>
      </c>
      <c r="M100" s="141">
        <f>'สูตร 4 step SB'!V866</f>
        <v>0</v>
      </c>
    </row>
    <row r="101" spans="1:13" s="144" customFormat="1" x14ac:dyDescent="0.25">
      <c r="A101" s="255" t="s">
        <v>151</v>
      </c>
      <c r="B101" s="190">
        <f>'สูตร 4 step SB'!T891</f>
        <v>0</v>
      </c>
      <c r="C101" s="190">
        <f>'สูตร 4 step SB'!T892</f>
        <v>0</v>
      </c>
      <c r="D101" s="190">
        <f>'สูตร 4 step SB'!T893</f>
        <v>0</v>
      </c>
      <c r="E101" s="190">
        <f>'สูตร 4 step SB'!T894</f>
        <v>0</v>
      </c>
      <c r="F101" s="141">
        <f>'สูตร 4 step SB'!U891</f>
        <v>0</v>
      </c>
      <c r="G101" s="141">
        <f>'สูตร 4 step SB'!U892</f>
        <v>0</v>
      </c>
      <c r="H101" s="141">
        <f>'สูตร 4 step SB'!U893</f>
        <v>0</v>
      </c>
      <c r="I101" s="141">
        <f>'สูตร 4 step SB'!U894</f>
        <v>0</v>
      </c>
      <c r="J101" s="141">
        <f>'สูตร 4 step SB'!V891</f>
        <v>0</v>
      </c>
      <c r="K101" s="141">
        <f>'สูตร 4 step SB'!V892</f>
        <v>0</v>
      </c>
      <c r="L101" s="141">
        <f>'สูตร 4 step SB'!V893</f>
        <v>0</v>
      </c>
      <c r="M101" s="141">
        <f>'สูตร 4 step SB'!V894</f>
        <v>0</v>
      </c>
    </row>
    <row r="102" spans="1:13" s="144" customFormat="1" x14ac:dyDescent="0.25">
      <c r="A102" s="255" t="s">
        <v>152</v>
      </c>
      <c r="B102" s="190">
        <f>'สูตร 4 step SB'!T919</f>
        <v>0</v>
      </c>
      <c r="C102" s="190">
        <f>'สูตร 4 step SB'!T920</f>
        <v>0</v>
      </c>
      <c r="D102" s="190">
        <f>'สูตร 4 step SB'!T921</f>
        <v>0</v>
      </c>
      <c r="E102" s="190">
        <f>'สูตร 4 step SB'!T922</f>
        <v>0</v>
      </c>
      <c r="F102" s="141">
        <f>'สูตร 4 step SB'!U919</f>
        <v>0</v>
      </c>
      <c r="G102" s="141">
        <f>'สูตร 4 step SB'!U920</f>
        <v>0</v>
      </c>
      <c r="H102" s="141">
        <f>'สูตร 4 step SB'!U921</f>
        <v>0</v>
      </c>
      <c r="I102" s="141">
        <f>'สูตร 4 step SB'!U922</f>
        <v>0</v>
      </c>
      <c r="J102" s="141">
        <f>'สูตร 4 step SB'!V919</f>
        <v>0</v>
      </c>
      <c r="K102" s="141">
        <f>'สูตร 4 step SB'!V920</f>
        <v>0</v>
      </c>
      <c r="L102" s="141">
        <f>'สูตร 4 step SB'!V921</f>
        <v>0</v>
      </c>
      <c r="M102" s="141">
        <f>'สูตร 4 step SB'!V922</f>
        <v>0</v>
      </c>
    </row>
    <row r="103" spans="1:13" s="144" customFormat="1" x14ac:dyDescent="0.25">
      <c r="A103" s="255" t="s">
        <v>153</v>
      </c>
      <c r="B103" s="190">
        <f>'สูตร 4 step SB'!T947</f>
        <v>0</v>
      </c>
      <c r="C103" s="190">
        <f>'สูตร 4 step SB'!T948</f>
        <v>0</v>
      </c>
      <c r="D103" s="190">
        <f>'สูตร 4 step SB'!T949</f>
        <v>0</v>
      </c>
      <c r="E103" s="190">
        <f>'สูตร 4 step SB'!T950</f>
        <v>0</v>
      </c>
      <c r="F103" s="141">
        <f>'สูตร 4 step SB'!U947</f>
        <v>0</v>
      </c>
      <c r="G103" s="141">
        <f>'สูตร 4 step SB'!U948</f>
        <v>0</v>
      </c>
      <c r="H103" s="141">
        <f>'สูตร 4 step SB'!U949</f>
        <v>0</v>
      </c>
      <c r="I103" s="141">
        <f>'สูตร 4 step SB'!U950</f>
        <v>0</v>
      </c>
      <c r="J103" s="141">
        <f>'สูตร 4 step SB'!V947</f>
        <v>0</v>
      </c>
      <c r="K103" s="141">
        <f>'สูตร 4 step SB'!V948</f>
        <v>0</v>
      </c>
      <c r="L103" s="141">
        <f>'สูตร 4 step SB'!V949</f>
        <v>0</v>
      </c>
      <c r="M103" s="141">
        <f>'สูตร 4 step SB'!V950</f>
        <v>0</v>
      </c>
    </row>
    <row r="104" spans="1:13" s="144" customFormat="1" x14ac:dyDescent="0.25">
      <c r="A104" s="255"/>
      <c r="B104" s="190"/>
      <c r="C104" s="190"/>
      <c r="D104" s="190"/>
      <c r="E104" s="190"/>
      <c r="F104" s="141"/>
      <c r="G104" s="141"/>
      <c r="H104" s="141"/>
      <c r="I104" s="141"/>
      <c r="J104" s="141"/>
      <c r="K104" s="141"/>
      <c r="L104" s="141"/>
      <c r="M104" s="141"/>
    </row>
    <row r="105" spans="1:13" s="144" customFormat="1" x14ac:dyDescent="0.25">
      <c r="A105" s="255" t="s">
        <v>235</v>
      </c>
      <c r="B105" s="190" t="e">
        <f>#REF!*1.05</f>
        <v>#REF!</v>
      </c>
      <c r="C105" s="190" t="e">
        <f>#REF!*1.08</f>
        <v>#REF!</v>
      </c>
      <c r="D105" s="190" t="e">
        <f>#REF!*1.15</f>
        <v>#REF!</v>
      </c>
      <c r="E105" s="190" t="e">
        <f>B105*1.2</f>
        <v>#REF!</v>
      </c>
      <c r="F105" s="141"/>
      <c r="G105" s="141"/>
      <c r="H105" s="141"/>
      <c r="I105" s="141"/>
      <c r="J105" s="141"/>
      <c r="K105" s="141"/>
      <c r="L105" s="141"/>
      <c r="M105" s="141"/>
    </row>
    <row r="106" spans="1:13" s="144" customFormat="1" x14ac:dyDescent="0.25">
      <c r="A106" s="255"/>
      <c r="B106" s="190"/>
      <c r="C106" s="190"/>
      <c r="D106" s="190"/>
      <c r="E106" s="190"/>
      <c r="F106" s="141"/>
      <c r="G106" s="141"/>
      <c r="H106" s="141"/>
      <c r="I106" s="141"/>
      <c r="J106" s="141"/>
      <c r="K106" s="141"/>
      <c r="L106" s="141"/>
      <c r="M106" s="141"/>
    </row>
    <row r="107" spans="1:13" s="144" customFormat="1" x14ac:dyDescent="0.25">
      <c r="A107" s="255"/>
      <c r="B107" s="190"/>
      <c r="C107" s="190"/>
      <c r="D107" s="190"/>
      <c r="E107" s="190"/>
      <c r="F107" s="141"/>
      <c r="G107" s="141"/>
      <c r="H107" s="141"/>
      <c r="I107" s="141"/>
      <c r="J107" s="141"/>
      <c r="K107" s="141"/>
      <c r="L107" s="141"/>
      <c r="M107" s="141"/>
    </row>
    <row r="108" spans="1:13" s="144" customFormat="1" x14ac:dyDescent="0.25">
      <c r="A108" s="255"/>
      <c r="B108" s="190"/>
      <c r="C108" s="190"/>
      <c r="D108" s="190"/>
      <c r="E108" s="190"/>
      <c r="F108" s="141"/>
      <c r="G108" s="141"/>
      <c r="H108" s="141"/>
      <c r="I108" s="141"/>
      <c r="J108" s="141"/>
      <c r="K108" s="141"/>
      <c r="L108" s="141"/>
      <c r="M108" s="141"/>
    </row>
    <row r="109" spans="1:13" s="144" customFormat="1" x14ac:dyDescent="0.25">
      <c r="A109" s="255"/>
      <c r="B109" s="190"/>
      <c r="C109" s="190"/>
      <c r="D109" s="190"/>
      <c r="E109" s="190"/>
      <c r="F109" s="141"/>
      <c r="G109" s="141"/>
      <c r="H109" s="141"/>
      <c r="I109" s="141"/>
      <c r="J109" s="141"/>
      <c r="K109" s="141"/>
      <c r="L109" s="141"/>
      <c r="M109" s="141"/>
    </row>
    <row r="110" spans="1:13" s="144" customFormat="1" x14ac:dyDescent="0.25">
      <c r="A110" s="255"/>
      <c r="B110" s="190"/>
      <c r="C110" s="190"/>
      <c r="D110" s="190"/>
      <c r="E110" s="190"/>
      <c r="F110" s="141"/>
      <c r="G110" s="141"/>
      <c r="H110" s="141"/>
      <c r="I110" s="141"/>
      <c r="J110" s="141"/>
      <c r="K110" s="141"/>
      <c r="L110" s="141"/>
      <c r="M110" s="141"/>
    </row>
    <row r="111" spans="1:13" s="144" customFormat="1" x14ac:dyDescent="0.25">
      <c r="A111" s="255"/>
      <c r="B111" s="190"/>
      <c r="C111" s="190"/>
      <c r="D111" s="190"/>
      <c r="E111" s="190"/>
      <c r="F111" s="141"/>
      <c r="G111" s="141"/>
      <c r="H111" s="141"/>
      <c r="I111" s="141"/>
      <c r="J111" s="141"/>
      <c r="K111" s="141"/>
      <c r="L111" s="141"/>
      <c r="M111" s="141"/>
    </row>
    <row r="112" spans="1:13" s="144" customFormat="1" x14ac:dyDescent="0.25">
      <c r="A112" s="255"/>
      <c r="B112" s="190"/>
      <c r="C112" s="190"/>
      <c r="D112" s="190"/>
      <c r="E112" s="190"/>
      <c r="F112" s="141"/>
      <c r="G112" s="141"/>
      <c r="H112" s="141"/>
      <c r="I112" s="141"/>
      <c r="J112" s="141"/>
      <c r="K112" s="141"/>
      <c r="L112" s="141"/>
      <c r="M112" s="141"/>
    </row>
    <row r="113" spans="1:13" s="144" customFormat="1" ht="20" thickBot="1" x14ac:dyDescent="0.3">
      <c r="A113" s="256"/>
      <c r="B113" s="194"/>
      <c r="C113" s="194"/>
      <c r="D113" s="194"/>
      <c r="E113" s="194"/>
      <c r="F113" s="149"/>
      <c r="G113" s="149"/>
      <c r="H113" s="149"/>
      <c r="I113" s="149"/>
      <c r="J113" s="149"/>
      <c r="K113" s="149"/>
      <c r="L113" s="149"/>
      <c r="M113" s="149"/>
    </row>
    <row r="114" spans="1:13" s="144" customFormat="1" ht="20" thickTop="1" x14ac:dyDescent="0.25">
      <c r="B114" s="167"/>
      <c r="C114" s="167"/>
      <c r="D114" s="167"/>
      <c r="E114" s="167"/>
      <c r="F114" s="167"/>
      <c r="G114" s="167"/>
      <c r="H114" s="167"/>
      <c r="I114" s="167"/>
      <c r="J114" s="167"/>
      <c r="K114" s="167"/>
      <c r="L114" s="167"/>
      <c r="M114" s="167"/>
    </row>
    <row r="115" spans="1:13" ht="27" thickBot="1" x14ac:dyDescent="0.35">
      <c r="A115" s="257" t="s">
        <v>119</v>
      </c>
      <c r="B115" s="80"/>
      <c r="C115" s="13"/>
      <c r="D115" s="14"/>
      <c r="E115" s="9"/>
      <c r="H115" s="14"/>
      <c r="K115" s="14"/>
      <c r="L115" s="9"/>
    </row>
    <row r="116" spans="1:13" ht="24.75" customHeight="1" thickTop="1" x14ac:dyDescent="0.25">
      <c r="A116" s="264" t="s">
        <v>70</v>
      </c>
      <c r="B116" s="120"/>
      <c r="C116" s="119"/>
      <c r="D116" s="119" t="s">
        <v>21</v>
      </c>
      <c r="E116" s="119"/>
      <c r="F116" s="120"/>
      <c r="G116" s="119"/>
      <c r="H116" s="119" t="s">
        <v>22</v>
      </c>
      <c r="I116" s="119"/>
      <c r="J116" s="120"/>
      <c r="K116" s="119"/>
      <c r="L116" s="119" t="s">
        <v>23</v>
      </c>
      <c r="M116" s="320"/>
    </row>
    <row r="117" spans="1:13" x14ac:dyDescent="0.25">
      <c r="A117" s="432" t="s">
        <v>120</v>
      </c>
      <c r="B117" s="129"/>
      <c r="C117" s="121" t="s">
        <v>79</v>
      </c>
      <c r="D117" s="121" t="s">
        <v>80</v>
      </c>
      <c r="E117" s="121" t="s">
        <v>81</v>
      </c>
      <c r="F117" s="129"/>
      <c r="G117" s="121" t="s">
        <v>79</v>
      </c>
      <c r="H117" s="121" t="s">
        <v>80</v>
      </c>
      <c r="I117" s="121" t="s">
        <v>81</v>
      </c>
      <c r="J117" s="129"/>
      <c r="K117" s="121" t="s">
        <v>79</v>
      </c>
      <c r="L117" s="121" t="s">
        <v>80</v>
      </c>
      <c r="M117" s="121" t="s">
        <v>81</v>
      </c>
    </row>
    <row r="118" spans="1:13" ht="20" thickBot="1" x14ac:dyDescent="0.3">
      <c r="A118" s="433"/>
      <c r="B118" s="131" t="s">
        <v>142</v>
      </c>
      <c r="C118" s="123" t="s">
        <v>143</v>
      </c>
      <c r="D118" s="124" t="s">
        <v>144</v>
      </c>
      <c r="E118" s="124" t="s">
        <v>145</v>
      </c>
      <c r="F118" s="131" t="s">
        <v>142</v>
      </c>
      <c r="G118" s="123" t="s">
        <v>143</v>
      </c>
      <c r="H118" s="124" t="s">
        <v>144</v>
      </c>
      <c r="I118" s="124" t="s">
        <v>145</v>
      </c>
      <c r="J118" s="131" t="s">
        <v>142</v>
      </c>
      <c r="K118" s="123" t="s">
        <v>143</v>
      </c>
      <c r="L118" s="124" t="s">
        <v>144</v>
      </c>
      <c r="M118" s="124" t="s">
        <v>145</v>
      </c>
    </row>
    <row r="119" spans="1:13" s="144" customFormat="1" ht="20" thickTop="1" x14ac:dyDescent="0.25">
      <c r="A119" s="269" t="s">
        <v>121</v>
      </c>
      <c r="B119" s="198"/>
      <c r="C119" s="197"/>
      <c r="D119" s="198"/>
      <c r="E119" s="198"/>
      <c r="F119" s="198">
        <f>Rockwool!U14</f>
        <v>359.44650000000001</v>
      </c>
      <c r="G119" s="196">
        <f>Rockwool!U15</f>
        <v>376.56299999999999</v>
      </c>
      <c r="H119" s="198">
        <f>Rockwool!U16</f>
        <v>393.67949999999996</v>
      </c>
      <c r="I119" s="198">
        <f>Rockwool!U17</f>
        <v>410.79599999999999</v>
      </c>
      <c r="J119" s="198"/>
      <c r="K119" s="196"/>
      <c r="L119" s="198"/>
      <c r="M119" s="198"/>
    </row>
    <row r="120" spans="1:13" s="144" customFormat="1" x14ac:dyDescent="0.25">
      <c r="A120" s="250" t="s">
        <v>146</v>
      </c>
      <c r="B120" s="141"/>
      <c r="C120" s="148"/>
      <c r="D120" s="141"/>
      <c r="E120" s="141"/>
      <c r="F120" s="141">
        <f>Rockwool!U42</f>
        <v>99.878940000000014</v>
      </c>
      <c r="G120" s="143">
        <f>Rockwool!U43</f>
        <v>101.78139600000002</v>
      </c>
      <c r="H120" s="141">
        <f>Rockwool!U44</f>
        <v>104.63508000000002</v>
      </c>
      <c r="I120" s="141">
        <f>Rockwool!U45</f>
        <v>109.39122</v>
      </c>
      <c r="J120" s="141"/>
      <c r="K120" s="143"/>
      <c r="L120" s="141"/>
      <c r="M120" s="141"/>
    </row>
    <row r="121" spans="1:13" s="144" customFormat="1" x14ac:dyDescent="0.25">
      <c r="A121" s="250" t="s">
        <v>231</v>
      </c>
      <c r="B121" s="141"/>
      <c r="C121" s="148"/>
      <c r="D121" s="141"/>
      <c r="E121" s="141"/>
      <c r="F121" s="141"/>
      <c r="G121" s="143"/>
      <c r="H121" s="141"/>
      <c r="I121" s="141"/>
      <c r="J121" s="141"/>
      <c r="K121" s="143"/>
      <c r="L121" s="141"/>
      <c r="M121" s="141"/>
    </row>
    <row r="122" spans="1:13" s="144" customFormat="1" x14ac:dyDescent="0.25">
      <c r="A122" s="250" t="s">
        <v>147</v>
      </c>
      <c r="B122" s="141"/>
      <c r="C122" s="148"/>
      <c r="D122" s="141"/>
      <c r="E122" s="141"/>
      <c r="F122" s="141">
        <f>Rockwool!U71</f>
        <v>151.6326</v>
      </c>
      <c r="G122" s="143">
        <f>Rockwool!U72</f>
        <v>154.52083999999999</v>
      </c>
      <c r="H122" s="141">
        <f>Rockwool!U73</f>
        <v>158.85319999999999</v>
      </c>
      <c r="I122" s="141">
        <f>Rockwool!U74</f>
        <v>166.07379999999995</v>
      </c>
      <c r="J122" s="141"/>
      <c r="K122" s="143"/>
      <c r="L122" s="141"/>
      <c r="M122" s="141"/>
    </row>
    <row r="123" spans="1:13" x14ac:dyDescent="0.25">
      <c r="A123" s="262"/>
      <c r="B123" s="76"/>
      <c r="C123" s="91"/>
      <c r="D123" s="76"/>
      <c r="E123" s="76"/>
      <c r="F123" s="76"/>
      <c r="G123" s="85"/>
      <c r="H123" s="76"/>
      <c r="I123" s="76"/>
      <c r="J123" s="76"/>
      <c r="K123" s="85"/>
      <c r="L123" s="76"/>
      <c r="M123" s="76"/>
    </row>
    <row r="124" spans="1:13" x14ac:dyDescent="0.25">
      <c r="A124" s="262"/>
      <c r="B124" s="76"/>
      <c r="C124" s="91"/>
      <c r="D124" s="76"/>
      <c r="E124" s="76"/>
      <c r="F124" s="76"/>
      <c r="G124" s="85"/>
      <c r="H124" s="76"/>
      <c r="I124" s="76"/>
      <c r="J124" s="76"/>
      <c r="K124" s="85"/>
      <c r="L124" s="76"/>
      <c r="M124" s="76"/>
    </row>
    <row r="125" spans="1:13" x14ac:dyDescent="0.25">
      <c r="A125" s="250"/>
      <c r="B125" s="141"/>
      <c r="C125" s="148"/>
      <c r="D125" s="141"/>
      <c r="E125" s="141"/>
      <c r="F125" s="76"/>
      <c r="G125" s="85"/>
      <c r="H125" s="76"/>
      <c r="I125" s="76"/>
      <c r="J125" s="76"/>
      <c r="K125" s="85"/>
      <c r="L125" s="76"/>
      <c r="M125" s="76"/>
    </row>
    <row r="126" spans="1:13" x14ac:dyDescent="0.25">
      <c r="A126" s="250"/>
      <c r="B126" s="141"/>
      <c r="C126" s="148"/>
      <c r="D126" s="141"/>
      <c r="E126" s="141"/>
      <c r="F126" s="76"/>
      <c r="G126" s="85"/>
      <c r="H126" s="76"/>
      <c r="I126" s="76"/>
      <c r="J126" s="76"/>
      <c r="K126" s="85"/>
      <c r="L126" s="76"/>
      <c r="M126" s="76"/>
    </row>
    <row r="127" spans="1:13" s="133" customFormat="1" x14ac:dyDescent="0.25">
      <c r="A127" s="258"/>
      <c r="B127" s="118"/>
      <c r="C127" s="152"/>
      <c r="D127" s="118"/>
      <c r="E127" s="118"/>
      <c r="F127" s="118"/>
      <c r="G127" s="134"/>
      <c r="H127" s="118"/>
      <c r="I127" s="118"/>
      <c r="J127" s="118"/>
      <c r="K127" s="134"/>
      <c r="L127" s="118"/>
      <c r="M127" s="118"/>
    </row>
    <row r="128" spans="1:13" x14ac:dyDescent="0.25">
      <c r="A128" s="262"/>
      <c r="B128" s="76"/>
      <c r="C128" s="109"/>
      <c r="D128" s="110"/>
      <c r="E128" s="110"/>
      <c r="F128" s="110"/>
      <c r="G128" s="111"/>
      <c r="H128" s="112"/>
      <c r="I128" s="112"/>
      <c r="J128" s="112"/>
      <c r="K128" s="111"/>
      <c r="L128" s="112"/>
      <c r="M128" s="112"/>
    </row>
    <row r="129" spans="1:13" x14ac:dyDescent="0.25">
      <c r="A129" s="270"/>
      <c r="B129" s="81"/>
      <c r="C129" s="113"/>
      <c r="D129" s="112"/>
      <c r="E129" s="112"/>
      <c r="F129" s="112"/>
      <c r="G129" s="111"/>
      <c r="H129" s="112"/>
      <c r="I129" s="112"/>
      <c r="J129" s="112"/>
      <c r="K129" s="111"/>
      <c r="L129" s="112"/>
      <c r="M129" s="112"/>
    </row>
    <row r="130" spans="1:13" s="133" customFormat="1" x14ac:dyDescent="0.25">
      <c r="A130" s="258"/>
      <c r="B130" s="118"/>
      <c r="C130" s="214"/>
      <c r="D130" s="215"/>
      <c r="E130" s="215"/>
      <c r="F130" s="215"/>
      <c r="G130" s="216"/>
      <c r="H130" s="215"/>
      <c r="I130" s="215"/>
      <c r="J130" s="215"/>
      <c r="K130" s="216"/>
      <c r="L130" s="215"/>
      <c r="M130" s="215"/>
    </row>
    <row r="131" spans="1:13" x14ac:dyDescent="0.25">
      <c r="A131" s="262"/>
      <c r="B131" s="76"/>
      <c r="C131" s="113"/>
      <c r="D131" s="112"/>
      <c r="E131" s="112"/>
      <c r="F131" s="112"/>
      <c r="G131" s="111"/>
      <c r="H131" s="112"/>
      <c r="I131" s="112"/>
      <c r="J131" s="112"/>
      <c r="K131" s="111"/>
      <c r="L131" s="112"/>
      <c r="M131" s="112"/>
    </row>
    <row r="132" spans="1:13" x14ac:dyDescent="0.25">
      <c r="A132" s="262"/>
      <c r="B132" s="76"/>
      <c r="C132" s="113"/>
      <c r="D132" s="112"/>
      <c r="E132" s="112"/>
      <c r="F132" s="112"/>
      <c r="G132" s="111"/>
      <c r="H132" s="112"/>
      <c r="I132" s="112"/>
      <c r="J132" s="112"/>
      <c r="K132" s="111"/>
      <c r="L132" s="112"/>
      <c r="M132" s="112"/>
    </row>
    <row r="133" spans="1:13" x14ac:dyDescent="0.25">
      <c r="A133" s="262"/>
      <c r="B133" s="76"/>
      <c r="C133" s="113"/>
      <c r="D133" s="112"/>
      <c r="E133" s="112"/>
      <c r="F133" s="112"/>
      <c r="G133" s="111"/>
      <c r="H133" s="112"/>
      <c r="I133" s="112"/>
      <c r="J133" s="112"/>
      <c r="K133" s="111"/>
      <c r="L133" s="112"/>
      <c r="M133" s="112"/>
    </row>
    <row r="134" spans="1:13" x14ac:dyDescent="0.25">
      <c r="A134" s="262"/>
      <c r="B134" s="115"/>
      <c r="C134" s="114"/>
      <c r="D134" s="115"/>
      <c r="E134" s="115"/>
      <c r="F134" s="115"/>
      <c r="G134" s="116"/>
      <c r="H134" s="115"/>
      <c r="I134" s="115"/>
      <c r="J134" s="115"/>
      <c r="K134" s="116"/>
      <c r="L134" s="115"/>
      <c r="M134" s="115"/>
    </row>
    <row r="135" spans="1:13" x14ac:dyDescent="0.25">
      <c r="A135" s="262"/>
      <c r="B135" s="115"/>
      <c r="C135" s="114"/>
      <c r="D135" s="115"/>
      <c r="E135" s="115"/>
      <c r="F135" s="115"/>
      <c r="G135" s="116"/>
      <c r="H135" s="115"/>
      <c r="I135" s="115"/>
      <c r="J135" s="115"/>
      <c r="K135" s="116"/>
      <c r="L135" s="115"/>
      <c r="M135" s="115"/>
    </row>
    <row r="136" spans="1:13" x14ac:dyDescent="0.25">
      <c r="A136" s="262"/>
      <c r="B136" s="115"/>
      <c r="C136" s="114"/>
      <c r="D136" s="115"/>
      <c r="E136" s="115"/>
      <c r="F136" s="115"/>
      <c r="G136" s="116"/>
      <c r="H136" s="115"/>
      <c r="I136" s="115"/>
      <c r="J136" s="115"/>
      <c r="K136" s="116"/>
      <c r="L136" s="115"/>
      <c r="M136" s="115"/>
    </row>
    <row r="137" spans="1:13" x14ac:dyDescent="0.25">
      <c r="A137" s="262"/>
      <c r="B137" s="115"/>
      <c r="C137" s="114"/>
      <c r="D137" s="115"/>
      <c r="E137" s="115"/>
      <c r="F137" s="115"/>
      <c r="G137" s="116"/>
      <c r="H137" s="115"/>
      <c r="I137" s="115"/>
      <c r="J137" s="115"/>
      <c r="K137" s="116"/>
      <c r="L137" s="115"/>
      <c r="M137" s="115"/>
    </row>
    <row r="138" spans="1:13" x14ac:dyDescent="0.25">
      <c r="A138" s="262"/>
      <c r="B138" s="115"/>
      <c r="C138" s="114"/>
      <c r="D138" s="115"/>
      <c r="E138" s="115"/>
      <c r="F138" s="115"/>
      <c r="G138" s="116"/>
      <c r="H138" s="115"/>
      <c r="I138" s="115"/>
      <c r="J138" s="115"/>
      <c r="K138" s="116"/>
      <c r="L138" s="115"/>
      <c r="M138" s="115"/>
    </row>
    <row r="139" spans="1:13" s="144" customFormat="1" x14ac:dyDescent="0.25">
      <c r="A139" s="250"/>
      <c r="B139" s="141"/>
      <c r="C139" s="148"/>
      <c r="D139" s="141"/>
      <c r="E139" s="141"/>
      <c r="F139" s="141"/>
      <c r="G139" s="143"/>
      <c r="H139" s="141"/>
      <c r="I139" s="141"/>
      <c r="J139" s="141"/>
      <c r="K139" s="143"/>
      <c r="L139" s="141"/>
      <c r="M139" s="141"/>
    </row>
    <row r="140" spans="1:13" s="144" customFormat="1" x14ac:dyDescent="0.25">
      <c r="A140" s="254"/>
      <c r="B140" s="186"/>
      <c r="C140" s="185"/>
      <c r="D140" s="186"/>
      <c r="E140" s="186"/>
      <c r="F140" s="186"/>
      <c r="G140" s="184"/>
      <c r="H140" s="186"/>
      <c r="I140" s="186"/>
      <c r="J140" s="186"/>
      <c r="K140" s="184"/>
      <c r="L140" s="186"/>
      <c r="M140" s="186"/>
    </row>
    <row r="141" spans="1:13" s="144" customFormat="1" x14ac:dyDescent="0.25">
      <c r="A141" s="250"/>
      <c r="B141" s="190"/>
      <c r="C141" s="189"/>
      <c r="D141" s="190"/>
      <c r="E141" s="190"/>
      <c r="F141" s="190"/>
      <c r="G141" s="188"/>
      <c r="H141" s="190"/>
      <c r="I141" s="190"/>
      <c r="J141" s="190"/>
      <c r="K141" s="188"/>
      <c r="L141" s="190"/>
      <c r="M141" s="190"/>
    </row>
    <row r="142" spans="1:13" s="144" customFormat="1" ht="20" thickBot="1" x14ac:dyDescent="0.3">
      <c r="A142" s="252"/>
      <c r="B142" s="194"/>
      <c r="C142" s="193"/>
      <c r="D142" s="194"/>
      <c r="E142" s="194"/>
      <c r="F142" s="194"/>
      <c r="G142" s="192"/>
      <c r="H142" s="194"/>
      <c r="I142" s="194"/>
      <c r="J142" s="194"/>
      <c r="K142" s="192"/>
      <c r="L142" s="194"/>
      <c r="M142" s="194"/>
    </row>
    <row r="143" spans="1:13" ht="20" thickTop="1" x14ac:dyDescent="0.25"/>
  </sheetData>
  <mergeCells count="5">
    <mergeCell ref="A11:A12"/>
    <mergeCell ref="A55:A56"/>
    <mergeCell ref="J1:K1"/>
    <mergeCell ref="AD1:AE1"/>
    <mergeCell ref="A117:A118"/>
  </mergeCells>
  <phoneticPr fontId="3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Formular 4 step Y1</vt:lpstr>
      <vt:lpstr>Sheet1</vt:lpstr>
      <vt:lpstr>สูตร 4 step SB</vt:lpstr>
      <vt:lpstr>Rockwool</vt:lpstr>
      <vt:lpstr>BKK DCM</vt:lpstr>
      <vt:lpstr>N DCM</vt:lpstr>
      <vt:lpstr>NE DCM</vt:lpstr>
      <vt:lpstr>C DCM</vt:lpstr>
      <vt:lpstr>E DCM</vt:lpstr>
      <vt:lpstr>S DCM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Product04</dc:creator>
  <cp:lastModifiedBy>Paphatsara Phuengkasem</cp:lastModifiedBy>
  <cp:lastPrinted>2022-05-04T03:33:16Z</cp:lastPrinted>
  <dcterms:created xsi:type="dcterms:W3CDTF">2021-04-29T10:45:49Z</dcterms:created>
  <dcterms:modified xsi:type="dcterms:W3CDTF">2026-05-05T12:29:12Z</dcterms:modified>
</cp:coreProperties>
</file>